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7" sheetId="7" r:id="rId1"/>
  </sheets>
  <definedNames>
    <definedName name="_xlnm.Print_Area" localSheetId="0">'8.7'!$A$1:$J$32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7" l="1"/>
  <c r="G8" i="7"/>
  <c r="G9" i="7"/>
  <c r="G10" i="7"/>
  <c r="G11" i="7"/>
  <c r="G12" i="7"/>
  <c r="G13" i="7"/>
  <c r="E6" i="7"/>
  <c r="H10" i="7" l="1"/>
  <c r="H7" i="7"/>
  <c r="H13" i="7"/>
  <c r="H9" i="7"/>
  <c r="H12" i="7"/>
  <c r="H8" i="7"/>
  <c r="H11" i="7"/>
  <c r="H6" i="7"/>
  <c r="D6" i="7" l="1"/>
  <c r="G6" i="7" s="1"/>
  <c r="C6" i="7" l="1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<sst xmlns="http://schemas.openxmlformats.org/spreadsheetml/2006/main" count="27" uniqueCount="27">
  <si>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</si>
  <si>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</si>
  <si>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</si>
  <si>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</si>
  <si>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</si>
  <si>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</si>
  <si>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</si>
  <si>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</si>
  <si>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</si>
  <si>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</si>
  <si>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</si>
  <si>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</si>
  <si>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</si>
  <si>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</si>
  <si>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</si>
  <si>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</si>
  <si>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</si>
  <si>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</si>
  <si>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</si>
  <si>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</si>
  <si>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</si>
  <si>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</si>
  <si>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</si>
  <si>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</si>
  <si>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ތާވަލު 8.7: ހުށަހެޅިފައިވާ ވައްކަމުގެ މައްސަލަތަކުގެ ބާވަތް، 2016- 2019</t>
  </si>
  <si>
    <t>Table 8.7:  THEFT CASES LOGGED BY TYPE, 2016 - 2019</t>
  </si>
  <si>
    <t>%change over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</si>
</sst>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</cellStyleXfs>
  <cellXfs count="5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Border="1" applyAlignment="1">
      <alignment vertical="center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9" fillId="2" borderId="0" xfId="0" applyNumberFormat="1" applyFont="1" applyFill="1" applyBorder="1" applyAlignment="1" applyProtection="1">
      <alignment horizontal="right" vertical="center" indent="1"/>
    </xf>
    <xf numFmtId="164" fontId="9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/>
    <xf numFmtId="164" fontId="16" fillId="2" borderId="6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1" fillId="2" borderId="0" xfId="0" applyNumberFormat="1" applyFont="1" applyFill="1" applyBorder="1" applyAlignment="1" applyProtection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Border="1" applyAlignment="1">
      <alignment horizontal="center" vertical="top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64" fontId="25" fillId="2" borderId="5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vertical="center"/>
    </xf>
    <xf numFmtId="3" fontId="13" fillId="2" borderId="0" xfId="0" applyNumberFormat="1" applyFont="1" applyFill="1" applyBorder="1" applyAlignment="1">
      <alignment horizontal="right" vertical="center" indent="5"/>
    </xf>
    <xf numFmtId="3" fontId="13" fillId="2" borderId="4" xfId="0" applyNumberFormat="1" applyFont="1" applyFill="1" applyBorder="1" applyAlignment="1">
      <alignment horizontal="right" vertical="center" indent="5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3" fontId="10" fillId="2" borderId="9" xfId="0" applyNumberFormat="1" applyFont="1" applyFill="1" applyBorder="1" applyAlignment="1">
      <alignment horizontal="right" vertical="center" indent="5"/>
    </xf>
    <xf numFmtId="164" fontId="28" fillId="2" borderId="6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17" fillId="2" borderId="1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 applyProtection="1">
      <alignment horizontal="right" vertical="center" wrapText="1"/>
    </xf>
    <xf numFmtId="164" fontId="22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3" fontId="10" fillId="2" borderId="9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 wrapText="1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'8.7'!$C$7:$C$13</c:f>
              <c:numCache>
                <c:formatCode>#,##0</c:formatCode>
                <c:ptCount val="7"/>
                <c:pt idx="0">
                  <c:v>1217</c:v>
                </c:pt>
                <c:pt idx="1">
                  <c:v>666</c:v>
                </c:pt>
                <c:pt idx="2">
                  <c:v>606</c:v>
                </c:pt>
                <c:pt idx="3">
                  <c:v>237</c:v>
                </c:pt>
                <c:pt idx="4">
                  <c:v>135</c:v>
                </c:pt>
                <c:pt idx="5">
                  <c:v>174</c:v>
                </c:pt>
                <c:pt idx="6">
                  <c:v>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  <c:numCache>
                <c:formatCode>#,##0</c:formatCode>
                <c:ptCount val="7"/>
                <c:pt idx="0">
                  <c:v>1290</c:v>
                </c:pt>
                <c:pt idx="1">
                  <c:v>494</c:v>
                </c:pt>
                <c:pt idx="2">
                  <c:v>523</c:v>
                </c:pt>
                <c:pt idx="3">
                  <c:v>223</c:v>
                </c:pt>
                <c:pt idx="4">
                  <c:v>92</c:v>
                </c:pt>
                <c:pt idx="5">
                  <c:v>227</c:v>
                </c:pt>
                <c:pt idx="6">
                  <c:v>421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1777</c:v>
                </c:pt>
                <c:pt idx="1">
                  <c:v>777</c:v>
                </c:pt>
                <c:pt idx="2">
                  <c:v>757</c:v>
                </c:pt>
                <c:pt idx="3">
                  <c:v>232</c:v>
                </c:pt>
                <c:pt idx="4">
                  <c:v>94</c:v>
                </c:pt>
                <c:pt idx="5">
                  <c:v>306</c:v>
                </c:pt>
                <c:pt idx="6">
                  <c:v>611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488176"/>
        <c:axId val="402489352"/>
      </c:barChart>
      <c:catAx>
        <c:axId val="402488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2489352"/>
        <c:crosses val="autoZero"/>
        <c:auto val="1"/>
        <c:lblAlgn val="ctr"/>
        <c:lblOffset val="100"/>
        <c:noMultiLvlLbl val="0"/>
      </c:catAx>
      <c:valAx>
        <c:axId val="4024893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2488176"/>
        <c:crosses val="autoZero"/>
        <c:crossBetween val="between"/>
      </c:valAx>
      <c:spPr>
        <a:solidFill>
          <a:srgbClr val="FAF5F0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326560999929027"/>
          <c:y val="0.26865504451501748"/>
          <c:w val="0.32078898663421951"/>
          <c:h val="8.9090544139038025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15</xdr:row>
      <xdr:rowOff>76108</xdr:rowOff>
    </xdr:from>
    <xdr:to>
      <xdr:col>8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0.24457</cdr:x>
      <cdr:y>0.03962</cdr:y>
    </cdr:from>
    <cdr:to>
      <cdr:x>0.76552</cdr:x>
      <cdr:y>0.12581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8906" y="120008"/>
          <a:ext cx="3597469" cy="2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2017 - 2019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3"/>
  <sheetViews>
    <sheetView tabSelected="1" zoomScaleNormal="100" workbookViewId="0">
      <selection activeCell="G6" sqref="G6:G13"/>
    </sheetView>
  </sheetViews>
  <sheetFormatPr defaultColWidth="9.140625" defaultRowHeight="15"/>
  <cols>
    <col min="1" max="1" width="33" style="1" customWidth="1"/>
    <col min="2" max="5" width="9.7109375" style="1" customWidth="1"/>
    <col min="6" max="6" width="2.7109375" style="1" customWidth="1"/>
    <col min="7" max="7" width="15.5703125" style="1" customWidth="1"/>
    <col min="8" max="8" width="14.28515625" style="1" customWidth="1"/>
    <col min="9" max="9" width="34.5703125" style="1" customWidth="1"/>
    <col min="10" max="10" width="5.42578125" style="1" customWidth="1"/>
    <col min="11" max="11" width="22.140625" style="1" bestFit="1" customWidth="1"/>
    <col min="12" max="16384" width="9.140625" style="1"/>
  </cols>
  <sheetData>
    <row r="1" spans="1:17" ht="21">
      <c r="A1" s="44" t="s">
        <v>24</v>
      </c>
      <c r="B1" s="44"/>
      <c r="C1" s="44"/>
      <c r="D1" s="44"/>
      <c r="E1" s="44"/>
      <c r="F1" s="44"/>
      <c r="G1" s="44"/>
      <c r="H1" s="44"/>
      <c r="I1" s="44"/>
    </row>
    <row r="2" spans="1:17" ht="15.75" customHeight="1">
      <c r="A2" s="42" t="s">
        <v>25</v>
      </c>
      <c r="B2" s="42"/>
      <c r="C2" s="42"/>
      <c r="D2" s="42"/>
      <c r="E2" s="43"/>
      <c r="F2" s="42"/>
      <c r="G2" s="43"/>
      <c r="H2" s="43"/>
      <c r="I2" s="42"/>
      <c r="K2" s="2"/>
    </row>
    <row r="3" spans="1:17" ht="17.25">
      <c r="A3" s="50" t="s">
        <v>6</v>
      </c>
      <c r="B3" s="47">
        <v>2016</v>
      </c>
      <c r="C3" s="47">
        <v>2017</v>
      </c>
      <c r="D3" s="47">
        <v>2018</v>
      </c>
      <c r="E3" s="47">
        <v>2019</v>
      </c>
      <c r="F3" s="35"/>
      <c r="G3" s="34" t="s">
        <v>3</v>
      </c>
      <c r="H3" s="40" t="s">
        <v>7</v>
      </c>
      <c r="I3" s="45" t="s">
        <v>8</v>
      </c>
      <c r="L3" s="3"/>
      <c r="M3" s="3"/>
      <c r="N3" s="3"/>
      <c r="O3" s="3"/>
      <c r="P3" s="3"/>
      <c r="Q3" s="3"/>
    </row>
    <row r="4" spans="1:17" ht="34.5">
      <c r="A4" s="51"/>
      <c r="B4" s="48"/>
      <c r="C4" s="48"/>
      <c r="D4" s="48"/>
      <c r="E4" s="48"/>
      <c r="F4" s="36"/>
      <c r="G4" s="23" t="s">
        <v>4</v>
      </c>
      <c r="H4" s="54" t="s">
        <v>9</v>
      </c>
      <c r="I4" s="46"/>
      <c r="L4" s="3"/>
      <c r="M4" s="3"/>
      <c r="N4" s="3"/>
      <c r="O4" s="3"/>
      <c r="P4" s="3"/>
      <c r="Q4" s="3"/>
    </row>
    <row r="5" spans="1:17" ht="17.25">
      <c r="A5" s="52"/>
      <c r="B5" s="49"/>
      <c r="C5" s="49"/>
      <c r="D5" s="49"/>
      <c r="E5" s="49"/>
      <c r="F5" s="37"/>
      <c r="G5" s="24" t="s">
        <v>26</v>
      </c>
      <c r="H5" s="14">
        <v>2019</v>
      </c>
      <c r="I5" s="41"/>
      <c r="L5" s="3"/>
      <c r="M5" s="3"/>
      <c r="N5" s="3"/>
      <c r="O5" s="3"/>
      <c r="P5" s="3"/>
      <c r="Q5" s="3"/>
    </row>
    <row r="6" spans="1:17" s="15" customFormat="1" ht="17.25">
      <c r="A6" s="4" t="s">
        <v>0</v>
      </c>
      <c r="B6" s="25">
        <f>SUM(B7:B13)</f>
        <v>3616</v>
      </c>
      <c r="C6" s="25">
        <f t="shared" ref="C6" si="0">SUM(C7:C13)</f>
        <v>3503</v>
      </c>
      <c r="D6" s="25">
        <f>SUM(D7:D13)</f>
        <v>3270</v>
      </c>
      <c r="E6" s="25">
        <f>SUM(E7:E13)</f>
        <v>4554</v>
      </c>
      <c r="F6" s="25"/>
      <c r="G6" s="38">
        <f>((E6-D6)/D6*100)</f>
        <v>39.26605504587156</v>
      </c>
      <c r="H6" s="53">
        <f>E6/$E$6*100</f>
        <v>100</v>
      </c>
      <c r="I6" s="28" t="s">
        <v>5</v>
      </c>
      <c r="K6" s="25"/>
      <c r="L6" s="16"/>
      <c r="M6" s="16"/>
      <c r="N6" s="16"/>
      <c r="O6" s="16"/>
      <c r="P6" s="16"/>
      <c r="Q6" s="16"/>
    </row>
    <row r="7" spans="1:17" s="22" customFormat="1" ht="18.75">
      <c r="A7" s="17" t="s">
        <v>10</v>
      </c>
      <c r="B7" s="26">
        <v>1054</v>
      </c>
      <c r="C7" s="26">
        <v>1217</v>
      </c>
      <c r="D7" s="26">
        <v>1290</v>
      </c>
      <c r="E7" s="26">
        <v>1777</v>
      </c>
      <c r="F7" s="26"/>
      <c r="G7" s="32">
        <f>((E7-D7)/D7*100)</f>
        <v>37.751937984496124</v>
      </c>
      <c r="H7" s="30">
        <f>E7/$E$6*100</f>
        <v>39.020641194554237</v>
      </c>
      <c r="I7" s="8" t="s">
        <v>11</v>
      </c>
      <c r="K7" s="25"/>
      <c r="L7" s="16"/>
      <c r="M7" s="16"/>
      <c r="N7" s="18"/>
      <c r="O7" s="18"/>
      <c r="P7" s="18"/>
      <c r="Q7" s="18"/>
    </row>
    <row r="8" spans="1:17" s="22" customFormat="1" ht="18.75">
      <c r="A8" s="17" t="s">
        <v>12</v>
      </c>
      <c r="B8" s="26">
        <v>650</v>
      </c>
      <c r="C8" s="26">
        <v>666</v>
      </c>
      <c r="D8" s="26">
        <v>494</v>
      </c>
      <c r="E8" s="26">
        <v>777</v>
      </c>
      <c r="F8" s="26"/>
      <c r="G8" s="32">
        <f t="shared" ref="G8:G13" si="1">((E8-D8)/D8*100)</f>
        <v>57.287449392712553</v>
      </c>
      <c r="H8" s="30">
        <f t="shared" ref="H8:H13" si="2">E8/$E$6*100</f>
        <v>17.061923583662715</v>
      </c>
      <c r="I8" s="8" t="s">
        <v>13</v>
      </c>
      <c r="K8" s="25"/>
      <c r="L8" s="26"/>
      <c r="M8" s="16"/>
      <c r="N8" s="18"/>
      <c r="O8" s="18"/>
      <c r="P8" s="18"/>
      <c r="Q8" s="18"/>
    </row>
    <row r="9" spans="1:17" s="22" customFormat="1" ht="18.75">
      <c r="A9" s="17" t="s">
        <v>14</v>
      </c>
      <c r="B9" s="26">
        <v>778</v>
      </c>
      <c r="C9" s="26">
        <v>606</v>
      </c>
      <c r="D9" s="26">
        <v>523</v>
      </c>
      <c r="E9" s="26">
        <v>757</v>
      </c>
      <c r="F9" s="26"/>
      <c r="G9" s="32">
        <f t="shared" si="1"/>
        <v>44.74187380497132</v>
      </c>
      <c r="H9" s="30">
        <f t="shared" si="2"/>
        <v>16.622749231444882</v>
      </c>
      <c r="I9" s="8" t="s">
        <v>15</v>
      </c>
      <c r="K9" s="25"/>
      <c r="L9" s="26"/>
      <c r="M9" s="16"/>
      <c r="N9" s="18"/>
      <c r="O9" s="18"/>
      <c r="P9" s="18"/>
      <c r="Q9" s="18"/>
    </row>
    <row r="10" spans="1:17" s="22" customFormat="1" ht="18.75">
      <c r="A10" s="17" t="s">
        <v>16</v>
      </c>
      <c r="B10" s="26">
        <v>278</v>
      </c>
      <c r="C10" s="26">
        <v>237</v>
      </c>
      <c r="D10" s="26">
        <v>223</v>
      </c>
      <c r="E10" s="26">
        <v>232</v>
      </c>
      <c r="F10" s="26"/>
      <c r="G10" s="32">
        <f t="shared" si="1"/>
        <v>4.0358744394618835</v>
      </c>
      <c r="H10" s="30">
        <f t="shared" si="2"/>
        <v>5.0944224857268336</v>
      </c>
      <c r="I10" s="8" t="s">
        <v>17</v>
      </c>
      <c r="L10" s="26"/>
      <c r="M10" s="16"/>
      <c r="N10" s="18"/>
      <c r="O10" s="18"/>
      <c r="P10" s="18"/>
      <c r="Q10" s="18"/>
    </row>
    <row r="11" spans="1:17" s="22" customFormat="1" ht="18.75">
      <c r="A11" s="17" t="s">
        <v>18</v>
      </c>
      <c r="B11" s="26">
        <v>181</v>
      </c>
      <c r="C11" s="26">
        <v>135</v>
      </c>
      <c r="D11" s="26">
        <v>92</v>
      </c>
      <c r="E11" s="26">
        <v>94</v>
      </c>
      <c r="F11" s="26"/>
      <c r="G11" s="32">
        <f t="shared" si="1"/>
        <v>2.1739130434782608</v>
      </c>
      <c r="H11" s="30">
        <f t="shared" si="2"/>
        <v>2.0641194554238034</v>
      </c>
      <c r="I11" s="8" t="s">
        <v>19</v>
      </c>
      <c r="K11" s="29"/>
      <c r="L11" s="30"/>
      <c r="M11" s="31"/>
      <c r="N11" s="30"/>
      <c r="O11" s="19"/>
      <c r="P11" s="19"/>
      <c r="Q11" s="18"/>
    </row>
    <row r="12" spans="1:17" s="22" customFormat="1" ht="18.75">
      <c r="A12" s="17" t="s">
        <v>20</v>
      </c>
      <c r="B12" s="26">
        <v>258</v>
      </c>
      <c r="C12" s="26">
        <v>174</v>
      </c>
      <c r="D12" s="26">
        <v>227</v>
      </c>
      <c r="E12" s="26">
        <v>306</v>
      </c>
      <c r="F12" s="26"/>
      <c r="G12" s="32">
        <f t="shared" si="1"/>
        <v>34.801762114537446</v>
      </c>
      <c r="H12" s="30">
        <f t="shared" si="2"/>
        <v>6.7193675889328066</v>
      </c>
      <c r="I12" s="8" t="s">
        <v>21</v>
      </c>
      <c r="K12" s="29"/>
      <c r="L12" s="30"/>
      <c r="M12" s="31"/>
      <c r="N12" s="30"/>
      <c r="O12" s="19"/>
      <c r="P12" s="19"/>
      <c r="Q12" s="18"/>
    </row>
    <row r="13" spans="1:17" s="22" customFormat="1" ht="18.75">
      <c r="A13" s="20" t="s">
        <v>22</v>
      </c>
      <c r="B13" s="27">
        <v>417</v>
      </c>
      <c r="C13" s="27">
        <v>468</v>
      </c>
      <c r="D13" s="27">
        <v>421</v>
      </c>
      <c r="E13" s="27">
        <v>611</v>
      </c>
      <c r="F13" s="27"/>
      <c r="G13" s="33">
        <f t="shared" si="1"/>
        <v>45.13064133016627</v>
      </c>
      <c r="H13" s="27">
        <f t="shared" si="2"/>
        <v>13.41677646025472</v>
      </c>
      <c r="I13" s="9" t="s">
        <v>23</v>
      </c>
      <c r="K13" s="29"/>
      <c r="L13" s="30"/>
      <c r="M13" s="31"/>
      <c r="N13" s="30"/>
      <c r="O13" s="19"/>
      <c r="P13" s="19"/>
      <c r="Q13" s="18"/>
    </row>
    <row r="14" spans="1:17">
      <c r="A14" s="11" t="s">
        <v>1</v>
      </c>
      <c r="B14" s="10"/>
      <c r="C14" s="10"/>
      <c r="D14" s="10"/>
      <c r="E14" s="10"/>
      <c r="F14" s="10"/>
      <c r="G14" s="10"/>
      <c r="H14" s="10"/>
      <c r="I14" s="39" t="s">
        <v>2</v>
      </c>
      <c r="K14" s="29"/>
      <c r="L14" s="30"/>
      <c r="M14" s="31"/>
      <c r="N14" s="30"/>
      <c r="O14" s="7"/>
      <c r="P14" s="7"/>
      <c r="Q14" s="3"/>
    </row>
    <row r="15" spans="1:17">
      <c r="K15" s="29"/>
      <c r="L15" s="31"/>
      <c r="M15" s="31"/>
      <c r="N15" s="30"/>
      <c r="O15" s="7"/>
      <c r="P15" s="7"/>
      <c r="Q15" s="3"/>
    </row>
    <row r="16" spans="1:17">
      <c r="A16" s="21"/>
      <c r="K16" s="29"/>
      <c r="L16" s="31"/>
      <c r="M16" s="31"/>
      <c r="N16" s="30"/>
      <c r="O16" s="7"/>
      <c r="P16" s="7"/>
      <c r="Q16" s="3"/>
    </row>
    <row r="17" spans="1:17">
      <c r="K17" s="29"/>
      <c r="L17" s="31"/>
      <c r="M17" s="31"/>
      <c r="N17" s="30"/>
      <c r="O17" s="7"/>
      <c r="P17" s="7"/>
      <c r="Q17" s="3"/>
    </row>
    <row r="18" spans="1:17">
      <c r="K18" s="29"/>
      <c r="L18" s="31"/>
      <c r="M18" s="31"/>
      <c r="N18" s="7"/>
      <c r="O18" s="7"/>
      <c r="P18" s="7"/>
      <c r="Q18" s="3"/>
    </row>
    <row r="19" spans="1:17">
      <c r="K19" s="6"/>
      <c r="L19" s="7"/>
      <c r="M19" s="7"/>
      <c r="N19" s="7"/>
      <c r="O19" s="7"/>
      <c r="P19" s="7"/>
      <c r="Q19" s="3"/>
    </row>
    <row r="20" spans="1:17">
      <c r="K20" s="6"/>
      <c r="L20" s="7"/>
      <c r="M20" s="7"/>
      <c r="N20" s="7"/>
      <c r="O20" s="7"/>
      <c r="P20" s="7"/>
      <c r="Q20" s="3"/>
    </row>
    <row r="21" spans="1:17" ht="17.25">
      <c r="A21" s="12"/>
      <c r="B21" s="5"/>
      <c r="C21" s="5"/>
      <c r="D21" s="5"/>
      <c r="E21" s="5"/>
      <c r="F21" s="5"/>
      <c r="G21" s="5"/>
      <c r="H21" s="5"/>
      <c r="I21" s="13"/>
      <c r="K21" s="6"/>
      <c r="L21" s="7"/>
      <c r="M21" s="7"/>
      <c r="N21" s="7"/>
      <c r="O21" s="7"/>
      <c r="P21" s="7"/>
      <c r="Q21" s="3"/>
    </row>
    <row r="22" spans="1:17">
      <c r="K22" s="6"/>
      <c r="L22" s="7"/>
      <c r="M22" s="7"/>
      <c r="N22" s="7"/>
      <c r="O22" s="7"/>
      <c r="P22" s="7"/>
      <c r="Q22" s="3"/>
    </row>
    <row r="23" spans="1:17">
      <c r="L23" s="3"/>
      <c r="M23" s="3"/>
      <c r="N23" s="3"/>
      <c r="O23" s="3"/>
      <c r="P23" s="3"/>
      <c r="Q23" s="3"/>
    </row>
  </sheetData>
  <mergeCells count="8">
    <mergeCell ref="D3:D5"/>
    <mergeCell ref="I3:I5"/>
    <mergeCell ref="A1:I1"/>
    <mergeCell ref="A2:I2"/>
    <mergeCell ref="A3:A5"/>
    <mergeCell ref="B3:B5"/>
    <mergeCell ref="C3:C5"/>
    <mergeCell ref="E3:E5"/>
  </mergeCells>
  <pageMargins left="0.7" right="0.7" top="0.75" bottom="0.75" header="0.3" footer="0.3"/>
  <pageSetup paperSize="9" scale="6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2020-06-28T07:12:00Z</cp:lastPrinted>
  <dcterms:created xsi:type="dcterms:W3CDTF">2019-06-30T04:22:49Z</dcterms:created>
  <dcterms:modified xsi:type="dcterms:W3CDTF">2020-06-28T07:12:12Z</dcterms:modified>
</cp:coreProperties>
</file>