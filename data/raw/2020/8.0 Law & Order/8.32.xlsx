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20\SYB 2020 _latest\YEARBOOK 2020_Final\web\8. LAW AND ORDER\"/>
    </mc:Choice>
  </mc:AlternateContent>
  <bookViews>
    <workbookView xWindow="0" yWindow="0" windowWidth="28740" windowHeight="11730" tabRatio="751"/>
  </bookViews>
  <sheets>
    <sheet name="8.32" sheetId="42" r:id="rId1"/>
  </sheets>
  <definedNames>
    <definedName name="_xlnm.Print_Area" localSheetId="0">'8.32'!$A$1:$U$32</definedName>
  </definedName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5" i="42" l="1"/>
  <c r="Q14" i="42"/>
  <c r="Q13" i="42"/>
  <c r="Q12" i="42"/>
  <c r="Q11" i="42"/>
  <c r="Q10" i="42"/>
  <c r="Q9" i="42"/>
  <c r="Q8" i="42"/>
  <c r="S7" i="42"/>
  <c r="AK20" i="42" s="1"/>
  <c r="R7" i="42"/>
  <c r="Q7" i="42" l="1"/>
  <c r="AI20" i="42" s="1"/>
  <c r="AJ20" i="42"/>
  <c r="N15" i="42"/>
  <c r="K15" i="42"/>
  <c r="H15" i="42"/>
  <c r="E15" i="42"/>
  <c r="B15" i="42"/>
  <c r="N14" i="42"/>
  <c r="K14" i="42"/>
  <c r="H14" i="42"/>
  <c r="E14" i="42"/>
  <c r="B14" i="42"/>
  <c r="N13" i="42"/>
  <c r="K13" i="42"/>
  <c r="H13" i="42"/>
  <c r="E13" i="42"/>
  <c r="B13" i="42"/>
  <c r="N12" i="42"/>
  <c r="K12" i="42"/>
  <c r="H12" i="42"/>
  <c r="E12" i="42"/>
  <c r="B12" i="42"/>
  <c r="N11" i="42"/>
  <c r="K11" i="42"/>
  <c r="H11" i="42"/>
  <c r="E11" i="42"/>
  <c r="B11" i="42"/>
  <c r="N10" i="42"/>
  <c r="K10" i="42"/>
  <c r="H10" i="42"/>
  <c r="E10" i="42"/>
  <c r="B10" i="42"/>
  <c r="N9" i="42"/>
  <c r="K9" i="42"/>
  <c r="H9" i="42"/>
  <c r="E9" i="42"/>
  <c r="B9" i="42"/>
  <c r="N8" i="42"/>
  <c r="K8" i="42"/>
  <c r="H8" i="42"/>
  <c r="E8" i="42"/>
  <c r="B8" i="42"/>
  <c r="P7" i="42"/>
  <c r="AK19" i="42" s="1"/>
  <c r="O7" i="42"/>
  <c r="AJ19" i="42" s="1"/>
  <c r="M7" i="42"/>
  <c r="L7" i="42"/>
  <c r="AJ18" i="42" s="1"/>
  <c r="J7" i="42"/>
  <c r="I7" i="42"/>
  <c r="G7" i="42"/>
  <c r="F7" i="42"/>
  <c r="E7" i="42"/>
  <c r="AI16" i="42" s="1"/>
  <c r="D7" i="42"/>
  <c r="C7" i="42"/>
  <c r="N7" i="42" l="1"/>
  <c r="AI19" i="42" s="1"/>
  <c r="B7" i="42"/>
  <c r="AI15" i="42" s="1"/>
  <c r="H7" i="42"/>
  <c r="AI17" i="42" s="1"/>
  <c r="K7" i="42"/>
  <c r="AI18" i="42" s="1"/>
</calcChain>
</file>

<file path=xl/sharedStrings.xml><?xml version="1.0" encoding="utf-8"?>
<sst xmlns="http://schemas.openxmlformats.org/spreadsheetml/2006/main" count="63" uniqueCount="30">
  <si>
    <t>Male</t>
  </si>
  <si>
    <t>Female</t>
  </si>
  <si>
    <t>Both sexes</t>
  </si>
  <si>
    <t>Age groups</t>
  </si>
  <si>
    <t>Wruf egurumuA</t>
  </si>
  <si>
    <t>cscnijed</t>
  </si>
  <si>
    <t>cnehirif</t>
  </si>
  <si>
    <t>cnehcnwa</t>
  </si>
  <si>
    <t>All ages</t>
  </si>
  <si>
    <t>caerumua Whiruh</t>
  </si>
  <si>
    <t>Under 15</t>
  </si>
  <si>
    <t>cSwdcnurwhwa 15</t>
  </si>
  <si>
    <t>15 - 19</t>
  </si>
  <si>
    <t xml:space="preserve">19 - 15 </t>
  </si>
  <si>
    <t>20 - 24</t>
  </si>
  <si>
    <t>24 - 20</t>
  </si>
  <si>
    <t>25 - 29</t>
  </si>
  <si>
    <t>29 - 25</t>
  </si>
  <si>
    <t>30 - 34</t>
  </si>
  <si>
    <t>34 - 30</t>
  </si>
  <si>
    <t>35 - 39</t>
  </si>
  <si>
    <t xml:space="preserve">39 - 35 </t>
  </si>
  <si>
    <t>40 - 49</t>
  </si>
  <si>
    <t>49 - 40</t>
  </si>
  <si>
    <t>50 &amp; Over</t>
  </si>
  <si>
    <t>itwmcnurwa 50</t>
  </si>
  <si>
    <t>Source:Maldives Correctional  Service</t>
  </si>
  <si>
    <t>މައުލޫމާތު ދެއްވީ: މޯލްޑިވްސް ކަރެކްޝަނަލް ސަރވިސް</t>
  </si>
  <si>
    <t>Table  8.32 : PERSONS SENTENCED, BY AGE AND SEX, 2014 - 2019</t>
  </si>
  <si>
    <t>2019- 2014,cnirevcSuk unuLeawDnwkWyin cSokcmukuK cnutogegWrufurumua iaWncnutogeguscnij : 8.32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</si>
</sst>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6" formatCode="_-* #,##0_-;\-* #,##0_-;_-* &quot;-&quot;??_-;_-@_-"/>
    <numFmt numFmtId="167" formatCode="#,##0.0"/>
  </numFmts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8"/>
      <name val="Arial"/>
      <family val="2"/>
    </font>
    <font>
      <sz val="11"/>
      <name val="Calibri"/>
      <family val="2"/>
      <scheme val="minor"/>
    </font>
    <font>
      <b/>
      <sz val="9"/>
      <color theme="1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name val="Arial"/>
      <family val="2"/>
    </font>
    <font>
      <sz val="9"/>
      <name val="Faruma"/>
    </font>
    <font>
      <b/>
      <sz val="9"/>
      <name val="Arial"/>
      <family val="2"/>
    </font>
    <font>
      <b/>
      <sz val="10"/>
      <name val="Arial"/>
      <family val="2"/>
    </font>
    <font>
      <b/>
      <sz val="15"/>
      <color theme="3"/>
      <name val="Arial Mäori"/>
      <family val="2"/>
    </font>
    <font>
      <b/>
      <sz val="12"/>
      <name val="A_Viligili"/>
    </font>
    <font>
      <b/>
      <sz val="9"/>
      <color theme="1"/>
      <name val="A_Viligili"/>
    </font>
    <font>
      <sz val="9"/>
      <color theme="1"/>
      <name val="Arial"/>
      <family val="2"/>
    </font>
    <font>
      <sz val="9"/>
      <color theme="1"/>
      <name val="Akuru-Bodu Bold"/>
      <family val="2"/>
      <charset val="2"/>
    </font>
    <font>
      <sz val="9"/>
      <name val="Akuru-Bodu Bold"/>
      <family val="2"/>
      <charset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64"/>
      </right>
      <top/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6">
    <xf numFmtId="0" fontId="0" fillId="0" borderId="0"/>
    <xf numFmtId="166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7" fillId="0" borderId="0"/>
    <xf numFmtId="0" fontId="17" fillId="0" borderId="17" applyNumberFormat="0" applyFill="0" applyAlignment="0" applyProtection="0"/>
    <xf numFmtId="0" fontId="11" fillId="0" borderId="0"/>
  </cellStyleXfs>
  <cellXfs count="74">
    <xf numFmtId="0" fontId="0" fillId="0" borderId="0" xfId="0"/>
    <xf numFmtId="164" fontId="4" fillId="2" borderId="0" xfId="0" applyNumberFormat="1" applyFont="1" applyFill="1" applyBorder="1" applyAlignment="1" applyProtection="1">
      <alignment horizontal="left" vertical="center"/>
    </xf>
    <xf numFmtId="164" fontId="3" fillId="2" borderId="0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 applyProtection="1">
      <alignment horizontal="left" vertical="center"/>
    </xf>
    <xf numFmtId="164" fontId="0" fillId="2" borderId="7" xfId="0" applyNumberFormat="1" applyFill="1" applyBorder="1"/>
    <xf numFmtId="164" fontId="0" fillId="2" borderId="9" xfId="0" applyNumberFormat="1" applyFill="1" applyBorder="1"/>
    <xf numFmtId="164" fontId="19" fillId="2" borderId="14" xfId="0" applyNumberFormat="1" applyFont="1" applyFill="1" applyBorder="1" applyAlignment="1">
      <alignment horizontal="right" vertical="center"/>
    </xf>
    <xf numFmtId="164" fontId="19" fillId="2" borderId="13" xfId="0" applyNumberFormat="1" applyFont="1" applyFill="1" applyBorder="1" applyAlignment="1">
      <alignment horizontal="right" vertical="center"/>
    </xf>
    <xf numFmtId="164" fontId="19" fillId="2" borderId="21" xfId="0" applyNumberFormat="1" applyFont="1" applyFill="1" applyBorder="1" applyAlignment="1">
      <alignment horizontal="right" vertical="center"/>
    </xf>
    <xf numFmtId="164" fontId="19" fillId="2" borderId="0" xfId="0" applyNumberFormat="1" applyFont="1" applyFill="1" applyBorder="1" applyAlignment="1">
      <alignment horizontal="right" vertical="center"/>
    </xf>
    <xf numFmtId="164" fontId="5" fillId="2" borderId="6" xfId="0" applyNumberFormat="1" applyFont="1" applyFill="1" applyBorder="1" applyAlignment="1">
      <alignment horizontal="right" vertical="center"/>
    </xf>
    <xf numFmtId="164" fontId="5" fillId="2" borderId="22" xfId="0" applyNumberFormat="1" applyFont="1" applyFill="1" applyBorder="1" applyAlignment="1">
      <alignment horizontal="right" vertical="center"/>
    </xf>
    <xf numFmtId="164" fontId="5" fillId="2" borderId="23" xfId="0" applyNumberFormat="1" applyFont="1" applyFill="1" applyBorder="1" applyAlignment="1">
      <alignment horizontal="right" vertical="center"/>
    </xf>
    <xf numFmtId="164" fontId="2" fillId="2" borderId="24" xfId="0" applyNumberFormat="1" applyFont="1" applyFill="1" applyBorder="1" applyAlignment="1">
      <alignment horizontal="right" vertical="center"/>
    </xf>
    <xf numFmtId="164" fontId="2" fillId="2" borderId="22" xfId="0" applyNumberFormat="1" applyFont="1" applyFill="1" applyBorder="1" applyAlignment="1">
      <alignment horizontal="right" vertical="center"/>
    </xf>
    <xf numFmtId="164" fontId="2" fillId="2" borderId="23" xfId="0" applyNumberFormat="1" applyFont="1" applyFill="1" applyBorder="1" applyAlignment="1">
      <alignment horizontal="right" vertical="center"/>
    </xf>
    <xf numFmtId="164" fontId="2" fillId="2" borderId="6" xfId="0" applyNumberFormat="1" applyFont="1" applyFill="1" applyBorder="1" applyAlignment="1">
      <alignment horizontal="right" vertical="center"/>
    </xf>
    <xf numFmtId="164" fontId="2" fillId="2" borderId="5" xfId="0" applyNumberFormat="1" applyFont="1" applyFill="1" applyBorder="1" applyAlignment="1">
      <alignment horizontal="right" vertical="center"/>
    </xf>
    <xf numFmtId="164" fontId="3" fillId="2" borderId="9" xfId="0" applyNumberFormat="1" applyFont="1" applyFill="1" applyBorder="1"/>
    <xf numFmtId="164" fontId="3" fillId="2" borderId="7" xfId="0" applyNumberFormat="1" applyFont="1" applyFill="1" applyBorder="1"/>
    <xf numFmtId="37" fontId="1" fillId="2" borderId="14" xfId="0" applyNumberFormat="1" applyFont="1" applyFill="1" applyBorder="1" applyAlignment="1" applyProtection="1">
      <alignment horizontal="right" vertical="center"/>
    </xf>
    <xf numFmtId="37" fontId="1" fillId="2" borderId="25" xfId="0" applyNumberFormat="1" applyFont="1" applyFill="1" applyBorder="1" applyAlignment="1" applyProtection="1">
      <alignment horizontal="right" vertical="center"/>
    </xf>
    <xf numFmtId="37" fontId="1" fillId="2" borderId="26" xfId="0" applyNumberFormat="1" applyFont="1" applyFill="1" applyBorder="1" applyAlignment="1" applyProtection="1">
      <alignment horizontal="right" vertical="center"/>
    </xf>
    <xf numFmtId="37" fontId="12" fillId="2" borderId="21" xfId="0" applyNumberFormat="1" applyFont="1" applyFill="1" applyBorder="1" applyAlignment="1" applyProtection="1">
      <alignment horizontal="right" vertical="center"/>
    </xf>
    <xf numFmtId="37" fontId="12" fillId="2" borderId="25" xfId="0" applyNumberFormat="1" applyFont="1" applyFill="1" applyBorder="1" applyAlignment="1" applyProtection="1">
      <alignment horizontal="right" vertical="center"/>
    </xf>
    <xf numFmtId="37" fontId="12" fillId="2" borderId="26" xfId="0" applyNumberFormat="1" applyFont="1" applyFill="1" applyBorder="1" applyAlignment="1" applyProtection="1">
      <alignment horizontal="right" vertical="center"/>
    </xf>
    <xf numFmtId="37" fontId="12" fillId="2" borderId="15" xfId="0" applyNumberFormat="1" applyFont="1" applyFill="1" applyBorder="1" applyAlignment="1" applyProtection="1">
      <alignment horizontal="right" vertical="center"/>
    </xf>
    <xf numFmtId="164" fontId="0" fillId="2" borderId="25" xfId="0" applyNumberFormat="1" applyFont="1" applyFill="1" applyBorder="1" applyAlignment="1">
      <alignment horizontal="right" vertical="center"/>
    </xf>
    <xf numFmtId="164" fontId="0" fillId="2" borderId="26" xfId="0" applyNumberFormat="1" applyFont="1" applyFill="1" applyBorder="1" applyAlignment="1">
      <alignment horizontal="right" vertical="center"/>
    </xf>
    <xf numFmtId="164" fontId="9" fillId="2" borderId="25" xfId="0" applyNumberFormat="1" applyFont="1" applyFill="1" applyBorder="1" applyAlignment="1">
      <alignment horizontal="right" vertical="center"/>
    </xf>
    <xf numFmtId="164" fontId="9" fillId="2" borderId="26" xfId="0" applyNumberFormat="1" applyFont="1" applyFill="1" applyBorder="1" applyAlignment="1">
      <alignment horizontal="right" vertical="center"/>
    </xf>
    <xf numFmtId="164" fontId="9" fillId="2" borderId="15" xfId="0" applyNumberFormat="1" applyFont="1" applyFill="1" applyBorder="1" applyAlignment="1">
      <alignment horizontal="right" vertical="center"/>
    </xf>
    <xf numFmtId="164" fontId="3" fillId="2" borderId="2" xfId="0" applyNumberFormat="1" applyFont="1" applyFill="1" applyBorder="1" applyAlignment="1" applyProtection="1">
      <alignment horizontal="left" vertical="center" wrapText="1"/>
    </xf>
    <xf numFmtId="37" fontId="1" fillId="2" borderId="6" xfId="0" applyNumberFormat="1" applyFont="1" applyFill="1" applyBorder="1" applyAlignment="1" applyProtection="1">
      <alignment horizontal="right" vertical="center"/>
    </xf>
    <xf numFmtId="164" fontId="0" fillId="2" borderId="22" xfId="0" applyNumberFormat="1" applyFont="1" applyFill="1" applyBorder="1" applyAlignment="1">
      <alignment horizontal="right" vertical="center"/>
    </xf>
    <xf numFmtId="164" fontId="0" fillId="2" borderId="23" xfId="0" applyNumberFormat="1" applyFont="1" applyFill="1" applyBorder="1" applyAlignment="1">
      <alignment horizontal="right" vertical="center"/>
    </xf>
    <xf numFmtId="37" fontId="12" fillId="2" borderId="24" xfId="0" applyNumberFormat="1" applyFont="1" applyFill="1" applyBorder="1" applyAlignment="1" applyProtection="1">
      <alignment horizontal="right" vertical="center"/>
    </xf>
    <xf numFmtId="164" fontId="9" fillId="2" borderId="22" xfId="0" applyNumberFormat="1" applyFont="1" applyFill="1" applyBorder="1" applyAlignment="1">
      <alignment horizontal="right" vertical="center"/>
    </xf>
    <xf numFmtId="164" fontId="9" fillId="2" borderId="23" xfId="0" applyNumberFormat="1" applyFont="1" applyFill="1" applyBorder="1" applyAlignment="1">
      <alignment horizontal="right" vertical="center"/>
    </xf>
    <xf numFmtId="164" fontId="9" fillId="2" borderId="5" xfId="0" applyNumberFormat="1" applyFont="1" applyFill="1" applyBorder="1" applyAlignment="1">
      <alignment horizontal="right" vertical="center"/>
    </xf>
    <xf numFmtId="164" fontId="19" fillId="2" borderId="2" xfId="0" applyNumberFormat="1" applyFont="1" applyFill="1" applyBorder="1" applyAlignment="1">
      <alignment horizontal="right" vertical="center"/>
    </xf>
    <xf numFmtId="164" fontId="8" fillId="2" borderId="8" xfId="0" applyNumberFormat="1" applyFont="1" applyFill="1" applyBorder="1" applyAlignment="1" applyProtection="1">
      <alignment horizontal="left" vertical="center"/>
    </xf>
    <xf numFmtId="164" fontId="20" fillId="2" borderId="3" xfId="0" applyNumberFormat="1" applyFont="1" applyFill="1" applyBorder="1" applyAlignment="1">
      <alignment horizontal="center"/>
    </xf>
    <xf numFmtId="164" fontId="21" fillId="2" borderId="3" xfId="0" applyNumberFormat="1" applyFont="1" applyFill="1" applyBorder="1" applyAlignment="1">
      <alignment horizontal="center"/>
    </xf>
    <xf numFmtId="164" fontId="13" fillId="2" borderId="3" xfId="0" applyNumberFormat="1" applyFont="1" applyFill="1" applyBorder="1"/>
    <xf numFmtId="164" fontId="22" fillId="2" borderId="3" xfId="0" applyNumberFormat="1" applyFont="1" applyFill="1" applyBorder="1" applyAlignment="1">
      <alignment horizontal="right"/>
    </xf>
    <xf numFmtId="164" fontId="14" fillId="2" borderId="0" xfId="0" applyNumberFormat="1" applyFont="1" applyFill="1" applyBorder="1" applyAlignment="1">
      <alignment horizontal="right" vertical="center"/>
    </xf>
    <xf numFmtId="164" fontId="13" fillId="2" borderId="9" xfId="0" applyNumberFormat="1" applyFont="1" applyFill="1" applyBorder="1" applyAlignment="1" applyProtection="1">
      <alignment horizontal="left" vertical="center"/>
    </xf>
    <xf numFmtId="164" fontId="0" fillId="2" borderId="7" xfId="0" applyNumberFormat="1" applyFont="1" applyFill="1" applyBorder="1" applyAlignment="1">
      <alignment horizontal="center"/>
    </xf>
    <xf numFmtId="164" fontId="13" fillId="2" borderId="9" xfId="0" applyNumberFormat="1" applyFont="1" applyFill="1" applyBorder="1" applyAlignment="1" applyProtection="1">
      <alignment horizontal="left" vertical="center" wrapText="1"/>
    </xf>
    <xf numFmtId="164" fontId="2" fillId="2" borderId="0" xfId="0" applyNumberFormat="1" applyFont="1" applyFill="1" applyBorder="1" applyAlignment="1" applyProtection="1">
      <alignment horizontal="left" vertical="center"/>
    </xf>
    <xf numFmtId="164" fontId="0" fillId="2" borderId="28" xfId="0" applyNumberFormat="1" applyFill="1" applyBorder="1"/>
    <xf numFmtId="164" fontId="18" fillId="2" borderId="1" xfId="0" applyNumberFormat="1" applyFont="1" applyFill="1" applyBorder="1" applyAlignment="1">
      <alignment horizontal="center"/>
    </xf>
    <xf numFmtId="164" fontId="18" fillId="2" borderId="8" xfId="0" applyNumberFormat="1" applyFont="1" applyFill="1" applyBorder="1" applyAlignment="1">
      <alignment horizontal="center"/>
    </xf>
    <xf numFmtId="164" fontId="16" fillId="2" borderId="4" xfId="0" applyNumberFormat="1" applyFont="1" applyFill="1" applyBorder="1" applyAlignment="1" applyProtection="1">
      <alignment horizontal="center" vertical="center"/>
    </xf>
    <xf numFmtId="164" fontId="16" fillId="2" borderId="27" xfId="0" applyNumberFormat="1" applyFont="1" applyFill="1" applyBorder="1" applyAlignment="1" applyProtection="1">
      <alignment horizontal="center" vertical="center"/>
    </xf>
    <xf numFmtId="164" fontId="16" fillId="2" borderId="10" xfId="0" applyNumberFormat="1" applyFont="1" applyFill="1" applyBorder="1" applyAlignment="1" applyProtection="1">
      <alignment horizontal="center" vertical="center"/>
    </xf>
    <xf numFmtId="164" fontId="2" fillId="2" borderId="18" xfId="0" applyNumberFormat="1" applyFont="1" applyFill="1" applyBorder="1" applyAlignment="1" applyProtection="1">
      <alignment horizontal="left" vertical="center"/>
    </xf>
    <xf numFmtId="164" fontId="2" fillId="2" borderId="0" xfId="0" applyNumberFormat="1" applyFont="1" applyFill="1" applyBorder="1" applyAlignment="1" applyProtection="1">
      <alignment horizontal="left" vertical="center"/>
    </xf>
    <xf numFmtId="164" fontId="2" fillId="2" borderId="2" xfId="0" applyNumberFormat="1" applyFont="1" applyFill="1" applyBorder="1" applyAlignment="1" applyProtection="1">
      <alignment horizontal="left" vertical="center"/>
    </xf>
    <xf numFmtId="164" fontId="10" fillId="2" borderId="18" xfId="0" applyNumberFormat="1" applyFont="1" applyFill="1" applyBorder="1" applyAlignment="1" applyProtection="1">
      <alignment horizontal="center" vertical="center"/>
    </xf>
    <xf numFmtId="164" fontId="10" fillId="2" borderId="12" xfId="0" applyNumberFormat="1" applyFont="1" applyFill="1" applyBorder="1" applyAlignment="1" applyProtection="1">
      <alignment horizontal="center" vertical="center"/>
    </xf>
    <xf numFmtId="164" fontId="10" fillId="2" borderId="16" xfId="0" applyNumberFormat="1" applyFont="1" applyFill="1" applyBorder="1" applyAlignment="1" applyProtection="1">
      <alignment horizontal="center" vertical="center"/>
    </xf>
    <xf numFmtId="164" fontId="10" fillId="2" borderId="19" xfId="0" applyNumberFormat="1" applyFont="1" applyFill="1" applyBorder="1" applyAlignment="1" applyProtection="1">
      <alignment horizontal="center" vertical="center"/>
    </xf>
    <xf numFmtId="164" fontId="15" fillId="2" borderId="11" xfId="0" applyNumberFormat="1" applyFont="1" applyFill="1" applyBorder="1" applyAlignment="1" applyProtection="1">
      <alignment horizontal="center" vertical="center"/>
    </xf>
    <xf numFmtId="164" fontId="15" fillId="2" borderId="18" xfId="0" applyNumberFormat="1" applyFont="1" applyFill="1" applyBorder="1" applyAlignment="1" applyProtection="1">
      <alignment horizontal="center" vertical="center"/>
    </xf>
    <xf numFmtId="164" fontId="15" fillId="2" borderId="12" xfId="0" applyNumberFormat="1" applyFont="1" applyFill="1" applyBorder="1" applyAlignment="1" applyProtection="1">
      <alignment horizontal="center" vertical="center"/>
    </xf>
    <xf numFmtId="164" fontId="15" fillId="2" borderId="20" xfId="0" applyNumberFormat="1" applyFont="1" applyFill="1" applyBorder="1" applyAlignment="1" applyProtection="1">
      <alignment horizontal="center" vertical="center"/>
    </xf>
    <xf numFmtId="164" fontId="15" fillId="2" borderId="16" xfId="0" applyNumberFormat="1" applyFont="1" applyFill="1" applyBorder="1" applyAlignment="1" applyProtection="1">
      <alignment horizontal="center" vertical="center"/>
    </xf>
    <xf numFmtId="164" fontId="15" fillId="2" borderId="19" xfId="0" applyNumberFormat="1" applyFont="1" applyFill="1" applyBorder="1" applyAlignment="1" applyProtection="1">
      <alignment horizontal="center" vertical="center"/>
    </xf>
    <xf numFmtId="164" fontId="19" fillId="2" borderId="18" xfId="0" applyNumberFormat="1" applyFont="1" applyFill="1" applyBorder="1" applyAlignment="1">
      <alignment horizontal="center" vertical="center"/>
    </xf>
    <xf numFmtId="164" fontId="19" fillId="2" borderId="0" xfId="0" applyNumberFormat="1" applyFont="1" applyFill="1" applyBorder="1" applyAlignment="1">
      <alignment horizontal="center" vertical="center"/>
    </xf>
    <xf numFmtId="164" fontId="19" fillId="2" borderId="2" xfId="0" applyNumberFormat="1" applyFont="1" applyFill="1" applyBorder="1" applyAlignment="1">
      <alignment horizontal="center" vertical="center"/>
    </xf>
    <xf numFmtId="164" fontId="3" fillId="2" borderId="28" xfId="0" applyNumberFormat="1" applyFont="1" applyFill="1" applyBorder="1"/>
  </cellXfs>
  <cellStyles count="6">
    <cellStyle name="Comma 2" xfId="1"/>
    <cellStyle name="Heading 1 2" xfId="4"/>
    <cellStyle name="Normal" xfId="0" builtinId="0"/>
    <cellStyle name="Normal 2" xfId="5"/>
    <cellStyle name="Normal 3" xfId="3"/>
    <cellStyle name="Percent 2" xfId="2"/>
  </cellStyles>
  <dxfs count="0"/>
  <tableStyles count="0" defaultTableStyle="TableStyleMedium2" defaultPivotStyle="PivotStyleLight16"/>
  <colors>
    <mruColors>
      <color rgb="FF663300"/>
      <color rgb="FFCF9F6F"/>
      <color rgb="FFDDBA97"/>
      <color rgb="FF996633"/>
      <color rgb="FF7B5229"/>
      <color rgb="FFFAF5F0"/>
      <color rgb="FFF5EADF"/>
      <color rgb="FFF1E2D3"/>
      <color rgb="FFFFC58B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3962264150943396E-2"/>
          <c:y val="0.14605498902801084"/>
          <c:w val="0.93104273575301755"/>
          <c:h val="0.713946559958693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'8.32'!$R$6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996633"/>
            </a:solidFill>
          </c:spPr>
          <c:invertIfNegative val="0"/>
          <c:cat>
            <c:strRef>
              <c:f>'8.32'!$A$9:$A$15</c:f>
              <c:strCache>
                <c:ptCount val="7"/>
                <c:pt idx="0">
                  <c:v>15 - 19</c:v>
                </c:pt>
                <c:pt idx="1">
                  <c:v>20 - 24</c:v>
                </c:pt>
                <c:pt idx="2">
                  <c:v>25 - 29</c:v>
                </c:pt>
                <c:pt idx="3">
                  <c:v>30 - 34</c:v>
                </c:pt>
                <c:pt idx="4">
                  <c:v>35 - 39</c:v>
                </c:pt>
                <c:pt idx="5">
                  <c:v>40 - 49</c:v>
                </c:pt>
                <c:pt idx="6">
                  <c:v>50 &amp; Over</c:v>
                </c:pt>
              </c:strCache>
            </c:strRef>
          </c:cat>
          <c:val>
            <c:numRef>
              <c:f>'8.32'!$R$9:$R$15</c:f>
              <c:numCache>
                <c:formatCode>General_)</c:formatCode>
                <c:ptCount val="7"/>
                <c:pt idx="0">
                  <c:v>7</c:v>
                </c:pt>
                <c:pt idx="1">
                  <c:v>135</c:v>
                </c:pt>
                <c:pt idx="2">
                  <c:v>256</c:v>
                </c:pt>
                <c:pt idx="3">
                  <c:v>282</c:v>
                </c:pt>
                <c:pt idx="4">
                  <c:v>222</c:v>
                </c:pt>
                <c:pt idx="5">
                  <c:v>174</c:v>
                </c:pt>
                <c:pt idx="6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6A-4C44-A6C2-AC1926B2A820}"/>
            </c:ext>
          </c:extLst>
        </c:ser>
        <c:ser>
          <c:idx val="1"/>
          <c:order val="1"/>
          <c:tx>
            <c:strRef>
              <c:f>'8.32'!$S$6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DDBA97"/>
            </a:solidFill>
          </c:spPr>
          <c:invertIfNegative val="0"/>
          <c:cat>
            <c:strRef>
              <c:f>'8.32'!$A$9:$A$15</c:f>
              <c:strCache>
                <c:ptCount val="7"/>
                <c:pt idx="0">
                  <c:v>15 - 19</c:v>
                </c:pt>
                <c:pt idx="1">
                  <c:v>20 - 24</c:v>
                </c:pt>
                <c:pt idx="2">
                  <c:v>25 - 29</c:v>
                </c:pt>
                <c:pt idx="3">
                  <c:v>30 - 34</c:v>
                </c:pt>
                <c:pt idx="4">
                  <c:v>35 - 39</c:v>
                </c:pt>
                <c:pt idx="5">
                  <c:v>40 - 49</c:v>
                </c:pt>
                <c:pt idx="6">
                  <c:v>50 &amp; Over</c:v>
                </c:pt>
              </c:strCache>
            </c:strRef>
          </c:cat>
          <c:val>
            <c:numRef>
              <c:f>'8.32'!$S$9:$S$15</c:f>
              <c:numCache>
                <c:formatCode>General_)</c:formatCode>
                <c:ptCount val="7"/>
                <c:pt idx="0">
                  <c:v>0</c:v>
                </c:pt>
                <c:pt idx="1">
                  <c:v>14</c:v>
                </c:pt>
                <c:pt idx="2">
                  <c:v>9</c:v>
                </c:pt>
                <c:pt idx="3">
                  <c:v>11</c:v>
                </c:pt>
                <c:pt idx="4">
                  <c:v>6</c:v>
                </c:pt>
                <c:pt idx="5">
                  <c:v>16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6A-4C44-A6C2-AC1926B2A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7351000"/>
        <c:axId val="367354528"/>
      </c:barChart>
      <c:catAx>
        <c:axId val="367351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endParaRPr lang="en-US"/>
          </a:p>
        </c:txPr>
        <c:crossAx val="3673545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67354528"/>
        <c:scaling>
          <c:orientation val="minMax"/>
        </c:scaling>
        <c:delete val="0"/>
        <c:axPos val="l"/>
        <c:majorGridlines>
          <c:spPr>
            <a:ln w="3175">
              <a:solidFill>
                <a:srgbClr val="DDBA97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080108103054644E-3"/>
              <c:y val="6.9979041767531988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7351000"/>
        <c:crosses val="autoZero"/>
        <c:crossBetween val="between"/>
      </c:valAx>
      <c:spPr>
        <a:solidFill>
          <a:srgbClr val="F5EADF"/>
        </a:solidFill>
        <a:ln w="9525">
          <a:solidFill>
            <a:schemeClr val="bg1">
              <a:lumMod val="65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838013293926183"/>
          <c:y val="0.27625935646933025"/>
          <c:w val="0.18775675866996563"/>
          <c:h val="8.242377110268624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718449256342959E-2"/>
          <c:y val="0.14850721784776902"/>
          <c:w val="0.89521740015056261"/>
          <c:h val="0.735512904636920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'8.32'!$AJ$14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996633"/>
            </a:solidFill>
          </c:spPr>
          <c:invertIfNegative val="0"/>
          <c:cat>
            <c:numRef>
              <c:f>'8.32'!$AH$15:$AH$20</c:f>
              <c:numCache>
                <c:formatCode>General_)</c:formatCod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cat>
          <c:val>
            <c:numRef>
              <c:f>'8.32'!$AJ$15:$AJ$20</c:f>
              <c:numCache>
                <c:formatCode>General_)</c:formatCode>
                <c:ptCount val="6"/>
                <c:pt idx="0">
                  <c:v>342</c:v>
                </c:pt>
                <c:pt idx="1">
                  <c:v>302</c:v>
                </c:pt>
                <c:pt idx="2">
                  <c:v>752</c:v>
                </c:pt>
                <c:pt idx="3">
                  <c:v>1058</c:v>
                </c:pt>
                <c:pt idx="4">
                  <c:v>1189</c:v>
                </c:pt>
                <c:pt idx="5">
                  <c:v>1182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A-4B3B-9C0F-07A089208746}"/>
            </c:ext>
          </c:extLst>
        </c:ser>
        <c:ser>
          <c:idx val="1"/>
          <c:order val="1"/>
          <c:tx>
            <c:strRef>
              <c:f>'8.32'!$AK$14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DDBA97"/>
            </a:solidFill>
          </c:spPr>
          <c:invertIfNegative val="0"/>
          <c:cat>
            <c:numRef>
              <c:f>'8.32'!$AH$15:$AH$20</c:f>
              <c:numCache>
                <c:formatCode>General_)</c:formatCod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cat>
          <c:val>
            <c:numRef>
              <c:f>'8.32'!$AK$15:$AK$20</c:f>
              <c:numCache>
                <c:formatCode>General_)</c:formatCode>
                <c:ptCount val="6"/>
                <c:pt idx="0">
                  <c:v>59</c:v>
                </c:pt>
                <c:pt idx="1">
                  <c:v>56</c:v>
                </c:pt>
                <c:pt idx="2">
                  <c:v>76</c:v>
                </c:pt>
                <c:pt idx="3">
                  <c:v>66</c:v>
                </c:pt>
                <c:pt idx="4">
                  <c:v>73</c:v>
                </c:pt>
                <c:pt idx="5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5A-4B3B-9C0F-07A089208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7353352"/>
        <c:axId val="367352960"/>
      </c:barChart>
      <c:catAx>
        <c:axId val="367353352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367352960"/>
        <c:crosses val="autoZero"/>
        <c:auto val="1"/>
        <c:lblAlgn val="ctr"/>
        <c:lblOffset val="100"/>
        <c:noMultiLvlLbl val="0"/>
      </c:catAx>
      <c:valAx>
        <c:axId val="367352960"/>
        <c:scaling>
          <c:orientation val="minMax"/>
        </c:scaling>
        <c:delete val="0"/>
        <c:axPos val="l"/>
        <c:majorGridlines>
          <c:spPr>
            <a:ln>
              <a:solidFill>
                <a:srgbClr val="DDBA97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367353352"/>
        <c:crosses val="autoZero"/>
        <c:crossBetween val="between"/>
      </c:valAx>
      <c:spPr>
        <a:solidFill>
          <a:srgbClr val="F5EADF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080050458808928"/>
          <c:y val="0.26278953150025575"/>
          <c:w val="0.23479419723697328"/>
          <c:h val="9.3744167395742192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361951</xdr:colOff>
      <xdr:row>16</xdr:row>
      <xdr:rowOff>197671</xdr:rowOff>
    </xdr:from>
    <xdr:to>
      <xdr:col>10</xdr:col>
      <xdr:colOff>390526</xdr:colOff>
      <xdr:row>31</xdr:row>
      <xdr:rowOff>66675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619125</xdr:colOff>
      <xdr:row>16</xdr:row>
      <xdr:rowOff>190499</xdr:rowOff>
    </xdr:from>
    <xdr:to>
      <xdr:col>19</xdr:col>
      <xdr:colOff>876299</xdr:colOff>
      <xdr:row>31</xdr:row>
      <xdr:rowOff>76199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609600</xdr:colOff>
      <xdr:row>17</xdr:row>
      <xdr:rowOff>60685</xdr:rowOff>
    </xdr:from>
    <xdr:to>
      <xdr:col>18</xdr:col>
      <xdr:colOff>637397</xdr:colOff>
      <xdr:row>18</xdr:row>
      <xdr:rowOff>120151</xdr:rowOff>
    </xdr:to>
    <xdr:sp macro="" textlink="">
      <xdr:nvSpPr>
        <xdr:cNvPr id="5" name="TextBox 4"/>
        <xdr:cNvSpPr txBox="1"/>
      </xdr:nvSpPr>
      <xdr:spPr>
        <a:xfrm>
          <a:off x="8801100" y="4127860"/>
          <a:ext cx="3971147" cy="2785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Figure 8.52: </a:t>
          </a:r>
          <a:r>
            <a:rPr lang="en-US" sz="11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Persons sentenced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by  sex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locality, 2014 -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2019</a:t>
          </a:r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0.16393</cdr:x>
      <cdr:y>0.01619</cdr:y>
    </cdr:from>
    <cdr:to>
      <cdr:x>0.83747</cdr:x>
      <cdr:y>0.1017</cdr:y>
    </cdr:to>
    <cdr:sp macro="" textlink="">
      <cdr:nvSpPr>
        <cdr:cNvPr id="1024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76300" y="49979"/>
          <a:ext cx="3600450" cy="2638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sz="1050" b="1" i="0" strike="noStrike">
              <a:solidFill>
                <a:schemeClr val="tx1"/>
              </a:solidFill>
              <a:latin typeface="+mn-lt"/>
              <a:cs typeface="Arial"/>
            </a:rPr>
            <a:t>Figure 8.51:  </a:t>
          </a:r>
          <a:r>
            <a:rPr lang="en-US" sz="1050" b="1" i="0" strike="noStrike">
              <a:solidFill>
                <a:srgbClr val="000000"/>
              </a:solidFill>
              <a:latin typeface="+mn-lt"/>
              <a:cs typeface="Arial"/>
            </a:rPr>
            <a:t>Persons sentenced, by age group and sex, 2019</a:t>
          </a:r>
          <a:endParaRPr lang="en-US" sz="1000" b="1" i="0" strike="noStrike">
            <a:solidFill>
              <a:srgbClr val="000000"/>
            </a:solidFill>
            <a:latin typeface="+mn-lt"/>
            <a:cs typeface="Arial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6"/>
  <sheetViews>
    <sheetView tabSelected="1" zoomScaleNormal="100" workbookViewId="0">
      <selection activeCell="X1" sqref="X1:AB1048576"/>
    </sheetView>
  </sheetViews>
  <sheetFormatPr defaultColWidth="17.28515625" defaultRowHeight="15"/>
  <cols>
    <col min="1" max="1" width="14.42578125" style="5" customWidth="1"/>
    <col min="2" max="4" width="9.85546875" style="48" customWidth="1"/>
    <col min="5" max="19" width="9.85546875" style="4" customWidth="1"/>
    <col min="20" max="20" width="19.85546875" style="4" customWidth="1"/>
    <col min="21" max="21" width="1.5703125" style="4" customWidth="1"/>
    <col min="22" max="23" width="17.28515625" style="4"/>
    <col min="24" max="28" width="17.28515625" style="51"/>
    <col min="29" max="29" width="12.85546875" style="4" customWidth="1"/>
    <col min="30" max="31" width="4.85546875" style="4" customWidth="1"/>
    <col min="32" max="33" width="17.28515625" style="4"/>
    <col min="34" max="37" width="8.28515625" style="4" customWidth="1"/>
    <col min="38" max="16384" width="17.28515625" style="4"/>
  </cols>
  <sheetData>
    <row r="1" spans="1:37" ht="19.5">
      <c r="A1" s="52" t="s">
        <v>29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3"/>
    </row>
    <row r="2" spans="1:37" ht="26.25" customHeight="1">
      <c r="A2" s="54" t="s">
        <v>28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55"/>
      <c r="S2" s="55"/>
      <c r="T2" s="56"/>
    </row>
    <row r="3" spans="1:37" ht="12.75" customHeight="1">
      <c r="A3" s="57" t="s">
        <v>3</v>
      </c>
      <c r="B3" s="60">
        <v>2014</v>
      </c>
      <c r="C3" s="60"/>
      <c r="D3" s="61"/>
      <c r="E3" s="64">
        <v>2015</v>
      </c>
      <c r="F3" s="65"/>
      <c r="G3" s="66"/>
      <c r="H3" s="64">
        <v>2016</v>
      </c>
      <c r="I3" s="65"/>
      <c r="J3" s="65"/>
      <c r="K3" s="64">
        <v>2017</v>
      </c>
      <c r="L3" s="65"/>
      <c r="M3" s="65"/>
      <c r="N3" s="64">
        <v>2018</v>
      </c>
      <c r="O3" s="65"/>
      <c r="P3" s="65"/>
      <c r="Q3" s="64">
        <v>2019</v>
      </c>
      <c r="R3" s="65"/>
      <c r="S3" s="65"/>
      <c r="T3" s="70" t="s">
        <v>4</v>
      </c>
      <c r="U3" s="5"/>
    </row>
    <row r="4" spans="1:37" ht="6.75" customHeight="1">
      <c r="A4" s="58"/>
      <c r="B4" s="62"/>
      <c r="C4" s="62"/>
      <c r="D4" s="63"/>
      <c r="E4" s="67"/>
      <c r="F4" s="68"/>
      <c r="G4" s="69"/>
      <c r="H4" s="67"/>
      <c r="I4" s="68"/>
      <c r="J4" s="68"/>
      <c r="K4" s="67"/>
      <c r="L4" s="68"/>
      <c r="M4" s="68"/>
      <c r="N4" s="67"/>
      <c r="O4" s="68"/>
      <c r="P4" s="68"/>
      <c r="Q4" s="67"/>
      <c r="R4" s="68"/>
      <c r="S4" s="68"/>
      <c r="T4" s="71"/>
      <c r="U4" s="5"/>
    </row>
    <row r="5" spans="1:37" ht="21" customHeight="1">
      <c r="A5" s="58"/>
      <c r="B5" s="6" t="s">
        <v>5</v>
      </c>
      <c r="C5" s="6" t="s">
        <v>6</v>
      </c>
      <c r="D5" s="7" t="s">
        <v>7</v>
      </c>
      <c r="E5" s="8" t="s">
        <v>5</v>
      </c>
      <c r="F5" s="6" t="s">
        <v>6</v>
      </c>
      <c r="G5" s="7" t="s">
        <v>7</v>
      </c>
      <c r="H5" s="8" t="s">
        <v>5</v>
      </c>
      <c r="I5" s="6" t="s">
        <v>6</v>
      </c>
      <c r="J5" s="7" t="s">
        <v>7</v>
      </c>
      <c r="K5" s="6" t="s">
        <v>5</v>
      </c>
      <c r="L5" s="6" t="s">
        <v>6</v>
      </c>
      <c r="M5" s="9" t="s">
        <v>7</v>
      </c>
      <c r="N5" s="8" t="s">
        <v>5</v>
      </c>
      <c r="O5" s="6" t="s">
        <v>6</v>
      </c>
      <c r="P5" s="9" t="s">
        <v>7</v>
      </c>
      <c r="Q5" s="8" t="s">
        <v>5</v>
      </c>
      <c r="R5" s="6" t="s">
        <v>6</v>
      </c>
      <c r="S5" s="9" t="s">
        <v>7</v>
      </c>
      <c r="T5" s="71"/>
      <c r="U5" s="5"/>
    </row>
    <row r="6" spans="1:37" s="19" customFormat="1" ht="12.75">
      <c r="A6" s="59"/>
      <c r="B6" s="10" t="s">
        <v>2</v>
      </c>
      <c r="C6" s="11" t="s">
        <v>0</v>
      </c>
      <c r="D6" s="12" t="s">
        <v>1</v>
      </c>
      <c r="E6" s="13" t="s">
        <v>2</v>
      </c>
      <c r="F6" s="14" t="s">
        <v>0</v>
      </c>
      <c r="G6" s="15" t="s">
        <v>1</v>
      </c>
      <c r="H6" s="13" t="s">
        <v>2</v>
      </c>
      <c r="I6" s="14" t="s">
        <v>0</v>
      </c>
      <c r="J6" s="15" t="s">
        <v>1</v>
      </c>
      <c r="K6" s="16" t="s">
        <v>2</v>
      </c>
      <c r="L6" s="14" t="s">
        <v>0</v>
      </c>
      <c r="M6" s="17" t="s">
        <v>1</v>
      </c>
      <c r="N6" s="13" t="s">
        <v>2</v>
      </c>
      <c r="O6" s="14" t="s">
        <v>0</v>
      </c>
      <c r="P6" s="17" t="s">
        <v>1</v>
      </c>
      <c r="Q6" s="13" t="s">
        <v>2</v>
      </c>
      <c r="R6" s="14" t="s">
        <v>0</v>
      </c>
      <c r="S6" s="17" t="s">
        <v>1</v>
      </c>
      <c r="T6" s="72"/>
      <c r="U6" s="18"/>
      <c r="X6" s="73"/>
      <c r="Y6" s="73"/>
      <c r="Z6" s="73"/>
      <c r="AA6" s="73"/>
      <c r="AB6" s="73"/>
    </row>
    <row r="7" spans="1:37" s="19" customFormat="1" ht="14.25" customHeight="1">
      <c r="A7" s="50" t="s">
        <v>8</v>
      </c>
      <c r="B7" s="20">
        <f>C7+D7</f>
        <v>401</v>
      </c>
      <c r="C7" s="21">
        <f>SUM(C8:C15)</f>
        <v>342</v>
      </c>
      <c r="D7" s="22">
        <f>SUM(D8:D15)</f>
        <v>59</v>
      </c>
      <c r="E7" s="23">
        <f>SUM(F7:G7)</f>
        <v>358</v>
      </c>
      <c r="F7" s="24">
        <f>SUM(F8:F15)</f>
        <v>302</v>
      </c>
      <c r="G7" s="25">
        <f>SUM(G8:G15)</f>
        <v>56</v>
      </c>
      <c r="H7" s="23">
        <f>I7+J7</f>
        <v>828</v>
      </c>
      <c r="I7" s="24">
        <f>SUM(I8:I15)</f>
        <v>752</v>
      </c>
      <c r="J7" s="26">
        <f>SUM(J8:J15)</f>
        <v>76</v>
      </c>
      <c r="K7" s="23">
        <f>L7+M7</f>
        <v>1124</v>
      </c>
      <c r="L7" s="24">
        <f>SUM(L8:L15)</f>
        <v>1058</v>
      </c>
      <c r="M7" s="26">
        <f>SUM(M8:M15)</f>
        <v>66</v>
      </c>
      <c r="N7" s="23">
        <f>O7+P7</f>
        <v>1262</v>
      </c>
      <c r="O7" s="24">
        <f>SUM(O8:O15)</f>
        <v>1189</v>
      </c>
      <c r="P7" s="26">
        <f>SUM(P8:P15)</f>
        <v>73</v>
      </c>
      <c r="Q7" s="23">
        <f>R7+S7</f>
        <v>1241</v>
      </c>
      <c r="R7" s="24">
        <f>SUM(R8:R15)</f>
        <v>1182</v>
      </c>
      <c r="S7" s="26">
        <f>SUM(S8:S15)</f>
        <v>59</v>
      </c>
      <c r="T7" s="9" t="s">
        <v>9</v>
      </c>
      <c r="U7" s="18"/>
      <c r="X7" s="73"/>
      <c r="Y7" s="73"/>
      <c r="Z7" s="73"/>
      <c r="AA7" s="73"/>
      <c r="AB7" s="73"/>
    </row>
    <row r="8" spans="1:37" s="19" customFormat="1" ht="21" hidden="1" customHeight="1">
      <c r="A8" s="1" t="s">
        <v>10</v>
      </c>
      <c r="B8" s="20">
        <f>C8+D8</f>
        <v>0</v>
      </c>
      <c r="C8" s="27">
        <v>0</v>
      </c>
      <c r="D8" s="28">
        <v>0</v>
      </c>
      <c r="E8" s="23">
        <f>F8+G8</f>
        <v>0</v>
      </c>
      <c r="F8" s="29">
        <v>0</v>
      </c>
      <c r="G8" s="30">
        <v>0</v>
      </c>
      <c r="H8" s="23">
        <f>I8+J8</f>
        <v>0</v>
      </c>
      <c r="I8" s="29">
        <v>0</v>
      </c>
      <c r="J8" s="31">
        <v>0</v>
      </c>
      <c r="K8" s="23">
        <f>L8+M8</f>
        <v>0</v>
      </c>
      <c r="L8" s="29">
        <v>0</v>
      </c>
      <c r="M8" s="31">
        <v>0</v>
      </c>
      <c r="N8" s="23">
        <f>O8+P8</f>
        <v>0</v>
      </c>
      <c r="O8" s="29">
        <v>0</v>
      </c>
      <c r="P8" s="31">
        <v>0</v>
      </c>
      <c r="Q8" s="23">
        <f>R8+S8</f>
        <v>0</v>
      </c>
      <c r="R8" s="29">
        <v>0</v>
      </c>
      <c r="S8" s="31">
        <v>0</v>
      </c>
      <c r="T8" s="9" t="s">
        <v>11</v>
      </c>
      <c r="U8" s="18"/>
      <c r="X8" s="73"/>
      <c r="Y8" s="73"/>
      <c r="Z8" s="73"/>
      <c r="AA8" s="73"/>
      <c r="AB8" s="73"/>
    </row>
    <row r="9" spans="1:37" s="19" customFormat="1" ht="26.25" customHeight="1">
      <c r="A9" s="3" t="s">
        <v>12</v>
      </c>
      <c r="B9" s="20">
        <f t="shared" ref="B9:B15" si="0">C9+D9</f>
        <v>15</v>
      </c>
      <c r="C9" s="27">
        <v>8</v>
      </c>
      <c r="D9" s="28">
        <v>7</v>
      </c>
      <c r="E9" s="23">
        <f t="shared" ref="E9:E15" si="1">F9+G9</f>
        <v>18</v>
      </c>
      <c r="F9" s="29">
        <v>8</v>
      </c>
      <c r="G9" s="30">
        <v>10</v>
      </c>
      <c r="H9" s="23">
        <f t="shared" ref="H9:H15" si="2">I9+J9</f>
        <v>42</v>
      </c>
      <c r="I9" s="29">
        <v>34</v>
      </c>
      <c r="J9" s="31">
        <v>8</v>
      </c>
      <c r="K9" s="23">
        <f t="shared" ref="K9:K15" si="3">L9+M9</f>
        <v>77</v>
      </c>
      <c r="L9" s="29">
        <v>73</v>
      </c>
      <c r="M9" s="31">
        <v>4</v>
      </c>
      <c r="N9" s="23">
        <f t="shared" ref="N9:N15" si="4">O9+P9</f>
        <v>3</v>
      </c>
      <c r="O9" s="29">
        <v>3</v>
      </c>
      <c r="P9" s="31">
        <v>0</v>
      </c>
      <c r="Q9" s="23">
        <f t="shared" ref="Q9:Q15" si="5">R9+S9</f>
        <v>7</v>
      </c>
      <c r="R9" s="29">
        <v>7</v>
      </c>
      <c r="S9" s="31">
        <v>0</v>
      </c>
      <c r="T9" s="2" t="s">
        <v>13</v>
      </c>
      <c r="U9" s="18"/>
      <c r="X9" s="73"/>
      <c r="Y9" s="73"/>
      <c r="Z9" s="73"/>
      <c r="AA9" s="73"/>
      <c r="AB9" s="73"/>
    </row>
    <row r="10" spans="1:37" s="19" customFormat="1" ht="26.25" customHeight="1">
      <c r="A10" s="3" t="s">
        <v>14</v>
      </c>
      <c r="B10" s="20">
        <f t="shared" si="0"/>
        <v>76</v>
      </c>
      <c r="C10" s="27">
        <v>62</v>
      </c>
      <c r="D10" s="28">
        <v>14</v>
      </c>
      <c r="E10" s="23">
        <f t="shared" si="1"/>
        <v>49</v>
      </c>
      <c r="F10" s="29">
        <v>37</v>
      </c>
      <c r="G10" s="30">
        <v>12</v>
      </c>
      <c r="H10" s="23">
        <f t="shared" si="2"/>
        <v>186</v>
      </c>
      <c r="I10" s="29">
        <v>161</v>
      </c>
      <c r="J10" s="31">
        <v>25</v>
      </c>
      <c r="K10" s="23">
        <f t="shared" si="3"/>
        <v>221</v>
      </c>
      <c r="L10" s="29">
        <v>205</v>
      </c>
      <c r="M10" s="31">
        <v>16</v>
      </c>
      <c r="N10" s="23">
        <f t="shared" si="4"/>
        <v>101</v>
      </c>
      <c r="O10" s="29">
        <v>93</v>
      </c>
      <c r="P10" s="31">
        <v>8</v>
      </c>
      <c r="Q10" s="23">
        <f t="shared" si="5"/>
        <v>149</v>
      </c>
      <c r="R10" s="29">
        <v>135</v>
      </c>
      <c r="S10" s="31">
        <v>14</v>
      </c>
      <c r="T10" s="2" t="s">
        <v>15</v>
      </c>
      <c r="U10" s="18"/>
      <c r="X10" s="73"/>
      <c r="Y10" s="73"/>
      <c r="Z10" s="73"/>
      <c r="AA10" s="73"/>
      <c r="AB10" s="73"/>
    </row>
    <row r="11" spans="1:37" s="19" customFormat="1" ht="26.25" customHeight="1">
      <c r="A11" s="3" t="s">
        <v>16</v>
      </c>
      <c r="B11" s="20">
        <f t="shared" si="0"/>
        <v>79</v>
      </c>
      <c r="C11" s="27">
        <v>65</v>
      </c>
      <c r="D11" s="28">
        <v>14</v>
      </c>
      <c r="E11" s="23">
        <f t="shared" si="1"/>
        <v>79</v>
      </c>
      <c r="F11" s="29">
        <v>65</v>
      </c>
      <c r="G11" s="30">
        <v>14</v>
      </c>
      <c r="H11" s="23">
        <f t="shared" si="2"/>
        <v>204</v>
      </c>
      <c r="I11" s="29">
        <v>185</v>
      </c>
      <c r="J11" s="31">
        <v>19</v>
      </c>
      <c r="K11" s="23">
        <f t="shared" si="3"/>
        <v>279</v>
      </c>
      <c r="L11" s="29">
        <v>260</v>
      </c>
      <c r="M11" s="31">
        <v>19</v>
      </c>
      <c r="N11" s="23">
        <f t="shared" si="4"/>
        <v>254</v>
      </c>
      <c r="O11" s="29">
        <v>240</v>
      </c>
      <c r="P11" s="31">
        <v>14</v>
      </c>
      <c r="Q11" s="23">
        <f t="shared" si="5"/>
        <v>265</v>
      </c>
      <c r="R11" s="29">
        <v>256</v>
      </c>
      <c r="S11" s="31">
        <v>9</v>
      </c>
      <c r="T11" s="2" t="s">
        <v>17</v>
      </c>
      <c r="U11" s="18"/>
      <c r="X11" s="73"/>
      <c r="Y11" s="73"/>
      <c r="Z11" s="73"/>
      <c r="AA11" s="73"/>
      <c r="AB11" s="73"/>
    </row>
    <row r="12" spans="1:37" s="19" customFormat="1" ht="26.25" customHeight="1">
      <c r="A12" s="3" t="s">
        <v>18</v>
      </c>
      <c r="B12" s="20">
        <f t="shared" si="0"/>
        <v>74</v>
      </c>
      <c r="C12" s="27">
        <v>66</v>
      </c>
      <c r="D12" s="28">
        <v>8</v>
      </c>
      <c r="E12" s="23">
        <f t="shared" si="1"/>
        <v>78</v>
      </c>
      <c r="F12" s="29">
        <v>66</v>
      </c>
      <c r="G12" s="30">
        <v>12</v>
      </c>
      <c r="H12" s="23">
        <f t="shared" si="2"/>
        <v>162</v>
      </c>
      <c r="I12" s="29">
        <v>157</v>
      </c>
      <c r="J12" s="31">
        <v>5</v>
      </c>
      <c r="K12" s="23">
        <f t="shared" si="3"/>
        <v>214</v>
      </c>
      <c r="L12" s="29">
        <v>209</v>
      </c>
      <c r="M12" s="31">
        <v>5</v>
      </c>
      <c r="N12" s="23">
        <f t="shared" si="4"/>
        <v>282</v>
      </c>
      <c r="O12" s="29">
        <v>273</v>
      </c>
      <c r="P12" s="31">
        <v>9</v>
      </c>
      <c r="Q12" s="23">
        <f t="shared" si="5"/>
        <v>293</v>
      </c>
      <c r="R12" s="29">
        <v>282</v>
      </c>
      <c r="S12" s="31">
        <v>11</v>
      </c>
      <c r="T12" s="2" t="s">
        <v>19</v>
      </c>
      <c r="U12" s="18"/>
      <c r="X12" s="73"/>
      <c r="Y12" s="73"/>
      <c r="Z12" s="73"/>
      <c r="AA12" s="73"/>
      <c r="AB12" s="73"/>
    </row>
    <row r="13" spans="1:37" s="19" customFormat="1" ht="26.25" customHeight="1">
      <c r="A13" s="3" t="s">
        <v>20</v>
      </c>
      <c r="B13" s="20">
        <f t="shared" si="0"/>
        <v>58</v>
      </c>
      <c r="C13" s="27">
        <v>48</v>
      </c>
      <c r="D13" s="28">
        <v>10</v>
      </c>
      <c r="E13" s="23">
        <f t="shared" si="1"/>
        <v>55</v>
      </c>
      <c r="F13" s="29">
        <v>53</v>
      </c>
      <c r="G13" s="30">
        <v>2</v>
      </c>
      <c r="H13" s="23">
        <f t="shared" si="2"/>
        <v>92</v>
      </c>
      <c r="I13" s="29">
        <v>80</v>
      </c>
      <c r="J13" s="31">
        <v>12</v>
      </c>
      <c r="K13" s="23">
        <f t="shared" si="3"/>
        <v>159</v>
      </c>
      <c r="L13" s="29">
        <v>146</v>
      </c>
      <c r="M13" s="31">
        <v>13</v>
      </c>
      <c r="N13" s="23">
        <f t="shared" si="4"/>
        <v>264</v>
      </c>
      <c r="O13" s="29">
        <v>254</v>
      </c>
      <c r="P13" s="31">
        <v>10</v>
      </c>
      <c r="Q13" s="23">
        <f t="shared" si="5"/>
        <v>228</v>
      </c>
      <c r="R13" s="29">
        <v>222</v>
      </c>
      <c r="S13" s="31">
        <v>6</v>
      </c>
      <c r="T13" s="2" t="s">
        <v>21</v>
      </c>
      <c r="U13" s="18"/>
      <c r="X13" s="73"/>
      <c r="Y13" s="73"/>
      <c r="Z13" s="73"/>
      <c r="AA13" s="73"/>
      <c r="AB13" s="73"/>
    </row>
    <row r="14" spans="1:37" s="19" customFormat="1" ht="26.25" customHeight="1">
      <c r="A14" s="3" t="s">
        <v>22</v>
      </c>
      <c r="B14" s="20">
        <f t="shared" si="0"/>
        <v>67</v>
      </c>
      <c r="C14" s="27">
        <v>61</v>
      </c>
      <c r="D14" s="28">
        <v>6</v>
      </c>
      <c r="E14" s="23">
        <f t="shared" si="1"/>
        <v>52</v>
      </c>
      <c r="F14" s="29">
        <v>49</v>
      </c>
      <c r="G14" s="30">
        <v>3</v>
      </c>
      <c r="H14" s="23">
        <f t="shared" si="2"/>
        <v>94</v>
      </c>
      <c r="I14" s="29">
        <v>88</v>
      </c>
      <c r="J14" s="31">
        <v>6</v>
      </c>
      <c r="K14" s="23">
        <f t="shared" si="3"/>
        <v>112</v>
      </c>
      <c r="L14" s="29">
        <v>108</v>
      </c>
      <c r="M14" s="31">
        <v>4</v>
      </c>
      <c r="N14" s="23">
        <f t="shared" si="4"/>
        <v>237</v>
      </c>
      <c r="O14" s="29">
        <v>212</v>
      </c>
      <c r="P14" s="31">
        <v>25</v>
      </c>
      <c r="Q14" s="23">
        <f t="shared" si="5"/>
        <v>190</v>
      </c>
      <c r="R14" s="29">
        <v>174</v>
      </c>
      <c r="S14" s="31">
        <v>16</v>
      </c>
      <c r="T14" s="2" t="s">
        <v>23</v>
      </c>
      <c r="U14" s="18"/>
      <c r="X14" s="73"/>
      <c r="Y14" s="73"/>
      <c r="Z14" s="73"/>
      <c r="AA14" s="73"/>
      <c r="AB14" s="73"/>
      <c r="AI14" s="19" t="s">
        <v>2</v>
      </c>
      <c r="AJ14" s="19" t="s">
        <v>0</v>
      </c>
      <c r="AK14" s="19" t="s">
        <v>1</v>
      </c>
    </row>
    <row r="15" spans="1:37" s="19" customFormat="1">
      <c r="A15" s="32" t="s">
        <v>24</v>
      </c>
      <c r="B15" s="33">
        <f t="shared" si="0"/>
        <v>32</v>
      </c>
      <c r="C15" s="34">
        <v>32</v>
      </c>
      <c r="D15" s="35">
        <v>0</v>
      </c>
      <c r="E15" s="36">
        <f t="shared" si="1"/>
        <v>27</v>
      </c>
      <c r="F15" s="37">
        <v>24</v>
      </c>
      <c r="G15" s="38">
        <v>3</v>
      </c>
      <c r="H15" s="36">
        <f t="shared" si="2"/>
        <v>48</v>
      </c>
      <c r="I15" s="37">
        <v>47</v>
      </c>
      <c r="J15" s="39">
        <v>1</v>
      </c>
      <c r="K15" s="36">
        <f t="shared" si="3"/>
        <v>62</v>
      </c>
      <c r="L15" s="37">
        <v>57</v>
      </c>
      <c r="M15" s="39">
        <v>5</v>
      </c>
      <c r="N15" s="36">
        <f t="shared" si="4"/>
        <v>121</v>
      </c>
      <c r="O15" s="37">
        <v>114</v>
      </c>
      <c r="P15" s="39">
        <v>7</v>
      </c>
      <c r="Q15" s="36">
        <f t="shared" si="5"/>
        <v>109</v>
      </c>
      <c r="R15" s="37">
        <v>106</v>
      </c>
      <c r="S15" s="39">
        <v>3</v>
      </c>
      <c r="T15" s="40" t="s">
        <v>25</v>
      </c>
      <c r="U15" s="18"/>
      <c r="X15" s="73"/>
      <c r="Y15" s="73"/>
      <c r="Z15" s="73"/>
      <c r="AA15" s="73"/>
      <c r="AB15" s="73"/>
      <c r="AH15" s="19">
        <v>2014</v>
      </c>
      <c r="AI15" s="19">
        <f>B7</f>
        <v>401</v>
      </c>
      <c r="AJ15" s="19">
        <v>342</v>
      </c>
      <c r="AK15" s="19">
        <v>59</v>
      </c>
    </row>
    <row r="16" spans="1:37" ht="17.25">
      <c r="A16" s="41" t="s">
        <v>26</v>
      </c>
      <c r="B16" s="42"/>
      <c r="C16" s="43"/>
      <c r="D16" s="42"/>
      <c r="E16" s="44"/>
      <c r="F16" s="45"/>
      <c r="G16" s="44"/>
      <c r="H16" s="44"/>
      <c r="I16" s="45"/>
      <c r="J16" s="44"/>
      <c r="K16" s="44"/>
      <c r="L16" s="45"/>
      <c r="M16" s="44"/>
      <c r="N16" s="44"/>
      <c r="O16" s="45"/>
      <c r="P16" s="44"/>
      <c r="Q16" s="44"/>
      <c r="R16" s="45"/>
      <c r="S16" s="44"/>
      <c r="T16" s="46" t="s">
        <v>27</v>
      </c>
      <c r="AH16" s="19">
        <v>2015</v>
      </c>
      <c r="AI16" s="19">
        <f>E7</f>
        <v>358</v>
      </c>
      <c r="AJ16" s="19">
        <v>302</v>
      </c>
      <c r="AK16" s="19">
        <v>56</v>
      </c>
    </row>
    <row r="17" spans="1:37" s="51" customFormat="1" ht="17.25">
      <c r="A17" s="41"/>
      <c r="B17" s="42"/>
      <c r="C17" s="43"/>
      <c r="D17" s="42"/>
      <c r="E17" s="44"/>
      <c r="F17" s="45"/>
      <c r="G17" s="44"/>
      <c r="H17" s="44"/>
      <c r="I17" s="45"/>
      <c r="J17" s="44"/>
      <c r="K17" s="44"/>
      <c r="L17" s="45"/>
      <c r="M17" s="44"/>
      <c r="N17" s="44"/>
      <c r="O17" s="45"/>
      <c r="P17" s="44"/>
      <c r="Q17" s="44"/>
      <c r="R17" s="45"/>
      <c r="S17" s="44"/>
      <c r="T17" s="46"/>
      <c r="AH17" s="19">
        <v>2016</v>
      </c>
      <c r="AI17" s="19">
        <f>H7</f>
        <v>828</v>
      </c>
      <c r="AJ17" s="19">
        <v>752</v>
      </c>
      <c r="AK17" s="19">
        <v>76</v>
      </c>
    </row>
    <row r="18" spans="1:37" ht="17.25">
      <c r="A18" s="41"/>
      <c r="B18" s="42"/>
      <c r="C18" s="43"/>
      <c r="D18" s="42"/>
      <c r="E18" s="44"/>
      <c r="F18" s="45"/>
      <c r="G18" s="44"/>
      <c r="H18" s="44"/>
      <c r="I18" s="45"/>
      <c r="J18" s="44"/>
      <c r="K18" s="44"/>
      <c r="L18" s="45"/>
      <c r="M18" s="44"/>
      <c r="N18" s="44"/>
      <c r="O18" s="45"/>
      <c r="P18" s="44"/>
      <c r="Q18" s="44"/>
      <c r="R18" s="45"/>
      <c r="S18" s="44"/>
      <c r="T18" s="46"/>
      <c r="AH18" s="4">
        <v>2017</v>
      </c>
      <c r="AI18" s="4">
        <f>K7</f>
        <v>1124</v>
      </c>
      <c r="AJ18" s="4">
        <f>L7</f>
        <v>1058</v>
      </c>
      <c r="AK18" s="4">
        <v>66</v>
      </c>
    </row>
    <row r="19" spans="1:37" ht="29.25" customHeight="1">
      <c r="A19" s="47"/>
      <c r="AH19" s="19">
        <v>2018</v>
      </c>
      <c r="AI19" s="4">
        <f>N7</f>
        <v>1262</v>
      </c>
      <c r="AJ19" s="4">
        <f>O7</f>
        <v>1189</v>
      </c>
      <c r="AK19" s="4">
        <f>P7</f>
        <v>73</v>
      </c>
    </row>
    <row r="20" spans="1:37">
      <c r="A20" s="47"/>
      <c r="AH20" s="4">
        <v>2019</v>
      </c>
      <c r="AI20" s="4">
        <f>Q7</f>
        <v>1241</v>
      </c>
      <c r="AJ20" s="4">
        <f>R7</f>
        <v>1182</v>
      </c>
      <c r="AK20" s="4">
        <f>S7</f>
        <v>59</v>
      </c>
    </row>
    <row r="21" spans="1:37">
      <c r="A21" s="47"/>
    </row>
    <row r="22" spans="1:37">
      <c r="A22" s="47"/>
    </row>
    <row r="23" spans="1:37">
      <c r="A23" s="47"/>
    </row>
    <row r="24" spans="1:37">
      <c r="A24" s="47"/>
    </row>
    <row r="25" spans="1:37">
      <c r="A25" s="49"/>
    </row>
    <row r="38" spans="1:4">
      <c r="A38" s="4"/>
      <c r="B38" s="4"/>
      <c r="C38" s="4"/>
      <c r="D38" s="4"/>
    </row>
    <row r="39" spans="1:4">
      <c r="A39" s="4"/>
      <c r="B39" s="4"/>
      <c r="C39" s="4"/>
      <c r="D39" s="4"/>
    </row>
    <row r="40" spans="1:4">
      <c r="A40" s="4"/>
      <c r="B40" s="4"/>
      <c r="C40" s="4"/>
      <c r="D40" s="4"/>
    </row>
    <row r="41" spans="1:4">
      <c r="A41" s="4"/>
      <c r="B41" s="4"/>
      <c r="C41" s="4"/>
      <c r="D41" s="4"/>
    </row>
    <row r="42" spans="1:4">
      <c r="A42" s="4"/>
      <c r="B42" s="4"/>
      <c r="C42" s="4"/>
      <c r="D42" s="4"/>
    </row>
    <row r="43" spans="1:4">
      <c r="A43" s="4"/>
      <c r="B43" s="4"/>
      <c r="C43" s="4"/>
      <c r="D43" s="4"/>
    </row>
    <row r="44" spans="1:4">
      <c r="A44" s="4"/>
      <c r="B44" s="4"/>
      <c r="C44" s="4"/>
      <c r="D44" s="4"/>
    </row>
    <row r="45" spans="1:4">
      <c r="A45" s="4"/>
      <c r="B45" s="4"/>
      <c r="C45" s="4"/>
      <c r="D45" s="4"/>
    </row>
    <row r="46" spans="1:4">
      <c r="A46" s="4"/>
      <c r="B46" s="4"/>
      <c r="C46" s="4"/>
      <c r="D46" s="4"/>
    </row>
  </sheetData>
  <mergeCells count="10">
    <mergeCell ref="A1:T1"/>
    <mergeCell ref="A2:T2"/>
    <mergeCell ref="A3:A6"/>
    <mergeCell ref="B3:D4"/>
    <mergeCell ref="E3:G4"/>
    <mergeCell ref="H3:J4"/>
    <mergeCell ref="K3:M4"/>
    <mergeCell ref="N3:P4"/>
    <mergeCell ref="T3:T6"/>
    <mergeCell ref="Q3:S4"/>
  </mergeCells>
  <pageMargins left="0.7" right="0.7" top="0.75" bottom="0.75" header="0.3" footer="0.3"/>
  <pageSetup scale="42" orientation="portrait" r:id="rId1"/>
  <colBreaks count="1" manualBreakCount="1">
    <brk id="21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8.32</vt:lpstr>
      <vt:lpstr>'8.32'!Print_Area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2021-01-07T08:54:54Z</cp:lastPrinted>
  <dcterms:created xsi:type="dcterms:W3CDTF">2019-06-30T04:22:49Z</dcterms:created>
  <dcterms:modified xsi:type="dcterms:W3CDTF">2021-01-07T08:55:03Z</dcterms:modified>
</cp:coreProperties>
</file>