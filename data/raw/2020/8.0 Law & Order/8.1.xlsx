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1" sheetId="1" r:id="rId1"/>
  </sheets>
  <definedNames>
    <definedName name="_xlnm.Print_Area" localSheetId="0">'8.1'!$A$1:$N$67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AJ44" i="1" l="1"/>
  <c r="AJ45" i="1"/>
  <c r="AJ46" i="1"/>
  <c r="AJ47" i="1"/>
  <c r="AJ48" i="1"/>
  <c r="K6" i="1"/>
  <c r="K7" i="1"/>
  <c r="K8" i="1"/>
  <c r="K9" i="1"/>
  <c r="K10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G17" i="1"/>
  <c r="G5" i="1" l="1"/>
  <c r="K17" i="1"/>
  <c r="J5" i="1"/>
  <c r="J9" i="1" l="1"/>
  <c r="J13" i="1"/>
  <c r="J21" i="1"/>
  <c r="J25" i="1"/>
  <c r="J29" i="1"/>
  <c r="J16" i="1"/>
  <c r="J6" i="1"/>
  <c r="J10" i="1"/>
  <c r="J14" i="1"/>
  <c r="J18" i="1"/>
  <c r="J22" i="1"/>
  <c r="J26" i="1"/>
  <c r="J30" i="1"/>
  <c r="J24" i="1"/>
  <c r="J7" i="1"/>
  <c r="J11" i="1"/>
  <c r="J15" i="1"/>
  <c r="J19" i="1"/>
  <c r="J23" i="1"/>
  <c r="J27" i="1"/>
  <c r="J8" i="1"/>
  <c r="J12" i="1"/>
  <c r="J20" i="1"/>
  <c r="J28" i="1"/>
  <c r="J17" i="1"/>
  <c r="AI44" i="1"/>
  <c r="AI45" i="1"/>
  <c r="AI46" i="1"/>
  <c r="AI47" i="1"/>
  <c r="AI48" i="1"/>
  <c r="AH48" i="1"/>
  <c r="AG48" i="1"/>
  <c r="AF48" i="1"/>
  <c r="AH47" i="1"/>
  <c r="AG47" i="1"/>
  <c r="AF47" i="1"/>
  <c r="AH46" i="1"/>
  <c r="AG46" i="1"/>
  <c r="AF46" i="1"/>
  <c r="AH45" i="1"/>
  <c r="AG45" i="1"/>
  <c r="AF45" i="1"/>
  <c r="AH44" i="1"/>
  <c r="AG44" i="1"/>
  <c r="AF44" i="1"/>
  <c r="I30" i="1"/>
  <c r="AC29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F5" i="1"/>
  <c r="H30" i="1" s="1"/>
  <c r="E5" i="1"/>
  <c r="D5" i="1"/>
  <c r="H7" i="1" l="1"/>
  <c r="H14" i="1"/>
  <c r="K5" i="1"/>
  <c r="H5" i="1"/>
  <c r="H6" i="1"/>
  <c r="H10" i="1"/>
  <c r="H11" i="1"/>
  <c r="H19" i="1"/>
  <c r="H8" i="1"/>
  <c r="H16" i="1"/>
  <c r="H21" i="1"/>
  <c r="H23" i="1"/>
  <c r="H25" i="1"/>
  <c r="H27" i="1"/>
  <c r="H29" i="1"/>
  <c r="H13" i="1"/>
  <c r="H18" i="1"/>
  <c r="H15" i="1"/>
  <c r="I5" i="1"/>
  <c r="H12" i="1"/>
  <c r="H20" i="1"/>
  <c r="H22" i="1"/>
  <c r="H24" i="1"/>
  <c r="H26" i="1"/>
  <c r="H28" i="1"/>
  <c r="H9" i="1"/>
  <c r="H17" i="1"/>
</calcChain>
</file>

<file path=xl/sharedStrings.xml><?xml version="1.0" encoding="utf-8"?>
<sst xmlns="http://schemas.openxmlformats.org/spreadsheetml/2006/main" count="97" uniqueCount="63">
  <si>
    <t>Logged Cases</t>
  </si>
  <si>
    <t>ބެހިފައިވާ ގޮތް އިންސައްތައިން</t>
  </si>
  <si>
    <t>2017އާއި އަޅާބަލާއިރު 2018ގައި އިތުރުވި މިންވަރު (%)</t>
  </si>
  <si>
    <t>ހުށަހެޅިފައިވާ މައްސަލަތައް</t>
  </si>
  <si>
    <t>% share 2018</t>
  </si>
  <si>
    <t>% change over 2017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</si>
  <si>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</si>
  <si>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</si>
  <si>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</si>
  <si>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</si>
  <si>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</si>
  <si>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</si>
  <si>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</si>
  <si>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</si>
  <si>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</si>
  <si>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</si>
  <si>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</si>
  <si>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</si>
  <si>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</si>
  <si>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</si>
  <si>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</si>
  <si>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</si>
  <si>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</si>
  <si>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</si>
  <si>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</si>
  <si>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</si>
  <si>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</si>
  <si>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</si>
  <si>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</si>
  <si>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</si>
  <si>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</si>
  <si>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</si>
  <si>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</si>
  <si>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</si>
  <si>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</si>
  <si>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</si>
  <si>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</si>
  <si>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</si>
  <si>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</si>
  <si>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</si>
  <si>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</si>
  <si>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</si>
  <si>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</si>
  <si>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</si>
  <si>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</si>
  <si>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</si>
  <si>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</si>
  <si>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</si>
  <si>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</si>
  <si>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</si>
  <si>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</si>
  <si>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</si>
  <si>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</si>
  <si>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</si>
  <si>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</si>
  <si>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</si>
  <si>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</si>
  <si>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</si>
  <si>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Table 8.1: LOGGED CASES FROM THE YEAR, 2016 - 2019</t>
  </si>
  <si>
    <t>ތާވަލު 8.1: ހުށަހެޅިފައިވާ މައްސަލަތައް، 2016- 2019</t>
  </si>
  <si>
    <t>% share 2019</t>
  </si>
  <si>
    <t>2018އާއި އަޅާބަލާއިރު 2019ގައި އިތުރުވި މިންވަރު (%)</t>
  </si>
  <si>
    <t>% change over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</si>
</sst>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167" fontId="27" fillId="0" borderId="0"/>
    <xf numFmtId="0" fontId="29" fillId="0" borderId="7" applyNumberFormat="0" applyFill="0" applyAlignment="0" applyProtection="0"/>
    <xf numFmtId="0" fontId="28" fillId="0" borderId="0"/>
  </cellStyleXfs>
  <cellXfs count="6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11" fillId="2" borderId="4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left" vertical="center"/>
    </xf>
    <xf numFmtId="165" fontId="14" fillId="2" borderId="0" xfId="0" applyNumberFormat="1" applyFont="1" applyFill="1" applyBorder="1"/>
    <xf numFmtId="164" fontId="7" fillId="2" borderId="0" xfId="0" applyNumberFormat="1" applyFont="1" applyFill="1" applyBorder="1" applyAlignment="1">
      <alignment vertical="center"/>
    </xf>
    <xf numFmtId="3" fontId="7" fillId="2" borderId="0" xfId="1" applyNumberFormat="1" applyFont="1" applyFill="1" applyBorder="1" applyAlignment="1">
      <alignment horizontal="right" vertical="center"/>
    </xf>
    <xf numFmtId="167" fontId="15" fillId="2" borderId="0" xfId="1" applyNumberFormat="1" applyFont="1" applyFill="1" applyBorder="1" applyAlignment="1">
      <alignment horizontal="right" vertical="center" indent="3"/>
    </xf>
    <xf numFmtId="167" fontId="15" fillId="2" borderId="0" xfId="1" applyNumberFormat="1" applyFont="1" applyFill="1" applyBorder="1" applyAlignment="1" applyProtection="1">
      <alignment horizontal="right" vertical="center" indent="3"/>
      <protection locked="0"/>
    </xf>
    <xf numFmtId="2" fontId="10" fillId="2" borderId="0" xfId="0" applyNumberFormat="1" applyFont="1" applyFill="1"/>
    <xf numFmtId="165" fontId="10" fillId="2" borderId="0" xfId="0" applyNumberFormat="1" applyFont="1" applyFill="1"/>
    <xf numFmtId="165" fontId="13" fillId="2" borderId="0" xfId="0" applyNumberFormat="1" applyFont="1" applyFill="1" applyAlignment="1">
      <alignment horizontal="right" vertical="top"/>
    </xf>
    <xf numFmtId="164" fontId="16" fillId="2" borderId="0" xfId="0" applyNumberFormat="1" applyFont="1" applyFill="1" applyBorder="1" applyAlignment="1">
      <alignment vertical="center"/>
    </xf>
    <xf numFmtId="3" fontId="16" fillId="2" borderId="0" xfId="1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right" vertical="top"/>
    </xf>
    <xf numFmtId="167" fontId="18" fillId="2" borderId="0" xfId="1" applyNumberFormat="1" applyFont="1" applyFill="1" applyBorder="1" applyAlignment="1">
      <alignment horizontal="right" vertical="center" indent="3"/>
    </xf>
    <xf numFmtId="164" fontId="12" fillId="2" borderId="0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Alignment="1">
      <alignment horizontal="center" vertical="top"/>
    </xf>
    <xf numFmtId="165" fontId="10" fillId="2" borderId="0" xfId="0" applyNumberFormat="1" applyFont="1" applyFill="1" applyAlignment="1">
      <alignment horizontal="center" vertical="top"/>
    </xf>
    <xf numFmtId="165" fontId="14" fillId="2" borderId="0" xfId="0" applyNumberFormat="1" applyFont="1" applyFill="1"/>
    <xf numFmtId="164" fontId="14" fillId="2" borderId="0" xfId="0" applyNumberFormat="1" applyFont="1" applyFill="1"/>
    <xf numFmtId="3" fontId="18" fillId="2" borderId="0" xfId="1" applyNumberFormat="1" applyFont="1" applyFill="1" applyAlignment="1">
      <alignment horizontal="right" vertical="center"/>
    </xf>
    <xf numFmtId="165" fontId="0" fillId="2" borderId="0" xfId="0" applyNumberFormat="1" applyFont="1" applyFill="1"/>
    <xf numFmtId="164" fontId="19" fillId="2" borderId="0" xfId="0" applyNumberFormat="1" applyFont="1" applyFill="1" applyBorder="1" applyAlignment="1">
      <alignment horizontal="left" vertical="center" indent="2"/>
    </xf>
    <xf numFmtId="3" fontId="18" fillId="2" borderId="0" xfId="1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horizontal="left" vertical="center" indent="2"/>
    </xf>
    <xf numFmtId="164" fontId="21" fillId="2" borderId="0" xfId="0" applyNumberFormat="1" applyFont="1" applyFill="1" applyAlignment="1">
      <alignment horizontal="center" vertical="top"/>
    </xf>
    <xf numFmtId="164" fontId="12" fillId="2" borderId="0" xfId="0" applyNumberFormat="1" applyFont="1" applyFill="1" applyBorder="1" applyAlignment="1" applyProtection="1">
      <alignment horizontal="right" vertical="center" indent="2"/>
    </xf>
    <xf numFmtId="164" fontId="22" fillId="2" borderId="0" xfId="0" applyNumberFormat="1" applyFont="1" applyFill="1" applyBorder="1" applyAlignment="1">
      <alignment horizontal="left" vertical="center" indent="2"/>
    </xf>
    <xf numFmtId="165" fontId="23" fillId="2" borderId="0" xfId="0" applyNumberFormat="1" applyFont="1" applyFill="1" applyAlignment="1">
      <alignment horizontal="right" vertical="top"/>
    </xf>
    <xf numFmtId="164" fontId="23" fillId="2" borderId="0" xfId="0" applyNumberFormat="1" applyFont="1" applyFill="1" applyBorder="1" applyAlignment="1">
      <alignment horizontal="left" vertical="center"/>
    </xf>
    <xf numFmtId="165" fontId="3" fillId="2" borderId="0" xfId="0" applyNumberFormat="1" applyFont="1" applyFill="1"/>
    <xf numFmtId="167" fontId="24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top"/>
    </xf>
    <xf numFmtId="164" fontId="22" fillId="2" borderId="4" xfId="0" applyNumberFormat="1" applyFont="1" applyFill="1" applyBorder="1" applyAlignment="1">
      <alignment horizontal="left" vertical="center" indent="2"/>
    </xf>
    <xf numFmtId="165" fontId="10" fillId="2" borderId="0" xfId="0" applyNumberFormat="1" applyFont="1" applyFill="1" applyBorder="1"/>
    <xf numFmtId="164" fontId="17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4" fontId="20" fillId="2" borderId="4" xfId="0" applyNumberFormat="1" applyFont="1" applyFill="1" applyBorder="1" applyAlignment="1">
      <alignment horizontal="left" vertical="center" indent="2"/>
    </xf>
    <xf numFmtId="164" fontId="0" fillId="2" borderId="4" xfId="0" applyNumberFormat="1" applyFill="1" applyBorder="1"/>
    <xf numFmtId="3" fontId="18" fillId="2" borderId="4" xfId="0" applyNumberFormat="1" applyFont="1" applyFill="1" applyBorder="1" applyAlignment="1">
      <alignment horizontal="right" vertical="top"/>
    </xf>
    <xf numFmtId="164" fontId="12" fillId="2" borderId="4" xfId="0" applyNumberFormat="1" applyFont="1" applyFill="1" applyBorder="1" applyAlignment="1" applyProtection="1">
      <alignment horizontal="right" vertical="center" indent="2"/>
    </xf>
    <xf numFmtId="164" fontId="3" fillId="2" borderId="0" xfId="0" applyNumberFormat="1" applyFont="1" applyFill="1"/>
    <xf numFmtId="164" fontId="23" fillId="2" borderId="0" xfId="0" applyNumberFormat="1" applyFont="1" applyFill="1" applyBorder="1" applyAlignment="1">
      <alignment vertical="center"/>
    </xf>
    <xf numFmtId="164" fontId="25" fillId="2" borderId="6" xfId="0" applyNumberFormat="1" applyFont="1" applyFill="1" applyBorder="1" applyAlignment="1" applyProtection="1">
      <alignment horizontal="left" vertical="center"/>
    </xf>
    <xf numFmtId="167" fontId="18" fillId="2" borderId="0" xfId="1" applyNumberFormat="1" applyFont="1" applyFill="1" applyBorder="1" applyAlignment="1" applyProtection="1">
      <alignment vertical="center"/>
      <protection locked="0"/>
    </xf>
    <xf numFmtId="167" fontId="18" fillId="2" borderId="4" xfId="1" applyNumberFormat="1" applyFont="1" applyFill="1" applyBorder="1" applyAlignment="1">
      <alignment horizontal="right" vertical="center" indent="3"/>
    </xf>
    <xf numFmtId="167" fontId="15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8" fillId="2" borderId="3" xfId="0" applyNumberFormat="1" applyFont="1" applyFill="1" applyBorder="1" applyAlignment="1">
      <alignment horizontal="center" vertical="center" wrapText="1"/>
    </xf>
    <xf numFmtId="164" fontId="30" fillId="2" borderId="6" xfId="0" applyNumberFormat="1" applyFont="1" applyFill="1" applyBorder="1" applyAlignment="1">
      <alignment horizontal="right"/>
    </xf>
    <xf numFmtId="164" fontId="31" fillId="2" borderId="5" xfId="0" applyNumberFormat="1" applyFont="1" applyFill="1" applyBorder="1" applyAlignment="1" applyProtection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 applyProtection="1">
      <alignment horizontal="right" vertical="center" wrapText="1"/>
    </xf>
    <xf numFmtId="164" fontId="12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8" xfId="0" applyNumberFormat="1" applyFont="1" applyFill="1" applyBorder="1" applyAlignment="1">
      <alignment horizontal="center" vertical="top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7" fillId="2" borderId="9" xfId="0" applyNumberFormat="1" applyFont="1" applyFill="1" applyBorder="1" applyAlignment="1">
      <alignment horizontal="right" vertical="center"/>
    </xf>
  </cellXfs>
  <cellStyles count="8"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'8.1'!$Z$44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663300"/>
              </a:solidFill>
            </a:ln>
          </c:spPr>
          <c:marker>
            <c:symbol val="triangle"/>
            <c:size val="5"/>
            <c:spPr>
              <a:solidFill>
                <a:srgbClr val="66330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'8.1'!$AA$43:$AJ$43</c15:sqref>
                  </c15:fullRef>
                </c:ext>
              </c:extLst>
              <c:f>'8.1'!$AE$43:$AJ$43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'8.1'!$AA$44:$AJ$44</c15:sqref>
                  </c15:fullRef>
                </c:ext>
              </c:extLst>
              <c:f>'8.1'!$AE$44:$AJ$44</c:f>
              <c:numCache>
                <c:formatCode>#,##0.0</c:formatCode>
                <c:ptCount val="6"/>
                <c:pt idx="0">
                  <c:v>-23.986233727367949</c:v>
                </c:pt>
                <c:pt idx="1">
                  <c:v>-21.102362204724407</c:v>
                </c:pt>
                <c:pt idx="2">
                  <c:v>-9.780439121756487</c:v>
                </c:pt>
                <c:pt idx="3">
                  <c:v>-3.125</c:v>
                </c:pt>
                <c:pt idx="4">
                  <c:v>-6.6514416214673133</c:v>
                </c:pt>
                <c:pt idx="5">
                  <c:v>39.26605504587156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'8.1'!$Z$45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5"/>
            <c:spPr>
              <a:solidFill>
                <a:srgbClr val="996633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'8.1'!$AA$43:$AJ$43</c15:sqref>
                  </c15:fullRef>
                </c:ext>
              </c:extLst>
              <c:f>'8.1'!$AE$43:$AJ$43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'8.1'!$AA$45:$AJ$45</c15:sqref>
                  </c15:fullRef>
                </c:ext>
              </c:extLst>
              <c:f>'8.1'!$AE$45:$AJ$45</c:f>
              <c:numCache>
                <c:formatCode>#,##0.0</c:formatCode>
                <c:ptCount val="6"/>
                <c:pt idx="0">
                  <c:v>10.725388601036268</c:v>
                </c:pt>
                <c:pt idx="1">
                  <c:v>-4.3518951801591017</c:v>
                </c:pt>
                <c:pt idx="2">
                  <c:v>9.6868884540117417</c:v>
                </c:pt>
                <c:pt idx="3">
                  <c:v>-6.1106155218554861</c:v>
                </c:pt>
                <c:pt idx="4">
                  <c:v>-4.6555819477434683</c:v>
                </c:pt>
                <c:pt idx="5">
                  <c:v>15.794718485301445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'8.1'!$Z$46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square"/>
            <c:size val="5"/>
            <c:spPr>
              <a:solidFill>
                <a:schemeClr val="bg2">
                  <a:lumMod val="50000"/>
                </a:schemeClr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'8.1'!$AA$43:$AJ$43</c15:sqref>
                  </c15:fullRef>
                </c:ext>
              </c:extLst>
              <c:f>'8.1'!$AE$43:$AJ$43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'8.1'!$AA$46:$AJ$46</c15:sqref>
                  </c15:fullRef>
                </c:ext>
              </c:extLst>
              <c:f>'8.1'!$AE$46:$AJ$46</c:f>
              <c:numCache>
                <c:formatCode>#,##0.0</c:formatCode>
                <c:ptCount val="6"/>
                <c:pt idx="0">
                  <c:v>-20.807061790668349</c:v>
                </c:pt>
                <c:pt idx="1">
                  <c:v>-33.789808917197448</c:v>
                </c:pt>
                <c:pt idx="2">
                  <c:v>14.237614237614238</c:v>
                </c:pt>
                <c:pt idx="3">
                  <c:v>-14.189473684210526</c:v>
                </c:pt>
                <c:pt idx="4">
                  <c:v>9.4210009813542683</c:v>
                </c:pt>
                <c:pt idx="5">
                  <c:v>-1.883408071748879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'8.1'!$Z$47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rgbClr val="FF8E1D"/>
              </a:solidFill>
            </a:ln>
          </c:spPr>
          <c:marker>
            <c:symbol val="x"/>
            <c:size val="5"/>
            <c:spPr>
              <a:solidFill>
                <a:srgbClr val="FF8E1D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'8.1'!$AA$43:$AJ$43</c15:sqref>
                  </c15:fullRef>
                </c:ext>
              </c:extLst>
              <c:f>'8.1'!$AE$43:$AJ$43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'8.1'!$AA$47:$AJ$47</c15:sqref>
                  </c15:fullRef>
                </c:ext>
              </c:extLst>
              <c:f>'8.1'!$AE$47:$AJ$47</c:f>
              <c:numCache>
                <c:formatCode>#,##0.0</c:formatCode>
                <c:ptCount val="6"/>
                <c:pt idx="0">
                  <c:v>1.5632879475542107</c:v>
                </c:pt>
                <c:pt idx="1">
                  <c:v>-14.995034756703079</c:v>
                </c:pt>
                <c:pt idx="2">
                  <c:v>6.83411214953271</c:v>
                </c:pt>
                <c:pt idx="3">
                  <c:v>-9.5133952979770378</c:v>
                </c:pt>
                <c:pt idx="4">
                  <c:v>7.9758308157099691</c:v>
                </c:pt>
                <c:pt idx="5">
                  <c:v>1.5109121432568551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'8.1'!$Z$48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rgbClr val="DDBA97"/>
              </a:solidFill>
            </a:ln>
          </c:spPr>
          <c:marker>
            <c:symbol val="circle"/>
            <c:size val="5"/>
            <c:spPr>
              <a:solidFill>
                <a:srgbClr val="996633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'8.1'!$AA$43:$AJ$43</c15:sqref>
                  </c15:fullRef>
                </c:ext>
              </c:extLst>
              <c:f>'8.1'!$AE$43:$AJ$43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'8.1'!$AA$48:$AJ$48</c15:sqref>
                  </c15:fullRef>
                </c:ext>
              </c:extLst>
              <c:f>'8.1'!$AE$48:$AJ$48</c:f>
              <c:numCache>
                <c:formatCode>#,##0.0</c:formatCode>
                <c:ptCount val="6"/>
                <c:pt idx="0">
                  <c:v>-17.610550814584951</c:v>
                </c:pt>
                <c:pt idx="1">
                  <c:v>-11.111111111111111</c:v>
                </c:pt>
                <c:pt idx="2">
                  <c:v>-17.266949152542374</c:v>
                </c:pt>
                <c:pt idx="3">
                  <c:v>-1.4084507042253522</c:v>
                </c:pt>
                <c:pt idx="4">
                  <c:v>-2.2077922077922079</c:v>
                </c:pt>
                <c:pt idx="5">
                  <c:v>-16.201859229747676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304"/>
        <c:axId val="402283832"/>
      </c:lineChart>
      <c:catAx>
        <c:axId val="15655830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402283832"/>
        <c:crosses val="autoZero"/>
        <c:auto val="1"/>
        <c:lblAlgn val="ctr"/>
        <c:lblOffset val="100"/>
        <c:noMultiLvlLbl val="0"/>
      </c:catAx>
      <c:valAx>
        <c:axId val="402283832"/>
        <c:scaling>
          <c:orientation val="minMax"/>
          <c:min val="-3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56558304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11770880984377"/>
          <c:y val="0.1920778565257584"/>
          <c:w val="0.66489464194823211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8.1: Percentage share of logged cases,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895219767015891"/>
          <c:y val="2.21867454286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rgbClr val="BC5E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rgbClr val="D68F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rgbClr val="FF8E1D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rgbClr val="FFAB57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rgbClr val="FFC58B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rgbClr val="FFDDAB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dLbl>
              <c:idx val="0"/>
              <c:layout>
                <c:manualLayout>
                  <c:x val="-7.9959918907027694E-2"/>
                  <c:y val="0.134076282376958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9338837383387131E-3"/>
                  <c:y val="-0.141211625325925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8155519127600192E-2"/>
                  <c:y val="-0.16144328238505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6.0071520192515257E-3"/>
                  <c:y val="3.46878005367564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6.9140720698338543E-3"/>
                  <c:y val="4.32020683294004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3.8908063485836074E-3"/>
                  <c:y val="3.1243381681536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2.473731836390191E-2"/>
                  <c:y val="1.35638639522543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6.934119776215119E-3"/>
                  <c:y val="-9.102755650814335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5.5323793727717063E-2"/>
                  <c:y val="-9.91202771968766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5.988005266341536E-2"/>
                  <c:y val="0.156152678169472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'8.1'!$G$6:$G$17</c:f>
              <c:numCache>
                <c:formatCode>#,##0</c:formatCode>
                <c:ptCount val="12"/>
                <c:pt idx="0">
                  <c:v>4554</c:v>
                </c:pt>
                <c:pt idx="1">
                  <c:v>2324</c:v>
                </c:pt>
                <c:pt idx="2">
                  <c:v>2188</c:v>
                </c:pt>
                <c:pt idx="3">
                  <c:v>1814</c:v>
                </c:pt>
                <c:pt idx="4">
                  <c:v>631</c:v>
                </c:pt>
                <c:pt idx="5">
                  <c:v>467</c:v>
                </c:pt>
                <c:pt idx="6">
                  <c:v>483</c:v>
                </c:pt>
                <c:pt idx="7">
                  <c:v>405</c:v>
                </c:pt>
                <c:pt idx="8">
                  <c:v>494</c:v>
                </c:pt>
                <c:pt idx="9">
                  <c:v>219</c:v>
                </c:pt>
                <c:pt idx="10">
                  <c:v>86</c:v>
                </c:pt>
                <c:pt idx="11">
                  <c:v>2815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1619249</xdr:colOff>
      <xdr:row>49</xdr:row>
      <xdr:rowOff>180975</xdr:rowOff>
    </xdr:from>
    <xdr:to>
      <xdr:col>11</xdr:col>
      <xdr:colOff>409575</xdr:colOff>
      <xdr:row>66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7E80A56-DA04-4890-88C1-0B1D00873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1662680</xdr:colOff>
      <xdr:row>31</xdr:row>
      <xdr:rowOff>149206</xdr:rowOff>
    </xdr:from>
    <xdr:to>
      <xdr:col>11</xdr:col>
      <xdr:colOff>399966</xdr:colOff>
      <xdr:row>48</xdr:row>
      <xdr:rowOff>116589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0.20636</cdr:x>
      <cdr:y>0.01775</cdr:y>
    </cdr:from>
    <cdr:to>
      <cdr:x>0.84639</cdr:x>
      <cdr:y>0.08299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7530" y="56336"/>
          <a:ext cx="4892763" cy="207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2014 - 2019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48"/>
  <sheetViews>
    <sheetView tabSelected="1" zoomScale="96" zoomScaleNormal="96" workbookViewId="0">
      <selection activeCell="P13" sqref="P13"/>
    </sheetView>
  </sheetViews>
  <sheetFormatPr defaultColWidth="9.140625" defaultRowHeight="15"/>
  <cols>
    <col min="1" max="1" width="63.28515625" style="1" customWidth="1"/>
    <col min="2" max="2" width="11.85546875" style="1" hidden="1" customWidth="1"/>
    <col min="3" max="3" width="8.7109375" style="1" hidden="1" customWidth="1"/>
    <col min="4" max="7" width="11.85546875" style="1" customWidth="1"/>
    <col min="8" max="8" width="15.5703125" style="1" hidden="1" customWidth="1"/>
    <col min="9" max="9" width="18.28515625" style="1" hidden="1" customWidth="1"/>
    <col min="10" max="10" width="15.5703125" style="1" customWidth="1"/>
    <col min="11" max="11" width="18.28515625" style="1" customWidth="1"/>
    <col min="12" max="12" width="31.140625" style="1" bestFit="1" customWidth="1"/>
    <col min="13" max="14" width="2.140625" style="1" customWidth="1"/>
    <col min="15" max="15" width="9.140625" style="1"/>
    <col min="16" max="16" width="22.140625" style="1" bestFit="1" customWidth="1"/>
    <col min="17" max="26" width="9.140625" style="1"/>
    <col min="27" max="27" width="13.28515625" style="1" customWidth="1"/>
    <col min="28" max="16384" width="9.140625" style="1"/>
  </cols>
  <sheetData>
    <row r="1" spans="1:29" ht="21.75">
      <c r="A1" s="57" t="s">
        <v>59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29" ht="21.75" customHeight="1">
      <c r="A2" s="58" t="s">
        <v>58</v>
      </c>
      <c r="B2" s="58"/>
      <c r="C2" s="58"/>
      <c r="D2" s="58"/>
      <c r="E2" s="58"/>
      <c r="F2" s="58"/>
      <c r="G2" s="59"/>
      <c r="H2" s="58"/>
      <c r="I2" s="58"/>
      <c r="J2" s="59"/>
      <c r="K2" s="59"/>
      <c r="L2" s="58"/>
      <c r="P2" s="2"/>
    </row>
    <row r="3" spans="1:29" ht="51.75">
      <c r="A3" s="60" t="s">
        <v>0</v>
      </c>
      <c r="B3" s="62">
        <v>2014</v>
      </c>
      <c r="C3" s="62">
        <v>2015</v>
      </c>
      <c r="D3" s="53">
        <v>2016</v>
      </c>
      <c r="E3" s="53">
        <v>2017</v>
      </c>
      <c r="F3" s="62">
        <v>2018</v>
      </c>
      <c r="G3" s="53">
        <v>2019</v>
      </c>
      <c r="H3" s="50" t="s">
        <v>1</v>
      </c>
      <c r="I3" s="50" t="s">
        <v>2</v>
      </c>
      <c r="J3" s="50" t="s">
        <v>1</v>
      </c>
      <c r="K3" s="50" t="s">
        <v>61</v>
      </c>
      <c r="L3" s="55" t="s">
        <v>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9">
      <c r="A4" s="61"/>
      <c r="B4" s="54"/>
      <c r="C4" s="54"/>
      <c r="D4" s="54"/>
      <c r="E4" s="54"/>
      <c r="F4" s="54"/>
      <c r="G4" s="54"/>
      <c r="H4" s="4" t="s">
        <v>4</v>
      </c>
      <c r="I4" s="4" t="s">
        <v>5</v>
      </c>
      <c r="J4" s="4" t="s">
        <v>60</v>
      </c>
      <c r="K4" s="4" t="s">
        <v>62</v>
      </c>
      <c r="L4" s="56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B4" s="5" t="s">
        <v>6</v>
      </c>
      <c r="AC4" s="6">
        <v>22.549082716446733</v>
      </c>
    </row>
    <row r="5" spans="1:29" ht="15.75">
      <c r="A5" s="7" t="s">
        <v>7</v>
      </c>
      <c r="B5" s="8">
        <f t="shared" ref="B5" si="0">SUM(B6:B24)</f>
        <v>18193</v>
      </c>
      <c r="C5" s="8">
        <f>SUM(C6:C17)</f>
        <v>16362</v>
      </c>
      <c r="D5" s="8">
        <f>SUM(D6:D17)</f>
        <v>16287</v>
      </c>
      <c r="E5" s="8">
        <f>SUM(E6:E17)</f>
        <v>15535</v>
      </c>
      <c r="F5" s="8">
        <f>SUM(F6:F17)</f>
        <v>14811</v>
      </c>
      <c r="G5" s="8">
        <f>SUM(G6:G17)</f>
        <v>16480</v>
      </c>
      <c r="H5" s="9">
        <f t="shared" ref="H5:H30" si="1">F5/$F$5*100</f>
        <v>100</v>
      </c>
      <c r="I5" s="10">
        <f t="shared" ref="I5:I30" si="2">((F5-E5)/E5)*100</f>
        <v>-4.6604441583521083</v>
      </c>
      <c r="J5" s="9">
        <f>G5/$G$5*100</f>
        <v>100</v>
      </c>
      <c r="K5" s="10">
        <f>((G5-F5)/F5)*100</f>
        <v>11.268651677807036</v>
      </c>
      <c r="L5" s="52" t="s">
        <v>8</v>
      </c>
      <c r="R5" s="3"/>
      <c r="S5" s="3"/>
      <c r="T5" s="3"/>
      <c r="U5" s="3"/>
      <c r="V5" s="3"/>
      <c r="W5" s="3"/>
      <c r="X5" s="3"/>
      <c r="Y5" s="11"/>
      <c r="Z5" s="3"/>
      <c r="AA5" s="12"/>
      <c r="AB5" s="5" t="s">
        <v>9</v>
      </c>
      <c r="AC5" s="13">
        <v>13.55004827808175</v>
      </c>
    </row>
    <row r="6" spans="1:29" ht="18.75">
      <c r="A6" s="14" t="s">
        <v>6</v>
      </c>
      <c r="B6" s="15">
        <v>5080</v>
      </c>
      <c r="C6" s="15">
        <v>4008</v>
      </c>
      <c r="D6" s="15">
        <v>3616</v>
      </c>
      <c r="E6" s="16">
        <v>3503</v>
      </c>
      <c r="F6" s="16">
        <v>3270</v>
      </c>
      <c r="G6" s="16">
        <v>4554</v>
      </c>
      <c r="H6" s="17">
        <f t="shared" si="1"/>
        <v>22.078185132671663</v>
      </c>
      <c r="I6" s="10">
        <f t="shared" si="2"/>
        <v>-6.6514416214673133</v>
      </c>
      <c r="J6" s="17">
        <f t="shared" ref="J6:J30" si="3">G6/$G$5*100</f>
        <v>27.63349514563107</v>
      </c>
      <c r="K6" s="10">
        <f t="shared" ref="K6:K30" si="4">((G6-F6)/F6)*100</f>
        <v>39.26605504587156</v>
      </c>
      <c r="L6" s="18" t="s">
        <v>10</v>
      </c>
      <c r="O6" s="16"/>
      <c r="R6" s="3"/>
      <c r="S6" s="3"/>
      <c r="T6" s="3"/>
      <c r="U6" s="3"/>
      <c r="V6" s="3"/>
      <c r="W6" s="3"/>
      <c r="X6" s="3"/>
      <c r="Y6" s="11"/>
      <c r="Z6" s="19"/>
      <c r="AA6" s="20"/>
      <c r="AB6" s="5" t="s">
        <v>11</v>
      </c>
      <c r="AC6" s="21">
        <v>13.118764081107177</v>
      </c>
    </row>
    <row r="7" spans="1:29" ht="18.75">
      <c r="A7" s="14" t="s">
        <v>9</v>
      </c>
      <c r="B7" s="15">
        <v>2137</v>
      </c>
      <c r="C7" s="15">
        <v>2044</v>
      </c>
      <c r="D7" s="15">
        <v>2242</v>
      </c>
      <c r="E7" s="16">
        <v>2105</v>
      </c>
      <c r="F7" s="16">
        <v>2007</v>
      </c>
      <c r="G7" s="16">
        <v>2324</v>
      </c>
      <c r="H7" s="17">
        <f t="shared" si="1"/>
        <v>13.550739315373708</v>
      </c>
      <c r="I7" s="10">
        <f t="shared" si="2"/>
        <v>-4.6555819477434683</v>
      </c>
      <c r="J7" s="17">
        <f t="shared" si="3"/>
        <v>14.101941747572816</v>
      </c>
      <c r="K7" s="10">
        <f t="shared" si="4"/>
        <v>15.794718485301445</v>
      </c>
      <c r="L7" s="18" t="s">
        <v>12</v>
      </c>
      <c r="O7" s="16"/>
      <c r="R7" s="3"/>
      <c r="S7" s="3"/>
      <c r="T7" s="3"/>
      <c r="U7" s="3"/>
      <c r="V7" s="3"/>
      <c r="W7" s="3"/>
      <c r="X7" s="3"/>
      <c r="Y7" s="11"/>
      <c r="Z7" s="3"/>
      <c r="AA7" s="12"/>
      <c r="AB7" s="14" t="s">
        <v>14</v>
      </c>
      <c r="AC7" s="1">
        <v>12.095268747988413</v>
      </c>
    </row>
    <row r="8" spans="1:29" ht="18.75">
      <c r="A8" s="14" t="s">
        <v>11</v>
      </c>
      <c r="B8" s="15">
        <v>3140</v>
      </c>
      <c r="C8" s="15">
        <v>2079</v>
      </c>
      <c r="D8" s="15">
        <v>2375</v>
      </c>
      <c r="E8" s="16">
        <v>2038</v>
      </c>
      <c r="F8" s="16">
        <v>2230</v>
      </c>
      <c r="G8" s="16">
        <v>2188</v>
      </c>
      <c r="H8" s="17">
        <f t="shared" si="1"/>
        <v>15.056377017081898</v>
      </c>
      <c r="I8" s="10">
        <f t="shared" si="2"/>
        <v>9.4210009813542683</v>
      </c>
      <c r="J8" s="17">
        <f t="shared" si="3"/>
        <v>13.276699029126213</v>
      </c>
      <c r="K8" s="10">
        <f t="shared" si="4"/>
        <v>-1.883408071748879</v>
      </c>
      <c r="L8" s="18" t="s">
        <v>15</v>
      </c>
      <c r="O8" s="16"/>
      <c r="R8" s="3"/>
      <c r="S8" s="3"/>
      <c r="T8" s="3"/>
      <c r="U8" s="3"/>
      <c r="V8" s="3"/>
      <c r="W8" s="3"/>
      <c r="X8" s="3"/>
      <c r="Y8" s="11"/>
      <c r="Z8" s="3"/>
      <c r="AA8" s="12"/>
      <c r="AB8" s="5" t="s">
        <v>16</v>
      </c>
      <c r="AC8" s="22">
        <v>10.653363373028645</v>
      </c>
    </row>
    <row r="9" spans="1:29" ht="18.75">
      <c r="A9" s="14" t="s">
        <v>16</v>
      </c>
      <c r="B9" s="23">
        <v>2014</v>
      </c>
      <c r="C9" s="15">
        <v>1712</v>
      </c>
      <c r="D9" s="23">
        <v>1829</v>
      </c>
      <c r="E9" s="16">
        <v>1655</v>
      </c>
      <c r="F9" s="16">
        <v>1787</v>
      </c>
      <c r="G9" s="16">
        <v>1814</v>
      </c>
      <c r="H9" s="17">
        <f t="shared" si="1"/>
        <v>12.065356829383568</v>
      </c>
      <c r="I9" s="10">
        <f t="shared" si="2"/>
        <v>7.9758308157099691</v>
      </c>
      <c r="J9" s="17">
        <f t="shared" si="3"/>
        <v>11.007281553398059</v>
      </c>
      <c r="K9" s="10">
        <f t="shared" si="4"/>
        <v>1.5109121432568551</v>
      </c>
      <c r="L9" s="18" t="s">
        <v>17</v>
      </c>
      <c r="O9" s="16"/>
      <c r="R9" s="3"/>
      <c r="S9" s="3"/>
      <c r="T9" s="3"/>
      <c r="U9" s="3"/>
      <c r="V9" s="3"/>
      <c r="W9" s="3"/>
      <c r="X9" s="3"/>
      <c r="Y9" s="11"/>
      <c r="Z9" s="3"/>
      <c r="AA9" s="12"/>
      <c r="AB9" s="5" t="s">
        <v>13</v>
      </c>
      <c r="AC9" s="24">
        <v>4.9565497264242033</v>
      </c>
    </row>
    <row r="10" spans="1:29" ht="18.75">
      <c r="A10" s="14" t="s">
        <v>13</v>
      </c>
      <c r="B10" s="15">
        <v>1062</v>
      </c>
      <c r="C10" s="15">
        <v>944</v>
      </c>
      <c r="D10" s="15">
        <v>781</v>
      </c>
      <c r="E10" s="16">
        <v>770</v>
      </c>
      <c r="F10" s="16">
        <v>753</v>
      </c>
      <c r="G10" s="16">
        <v>631</v>
      </c>
      <c r="H10" s="17">
        <f t="shared" si="1"/>
        <v>5.0840591452298964</v>
      </c>
      <c r="I10" s="10">
        <f t="shared" si="2"/>
        <v>-2.2077922077922079</v>
      </c>
      <c r="J10" s="17">
        <f t="shared" si="3"/>
        <v>3.828883495145631</v>
      </c>
      <c r="K10" s="10">
        <f t="shared" si="4"/>
        <v>-16.201859229747676</v>
      </c>
      <c r="L10" s="18" t="s">
        <v>19</v>
      </c>
      <c r="O10" s="16"/>
      <c r="S10" s="3"/>
      <c r="T10" s="3"/>
      <c r="U10" s="3"/>
      <c r="V10" s="3"/>
      <c r="W10" s="3"/>
      <c r="X10" s="3"/>
      <c r="Y10" s="11"/>
      <c r="Z10" s="3"/>
      <c r="AA10" s="12"/>
      <c r="AB10" s="5" t="s">
        <v>18</v>
      </c>
      <c r="AC10" s="6">
        <v>4.2613453492114584</v>
      </c>
    </row>
    <row r="11" spans="1:29" ht="18.75">
      <c r="A11" s="14" t="s">
        <v>20</v>
      </c>
      <c r="B11" s="15">
        <v>520</v>
      </c>
      <c r="C11" s="15">
        <v>541</v>
      </c>
      <c r="D11" s="15">
        <v>359</v>
      </c>
      <c r="E11" s="16">
        <v>455</v>
      </c>
      <c r="F11" s="16">
        <v>472</v>
      </c>
      <c r="G11" s="16">
        <v>467</v>
      </c>
      <c r="H11" s="17">
        <f t="shared" si="1"/>
        <v>3.186820606306124</v>
      </c>
      <c r="I11" s="10">
        <f t="shared" si="2"/>
        <v>3.7362637362637363</v>
      </c>
      <c r="J11" s="17">
        <f t="shared" si="3"/>
        <v>2.83373786407767</v>
      </c>
      <c r="K11" s="10">
        <f t="shared" si="4"/>
        <v>-1.0593220338983049</v>
      </c>
      <c r="L11" s="18" t="s">
        <v>21</v>
      </c>
      <c r="O11" s="16"/>
      <c r="R11" s="3"/>
      <c r="S11" s="3"/>
      <c r="T11" s="3"/>
      <c r="U11" s="3"/>
      <c r="V11" s="3"/>
      <c r="W11" s="3"/>
      <c r="X11" s="3"/>
      <c r="Y11" s="11"/>
      <c r="Z11" s="3"/>
      <c r="AA11" s="12"/>
      <c r="AB11" s="25" t="s">
        <v>22</v>
      </c>
      <c r="AC11" s="24">
        <v>4.119729642742195</v>
      </c>
    </row>
    <row r="12" spans="1:29" ht="18.75">
      <c r="A12" s="14" t="s">
        <v>18</v>
      </c>
      <c r="B12" s="15">
        <v>620</v>
      </c>
      <c r="C12" s="15">
        <v>546</v>
      </c>
      <c r="D12" s="15">
        <v>716</v>
      </c>
      <c r="E12" s="16">
        <v>662</v>
      </c>
      <c r="F12" s="16">
        <v>537</v>
      </c>
      <c r="G12" s="16">
        <v>483</v>
      </c>
      <c r="H12" s="17">
        <f t="shared" si="1"/>
        <v>3.6256836135304846</v>
      </c>
      <c r="I12" s="10">
        <f t="shared" si="2"/>
        <v>-18.882175226586103</v>
      </c>
      <c r="J12" s="17">
        <f t="shared" si="3"/>
        <v>2.9308252427184467</v>
      </c>
      <c r="K12" s="10">
        <f t="shared" si="4"/>
        <v>-10.05586592178771</v>
      </c>
      <c r="L12" s="18" t="s">
        <v>23</v>
      </c>
      <c r="O12" s="16"/>
      <c r="R12" s="3"/>
      <c r="S12" s="3"/>
      <c r="T12" s="3"/>
      <c r="U12" s="3"/>
      <c r="V12" s="3"/>
      <c r="W12" s="3"/>
      <c r="X12" s="3"/>
      <c r="Y12" s="11"/>
      <c r="Z12" s="3"/>
      <c r="AA12" s="12"/>
      <c r="AB12" s="5" t="s">
        <v>24</v>
      </c>
      <c r="AC12" s="13">
        <v>3.3344061795944637</v>
      </c>
    </row>
    <row r="13" spans="1:29" ht="18.75">
      <c r="A13" s="14" t="s">
        <v>25</v>
      </c>
      <c r="B13" s="15">
        <v>475</v>
      </c>
      <c r="C13" s="15">
        <v>540</v>
      </c>
      <c r="D13" s="15">
        <v>467</v>
      </c>
      <c r="E13" s="16">
        <v>417</v>
      </c>
      <c r="F13" s="16">
        <v>361</v>
      </c>
      <c r="G13" s="16">
        <v>405</v>
      </c>
      <c r="H13" s="17">
        <f t="shared" si="1"/>
        <v>2.4373776247383701</v>
      </c>
      <c r="I13" s="10">
        <f t="shared" si="2"/>
        <v>-13.429256594724221</v>
      </c>
      <c r="J13" s="17">
        <f t="shared" si="3"/>
        <v>2.4575242718446599</v>
      </c>
      <c r="K13" s="10">
        <f t="shared" si="4"/>
        <v>12.18836565096953</v>
      </c>
      <c r="L13" s="18" t="s">
        <v>26</v>
      </c>
      <c r="O13" s="16"/>
      <c r="R13" s="3"/>
      <c r="S13" s="3"/>
      <c r="T13" s="3"/>
      <c r="U13" s="3"/>
      <c r="V13" s="3"/>
      <c r="W13" s="3"/>
      <c r="X13" s="3"/>
      <c r="Y13" s="11"/>
      <c r="Z13" s="3"/>
      <c r="AA13" s="12"/>
      <c r="AB13" s="5" t="s">
        <v>20</v>
      </c>
      <c r="AC13" s="24">
        <v>2.9288702928870292</v>
      </c>
    </row>
    <row r="14" spans="1:29" ht="18.75">
      <c r="A14" s="14" t="s">
        <v>24</v>
      </c>
      <c r="B14" s="15">
        <v>377</v>
      </c>
      <c r="C14" s="15">
        <v>744</v>
      </c>
      <c r="D14" s="15">
        <v>523</v>
      </c>
      <c r="E14" s="16">
        <v>518</v>
      </c>
      <c r="F14" s="16">
        <v>516</v>
      </c>
      <c r="G14" s="16">
        <v>494</v>
      </c>
      <c r="H14" s="17">
        <f t="shared" si="1"/>
        <v>3.4838971035041522</v>
      </c>
      <c r="I14" s="10">
        <f t="shared" si="2"/>
        <v>-0.38610038610038611</v>
      </c>
      <c r="J14" s="17">
        <f t="shared" si="3"/>
        <v>2.9975728155339807</v>
      </c>
      <c r="K14" s="10">
        <f t="shared" si="4"/>
        <v>-4.2635658914728678</v>
      </c>
      <c r="L14" s="18" t="s">
        <v>28</v>
      </c>
      <c r="O14" s="16"/>
      <c r="R14" s="3"/>
      <c r="S14" s="3"/>
      <c r="T14" s="3"/>
      <c r="U14" s="3"/>
      <c r="V14" s="3"/>
      <c r="W14" s="3"/>
      <c r="X14" s="3"/>
      <c r="Y14" s="11"/>
      <c r="Z14" s="3"/>
      <c r="AA14" s="12"/>
      <c r="AB14" s="5" t="s">
        <v>25</v>
      </c>
      <c r="AC14" s="13">
        <v>2.6842613453492112</v>
      </c>
    </row>
    <row r="15" spans="1:29" ht="18.75">
      <c r="A15" s="14" t="s">
        <v>27</v>
      </c>
      <c r="B15" s="15">
        <v>186</v>
      </c>
      <c r="C15" s="15">
        <v>346</v>
      </c>
      <c r="D15" s="15">
        <v>305</v>
      </c>
      <c r="E15" s="16">
        <v>279</v>
      </c>
      <c r="F15" s="16">
        <v>240</v>
      </c>
      <c r="G15" s="16">
        <v>219</v>
      </c>
      <c r="H15" s="17">
        <f t="shared" si="1"/>
        <v>1.6204172574437916</v>
      </c>
      <c r="I15" s="10">
        <f t="shared" si="2"/>
        <v>-13.978494623655912</v>
      </c>
      <c r="J15" s="17">
        <f t="shared" si="3"/>
        <v>1.328883495145631</v>
      </c>
      <c r="K15" s="10">
        <f t="shared" si="4"/>
        <v>-8.75</v>
      </c>
      <c r="L15" s="18" t="s">
        <v>30</v>
      </c>
      <c r="O15" s="16"/>
      <c r="R15" s="3"/>
      <c r="S15" s="3"/>
      <c r="T15" s="3"/>
      <c r="U15" s="3"/>
      <c r="V15" s="3"/>
      <c r="W15" s="3"/>
      <c r="X15" s="3"/>
      <c r="Y15" s="11"/>
      <c r="Z15" s="3"/>
      <c r="AA15" s="12"/>
      <c r="AB15" s="25" t="s">
        <v>31</v>
      </c>
      <c r="AC15" s="13">
        <v>1.9826198905696812</v>
      </c>
    </row>
    <row r="16" spans="1:29" ht="18.75">
      <c r="A16" s="14" t="s">
        <v>29</v>
      </c>
      <c r="B16" s="15">
        <v>77</v>
      </c>
      <c r="C16" s="15">
        <v>91</v>
      </c>
      <c r="D16" s="15">
        <v>97</v>
      </c>
      <c r="E16" s="16">
        <v>86</v>
      </c>
      <c r="F16" s="16">
        <v>71</v>
      </c>
      <c r="G16" s="16">
        <v>86</v>
      </c>
      <c r="H16" s="17">
        <f t="shared" si="1"/>
        <v>0.47937343866045506</v>
      </c>
      <c r="I16" s="10">
        <f t="shared" si="2"/>
        <v>-17.441860465116278</v>
      </c>
      <c r="J16" s="17">
        <f t="shared" si="3"/>
        <v>0.52184466019417475</v>
      </c>
      <c r="K16" s="10">
        <f t="shared" si="4"/>
        <v>21.12676056338028</v>
      </c>
      <c r="L16" s="18" t="s">
        <v>32</v>
      </c>
      <c r="O16" s="16"/>
      <c r="R16" s="3"/>
      <c r="S16" s="3"/>
      <c r="T16" s="3"/>
      <c r="U16" s="3"/>
      <c r="V16" s="3"/>
      <c r="W16" s="3"/>
      <c r="X16" s="3"/>
      <c r="Y16" s="11"/>
      <c r="Z16" s="3"/>
      <c r="AA16" s="12"/>
      <c r="AB16" s="25" t="s">
        <v>33</v>
      </c>
      <c r="AC16" s="13">
        <v>1.9697457354361119</v>
      </c>
    </row>
    <row r="17" spans="1:29" ht="18.75">
      <c r="A17" s="14" t="s">
        <v>14</v>
      </c>
      <c r="B17" s="26">
        <v>2505</v>
      </c>
      <c r="C17" s="15">
        <v>2767</v>
      </c>
      <c r="D17" s="15">
        <v>2977</v>
      </c>
      <c r="E17" s="15">
        <v>3047</v>
      </c>
      <c r="F17" s="16">
        <v>2567</v>
      </c>
      <c r="G17" s="16">
        <f>SUM(G18:G30)</f>
        <v>2815</v>
      </c>
      <c r="H17" s="17">
        <f t="shared" si="1"/>
        <v>17.33171291607589</v>
      </c>
      <c r="I17" s="10">
        <f t="shared" si="2"/>
        <v>-15.753199868723334</v>
      </c>
      <c r="J17" s="17">
        <f t="shared" si="3"/>
        <v>17.081310679611651</v>
      </c>
      <c r="K17" s="10">
        <f t="shared" si="4"/>
        <v>9.6610829762368517</v>
      </c>
      <c r="L17" s="18" t="s">
        <v>34</v>
      </c>
      <c r="O17" s="16"/>
      <c r="R17" s="3"/>
      <c r="S17" s="3"/>
      <c r="T17" s="3"/>
      <c r="U17" s="3"/>
      <c r="V17" s="3"/>
      <c r="W17" s="3"/>
      <c r="X17" s="3"/>
      <c r="Y17" s="11"/>
      <c r="Z17" s="3"/>
      <c r="AA17" s="12"/>
      <c r="AB17" s="5" t="s">
        <v>27</v>
      </c>
      <c r="AC17" s="24">
        <v>1.7959446411329256</v>
      </c>
    </row>
    <row r="18" spans="1:29" ht="18.75">
      <c r="A18" s="27" t="s">
        <v>35</v>
      </c>
      <c r="B18" s="28"/>
      <c r="C18" s="16">
        <v>123</v>
      </c>
      <c r="D18" s="16">
        <v>101</v>
      </c>
      <c r="E18" s="16">
        <v>105</v>
      </c>
      <c r="F18" s="16">
        <v>29</v>
      </c>
      <c r="G18" s="16">
        <v>29</v>
      </c>
      <c r="H18" s="17">
        <f t="shared" si="1"/>
        <v>0.19580041860779149</v>
      </c>
      <c r="I18" s="10">
        <f t="shared" si="2"/>
        <v>-72.38095238095238</v>
      </c>
      <c r="J18" s="17">
        <f t="shared" si="3"/>
        <v>0.17597087378640774</v>
      </c>
      <c r="K18" s="10">
        <f t="shared" si="4"/>
        <v>0</v>
      </c>
      <c r="L18" s="29" t="s">
        <v>36</v>
      </c>
      <c r="O18" s="16"/>
      <c r="R18" s="3"/>
      <c r="S18" s="3"/>
      <c r="T18" s="3"/>
      <c r="U18" s="3"/>
      <c r="V18" s="3"/>
      <c r="W18" s="3"/>
      <c r="X18" s="3"/>
      <c r="Y18" s="11"/>
      <c r="Z18" s="3"/>
      <c r="AA18" s="12"/>
    </row>
    <row r="19" spans="1:29" ht="18.75">
      <c r="A19" s="27" t="s">
        <v>37</v>
      </c>
      <c r="B19" s="28"/>
      <c r="C19" s="16">
        <v>62</v>
      </c>
      <c r="D19" s="16">
        <v>59</v>
      </c>
      <c r="E19" s="16">
        <v>70</v>
      </c>
      <c r="F19" s="16">
        <v>36</v>
      </c>
      <c r="G19" s="16">
        <v>56</v>
      </c>
      <c r="H19" s="17">
        <f t="shared" si="1"/>
        <v>0.24306258861656876</v>
      </c>
      <c r="I19" s="10">
        <f t="shared" si="2"/>
        <v>-48.571428571428569</v>
      </c>
      <c r="J19" s="17">
        <f t="shared" si="3"/>
        <v>0.33980582524271846</v>
      </c>
      <c r="K19" s="10">
        <f t="shared" si="4"/>
        <v>55.555555555555557</v>
      </c>
      <c r="L19" s="29" t="s">
        <v>38</v>
      </c>
      <c r="O19" s="16"/>
      <c r="R19" s="3"/>
      <c r="S19" s="3"/>
      <c r="T19" s="3"/>
      <c r="U19" s="3"/>
      <c r="V19" s="3"/>
      <c r="W19" s="3"/>
      <c r="X19" s="3"/>
      <c r="Y19" s="11"/>
      <c r="Z19" s="3"/>
      <c r="AA19" s="12"/>
      <c r="AB19" s="30" t="s">
        <v>39</v>
      </c>
      <c r="AC19" s="31">
        <v>0.90762793691663979</v>
      </c>
    </row>
    <row r="20" spans="1:29" ht="18.75">
      <c r="A20" s="27" t="s">
        <v>40</v>
      </c>
      <c r="C20" s="16">
        <v>50</v>
      </c>
      <c r="D20" s="16">
        <v>47</v>
      </c>
      <c r="E20" s="16">
        <v>54</v>
      </c>
      <c r="F20" s="16">
        <v>55</v>
      </c>
      <c r="G20" s="16">
        <v>60</v>
      </c>
      <c r="H20" s="17">
        <f t="shared" si="1"/>
        <v>0.37134562149753558</v>
      </c>
      <c r="I20" s="10">
        <f t="shared" si="2"/>
        <v>1.8518518518518516</v>
      </c>
      <c r="J20" s="17">
        <f t="shared" si="3"/>
        <v>0.36407766990291263</v>
      </c>
      <c r="K20" s="10">
        <f t="shared" si="4"/>
        <v>9.0909090909090917</v>
      </c>
      <c r="L20" s="29" t="s">
        <v>41</v>
      </c>
      <c r="O20" s="16"/>
      <c r="R20" s="3"/>
      <c r="S20" s="3"/>
      <c r="T20" s="3"/>
      <c r="U20" s="3"/>
      <c r="V20" s="3"/>
      <c r="W20" s="3"/>
      <c r="X20" s="3"/>
      <c r="Y20" s="11"/>
      <c r="Z20" s="3"/>
      <c r="AA20" s="12"/>
      <c r="AB20" s="30" t="s">
        <v>35</v>
      </c>
      <c r="AC20" s="31">
        <v>0.67589314451239135</v>
      </c>
    </row>
    <row r="21" spans="1:29" ht="18.75">
      <c r="A21" s="27" t="s">
        <v>42</v>
      </c>
      <c r="C21" s="16">
        <v>108</v>
      </c>
      <c r="D21" s="16">
        <v>77</v>
      </c>
      <c r="E21" s="16">
        <v>71</v>
      </c>
      <c r="F21" s="16">
        <v>58</v>
      </c>
      <c r="G21" s="16">
        <v>68</v>
      </c>
      <c r="H21" s="17">
        <f t="shared" si="1"/>
        <v>0.39160083721558298</v>
      </c>
      <c r="I21" s="10">
        <f t="shared" si="2"/>
        <v>-18.30985915492958</v>
      </c>
      <c r="J21" s="17">
        <f t="shared" si="3"/>
        <v>0.41262135922330101</v>
      </c>
      <c r="K21" s="10">
        <f t="shared" si="4"/>
        <v>17.241379310344829</v>
      </c>
      <c r="L21" s="29" t="s">
        <v>43</v>
      </c>
      <c r="O21" s="16"/>
      <c r="R21" s="3"/>
      <c r="S21" s="3"/>
      <c r="T21" s="3"/>
      <c r="U21" s="3"/>
      <c r="V21" s="3"/>
      <c r="W21" s="3"/>
      <c r="X21" s="3"/>
      <c r="Y21" s="11"/>
      <c r="Z21" s="3"/>
      <c r="AA21" s="12"/>
      <c r="AB21" s="32" t="s">
        <v>29</v>
      </c>
      <c r="AC21" s="31">
        <v>0.5535886707434825</v>
      </c>
    </row>
    <row r="22" spans="1:29" ht="18.75">
      <c r="A22" s="27" t="s">
        <v>33</v>
      </c>
      <c r="C22" s="16">
        <v>201</v>
      </c>
      <c r="D22" s="16">
        <v>275</v>
      </c>
      <c r="E22" s="16">
        <v>306</v>
      </c>
      <c r="F22" s="16">
        <v>246</v>
      </c>
      <c r="G22" s="16">
        <v>218</v>
      </c>
      <c r="H22" s="17">
        <f t="shared" si="1"/>
        <v>1.6609276888798867</v>
      </c>
      <c r="I22" s="10">
        <f t="shared" si="2"/>
        <v>-19.607843137254903</v>
      </c>
      <c r="J22" s="17">
        <f t="shared" si="3"/>
        <v>1.3228155339805825</v>
      </c>
      <c r="K22" s="10">
        <f t="shared" si="4"/>
        <v>-11.38211382113821</v>
      </c>
      <c r="L22" s="29" t="s">
        <v>44</v>
      </c>
      <c r="O22" s="16"/>
      <c r="R22" s="3"/>
      <c r="S22" s="3"/>
      <c r="T22" s="3"/>
      <c r="U22" s="3"/>
      <c r="V22" s="3"/>
      <c r="W22" s="3"/>
      <c r="X22" s="3"/>
      <c r="Y22" s="11"/>
      <c r="Z22" s="3"/>
      <c r="AA22" s="12"/>
      <c r="AB22" s="30" t="s">
        <v>42</v>
      </c>
      <c r="AC22" s="31">
        <v>0.45703250724171229</v>
      </c>
    </row>
    <row r="23" spans="1:29" ht="18.75">
      <c r="A23" s="27" t="s">
        <v>31</v>
      </c>
      <c r="C23" s="16">
        <v>320</v>
      </c>
      <c r="D23" s="16">
        <v>286</v>
      </c>
      <c r="E23" s="16">
        <v>308</v>
      </c>
      <c r="F23" s="16">
        <v>213</v>
      </c>
      <c r="G23" s="16">
        <v>185</v>
      </c>
      <c r="H23" s="17">
        <f t="shared" si="1"/>
        <v>1.4381203159813651</v>
      </c>
      <c r="I23" s="10">
        <f t="shared" si="2"/>
        <v>-30.844155844155846</v>
      </c>
      <c r="J23" s="17">
        <f t="shared" si="3"/>
        <v>1.1225728155339807</v>
      </c>
      <c r="K23" s="10">
        <f t="shared" si="4"/>
        <v>-13.145539906103288</v>
      </c>
      <c r="L23" s="29" t="s">
        <v>45</v>
      </c>
      <c r="O23" s="16"/>
      <c r="R23" s="3"/>
      <c r="S23" s="3"/>
      <c r="T23" s="3"/>
      <c r="U23" s="3"/>
      <c r="V23" s="3"/>
      <c r="W23" s="3"/>
      <c r="X23" s="3"/>
      <c r="Y23" s="11"/>
      <c r="Z23" s="3"/>
      <c r="AA23" s="12"/>
      <c r="AB23" s="30" t="s">
        <v>37</v>
      </c>
      <c r="AC23" s="33">
        <v>0.45059542967492755</v>
      </c>
    </row>
    <row r="24" spans="1:29" ht="18.75">
      <c r="A24" s="27" t="s">
        <v>39</v>
      </c>
      <c r="C24" s="16">
        <v>100</v>
      </c>
      <c r="D24" s="16">
        <v>147</v>
      </c>
      <c r="E24" s="16">
        <v>141</v>
      </c>
      <c r="F24" s="16">
        <v>92</v>
      </c>
      <c r="G24" s="16">
        <v>79</v>
      </c>
      <c r="H24" s="17">
        <f t="shared" si="1"/>
        <v>0.62115994868678692</v>
      </c>
      <c r="I24" s="10">
        <f t="shared" si="2"/>
        <v>-34.751773049645394</v>
      </c>
      <c r="J24" s="17">
        <f t="shared" si="3"/>
        <v>0.47936893203883496</v>
      </c>
      <c r="K24" s="10">
        <f t="shared" si="4"/>
        <v>-14.130434782608695</v>
      </c>
      <c r="L24" s="29" t="s">
        <v>46</v>
      </c>
      <c r="O24" s="16"/>
      <c r="R24" s="3"/>
      <c r="S24" s="3"/>
      <c r="T24" s="3"/>
      <c r="U24" s="3"/>
      <c r="V24" s="3"/>
      <c r="W24" s="3"/>
      <c r="X24" s="3"/>
      <c r="Y24" s="3"/>
      <c r="AB24" s="30" t="s">
        <v>47</v>
      </c>
      <c r="AC24" s="31">
        <v>0.41841004184100417</v>
      </c>
    </row>
    <row r="25" spans="1:29" s="35" customFormat="1" ht="18.75">
      <c r="A25" s="27" t="s">
        <v>47</v>
      </c>
      <c r="B25" s="34"/>
      <c r="C25" s="16">
        <v>83</v>
      </c>
      <c r="D25" s="16">
        <v>72</v>
      </c>
      <c r="E25" s="16">
        <v>65</v>
      </c>
      <c r="F25" s="16">
        <v>87</v>
      </c>
      <c r="G25" s="16">
        <v>73</v>
      </c>
      <c r="H25" s="17">
        <f t="shared" si="1"/>
        <v>0.58740125582337455</v>
      </c>
      <c r="I25" s="10">
        <f t="shared" si="2"/>
        <v>33.846153846153847</v>
      </c>
      <c r="J25" s="17">
        <f t="shared" si="3"/>
        <v>0.44296116504854371</v>
      </c>
      <c r="K25" s="10">
        <f t="shared" si="4"/>
        <v>-16.091954022988507</v>
      </c>
      <c r="L25" s="29" t="s">
        <v>48</v>
      </c>
      <c r="O25" s="16"/>
      <c r="R25" s="19"/>
      <c r="S25" s="19"/>
      <c r="T25" s="19"/>
      <c r="U25" s="19"/>
      <c r="V25" s="19"/>
      <c r="W25" s="19"/>
      <c r="X25" s="19"/>
      <c r="Y25" s="19"/>
      <c r="Z25" s="19"/>
      <c r="AB25" s="30" t="s">
        <v>40</v>
      </c>
      <c r="AC25" s="33">
        <v>0.34760218860637271</v>
      </c>
    </row>
    <row r="26" spans="1:29" s="35" customFormat="1" ht="18.75">
      <c r="A26" s="27" t="s">
        <v>49</v>
      </c>
      <c r="B26" s="1"/>
      <c r="C26" s="16">
        <v>53</v>
      </c>
      <c r="D26" s="16">
        <v>55</v>
      </c>
      <c r="E26" s="16">
        <v>52</v>
      </c>
      <c r="F26" s="16">
        <v>28</v>
      </c>
      <c r="G26" s="16">
        <v>72</v>
      </c>
      <c r="H26" s="17">
        <f t="shared" si="1"/>
        <v>0.18904868003510902</v>
      </c>
      <c r="I26" s="10">
        <f t="shared" si="2"/>
        <v>-46.153846153846153</v>
      </c>
      <c r="J26" s="17">
        <f t="shared" si="3"/>
        <v>0.43689320388349517</v>
      </c>
      <c r="K26" s="10">
        <f t="shared" si="4"/>
        <v>157.14285714285714</v>
      </c>
      <c r="L26" s="29" t="s">
        <v>50</v>
      </c>
      <c r="O26" s="16"/>
      <c r="R26" s="19"/>
      <c r="S26" s="19"/>
      <c r="T26" s="19"/>
      <c r="U26" s="19"/>
      <c r="V26" s="19"/>
      <c r="W26" s="19"/>
      <c r="X26" s="19"/>
      <c r="Y26" s="19"/>
      <c r="Z26" s="19"/>
      <c r="AB26" s="30" t="s">
        <v>49</v>
      </c>
      <c r="AC26" s="33">
        <v>0.33472803347280333</v>
      </c>
    </row>
    <row r="27" spans="1:29" ht="18.75">
      <c r="A27" s="27" t="s">
        <v>22</v>
      </c>
      <c r="C27" s="16">
        <v>515</v>
      </c>
      <c r="D27" s="16">
        <v>599</v>
      </c>
      <c r="E27" s="16">
        <v>640</v>
      </c>
      <c r="F27" s="16">
        <v>536</v>
      </c>
      <c r="G27" s="16">
        <v>492</v>
      </c>
      <c r="H27" s="17">
        <f t="shared" si="1"/>
        <v>3.6189318749578017</v>
      </c>
      <c r="I27" s="10">
        <f t="shared" si="2"/>
        <v>-16.25</v>
      </c>
      <c r="J27" s="17">
        <f t="shared" si="3"/>
        <v>2.9854368932038833</v>
      </c>
      <c r="K27" s="10">
        <f t="shared" si="4"/>
        <v>-8.2089552238805972</v>
      </c>
      <c r="L27" s="29" t="s">
        <v>51</v>
      </c>
      <c r="O27" s="16"/>
      <c r="AB27" s="30" t="s">
        <v>52</v>
      </c>
      <c r="AC27" s="31">
        <v>0.23817186997103315</v>
      </c>
    </row>
    <row r="28" spans="1:29" ht="18.75">
      <c r="A28" s="27" t="s">
        <v>52</v>
      </c>
      <c r="C28" s="16">
        <v>57</v>
      </c>
      <c r="D28" s="16">
        <v>41</v>
      </c>
      <c r="E28" s="16">
        <v>37</v>
      </c>
      <c r="F28" s="16">
        <v>39</v>
      </c>
      <c r="G28" s="16">
        <v>19</v>
      </c>
      <c r="H28" s="17">
        <f t="shared" si="1"/>
        <v>0.26331780433461616</v>
      </c>
      <c r="I28" s="10">
        <f t="shared" si="2"/>
        <v>5.4054054054054053</v>
      </c>
      <c r="J28" s="17">
        <f t="shared" si="3"/>
        <v>0.11529126213592232</v>
      </c>
      <c r="K28" s="10">
        <f t="shared" si="4"/>
        <v>-51.282051282051277</v>
      </c>
      <c r="L28" s="29" t="s">
        <v>53</v>
      </c>
      <c r="O28" s="16"/>
      <c r="AB28" s="36" t="s">
        <v>54</v>
      </c>
      <c r="AC28" s="37">
        <v>0.14805278403604766</v>
      </c>
    </row>
    <row r="29" spans="1:29" ht="18.75">
      <c r="A29" s="27" t="s">
        <v>54</v>
      </c>
      <c r="C29" s="16">
        <v>28</v>
      </c>
      <c r="D29" s="16">
        <v>20</v>
      </c>
      <c r="E29" s="16">
        <v>23</v>
      </c>
      <c r="F29" s="16">
        <v>27</v>
      </c>
      <c r="G29" s="16">
        <v>15</v>
      </c>
      <c r="H29" s="17">
        <f t="shared" si="1"/>
        <v>0.18229694146242656</v>
      </c>
      <c r="I29" s="10">
        <f t="shared" si="2"/>
        <v>17.391304347826086</v>
      </c>
      <c r="J29" s="17">
        <f t="shared" si="3"/>
        <v>9.1019417475728157E-2</v>
      </c>
      <c r="K29" s="10">
        <f t="shared" si="4"/>
        <v>-44.444444444444443</v>
      </c>
      <c r="L29" s="29" t="s">
        <v>55</v>
      </c>
      <c r="O29" s="16"/>
      <c r="R29" s="3"/>
      <c r="S29" s="3"/>
      <c r="T29" s="3"/>
      <c r="U29" s="3"/>
      <c r="V29" s="3"/>
      <c r="W29" s="3"/>
      <c r="X29" s="3"/>
      <c r="Y29" s="3"/>
      <c r="AB29" s="38"/>
      <c r="AC29" s="39">
        <f>SUM(AC19:AC28)</f>
        <v>4.5317026070164141</v>
      </c>
    </row>
    <row r="30" spans="1:29" ht="18.75">
      <c r="A30" s="40" t="s">
        <v>14</v>
      </c>
      <c r="B30" s="41"/>
      <c r="C30" s="42">
        <v>1067</v>
      </c>
      <c r="D30" s="42">
        <v>1198</v>
      </c>
      <c r="E30" s="42">
        <v>1175</v>
      </c>
      <c r="F30" s="42">
        <v>1121</v>
      </c>
      <c r="G30" s="42">
        <v>1449</v>
      </c>
      <c r="H30" s="48">
        <f t="shared" si="1"/>
        <v>7.5686989399770432</v>
      </c>
      <c r="I30" s="49">
        <f t="shared" si="2"/>
        <v>-4.5957446808510642</v>
      </c>
      <c r="J30" s="48">
        <f t="shared" si="3"/>
        <v>8.7924757281553401</v>
      </c>
      <c r="K30" s="49">
        <f t="shared" si="4"/>
        <v>29.259589652096341</v>
      </c>
      <c r="L30" s="43" t="s">
        <v>34</v>
      </c>
      <c r="O30" s="16"/>
      <c r="R30" s="3"/>
      <c r="S30" s="3"/>
      <c r="T30" s="3"/>
      <c r="U30" s="3"/>
      <c r="V30" s="3"/>
      <c r="W30" s="3"/>
      <c r="X30" s="3"/>
      <c r="Y30" s="3"/>
      <c r="AB30" s="27" t="s">
        <v>14</v>
      </c>
      <c r="AC30" s="1">
        <v>7.5635661409719983</v>
      </c>
    </row>
    <row r="31" spans="1:29" s="44" customFormat="1" ht="16.5">
      <c r="A31" s="46" t="s">
        <v>56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51" t="s">
        <v>57</v>
      </c>
      <c r="O31" s="16"/>
      <c r="S31" s="3"/>
      <c r="T31" s="3"/>
      <c r="U31" s="3"/>
      <c r="V31" s="3"/>
      <c r="W31" s="3"/>
      <c r="X31" s="3"/>
      <c r="Y31" s="3"/>
      <c r="Z31" s="3"/>
      <c r="AB31" s="45" t="s">
        <v>14</v>
      </c>
      <c r="AC31" s="31">
        <v>19.61377534599292</v>
      </c>
    </row>
    <row r="32" spans="1:29">
      <c r="R32" s="3"/>
      <c r="S32" s="3"/>
      <c r="T32" s="3"/>
      <c r="U32" s="3"/>
      <c r="V32" s="3"/>
      <c r="W32" s="3"/>
      <c r="X32" s="3"/>
      <c r="Y32" s="3"/>
      <c r="Z32" s="3"/>
    </row>
    <row r="33" spans="16:36" ht="19.5" customHeight="1">
      <c r="P33" s="27"/>
      <c r="Q33" s="27"/>
    </row>
    <row r="34" spans="16:36" ht="19.5" customHeight="1">
      <c r="P34" s="27"/>
      <c r="Q34" s="27"/>
    </row>
    <row r="35" spans="16:36" ht="19.5" customHeight="1">
      <c r="P35" s="27"/>
      <c r="Q35" s="27"/>
    </row>
    <row r="36" spans="16:36" ht="19.5" customHeight="1">
      <c r="P36" s="27"/>
      <c r="Q36" s="27"/>
    </row>
    <row r="37" spans="16:36">
      <c r="P37" s="27"/>
      <c r="Q37" s="27"/>
    </row>
    <row r="38" spans="16:36">
      <c r="P38" s="27"/>
      <c r="Q38" s="27"/>
    </row>
    <row r="43" spans="16:36">
      <c r="AA43" s="1">
        <v>2010</v>
      </c>
      <c r="AB43" s="1">
        <v>2011</v>
      </c>
      <c r="AC43" s="1">
        <v>2012</v>
      </c>
      <c r="AD43" s="1">
        <v>2013</v>
      </c>
      <c r="AE43" s="1">
        <v>2014</v>
      </c>
      <c r="AF43" s="1">
        <v>2015</v>
      </c>
      <c r="AG43" s="1">
        <v>2016</v>
      </c>
      <c r="AH43" s="1">
        <v>2017</v>
      </c>
      <c r="AI43" s="1">
        <v>2018</v>
      </c>
      <c r="AJ43" s="1">
        <v>2019</v>
      </c>
    </row>
    <row r="44" spans="16:36">
      <c r="Z44" s="14" t="s">
        <v>6</v>
      </c>
      <c r="AA44" s="47">
        <v>-0.14973795857249811</v>
      </c>
      <c r="AB44" s="47">
        <v>18.320419895026244</v>
      </c>
      <c r="AC44" s="47">
        <v>38.804393747359526</v>
      </c>
      <c r="AD44" s="47">
        <v>1.7044589864556383</v>
      </c>
      <c r="AE44" s="47">
        <v>-23.986233727367949</v>
      </c>
      <c r="AF44" s="47">
        <f>((C6-B6)/B6)*100</f>
        <v>-21.102362204724407</v>
      </c>
      <c r="AG44" s="47">
        <f>((D6-C6)/C6)*100</f>
        <v>-9.780439121756487</v>
      </c>
      <c r="AH44" s="47">
        <f t="shared" ref="AH44:AJ48" si="5">((E6-D6)/D6)*100</f>
        <v>-3.125</v>
      </c>
      <c r="AI44" s="47">
        <f>((F6-E6)/E6)*100</f>
        <v>-6.6514416214673133</v>
      </c>
      <c r="AJ44" s="47">
        <f>((G6-F6)/F6)*100</f>
        <v>39.26605504587156</v>
      </c>
    </row>
    <row r="45" spans="16:36">
      <c r="Z45" s="14" t="s">
        <v>9</v>
      </c>
      <c r="AA45" s="47">
        <v>-19.349485562562229</v>
      </c>
      <c r="AB45" s="47">
        <v>-7.3662551440329223</v>
      </c>
      <c r="AC45" s="47">
        <v>-12.305641936916926</v>
      </c>
      <c r="AD45" s="47">
        <v>-2.2289766970618032</v>
      </c>
      <c r="AE45" s="47">
        <v>10.725388601036268</v>
      </c>
      <c r="AF45" s="47">
        <f>((C7-B7)/B7)*100</f>
        <v>-4.3518951801591017</v>
      </c>
      <c r="AG45" s="47">
        <f>((D7-C7)/C7)*100</f>
        <v>9.6868884540117417</v>
      </c>
      <c r="AH45" s="47">
        <f t="shared" si="5"/>
        <v>-6.1106155218554861</v>
      </c>
      <c r="AI45" s="47">
        <f t="shared" si="5"/>
        <v>-4.6555819477434683</v>
      </c>
      <c r="AJ45" s="47">
        <f t="shared" si="5"/>
        <v>15.794718485301445</v>
      </c>
    </row>
    <row r="46" spans="16:36">
      <c r="Z46" s="14" t="s">
        <v>11</v>
      </c>
      <c r="AA46" s="47">
        <v>-31.65680473372781</v>
      </c>
      <c r="AB46" s="47">
        <v>12.739641311069882</v>
      </c>
      <c r="AC46" s="47">
        <v>39.001645639056498</v>
      </c>
      <c r="AD46" s="47">
        <v>56.471981057616418</v>
      </c>
      <c r="AE46" s="47">
        <v>-20.807061790668349</v>
      </c>
      <c r="AF46" s="47">
        <f>((C8-B8)/B8)*100</f>
        <v>-33.789808917197448</v>
      </c>
      <c r="AG46" s="47">
        <f>((D8-C8)/C8)*100</f>
        <v>14.237614237614238</v>
      </c>
      <c r="AH46" s="47">
        <f t="shared" si="5"/>
        <v>-14.189473684210526</v>
      </c>
      <c r="AI46" s="47">
        <f t="shared" si="5"/>
        <v>9.4210009813542683</v>
      </c>
      <c r="AJ46" s="47">
        <f t="shared" si="5"/>
        <v>-1.883408071748879</v>
      </c>
    </row>
    <row r="47" spans="16:36">
      <c r="Z47" s="14" t="s">
        <v>16</v>
      </c>
      <c r="AA47" s="47">
        <v>-19.91584852734923</v>
      </c>
      <c r="AB47" s="47">
        <v>-13.601868067717454</v>
      </c>
      <c r="AC47" s="47">
        <v>1.8918918918918921</v>
      </c>
      <c r="AD47" s="47">
        <v>31.49867374005305</v>
      </c>
      <c r="AE47" s="47">
        <v>1.5632879475542107</v>
      </c>
      <c r="AF47" s="47">
        <f>((C9-B9)/B9)*100</f>
        <v>-14.995034756703079</v>
      </c>
      <c r="AG47" s="47">
        <f>((D9-C9)/C9)*100</f>
        <v>6.83411214953271</v>
      </c>
      <c r="AH47" s="47">
        <f t="shared" si="5"/>
        <v>-9.5133952979770378</v>
      </c>
      <c r="AI47" s="47">
        <f t="shared" si="5"/>
        <v>7.9758308157099691</v>
      </c>
      <c r="AJ47" s="47">
        <f t="shared" si="5"/>
        <v>1.5109121432568551</v>
      </c>
    </row>
    <row r="48" spans="16:36">
      <c r="Z48" s="14" t="s">
        <v>13</v>
      </c>
      <c r="AA48" s="47">
        <v>-23.7</v>
      </c>
      <c r="AB48" s="47">
        <v>-13.499344692005241</v>
      </c>
      <c r="AC48" s="47">
        <v>-4.2424242424242431</v>
      </c>
      <c r="AD48" s="47">
        <v>1.9778481012658229</v>
      </c>
      <c r="AE48" s="47">
        <v>-17.610550814584951</v>
      </c>
      <c r="AF48" s="47">
        <f>((C10-B10)/B10)*100</f>
        <v>-11.111111111111111</v>
      </c>
      <c r="AG48" s="47">
        <f>((D10-C10)/C10)*100</f>
        <v>-17.266949152542374</v>
      </c>
      <c r="AH48" s="47">
        <f t="shared" si="5"/>
        <v>-1.4084507042253522</v>
      </c>
      <c r="AI48" s="47">
        <f t="shared" si="5"/>
        <v>-2.2077922077922079</v>
      </c>
      <c r="AJ48" s="47">
        <f t="shared" si="5"/>
        <v>-16.201859229747676</v>
      </c>
    </row>
  </sheetData>
  <mergeCells count="10">
    <mergeCell ref="D3:D4"/>
    <mergeCell ref="E3:E4"/>
    <mergeCell ref="L3:L4"/>
    <mergeCell ref="A1:L1"/>
    <mergeCell ref="A2:L2"/>
    <mergeCell ref="A3:A4"/>
    <mergeCell ref="B3:B4"/>
    <mergeCell ref="C3:C4"/>
    <mergeCell ref="F3:F4"/>
    <mergeCell ref="G3:G4"/>
  </mergeCells>
  <pageMargins left="0.7" right="0.7" top="0.75" bottom="0.75" header="0.3" footer="0.3"/>
  <pageSetup scale="5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2020-06-28T06:51:53Z</cp:lastPrinted>
  <dcterms:created xsi:type="dcterms:W3CDTF">2019-06-30T04:22:49Z</dcterms:created>
  <dcterms:modified xsi:type="dcterms:W3CDTF">2020-06-28T06:54:32Z</dcterms:modified>
</cp:coreProperties>
</file>