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8" sheetId="8" r:id="rId1"/>
  </sheets>
  <definedNames>
    <definedName name="_xlnm.Print_Area" localSheetId="0">'8.8'!$A$1:$J$51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8" l="1"/>
  <c r="G9" i="8"/>
  <c r="G10" i="8"/>
  <c r="G11" i="8"/>
  <c r="G12" i="8"/>
  <c r="G13" i="8"/>
  <c r="G15" i="8"/>
  <c r="G16" i="8"/>
  <c r="G17" i="8"/>
  <c r="G18" i="8"/>
  <c r="G19" i="8"/>
  <c r="G20" i="8"/>
  <c r="G21" i="8"/>
  <c r="C14" i="8"/>
  <c r="D14" i="8"/>
  <c r="E14" i="8"/>
  <c r="C7" i="8"/>
  <c r="D7" i="8"/>
  <c r="E7" i="8"/>
  <c r="G7" i="8" s="1"/>
  <c r="G14" i="8" l="1"/>
  <c r="E6" i="8"/>
  <c r="H7" i="8"/>
  <c r="H8" i="8" l="1"/>
  <c r="H12" i="8"/>
  <c r="H16" i="8"/>
  <c r="H20" i="8"/>
  <c r="H10" i="8"/>
  <c r="H18" i="8"/>
  <c r="H19" i="8"/>
  <c r="H9" i="8"/>
  <c r="H13" i="8"/>
  <c r="H17" i="8"/>
  <c r="H21" i="8"/>
  <c r="H11" i="8"/>
  <c r="H15" i="8"/>
  <c r="H6" i="8"/>
  <c r="H14" i="8"/>
  <c r="C6" i="8" l="1"/>
  <c r="B14" i="8"/>
  <c r="B7" i="8"/>
  <c r="D6" i="8"/>
  <c r="G6" i="8" s="1"/>
  <c r="B6" i="8" l="1"/>
</calcChain>
</file>

<file path=xl/sharedStrings.xml><?xml version="1.0" encoding="utf-8"?>
<sst xmlns="http://schemas.openxmlformats.org/spreadsheetml/2006/main" count="47" uniqueCount="33">
  <si>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</si>
  <si>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</si>
  <si>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</si>
  <si>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</si>
  <si>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</si>
  <si>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</si>
  <si>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</si>
  <si>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</si>
  <si>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</si>
  <si>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</si>
  <si>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</si>
  <si>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</si>
  <si>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</si>
  <si>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</si>
  <si>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</si>
  <si>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</si>
  <si>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</si>
  <si>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</si>
  <si>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</si>
  <si>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</si>
  <si>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</si>
  <si>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</si>
  <si>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</si>
  <si>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</si>
  <si>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</si>
  <si>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</si>
  <si>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</si>
  <si>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</si>
  <si>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</si>
  <si>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</si>
  <si>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2018</t>
  </si>
  <si>
    <t>Table 8.8:  DRUG CASES LOGGED BY TYPE, 2016 - 2019</t>
  </si>
  <si>
    <t>ތާވަލު 8.8: ހުށަހެޅިފައިވާ މަސްތުވާތަކެތީގެ މައްސަލަތަކާއި އަދި ބާވަތް،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</si>
</sst>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</cellStyleXfs>
  <cellXfs count="55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8" fillId="2" borderId="0" xfId="0" applyNumberFormat="1" applyFont="1" applyFill="1" applyBorder="1"/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/>
    <xf numFmtId="164" fontId="23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" fontId="10" fillId="2" borderId="0" xfId="2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 indent="5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 indent="5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10" fillId="2" borderId="4" xfId="2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right" vertical="center" indent="5"/>
    </xf>
    <xf numFmtId="1" fontId="0" fillId="2" borderId="0" xfId="0" applyNumberFormat="1" applyFill="1"/>
    <xf numFmtId="1" fontId="13" fillId="2" borderId="0" xfId="2" applyNumberFormat="1" applyFont="1" applyFill="1" applyAlignment="1">
      <alignment horizontal="center" vertical="center"/>
    </xf>
    <xf numFmtId="164" fontId="7" fillId="2" borderId="4" xfId="0" applyNumberFormat="1" applyFont="1" applyFill="1" applyBorder="1" applyAlignment="1" applyProtection="1">
      <alignment horizontal="right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29" fillId="2" borderId="5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 applyProtection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 applyProtection="1">
      <alignment horizontal="right" vertical="center" wrapText="1"/>
    </xf>
    <xf numFmtId="164" fontId="3" fillId="2" borderId="8" xfId="0" applyNumberFormat="1" applyFont="1" applyFill="1" applyBorder="1" applyAlignment="1">
      <alignment horizontal="center" vertical="top"/>
    </xf>
  </cellXfs>
  <cellStyles count="8">
    <cellStyle name="Comma" xfId="1" builtinId="3"/>
    <cellStyle name="Comma 2" xfId="3"/>
    <cellStyle name="Heading 1 2" xfId="6"/>
    <cellStyle name="Normal" xfId="0" builtinId="0"/>
    <cellStyle name="Normal 2" xfId="7"/>
    <cellStyle name="Normal 3" xfId="5"/>
    <cellStyle name="Percent" xfId="2" builtin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rgbClr val="DDBA97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'8.8'!$AT$8:$AT$10</c15:sqref>
                  </c15:fullRef>
                </c:ext>
              </c:extLst>
              <c:f>'8.8'!$AT$8:$AT$9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'8.8'!$AU$8:$AU$10</c15:sqref>
                  </c15:fullRef>
                </c:ext>
              </c:extLst>
              <c:f>'8.8'!$AU$8:$AU$9</c:f>
              <c:numCache>
                <c:formatCode>_-* #,##0_-;\-* #,##0_-;_-* "-"??_-;_-@_-</c:formatCode>
                <c:ptCount val="2"/>
                <c:pt idx="0" formatCode="General_)">
                  <c:v>1966</c:v>
                </c:pt>
                <c:pt idx="1">
                  <c:v>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6B1-4759-89FB-17FE9121C893}"/>
            </c:ext>
            <c:ext xmlns:c15="http://schemas.microsoft.com/office/drawing/2012/chart" uri="{02D57815-91ED-43cb-92C2-25804820EDAC}">
              <c15:categoryFilterExceptions>
                <c15:categoryFilterException>
                  <c15:sqref>'8.8'!$AU$10</c15:sqref>
                  <c15:dLbl>
                    <c:idx val="1"/>
                    <c:delete val="1"/>
                    <c:extLst xmlns:c16="http://schemas.microsoft.com/office/drawing/2014/chart" xmlns:c16r2="http://schemas.microsoft.com/office/drawing/2015/06/chart">
                      <c:ext uri="{CE6537A1-D6FC-4f65-9D91-7224C49458BB}"/>
                    </c:extLst>
                  </c15:dLbl>
                </c15:categoryFilterException>
              </c15:categoryFilterExceptions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'8.8'!$B$3:$B$5</c:f>
              <c:strCache>
                <c:ptCount val="3"/>
                <c:pt idx="0">
                  <c:v>2016 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'8.8'!$B$8:$B$13</c:f>
              <c:numCache>
                <c:formatCode>_-* #,##0_-;\-* #,##0_-;_-* "-"??_-;_-@_-</c:formatCode>
                <c:ptCount val="6"/>
                <c:pt idx="0">
                  <c:v>1281</c:v>
                </c:pt>
                <c:pt idx="1">
                  <c:v>550</c:v>
                </c:pt>
                <c:pt idx="2">
                  <c:v>0</c:v>
                </c:pt>
                <c:pt idx="3">
                  <c:v>122</c:v>
                </c:pt>
                <c:pt idx="4">
                  <c:v>184</c:v>
                </c:pt>
                <c:pt idx="5">
                  <c:v>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'8.8'!$C$3:$C$5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'8.8'!$C$8:$C$13</c:f>
              <c:numCache>
                <c:formatCode>_-* #,##0_-;\-* #,##0_-;_-* "-"??_-;_-@_-</c:formatCode>
                <c:ptCount val="6"/>
                <c:pt idx="0">
                  <c:v>949</c:v>
                </c:pt>
                <c:pt idx="1">
                  <c:v>492</c:v>
                </c:pt>
                <c:pt idx="2">
                  <c:v>0</c:v>
                </c:pt>
                <c:pt idx="3">
                  <c:v>159</c:v>
                </c:pt>
                <c:pt idx="4">
                  <c:v>210</c:v>
                </c:pt>
                <c:pt idx="5">
                  <c:v>47</c:v>
                </c:pt>
              </c:numCache>
            </c:numRef>
          </c:val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'8.8'!$D$3:$D$5</c:f>
              <c:strCache>
                <c:ptCount val="3"/>
                <c:pt idx="0">
                  <c:v>2018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718</c:v>
                </c:pt>
                <c:pt idx="1">
                  <c:v>918</c:v>
                </c:pt>
                <c:pt idx="2">
                  <c:v>2</c:v>
                </c:pt>
                <c:pt idx="3">
                  <c:v>146</c:v>
                </c:pt>
                <c:pt idx="4">
                  <c:v>207</c:v>
                </c:pt>
                <c:pt idx="5">
                  <c:v>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ser>
          <c:idx val="3"/>
          <c:order val="3"/>
          <c:tx>
            <c:strRef>
              <c:f>'8.8'!$E$3:$E$5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F1E2D3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'8.8'!$E$9:$E$13</c:f>
              <c:numCache>
                <c:formatCode>_-* #,##0_-;\-* #,##0_-;_-* "-"??_-;_-@_-</c:formatCode>
                <c:ptCount val="5"/>
                <c:pt idx="0">
                  <c:v>878</c:v>
                </c:pt>
                <c:pt idx="1">
                  <c:v>1</c:v>
                </c:pt>
                <c:pt idx="2">
                  <c:v>175</c:v>
                </c:pt>
                <c:pt idx="3">
                  <c:v>305</c:v>
                </c:pt>
                <c:pt idx="4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F3-458C-A3CA-E5A8EE0C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297200"/>
        <c:axId val="393301120"/>
        <c:extLst xmlns:c16r2="http://schemas.microsoft.com/office/drawing/2015/06/chart"/>
      </c:barChart>
      <c:catAx>
        <c:axId val="393297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393301120"/>
        <c:crosses val="autoZero"/>
        <c:auto val="1"/>
        <c:lblAlgn val="ctr"/>
        <c:lblOffset val="100"/>
        <c:noMultiLvlLbl val="0"/>
      </c:catAx>
      <c:valAx>
        <c:axId val="39330112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393297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487951048934699"/>
          <c:y val="0.31238921552106153"/>
          <c:w val="0.39567629028591483"/>
          <c:h val="0.1727839615179937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8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8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0.88777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27339" y="83030"/>
          <a:ext cx="4421983" cy="355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2019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0.90471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3014" y="34608"/>
          <a:ext cx="3376586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2016 - 2019 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37"/>
  <sheetViews>
    <sheetView tabSelected="1" zoomScale="106" zoomScaleNormal="106" workbookViewId="0">
      <selection activeCell="B6" sqref="B1:F1048576"/>
    </sheetView>
  </sheetViews>
  <sheetFormatPr defaultColWidth="9.140625" defaultRowHeight="15"/>
  <cols>
    <col min="1" max="1" width="14.5703125" style="1" customWidth="1"/>
    <col min="2" max="5" width="11.42578125" style="1" customWidth="1"/>
    <col min="6" max="6" width="2.7109375" style="1" customWidth="1"/>
    <col min="7" max="7" width="20.5703125" style="1" customWidth="1"/>
    <col min="8" max="8" width="15" style="1" customWidth="1"/>
    <col min="9" max="9" width="20.28515625" style="1" customWidth="1"/>
    <col min="10" max="10" width="7.5703125" style="1" customWidth="1"/>
    <col min="11" max="12" width="9.140625" style="1"/>
    <col min="13" max="13" width="18.7109375" style="1" customWidth="1"/>
    <col min="14" max="14" width="9.140625" style="1"/>
    <col min="15" max="15" width="13.7109375" style="1" customWidth="1"/>
    <col min="16" max="16384" width="9.140625" style="1"/>
  </cols>
  <sheetData>
    <row r="1" spans="1:47" ht="21">
      <c r="A1" s="44" t="s">
        <v>32</v>
      </c>
      <c r="B1" s="44"/>
      <c r="C1" s="44"/>
      <c r="D1" s="44"/>
      <c r="E1" s="44"/>
      <c r="F1" s="44"/>
      <c r="G1" s="44"/>
      <c r="H1" s="44"/>
      <c r="I1" s="44"/>
    </row>
    <row r="2" spans="1:47" ht="21.75" customHeight="1">
      <c r="A2" s="42" t="s">
        <v>31</v>
      </c>
      <c r="B2" s="42"/>
      <c r="C2" s="42"/>
      <c r="D2" s="42"/>
      <c r="E2" s="43"/>
      <c r="F2" s="42"/>
      <c r="G2" s="54"/>
      <c r="H2" s="54"/>
      <c r="I2" s="42"/>
    </row>
    <row r="3" spans="1:47" ht="17.25">
      <c r="A3" s="47" t="s">
        <v>10</v>
      </c>
      <c r="B3" s="50">
        <v>2016</v>
      </c>
      <c r="C3" s="50">
        <v>2017</v>
      </c>
      <c r="D3" s="50">
        <v>2018</v>
      </c>
      <c r="E3" s="50">
        <v>2019</v>
      </c>
      <c r="F3" s="21"/>
      <c r="G3" s="40" t="s">
        <v>6</v>
      </c>
      <c r="H3" s="22">
        <v>2019</v>
      </c>
      <c r="I3" s="45" t="s">
        <v>13</v>
      </c>
    </row>
    <row r="4" spans="1:47" ht="27" customHeight="1">
      <c r="A4" s="48"/>
      <c r="B4" s="51"/>
      <c r="C4" s="51"/>
      <c r="D4" s="51"/>
      <c r="E4" s="51"/>
      <c r="F4" s="17"/>
      <c r="G4" s="18" t="s">
        <v>7</v>
      </c>
      <c r="H4" s="17" t="s">
        <v>11</v>
      </c>
      <c r="I4" s="46"/>
      <c r="K4" s="2"/>
      <c r="L4" s="2"/>
      <c r="M4" s="2"/>
      <c r="N4" s="2"/>
    </row>
    <row r="5" spans="1:47" ht="25.5" customHeight="1">
      <c r="A5" s="49"/>
      <c r="B5" s="52"/>
      <c r="C5" s="52"/>
      <c r="D5" s="52"/>
      <c r="E5" s="52"/>
      <c r="F5" s="19"/>
      <c r="G5" s="19" t="s">
        <v>30</v>
      </c>
      <c r="H5" s="19" t="s">
        <v>12</v>
      </c>
      <c r="I5" s="53"/>
      <c r="K5" s="2"/>
      <c r="L5" s="2"/>
      <c r="M5" s="2"/>
      <c r="N5" s="2"/>
    </row>
    <row r="6" spans="1:47" s="28" customFormat="1" ht="18.75">
      <c r="A6" s="3" t="s">
        <v>0</v>
      </c>
      <c r="B6" s="23">
        <f t="shared" ref="B6" si="0">B7+B14+B21</f>
        <v>2375</v>
      </c>
      <c r="C6" s="23">
        <f>C7+C14+C21</f>
        <v>2038</v>
      </c>
      <c r="D6" s="23">
        <f>D7+D14+D21</f>
        <v>2230</v>
      </c>
      <c r="E6" s="23">
        <f>E7+E14+E21</f>
        <v>2188</v>
      </c>
      <c r="F6" s="24"/>
      <c r="G6" s="25">
        <f t="shared" ref="G6:G21" si="1">IFERROR(((E6-D6)/D6)*100,"-")</f>
        <v>-1.883408071748879</v>
      </c>
      <c r="H6" s="26">
        <f>IFERROR((E6/$E$6*100),"-")</f>
        <v>100</v>
      </c>
      <c r="I6" s="27" t="s">
        <v>9</v>
      </c>
      <c r="K6" s="29"/>
      <c r="L6" s="29"/>
      <c r="M6" s="29"/>
      <c r="N6" s="29"/>
    </row>
    <row r="7" spans="1:47" s="10" customFormat="1" ht="18.75">
      <c r="A7" s="3" t="s">
        <v>1</v>
      </c>
      <c r="B7" s="24">
        <f>SUM(B8:B13)</f>
        <v>2216</v>
      </c>
      <c r="C7" s="24">
        <f t="shared" ref="C7:E7" si="2">SUM(C8:C13)</f>
        <v>1857</v>
      </c>
      <c r="D7" s="24">
        <f t="shared" si="2"/>
        <v>2046</v>
      </c>
      <c r="E7" s="24">
        <f t="shared" si="2"/>
        <v>1966</v>
      </c>
      <c r="F7" s="24"/>
      <c r="G7" s="25">
        <f>IFERROR(((E7-D7)/D7)*100,"-")</f>
        <v>-3.9100684261974585</v>
      </c>
      <c r="H7" s="26">
        <f>IFERROR((E7/$E$6*100),"-")</f>
        <v>89.853747714808037</v>
      </c>
      <c r="I7" s="27" t="s">
        <v>14</v>
      </c>
      <c r="J7" s="24"/>
      <c r="K7" s="29"/>
      <c r="L7" s="29"/>
      <c r="M7" s="29"/>
      <c r="N7" s="29"/>
    </row>
    <row r="8" spans="1:47" ht="18.75">
      <c r="A8" s="15" t="s">
        <v>15</v>
      </c>
      <c r="B8" s="30">
        <v>1281</v>
      </c>
      <c r="C8" s="30">
        <v>949</v>
      </c>
      <c r="D8" s="30">
        <v>718</v>
      </c>
      <c r="E8" s="30">
        <v>561</v>
      </c>
      <c r="F8" s="30"/>
      <c r="G8" s="38">
        <f>IFERROR(((E8-D8)/D8)*100,"-")</f>
        <v>-21.866295264623954</v>
      </c>
      <c r="H8" s="31">
        <f t="shared" ref="H8:H21" si="3">IFERROR((E8/$E$6*100),"-")</f>
        <v>25.63985374771481</v>
      </c>
      <c r="I8" s="5" t="s">
        <v>16</v>
      </c>
      <c r="J8" s="30"/>
      <c r="K8" s="2"/>
      <c r="N8" s="2"/>
      <c r="AT8" s="3" t="s">
        <v>1</v>
      </c>
      <c r="AU8" s="2">
        <v>1966</v>
      </c>
    </row>
    <row r="9" spans="1:47" ht="18.75">
      <c r="A9" s="15" t="s">
        <v>17</v>
      </c>
      <c r="B9" s="30">
        <v>550</v>
      </c>
      <c r="C9" s="30">
        <v>492</v>
      </c>
      <c r="D9" s="30">
        <v>918</v>
      </c>
      <c r="E9" s="30">
        <v>878</v>
      </c>
      <c r="F9" s="30"/>
      <c r="G9" s="38">
        <f t="shared" si="1"/>
        <v>-4.3572984749455337</v>
      </c>
      <c r="H9" s="31">
        <f t="shared" si="3"/>
        <v>40.127970749542961</v>
      </c>
      <c r="I9" s="5" t="s">
        <v>18</v>
      </c>
      <c r="J9" s="30"/>
      <c r="K9" s="2"/>
      <c r="N9" s="2"/>
      <c r="AT9" s="3" t="s">
        <v>26</v>
      </c>
      <c r="AU9" s="24">
        <v>216</v>
      </c>
    </row>
    <row r="10" spans="1:47" ht="22.5" customHeight="1">
      <c r="A10" s="15" t="s">
        <v>19</v>
      </c>
      <c r="B10" s="30">
        <v>0</v>
      </c>
      <c r="C10" s="30" t="s">
        <v>8</v>
      </c>
      <c r="D10" s="30">
        <v>2</v>
      </c>
      <c r="E10" s="30">
        <v>1</v>
      </c>
      <c r="F10" s="30"/>
      <c r="G10" s="38">
        <f t="shared" si="1"/>
        <v>-50</v>
      </c>
      <c r="H10" s="31">
        <f t="shared" si="3"/>
        <v>4.5703839122486288E-2</v>
      </c>
      <c r="I10" s="5" t="s">
        <v>20</v>
      </c>
      <c r="J10" s="30"/>
      <c r="K10" s="2"/>
      <c r="N10" s="2"/>
      <c r="AT10" s="32" t="s">
        <v>28</v>
      </c>
      <c r="AU10" s="2">
        <v>6</v>
      </c>
    </row>
    <row r="11" spans="1:47" ht="18.75">
      <c r="A11" s="15" t="s">
        <v>21</v>
      </c>
      <c r="B11" s="30">
        <v>122</v>
      </c>
      <c r="C11" s="30">
        <v>159</v>
      </c>
      <c r="D11" s="30">
        <v>146</v>
      </c>
      <c r="E11" s="30">
        <v>175</v>
      </c>
      <c r="F11" s="30"/>
      <c r="G11" s="38">
        <f t="shared" si="1"/>
        <v>19.863013698630137</v>
      </c>
      <c r="H11" s="31">
        <f t="shared" si="3"/>
        <v>7.9981718464351008</v>
      </c>
      <c r="I11" s="5" t="s">
        <v>22</v>
      </c>
      <c r="J11" s="30"/>
      <c r="K11" s="2"/>
      <c r="L11" s="2"/>
      <c r="M11" s="2"/>
      <c r="N11" s="2"/>
    </row>
    <row r="12" spans="1:47" ht="18.75">
      <c r="A12" s="15" t="s">
        <v>23</v>
      </c>
      <c r="B12" s="30">
        <v>184</v>
      </c>
      <c r="C12" s="30">
        <v>210</v>
      </c>
      <c r="D12" s="30">
        <v>207</v>
      </c>
      <c r="E12" s="30">
        <v>305</v>
      </c>
      <c r="F12" s="30"/>
      <c r="G12" s="38">
        <f t="shared" si="1"/>
        <v>47.342995169082123</v>
      </c>
      <c r="H12" s="31">
        <f t="shared" si="3"/>
        <v>13.939670932358316</v>
      </c>
      <c r="I12" s="5" t="s">
        <v>24</v>
      </c>
      <c r="J12" s="30"/>
      <c r="K12" s="2"/>
      <c r="L12" s="2"/>
      <c r="M12" s="2"/>
      <c r="N12" s="2"/>
    </row>
    <row r="13" spans="1:47" ht="18.75">
      <c r="A13" s="15" t="s">
        <v>25</v>
      </c>
      <c r="B13" s="30">
        <v>79</v>
      </c>
      <c r="C13" s="30">
        <v>47</v>
      </c>
      <c r="D13" s="30">
        <v>55</v>
      </c>
      <c r="E13" s="30">
        <v>46</v>
      </c>
      <c r="F13" s="30"/>
      <c r="G13" s="38">
        <f t="shared" si="1"/>
        <v>-16.363636363636363</v>
      </c>
      <c r="H13" s="31">
        <f t="shared" si="3"/>
        <v>2.1023765996343693</v>
      </c>
      <c r="I13" s="6" t="s">
        <v>3</v>
      </c>
      <c r="J13" s="30"/>
      <c r="K13" s="2"/>
      <c r="L13" s="2"/>
      <c r="M13" s="2"/>
      <c r="N13" s="2"/>
    </row>
    <row r="14" spans="1:47" s="10" customFormat="1" ht="18.75">
      <c r="A14" s="3" t="s">
        <v>26</v>
      </c>
      <c r="B14" s="24">
        <f t="shared" ref="B14:E14" si="4">SUM(B15:B20)</f>
        <v>151</v>
      </c>
      <c r="C14" s="24">
        <f t="shared" si="4"/>
        <v>168</v>
      </c>
      <c r="D14" s="24">
        <f t="shared" si="4"/>
        <v>178</v>
      </c>
      <c r="E14" s="24">
        <f t="shared" si="4"/>
        <v>216</v>
      </c>
      <c r="F14" s="24"/>
      <c r="G14" s="25">
        <f t="shared" si="1"/>
        <v>21.348314606741571</v>
      </c>
      <c r="H14" s="26">
        <f t="shared" si="3"/>
        <v>9.8720292504570395</v>
      </c>
      <c r="I14" s="27" t="s">
        <v>27</v>
      </c>
      <c r="J14" s="24"/>
      <c r="K14" s="29"/>
      <c r="L14" s="29"/>
      <c r="M14" s="29"/>
      <c r="N14" s="29"/>
    </row>
    <row r="15" spans="1:47" ht="18.75">
      <c r="A15" s="15" t="s">
        <v>15</v>
      </c>
      <c r="B15" s="30">
        <v>48</v>
      </c>
      <c r="C15" s="30">
        <v>59</v>
      </c>
      <c r="D15" s="30">
        <v>46</v>
      </c>
      <c r="E15" s="30">
        <v>32</v>
      </c>
      <c r="F15" s="30"/>
      <c r="G15" s="38">
        <f t="shared" si="1"/>
        <v>-30.434782608695656</v>
      </c>
      <c r="H15" s="31">
        <f t="shared" si="3"/>
        <v>1.4625228519195612</v>
      </c>
      <c r="I15" s="5" t="s">
        <v>16</v>
      </c>
      <c r="J15" s="30"/>
      <c r="K15" s="2"/>
      <c r="L15" s="2"/>
      <c r="M15" s="2"/>
      <c r="N15" s="2"/>
    </row>
    <row r="16" spans="1:47" ht="18.75">
      <c r="A16" s="15" t="s">
        <v>17</v>
      </c>
      <c r="B16" s="30">
        <v>55</v>
      </c>
      <c r="C16" s="30">
        <v>70</v>
      </c>
      <c r="D16" s="30">
        <v>83</v>
      </c>
      <c r="E16" s="30">
        <v>123</v>
      </c>
      <c r="F16" s="30"/>
      <c r="G16" s="38">
        <f t="shared" si="1"/>
        <v>48.192771084337352</v>
      </c>
      <c r="H16" s="31">
        <f t="shared" si="3"/>
        <v>5.6215722120658134</v>
      </c>
      <c r="I16" s="5" t="s">
        <v>18</v>
      </c>
      <c r="J16" s="30"/>
      <c r="K16" s="2"/>
      <c r="L16" s="2"/>
      <c r="M16" s="2"/>
      <c r="N16" s="2"/>
    </row>
    <row r="17" spans="1:15" ht="18.75">
      <c r="A17" s="15" t="s">
        <v>19</v>
      </c>
      <c r="B17" s="30">
        <v>15</v>
      </c>
      <c r="C17" s="30">
        <v>6</v>
      </c>
      <c r="D17" s="30">
        <v>9</v>
      </c>
      <c r="E17" s="30">
        <v>11</v>
      </c>
      <c r="F17" s="30"/>
      <c r="G17" s="38">
        <f t="shared" si="1"/>
        <v>22.222222222222221</v>
      </c>
      <c r="H17" s="31">
        <f t="shared" si="3"/>
        <v>0.50274223034734922</v>
      </c>
      <c r="I17" s="5" t="s">
        <v>20</v>
      </c>
      <c r="J17" s="30"/>
      <c r="K17" s="2"/>
      <c r="L17" s="2"/>
      <c r="M17" s="2"/>
      <c r="N17" s="2"/>
    </row>
    <row r="18" spans="1:15" ht="18.75">
      <c r="A18" s="15" t="s">
        <v>21</v>
      </c>
      <c r="B18" s="30">
        <v>6</v>
      </c>
      <c r="C18" s="30">
        <v>6</v>
      </c>
      <c r="D18" s="30">
        <v>7</v>
      </c>
      <c r="E18" s="30">
        <v>7</v>
      </c>
      <c r="F18" s="30"/>
      <c r="G18" s="38">
        <f t="shared" si="1"/>
        <v>0</v>
      </c>
      <c r="H18" s="31">
        <f t="shared" si="3"/>
        <v>0.31992687385740404</v>
      </c>
      <c r="I18" s="5" t="s">
        <v>22</v>
      </c>
      <c r="J18" s="30"/>
      <c r="K18" s="2"/>
      <c r="L18" s="2"/>
      <c r="M18" s="2"/>
      <c r="N18" s="2"/>
    </row>
    <row r="19" spans="1:15" ht="18.75">
      <c r="A19" s="15" t="s">
        <v>23</v>
      </c>
      <c r="B19" s="30">
        <v>23</v>
      </c>
      <c r="C19" s="30">
        <v>26</v>
      </c>
      <c r="D19" s="30">
        <v>29</v>
      </c>
      <c r="E19" s="30">
        <v>41</v>
      </c>
      <c r="F19" s="30"/>
      <c r="G19" s="38">
        <f t="shared" si="1"/>
        <v>41.379310344827587</v>
      </c>
      <c r="H19" s="31">
        <f t="shared" si="3"/>
        <v>1.8738574040219378</v>
      </c>
      <c r="I19" s="5" t="s">
        <v>24</v>
      </c>
      <c r="J19" s="30"/>
      <c r="K19" s="2"/>
      <c r="L19" s="2"/>
      <c r="M19" s="2"/>
      <c r="N19" s="2"/>
    </row>
    <row r="20" spans="1:15" s="8" customFormat="1" ht="18.75">
      <c r="A20" s="15" t="s">
        <v>2</v>
      </c>
      <c r="B20" s="30">
        <v>4</v>
      </c>
      <c r="C20" s="30">
        <v>1</v>
      </c>
      <c r="D20" s="30">
        <v>4</v>
      </c>
      <c r="E20" s="30">
        <v>2</v>
      </c>
      <c r="F20" s="30"/>
      <c r="G20" s="38">
        <f t="shared" si="1"/>
        <v>-50</v>
      </c>
      <c r="H20" s="31">
        <f t="shared" si="3"/>
        <v>9.1407678244972576E-2</v>
      </c>
      <c r="I20" s="6" t="s">
        <v>3</v>
      </c>
      <c r="J20" s="30"/>
      <c r="K20" s="9"/>
      <c r="L20" s="9"/>
      <c r="M20" s="9"/>
      <c r="N20" s="9"/>
    </row>
    <row r="21" spans="1:15" s="28" customFormat="1" ht="38.25">
      <c r="A21" s="32" t="s">
        <v>28</v>
      </c>
      <c r="B21" s="33">
        <v>8</v>
      </c>
      <c r="C21" s="33">
        <v>13</v>
      </c>
      <c r="D21" s="33">
        <v>6</v>
      </c>
      <c r="E21" s="33">
        <v>6</v>
      </c>
      <c r="F21" s="34"/>
      <c r="G21" s="35">
        <f t="shared" si="1"/>
        <v>0</v>
      </c>
      <c r="H21" s="36">
        <f t="shared" si="3"/>
        <v>0.27422303473491771</v>
      </c>
      <c r="I21" s="39" t="s">
        <v>29</v>
      </c>
      <c r="J21" s="24"/>
      <c r="K21" s="29"/>
      <c r="L21" s="29"/>
      <c r="M21" s="29"/>
    </row>
    <row r="22" spans="1:15" ht="15.6" customHeight="1">
      <c r="A22" s="12" t="s">
        <v>4</v>
      </c>
      <c r="B22" s="11"/>
      <c r="C22" s="11"/>
      <c r="D22" s="11"/>
      <c r="E22" s="11"/>
      <c r="F22" s="11"/>
      <c r="G22" s="11"/>
      <c r="H22" s="20"/>
      <c r="I22" s="41" t="s">
        <v>5</v>
      </c>
      <c r="K22" s="2"/>
      <c r="L22" s="2"/>
      <c r="M22" s="2"/>
      <c r="N22" s="2"/>
    </row>
    <row r="23" spans="1:15" ht="25.5" customHeight="1">
      <c r="A23" s="16"/>
      <c r="K23" s="2"/>
      <c r="L23" s="2"/>
      <c r="M23" s="2"/>
      <c r="N23" s="2"/>
    </row>
    <row r="24" spans="1:15">
      <c r="K24" s="2"/>
      <c r="L24" s="2"/>
      <c r="M24" s="2"/>
      <c r="N24" s="2"/>
    </row>
    <row r="25" spans="1:15">
      <c r="K25" s="2"/>
      <c r="L25" s="2"/>
      <c r="M25" s="2"/>
      <c r="N25" s="2"/>
    </row>
    <row r="26" spans="1:15">
      <c r="K26" s="2"/>
      <c r="L26" s="2"/>
      <c r="M26" s="2"/>
      <c r="N26" s="2"/>
    </row>
    <row r="27" spans="1:15">
      <c r="K27" s="2"/>
      <c r="L27" s="2"/>
      <c r="M27" s="2"/>
      <c r="N27" s="2"/>
    </row>
    <row r="28" spans="1:15" ht="17.25">
      <c r="A28" s="13"/>
      <c r="B28" s="4"/>
      <c r="C28" s="4"/>
      <c r="D28" s="4"/>
      <c r="E28" s="4"/>
      <c r="F28" s="4"/>
      <c r="G28" s="7"/>
      <c r="H28" s="7"/>
      <c r="I28" s="14"/>
      <c r="K28" s="2"/>
      <c r="L28" s="2"/>
      <c r="M28" s="2"/>
      <c r="N28" s="2"/>
    </row>
    <row r="29" spans="1:15">
      <c r="K29" s="2"/>
      <c r="L29" s="2"/>
      <c r="M29" s="3"/>
      <c r="N29" s="24"/>
      <c r="O29" s="37"/>
    </row>
    <row r="30" spans="1:15">
      <c r="K30" s="2"/>
      <c r="L30" s="2"/>
      <c r="M30" s="3"/>
      <c r="N30" s="24"/>
      <c r="O30" s="37"/>
    </row>
    <row r="31" spans="1:15">
      <c r="M31" s="3"/>
      <c r="N31" s="24"/>
      <c r="O31" s="37"/>
    </row>
    <row r="32" spans="1:15">
      <c r="M32" s="8"/>
      <c r="N32" s="8"/>
    </row>
    <row r="33" spans="13:14">
      <c r="M33" s="8"/>
      <c r="N33" s="8"/>
    </row>
    <row r="34" spans="13:14">
      <c r="M34" s="8"/>
      <c r="N34" s="8"/>
    </row>
    <row r="35" spans="13:14">
      <c r="M35" s="8"/>
      <c r="N35" s="8"/>
    </row>
    <row r="36" spans="13:14">
      <c r="M36" s="8"/>
      <c r="N36" s="8"/>
    </row>
    <row r="37" spans="13:14">
      <c r="M37" s="8"/>
      <c r="N37" s="8"/>
    </row>
  </sheetData>
  <mergeCells count="8">
    <mergeCell ref="D3:D5"/>
    <mergeCell ref="I3:I5"/>
    <mergeCell ref="A1:I1"/>
    <mergeCell ref="A2:I2"/>
    <mergeCell ref="A3:A5"/>
    <mergeCell ref="B3:B5"/>
    <mergeCell ref="C3:C5"/>
    <mergeCell ref="E3:E5"/>
  </mergeCells>
  <pageMargins left="0.7" right="0.7" top="0.75" bottom="0.75" header="0.3" footer="0.3"/>
  <pageSetup paperSize="9" scale="69" orientation="portrait" horizontalDpi="4294967295" verticalDpi="4294967295" r:id="rId1"/>
  <ignoredErrors>
    <ignoredError sqref="F14 B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2020-06-28T07:13:56Z</cp:lastPrinted>
  <dcterms:created xsi:type="dcterms:W3CDTF">2019-06-30T04:22:49Z</dcterms:created>
  <dcterms:modified xsi:type="dcterms:W3CDTF">2020-06-28T07:14:25Z</dcterms:modified>
</cp:coreProperties>
</file>