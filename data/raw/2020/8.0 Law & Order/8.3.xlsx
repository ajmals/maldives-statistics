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3" sheetId="3" r:id="rId1"/>
  </sheets>
  <definedNames>
    <definedName name="_xlnm.Print_Area" localSheetId="0">'8.3'!$A$1:$J$60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3" l="1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7" i="3"/>
  <c r="E8" i="3"/>
  <c r="E6" i="3" s="1"/>
  <c r="D8" i="3" l="1"/>
  <c r="G8" i="3" s="1"/>
  <c r="C8" i="3"/>
  <c r="C6" i="3" s="1"/>
  <c r="B8" i="3"/>
  <c r="B6" i="3" s="1"/>
  <c r="D6" i="3"/>
  <c r="G6" i="3" s="1"/>
</calcChain>
</file>

<file path=xl/sharedStrings.xml><?xml version="1.0" encoding="utf-8"?>
<sst xmlns="http://schemas.openxmlformats.org/spreadsheetml/2006/main" count="55" uniqueCount="52">
  <si>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</si>
  <si>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</si>
  <si>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</si>
  <si>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</si>
  <si>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</si>
  <si>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</si>
  <si>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</si>
  <si>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</si>
  <si>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</si>
  <si>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</si>
  <si>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</si>
  <si>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</si>
  <si>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</si>
  <si>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</si>
  <si>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</si>
  <si>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</si>
  <si>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</si>
  <si>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</si>
  <si>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</si>
  <si>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</si>
  <si>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</si>
  <si>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</si>
  <si>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</si>
  <si>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</si>
  <si>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</si>
  <si>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</si>
  <si>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</si>
  <si>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</si>
  <si>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</si>
  <si>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</si>
  <si>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</si>
  <si>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</si>
  <si>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</si>
  <si>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</si>
  <si>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</si>
  <si>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</si>
  <si>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</si>
  <si>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</si>
  <si>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</si>
  <si>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</si>
  <si>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</si>
  <si>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</si>
  <si>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</si>
  <si>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</si>
  <si>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</si>
  <si>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</si>
  <si>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</si>
  <si>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</si>
  <si>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</si>
  <si>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% change over 2018</t>
  </si>
  <si>
    <t>TABLE: 8.3: NUMBER OF  LOGGED CASES BY ATOLL, 2016 - 2019</t>
  </si>
  <si>
    <t>ތާވަލު 8.3: އެކި އަތޮޅުތަކުން ހުށަހެޅިފައިވާ މައްސަލަތަކުގެ އަދަދު،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</si>
</sst>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9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0"/>
      <name val="Faruma"/>
    </font>
    <font>
      <b/>
      <sz val="15"/>
      <color theme="3"/>
      <name val="Arial Mäori"/>
      <family val="2"/>
    </font>
    <font>
      <b/>
      <sz val="10"/>
      <name val="A_Faseyha"/>
    </font>
    <font>
      <sz val="10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8" fillId="0" borderId="4" applyNumberFormat="0" applyFill="0" applyAlignment="0" applyProtection="0"/>
    <xf numFmtId="0" fontId="26" fillId="0" borderId="0"/>
  </cellStyleXfs>
  <cellXfs count="54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0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 vertical="top"/>
    </xf>
    <xf numFmtId="164" fontId="16" fillId="2" borderId="3" xfId="0" applyNumberFormat="1" applyFont="1" applyFill="1" applyBorder="1" applyAlignment="1" applyProtection="1">
      <alignment horizontal="left" vertical="center"/>
    </xf>
    <xf numFmtId="166" fontId="7" fillId="2" borderId="0" xfId="4" applyNumberFormat="1" applyFont="1" applyFill="1" applyBorder="1" applyAlignment="1">
      <alignment horizontal="center" vertical="center"/>
    </xf>
    <xf numFmtId="166" fontId="13" fillId="2" borderId="0" xfId="4" applyNumberFormat="1" applyFont="1" applyFill="1" applyBorder="1" applyAlignment="1">
      <alignment horizontal="center" vertical="center"/>
    </xf>
    <xf numFmtId="166" fontId="13" fillId="2" borderId="2" xfId="4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/>
    <xf numFmtId="164" fontId="20" fillId="2" borderId="0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 wrapText="1"/>
    </xf>
    <xf numFmtId="9" fontId="12" fillId="2" borderId="0" xfId="2" applyFont="1" applyFill="1" applyBorder="1" applyAlignment="1" applyProtection="1">
      <alignment horizontal="center" vertical="center"/>
      <protection locked="0"/>
    </xf>
    <xf numFmtId="165" fontId="12" fillId="2" borderId="0" xfId="0" applyNumberFormat="1" applyFont="1" applyFill="1" applyBorder="1" applyAlignment="1">
      <alignment horizontal="right" vertical="center" indent="5"/>
    </xf>
    <xf numFmtId="164" fontId="19" fillId="2" borderId="0" xfId="0" applyNumberFormat="1" applyFont="1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22" fillId="2" borderId="0" xfId="0" applyFont="1" applyFill="1" applyBorder="1"/>
    <xf numFmtId="164" fontId="23" fillId="2" borderId="0" xfId="0" applyNumberFormat="1" applyFont="1" applyFill="1" applyAlignment="1">
      <alignment vertical="center"/>
    </xf>
    <xf numFmtId="164" fontId="13" fillId="2" borderId="0" xfId="0" applyNumberFormat="1" applyFont="1" applyFill="1" applyBorder="1" applyAlignment="1">
      <alignment horizontal="left" vertical="center" indent="1"/>
    </xf>
    <xf numFmtId="165" fontId="15" fillId="2" borderId="0" xfId="0" applyNumberFormat="1" applyFont="1" applyFill="1" applyBorder="1" applyAlignment="1">
      <alignment horizontal="right" vertical="center" indent="5"/>
    </xf>
    <xf numFmtId="164" fontId="18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horizontal="left" vertical="center" indent="1"/>
    </xf>
    <xf numFmtId="165" fontId="15" fillId="2" borderId="2" xfId="0" applyNumberFormat="1" applyFont="1" applyFill="1" applyBorder="1" applyAlignment="1">
      <alignment horizontal="right" vertical="center" indent="5"/>
    </xf>
    <xf numFmtId="164" fontId="24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25" fillId="2" borderId="0" xfId="0" applyNumberFormat="1" applyFont="1" applyFill="1"/>
    <xf numFmtId="9" fontId="12" fillId="2" borderId="2" xfId="2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3" fontId="29" fillId="2" borderId="0" xfId="0" applyNumberFormat="1" applyFont="1" applyFill="1" applyAlignment="1">
      <alignment horizontal="right" vertical="center" indent="1"/>
    </xf>
    <xf numFmtId="164" fontId="30" fillId="2" borderId="0" xfId="0" applyNumberFormat="1" applyFont="1" applyFill="1" applyAlignment="1">
      <alignment horizontal="right" vertical="center" indent="1"/>
    </xf>
    <xf numFmtId="164" fontId="30" fillId="2" borderId="2" xfId="0" applyNumberFormat="1" applyFont="1" applyFill="1" applyBorder="1" applyAlignment="1">
      <alignment horizontal="right" vertical="center" indent="1"/>
    </xf>
    <xf numFmtId="164" fontId="31" fillId="2" borderId="3" xfId="0" applyNumberFormat="1" applyFont="1" applyFill="1" applyBorder="1" applyAlignment="1">
      <alignment horizontal="right"/>
    </xf>
    <xf numFmtId="3" fontId="27" fillId="2" borderId="0" xfId="0" applyNumberFormat="1" applyFont="1" applyFill="1" applyAlignment="1">
      <alignment horizontal="right" vertical="center" indent="1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 applyProtection="1">
      <alignment horizontal="right" vertical="center" wrapText="1"/>
    </xf>
    <xf numFmtId="164" fontId="21" fillId="2" borderId="0" xfId="0" applyNumberFormat="1" applyFont="1" applyFill="1" applyBorder="1" applyAlignment="1" applyProtection="1">
      <alignment horizontal="right" vertical="center" wrapText="1"/>
    </xf>
    <xf numFmtId="164" fontId="4" fillId="2" borderId="0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</cellXfs>
  <cellStyles count="9">
    <cellStyle name="Comma" xfId="1" builtinId="3"/>
    <cellStyle name="Comma 2" xfId="4"/>
    <cellStyle name="Heading 1 2" xfId="7"/>
    <cellStyle name="Hyperlink" xfId="3" builtinId="8"/>
    <cellStyle name="Normal" xfId="0" builtinId="0"/>
    <cellStyle name="Normal 2" xfId="8"/>
    <cellStyle name="Normal 3" xfId="6"/>
    <cellStyle name="Percent" xfId="2" builtinId="5"/>
    <cellStyle name="Percent 2" xfId="5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2017 - 2019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6107735613364"/>
          <c:y val="0.15366973094368686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19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B019-48A6-86C9-412570D611A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'8.3'!$C$9:$C$28</c:f>
              <c:numCache>
                <c:formatCode>_-* #,##0_-;\-* #,##0_-;_-* "-"??_-;_-@_-</c:formatCode>
                <c:ptCount val="20"/>
                <c:pt idx="0">
                  <c:v>103</c:v>
                </c:pt>
                <c:pt idx="1">
                  <c:v>328</c:v>
                </c:pt>
                <c:pt idx="2">
                  <c:v>71</c:v>
                </c:pt>
                <c:pt idx="3">
                  <c:v>177</c:v>
                </c:pt>
                <c:pt idx="4">
                  <c:v>218</c:v>
                </c:pt>
                <c:pt idx="5">
                  <c:v>186</c:v>
                </c:pt>
                <c:pt idx="6">
                  <c:v>196</c:v>
                </c:pt>
                <c:pt idx="7">
                  <c:v>653</c:v>
                </c:pt>
                <c:pt idx="8">
                  <c:v>131</c:v>
                </c:pt>
                <c:pt idx="9">
                  <c:v>178</c:v>
                </c:pt>
                <c:pt idx="10">
                  <c:v>36</c:v>
                </c:pt>
                <c:pt idx="11">
                  <c:v>66</c:v>
                </c:pt>
                <c:pt idx="12">
                  <c:v>72</c:v>
                </c:pt>
                <c:pt idx="13">
                  <c:v>123</c:v>
                </c:pt>
                <c:pt idx="14">
                  <c:v>110</c:v>
                </c:pt>
                <c:pt idx="15">
                  <c:v>396</c:v>
                </c:pt>
                <c:pt idx="16">
                  <c:v>231</c:v>
                </c:pt>
                <c:pt idx="17">
                  <c:v>299</c:v>
                </c:pt>
                <c:pt idx="18">
                  <c:v>275</c:v>
                </c:pt>
                <c:pt idx="19">
                  <c:v>756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'8.3'!$D$9:$D$28</c:f>
              <c:numCache>
                <c:formatCode>_-* #,##0_-;\-* #,##0_-;_-* "-"??_-;_-@_-</c:formatCode>
                <c:ptCount val="20"/>
                <c:pt idx="0">
                  <c:v>134</c:v>
                </c:pt>
                <c:pt idx="1">
                  <c:v>354</c:v>
                </c:pt>
                <c:pt idx="2">
                  <c:v>88</c:v>
                </c:pt>
                <c:pt idx="3">
                  <c:v>177</c:v>
                </c:pt>
                <c:pt idx="4">
                  <c:v>187</c:v>
                </c:pt>
                <c:pt idx="5">
                  <c:v>155</c:v>
                </c:pt>
                <c:pt idx="6">
                  <c:v>170</c:v>
                </c:pt>
                <c:pt idx="7">
                  <c:v>524</c:v>
                </c:pt>
                <c:pt idx="8">
                  <c:v>122</c:v>
                </c:pt>
                <c:pt idx="9">
                  <c:v>193</c:v>
                </c:pt>
                <c:pt idx="10">
                  <c:v>28</c:v>
                </c:pt>
                <c:pt idx="11">
                  <c:v>78</c:v>
                </c:pt>
                <c:pt idx="12">
                  <c:v>60</c:v>
                </c:pt>
                <c:pt idx="13">
                  <c:v>139</c:v>
                </c:pt>
                <c:pt idx="14">
                  <c:v>155</c:v>
                </c:pt>
                <c:pt idx="15">
                  <c:v>298</c:v>
                </c:pt>
                <c:pt idx="16">
                  <c:v>247</c:v>
                </c:pt>
                <c:pt idx="17">
                  <c:v>388</c:v>
                </c:pt>
                <c:pt idx="18">
                  <c:v>268</c:v>
                </c:pt>
                <c:pt idx="19">
                  <c:v>843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'8.3'!$E$3:$E$5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  <c:numCache>
                <c:formatCode>_-* #,##0_-;\-* #,##0_-;_-* "-"??_-;_-@_-</c:formatCode>
                <c:ptCount val="20"/>
                <c:pt idx="0">
                  <c:v>139</c:v>
                </c:pt>
                <c:pt idx="1">
                  <c:v>359</c:v>
                </c:pt>
                <c:pt idx="2">
                  <c:v>116</c:v>
                </c:pt>
                <c:pt idx="3">
                  <c:v>219</c:v>
                </c:pt>
                <c:pt idx="4">
                  <c:v>256</c:v>
                </c:pt>
                <c:pt idx="5">
                  <c:v>146</c:v>
                </c:pt>
                <c:pt idx="6">
                  <c:v>230</c:v>
                </c:pt>
                <c:pt idx="7">
                  <c:v>705</c:v>
                </c:pt>
                <c:pt idx="8">
                  <c:v>108</c:v>
                </c:pt>
                <c:pt idx="9">
                  <c:v>210</c:v>
                </c:pt>
                <c:pt idx="10">
                  <c:v>33</c:v>
                </c:pt>
                <c:pt idx="11">
                  <c:v>88</c:v>
                </c:pt>
                <c:pt idx="12">
                  <c:v>70</c:v>
                </c:pt>
                <c:pt idx="13">
                  <c:v>156</c:v>
                </c:pt>
                <c:pt idx="14">
                  <c:v>207</c:v>
                </c:pt>
                <c:pt idx="15">
                  <c:v>257</c:v>
                </c:pt>
                <c:pt idx="16">
                  <c:v>228</c:v>
                </c:pt>
                <c:pt idx="17">
                  <c:v>365</c:v>
                </c:pt>
                <c:pt idx="18">
                  <c:v>379</c:v>
                </c:pt>
                <c:pt idx="19">
                  <c:v>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01265128"/>
        <c:axId val="401264736"/>
      </c:barChart>
      <c:catAx>
        <c:axId val="401265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01264736"/>
        <c:crosses val="autoZero"/>
        <c:auto val="1"/>
        <c:lblAlgn val="ctr"/>
        <c:lblOffset val="100"/>
        <c:noMultiLvlLbl val="0"/>
      </c:catAx>
      <c:valAx>
        <c:axId val="401264736"/>
        <c:scaling>
          <c:orientation val="minMax"/>
        </c:scaling>
        <c:delete val="0"/>
        <c:axPos val="l"/>
        <c:majorGridlines>
          <c:spPr>
            <a:ln>
              <a:solidFill>
                <a:srgbClr val="F1E2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401265128"/>
        <c:crosses val="autoZero"/>
        <c:crossBetween val="between"/>
      </c:valAx>
      <c:spPr>
        <a:solidFill>
          <a:srgbClr val="FAF5F0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4065461129752623"/>
          <c:y val="0.23763203078290995"/>
          <c:w val="0.26169219331613991"/>
          <c:h val="7.7980765591557311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6633"/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rgbClr val="663300"/>
              </a:solidFill>
            </c:spPr>
          </c:dPt>
          <c:dPt>
            <c:idx val="8"/>
            <c:invertIfNegative val="0"/>
            <c:bubble3D val="0"/>
            <c:spPr>
              <a:solidFill>
                <a:srgbClr val="663300"/>
              </a:solidFill>
            </c:spPr>
          </c:dPt>
          <c:dPt>
            <c:idx val="15"/>
            <c:invertIfNegative val="0"/>
            <c:bubble3D val="0"/>
            <c:spPr>
              <a:solidFill>
                <a:srgbClr val="663300"/>
              </a:solidFill>
            </c:spPr>
          </c:dPt>
          <c:dPt>
            <c:idx val="16"/>
            <c:invertIfNegative val="0"/>
            <c:bubble3D val="0"/>
            <c:spPr>
              <a:solidFill>
                <a:srgbClr val="663300"/>
              </a:solidFill>
            </c:spPr>
          </c:dPt>
          <c:dPt>
            <c:idx val="17"/>
            <c:invertIfNegative val="0"/>
            <c:bubble3D val="0"/>
            <c:spPr>
              <a:solidFill>
                <a:srgbClr val="663300"/>
              </a:solidFill>
            </c:spPr>
          </c:dPt>
          <c:dPt>
            <c:idx val="19"/>
            <c:invertIfNegative val="0"/>
            <c:bubble3D val="0"/>
            <c:spPr>
              <a:solidFill>
                <a:srgbClr val="663300"/>
              </a:solidFill>
            </c:spPr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0.0</c:formatCode>
                <c:ptCount val="20"/>
                <c:pt idx="0">
                  <c:v>3.7313432835820892</c:v>
                </c:pt>
                <c:pt idx="1">
                  <c:v>1.4124293785310735</c:v>
                </c:pt>
                <c:pt idx="2">
                  <c:v>31.818181818181817</c:v>
                </c:pt>
                <c:pt idx="3">
                  <c:v>23.728813559322035</c:v>
                </c:pt>
                <c:pt idx="4">
                  <c:v>36.898395721925134</c:v>
                </c:pt>
                <c:pt idx="5">
                  <c:v>-5.806451612903226</c:v>
                </c:pt>
                <c:pt idx="6">
                  <c:v>35.294117647058826</c:v>
                </c:pt>
                <c:pt idx="7">
                  <c:v>34.541984732824424</c:v>
                </c:pt>
                <c:pt idx="8">
                  <c:v>-11.475409836065573</c:v>
                </c:pt>
                <c:pt idx="9">
                  <c:v>8.8082901554404138</c:v>
                </c:pt>
                <c:pt idx="10">
                  <c:v>17.857142857142858</c:v>
                </c:pt>
                <c:pt idx="11">
                  <c:v>12.820512820512819</c:v>
                </c:pt>
                <c:pt idx="12">
                  <c:v>16.666666666666664</c:v>
                </c:pt>
                <c:pt idx="13">
                  <c:v>12.23021582733813</c:v>
                </c:pt>
                <c:pt idx="14">
                  <c:v>33.548387096774199</c:v>
                </c:pt>
                <c:pt idx="15">
                  <c:v>-13.758389261744966</c:v>
                </c:pt>
                <c:pt idx="16">
                  <c:v>-7.6923076923076925</c:v>
                </c:pt>
                <c:pt idx="17">
                  <c:v>-5.9278350515463911</c:v>
                </c:pt>
                <c:pt idx="18">
                  <c:v>41.417910447761194</c:v>
                </c:pt>
                <c:pt idx="19">
                  <c:v>-11.032028469750891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01265520"/>
        <c:axId val="401266304"/>
      </c:barChart>
      <c:catAx>
        <c:axId val="401265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01266304"/>
        <c:crosses val="autoZero"/>
        <c:auto val="1"/>
        <c:lblAlgn val="ctr"/>
        <c:lblOffset val="100"/>
        <c:noMultiLvlLbl val="0"/>
      </c:catAx>
      <c:valAx>
        <c:axId val="401266304"/>
        <c:scaling>
          <c:orientation val="minMax"/>
          <c:min val="-30"/>
        </c:scaling>
        <c:delete val="0"/>
        <c:axPos val="l"/>
        <c:majorGridlines>
          <c:spPr>
            <a:ln>
              <a:solidFill>
                <a:srgbClr val="F1E2D3"/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401265520"/>
        <c:crosses val="autoZero"/>
        <c:crossBetween val="between"/>
      </c:valAx>
      <c:spPr>
        <a:solidFill>
          <a:srgbClr val="FAF5F0"/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9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179614</xdr:colOff>
      <xdr:row>44</xdr:row>
      <xdr:rowOff>157840</xdr:rowOff>
    </xdr:from>
    <xdr:to>
      <xdr:col>9</xdr:col>
      <xdr:colOff>23046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609600</xdr:colOff>
      <xdr:row>45</xdr:row>
      <xdr:rowOff>97093</xdr:rowOff>
    </xdr:from>
    <xdr:to>
      <xdr:col>8</xdr:col>
      <xdr:colOff>203098</xdr:colOff>
      <xdr:row>47</xdr:row>
      <xdr:rowOff>20893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 txBox="1"/>
      </xdr:nvSpPr>
      <xdr:spPr>
        <a:xfrm>
          <a:off x="609600" y="8993443"/>
          <a:ext cx="5032273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(2019) by Atolls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60"/>
  <sheetViews>
    <sheetView tabSelected="1" topLeftCell="A34" zoomScale="96" zoomScaleNormal="96" workbookViewId="0">
      <selection activeCell="M9" sqref="M9"/>
    </sheetView>
  </sheetViews>
  <sheetFormatPr defaultColWidth="9.140625" defaultRowHeight="15"/>
  <cols>
    <col min="1" max="1" width="21.85546875" style="1" customWidth="1"/>
    <col min="2" max="5" width="10.42578125" style="1" bestFit="1" customWidth="1"/>
    <col min="6" max="6" width="1.42578125" style="1" customWidth="1"/>
    <col min="7" max="7" width="16" style="1" customWidth="1"/>
    <col min="8" max="8" width="11" style="1" customWidth="1"/>
    <col min="9" max="9" width="4.42578125" style="1" customWidth="1"/>
    <col min="10" max="10" width="6.5703125" style="1" bestFit="1" customWidth="1"/>
    <col min="11" max="11" width="0.140625" style="1" customWidth="1"/>
    <col min="12" max="12" width="2.42578125" style="1" hidden="1" customWidth="1"/>
    <col min="13" max="13" width="22.140625" style="1" bestFit="1" customWidth="1"/>
    <col min="14" max="16384" width="9.140625" style="1"/>
  </cols>
  <sheetData>
    <row r="1" spans="1:16" ht="21.75">
      <c r="A1" s="52" t="s">
        <v>51</v>
      </c>
      <c r="B1" s="52"/>
      <c r="C1" s="52"/>
      <c r="D1" s="52"/>
      <c r="E1" s="52"/>
      <c r="F1" s="52"/>
      <c r="G1" s="52"/>
      <c r="H1" s="52"/>
    </row>
    <row r="2" spans="1:16" ht="21.75" customHeight="1">
      <c r="A2" s="53" t="s">
        <v>50</v>
      </c>
      <c r="B2" s="53"/>
      <c r="C2" s="53"/>
      <c r="D2" s="53"/>
      <c r="E2" s="53"/>
      <c r="F2" s="53"/>
      <c r="G2" s="53"/>
      <c r="H2" s="53"/>
    </row>
    <row r="3" spans="1:16" ht="16.5" customHeight="1">
      <c r="A3" s="46" t="s">
        <v>6</v>
      </c>
      <c r="B3" s="43">
        <v>2016</v>
      </c>
      <c r="C3" s="43">
        <v>2017</v>
      </c>
      <c r="D3" s="43">
        <v>2018</v>
      </c>
      <c r="E3" s="43">
        <v>2019</v>
      </c>
      <c r="F3" s="34"/>
      <c r="G3" s="36" t="s">
        <v>7</v>
      </c>
      <c r="H3" s="50" t="s">
        <v>8</v>
      </c>
      <c r="K3" s="3"/>
      <c r="L3" s="3"/>
      <c r="M3" s="2"/>
      <c r="N3" s="3"/>
      <c r="O3" s="3"/>
      <c r="P3" s="3"/>
    </row>
    <row r="4" spans="1:16" ht="15.75" customHeight="1">
      <c r="A4" s="48"/>
      <c r="B4" s="49"/>
      <c r="C4" s="49"/>
      <c r="D4" s="49"/>
      <c r="E4" s="49"/>
      <c r="F4" s="14"/>
      <c r="G4" s="37" t="s">
        <v>9</v>
      </c>
      <c r="H4" s="51"/>
      <c r="K4" s="3"/>
      <c r="L4" s="3"/>
      <c r="M4" s="3"/>
      <c r="N4" s="3"/>
      <c r="O4" s="3"/>
      <c r="P4" s="3"/>
    </row>
    <row r="5" spans="1:16" ht="15.75" customHeight="1">
      <c r="A5" s="47"/>
      <c r="B5" s="44"/>
      <c r="C5" s="44"/>
      <c r="D5" s="44"/>
      <c r="E5" s="44"/>
      <c r="F5" s="35"/>
      <c r="G5" s="15" t="s">
        <v>49</v>
      </c>
      <c r="H5" s="45"/>
      <c r="K5" s="3"/>
      <c r="L5" s="3"/>
      <c r="M5" s="3"/>
      <c r="N5" s="3"/>
      <c r="O5" s="3"/>
      <c r="P5" s="3"/>
    </row>
    <row r="6" spans="1:16" s="18" customFormat="1" ht="15.75" customHeight="1">
      <c r="A6" s="4" t="s">
        <v>3</v>
      </c>
      <c r="B6" s="9">
        <f t="shared" ref="B6:D6" si="0">SUM(B7:B8)</f>
        <v>16287</v>
      </c>
      <c r="C6" s="9">
        <f t="shared" si="0"/>
        <v>15535</v>
      </c>
      <c r="D6" s="9">
        <f t="shared" si="0"/>
        <v>14811</v>
      </c>
      <c r="E6" s="9">
        <f t="shared" ref="E6" si="1">SUM(E7:E8)</f>
        <v>16480</v>
      </c>
      <c r="F6" s="16"/>
      <c r="G6" s="17">
        <f t="shared" ref="G6:G28" si="2">IFERROR(((E6-D6)/D6)*100,"-")</f>
        <v>11.268651677807036</v>
      </c>
      <c r="H6" s="38" t="s">
        <v>10</v>
      </c>
      <c r="K6" s="19"/>
      <c r="L6" s="20"/>
      <c r="M6" s="3"/>
      <c r="N6" s="19"/>
      <c r="O6" s="20"/>
      <c r="P6" s="21"/>
    </row>
    <row r="7" spans="1:16" s="18" customFormat="1" ht="15.75" customHeight="1">
      <c r="A7" s="4" t="s">
        <v>4</v>
      </c>
      <c r="B7" s="9">
        <v>11481</v>
      </c>
      <c r="C7" s="9">
        <v>10930</v>
      </c>
      <c r="D7" s="9">
        <v>10203</v>
      </c>
      <c r="E7" s="9">
        <v>11459</v>
      </c>
      <c r="F7" s="16"/>
      <c r="G7" s="17">
        <f t="shared" si="2"/>
        <v>12.310104871116339</v>
      </c>
      <c r="H7" s="38" t="s">
        <v>11</v>
      </c>
      <c r="M7" s="3"/>
      <c r="N7" s="21"/>
      <c r="O7" s="21"/>
      <c r="P7" s="21"/>
    </row>
    <row r="8" spans="1:16" s="18" customFormat="1" ht="15.75" customHeight="1">
      <c r="A8" s="4" t="s">
        <v>5</v>
      </c>
      <c r="B8" s="9">
        <f t="shared" ref="B8:D8" si="3">SUM(B9:B28)</f>
        <v>4806</v>
      </c>
      <c r="C8" s="9">
        <f t="shared" si="3"/>
        <v>4605</v>
      </c>
      <c r="D8" s="9">
        <f t="shared" si="3"/>
        <v>4608</v>
      </c>
      <c r="E8" s="9">
        <f t="shared" ref="E8" si="4">SUM(E9:E28)</f>
        <v>5021</v>
      </c>
      <c r="F8" s="16"/>
      <c r="G8" s="17">
        <f t="shared" si="2"/>
        <v>8.9626736111111107</v>
      </c>
      <c r="H8" s="42" t="s">
        <v>2</v>
      </c>
      <c r="K8" s="19"/>
      <c r="L8" s="20"/>
      <c r="M8" s="3"/>
      <c r="N8" s="21"/>
      <c r="O8" s="21"/>
      <c r="P8" s="21"/>
    </row>
    <row r="9" spans="1:16" s="24" customFormat="1" ht="15.75" customHeight="1">
      <c r="A9" s="22" t="s">
        <v>12</v>
      </c>
      <c r="B9" s="10">
        <v>154</v>
      </c>
      <c r="C9" s="10">
        <v>103</v>
      </c>
      <c r="D9" s="10">
        <v>134</v>
      </c>
      <c r="E9" s="10">
        <v>139</v>
      </c>
      <c r="F9" s="16"/>
      <c r="G9" s="23">
        <f t="shared" si="2"/>
        <v>3.7313432835820892</v>
      </c>
      <c r="H9" s="39" t="s">
        <v>13</v>
      </c>
      <c r="J9" s="5"/>
      <c r="K9" s="19"/>
      <c r="L9" s="20"/>
      <c r="M9" s="3"/>
      <c r="N9" s="25"/>
      <c r="O9" s="25"/>
      <c r="P9" s="25"/>
    </row>
    <row r="10" spans="1:16" s="24" customFormat="1" ht="15.75" customHeight="1">
      <c r="A10" s="22" t="s">
        <v>14</v>
      </c>
      <c r="B10" s="10">
        <v>262</v>
      </c>
      <c r="C10" s="10">
        <v>328</v>
      </c>
      <c r="D10" s="10">
        <v>354</v>
      </c>
      <c r="E10" s="10">
        <v>359</v>
      </c>
      <c r="F10" s="16"/>
      <c r="G10" s="23">
        <f t="shared" si="2"/>
        <v>1.4124293785310735</v>
      </c>
      <c r="H10" s="39" t="s">
        <v>15</v>
      </c>
      <c r="J10" s="5"/>
      <c r="K10" s="19"/>
      <c r="L10" s="20"/>
      <c r="M10" s="3"/>
      <c r="N10" s="25"/>
      <c r="O10" s="25"/>
      <c r="P10" s="25"/>
    </row>
    <row r="11" spans="1:16" s="24" customFormat="1" ht="15.75" customHeight="1">
      <c r="A11" s="22" t="s">
        <v>16</v>
      </c>
      <c r="B11" s="10">
        <v>107</v>
      </c>
      <c r="C11" s="10">
        <v>71</v>
      </c>
      <c r="D11" s="10">
        <v>88</v>
      </c>
      <c r="E11" s="10">
        <v>116</v>
      </c>
      <c r="F11" s="16"/>
      <c r="G11" s="23">
        <f t="shared" si="2"/>
        <v>31.818181818181817</v>
      </c>
      <c r="H11" s="39" t="s">
        <v>17</v>
      </c>
      <c r="J11" s="5"/>
      <c r="K11" s="19"/>
      <c r="L11" s="20"/>
      <c r="M11" s="3"/>
      <c r="N11" s="25"/>
      <c r="O11" s="25"/>
      <c r="P11" s="25"/>
    </row>
    <row r="12" spans="1:16" s="24" customFormat="1" ht="15.75" customHeight="1">
      <c r="A12" s="22" t="s">
        <v>18</v>
      </c>
      <c r="B12" s="10">
        <v>155</v>
      </c>
      <c r="C12" s="10">
        <v>177</v>
      </c>
      <c r="D12" s="10">
        <v>177</v>
      </c>
      <c r="E12" s="10">
        <v>219</v>
      </c>
      <c r="F12" s="16"/>
      <c r="G12" s="23">
        <f t="shared" si="2"/>
        <v>23.728813559322035</v>
      </c>
      <c r="H12" s="39" t="s">
        <v>19</v>
      </c>
      <c r="J12" s="5"/>
      <c r="K12" s="19"/>
      <c r="L12" s="20"/>
      <c r="M12" s="3"/>
      <c r="N12" s="25"/>
      <c r="O12" s="25"/>
      <c r="P12" s="25"/>
    </row>
    <row r="13" spans="1:16" s="24" customFormat="1" ht="15.75" customHeight="1">
      <c r="A13" s="22" t="s">
        <v>20</v>
      </c>
      <c r="B13" s="10">
        <v>234</v>
      </c>
      <c r="C13" s="10">
        <v>218</v>
      </c>
      <c r="D13" s="10">
        <v>187</v>
      </c>
      <c r="E13" s="10">
        <v>256</v>
      </c>
      <c r="F13" s="16"/>
      <c r="G13" s="23">
        <f t="shared" si="2"/>
        <v>36.898395721925134</v>
      </c>
      <c r="H13" s="39" t="s">
        <v>21</v>
      </c>
      <c r="J13" s="5"/>
      <c r="K13" s="19"/>
      <c r="L13" s="20"/>
      <c r="M13" s="3"/>
      <c r="N13" s="25"/>
      <c r="O13" s="25"/>
      <c r="P13" s="25"/>
    </row>
    <row r="14" spans="1:16" s="24" customFormat="1" ht="15.75" customHeight="1">
      <c r="A14" s="22" t="s">
        <v>22</v>
      </c>
      <c r="B14" s="10">
        <v>158</v>
      </c>
      <c r="C14" s="10">
        <v>186</v>
      </c>
      <c r="D14" s="10">
        <v>155</v>
      </c>
      <c r="E14" s="10">
        <v>146</v>
      </c>
      <c r="F14" s="16"/>
      <c r="G14" s="23">
        <f t="shared" si="2"/>
        <v>-5.806451612903226</v>
      </c>
      <c r="H14" s="39" t="s">
        <v>23</v>
      </c>
      <c r="J14" s="5"/>
      <c r="K14" s="19"/>
      <c r="L14" s="20"/>
      <c r="M14" s="3"/>
      <c r="N14" s="25"/>
      <c r="O14" s="25"/>
      <c r="P14" s="25"/>
    </row>
    <row r="15" spans="1:16" s="24" customFormat="1" ht="15.75" customHeight="1">
      <c r="A15" s="22" t="s">
        <v>24</v>
      </c>
      <c r="B15" s="10">
        <v>204</v>
      </c>
      <c r="C15" s="10">
        <v>196</v>
      </c>
      <c r="D15" s="10">
        <v>170</v>
      </c>
      <c r="E15" s="10">
        <v>230</v>
      </c>
      <c r="F15" s="16"/>
      <c r="G15" s="23">
        <f t="shared" si="2"/>
        <v>35.294117647058826</v>
      </c>
      <c r="H15" s="39" t="s">
        <v>25</v>
      </c>
      <c r="J15" s="5"/>
      <c r="K15" s="19"/>
      <c r="L15" s="20"/>
      <c r="M15" s="3"/>
      <c r="N15" s="25"/>
      <c r="O15" s="25"/>
      <c r="P15" s="25"/>
    </row>
    <row r="16" spans="1:16" s="24" customFormat="1" ht="15.75" customHeight="1">
      <c r="A16" s="22" t="s">
        <v>26</v>
      </c>
      <c r="B16" s="10">
        <v>602</v>
      </c>
      <c r="C16" s="10">
        <v>653</v>
      </c>
      <c r="D16" s="10">
        <v>524</v>
      </c>
      <c r="E16" s="10">
        <v>705</v>
      </c>
      <c r="F16" s="16"/>
      <c r="G16" s="23">
        <f t="shared" si="2"/>
        <v>34.541984732824424</v>
      </c>
      <c r="H16" s="39" t="s">
        <v>27</v>
      </c>
      <c r="J16" s="5"/>
      <c r="K16" s="19"/>
      <c r="L16" s="20"/>
      <c r="M16" s="3"/>
      <c r="N16" s="25"/>
      <c r="O16" s="25"/>
      <c r="P16" s="25"/>
    </row>
    <row r="17" spans="1:16" s="24" customFormat="1" ht="15.75" customHeight="1">
      <c r="A17" s="22" t="s">
        <v>28</v>
      </c>
      <c r="B17" s="10">
        <v>100</v>
      </c>
      <c r="C17" s="10">
        <v>131</v>
      </c>
      <c r="D17" s="10">
        <v>122</v>
      </c>
      <c r="E17" s="10">
        <v>108</v>
      </c>
      <c r="F17" s="16"/>
      <c r="G17" s="23">
        <f t="shared" si="2"/>
        <v>-11.475409836065573</v>
      </c>
      <c r="H17" s="39" t="s">
        <v>29</v>
      </c>
      <c r="J17" s="5"/>
      <c r="K17" s="19"/>
      <c r="L17" s="20"/>
      <c r="M17" s="3"/>
      <c r="N17" s="25"/>
      <c r="O17" s="25"/>
      <c r="P17" s="25"/>
    </row>
    <row r="18" spans="1:16" s="24" customFormat="1" ht="15.75" customHeight="1">
      <c r="A18" s="22" t="s">
        <v>30</v>
      </c>
      <c r="B18" s="10">
        <v>197</v>
      </c>
      <c r="C18" s="10">
        <v>178</v>
      </c>
      <c r="D18" s="10">
        <v>193</v>
      </c>
      <c r="E18" s="10">
        <v>210</v>
      </c>
      <c r="F18" s="16"/>
      <c r="G18" s="23">
        <f t="shared" si="2"/>
        <v>8.8082901554404138</v>
      </c>
      <c r="H18" s="39" t="s">
        <v>31</v>
      </c>
      <c r="J18" s="5"/>
      <c r="K18" s="19"/>
      <c r="L18" s="20"/>
      <c r="M18" s="3"/>
      <c r="N18" s="25"/>
      <c r="O18" s="25"/>
      <c r="P18" s="25"/>
    </row>
    <row r="19" spans="1:16" s="24" customFormat="1" ht="15.75" customHeight="1">
      <c r="A19" s="22" t="s">
        <v>32</v>
      </c>
      <c r="B19" s="10">
        <v>35</v>
      </c>
      <c r="C19" s="10">
        <v>36</v>
      </c>
      <c r="D19" s="10">
        <v>28</v>
      </c>
      <c r="E19" s="10">
        <v>33</v>
      </c>
      <c r="F19" s="16"/>
      <c r="G19" s="23">
        <f t="shared" si="2"/>
        <v>17.857142857142858</v>
      </c>
      <c r="H19" s="39" t="s">
        <v>33</v>
      </c>
      <c r="J19" s="5"/>
      <c r="K19" s="19"/>
      <c r="L19" s="20"/>
      <c r="M19" s="3"/>
      <c r="N19" s="25"/>
      <c r="O19" s="25"/>
      <c r="P19" s="25"/>
    </row>
    <row r="20" spans="1:16" s="24" customFormat="1" ht="15.75" customHeight="1">
      <c r="A20" s="22" t="s">
        <v>34</v>
      </c>
      <c r="B20" s="10">
        <v>65</v>
      </c>
      <c r="C20" s="10">
        <v>66</v>
      </c>
      <c r="D20" s="10">
        <v>78</v>
      </c>
      <c r="E20" s="10">
        <v>88</v>
      </c>
      <c r="F20" s="16"/>
      <c r="G20" s="23">
        <f t="shared" si="2"/>
        <v>12.820512820512819</v>
      </c>
      <c r="H20" s="39" t="s">
        <v>35</v>
      </c>
      <c r="J20" s="5"/>
      <c r="K20" s="19"/>
      <c r="L20" s="20"/>
      <c r="M20" s="3"/>
      <c r="N20" s="25"/>
      <c r="O20" s="25"/>
      <c r="P20" s="25"/>
    </row>
    <row r="21" spans="1:16" s="24" customFormat="1" ht="15.75" customHeight="1">
      <c r="A21" s="22" t="s">
        <v>36</v>
      </c>
      <c r="B21" s="10">
        <v>63</v>
      </c>
      <c r="C21" s="10">
        <v>72</v>
      </c>
      <c r="D21" s="10">
        <v>60</v>
      </c>
      <c r="E21" s="10">
        <v>70</v>
      </c>
      <c r="F21" s="16"/>
      <c r="G21" s="23">
        <f t="shared" si="2"/>
        <v>16.666666666666664</v>
      </c>
      <c r="H21" s="39" t="s">
        <v>37</v>
      </c>
      <c r="J21" s="5"/>
      <c r="K21" s="19"/>
      <c r="L21" s="20"/>
      <c r="M21" s="5"/>
      <c r="N21" s="25"/>
      <c r="O21" s="25"/>
      <c r="P21" s="25"/>
    </row>
    <row r="22" spans="1:16" s="24" customFormat="1" ht="15.75" customHeight="1">
      <c r="A22" s="22" t="s">
        <v>38</v>
      </c>
      <c r="B22" s="10">
        <v>82</v>
      </c>
      <c r="C22" s="10">
        <v>123</v>
      </c>
      <c r="D22" s="10">
        <v>139</v>
      </c>
      <c r="E22" s="10">
        <v>156</v>
      </c>
      <c r="F22" s="16"/>
      <c r="G22" s="23">
        <f t="shared" si="2"/>
        <v>12.23021582733813</v>
      </c>
      <c r="H22" s="39" t="s">
        <v>39</v>
      </c>
      <c r="J22" s="5"/>
      <c r="K22" s="19"/>
      <c r="L22" s="20"/>
      <c r="M22" s="5"/>
      <c r="N22" s="25"/>
      <c r="O22" s="25"/>
      <c r="P22" s="25"/>
    </row>
    <row r="23" spans="1:16" s="24" customFormat="1" ht="15.75" customHeight="1">
      <c r="A23" s="22" t="s">
        <v>40</v>
      </c>
      <c r="B23" s="10">
        <v>138</v>
      </c>
      <c r="C23" s="10">
        <v>110</v>
      </c>
      <c r="D23" s="10">
        <v>155</v>
      </c>
      <c r="E23" s="10">
        <v>207</v>
      </c>
      <c r="F23" s="16"/>
      <c r="G23" s="23">
        <f t="shared" si="2"/>
        <v>33.548387096774199</v>
      </c>
      <c r="H23" s="39" t="s">
        <v>41</v>
      </c>
      <c r="J23" s="5"/>
      <c r="K23" s="19"/>
      <c r="L23" s="20"/>
      <c r="M23" s="5"/>
      <c r="N23" s="25"/>
      <c r="O23" s="25"/>
      <c r="P23" s="25"/>
    </row>
    <row r="24" spans="1:16" s="24" customFormat="1" ht="15.75" customHeight="1">
      <c r="A24" s="22" t="s">
        <v>25</v>
      </c>
      <c r="B24" s="10">
        <v>316</v>
      </c>
      <c r="C24" s="10">
        <v>396</v>
      </c>
      <c r="D24" s="10">
        <v>298</v>
      </c>
      <c r="E24" s="10">
        <v>257</v>
      </c>
      <c r="F24" s="16"/>
      <c r="G24" s="23">
        <f t="shared" si="2"/>
        <v>-13.758389261744966</v>
      </c>
      <c r="H24" s="39" t="s">
        <v>42</v>
      </c>
      <c r="J24" s="5"/>
      <c r="K24" s="19"/>
      <c r="L24" s="20"/>
      <c r="M24" s="5"/>
      <c r="N24" s="25"/>
      <c r="O24" s="25"/>
      <c r="P24" s="25"/>
    </row>
    <row r="25" spans="1:16" s="24" customFormat="1" ht="15.75" customHeight="1">
      <c r="A25" s="22" t="s">
        <v>43</v>
      </c>
      <c r="B25" s="10">
        <v>274</v>
      </c>
      <c r="C25" s="10">
        <v>231</v>
      </c>
      <c r="D25" s="10">
        <v>247</v>
      </c>
      <c r="E25" s="10">
        <v>228</v>
      </c>
      <c r="F25" s="16"/>
      <c r="G25" s="23">
        <f t="shared" si="2"/>
        <v>-7.6923076923076925</v>
      </c>
      <c r="H25" s="39" t="s">
        <v>44</v>
      </c>
      <c r="J25" s="5"/>
      <c r="K25" s="19"/>
      <c r="L25" s="20"/>
      <c r="M25" s="5"/>
      <c r="N25" s="25"/>
      <c r="O25" s="25"/>
      <c r="P25" s="25"/>
    </row>
    <row r="26" spans="1:16" s="24" customFormat="1" ht="15.75" customHeight="1">
      <c r="A26" s="22" t="s">
        <v>45</v>
      </c>
      <c r="B26" s="10">
        <v>252</v>
      </c>
      <c r="C26" s="10">
        <v>299</v>
      </c>
      <c r="D26" s="10">
        <v>388</v>
      </c>
      <c r="E26" s="10">
        <v>365</v>
      </c>
      <c r="F26" s="16"/>
      <c r="G26" s="23">
        <f t="shared" si="2"/>
        <v>-5.9278350515463911</v>
      </c>
      <c r="H26" s="39" t="s">
        <v>46</v>
      </c>
      <c r="J26" s="5"/>
      <c r="K26" s="26"/>
      <c r="L26" s="26"/>
      <c r="M26" s="25"/>
      <c r="N26" s="25"/>
      <c r="O26" s="25"/>
      <c r="P26" s="25"/>
    </row>
    <row r="27" spans="1:16" s="24" customFormat="1" ht="15.75" customHeight="1">
      <c r="A27" s="22" t="s">
        <v>47</v>
      </c>
      <c r="B27" s="10">
        <v>282</v>
      </c>
      <c r="C27" s="10">
        <v>275</v>
      </c>
      <c r="D27" s="10">
        <v>268</v>
      </c>
      <c r="E27" s="10">
        <v>379</v>
      </c>
      <c r="F27" s="16"/>
      <c r="G27" s="23">
        <f t="shared" si="2"/>
        <v>41.417910447761194</v>
      </c>
      <c r="H27" s="39" t="s">
        <v>18</v>
      </c>
      <c r="J27" s="5"/>
      <c r="K27" s="25"/>
      <c r="L27" s="25"/>
      <c r="M27" s="25"/>
      <c r="N27" s="25"/>
      <c r="O27" s="25"/>
      <c r="P27" s="25"/>
    </row>
    <row r="28" spans="1:16" s="27" customFormat="1" ht="15.75" customHeight="1">
      <c r="A28" s="28" t="s">
        <v>17</v>
      </c>
      <c r="B28" s="11">
        <v>1126</v>
      </c>
      <c r="C28" s="11">
        <v>756</v>
      </c>
      <c r="D28" s="11">
        <v>843</v>
      </c>
      <c r="E28" s="11">
        <v>750</v>
      </c>
      <c r="F28" s="33"/>
      <c r="G28" s="29">
        <f t="shared" si="2"/>
        <v>-11.032028469750891</v>
      </c>
      <c r="H28" s="40" t="s">
        <v>48</v>
      </c>
      <c r="J28" s="5"/>
      <c r="K28" s="26"/>
      <c r="L28" s="26"/>
      <c r="M28" s="26"/>
      <c r="N28" s="26"/>
      <c r="O28" s="26"/>
      <c r="P28" s="26"/>
    </row>
    <row r="29" spans="1:16" s="31" customFormat="1" ht="14.25" customHeight="1">
      <c r="A29" s="8" t="s">
        <v>0</v>
      </c>
      <c r="B29" s="30"/>
      <c r="C29" s="30"/>
      <c r="D29" s="30"/>
      <c r="E29" s="30"/>
      <c r="F29" s="30"/>
      <c r="G29" s="30"/>
      <c r="H29" s="41" t="s">
        <v>1</v>
      </c>
      <c r="K29" s="7"/>
      <c r="L29" s="7"/>
      <c r="M29" s="7"/>
      <c r="N29" s="7"/>
      <c r="O29" s="7"/>
      <c r="P29" s="7"/>
    </row>
    <row r="30" spans="1:16">
      <c r="K30" s="3"/>
      <c r="L30" s="3"/>
      <c r="M30" s="3"/>
      <c r="N30" s="3"/>
      <c r="O30" s="3"/>
      <c r="P30" s="3"/>
    </row>
    <row r="31" spans="1:16">
      <c r="A31" s="32"/>
      <c r="K31" s="3"/>
      <c r="L31" s="3"/>
      <c r="N31" s="3"/>
      <c r="O31" s="3"/>
      <c r="P31" s="3"/>
    </row>
    <row r="32" spans="1:16">
      <c r="K32" s="3"/>
      <c r="L32" s="3"/>
      <c r="M32" s="3"/>
      <c r="N32" s="3"/>
      <c r="O32" s="3"/>
      <c r="P32" s="3"/>
    </row>
    <row r="33" spans="1:16">
      <c r="K33" s="3"/>
      <c r="L33" s="3"/>
      <c r="M33" s="3"/>
      <c r="N33" s="3"/>
      <c r="O33" s="3"/>
      <c r="P33" s="3"/>
    </row>
    <row r="34" spans="1:16">
      <c r="K34" s="3"/>
      <c r="L34" s="3"/>
      <c r="M34" s="3"/>
      <c r="N34" s="3"/>
      <c r="O34" s="3"/>
      <c r="P34" s="3"/>
    </row>
    <row r="35" spans="1:16">
      <c r="K35" s="3"/>
      <c r="L35" s="3"/>
      <c r="M35" s="3"/>
      <c r="N35" s="3"/>
      <c r="O35" s="3"/>
      <c r="P35" s="3"/>
    </row>
    <row r="36" spans="1:16" ht="17.25">
      <c r="A36" s="12"/>
      <c r="B36" s="6"/>
      <c r="C36" s="6"/>
      <c r="D36" s="6"/>
      <c r="E36" s="6"/>
      <c r="F36" s="6"/>
      <c r="G36" s="6"/>
      <c r="H36" s="13"/>
      <c r="K36" s="3"/>
      <c r="L36" s="3"/>
      <c r="M36" s="3"/>
      <c r="N36" s="3"/>
      <c r="O36" s="3"/>
      <c r="P36" s="3"/>
    </row>
    <row r="37" spans="1:16">
      <c r="K37" s="3"/>
      <c r="L37" s="3"/>
      <c r="M37" s="3"/>
      <c r="N37" s="3"/>
      <c r="O37" s="3"/>
      <c r="P37" s="3"/>
    </row>
    <row r="38" spans="1:16">
      <c r="K38" s="3"/>
      <c r="L38" s="3"/>
      <c r="M38" s="3"/>
      <c r="N38" s="3"/>
      <c r="O38" s="3"/>
      <c r="P38" s="3"/>
    </row>
    <row r="45" spans="1:16" ht="5.25" customHeight="1"/>
    <row r="60" ht="9" customHeight="1"/>
  </sheetData>
  <mergeCells count="8">
    <mergeCell ref="C3:C5"/>
    <mergeCell ref="D3:D5"/>
    <mergeCell ref="H3:H5"/>
    <mergeCell ref="A1:H1"/>
    <mergeCell ref="A2:H2"/>
    <mergeCell ref="A3:A5"/>
    <mergeCell ref="B3:B5"/>
    <mergeCell ref="E3:E5"/>
  </mergeCells>
  <pageMargins left="0.7" right="0.7" top="0.75" bottom="0.75" header="0.3" footer="0.3"/>
  <pageSetup scale="76" orientation="portrait" horizontalDpi="0" verticalDpi="0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2020-06-28T07:00:37Z</cp:lastPrinted>
  <dcterms:created xsi:type="dcterms:W3CDTF">2019-06-30T04:22:49Z</dcterms:created>
  <dcterms:modified xsi:type="dcterms:W3CDTF">2020-06-28T07:01:06Z</dcterms:modified>
</cp:coreProperties>
</file>