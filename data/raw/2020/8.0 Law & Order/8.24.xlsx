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709"/>
  </bookViews>
  <sheets>
    <sheet name="8.24" sheetId="23" r:id="rId1"/>
  </sheets>
  <definedNames>
    <definedName name="_xlnm.Print_Area" localSheetId="0">'8.24'!$A$1:$AW$71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Q19" i="23" l="1"/>
  <c r="BP19" i="23"/>
  <c r="BW9" i="23"/>
  <c r="BR9" i="23"/>
  <c r="AU13" i="23" l="1"/>
  <c r="AT13" i="23"/>
  <c r="AS13" i="23"/>
  <c r="AR13" i="23"/>
  <c r="AQ13" i="23"/>
  <c r="AU7" i="23"/>
  <c r="BW8" i="23" s="1"/>
  <c r="BQ18" i="23" s="1"/>
  <c r="AT7" i="23"/>
  <c r="BR8" i="23" s="1"/>
  <c r="BP18" i="23" s="1"/>
  <c r="AS7" i="23"/>
  <c r="AS6" i="23" s="1"/>
  <c r="AR7" i="23"/>
  <c r="AQ7" i="23"/>
  <c r="AT6" i="23" l="1"/>
  <c r="BR7" i="23" s="1"/>
  <c r="BP17" i="23" s="1"/>
  <c r="AU6" i="23"/>
  <c r="BW7" i="23" s="1"/>
  <c r="BQ17" i="23" s="1"/>
  <c r="AR6" i="23"/>
  <c r="AQ6" i="23"/>
  <c r="AP13" i="23" l="1"/>
  <c r="AO13" i="23"/>
  <c r="BQ9" i="23" s="1"/>
  <c r="AN13" i="23"/>
  <c r="AM13" i="23"/>
  <c r="AL13" i="23"/>
  <c r="AK13" i="23"/>
  <c r="BU9" i="23" s="1"/>
  <c r="BQ32" i="23" s="1"/>
  <c r="AJ13" i="23"/>
  <c r="AI13" i="23"/>
  <c r="AH13" i="23"/>
  <c r="AG13" i="23"/>
  <c r="AF13" i="23"/>
  <c r="BT9" i="23" s="1"/>
  <c r="AE13" i="23"/>
  <c r="BO9" i="23" s="1"/>
  <c r="AD13" i="23"/>
  <c r="AC13" i="23"/>
  <c r="AB13" i="23"/>
  <c r="AA13" i="23"/>
  <c r="BS9" i="23" s="1"/>
  <c r="Z13" i="23"/>
  <c r="BN9" i="23" s="1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F13" i="23"/>
  <c r="E13" i="23"/>
  <c r="D13" i="23"/>
  <c r="C13" i="23"/>
  <c r="B13" i="23"/>
  <c r="BP9" i="23"/>
  <c r="BQ26" i="23" s="1"/>
  <c r="AP7" i="23"/>
  <c r="BV8" i="23" s="1"/>
  <c r="AO7" i="23"/>
  <c r="BQ8" i="23" s="1"/>
  <c r="AN7" i="23"/>
  <c r="AM7" i="23"/>
  <c r="AL7" i="23"/>
  <c r="AK7" i="23"/>
  <c r="BU8" i="23" s="1"/>
  <c r="AJ7" i="23"/>
  <c r="BP8" i="23" s="1"/>
  <c r="AI7" i="23"/>
  <c r="AH7" i="23"/>
  <c r="AG7" i="23"/>
  <c r="AG6" i="23" s="1"/>
  <c r="AF7" i="23"/>
  <c r="BT8" i="23" s="1"/>
  <c r="AE7" i="23"/>
  <c r="BO8" i="23" s="1"/>
  <c r="AD7" i="23"/>
  <c r="AC7" i="23"/>
  <c r="AB7" i="23"/>
  <c r="AA7" i="23"/>
  <c r="BS8" i="23" s="1"/>
  <c r="Z7" i="23"/>
  <c r="BN8" i="23" s="1"/>
  <c r="Y7" i="23"/>
  <c r="Y6" i="23" s="1"/>
  <c r="X7" i="23"/>
  <c r="W7" i="23"/>
  <c r="V7" i="23"/>
  <c r="U7" i="23"/>
  <c r="T7" i="23"/>
  <c r="S7" i="23"/>
  <c r="R7" i="23"/>
  <c r="Q7" i="23"/>
  <c r="Q6" i="23" s="1"/>
  <c r="P7" i="23"/>
  <c r="O7" i="23"/>
  <c r="N7" i="23"/>
  <c r="M7" i="23"/>
  <c r="L7" i="23"/>
  <c r="K7" i="23"/>
  <c r="J7" i="23"/>
  <c r="I7" i="23"/>
  <c r="I6" i="23" s="1"/>
  <c r="H7" i="23"/>
  <c r="F7" i="23"/>
  <c r="E7" i="23"/>
  <c r="D7" i="23"/>
  <c r="C7" i="23"/>
  <c r="C6" i="23" s="1"/>
  <c r="B7" i="23"/>
  <c r="B6" i="23" s="1"/>
  <c r="E6" i="23"/>
  <c r="D6" i="23"/>
  <c r="S6" i="23" l="1"/>
  <c r="AI6" i="23"/>
  <c r="N6" i="23"/>
  <c r="H6" i="23"/>
  <c r="P6" i="23"/>
  <c r="X6" i="23"/>
  <c r="AN6" i="23"/>
  <c r="AO6" i="23"/>
  <c r="BQ7" i="23" s="1"/>
  <c r="L6" i="23"/>
  <c r="T6" i="23"/>
  <c r="AB6" i="23"/>
  <c r="U6" i="23"/>
  <c r="J6" i="23"/>
  <c r="R6" i="23"/>
  <c r="AH6" i="23"/>
  <c r="AP6" i="23"/>
  <c r="BV7" i="23" s="1"/>
  <c r="BR30" i="23" s="1"/>
  <c r="M6" i="23"/>
  <c r="AC6" i="23"/>
  <c r="K6" i="23"/>
  <c r="BR26" i="23"/>
  <c r="BV9" i="23"/>
  <c r="Z6" i="23"/>
  <c r="BN7" i="23" s="1"/>
  <c r="V6" i="23"/>
  <c r="AD6" i="23"/>
  <c r="AL6" i="23"/>
  <c r="AA6" i="23"/>
  <c r="BS7" i="23" s="1"/>
  <c r="AF6" i="23"/>
  <c r="BT7" i="23" s="1"/>
  <c r="F6" i="23"/>
  <c r="O6" i="23"/>
  <c r="W6" i="23"/>
  <c r="AM6" i="23"/>
  <c r="BR25" i="23"/>
  <c r="AK6" i="23"/>
  <c r="BU7" i="23" s="1"/>
  <c r="BQ30" i="23" s="1"/>
  <c r="AJ6" i="23"/>
  <c r="BP7" i="23" s="1"/>
  <c r="BQ24" i="23" s="1"/>
  <c r="BR31" i="23"/>
  <c r="BQ25" i="23"/>
  <c r="BQ31" i="23"/>
  <c r="AE6" i="23"/>
  <c r="BO7" i="23" s="1"/>
  <c r="BR24" i="23" l="1"/>
  <c r="BR32" i="23"/>
</calcChain>
</file>

<file path=xl/sharedStrings.xml><?xml version="1.0" encoding="utf-8"?>
<sst xmlns="http://schemas.openxmlformats.org/spreadsheetml/2006/main" count="172" uniqueCount="78">
  <si>
    <t>މާލެ</t>
  </si>
  <si>
    <t>Republic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</si>
  <si>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</si>
  <si>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</si>
  <si>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</si>
  <si>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</si>
  <si>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</si>
  <si>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</si>
  <si>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</si>
  <si>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</si>
  <si>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</si>
  <si>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</si>
  <si>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</si>
  <si>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</si>
  <si>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</si>
  <si>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</si>
  <si>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</si>
  <si>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</si>
  <si>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</si>
  <si>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</si>
  <si>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</si>
  <si>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</si>
  <si>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</si>
  <si>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ޖުމްލަ</t>
  </si>
  <si>
    <t>Drug court</t>
  </si>
  <si>
    <t>Juvenile court</t>
  </si>
  <si>
    <t>Family court</t>
  </si>
  <si>
    <t>Criminal court</t>
  </si>
  <si>
    <t>Civil court</t>
  </si>
  <si>
    <t>Source: Department of Judicial Administration</t>
  </si>
  <si>
    <t>cnwxErcTcsinimcDea clwxiDuj cfoa cTcnwmcTWpiD : utWmUluAwm</t>
  </si>
  <si>
    <t xml:space="preserve">Civil Cases </t>
  </si>
  <si>
    <t>HulhuMale' Court</t>
  </si>
  <si>
    <t xml:space="preserve">Criminal Cases </t>
  </si>
  <si>
    <t>Family Cases</t>
  </si>
  <si>
    <t>އަތޮޅޮތައް</t>
  </si>
  <si>
    <t>Marriage</t>
  </si>
  <si>
    <t>Divorce</t>
  </si>
  <si>
    <t>ކްރިމިނަލް މައްސަލަ</t>
  </si>
  <si>
    <t>ސިވިލް މައްސަލަ</t>
  </si>
  <si>
    <t>އާއިލީ މައްސަލަ</t>
  </si>
  <si>
    <t>ކައިވެނި</t>
  </si>
  <si>
    <t>ވަރި</t>
  </si>
  <si>
    <t>ޖިނާއީ މައްސަލަ</t>
  </si>
  <si>
    <t>މަދަނީ މައްސަލަ</t>
  </si>
  <si>
    <t xml:space="preserve">Marriage       </t>
  </si>
  <si>
    <t xml:space="preserve"> Divorce              </t>
  </si>
  <si>
    <t xml:space="preserve"> Republic</t>
  </si>
  <si>
    <t xml:space="preserve"> Male'</t>
  </si>
  <si>
    <t>ޖުވެނައިލް ކޯޓް</t>
  </si>
  <si>
    <t>ފެމިލީކޯޓް</t>
  </si>
  <si>
    <t xml:space="preserve"> Atolls</t>
  </si>
  <si>
    <t>ކްރިމިނަލްކޯޓް</t>
  </si>
  <si>
    <t>ސިވިލް ކޯޓް</t>
  </si>
  <si>
    <t>ޑްރަގް ކޯޓް</t>
  </si>
  <si>
    <t>ހުޅުމާލޭ ކޯޓް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</si>
  <si>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</si>
  <si>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</si>
  <si>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</si>
  <si>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</si>
  <si>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</si>
  <si>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</si>
  <si>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</si>
  <si>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</si>
  <si>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</si>
  <si>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</si>
  <si>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</si>
  <si>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</si>
  <si>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</si>
  <si>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</si>
  <si>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</si>
  <si>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</si>
  <si>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</si>
  <si>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</si>
  <si>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</si>
  <si>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</si>
  <si>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 xml:space="preserve">ތާވަލް 8.24: މާލެއާއި ރަށްރަށުގެ ކޯޓުތަކަށް ހުށައެޅިފައިވާ މައްސަލަތައް، 2018 -2019 </t>
  </si>
  <si>
    <t>Table 8.24: SUMMARY OF ALL NEW CASES FILED IN COURTS IN MALE' AND ATOLLS, 2018 - 2019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</si>
</sst>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0"/>
      <name val="Faruma"/>
    </font>
    <font>
      <sz val="10"/>
      <name val="Faruma"/>
    </font>
    <font>
      <sz val="48"/>
      <color rgb="FFFF0000"/>
      <name val="Calibri"/>
      <family val="2"/>
      <scheme val="minor"/>
    </font>
    <font>
      <b/>
      <sz val="15"/>
      <color theme="3"/>
      <name val="Arial Mäori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hair">
        <color theme="1" tint="4.9989318521683403E-2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 style="hair">
        <color indexed="64"/>
      </right>
      <top style="thin">
        <color indexed="64"/>
      </top>
      <bottom style="hair">
        <color theme="1" tint="4.9989318521683403E-2"/>
      </bottom>
      <diagonal/>
    </border>
    <border>
      <left style="hair">
        <color indexed="64"/>
      </left>
      <right/>
      <top style="thin">
        <color indexed="64"/>
      </top>
      <bottom style="hair">
        <color theme="1" tint="4.9989318521683403E-2"/>
      </bottom>
      <diagonal/>
    </border>
    <border>
      <left/>
      <right style="thin">
        <color theme="0"/>
      </right>
      <top/>
      <bottom/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9"/>
      </bottom>
      <diagonal/>
    </border>
    <border>
      <left style="hair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/>
      <right style="hair">
        <color indexed="64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hair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hair">
        <color indexed="64"/>
      </right>
      <top style="thin">
        <color indexed="9"/>
      </top>
      <bottom style="thin">
        <color indexed="64"/>
      </bottom>
      <diagonal/>
    </border>
    <border>
      <left style="hair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indexed="9"/>
      </bottom>
      <diagonal/>
    </border>
    <border>
      <left/>
      <right/>
      <top style="thin">
        <color theme="0"/>
      </top>
      <bottom style="thin">
        <color indexed="9"/>
      </bottom>
      <diagonal/>
    </border>
    <border>
      <left/>
      <right style="thin">
        <color theme="0"/>
      </right>
      <top style="thin">
        <color theme="0"/>
      </top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11" fillId="0" borderId="57" applyNumberFormat="0" applyFill="0" applyAlignment="0" applyProtection="0"/>
    <xf numFmtId="0" fontId="7" fillId="0" borderId="0"/>
  </cellStyleXfs>
  <cellXfs count="115">
    <xf numFmtId="0" fontId="0" fillId="0" borderId="0" xfId="0"/>
    <xf numFmtId="3" fontId="3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vertical="top"/>
    </xf>
    <xf numFmtId="164" fontId="3" fillId="2" borderId="0" xfId="0" applyNumberFormat="1" applyFont="1" applyFill="1" applyBorder="1" applyAlignment="1">
      <alignment vertical="center"/>
    </xf>
    <xf numFmtId="164" fontId="3" fillId="2" borderId="13" xfId="0" applyNumberFormat="1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vertical="center"/>
    </xf>
    <xf numFmtId="164" fontId="2" fillId="2" borderId="4" xfId="0" applyNumberFormat="1" applyFont="1" applyFill="1" applyBorder="1" applyAlignment="1">
      <alignment horizontal="right" vertical="center" wrapText="1"/>
    </xf>
    <xf numFmtId="164" fontId="2" fillId="2" borderId="38" xfId="0" applyNumberFormat="1" applyFont="1" applyFill="1" applyBorder="1" applyAlignment="1">
      <alignment horizontal="right" vertical="center" wrapText="1"/>
    </xf>
    <xf numFmtId="164" fontId="2" fillId="2" borderId="39" xfId="0" applyNumberFormat="1" applyFont="1" applyFill="1" applyBorder="1" applyAlignment="1">
      <alignment horizontal="right" vertical="center" wrapText="1"/>
    </xf>
    <xf numFmtId="164" fontId="2" fillId="2" borderId="40" xfId="0" applyNumberFormat="1" applyFont="1" applyFill="1" applyBorder="1" applyAlignment="1">
      <alignment horizontal="right" vertical="center" wrapText="1"/>
    </xf>
    <xf numFmtId="164" fontId="2" fillId="2" borderId="13" xfId="0" applyNumberFormat="1" applyFont="1" applyFill="1" applyBorder="1" applyAlignment="1">
      <alignment horizontal="right" vertical="center" wrapText="1"/>
    </xf>
    <xf numFmtId="164" fontId="2" fillId="2" borderId="17" xfId="0" applyNumberFormat="1" applyFont="1" applyFill="1" applyBorder="1" applyAlignment="1">
      <alignment horizontal="right" vertical="center" wrapText="1"/>
    </xf>
    <xf numFmtId="164" fontId="2" fillId="2" borderId="8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Border="1" applyAlignment="1">
      <alignment horizontal="right" vertical="center" wrapText="1"/>
    </xf>
    <xf numFmtId="164" fontId="2" fillId="2" borderId="37" xfId="0" applyNumberFormat="1" applyFont="1" applyFill="1" applyBorder="1" applyAlignment="1">
      <alignment horizontal="right" vertical="center" wrapText="1"/>
    </xf>
    <xf numFmtId="164" fontId="3" fillId="2" borderId="15" xfId="0" applyNumberFormat="1" applyFont="1" applyFill="1" applyBorder="1" applyAlignment="1">
      <alignment vertical="center"/>
    </xf>
    <xf numFmtId="164" fontId="3" fillId="2" borderId="10" xfId="0" applyNumberFormat="1" applyFont="1" applyFill="1" applyBorder="1" applyAlignment="1">
      <alignment vertical="center"/>
    </xf>
    <xf numFmtId="164" fontId="8" fillId="2" borderId="20" xfId="0" applyNumberFormat="1" applyFont="1" applyFill="1" applyBorder="1" applyAlignment="1">
      <alignment horizontal="right" vertical="center"/>
    </xf>
    <xf numFmtId="164" fontId="8" fillId="2" borderId="11" xfId="0" applyNumberFormat="1" applyFont="1" applyFill="1" applyBorder="1" applyAlignment="1">
      <alignment horizontal="right" vertical="center"/>
    </xf>
    <xf numFmtId="164" fontId="8" fillId="2" borderId="6" xfId="0" applyNumberFormat="1" applyFont="1" applyFill="1" applyBorder="1" applyAlignment="1">
      <alignment horizontal="right" vertical="center"/>
    </xf>
    <xf numFmtId="164" fontId="8" fillId="2" borderId="16" xfId="0" applyNumberFormat="1" applyFont="1" applyFill="1" applyBorder="1" applyAlignment="1">
      <alignment horizontal="right" vertical="center"/>
    </xf>
    <xf numFmtId="164" fontId="8" fillId="2" borderId="41" xfId="0" applyNumberFormat="1" applyFont="1" applyFill="1" applyBorder="1" applyAlignment="1">
      <alignment horizontal="right" vertical="center"/>
    </xf>
    <xf numFmtId="164" fontId="8" fillId="2" borderId="7" xfId="0" applyNumberFormat="1" applyFont="1" applyFill="1" applyBorder="1" applyAlignment="1">
      <alignment horizontal="right" vertical="center"/>
    </xf>
    <xf numFmtId="164" fontId="3" fillId="2" borderId="10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 applyProtection="1">
      <alignment horizontal="left" vertical="center" indent="1"/>
    </xf>
    <xf numFmtId="3" fontId="2" fillId="2" borderId="27" xfId="1" applyNumberFormat="1" applyFont="1" applyFill="1" applyBorder="1" applyAlignment="1">
      <alignment horizontal="right" vertical="center"/>
    </xf>
    <xf numFmtId="3" fontId="2" fillId="2" borderId="42" xfId="1" applyNumberFormat="1" applyFont="1" applyFill="1" applyBorder="1" applyAlignment="1">
      <alignment horizontal="right" vertical="center"/>
    </xf>
    <xf numFmtId="3" fontId="2" fillId="2" borderId="43" xfId="1" applyNumberFormat="1" applyFont="1" applyFill="1" applyBorder="1" applyAlignment="1">
      <alignment horizontal="right" vertical="center"/>
    </xf>
    <xf numFmtId="3" fontId="2" fillId="2" borderId="1" xfId="1" applyNumberFormat="1" applyFont="1" applyFill="1" applyBorder="1" applyAlignment="1">
      <alignment horizontal="right" vertical="center"/>
    </xf>
    <xf numFmtId="3" fontId="2" fillId="2" borderId="8" xfId="1" applyNumberFormat="1" applyFont="1" applyFill="1" applyBorder="1" applyAlignment="1">
      <alignment horizontal="right" vertical="center"/>
    </xf>
    <xf numFmtId="3" fontId="2" fillId="2" borderId="44" xfId="1" applyNumberFormat="1" applyFont="1" applyFill="1" applyBorder="1" applyAlignment="1">
      <alignment horizontal="right" vertical="center"/>
    </xf>
    <xf numFmtId="164" fontId="8" fillId="2" borderId="5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left" vertical="center"/>
    </xf>
    <xf numFmtId="164" fontId="2" fillId="2" borderId="5" xfId="0" applyNumberFormat="1" applyFont="1" applyFill="1" applyBorder="1" applyAlignment="1" applyProtection="1">
      <alignment horizontal="left" vertical="center"/>
    </xf>
    <xf numFmtId="164" fontId="3" fillId="2" borderId="26" xfId="0" applyNumberFormat="1" applyFont="1" applyFill="1" applyBorder="1" applyAlignment="1">
      <alignment horizontal="left" vertical="center"/>
    </xf>
    <xf numFmtId="3" fontId="2" fillId="2" borderId="28" xfId="1" applyNumberFormat="1" applyFont="1" applyFill="1" applyBorder="1" applyAlignment="1">
      <alignment horizontal="right" vertical="center"/>
    </xf>
    <xf numFmtId="3" fontId="2" fillId="2" borderId="45" xfId="1" applyNumberFormat="1" applyFont="1" applyFill="1" applyBorder="1" applyAlignment="1">
      <alignment horizontal="right" vertical="center"/>
    </xf>
    <xf numFmtId="3" fontId="2" fillId="2" borderId="46" xfId="1" applyNumberFormat="1" applyFont="1" applyFill="1" applyBorder="1" applyAlignment="1">
      <alignment horizontal="right" vertical="center"/>
    </xf>
    <xf numFmtId="3" fontId="2" fillId="2" borderId="47" xfId="1" applyNumberFormat="1" applyFont="1" applyFill="1" applyBorder="1" applyAlignment="1">
      <alignment horizontal="right" vertical="center"/>
    </xf>
    <xf numFmtId="164" fontId="8" fillId="2" borderId="26" xfId="0" applyNumberFormat="1" applyFont="1" applyFill="1" applyBorder="1" applyAlignment="1">
      <alignment horizontal="right" vertical="center"/>
    </xf>
    <xf numFmtId="164" fontId="3" fillId="2" borderId="26" xfId="0" applyNumberFormat="1" applyFont="1" applyFill="1" applyBorder="1" applyAlignment="1" applyProtection="1">
      <alignment horizontal="left" vertical="center" indent="2"/>
    </xf>
    <xf numFmtId="3" fontId="3" fillId="2" borderId="26" xfId="1" applyNumberFormat="1" applyFont="1" applyFill="1" applyBorder="1" applyAlignment="1">
      <alignment horizontal="right" vertical="center"/>
    </xf>
    <xf numFmtId="3" fontId="3" fillId="2" borderId="48" xfId="1" applyNumberFormat="1" applyFont="1" applyFill="1" applyBorder="1" applyAlignment="1">
      <alignment horizontal="right" vertical="center"/>
    </xf>
    <xf numFmtId="3" fontId="3" fillId="2" borderId="46" xfId="1" applyNumberFormat="1" applyFont="1" applyFill="1" applyBorder="1" applyAlignment="1">
      <alignment horizontal="right" vertical="center"/>
    </xf>
    <xf numFmtId="3" fontId="3" fillId="2" borderId="28" xfId="1" applyNumberFormat="1" applyFont="1" applyFill="1" applyBorder="1" applyAlignment="1">
      <alignment horizontal="right" vertical="center"/>
    </xf>
    <xf numFmtId="3" fontId="3" fillId="2" borderId="25" xfId="1" applyNumberFormat="1" applyFont="1" applyFill="1" applyBorder="1" applyAlignment="1">
      <alignment horizontal="right" vertical="center"/>
    </xf>
    <xf numFmtId="3" fontId="3" fillId="2" borderId="8" xfId="1" applyNumberFormat="1" applyFont="1" applyFill="1" applyBorder="1" applyAlignment="1">
      <alignment horizontal="right" vertical="center"/>
    </xf>
    <xf numFmtId="164" fontId="9" fillId="2" borderId="26" xfId="0" applyNumberFormat="1" applyFont="1" applyFill="1" applyBorder="1" applyAlignment="1">
      <alignment horizontal="right" vertical="center" indent="1"/>
    </xf>
    <xf numFmtId="164" fontId="2" fillId="2" borderId="26" xfId="0" applyNumberFormat="1" applyFont="1" applyFill="1" applyBorder="1" applyAlignment="1" applyProtection="1">
      <alignment horizontal="left" vertical="center"/>
    </xf>
    <xf numFmtId="164" fontId="2" fillId="2" borderId="26" xfId="0" applyNumberFormat="1" applyFont="1" applyFill="1" applyBorder="1" applyAlignment="1" applyProtection="1">
      <alignment horizontal="left" vertical="center" indent="1"/>
    </xf>
    <xf numFmtId="164" fontId="9" fillId="2" borderId="26" xfId="0" applyNumberFormat="1" applyFont="1" applyFill="1" applyBorder="1" applyAlignment="1">
      <alignment horizontal="right" vertical="center" indent="2"/>
    </xf>
    <xf numFmtId="164" fontId="3" fillId="2" borderId="30" xfId="0" applyNumberFormat="1" applyFont="1" applyFill="1" applyBorder="1" applyAlignment="1" applyProtection="1">
      <alignment horizontal="left" vertical="center" indent="2"/>
    </xf>
    <xf numFmtId="3" fontId="3" fillId="2" borderId="30" xfId="1" applyNumberFormat="1" applyFont="1" applyFill="1" applyBorder="1" applyAlignment="1">
      <alignment horizontal="right" vertical="center"/>
    </xf>
    <xf numFmtId="3" fontId="3" fillId="2" borderId="49" xfId="1" applyNumberFormat="1" applyFont="1" applyFill="1" applyBorder="1" applyAlignment="1">
      <alignment horizontal="right" vertical="center"/>
    </xf>
    <xf numFmtId="3" fontId="3" fillId="2" borderId="50" xfId="1" applyNumberFormat="1" applyFont="1" applyFill="1" applyBorder="1" applyAlignment="1">
      <alignment horizontal="right" vertical="center"/>
    </xf>
    <xf numFmtId="3" fontId="3" fillId="2" borderId="51" xfId="1" applyNumberFormat="1" applyFont="1" applyFill="1" applyBorder="1" applyAlignment="1">
      <alignment horizontal="right" vertical="center"/>
    </xf>
    <xf numFmtId="3" fontId="3" fillId="2" borderId="52" xfId="1" applyNumberFormat="1" applyFont="1" applyFill="1" applyBorder="1" applyAlignment="1">
      <alignment horizontal="right" vertical="center"/>
    </xf>
    <xf numFmtId="3" fontId="3" fillId="2" borderId="7" xfId="1" applyNumberFormat="1" applyFont="1" applyFill="1" applyBorder="1" applyAlignment="1">
      <alignment horizontal="right" vertical="center"/>
    </xf>
    <xf numFmtId="3" fontId="3" fillId="2" borderId="3" xfId="1" applyNumberFormat="1" applyFont="1" applyFill="1" applyBorder="1" applyAlignment="1">
      <alignment horizontal="right" vertical="center"/>
    </xf>
    <xf numFmtId="164" fontId="9" fillId="2" borderId="30" xfId="0" applyNumberFormat="1" applyFont="1" applyFill="1" applyBorder="1" applyAlignment="1">
      <alignment horizontal="right" vertical="center" indent="2"/>
    </xf>
    <xf numFmtId="164" fontId="6" fillId="2" borderId="5" xfId="0" applyNumberFormat="1" applyFont="1" applyFill="1" applyBorder="1" applyAlignment="1" applyProtection="1">
      <alignment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3" fillId="2" borderId="26" xfId="0" applyNumberFormat="1" applyFont="1" applyFill="1" applyBorder="1" applyAlignment="1">
      <alignment vertical="center"/>
    </xf>
    <xf numFmtId="164" fontId="3" fillId="2" borderId="26" xfId="0" applyNumberFormat="1" applyFont="1" applyFill="1" applyBorder="1" applyAlignment="1">
      <alignment horizontal="right" vertical="center"/>
    </xf>
    <xf numFmtId="164" fontId="9" fillId="2" borderId="26" xfId="0" applyNumberFormat="1" applyFont="1" applyFill="1" applyBorder="1" applyAlignment="1">
      <alignment vertical="center"/>
    </xf>
    <xf numFmtId="164" fontId="3" fillId="2" borderId="26" xfId="0" applyNumberFormat="1" applyFont="1" applyFill="1" applyBorder="1" applyAlignment="1" applyProtection="1">
      <alignment horizontal="left" vertical="center"/>
    </xf>
    <xf numFmtId="164" fontId="10" fillId="2" borderId="22" xfId="0" applyNumberFormat="1" applyFont="1" applyFill="1" applyBorder="1" applyAlignment="1">
      <alignment vertical="center"/>
    </xf>
    <xf numFmtId="164" fontId="10" fillId="2" borderId="12" xfId="0" applyNumberFormat="1" applyFont="1" applyFill="1" applyBorder="1" applyAlignment="1">
      <alignment vertical="center"/>
    </xf>
    <xf numFmtId="164" fontId="10" fillId="2" borderId="29" xfId="0" applyNumberFormat="1" applyFont="1" applyFill="1" applyBorder="1" applyAlignment="1">
      <alignment vertical="center"/>
    </xf>
    <xf numFmtId="164" fontId="3" fillId="2" borderId="21" xfId="0" applyNumberFormat="1" applyFont="1" applyFill="1" applyBorder="1" applyAlignment="1">
      <alignment vertical="center"/>
    </xf>
    <xf numFmtId="164" fontId="10" fillId="2" borderId="53" xfId="0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>
      <alignment vertical="center"/>
    </xf>
    <xf numFmtId="164" fontId="10" fillId="2" borderId="44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9" fillId="2" borderId="0" xfId="0" applyNumberFormat="1" applyFont="1" applyFill="1" applyBorder="1" applyAlignment="1">
      <alignment vertical="center"/>
    </xf>
    <xf numFmtId="164" fontId="9" fillId="2" borderId="5" xfId="0" applyNumberFormat="1" applyFont="1" applyFill="1" applyBorder="1" applyAlignment="1">
      <alignment vertical="center"/>
    </xf>
    <xf numFmtId="164" fontId="3" fillId="2" borderId="5" xfId="0" applyNumberFormat="1" applyFont="1" applyFill="1" applyBorder="1" applyAlignment="1">
      <alignment vertical="center"/>
    </xf>
    <xf numFmtId="164" fontId="3" fillId="2" borderId="25" xfId="0" applyNumberFormat="1" applyFont="1" applyFill="1" applyBorder="1" applyAlignment="1">
      <alignment vertical="center"/>
    </xf>
    <xf numFmtId="164" fontId="3" fillId="2" borderId="28" xfId="0" applyNumberFormat="1" applyFont="1" applyFill="1" applyBorder="1" applyAlignment="1">
      <alignment vertical="center"/>
    </xf>
    <xf numFmtId="164" fontId="3" fillId="2" borderId="21" xfId="0" applyNumberFormat="1" applyFont="1" applyFill="1" applyBorder="1" applyAlignment="1" applyProtection="1">
      <alignment horizontal="left" vertical="center"/>
    </xf>
    <xf numFmtId="3" fontId="3" fillId="2" borderId="29" xfId="1" applyNumberFormat="1" applyFont="1" applyFill="1" applyBorder="1" applyAlignment="1">
      <alignment horizontal="right" vertical="center"/>
    </xf>
    <xf numFmtId="3" fontId="3" fillId="2" borderId="21" xfId="1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 applyProtection="1">
      <alignment horizontal="left"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2" fillId="2" borderId="19" xfId="0" applyNumberFormat="1" applyFont="1" applyFill="1" applyBorder="1" applyAlignment="1">
      <alignment horizontal="center" vertical="center" wrapText="1"/>
    </xf>
    <xf numFmtId="164" fontId="2" fillId="2" borderId="35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 applyProtection="1">
      <alignment horizontal="left" vertical="center"/>
    </xf>
    <xf numFmtId="164" fontId="3" fillId="2" borderId="59" xfId="0" applyNumberFormat="1" applyFont="1" applyFill="1" applyBorder="1" applyAlignment="1">
      <alignment horizontal="left" vertical="center"/>
    </xf>
    <xf numFmtId="164" fontId="3" fillId="2" borderId="59" xfId="0" applyNumberFormat="1" applyFont="1" applyFill="1" applyBorder="1" applyAlignment="1">
      <alignment vertical="center"/>
    </xf>
    <xf numFmtId="164" fontId="3" fillId="2" borderId="58" xfId="0" applyNumberFormat="1" applyFont="1" applyFill="1" applyBorder="1" applyAlignment="1">
      <alignment vertical="center"/>
    </xf>
    <xf numFmtId="3" fontId="3" fillId="2" borderId="44" xfId="1" applyNumberFormat="1" applyFont="1" applyFill="1" applyBorder="1" applyAlignment="1">
      <alignment horizontal="right" vertical="center"/>
    </xf>
    <xf numFmtId="3" fontId="3" fillId="2" borderId="24" xfId="1" applyNumberFormat="1" applyFont="1" applyFill="1" applyBorder="1" applyAlignment="1">
      <alignment horizontal="right" vertical="center"/>
    </xf>
    <xf numFmtId="164" fontId="12" fillId="2" borderId="5" xfId="0" applyNumberFormat="1" applyFont="1" applyFill="1" applyBorder="1" applyAlignment="1">
      <alignment horizontal="right" vertical="center"/>
    </xf>
    <xf numFmtId="164" fontId="2" fillId="2" borderId="31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right" vertical="center"/>
    </xf>
    <xf numFmtId="164" fontId="8" fillId="2" borderId="0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2" fillId="2" borderId="14" xfId="0" applyNumberFormat="1" applyFont="1" applyFill="1" applyBorder="1" applyAlignment="1">
      <alignment horizontal="center" vertical="center" wrapText="1"/>
    </xf>
    <xf numFmtId="164" fontId="2" fillId="2" borderId="19" xfId="0" applyNumberFormat="1" applyFont="1" applyFill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center" vertical="center" wrapText="1"/>
    </xf>
    <xf numFmtId="164" fontId="2" fillId="2" borderId="54" xfId="0" applyNumberFormat="1" applyFont="1" applyFill="1" applyBorder="1" applyAlignment="1">
      <alignment horizontal="center" vertical="center" wrapText="1"/>
    </xf>
    <xf numFmtId="164" fontId="2" fillId="2" borderId="55" xfId="0" applyNumberFormat="1" applyFont="1" applyFill="1" applyBorder="1" applyAlignment="1">
      <alignment horizontal="center" vertical="center" wrapText="1"/>
    </xf>
    <xf numFmtId="164" fontId="2" fillId="2" borderId="56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 applyBorder="1" applyAlignment="1">
      <alignment horizontal="center" vertical="center"/>
    </xf>
    <xf numFmtId="164" fontId="2" fillId="2" borderId="23" xfId="0" applyNumberFormat="1" applyFont="1" applyFill="1" applyBorder="1" applyAlignment="1" applyProtection="1">
      <alignment horizontal="center" vertical="top" wrapText="1"/>
    </xf>
    <xf numFmtId="164" fontId="2" fillId="2" borderId="3" xfId="0" applyNumberFormat="1" applyFont="1" applyFill="1" applyBorder="1" applyAlignment="1" applyProtection="1">
      <alignment horizontal="center" vertical="top" wrapText="1"/>
    </xf>
    <xf numFmtId="164" fontId="2" fillId="2" borderId="32" xfId="0" applyNumberFormat="1" applyFont="1" applyFill="1" applyBorder="1" applyAlignment="1">
      <alignment horizontal="left" vertical="center"/>
    </xf>
    <xf numFmtId="164" fontId="2" fillId="2" borderId="37" xfId="0" applyNumberFormat="1" applyFont="1" applyFill="1" applyBorder="1" applyAlignment="1">
      <alignment horizontal="left" vertical="center"/>
    </xf>
    <xf numFmtId="164" fontId="2" fillId="2" borderId="41" xfId="0" applyNumberFormat="1" applyFont="1" applyFill="1" applyBorder="1" applyAlignment="1">
      <alignment horizontal="left" vertical="center"/>
    </xf>
    <xf numFmtId="164" fontId="2" fillId="2" borderId="33" xfId="0" applyNumberFormat="1" applyFont="1" applyFill="1" applyBorder="1" applyAlignment="1">
      <alignment horizontal="center" vertical="center"/>
    </xf>
    <xf numFmtId="164" fontId="2" fillId="2" borderId="34" xfId="0" applyNumberFormat="1" applyFont="1" applyFill="1" applyBorder="1" applyAlignment="1">
      <alignment horizontal="center" vertical="center"/>
    </xf>
    <xf numFmtId="164" fontId="2" fillId="2" borderId="36" xfId="0" applyNumberFormat="1" applyFont="1" applyFill="1" applyBorder="1" applyAlignment="1">
      <alignment horizontal="center" vertical="center"/>
    </xf>
    <xf numFmtId="164" fontId="2" fillId="2" borderId="35" xfId="0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DDBA97"/>
      <color rgb="FF663300"/>
      <color rgb="FFCF9F6F"/>
      <color rgb="FF7B5229"/>
      <color rgb="FFF1E2D3"/>
      <color rgb="FF996633"/>
      <color rgb="FFF5EADF"/>
      <color rgb="FFFAF5F0"/>
      <color rgb="FFFFC58B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+mj-lt"/>
              </a:defRPr>
            </a:pPr>
            <a:r>
              <a:rPr lang="en-US" sz="1000">
                <a:latin typeface="+mj-lt"/>
              </a:rPr>
              <a:t>Figure 8.36:  Number</a:t>
            </a:r>
            <a:r>
              <a:rPr lang="en-US" sz="1000" baseline="0">
                <a:latin typeface="+mj-lt"/>
              </a:rPr>
              <a:t> of </a:t>
            </a:r>
            <a:r>
              <a:rPr lang="en-US" sz="1000">
                <a:latin typeface="+mj-lt"/>
              </a:rPr>
              <a:t>New cases filed at majistrate courts in islands, 2019 </a:t>
            </a:r>
          </a:p>
        </c:rich>
      </c:tx>
      <c:layout>
        <c:manualLayout>
          <c:xMode val="edge"/>
          <c:yMode val="edge"/>
          <c:x val="0.16469654754694124"/>
          <c:y val="1.94064867354394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574882941838923"/>
          <c:y val="0.12385429195328926"/>
          <c:w val="0.85247655482802243"/>
          <c:h val="0.745670488257375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'8.24'!$AQ$4</c:f>
              <c:strCache>
                <c:ptCount val="1"/>
                <c:pt idx="0">
                  <c:v>Criminal Cases 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'8.24'!$A$15:$A$34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'8.24'!$AQ$15:$AQ$34</c:f>
              <c:numCache>
                <c:formatCode>#,##0</c:formatCode>
                <c:ptCount val="20"/>
                <c:pt idx="0">
                  <c:v>31</c:v>
                </c:pt>
                <c:pt idx="1">
                  <c:v>100</c:v>
                </c:pt>
                <c:pt idx="2">
                  <c:v>24</c:v>
                </c:pt>
                <c:pt idx="3">
                  <c:v>45</c:v>
                </c:pt>
                <c:pt idx="4">
                  <c:v>86</c:v>
                </c:pt>
                <c:pt idx="5">
                  <c:v>26</c:v>
                </c:pt>
                <c:pt idx="6">
                  <c:v>54</c:v>
                </c:pt>
                <c:pt idx="7">
                  <c:v>312</c:v>
                </c:pt>
                <c:pt idx="8">
                  <c:v>20</c:v>
                </c:pt>
                <c:pt idx="9">
                  <c:v>45</c:v>
                </c:pt>
                <c:pt idx="10">
                  <c:v>3</c:v>
                </c:pt>
                <c:pt idx="11">
                  <c:v>18</c:v>
                </c:pt>
                <c:pt idx="12">
                  <c:v>3</c:v>
                </c:pt>
                <c:pt idx="13">
                  <c:v>17</c:v>
                </c:pt>
                <c:pt idx="14">
                  <c:v>56</c:v>
                </c:pt>
                <c:pt idx="15">
                  <c:v>71</c:v>
                </c:pt>
                <c:pt idx="16">
                  <c:v>74</c:v>
                </c:pt>
                <c:pt idx="17">
                  <c:v>150</c:v>
                </c:pt>
                <c:pt idx="18">
                  <c:v>126</c:v>
                </c:pt>
                <c:pt idx="19">
                  <c:v>228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060-420B-A5AC-847FF7EE6115}"/>
            </c:ext>
          </c:extLst>
        </c:ser>
        <c:ser>
          <c:idx val="1"/>
          <c:order val="1"/>
          <c:tx>
            <c:strRef>
              <c:f>'8.24'!$AR$4</c:f>
              <c:strCache>
                <c:ptCount val="1"/>
                <c:pt idx="0">
                  <c:v>Civil Cases </c:v>
                </c:pt>
              </c:strCache>
            </c:strRef>
          </c:tx>
          <c:spPr>
            <a:solidFill>
              <a:srgbClr val="663300"/>
            </a:solidFill>
          </c:spPr>
          <c:invertIfNegative val="0"/>
          <c:cat>
            <c:strRef>
              <c:f>'8.24'!$A$15:$A$34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'8.24'!$AR$15:$AR$34</c:f>
              <c:numCache>
                <c:formatCode>#,##0</c:formatCode>
                <c:ptCount val="20"/>
                <c:pt idx="0">
                  <c:v>50</c:v>
                </c:pt>
                <c:pt idx="1">
                  <c:v>124</c:v>
                </c:pt>
                <c:pt idx="2">
                  <c:v>48</c:v>
                </c:pt>
                <c:pt idx="3">
                  <c:v>75</c:v>
                </c:pt>
                <c:pt idx="4">
                  <c:v>128</c:v>
                </c:pt>
                <c:pt idx="5">
                  <c:v>69</c:v>
                </c:pt>
                <c:pt idx="6">
                  <c:v>68</c:v>
                </c:pt>
                <c:pt idx="7">
                  <c:v>108</c:v>
                </c:pt>
                <c:pt idx="8">
                  <c:v>101</c:v>
                </c:pt>
                <c:pt idx="9">
                  <c:v>74</c:v>
                </c:pt>
                <c:pt idx="10">
                  <c:v>11</c:v>
                </c:pt>
                <c:pt idx="11">
                  <c:v>24</c:v>
                </c:pt>
                <c:pt idx="12">
                  <c:v>62</c:v>
                </c:pt>
                <c:pt idx="13">
                  <c:v>30</c:v>
                </c:pt>
                <c:pt idx="14">
                  <c:v>91</c:v>
                </c:pt>
                <c:pt idx="15">
                  <c:v>140</c:v>
                </c:pt>
                <c:pt idx="16">
                  <c:v>180</c:v>
                </c:pt>
                <c:pt idx="17">
                  <c:v>153</c:v>
                </c:pt>
                <c:pt idx="18">
                  <c:v>88</c:v>
                </c:pt>
                <c:pt idx="19">
                  <c:v>244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060-420B-A5AC-847FF7EE6115}"/>
            </c:ext>
          </c:extLst>
        </c:ser>
        <c:ser>
          <c:idx val="2"/>
          <c:order val="2"/>
          <c:tx>
            <c:strRef>
              <c:f>'8.24'!$AS$4</c:f>
              <c:strCache>
                <c:ptCount val="1"/>
                <c:pt idx="0">
                  <c:v>Family Cases</c:v>
                </c:pt>
              </c:strCache>
            </c:strRef>
          </c:tx>
          <c:spPr>
            <a:solidFill>
              <a:srgbClr val="7B5229"/>
            </a:solidFill>
          </c:spPr>
          <c:invertIfNegative val="0"/>
          <c:cat>
            <c:strRef>
              <c:f>'8.24'!$A$15:$A$34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'8.24'!$AS$15:$AS$34</c:f>
              <c:numCache>
                <c:formatCode>#,##0</c:formatCode>
                <c:ptCount val="20"/>
                <c:pt idx="0">
                  <c:v>244</c:v>
                </c:pt>
                <c:pt idx="1">
                  <c:v>473</c:v>
                </c:pt>
                <c:pt idx="2">
                  <c:v>336</c:v>
                </c:pt>
                <c:pt idx="3">
                  <c:v>333</c:v>
                </c:pt>
                <c:pt idx="4">
                  <c:v>405</c:v>
                </c:pt>
                <c:pt idx="5">
                  <c:v>218</c:v>
                </c:pt>
                <c:pt idx="6">
                  <c:v>281</c:v>
                </c:pt>
                <c:pt idx="7">
                  <c:v>371</c:v>
                </c:pt>
                <c:pt idx="8">
                  <c:v>278</c:v>
                </c:pt>
                <c:pt idx="9">
                  <c:v>324</c:v>
                </c:pt>
                <c:pt idx="10">
                  <c:v>41</c:v>
                </c:pt>
                <c:pt idx="11">
                  <c:v>112</c:v>
                </c:pt>
                <c:pt idx="12">
                  <c:v>141</c:v>
                </c:pt>
                <c:pt idx="13">
                  <c:v>161</c:v>
                </c:pt>
                <c:pt idx="14">
                  <c:v>293</c:v>
                </c:pt>
                <c:pt idx="15">
                  <c:v>557</c:v>
                </c:pt>
                <c:pt idx="16">
                  <c:v>442</c:v>
                </c:pt>
                <c:pt idx="17">
                  <c:v>443</c:v>
                </c:pt>
                <c:pt idx="18">
                  <c:v>380</c:v>
                </c:pt>
                <c:pt idx="19">
                  <c:v>817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060-420B-A5AC-847FF7EE6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axId val="430892432"/>
        <c:axId val="430897136"/>
      </c:barChart>
      <c:catAx>
        <c:axId val="43089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0897136"/>
        <c:crosses val="autoZero"/>
        <c:auto val="1"/>
        <c:lblAlgn val="ctr"/>
        <c:lblOffset val="100"/>
        <c:noMultiLvlLbl val="0"/>
      </c:catAx>
      <c:valAx>
        <c:axId val="430897136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</a:t>
                </a:r>
                <a:r>
                  <a:rPr lang="en-US" baseline="0"/>
                  <a:t> numbers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598429362739381E-2"/>
              <c:y val="0.3265941236512103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43089243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4628118467887009"/>
          <c:y val="0.18050009789838414"/>
          <c:w val="0.52101036358996089"/>
          <c:h val="8.799474605618945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+mn-lt"/>
              </a:defRPr>
            </a:pPr>
            <a:r>
              <a:rPr lang="en-US" sz="1100">
                <a:latin typeface="+mn-lt"/>
              </a:rPr>
              <a:t>Figure</a:t>
            </a:r>
            <a:r>
              <a:rPr lang="en-US" sz="1100" baseline="0">
                <a:latin typeface="+mn-lt"/>
              </a:rPr>
              <a:t> 8.37: </a:t>
            </a:r>
            <a:r>
              <a:rPr lang="en-US" sz="1100">
                <a:latin typeface="+mn-lt"/>
              </a:rPr>
              <a:t>Number of Marriage</a:t>
            </a:r>
            <a:r>
              <a:rPr lang="en-US" sz="1100" baseline="0">
                <a:latin typeface="+mn-lt"/>
              </a:rPr>
              <a:t> and Divorce by locality, 2019</a:t>
            </a:r>
            <a:endParaRPr lang="en-US" sz="1100">
              <a:latin typeface="+mn-lt"/>
            </a:endParaRPr>
          </a:p>
        </c:rich>
      </c:tx>
      <c:layout>
        <c:manualLayout>
          <c:xMode val="edge"/>
          <c:yMode val="edge"/>
          <c:x val="0.18525723307037212"/>
          <c:y val="3.067264402168707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065235560638719"/>
          <c:y val="0.14850721784777027"/>
          <c:w val="0.85138745924915815"/>
          <c:h val="0.68142115447247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'8.24'!$BO$17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'8.24'!$BP$16:$BQ$16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'8.24'!$BP$17:$BQ$17</c:f>
              <c:numCache>
                <c:formatCode>General_)</c:formatCode>
                <c:ptCount val="2"/>
                <c:pt idx="0">
                  <c:v>5069</c:v>
                </c:pt>
                <c:pt idx="1">
                  <c:v>3550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44-4935-BC22-2CE3A370D583}"/>
            </c:ext>
          </c:extLst>
        </c:ser>
        <c:ser>
          <c:idx val="1"/>
          <c:order val="1"/>
          <c:tx>
            <c:strRef>
              <c:f>'8.24'!$BO$18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'8.24'!$BP$16:$BQ$16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'8.24'!$BP$18:$BQ$18</c:f>
              <c:numCache>
                <c:formatCode>General_)</c:formatCode>
                <c:ptCount val="2"/>
                <c:pt idx="0">
                  <c:v>2055</c:v>
                </c:pt>
                <c:pt idx="1">
                  <c:v>1260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44-4935-BC22-2CE3A370D583}"/>
            </c:ext>
          </c:extLst>
        </c:ser>
        <c:ser>
          <c:idx val="2"/>
          <c:order val="2"/>
          <c:tx>
            <c:strRef>
              <c:f>'8.24'!$BO$19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rgbClr val="F1E2D3"/>
            </a:solidFill>
          </c:spPr>
          <c:invertIfNegative val="0"/>
          <c:dPt>
            <c:idx val="0"/>
            <c:invertIfNegative val="0"/>
            <c:bubble3D val="0"/>
          </c:dPt>
          <c:cat>
            <c:strRef>
              <c:f>'8.24'!$BP$16:$BQ$16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'8.24'!$BP$19:$BQ$19</c:f>
              <c:numCache>
                <c:formatCode>General_)</c:formatCode>
                <c:ptCount val="2"/>
                <c:pt idx="0">
                  <c:v>3014</c:v>
                </c:pt>
                <c:pt idx="1">
                  <c:v>2290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344-4935-BC22-2CE3A370D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896744"/>
        <c:axId val="430895960"/>
      </c:barChart>
      <c:catAx>
        <c:axId val="4308967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30895960"/>
        <c:crosses val="autoZero"/>
        <c:auto val="1"/>
        <c:lblAlgn val="ctr"/>
        <c:lblOffset val="100"/>
        <c:noMultiLvlLbl val="0"/>
      </c:catAx>
      <c:valAx>
        <c:axId val="43089596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6.3391442155309114E-3"/>
              <c:y val="0.34470107903178765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3089674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6374997005929347"/>
          <c:y val="0.21464421114027538"/>
          <c:w val="0.36261734035070908"/>
          <c:h val="7.522564887722368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8.39: Number of Divorces by locality, 2015 - 2019</a:t>
            </a:r>
          </a:p>
        </c:rich>
      </c:tx>
      <c:layout>
        <c:manualLayout>
          <c:xMode val="edge"/>
          <c:yMode val="edge"/>
          <c:x val="0.2490083229727863"/>
          <c:y val="1.90739991493158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03604389612442"/>
          <c:y val="0.16988572304750565"/>
          <c:w val="0.8508402371872984"/>
          <c:h val="0.68129014800984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'8.24'!$BN$30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multiLvlStrRef>
              <c:f>'8.24'!$BO$28:$BS$29</c:f>
              <c:multiLvlStrCache>
                <c:ptCount val="5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  <c:pt idx="3">
                    <c:v>2018 </c:v>
                  </c:pt>
                  <c:pt idx="4">
                    <c:v>2019 </c:v>
                  </c:pt>
                </c:lvl>
                <c:lvl>
                  <c:pt idx="0">
                    <c:v>Divorce</c:v>
                  </c:pt>
                </c:lvl>
              </c:multiLvlStrCache>
            </c:multiLvlStrRef>
          </c:cat>
          <c:val>
            <c:numRef>
              <c:f>'8.24'!$BO$30:$BS$30</c:f>
              <c:numCache>
                <c:formatCode>General_)</c:formatCode>
                <c:ptCount val="5"/>
                <c:pt idx="0">
                  <c:v>3358</c:v>
                </c:pt>
                <c:pt idx="1">
                  <c:v>3417</c:v>
                </c:pt>
                <c:pt idx="2">
                  <c:v>3211</c:v>
                </c:pt>
                <c:pt idx="3">
                  <c:v>3109</c:v>
                </c:pt>
                <c:pt idx="4">
                  <c:v>3550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FBA-4C10-95B0-B314EDCBFB18}"/>
            </c:ext>
          </c:extLst>
        </c:ser>
        <c:ser>
          <c:idx val="1"/>
          <c:order val="1"/>
          <c:tx>
            <c:strRef>
              <c:f>'8.24'!$BN$31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multiLvlStrRef>
              <c:f>'8.24'!$BO$28:$BS$29</c:f>
              <c:multiLvlStrCache>
                <c:ptCount val="5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  <c:pt idx="3">
                    <c:v>2018 </c:v>
                  </c:pt>
                  <c:pt idx="4">
                    <c:v>2019 </c:v>
                  </c:pt>
                </c:lvl>
                <c:lvl>
                  <c:pt idx="0">
                    <c:v>Divorce</c:v>
                  </c:pt>
                </c:lvl>
              </c:multiLvlStrCache>
            </c:multiLvlStrRef>
          </c:cat>
          <c:val>
            <c:numRef>
              <c:f>'8.24'!$BO$31:$BS$31</c:f>
              <c:numCache>
                <c:formatCode>General_)</c:formatCode>
                <c:ptCount val="5"/>
                <c:pt idx="0">
                  <c:v>1288</c:v>
                </c:pt>
                <c:pt idx="1">
                  <c:v>1341</c:v>
                </c:pt>
                <c:pt idx="2">
                  <c:v>1248</c:v>
                </c:pt>
                <c:pt idx="3">
                  <c:v>1156</c:v>
                </c:pt>
                <c:pt idx="4">
                  <c:v>1260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FBA-4C10-95B0-B314EDCBFB18}"/>
            </c:ext>
          </c:extLst>
        </c:ser>
        <c:ser>
          <c:idx val="2"/>
          <c:order val="2"/>
          <c:tx>
            <c:strRef>
              <c:f>'8.24'!$BN$32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rgbClr val="DDBA97"/>
            </a:solidFill>
          </c:spPr>
          <c:invertIfNegative val="0"/>
          <c:cat>
            <c:multiLvlStrRef>
              <c:f>'8.24'!$BO$28:$BS$29</c:f>
              <c:multiLvlStrCache>
                <c:ptCount val="5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  <c:pt idx="3">
                    <c:v>2018 </c:v>
                  </c:pt>
                  <c:pt idx="4">
                    <c:v>2019 </c:v>
                  </c:pt>
                </c:lvl>
                <c:lvl>
                  <c:pt idx="0">
                    <c:v>Divorce</c:v>
                  </c:pt>
                </c:lvl>
              </c:multiLvlStrCache>
            </c:multiLvlStrRef>
          </c:cat>
          <c:val>
            <c:numRef>
              <c:f>'8.24'!$BO$32:$BS$32</c:f>
              <c:numCache>
                <c:formatCode>General_)</c:formatCode>
                <c:ptCount val="5"/>
                <c:pt idx="0">
                  <c:v>2070</c:v>
                </c:pt>
                <c:pt idx="1">
                  <c:v>2076</c:v>
                </c:pt>
                <c:pt idx="2">
                  <c:v>1963</c:v>
                </c:pt>
                <c:pt idx="3">
                  <c:v>1953</c:v>
                </c:pt>
                <c:pt idx="4">
                  <c:v>2290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FBA-4C10-95B0-B314EDCBF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894392"/>
        <c:axId val="430893216"/>
      </c:barChart>
      <c:catAx>
        <c:axId val="430894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30893216"/>
        <c:crosses val="autoZero"/>
        <c:auto val="1"/>
        <c:lblAlgn val="ctr"/>
        <c:lblOffset val="100"/>
        <c:noMultiLvlLbl val="0"/>
      </c:catAx>
      <c:valAx>
        <c:axId val="430893216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</a:p>
            </c:rich>
          </c:tx>
          <c:layout/>
          <c:overlay val="0"/>
        </c:title>
        <c:numFmt formatCode="General_)" sourceLinked="1"/>
        <c:majorTickMark val="out"/>
        <c:minorTickMark val="none"/>
        <c:tickLblPos val="nextTo"/>
        <c:crossAx val="430894392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45979604689573395"/>
          <c:y val="0.19354834070398735"/>
          <c:w val="0.30963718640090382"/>
          <c:h val="9.892688071525304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8.40: Number of</a:t>
            </a:r>
            <a:r>
              <a:rPr lang="en-US" sz="1050" baseline="0"/>
              <a:t> Marriage and Divorce, Republic, 2015 - 2019</a:t>
            </a:r>
            <a:endParaRPr lang="en-US" sz="1050"/>
          </a:p>
        </c:rich>
      </c:tx>
      <c:layout>
        <c:manualLayout>
          <c:xMode val="edge"/>
          <c:yMode val="edge"/>
          <c:x val="0.16916000759714897"/>
          <c:y val="3.64368521731393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13198985720092"/>
          <c:y val="0.15364270187876075"/>
          <c:w val="0.84800925308065611"/>
          <c:h val="0.617280767986193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'8.24'!$BM$7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CC2-4DFB-BDC0-1AED5A00B56C}"/>
              </c:ext>
            </c:extLst>
          </c:dPt>
          <c:dPt>
            <c:idx val="1"/>
            <c:invertIfNegative val="0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CC2-4DFB-BDC0-1AED5A00B56C}"/>
              </c:ext>
            </c:extLst>
          </c:dPt>
          <c:dPt>
            <c:idx val="2"/>
            <c:invertIfNegative val="0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CC2-4DFB-BDC0-1AED5A00B56C}"/>
              </c:ext>
            </c:extLst>
          </c:dPt>
          <c:dPt>
            <c:idx val="3"/>
            <c:invertIfNegative val="0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CC2-4DFB-BDC0-1AED5A00B56C}"/>
              </c:ext>
            </c:extLst>
          </c:dPt>
          <c:dPt>
            <c:idx val="4"/>
            <c:invertIfNegative val="0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CC2-4DFB-BDC0-1AED5A00B56C}"/>
              </c:ext>
            </c:extLst>
          </c:dPt>
          <c:dPt>
            <c:idx val="5"/>
            <c:invertIfNegative val="0"/>
            <c:bubble3D val="0"/>
            <c:spPr>
              <a:solidFill>
                <a:srgbClr val="DDBA97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CC2-4DFB-BDC0-1AED5A00B56C}"/>
              </c:ext>
            </c:extLst>
          </c:dPt>
          <c:dPt>
            <c:idx val="6"/>
            <c:invertIfNegative val="0"/>
            <c:bubble3D val="0"/>
            <c:spPr>
              <a:solidFill>
                <a:srgbClr val="DDBA97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FCC2-4DFB-BDC0-1AED5A00B56C}"/>
              </c:ext>
            </c:extLst>
          </c:dPt>
          <c:dPt>
            <c:idx val="7"/>
            <c:invertIfNegative val="0"/>
            <c:bubble3D val="0"/>
            <c:spPr>
              <a:solidFill>
                <a:srgbClr val="DDBA97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FCC2-4DFB-BDC0-1AED5A00B56C}"/>
              </c:ext>
            </c:extLst>
          </c:dPt>
          <c:dPt>
            <c:idx val="8"/>
            <c:invertIfNegative val="0"/>
            <c:bubble3D val="0"/>
            <c:spPr>
              <a:solidFill>
                <a:srgbClr val="DDBA97"/>
              </a:solidFill>
            </c:spPr>
          </c:dPt>
          <c:dPt>
            <c:idx val="9"/>
            <c:invertIfNegative val="0"/>
            <c:bubble3D val="0"/>
            <c:spPr>
              <a:solidFill>
                <a:srgbClr val="DDBA97"/>
              </a:solidFill>
            </c:spPr>
          </c:dPt>
          <c:cat>
            <c:multiLvlStrRef>
              <c:f>'8.24'!$BN$5:$BW$6</c:f>
              <c:multiLvlStrCache>
                <c:ptCount val="10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  <c:pt idx="3">
                    <c:v>2018 </c:v>
                  </c:pt>
                  <c:pt idx="4">
                    <c:v>2019 </c:v>
                  </c:pt>
                  <c:pt idx="5">
                    <c:v>2015 </c:v>
                  </c:pt>
                  <c:pt idx="6">
                    <c:v>2016 </c:v>
                  </c:pt>
                  <c:pt idx="7">
                    <c:v>2017 </c:v>
                  </c:pt>
                  <c:pt idx="8">
                    <c:v>2018 </c:v>
                  </c:pt>
                  <c:pt idx="9">
                    <c:v>2019 </c:v>
                  </c:pt>
                </c:lvl>
                <c:lvl>
                  <c:pt idx="0">
                    <c:v>Marriage       </c:v>
                  </c:pt>
                  <c:pt idx="5">
                    <c:v> Divorce              </c:v>
                  </c:pt>
                </c:lvl>
              </c:multiLvlStrCache>
            </c:multiLvlStrRef>
          </c:cat>
          <c:val>
            <c:numRef>
              <c:f>'8.24'!$BN$7:$BW$7</c:f>
              <c:numCache>
                <c:formatCode>#,##0</c:formatCode>
                <c:ptCount val="10"/>
                <c:pt idx="0">
                  <c:v>5763</c:v>
                </c:pt>
                <c:pt idx="1">
                  <c:v>5488</c:v>
                </c:pt>
                <c:pt idx="2">
                  <c:v>5048</c:v>
                </c:pt>
                <c:pt idx="3">
                  <c:v>5178</c:v>
                </c:pt>
                <c:pt idx="4">
                  <c:v>5069</c:v>
                </c:pt>
                <c:pt idx="5">
                  <c:v>3358</c:v>
                </c:pt>
                <c:pt idx="6">
                  <c:v>3417</c:v>
                </c:pt>
                <c:pt idx="7">
                  <c:v>3211</c:v>
                </c:pt>
                <c:pt idx="8">
                  <c:v>3109</c:v>
                </c:pt>
                <c:pt idx="9">
                  <c:v>3550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FCC2-4DFB-BDC0-1AED5A00B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16"/>
        <c:axId val="430889688"/>
        <c:axId val="43089125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'8.24'!$BM$8</c15:sqref>
                        </c15:formulaRef>
                      </c:ext>
                    </c:extLst>
                    <c:strCache>
                      <c:ptCount val="1"/>
                      <c:pt idx="0">
                        <c:v> Male'</c:v>
                      </c:pt>
                    </c:strCache>
                  </c:strRef>
                </c:tx>
                <c:invertIfNegative val="0"/>
                <c:cat>
                  <c:multiLvlStrRef>
                    <c:extLst xmlns:c16r2="http://schemas.microsoft.com/office/drawing/2015/06/chart">
                      <c:ext uri="{02D57815-91ED-43cb-92C2-25804820EDAC}">
                        <c15:formulaRef>
                          <c15:sqref>'8.24'!$BN$5:$BW$6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2015 </c:v>
                        </c:pt>
                        <c:pt idx="1">
                          <c:v>2016 </c:v>
                        </c:pt>
                        <c:pt idx="2">
                          <c:v>2017 </c:v>
                        </c:pt>
                        <c:pt idx="3">
                          <c:v>2018 </c:v>
                        </c:pt>
                        <c:pt idx="4">
                          <c:v>2019 </c:v>
                        </c:pt>
                        <c:pt idx="5">
                          <c:v>2015 </c:v>
                        </c:pt>
                        <c:pt idx="6">
                          <c:v>2016 </c:v>
                        </c:pt>
                        <c:pt idx="7">
                          <c:v>2017 </c:v>
                        </c:pt>
                        <c:pt idx="8">
                          <c:v>2018 </c:v>
                        </c:pt>
                        <c:pt idx="9">
                          <c:v>2019 </c:v>
                        </c:pt>
                      </c:lvl>
                      <c:lvl>
                        <c:pt idx="0">
                          <c:v>Marriage       </c:v>
                        </c:pt>
                        <c:pt idx="5">
                          <c:v> Divorce              </c:v>
                        </c:pt>
                      </c:lvl>
                    </c:multiLvlStrCache>
                  </c:multiLvl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'8.24'!$BN$8:$BV$8</c15:sqref>
                        </c15:formulaRef>
                      </c:ext>
                    </c:extLst>
                    <c:numCache>
                      <c:formatCode>#,##0</c:formatCode>
                      <c:ptCount val="9"/>
                      <c:pt idx="0">
                        <c:v>2417</c:v>
                      </c:pt>
                      <c:pt idx="1">
                        <c:v>2304</c:v>
                      </c:pt>
                      <c:pt idx="2">
                        <c:v>1979</c:v>
                      </c:pt>
                      <c:pt idx="3">
                        <c:v>2191</c:v>
                      </c:pt>
                      <c:pt idx="4">
                        <c:v>2055</c:v>
                      </c:pt>
                      <c:pt idx="5">
                        <c:v>1288</c:v>
                      </c:pt>
                      <c:pt idx="6">
                        <c:v>1341</c:v>
                      </c:pt>
                      <c:pt idx="7">
                        <c:v>1248</c:v>
                      </c:pt>
                      <c:pt idx="8">
                        <c:v>1156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D-FCC2-4DFB-BDC0-1AED5A00B56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'8.24'!$BM$9</c15:sqref>
                        </c15:formulaRef>
                      </c:ext>
                    </c:extLst>
                    <c:strCache>
                      <c:ptCount val="1"/>
                      <c:pt idx="0">
                        <c:v> Atolls</c:v>
                      </c:pt>
                    </c:strCache>
                  </c:strRef>
                </c:tx>
                <c:invertIfNegative val="0"/>
                <c:cat>
                  <c:multiLvl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'8.24'!$BN$5:$BW$6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2015 </c:v>
                        </c:pt>
                        <c:pt idx="1">
                          <c:v>2016 </c:v>
                        </c:pt>
                        <c:pt idx="2">
                          <c:v>2017 </c:v>
                        </c:pt>
                        <c:pt idx="3">
                          <c:v>2018 </c:v>
                        </c:pt>
                        <c:pt idx="4">
                          <c:v>2019 </c:v>
                        </c:pt>
                        <c:pt idx="5">
                          <c:v>2015 </c:v>
                        </c:pt>
                        <c:pt idx="6">
                          <c:v>2016 </c:v>
                        </c:pt>
                        <c:pt idx="7">
                          <c:v>2017 </c:v>
                        </c:pt>
                        <c:pt idx="8">
                          <c:v>2018 </c:v>
                        </c:pt>
                        <c:pt idx="9">
                          <c:v>2019 </c:v>
                        </c:pt>
                      </c:lvl>
                      <c:lvl>
                        <c:pt idx="0">
                          <c:v>Marriage       </c:v>
                        </c:pt>
                        <c:pt idx="5">
                          <c:v> Divorce              </c:v>
                        </c:pt>
                      </c:lvl>
                    </c:multiLvlStrCache>
                  </c:multiLvl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'8.24'!$BN$9:$BV$9</c15:sqref>
                        </c15:formulaRef>
                      </c:ext>
                    </c:extLst>
                    <c:numCache>
                      <c:formatCode>#,##0</c:formatCode>
                      <c:ptCount val="9"/>
                      <c:pt idx="0">
                        <c:v>3346</c:v>
                      </c:pt>
                      <c:pt idx="1">
                        <c:v>3184</c:v>
                      </c:pt>
                      <c:pt idx="2">
                        <c:v>3069</c:v>
                      </c:pt>
                      <c:pt idx="3">
                        <c:v>2987</c:v>
                      </c:pt>
                      <c:pt idx="4">
                        <c:v>3014</c:v>
                      </c:pt>
                      <c:pt idx="5">
                        <c:v>2070</c:v>
                      </c:pt>
                      <c:pt idx="6">
                        <c:v>2076</c:v>
                      </c:pt>
                      <c:pt idx="7">
                        <c:v>1963</c:v>
                      </c:pt>
                      <c:pt idx="8">
                        <c:v>1953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E-FCC2-4DFB-BDC0-1AED5A00B56C}"/>
                  </c:ext>
                </c:extLst>
              </c15:ser>
            </c15:filteredBarSeries>
          </c:ext>
        </c:extLst>
      </c:barChart>
      <c:catAx>
        <c:axId val="430889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30891256"/>
        <c:crosses val="autoZero"/>
        <c:auto val="1"/>
        <c:lblAlgn val="ctr"/>
        <c:lblOffset val="100"/>
        <c:noMultiLvlLbl val="0"/>
      </c:catAx>
      <c:valAx>
        <c:axId val="430891256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5.6680364870269565E-3"/>
              <c:y val="0.34772222963654964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43088968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>
                <a:latin typeface="+mj-lt"/>
              </a:rPr>
              <a:t>Figure 8.38: Number of Marriages by locality, 2015 - 2019</a:t>
            </a:r>
          </a:p>
        </c:rich>
      </c:tx>
      <c:layout>
        <c:manualLayout>
          <c:xMode val="edge"/>
          <c:yMode val="edge"/>
          <c:x val="0.17941256759306465"/>
          <c:y val="3.4831695813364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03604389612442"/>
          <c:y val="0.16988572304750565"/>
          <c:w val="0.8508402371872984"/>
          <c:h val="0.68129014800984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'8.24'!$BN$24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numRef>
              <c:f>'8.24'!$BO$23:$BS$23</c:f>
              <c:numCache>
                <c:formatCode>General_)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'8.24'!$BO$24:$BS$24</c:f>
              <c:numCache>
                <c:formatCode>General_)</c:formatCode>
                <c:ptCount val="5"/>
                <c:pt idx="0">
                  <c:v>5763</c:v>
                </c:pt>
                <c:pt idx="1">
                  <c:v>5488</c:v>
                </c:pt>
                <c:pt idx="2">
                  <c:v>5048</c:v>
                </c:pt>
                <c:pt idx="3">
                  <c:v>5178</c:v>
                </c:pt>
                <c:pt idx="4" formatCode="#,##0">
                  <c:v>5069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60E-4583-87E9-F84BDADDEB8C}"/>
            </c:ext>
          </c:extLst>
        </c:ser>
        <c:ser>
          <c:idx val="1"/>
          <c:order val="1"/>
          <c:tx>
            <c:strRef>
              <c:f>'8.24'!$BN$25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numRef>
              <c:f>'8.24'!$BO$23:$BS$23</c:f>
              <c:numCache>
                <c:formatCode>General_)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'8.24'!$BO$25:$BS$25</c:f>
              <c:numCache>
                <c:formatCode>General_)</c:formatCode>
                <c:ptCount val="5"/>
                <c:pt idx="0">
                  <c:v>2417</c:v>
                </c:pt>
                <c:pt idx="1">
                  <c:v>2304</c:v>
                </c:pt>
                <c:pt idx="2">
                  <c:v>1979</c:v>
                </c:pt>
                <c:pt idx="3">
                  <c:v>2191</c:v>
                </c:pt>
                <c:pt idx="4" formatCode="#,##0">
                  <c:v>2055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60E-4583-87E9-F84BDADDEB8C}"/>
            </c:ext>
          </c:extLst>
        </c:ser>
        <c:ser>
          <c:idx val="2"/>
          <c:order val="2"/>
          <c:tx>
            <c:strRef>
              <c:f>'8.24'!$BN$26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rgbClr val="DDBA97"/>
            </a:solidFill>
          </c:spPr>
          <c:invertIfNegative val="0"/>
          <c:cat>
            <c:numRef>
              <c:f>'8.24'!$BO$23:$BS$23</c:f>
              <c:numCache>
                <c:formatCode>General_)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'8.24'!$BO$26:$BS$26</c:f>
              <c:numCache>
                <c:formatCode>General_)</c:formatCode>
                <c:ptCount val="5"/>
                <c:pt idx="0">
                  <c:v>3346</c:v>
                </c:pt>
                <c:pt idx="1">
                  <c:v>3184</c:v>
                </c:pt>
                <c:pt idx="2">
                  <c:v>3069</c:v>
                </c:pt>
                <c:pt idx="3">
                  <c:v>2987</c:v>
                </c:pt>
                <c:pt idx="4" formatCode="#,##0">
                  <c:v>3014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60E-4583-87E9-F84BDADDE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893608"/>
        <c:axId val="430892040"/>
      </c:barChart>
      <c:catAx>
        <c:axId val="430893608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430892040"/>
        <c:crosses val="autoZero"/>
        <c:auto val="1"/>
        <c:lblAlgn val="ctr"/>
        <c:lblOffset val="100"/>
        <c:noMultiLvlLbl val="0"/>
      </c:catAx>
      <c:valAx>
        <c:axId val="43089204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</a:p>
            </c:rich>
          </c:tx>
          <c:layout/>
          <c:overlay val="0"/>
        </c:title>
        <c:numFmt formatCode="General_)" sourceLinked="1"/>
        <c:majorTickMark val="out"/>
        <c:minorTickMark val="none"/>
        <c:tickLblPos val="nextTo"/>
        <c:crossAx val="430893608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55097542594765092"/>
          <c:y val="0.1935483601549623"/>
          <c:w val="0.32699397108295203"/>
          <c:h val="9.892688071525304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73138</xdr:colOff>
      <xdr:row>35</xdr:row>
      <xdr:rowOff>164348</xdr:rowOff>
    </xdr:from>
    <xdr:to>
      <xdr:col>41</xdr:col>
      <xdr:colOff>406796</xdr:colOff>
      <xdr:row>46</xdr:row>
      <xdr:rowOff>154822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674687</xdr:colOff>
      <xdr:row>35</xdr:row>
      <xdr:rowOff>176129</xdr:rowOff>
    </xdr:from>
    <xdr:to>
      <xdr:col>48</xdr:col>
      <xdr:colOff>0</xdr:colOff>
      <xdr:row>46</xdr:row>
      <xdr:rowOff>166604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674687</xdr:colOff>
      <xdr:row>47</xdr:row>
      <xdr:rowOff>140368</xdr:rowOff>
    </xdr:from>
    <xdr:to>
      <xdr:col>48</xdr:col>
      <xdr:colOff>34019</xdr:colOff>
      <xdr:row>60</xdr:row>
      <xdr:rowOff>128253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51074</xdr:colOff>
      <xdr:row>61</xdr:row>
      <xdr:rowOff>1570</xdr:rowOff>
    </xdr:from>
    <xdr:to>
      <xdr:col>41</xdr:col>
      <xdr:colOff>436561</xdr:colOff>
      <xdr:row>70</xdr:row>
      <xdr:rowOff>17653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73220</xdr:colOff>
      <xdr:row>47</xdr:row>
      <xdr:rowOff>100095</xdr:rowOff>
    </xdr:from>
    <xdr:to>
      <xdr:col>41</xdr:col>
      <xdr:colOff>416717</xdr:colOff>
      <xdr:row>60</xdr:row>
      <xdr:rowOff>87979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W86"/>
  <sheetViews>
    <sheetView tabSelected="1" zoomScale="96" zoomScaleNormal="96" zoomScaleSheetLayoutView="51" workbookViewId="0">
      <selection activeCell="BC1" sqref="BC1:BF1048576"/>
    </sheetView>
  </sheetViews>
  <sheetFormatPr defaultColWidth="9.140625" defaultRowHeight="18.75"/>
  <cols>
    <col min="1" max="1" width="25" style="63" customWidth="1"/>
    <col min="2" max="2" width="13.7109375" style="64" hidden="1" customWidth="1"/>
    <col min="3" max="3" width="12.5703125" style="64" hidden="1" customWidth="1"/>
    <col min="4" max="4" width="13.28515625" style="64" hidden="1" customWidth="1"/>
    <col min="5" max="5" width="12.140625" style="64" hidden="1" customWidth="1"/>
    <col min="6" max="6" width="9.5703125" style="64" hidden="1" customWidth="1"/>
    <col min="7" max="7" width="1.140625" style="64" hidden="1" customWidth="1"/>
    <col min="8" max="8" width="13.28515625" style="64" hidden="1" customWidth="1"/>
    <col min="9" max="9" width="14.42578125" style="64" hidden="1" customWidth="1"/>
    <col min="10" max="10" width="14.28515625" style="64" hidden="1" customWidth="1"/>
    <col min="11" max="12" width="11.28515625" style="64" hidden="1" customWidth="1"/>
    <col min="13" max="13" width="13.28515625" style="64" hidden="1" customWidth="1"/>
    <col min="14" max="14" width="14.42578125" style="64" hidden="1" customWidth="1"/>
    <col min="15" max="15" width="14.28515625" style="64" hidden="1" customWidth="1"/>
    <col min="16" max="17" width="11.28515625" style="64" hidden="1" customWidth="1"/>
    <col min="18" max="18" width="13.28515625" style="64" hidden="1" customWidth="1"/>
    <col min="19" max="19" width="14.42578125" style="64" hidden="1" customWidth="1"/>
    <col min="20" max="20" width="14.28515625" style="64" hidden="1" customWidth="1"/>
    <col min="21" max="22" width="11.28515625" style="64" hidden="1" customWidth="1"/>
    <col min="23" max="32" width="11.140625" style="64" hidden="1" customWidth="1"/>
    <col min="33" max="37" width="12.28515625" style="64" hidden="1" customWidth="1"/>
    <col min="38" max="47" width="12.28515625" style="64" customWidth="1"/>
    <col min="48" max="48" width="17.85546875" style="65" customWidth="1"/>
    <col min="49" max="49" width="4.85546875" style="63" customWidth="1"/>
    <col min="50" max="54" width="9.140625" style="63"/>
    <col min="55" max="58" width="9.140625" style="89"/>
    <col min="59" max="69" width="9.140625" style="63"/>
    <col min="70" max="70" width="9.140625" style="89"/>
    <col min="71" max="16384" width="9.140625" style="63"/>
  </cols>
  <sheetData>
    <row r="1" spans="1:75" s="4" customFormat="1">
      <c r="A1" s="105" t="s">
        <v>76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</row>
    <row r="2" spans="1:75" s="3" customFormat="1" ht="12.75">
      <c r="A2" s="106" t="s">
        <v>77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</row>
    <row r="3" spans="1:75" s="6" customFormat="1" ht="12.75">
      <c r="A3" s="108" t="s">
        <v>2</v>
      </c>
      <c r="B3" s="111">
        <v>2011</v>
      </c>
      <c r="C3" s="112"/>
      <c r="D3" s="112"/>
      <c r="E3" s="112"/>
      <c r="F3" s="112"/>
      <c r="G3" s="86"/>
      <c r="H3" s="113">
        <v>2012</v>
      </c>
      <c r="I3" s="112"/>
      <c r="J3" s="112"/>
      <c r="K3" s="112"/>
      <c r="L3" s="114"/>
      <c r="M3" s="112">
        <v>2013</v>
      </c>
      <c r="N3" s="112"/>
      <c r="O3" s="112"/>
      <c r="P3" s="112"/>
      <c r="Q3" s="112"/>
      <c r="R3" s="113">
        <v>2014</v>
      </c>
      <c r="S3" s="112"/>
      <c r="T3" s="112"/>
      <c r="U3" s="112"/>
      <c r="V3" s="114"/>
      <c r="W3" s="112">
        <v>2015</v>
      </c>
      <c r="X3" s="112"/>
      <c r="Y3" s="112"/>
      <c r="Z3" s="112"/>
      <c r="AA3" s="112"/>
      <c r="AB3" s="113">
        <v>2016</v>
      </c>
      <c r="AC3" s="112"/>
      <c r="AD3" s="112"/>
      <c r="AE3" s="112"/>
      <c r="AF3" s="112"/>
      <c r="AG3" s="94">
        <v>2017</v>
      </c>
      <c r="AH3" s="95"/>
      <c r="AI3" s="95"/>
      <c r="AJ3" s="95"/>
      <c r="AK3" s="95"/>
      <c r="AL3" s="94">
        <v>2018</v>
      </c>
      <c r="AM3" s="95"/>
      <c r="AN3" s="95"/>
      <c r="AO3" s="95"/>
      <c r="AP3" s="95"/>
      <c r="AQ3" s="94">
        <v>2019</v>
      </c>
      <c r="AR3" s="95"/>
      <c r="AS3" s="95"/>
      <c r="AT3" s="95"/>
      <c r="AU3" s="95"/>
      <c r="AV3" s="96" t="s">
        <v>35</v>
      </c>
      <c r="AW3" s="5"/>
    </row>
    <row r="4" spans="1:75" s="17" customFormat="1" ht="17.25" customHeight="1">
      <c r="A4" s="109"/>
      <c r="B4" s="7" t="s">
        <v>33</v>
      </c>
      <c r="C4" s="7" t="s">
        <v>31</v>
      </c>
      <c r="D4" s="7" t="s">
        <v>34</v>
      </c>
      <c r="E4" s="7" t="s">
        <v>36</v>
      </c>
      <c r="F4" s="7" t="s">
        <v>37</v>
      </c>
      <c r="G4" s="8"/>
      <c r="H4" s="9" t="s">
        <v>33</v>
      </c>
      <c r="I4" s="7" t="s">
        <v>31</v>
      </c>
      <c r="J4" s="7" t="s">
        <v>34</v>
      </c>
      <c r="K4" s="7" t="s">
        <v>36</v>
      </c>
      <c r="L4" s="10" t="s">
        <v>37</v>
      </c>
      <c r="M4" s="11" t="s">
        <v>33</v>
      </c>
      <c r="N4" s="7" t="s">
        <v>31</v>
      </c>
      <c r="O4" s="7" t="s">
        <v>34</v>
      </c>
      <c r="P4" s="7" t="s">
        <v>36</v>
      </c>
      <c r="Q4" s="12" t="s">
        <v>37</v>
      </c>
      <c r="R4" s="9" t="s">
        <v>33</v>
      </c>
      <c r="S4" s="7" t="s">
        <v>31</v>
      </c>
      <c r="T4" s="7" t="s">
        <v>34</v>
      </c>
      <c r="U4" s="7" t="s">
        <v>36</v>
      </c>
      <c r="V4" s="10" t="s">
        <v>37</v>
      </c>
      <c r="W4" s="11" t="s">
        <v>33</v>
      </c>
      <c r="X4" s="7" t="s">
        <v>31</v>
      </c>
      <c r="Y4" s="7" t="s">
        <v>34</v>
      </c>
      <c r="Z4" s="7" t="s">
        <v>36</v>
      </c>
      <c r="AA4" s="12" t="s">
        <v>37</v>
      </c>
      <c r="AB4" s="9" t="s">
        <v>33</v>
      </c>
      <c r="AC4" s="7" t="s">
        <v>31</v>
      </c>
      <c r="AD4" s="7" t="s">
        <v>34</v>
      </c>
      <c r="AE4" s="7" t="s">
        <v>36</v>
      </c>
      <c r="AF4" s="12" t="s">
        <v>37</v>
      </c>
      <c r="AG4" s="13" t="s">
        <v>33</v>
      </c>
      <c r="AH4" s="14" t="s">
        <v>31</v>
      </c>
      <c r="AI4" s="14" t="s">
        <v>34</v>
      </c>
      <c r="AJ4" s="14" t="s">
        <v>36</v>
      </c>
      <c r="AK4" s="14" t="s">
        <v>37</v>
      </c>
      <c r="AL4" s="13" t="s">
        <v>33</v>
      </c>
      <c r="AM4" s="14" t="s">
        <v>31</v>
      </c>
      <c r="AN4" s="14" t="s">
        <v>34</v>
      </c>
      <c r="AO4" s="14" t="s">
        <v>36</v>
      </c>
      <c r="AP4" s="14" t="s">
        <v>37</v>
      </c>
      <c r="AQ4" s="13" t="s">
        <v>33</v>
      </c>
      <c r="AR4" s="14" t="s">
        <v>31</v>
      </c>
      <c r="AS4" s="14" t="s">
        <v>34</v>
      </c>
      <c r="AT4" s="14" t="s">
        <v>36</v>
      </c>
      <c r="AU4" s="15" t="s">
        <v>37</v>
      </c>
      <c r="AV4" s="97"/>
      <c r="AW4" s="16"/>
    </row>
    <row r="5" spans="1:75" s="24" customFormat="1">
      <c r="A5" s="110"/>
      <c r="B5" s="18" t="s">
        <v>38</v>
      </c>
      <c r="C5" s="18" t="s">
        <v>39</v>
      </c>
      <c r="D5" s="18" t="s">
        <v>40</v>
      </c>
      <c r="E5" s="19" t="s">
        <v>41</v>
      </c>
      <c r="F5" s="84" t="s">
        <v>42</v>
      </c>
      <c r="G5" s="20"/>
      <c r="H5" s="21" t="s">
        <v>38</v>
      </c>
      <c r="I5" s="18" t="s">
        <v>39</v>
      </c>
      <c r="J5" s="18" t="s">
        <v>40</v>
      </c>
      <c r="K5" s="19" t="s">
        <v>41</v>
      </c>
      <c r="L5" s="20" t="s">
        <v>42</v>
      </c>
      <c r="M5" s="22" t="s">
        <v>38</v>
      </c>
      <c r="N5" s="18" t="s">
        <v>39</v>
      </c>
      <c r="O5" s="18" t="s">
        <v>40</v>
      </c>
      <c r="P5" s="19" t="s">
        <v>41</v>
      </c>
      <c r="Q5" s="84" t="s">
        <v>42</v>
      </c>
      <c r="R5" s="21" t="s">
        <v>43</v>
      </c>
      <c r="S5" s="18" t="s">
        <v>44</v>
      </c>
      <c r="T5" s="18" t="s">
        <v>40</v>
      </c>
      <c r="U5" s="19" t="s">
        <v>41</v>
      </c>
      <c r="V5" s="20" t="s">
        <v>42</v>
      </c>
      <c r="W5" s="22" t="s">
        <v>43</v>
      </c>
      <c r="X5" s="18" t="s">
        <v>44</v>
      </c>
      <c r="Y5" s="18" t="s">
        <v>40</v>
      </c>
      <c r="Z5" s="19" t="s">
        <v>41</v>
      </c>
      <c r="AA5" s="84" t="s">
        <v>42</v>
      </c>
      <c r="AB5" s="21" t="s">
        <v>43</v>
      </c>
      <c r="AC5" s="18" t="s">
        <v>44</v>
      </c>
      <c r="AD5" s="18" t="s">
        <v>40</v>
      </c>
      <c r="AE5" s="19" t="s">
        <v>41</v>
      </c>
      <c r="AF5" s="84" t="s">
        <v>42</v>
      </c>
      <c r="AG5" s="23" t="s">
        <v>43</v>
      </c>
      <c r="AH5" s="84" t="s">
        <v>44</v>
      </c>
      <c r="AI5" s="84" t="s">
        <v>40</v>
      </c>
      <c r="AJ5" s="84" t="s">
        <v>41</v>
      </c>
      <c r="AK5" s="84" t="s">
        <v>42</v>
      </c>
      <c r="AL5" s="23" t="s">
        <v>43</v>
      </c>
      <c r="AM5" s="84" t="s">
        <v>44</v>
      </c>
      <c r="AN5" s="84" t="s">
        <v>40</v>
      </c>
      <c r="AO5" s="84" t="s">
        <v>41</v>
      </c>
      <c r="AP5" s="84" t="s">
        <v>42</v>
      </c>
      <c r="AQ5" s="23" t="s">
        <v>43</v>
      </c>
      <c r="AR5" s="84" t="s">
        <v>44</v>
      </c>
      <c r="AS5" s="84" t="s">
        <v>40</v>
      </c>
      <c r="AT5" s="84" t="s">
        <v>41</v>
      </c>
      <c r="AU5" s="84" t="s">
        <v>42</v>
      </c>
      <c r="AV5" s="98"/>
      <c r="BM5" s="7"/>
      <c r="BN5" s="99" t="s">
        <v>45</v>
      </c>
      <c r="BO5" s="100"/>
      <c r="BP5" s="100"/>
      <c r="BQ5" s="101"/>
      <c r="BR5" s="85"/>
      <c r="BS5" s="102" t="s">
        <v>46</v>
      </c>
      <c r="BT5" s="103"/>
      <c r="BU5" s="103"/>
      <c r="BV5" s="104"/>
    </row>
    <row r="6" spans="1:75" s="33" customFormat="1">
      <c r="A6" s="25" t="s">
        <v>47</v>
      </c>
      <c r="B6" s="26">
        <f>B7+B13</f>
        <v>2764</v>
      </c>
      <c r="C6" s="26">
        <f>C7+C13</f>
        <v>6827</v>
      </c>
      <c r="D6" s="26">
        <f>D7+D13</f>
        <v>6264</v>
      </c>
      <c r="E6" s="26">
        <f>E7+E13</f>
        <v>5960</v>
      </c>
      <c r="F6" s="26">
        <f>F7+F13</f>
        <v>2985</v>
      </c>
      <c r="G6" s="27"/>
      <c r="H6" s="28">
        <f t="shared" ref="H6:AP6" si="0">H7+H13</f>
        <v>2376</v>
      </c>
      <c r="I6" s="26">
        <f t="shared" si="0"/>
        <v>6425</v>
      </c>
      <c r="J6" s="26">
        <f t="shared" si="0"/>
        <v>5981</v>
      </c>
      <c r="K6" s="26">
        <f t="shared" si="0"/>
        <v>5600</v>
      </c>
      <c r="L6" s="27">
        <f t="shared" si="0"/>
        <v>2945</v>
      </c>
      <c r="M6" s="26">
        <f t="shared" si="0"/>
        <v>5634</v>
      </c>
      <c r="N6" s="26">
        <f t="shared" si="0"/>
        <v>3769</v>
      </c>
      <c r="O6" s="26">
        <f t="shared" si="0"/>
        <v>6512</v>
      </c>
      <c r="P6" s="26">
        <f t="shared" si="0"/>
        <v>5527</v>
      </c>
      <c r="Q6" s="29">
        <f t="shared" si="0"/>
        <v>3234</v>
      </c>
      <c r="R6" s="28">
        <f t="shared" si="0"/>
        <v>3174</v>
      </c>
      <c r="S6" s="26">
        <f t="shared" si="0"/>
        <v>7414</v>
      </c>
      <c r="T6" s="26">
        <f t="shared" si="0"/>
        <v>8157</v>
      </c>
      <c r="U6" s="26">
        <f t="shared" si="0"/>
        <v>5587</v>
      </c>
      <c r="V6" s="27">
        <f t="shared" si="0"/>
        <v>3414</v>
      </c>
      <c r="W6" s="26">
        <f t="shared" si="0"/>
        <v>3556</v>
      </c>
      <c r="X6" s="26">
        <f t="shared" si="0"/>
        <v>5290</v>
      </c>
      <c r="Y6" s="26">
        <f t="shared" si="0"/>
        <v>9477</v>
      </c>
      <c r="Z6" s="26">
        <f t="shared" si="0"/>
        <v>5763</v>
      </c>
      <c r="AA6" s="29">
        <f t="shared" si="0"/>
        <v>3358</v>
      </c>
      <c r="AB6" s="28">
        <f t="shared" si="0"/>
        <v>5339</v>
      </c>
      <c r="AC6" s="26">
        <f t="shared" si="0"/>
        <v>5021</v>
      </c>
      <c r="AD6" s="26">
        <f t="shared" si="0"/>
        <v>9828</v>
      </c>
      <c r="AE6" s="26">
        <f t="shared" si="0"/>
        <v>5488</v>
      </c>
      <c r="AF6" s="29">
        <f t="shared" si="0"/>
        <v>3417</v>
      </c>
      <c r="AG6" s="30">
        <f t="shared" si="0"/>
        <v>5421</v>
      </c>
      <c r="AH6" s="2">
        <f t="shared" si="0"/>
        <v>5692</v>
      </c>
      <c r="AI6" s="2">
        <f t="shared" si="0"/>
        <v>9582</v>
      </c>
      <c r="AJ6" s="2">
        <f t="shared" si="0"/>
        <v>5048</v>
      </c>
      <c r="AK6" s="2">
        <f t="shared" si="0"/>
        <v>3211</v>
      </c>
      <c r="AL6" s="30">
        <f t="shared" si="0"/>
        <v>3499</v>
      </c>
      <c r="AM6" s="2">
        <f t="shared" si="0"/>
        <v>6836</v>
      </c>
      <c r="AN6" s="2">
        <f t="shared" si="0"/>
        <v>9821</v>
      </c>
      <c r="AO6" s="2">
        <f t="shared" si="0"/>
        <v>5178</v>
      </c>
      <c r="AP6" s="2">
        <f t="shared" si="0"/>
        <v>3109</v>
      </c>
      <c r="AQ6" s="30">
        <f t="shared" ref="AQ6:AU6" si="1">AQ7+AQ13</f>
        <v>3381</v>
      </c>
      <c r="AR6" s="2">
        <f t="shared" si="1"/>
        <v>6568</v>
      </c>
      <c r="AS6" s="2">
        <f t="shared" si="1"/>
        <v>10127</v>
      </c>
      <c r="AT6" s="2">
        <f t="shared" si="1"/>
        <v>5069</v>
      </c>
      <c r="AU6" s="31">
        <f t="shared" si="1"/>
        <v>3550</v>
      </c>
      <c r="AV6" s="32" t="s">
        <v>23</v>
      </c>
      <c r="BM6" s="34"/>
      <c r="BN6" s="35">
        <v>2015</v>
      </c>
      <c r="BO6" s="35">
        <v>2016</v>
      </c>
      <c r="BP6" s="35">
        <v>2017</v>
      </c>
      <c r="BQ6" s="35">
        <v>2018</v>
      </c>
      <c r="BR6" s="35">
        <v>2019</v>
      </c>
      <c r="BS6" s="35">
        <v>2015</v>
      </c>
      <c r="BT6" s="35">
        <v>2016</v>
      </c>
      <c r="BU6" s="35">
        <v>2017</v>
      </c>
      <c r="BV6" s="35">
        <v>2018</v>
      </c>
      <c r="BW6" s="35">
        <v>2019</v>
      </c>
    </row>
    <row r="7" spans="1:75" s="35" customFormat="1">
      <c r="A7" s="25" t="s">
        <v>48</v>
      </c>
      <c r="B7" s="36">
        <f>SUM(B8:B12)</f>
        <v>1570</v>
      </c>
      <c r="C7" s="36">
        <f>SUM(C8:C12)</f>
        <v>2558</v>
      </c>
      <c r="D7" s="36">
        <f>SUM(D8:D12)</f>
        <v>2038</v>
      </c>
      <c r="E7" s="36">
        <f>SUM(E8:E12)</f>
        <v>2311</v>
      </c>
      <c r="F7" s="36">
        <f>SUM(F8:F12)</f>
        <v>1181</v>
      </c>
      <c r="G7" s="37"/>
      <c r="H7" s="38">
        <f t="shared" ref="H7:AP7" si="2">SUM(H8:H12)</f>
        <v>1241</v>
      </c>
      <c r="I7" s="36">
        <f t="shared" si="2"/>
        <v>2277</v>
      </c>
      <c r="J7" s="36">
        <f t="shared" si="2"/>
        <v>2251</v>
      </c>
      <c r="K7" s="36">
        <f t="shared" si="2"/>
        <v>2305</v>
      </c>
      <c r="L7" s="37">
        <f t="shared" si="2"/>
        <v>1254</v>
      </c>
      <c r="M7" s="36">
        <f t="shared" si="2"/>
        <v>1649</v>
      </c>
      <c r="N7" s="36">
        <f t="shared" si="2"/>
        <v>2453</v>
      </c>
      <c r="O7" s="36">
        <f t="shared" si="2"/>
        <v>2502</v>
      </c>
      <c r="P7" s="36">
        <f t="shared" si="2"/>
        <v>2362</v>
      </c>
      <c r="Q7" s="39">
        <f t="shared" si="2"/>
        <v>1411</v>
      </c>
      <c r="R7" s="38">
        <f t="shared" si="2"/>
        <v>1850</v>
      </c>
      <c r="S7" s="36">
        <f t="shared" si="2"/>
        <v>2589</v>
      </c>
      <c r="T7" s="36">
        <f t="shared" si="2"/>
        <v>2603</v>
      </c>
      <c r="U7" s="36">
        <f t="shared" si="2"/>
        <v>2357</v>
      </c>
      <c r="V7" s="37">
        <f t="shared" si="2"/>
        <v>1426</v>
      </c>
      <c r="W7" s="36">
        <f t="shared" si="2"/>
        <v>2354</v>
      </c>
      <c r="X7" s="36">
        <f t="shared" si="2"/>
        <v>2377</v>
      </c>
      <c r="Y7" s="36">
        <f t="shared" si="2"/>
        <v>2706</v>
      </c>
      <c r="Z7" s="36">
        <f t="shared" si="2"/>
        <v>2417</v>
      </c>
      <c r="AA7" s="39">
        <f t="shared" si="2"/>
        <v>1288</v>
      </c>
      <c r="AB7" s="38">
        <f t="shared" si="2"/>
        <v>2977</v>
      </c>
      <c r="AC7" s="36">
        <f t="shared" si="2"/>
        <v>2732</v>
      </c>
      <c r="AD7" s="36">
        <f t="shared" si="2"/>
        <v>2569</v>
      </c>
      <c r="AE7" s="36">
        <f t="shared" si="2"/>
        <v>2304</v>
      </c>
      <c r="AF7" s="39">
        <f t="shared" si="2"/>
        <v>1341</v>
      </c>
      <c r="AG7" s="30">
        <f t="shared" si="2"/>
        <v>3037</v>
      </c>
      <c r="AH7" s="2">
        <f t="shared" si="2"/>
        <v>3607</v>
      </c>
      <c r="AI7" s="2">
        <f t="shared" si="2"/>
        <v>2567</v>
      </c>
      <c r="AJ7" s="2">
        <f t="shared" si="2"/>
        <v>1979</v>
      </c>
      <c r="AK7" s="2">
        <f t="shared" si="2"/>
        <v>1248</v>
      </c>
      <c r="AL7" s="30">
        <f t="shared" si="2"/>
        <v>1977</v>
      </c>
      <c r="AM7" s="2">
        <f t="shared" si="2"/>
        <v>4932</v>
      </c>
      <c r="AN7" s="2">
        <f t="shared" si="2"/>
        <v>2825</v>
      </c>
      <c r="AO7" s="2">
        <f t="shared" si="2"/>
        <v>2191</v>
      </c>
      <c r="AP7" s="2">
        <f t="shared" si="2"/>
        <v>1156</v>
      </c>
      <c r="AQ7" s="30">
        <f t="shared" ref="AQ7:AU7" si="3">SUM(AQ8:AQ12)</f>
        <v>1763</v>
      </c>
      <c r="AR7" s="2">
        <f t="shared" si="3"/>
        <v>4700</v>
      </c>
      <c r="AS7" s="2">
        <f t="shared" si="3"/>
        <v>2964</v>
      </c>
      <c r="AT7" s="2">
        <f t="shared" si="3"/>
        <v>2055</v>
      </c>
      <c r="AU7" s="31">
        <f t="shared" si="3"/>
        <v>1260</v>
      </c>
      <c r="AV7" s="40" t="s">
        <v>0</v>
      </c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M7" s="34" t="s">
        <v>1</v>
      </c>
      <c r="BN7" s="26">
        <f>Z6</f>
        <v>5763</v>
      </c>
      <c r="BO7" s="26">
        <f>AE6</f>
        <v>5488</v>
      </c>
      <c r="BP7" s="26">
        <f>AJ6</f>
        <v>5048</v>
      </c>
      <c r="BQ7" s="26">
        <f>AO6</f>
        <v>5178</v>
      </c>
      <c r="BR7" s="26">
        <f>AT6</f>
        <v>5069</v>
      </c>
      <c r="BS7" s="26">
        <f>AA6</f>
        <v>3358</v>
      </c>
      <c r="BT7" s="26">
        <f>AF6</f>
        <v>3417</v>
      </c>
      <c r="BU7" s="26">
        <f>AK6</f>
        <v>3211</v>
      </c>
      <c r="BV7" s="26">
        <f>AP6</f>
        <v>3109</v>
      </c>
      <c r="BW7" s="26">
        <f>AU6</f>
        <v>3550</v>
      </c>
    </row>
    <row r="8" spans="1:75" s="35" customFormat="1">
      <c r="A8" s="41" t="s">
        <v>25</v>
      </c>
      <c r="B8" s="42">
        <v>108</v>
      </c>
      <c r="C8" s="42">
        <v>0</v>
      </c>
      <c r="D8" s="42">
        <v>0</v>
      </c>
      <c r="E8" s="42">
        <v>0</v>
      </c>
      <c r="F8" s="42">
        <v>0</v>
      </c>
      <c r="G8" s="43"/>
      <c r="H8" s="44">
        <v>83</v>
      </c>
      <c r="I8" s="42">
        <v>0</v>
      </c>
      <c r="J8" s="42">
        <v>0</v>
      </c>
      <c r="K8" s="42">
        <v>0</v>
      </c>
      <c r="L8" s="43">
        <v>0</v>
      </c>
      <c r="M8" s="45">
        <v>103</v>
      </c>
      <c r="N8" s="42">
        <v>0</v>
      </c>
      <c r="O8" s="42">
        <v>0</v>
      </c>
      <c r="P8" s="42">
        <v>0</v>
      </c>
      <c r="Q8" s="46">
        <v>0</v>
      </c>
      <c r="R8" s="44">
        <v>64</v>
      </c>
      <c r="S8" s="42">
        <v>0</v>
      </c>
      <c r="T8" s="42">
        <v>0</v>
      </c>
      <c r="U8" s="42">
        <v>0</v>
      </c>
      <c r="V8" s="43">
        <v>0</v>
      </c>
      <c r="W8" s="45">
        <v>25</v>
      </c>
      <c r="X8" s="42">
        <v>0</v>
      </c>
      <c r="Y8" s="42">
        <v>0</v>
      </c>
      <c r="Z8" s="42">
        <v>0</v>
      </c>
      <c r="AA8" s="46">
        <v>0</v>
      </c>
      <c r="AB8" s="44">
        <v>46</v>
      </c>
      <c r="AC8" s="42">
        <v>0</v>
      </c>
      <c r="AD8" s="42">
        <v>0</v>
      </c>
      <c r="AE8" s="42">
        <v>0</v>
      </c>
      <c r="AF8" s="46">
        <v>0</v>
      </c>
      <c r="AG8" s="47">
        <v>42</v>
      </c>
      <c r="AH8" s="1">
        <v>0</v>
      </c>
      <c r="AI8" s="1">
        <v>0</v>
      </c>
      <c r="AJ8" s="1">
        <v>0</v>
      </c>
      <c r="AK8" s="1">
        <v>0</v>
      </c>
      <c r="AL8" s="47">
        <v>39</v>
      </c>
      <c r="AM8" s="1">
        <v>0</v>
      </c>
      <c r="AN8" s="1">
        <v>0</v>
      </c>
      <c r="AO8" s="1">
        <v>0</v>
      </c>
      <c r="AP8" s="1">
        <v>0</v>
      </c>
      <c r="AQ8" s="47">
        <v>25</v>
      </c>
      <c r="AR8" s="1">
        <v>0</v>
      </c>
      <c r="AS8" s="1">
        <v>0</v>
      </c>
      <c r="AT8" s="1">
        <v>0</v>
      </c>
      <c r="AU8" s="1">
        <v>0</v>
      </c>
      <c r="AV8" s="48" t="s">
        <v>49</v>
      </c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M8" s="34" t="s">
        <v>48</v>
      </c>
      <c r="BN8" s="26">
        <f>Z7</f>
        <v>2417</v>
      </c>
      <c r="BO8" s="26">
        <f>AE7</f>
        <v>2304</v>
      </c>
      <c r="BP8" s="26">
        <f>AJ7</f>
        <v>1979</v>
      </c>
      <c r="BQ8" s="26">
        <f>AO7</f>
        <v>2191</v>
      </c>
      <c r="BR8" s="26">
        <f>AT7</f>
        <v>2055</v>
      </c>
      <c r="BS8" s="26">
        <f>AA7</f>
        <v>1288</v>
      </c>
      <c r="BT8" s="26">
        <f>AF7</f>
        <v>1341</v>
      </c>
      <c r="BU8" s="26">
        <f>AK7</f>
        <v>1248</v>
      </c>
      <c r="BV8" s="26">
        <f>AP7</f>
        <v>1156</v>
      </c>
      <c r="BW8" s="26">
        <f>AU7</f>
        <v>1260</v>
      </c>
    </row>
    <row r="9" spans="1:75" s="35" customFormat="1">
      <c r="A9" s="41" t="s">
        <v>26</v>
      </c>
      <c r="B9" s="42">
        <v>0</v>
      </c>
      <c r="C9" s="42">
        <v>0</v>
      </c>
      <c r="D9" s="42">
        <v>2038</v>
      </c>
      <c r="E9" s="42">
        <v>2311</v>
      </c>
      <c r="F9" s="42">
        <v>1181</v>
      </c>
      <c r="G9" s="43"/>
      <c r="H9" s="44">
        <v>0</v>
      </c>
      <c r="I9" s="42">
        <v>0</v>
      </c>
      <c r="J9" s="42">
        <v>2251</v>
      </c>
      <c r="K9" s="42">
        <v>2305</v>
      </c>
      <c r="L9" s="43">
        <v>1254</v>
      </c>
      <c r="M9" s="45">
        <v>0</v>
      </c>
      <c r="N9" s="42">
        <v>0</v>
      </c>
      <c r="O9" s="42">
        <v>2502</v>
      </c>
      <c r="P9" s="42">
        <v>2362</v>
      </c>
      <c r="Q9" s="46">
        <v>1411</v>
      </c>
      <c r="R9" s="44">
        <v>0</v>
      </c>
      <c r="S9" s="42">
        <v>0</v>
      </c>
      <c r="T9" s="42">
        <v>2603</v>
      </c>
      <c r="U9" s="42">
        <v>2357</v>
      </c>
      <c r="V9" s="43">
        <v>1426</v>
      </c>
      <c r="W9" s="45">
        <v>0</v>
      </c>
      <c r="X9" s="42">
        <v>0</v>
      </c>
      <c r="Y9" s="42">
        <v>2706</v>
      </c>
      <c r="Z9" s="42">
        <v>2417</v>
      </c>
      <c r="AA9" s="46">
        <v>1288</v>
      </c>
      <c r="AB9" s="44">
        <v>0</v>
      </c>
      <c r="AC9" s="42">
        <v>0</v>
      </c>
      <c r="AD9" s="42">
        <v>2569</v>
      </c>
      <c r="AE9" s="42">
        <v>2304</v>
      </c>
      <c r="AF9" s="46">
        <v>1341</v>
      </c>
      <c r="AG9" s="47">
        <v>0</v>
      </c>
      <c r="AH9" s="1">
        <v>0</v>
      </c>
      <c r="AI9" s="1">
        <v>2567</v>
      </c>
      <c r="AJ9" s="1">
        <v>1979</v>
      </c>
      <c r="AK9" s="1">
        <v>1248</v>
      </c>
      <c r="AL9" s="47">
        <v>0</v>
      </c>
      <c r="AM9" s="1">
        <v>0</v>
      </c>
      <c r="AN9" s="1">
        <v>2825</v>
      </c>
      <c r="AO9" s="1">
        <v>2191</v>
      </c>
      <c r="AP9" s="1">
        <v>1156</v>
      </c>
      <c r="AQ9" s="47">
        <v>0</v>
      </c>
      <c r="AR9" s="1">
        <v>0</v>
      </c>
      <c r="AS9" s="1">
        <v>2964</v>
      </c>
      <c r="AT9" s="1">
        <v>2055</v>
      </c>
      <c r="AU9" s="91">
        <v>1260</v>
      </c>
      <c r="AV9" s="48" t="s">
        <v>50</v>
      </c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M9" s="49" t="s">
        <v>51</v>
      </c>
      <c r="BN9" s="26">
        <f>Z13</f>
        <v>3346</v>
      </c>
      <c r="BO9" s="26">
        <f>AE13</f>
        <v>3184</v>
      </c>
      <c r="BP9" s="26">
        <f>AJ13</f>
        <v>3069</v>
      </c>
      <c r="BQ9" s="26">
        <f>AO13</f>
        <v>2987</v>
      </c>
      <c r="BR9" s="26">
        <f>AT13</f>
        <v>3014</v>
      </c>
      <c r="BS9" s="26">
        <f>AA13</f>
        <v>2070</v>
      </c>
      <c r="BT9" s="26">
        <f>AF13</f>
        <v>2076</v>
      </c>
      <c r="BU9" s="26">
        <f>AK13</f>
        <v>1963</v>
      </c>
      <c r="BV9" s="26">
        <f>AP13</f>
        <v>1953</v>
      </c>
      <c r="BW9" s="26">
        <f>AU13</f>
        <v>2290</v>
      </c>
    </row>
    <row r="10" spans="1:75" s="35" customFormat="1">
      <c r="A10" s="41" t="s">
        <v>27</v>
      </c>
      <c r="B10" s="42">
        <v>1462</v>
      </c>
      <c r="C10" s="42">
        <v>0</v>
      </c>
      <c r="D10" s="42">
        <v>0</v>
      </c>
      <c r="E10" s="42">
        <v>0</v>
      </c>
      <c r="F10" s="42">
        <v>0</v>
      </c>
      <c r="G10" s="43"/>
      <c r="H10" s="44">
        <v>1158</v>
      </c>
      <c r="I10" s="42">
        <v>0</v>
      </c>
      <c r="J10" s="42">
        <v>0</v>
      </c>
      <c r="K10" s="42">
        <v>0</v>
      </c>
      <c r="L10" s="43">
        <v>0</v>
      </c>
      <c r="M10" s="45">
        <v>1546</v>
      </c>
      <c r="N10" s="42">
        <v>0</v>
      </c>
      <c r="O10" s="42">
        <v>0</v>
      </c>
      <c r="P10" s="42">
        <v>0</v>
      </c>
      <c r="Q10" s="46">
        <v>0</v>
      </c>
      <c r="R10" s="44">
        <v>874</v>
      </c>
      <c r="S10" s="42">
        <v>0</v>
      </c>
      <c r="T10" s="42">
        <v>0</v>
      </c>
      <c r="U10" s="42">
        <v>0</v>
      </c>
      <c r="V10" s="43">
        <v>0</v>
      </c>
      <c r="W10" s="45">
        <v>806</v>
      </c>
      <c r="X10" s="42">
        <v>0</v>
      </c>
      <c r="Y10" s="42">
        <v>0</v>
      </c>
      <c r="Z10" s="42">
        <v>0</v>
      </c>
      <c r="AA10" s="46">
        <v>0</v>
      </c>
      <c r="AB10" s="44">
        <v>1408</v>
      </c>
      <c r="AC10" s="42">
        <v>0</v>
      </c>
      <c r="AD10" s="42">
        <v>0</v>
      </c>
      <c r="AE10" s="42">
        <v>0</v>
      </c>
      <c r="AF10" s="46">
        <v>0</v>
      </c>
      <c r="AG10" s="47">
        <v>1433</v>
      </c>
      <c r="AH10" s="1">
        <v>0</v>
      </c>
      <c r="AI10" s="1">
        <v>0</v>
      </c>
      <c r="AJ10" s="1">
        <v>0</v>
      </c>
      <c r="AK10" s="1">
        <v>0</v>
      </c>
      <c r="AL10" s="47">
        <v>864</v>
      </c>
      <c r="AM10" s="1">
        <v>0</v>
      </c>
      <c r="AN10" s="1">
        <v>0</v>
      </c>
      <c r="AO10" s="1">
        <v>0</v>
      </c>
      <c r="AP10" s="1">
        <v>0</v>
      </c>
      <c r="AQ10" s="47">
        <v>978</v>
      </c>
      <c r="AR10" s="1">
        <v>0</v>
      </c>
      <c r="AS10" s="1">
        <v>0</v>
      </c>
      <c r="AT10" s="1">
        <v>0</v>
      </c>
      <c r="AU10" s="1">
        <v>0</v>
      </c>
      <c r="AV10" s="48" t="s">
        <v>52</v>
      </c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R10" s="88"/>
    </row>
    <row r="11" spans="1:75" s="35" customFormat="1">
      <c r="A11" s="41" t="s">
        <v>28</v>
      </c>
      <c r="B11" s="42">
        <v>0</v>
      </c>
      <c r="C11" s="42">
        <v>2558</v>
      </c>
      <c r="D11" s="42">
        <v>0</v>
      </c>
      <c r="E11" s="42">
        <v>0</v>
      </c>
      <c r="F11" s="42">
        <v>0</v>
      </c>
      <c r="G11" s="43"/>
      <c r="H11" s="44">
        <v>0</v>
      </c>
      <c r="I11" s="42">
        <v>2277</v>
      </c>
      <c r="J11" s="42">
        <v>0</v>
      </c>
      <c r="K11" s="42">
        <v>0</v>
      </c>
      <c r="L11" s="43">
        <v>0</v>
      </c>
      <c r="M11" s="45">
        <v>0</v>
      </c>
      <c r="N11" s="42">
        <v>2453</v>
      </c>
      <c r="O11" s="42">
        <v>0</v>
      </c>
      <c r="P11" s="42">
        <v>0</v>
      </c>
      <c r="Q11" s="46">
        <v>0</v>
      </c>
      <c r="R11" s="44">
        <v>0</v>
      </c>
      <c r="S11" s="42">
        <v>2589</v>
      </c>
      <c r="T11" s="42">
        <v>0</v>
      </c>
      <c r="U11" s="42">
        <v>0</v>
      </c>
      <c r="V11" s="43">
        <v>0</v>
      </c>
      <c r="W11" s="45">
        <v>0</v>
      </c>
      <c r="X11" s="42">
        <v>2377</v>
      </c>
      <c r="Y11" s="42">
        <v>0</v>
      </c>
      <c r="Z11" s="42">
        <v>0</v>
      </c>
      <c r="AA11" s="46">
        <v>0</v>
      </c>
      <c r="AB11" s="44">
        <v>0</v>
      </c>
      <c r="AC11" s="42">
        <v>2732</v>
      </c>
      <c r="AD11" s="42">
        <v>0</v>
      </c>
      <c r="AE11" s="42">
        <v>0</v>
      </c>
      <c r="AF11" s="46">
        <v>0</v>
      </c>
      <c r="AG11" s="47">
        <v>0</v>
      </c>
      <c r="AH11" s="1">
        <v>3607</v>
      </c>
      <c r="AI11" s="1">
        <v>0</v>
      </c>
      <c r="AJ11" s="1">
        <v>0</v>
      </c>
      <c r="AK11" s="1">
        <v>0</v>
      </c>
      <c r="AL11" s="47">
        <v>0</v>
      </c>
      <c r="AM11" s="1">
        <v>4932</v>
      </c>
      <c r="AN11" s="1">
        <v>0</v>
      </c>
      <c r="AO11" s="1">
        <v>0</v>
      </c>
      <c r="AP11" s="1">
        <v>0</v>
      </c>
      <c r="AQ11" s="47">
        <v>0</v>
      </c>
      <c r="AR11" s="1">
        <v>4700</v>
      </c>
      <c r="AS11" s="1">
        <v>0</v>
      </c>
      <c r="AT11" s="1">
        <v>0</v>
      </c>
      <c r="AU11" s="1">
        <v>0</v>
      </c>
      <c r="AV11" s="48" t="s">
        <v>53</v>
      </c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R11" s="88"/>
    </row>
    <row r="12" spans="1:75" s="35" customFormat="1">
      <c r="A12" s="41" t="s">
        <v>24</v>
      </c>
      <c r="B12" s="42"/>
      <c r="C12" s="42"/>
      <c r="D12" s="42"/>
      <c r="E12" s="42"/>
      <c r="F12" s="42"/>
      <c r="G12" s="43"/>
      <c r="H12" s="44"/>
      <c r="I12" s="42"/>
      <c r="J12" s="42"/>
      <c r="K12" s="42"/>
      <c r="L12" s="43"/>
      <c r="M12" s="45"/>
      <c r="N12" s="42"/>
      <c r="O12" s="42"/>
      <c r="P12" s="42"/>
      <c r="Q12" s="46"/>
      <c r="R12" s="44">
        <v>912</v>
      </c>
      <c r="S12" s="42"/>
      <c r="T12" s="42"/>
      <c r="U12" s="42"/>
      <c r="V12" s="43"/>
      <c r="W12" s="45">
        <v>1523</v>
      </c>
      <c r="X12" s="45">
        <v>0</v>
      </c>
      <c r="Y12" s="45">
        <v>0</v>
      </c>
      <c r="Z12" s="45">
        <v>0</v>
      </c>
      <c r="AA12" s="46">
        <v>0</v>
      </c>
      <c r="AB12" s="44">
        <v>1523</v>
      </c>
      <c r="AC12" s="42">
        <v>0</v>
      </c>
      <c r="AD12" s="42">
        <v>0</v>
      </c>
      <c r="AE12" s="42">
        <v>0</v>
      </c>
      <c r="AF12" s="46">
        <v>0</v>
      </c>
      <c r="AG12" s="47">
        <v>1562</v>
      </c>
      <c r="AH12" s="1">
        <v>0</v>
      </c>
      <c r="AI12" s="1">
        <v>0</v>
      </c>
      <c r="AJ12" s="1">
        <v>0</v>
      </c>
      <c r="AK12" s="1">
        <v>0</v>
      </c>
      <c r="AL12" s="47">
        <v>1074</v>
      </c>
      <c r="AM12" s="1">
        <v>0</v>
      </c>
      <c r="AN12" s="1">
        <v>0</v>
      </c>
      <c r="AO12" s="1">
        <v>0</v>
      </c>
      <c r="AP12" s="1">
        <v>0</v>
      </c>
      <c r="AQ12" s="47">
        <v>760</v>
      </c>
      <c r="AR12" s="1">
        <v>0</v>
      </c>
      <c r="AS12" s="1">
        <v>0</v>
      </c>
      <c r="AT12" s="1">
        <v>0</v>
      </c>
      <c r="AU12" s="1">
        <v>0</v>
      </c>
      <c r="AV12" s="48" t="s">
        <v>54</v>
      </c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R12" s="88"/>
    </row>
    <row r="13" spans="1:75" s="35" customFormat="1">
      <c r="A13" s="50" t="s">
        <v>2</v>
      </c>
      <c r="B13" s="36">
        <f>SUM(B15:B34)</f>
        <v>1194</v>
      </c>
      <c r="C13" s="36">
        <f>SUM(C15:C34)</f>
        <v>4269</v>
      </c>
      <c r="D13" s="36">
        <f>SUM(D15:D34)</f>
        <v>4226</v>
      </c>
      <c r="E13" s="36">
        <f>SUM(E15:E34)</f>
        <v>3649</v>
      </c>
      <c r="F13" s="36">
        <f>SUM(F15:F34)</f>
        <v>1804</v>
      </c>
      <c r="G13" s="37"/>
      <c r="H13" s="38">
        <f t="shared" ref="H13:Q13" si="4">SUM(H15:H34)</f>
        <v>1135</v>
      </c>
      <c r="I13" s="36">
        <f t="shared" si="4"/>
        <v>4148</v>
      </c>
      <c r="J13" s="36">
        <f t="shared" si="4"/>
        <v>3730</v>
      </c>
      <c r="K13" s="36">
        <f t="shared" si="4"/>
        <v>3295</v>
      </c>
      <c r="L13" s="37">
        <f t="shared" si="4"/>
        <v>1691</v>
      </c>
      <c r="M13" s="36">
        <f t="shared" si="4"/>
        <v>3985</v>
      </c>
      <c r="N13" s="36">
        <f t="shared" si="4"/>
        <v>1316</v>
      </c>
      <c r="O13" s="36">
        <f t="shared" si="4"/>
        <v>4010</v>
      </c>
      <c r="P13" s="36">
        <f t="shared" si="4"/>
        <v>3165</v>
      </c>
      <c r="Q13" s="39">
        <f t="shared" si="4"/>
        <v>1823</v>
      </c>
      <c r="R13" s="38">
        <f t="shared" ref="R13:AI13" si="5">SUM(R14:R34)</f>
        <v>1324</v>
      </c>
      <c r="S13" s="36">
        <f t="shared" si="5"/>
        <v>4825</v>
      </c>
      <c r="T13" s="36">
        <f t="shared" si="5"/>
        <v>5554</v>
      </c>
      <c r="U13" s="36">
        <f t="shared" si="5"/>
        <v>3230</v>
      </c>
      <c r="V13" s="37">
        <f t="shared" si="5"/>
        <v>1988</v>
      </c>
      <c r="W13" s="36">
        <f t="shared" si="5"/>
        <v>1202</v>
      </c>
      <c r="X13" s="36">
        <f t="shared" si="5"/>
        <v>2913</v>
      </c>
      <c r="Y13" s="36">
        <f t="shared" si="5"/>
        <v>6771</v>
      </c>
      <c r="Z13" s="36">
        <f t="shared" si="5"/>
        <v>3346</v>
      </c>
      <c r="AA13" s="39">
        <f t="shared" si="5"/>
        <v>2070</v>
      </c>
      <c r="AB13" s="38">
        <f t="shared" si="5"/>
        <v>2362</v>
      </c>
      <c r="AC13" s="36">
        <f t="shared" si="5"/>
        <v>2289</v>
      </c>
      <c r="AD13" s="36">
        <f t="shared" si="5"/>
        <v>7259</v>
      </c>
      <c r="AE13" s="36">
        <f>SUM(AE14:AE34)</f>
        <v>3184</v>
      </c>
      <c r="AF13" s="39">
        <f t="shared" si="5"/>
        <v>2076</v>
      </c>
      <c r="AG13" s="30">
        <f t="shared" si="5"/>
        <v>2384</v>
      </c>
      <c r="AH13" s="2">
        <f t="shared" si="5"/>
        <v>2085</v>
      </c>
      <c r="AI13" s="2">
        <f t="shared" si="5"/>
        <v>7015</v>
      </c>
      <c r="AJ13" s="2">
        <f>SUM(AJ14:AJ34)</f>
        <v>3069</v>
      </c>
      <c r="AK13" s="2">
        <f t="shared" ref="AK13:AN13" si="6">SUM(AK14:AK34)</f>
        <v>1963</v>
      </c>
      <c r="AL13" s="30">
        <f t="shared" si="6"/>
        <v>1522</v>
      </c>
      <c r="AM13" s="2">
        <f t="shared" si="6"/>
        <v>1904</v>
      </c>
      <c r="AN13" s="2">
        <f t="shared" si="6"/>
        <v>6996</v>
      </c>
      <c r="AO13" s="2">
        <f>SUM(AO14:AO34)</f>
        <v>2987</v>
      </c>
      <c r="AP13" s="2">
        <f t="shared" ref="AP13:AS13" si="7">SUM(AP14:AP34)</f>
        <v>1953</v>
      </c>
      <c r="AQ13" s="30">
        <f t="shared" si="7"/>
        <v>1618</v>
      </c>
      <c r="AR13" s="2">
        <f t="shared" si="7"/>
        <v>1868</v>
      </c>
      <c r="AS13" s="2">
        <f t="shared" si="7"/>
        <v>7163</v>
      </c>
      <c r="AT13" s="2">
        <f>SUM(AT14:AT34)</f>
        <v>3014</v>
      </c>
      <c r="AU13" s="31">
        <f t="shared" ref="AU13" si="8">SUM(AU14:AU34)</f>
        <v>2290</v>
      </c>
      <c r="AV13" s="40" t="s">
        <v>35</v>
      </c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R13" s="88"/>
    </row>
    <row r="14" spans="1:75" s="35" customFormat="1">
      <c r="A14" s="50" t="s">
        <v>32</v>
      </c>
      <c r="B14" s="36">
        <v>2</v>
      </c>
      <c r="C14" s="36">
        <v>185</v>
      </c>
      <c r="D14" s="36">
        <v>45</v>
      </c>
      <c r="E14" s="36">
        <v>55</v>
      </c>
      <c r="F14" s="36">
        <v>28</v>
      </c>
      <c r="G14" s="37"/>
      <c r="H14" s="38">
        <v>5</v>
      </c>
      <c r="I14" s="36">
        <v>448</v>
      </c>
      <c r="J14" s="36">
        <v>116</v>
      </c>
      <c r="K14" s="36">
        <v>99</v>
      </c>
      <c r="L14" s="37">
        <v>66</v>
      </c>
      <c r="M14" s="36">
        <v>6</v>
      </c>
      <c r="N14" s="36">
        <v>408</v>
      </c>
      <c r="O14" s="36">
        <v>166</v>
      </c>
      <c r="P14" s="36">
        <v>101</v>
      </c>
      <c r="Q14" s="39">
        <v>97</v>
      </c>
      <c r="R14" s="38">
        <v>47</v>
      </c>
      <c r="S14" s="36">
        <v>265</v>
      </c>
      <c r="T14" s="36">
        <v>252</v>
      </c>
      <c r="U14" s="36">
        <v>125</v>
      </c>
      <c r="V14" s="37">
        <v>98</v>
      </c>
      <c r="W14" s="36">
        <v>24</v>
      </c>
      <c r="X14" s="36">
        <v>166</v>
      </c>
      <c r="Y14" s="36">
        <v>338</v>
      </c>
      <c r="Z14" s="36">
        <v>193</v>
      </c>
      <c r="AA14" s="39">
        <v>167</v>
      </c>
      <c r="AB14" s="38">
        <v>69</v>
      </c>
      <c r="AC14" s="36">
        <v>66</v>
      </c>
      <c r="AD14" s="36">
        <v>307</v>
      </c>
      <c r="AE14" s="36">
        <v>223</v>
      </c>
      <c r="AF14" s="39">
        <v>155</v>
      </c>
      <c r="AG14" s="30">
        <v>98</v>
      </c>
      <c r="AH14" s="2">
        <v>0</v>
      </c>
      <c r="AI14" s="2">
        <v>335</v>
      </c>
      <c r="AJ14" s="2">
        <v>207</v>
      </c>
      <c r="AK14" s="2">
        <v>149</v>
      </c>
      <c r="AL14" s="30">
        <v>65</v>
      </c>
      <c r="AM14" s="2">
        <v>0</v>
      </c>
      <c r="AN14" s="2">
        <v>464</v>
      </c>
      <c r="AO14" s="2">
        <v>258</v>
      </c>
      <c r="AP14" s="2">
        <v>217</v>
      </c>
      <c r="AQ14" s="30">
        <v>129</v>
      </c>
      <c r="AR14" s="2">
        <v>0</v>
      </c>
      <c r="AS14" s="2">
        <v>513</v>
      </c>
      <c r="AT14" s="2">
        <v>312</v>
      </c>
      <c r="AU14" s="31">
        <v>359</v>
      </c>
      <c r="AV14" s="40" t="s">
        <v>55</v>
      </c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R14" s="88"/>
    </row>
    <row r="15" spans="1:75" s="35" customFormat="1">
      <c r="A15" s="41" t="s">
        <v>3</v>
      </c>
      <c r="B15" s="42">
        <v>59</v>
      </c>
      <c r="C15" s="42">
        <v>193</v>
      </c>
      <c r="D15" s="42">
        <v>176</v>
      </c>
      <c r="E15" s="42">
        <v>219</v>
      </c>
      <c r="F15" s="42">
        <v>67</v>
      </c>
      <c r="G15" s="43"/>
      <c r="H15" s="44">
        <v>28</v>
      </c>
      <c r="I15" s="42">
        <v>181</v>
      </c>
      <c r="J15" s="42">
        <v>169</v>
      </c>
      <c r="K15" s="42">
        <v>236</v>
      </c>
      <c r="L15" s="43">
        <v>87</v>
      </c>
      <c r="M15" s="45">
        <v>196</v>
      </c>
      <c r="N15" s="42">
        <v>75</v>
      </c>
      <c r="O15" s="42">
        <v>176</v>
      </c>
      <c r="P15" s="42">
        <v>206</v>
      </c>
      <c r="Q15" s="46">
        <v>86</v>
      </c>
      <c r="R15" s="44">
        <v>61</v>
      </c>
      <c r="S15" s="42">
        <v>177</v>
      </c>
      <c r="T15" s="42">
        <v>204</v>
      </c>
      <c r="U15" s="42">
        <v>177</v>
      </c>
      <c r="V15" s="43">
        <v>89</v>
      </c>
      <c r="W15" s="45">
        <v>42</v>
      </c>
      <c r="X15" s="42">
        <v>79</v>
      </c>
      <c r="Y15" s="42">
        <v>257</v>
      </c>
      <c r="Z15" s="42">
        <v>169</v>
      </c>
      <c r="AA15" s="46">
        <v>91</v>
      </c>
      <c r="AB15" s="44">
        <v>110</v>
      </c>
      <c r="AC15" s="42">
        <v>63</v>
      </c>
      <c r="AD15" s="42">
        <v>269</v>
      </c>
      <c r="AE15" s="42">
        <v>161</v>
      </c>
      <c r="AF15" s="46">
        <v>92</v>
      </c>
      <c r="AG15" s="47">
        <v>72</v>
      </c>
      <c r="AH15" s="1">
        <v>72</v>
      </c>
      <c r="AI15" s="1">
        <v>260</v>
      </c>
      <c r="AJ15" s="1">
        <v>158</v>
      </c>
      <c r="AK15" s="1">
        <v>69</v>
      </c>
      <c r="AL15" s="47">
        <v>51</v>
      </c>
      <c r="AM15" s="1">
        <v>62</v>
      </c>
      <c r="AN15" s="1">
        <v>253</v>
      </c>
      <c r="AO15" s="1">
        <v>160</v>
      </c>
      <c r="AP15" s="1">
        <v>94</v>
      </c>
      <c r="AQ15" s="47">
        <v>31</v>
      </c>
      <c r="AR15" s="1">
        <v>50</v>
      </c>
      <c r="AS15" s="1">
        <v>244</v>
      </c>
      <c r="AT15" s="1">
        <v>156</v>
      </c>
      <c r="AU15" s="91">
        <v>80</v>
      </c>
      <c r="AV15" s="51" t="s">
        <v>56</v>
      </c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R15" s="88"/>
    </row>
    <row r="16" spans="1:75" s="35" customFormat="1">
      <c r="A16" s="41" t="s">
        <v>4</v>
      </c>
      <c r="B16" s="42">
        <v>112</v>
      </c>
      <c r="C16" s="42">
        <v>177</v>
      </c>
      <c r="D16" s="42">
        <v>277</v>
      </c>
      <c r="E16" s="42">
        <v>339</v>
      </c>
      <c r="F16" s="42">
        <v>153</v>
      </c>
      <c r="G16" s="43"/>
      <c r="H16" s="44">
        <v>73</v>
      </c>
      <c r="I16" s="42">
        <v>178</v>
      </c>
      <c r="J16" s="42">
        <v>233</v>
      </c>
      <c r="K16" s="42">
        <v>287</v>
      </c>
      <c r="L16" s="43">
        <v>120</v>
      </c>
      <c r="M16" s="45">
        <v>135</v>
      </c>
      <c r="N16" s="42">
        <v>232</v>
      </c>
      <c r="O16" s="42">
        <v>273</v>
      </c>
      <c r="P16" s="42">
        <v>279</v>
      </c>
      <c r="Q16" s="46">
        <v>149</v>
      </c>
      <c r="R16" s="44">
        <v>183</v>
      </c>
      <c r="S16" s="42">
        <v>205</v>
      </c>
      <c r="T16" s="42">
        <v>339</v>
      </c>
      <c r="U16" s="42">
        <v>279</v>
      </c>
      <c r="V16" s="43">
        <v>126</v>
      </c>
      <c r="W16" s="45">
        <v>66</v>
      </c>
      <c r="X16" s="42">
        <v>112</v>
      </c>
      <c r="Y16" s="42">
        <v>440</v>
      </c>
      <c r="Z16" s="42">
        <v>274</v>
      </c>
      <c r="AA16" s="46">
        <v>170</v>
      </c>
      <c r="AB16" s="44">
        <v>178</v>
      </c>
      <c r="AC16" s="42">
        <v>96</v>
      </c>
      <c r="AD16" s="42">
        <v>411</v>
      </c>
      <c r="AE16" s="42">
        <v>291</v>
      </c>
      <c r="AF16" s="46">
        <v>125</v>
      </c>
      <c r="AG16" s="47">
        <v>142</v>
      </c>
      <c r="AH16" s="1">
        <v>64</v>
      </c>
      <c r="AI16" s="1">
        <v>460</v>
      </c>
      <c r="AJ16" s="1">
        <v>258</v>
      </c>
      <c r="AK16" s="1">
        <v>150</v>
      </c>
      <c r="AL16" s="47">
        <v>71</v>
      </c>
      <c r="AM16" s="1">
        <v>95</v>
      </c>
      <c r="AN16" s="1">
        <v>497</v>
      </c>
      <c r="AO16" s="1">
        <v>289</v>
      </c>
      <c r="AP16" s="1">
        <v>148</v>
      </c>
      <c r="AQ16" s="47">
        <v>100</v>
      </c>
      <c r="AR16" s="1">
        <v>124</v>
      </c>
      <c r="AS16" s="1">
        <v>473</v>
      </c>
      <c r="AT16" s="1">
        <v>256</v>
      </c>
      <c r="AU16" s="91">
        <v>158</v>
      </c>
      <c r="AV16" s="51" t="s">
        <v>57</v>
      </c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P16" s="35" t="s">
        <v>36</v>
      </c>
      <c r="BQ16" s="35" t="s">
        <v>37</v>
      </c>
      <c r="BR16" s="88"/>
    </row>
    <row r="17" spans="1:71" s="35" customFormat="1" ht="15.75" customHeight="1">
      <c r="A17" s="41" t="s">
        <v>5</v>
      </c>
      <c r="B17" s="42">
        <v>57</v>
      </c>
      <c r="C17" s="42">
        <v>182</v>
      </c>
      <c r="D17" s="42">
        <v>151</v>
      </c>
      <c r="E17" s="42">
        <v>193</v>
      </c>
      <c r="F17" s="42">
        <v>73</v>
      </c>
      <c r="G17" s="43"/>
      <c r="H17" s="44">
        <v>24</v>
      </c>
      <c r="I17" s="42">
        <v>145</v>
      </c>
      <c r="J17" s="42">
        <v>162</v>
      </c>
      <c r="K17" s="42">
        <v>199</v>
      </c>
      <c r="L17" s="43">
        <v>88</v>
      </c>
      <c r="M17" s="45">
        <v>148</v>
      </c>
      <c r="N17" s="42">
        <v>30</v>
      </c>
      <c r="O17" s="42">
        <v>164</v>
      </c>
      <c r="P17" s="42">
        <v>188</v>
      </c>
      <c r="Q17" s="46">
        <v>75</v>
      </c>
      <c r="R17" s="44">
        <v>23</v>
      </c>
      <c r="S17" s="42">
        <v>138</v>
      </c>
      <c r="T17" s="42">
        <v>195</v>
      </c>
      <c r="U17" s="42">
        <v>148</v>
      </c>
      <c r="V17" s="43">
        <v>95</v>
      </c>
      <c r="W17" s="45">
        <v>36</v>
      </c>
      <c r="X17" s="42">
        <v>67</v>
      </c>
      <c r="Y17" s="42">
        <v>262</v>
      </c>
      <c r="Z17" s="42">
        <v>166</v>
      </c>
      <c r="AA17" s="46">
        <v>82</v>
      </c>
      <c r="AB17" s="44">
        <v>58</v>
      </c>
      <c r="AC17" s="42">
        <v>66</v>
      </c>
      <c r="AD17" s="42">
        <v>328</v>
      </c>
      <c r="AE17" s="42">
        <v>191</v>
      </c>
      <c r="AF17" s="46">
        <v>93</v>
      </c>
      <c r="AG17" s="47">
        <v>49</v>
      </c>
      <c r="AH17" s="1">
        <v>53</v>
      </c>
      <c r="AI17" s="1">
        <v>293</v>
      </c>
      <c r="AJ17" s="1">
        <v>138</v>
      </c>
      <c r="AK17" s="1">
        <v>86</v>
      </c>
      <c r="AL17" s="47">
        <v>21</v>
      </c>
      <c r="AM17" s="1">
        <v>52</v>
      </c>
      <c r="AN17" s="1">
        <v>254</v>
      </c>
      <c r="AO17" s="1">
        <v>164</v>
      </c>
      <c r="AP17" s="1">
        <v>77</v>
      </c>
      <c r="AQ17" s="47">
        <v>24</v>
      </c>
      <c r="AR17" s="1">
        <v>48</v>
      </c>
      <c r="AS17" s="1">
        <v>336</v>
      </c>
      <c r="AT17" s="1">
        <v>152</v>
      </c>
      <c r="AU17" s="91">
        <v>90</v>
      </c>
      <c r="AV17" s="51" t="s">
        <v>58</v>
      </c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O17" s="35" t="s">
        <v>1</v>
      </c>
      <c r="BP17" s="35">
        <f>BR7</f>
        <v>5069</v>
      </c>
      <c r="BQ17" s="35">
        <f>BW7</f>
        <v>3550</v>
      </c>
      <c r="BR17" s="88"/>
    </row>
    <row r="18" spans="1:71" s="35" customFormat="1">
      <c r="A18" s="41" t="s">
        <v>7</v>
      </c>
      <c r="B18" s="42">
        <v>54</v>
      </c>
      <c r="C18" s="42">
        <v>194</v>
      </c>
      <c r="D18" s="42">
        <v>236</v>
      </c>
      <c r="E18" s="42">
        <v>195</v>
      </c>
      <c r="F18" s="42">
        <v>107</v>
      </c>
      <c r="G18" s="43"/>
      <c r="H18" s="44">
        <v>62</v>
      </c>
      <c r="I18" s="42">
        <v>186</v>
      </c>
      <c r="J18" s="42">
        <v>215</v>
      </c>
      <c r="K18" s="42">
        <v>193</v>
      </c>
      <c r="L18" s="43">
        <v>95</v>
      </c>
      <c r="M18" s="45">
        <v>175</v>
      </c>
      <c r="N18" s="42">
        <v>52</v>
      </c>
      <c r="O18" s="42">
        <v>213</v>
      </c>
      <c r="P18" s="42">
        <v>187</v>
      </c>
      <c r="Q18" s="46">
        <v>101</v>
      </c>
      <c r="R18" s="44">
        <v>97</v>
      </c>
      <c r="S18" s="42">
        <v>219</v>
      </c>
      <c r="T18" s="42">
        <v>290</v>
      </c>
      <c r="U18" s="42">
        <v>167</v>
      </c>
      <c r="V18" s="43">
        <v>104</v>
      </c>
      <c r="W18" s="45">
        <v>97</v>
      </c>
      <c r="X18" s="42">
        <v>133</v>
      </c>
      <c r="Y18" s="42">
        <v>383</v>
      </c>
      <c r="Z18" s="42">
        <v>171</v>
      </c>
      <c r="AA18" s="46">
        <v>103</v>
      </c>
      <c r="AB18" s="44">
        <v>83</v>
      </c>
      <c r="AC18" s="42">
        <v>92</v>
      </c>
      <c r="AD18" s="42">
        <v>385</v>
      </c>
      <c r="AE18" s="42">
        <v>154</v>
      </c>
      <c r="AF18" s="46">
        <v>100</v>
      </c>
      <c r="AG18" s="47">
        <v>141</v>
      </c>
      <c r="AH18" s="1">
        <v>75</v>
      </c>
      <c r="AI18" s="1">
        <v>291</v>
      </c>
      <c r="AJ18" s="1">
        <v>161</v>
      </c>
      <c r="AK18" s="1">
        <v>106</v>
      </c>
      <c r="AL18" s="47">
        <v>34</v>
      </c>
      <c r="AM18" s="1">
        <v>59</v>
      </c>
      <c r="AN18" s="1">
        <v>319</v>
      </c>
      <c r="AO18" s="1">
        <v>140</v>
      </c>
      <c r="AP18" s="1">
        <v>96</v>
      </c>
      <c r="AQ18" s="47">
        <v>45</v>
      </c>
      <c r="AR18" s="1">
        <v>75</v>
      </c>
      <c r="AS18" s="1">
        <v>333</v>
      </c>
      <c r="AT18" s="1">
        <v>148</v>
      </c>
      <c r="AU18" s="91">
        <v>105</v>
      </c>
      <c r="AV18" s="51" t="s">
        <v>59</v>
      </c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O18" s="35" t="s">
        <v>48</v>
      </c>
      <c r="BP18" s="35">
        <f>BR8</f>
        <v>2055</v>
      </c>
      <c r="BQ18" s="35">
        <f t="shared" ref="BQ18:BQ19" si="9">BW8</f>
        <v>1260</v>
      </c>
      <c r="BR18" s="88"/>
    </row>
    <row r="19" spans="1:71" s="35" customFormat="1">
      <c r="A19" s="41" t="s">
        <v>8</v>
      </c>
      <c r="B19" s="42">
        <v>128</v>
      </c>
      <c r="C19" s="42">
        <v>191</v>
      </c>
      <c r="D19" s="42">
        <v>231</v>
      </c>
      <c r="E19" s="42">
        <v>270</v>
      </c>
      <c r="F19" s="42">
        <v>100</v>
      </c>
      <c r="G19" s="43"/>
      <c r="H19" s="44">
        <v>84</v>
      </c>
      <c r="I19" s="42">
        <v>202</v>
      </c>
      <c r="J19" s="42">
        <v>231</v>
      </c>
      <c r="K19" s="42">
        <v>259</v>
      </c>
      <c r="L19" s="43">
        <v>118</v>
      </c>
      <c r="M19" s="45">
        <v>201</v>
      </c>
      <c r="N19" s="42">
        <v>67</v>
      </c>
      <c r="O19" s="42">
        <v>219</v>
      </c>
      <c r="P19" s="42">
        <v>233</v>
      </c>
      <c r="Q19" s="46">
        <v>117</v>
      </c>
      <c r="R19" s="44">
        <v>99</v>
      </c>
      <c r="S19" s="42">
        <v>225</v>
      </c>
      <c r="T19" s="42">
        <v>326</v>
      </c>
      <c r="U19" s="42">
        <v>254</v>
      </c>
      <c r="V19" s="43">
        <v>113</v>
      </c>
      <c r="W19" s="45">
        <v>56</v>
      </c>
      <c r="X19" s="42">
        <v>153</v>
      </c>
      <c r="Y19" s="42">
        <v>359</v>
      </c>
      <c r="Z19" s="42">
        <v>255</v>
      </c>
      <c r="AA19" s="46">
        <v>103</v>
      </c>
      <c r="AB19" s="44">
        <v>147</v>
      </c>
      <c r="AC19" s="42">
        <v>121</v>
      </c>
      <c r="AD19" s="42">
        <v>403</v>
      </c>
      <c r="AE19" s="42">
        <v>198</v>
      </c>
      <c r="AF19" s="46">
        <v>111</v>
      </c>
      <c r="AG19" s="47">
        <v>99</v>
      </c>
      <c r="AH19" s="1">
        <v>112</v>
      </c>
      <c r="AI19" s="1">
        <v>411</v>
      </c>
      <c r="AJ19" s="1">
        <v>219</v>
      </c>
      <c r="AK19" s="1">
        <v>114</v>
      </c>
      <c r="AL19" s="47">
        <v>70</v>
      </c>
      <c r="AM19" s="1">
        <v>142</v>
      </c>
      <c r="AN19" s="1">
        <v>415</v>
      </c>
      <c r="AO19" s="1">
        <v>197</v>
      </c>
      <c r="AP19" s="1">
        <v>110</v>
      </c>
      <c r="AQ19" s="47">
        <v>86</v>
      </c>
      <c r="AR19" s="1">
        <v>128</v>
      </c>
      <c r="AS19" s="1">
        <v>405</v>
      </c>
      <c r="AT19" s="1">
        <v>193</v>
      </c>
      <c r="AU19" s="91">
        <v>134</v>
      </c>
      <c r="AV19" s="51" t="s">
        <v>60</v>
      </c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O19" s="35" t="s">
        <v>51</v>
      </c>
      <c r="BP19" s="35">
        <f>BR9</f>
        <v>3014</v>
      </c>
      <c r="BQ19" s="35">
        <f t="shared" si="9"/>
        <v>2290</v>
      </c>
      <c r="BR19" s="88"/>
    </row>
    <row r="20" spans="1:71" s="35" customFormat="1">
      <c r="A20" s="41" t="s">
        <v>9</v>
      </c>
      <c r="B20" s="42">
        <v>29</v>
      </c>
      <c r="C20" s="42">
        <v>97</v>
      </c>
      <c r="D20" s="42">
        <v>137</v>
      </c>
      <c r="E20" s="42">
        <v>158</v>
      </c>
      <c r="F20" s="42">
        <v>63</v>
      </c>
      <c r="G20" s="43"/>
      <c r="H20" s="44">
        <v>26</v>
      </c>
      <c r="I20" s="42">
        <v>183</v>
      </c>
      <c r="J20" s="42">
        <v>135</v>
      </c>
      <c r="K20" s="42">
        <v>151</v>
      </c>
      <c r="L20" s="43">
        <v>57</v>
      </c>
      <c r="M20" s="45">
        <v>133</v>
      </c>
      <c r="N20" s="42">
        <v>27</v>
      </c>
      <c r="O20" s="42">
        <v>136</v>
      </c>
      <c r="P20" s="42">
        <v>125</v>
      </c>
      <c r="Q20" s="46">
        <v>63</v>
      </c>
      <c r="R20" s="44">
        <v>43</v>
      </c>
      <c r="S20" s="42">
        <v>119</v>
      </c>
      <c r="T20" s="42">
        <v>171</v>
      </c>
      <c r="U20" s="42">
        <v>124</v>
      </c>
      <c r="V20" s="43">
        <v>64</v>
      </c>
      <c r="W20" s="45">
        <v>21</v>
      </c>
      <c r="X20" s="42">
        <v>79</v>
      </c>
      <c r="Y20" s="42">
        <v>175</v>
      </c>
      <c r="Z20" s="42">
        <v>111</v>
      </c>
      <c r="AA20" s="46">
        <v>62</v>
      </c>
      <c r="AB20" s="44">
        <v>43</v>
      </c>
      <c r="AC20" s="42">
        <v>70</v>
      </c>
      <c r="AD20" s="42">
        <v>298</v>
      </c>
      <c r="AE20" s="42">
        <v>119</v>
      </c>
      <c r="AF20" s="46">
        <v>89</v>
      </c>
      <c r="AG20" s="47">
        <v>57</v>
      </c>
      <c r="AH20" s="1">
        <v>51</v>
      </c>
      <c r="AI20" s="1">
        <v>257</v>
      </c>
      <c r="AJ20" s="1">
        <v>108</v>
      </c>
      <c r="AK20" s="1">
        <v>68</v>
      </c>
      <c r="AL20" s="47">
        <v>36</v>
      </c>
      <c r="AM20" s="1">
        <v>47</v>
      </c>
      <c r="AN20" s="1">
        <v>275</v>
      </c>
      <c r="AO20" s="1">
        <v>116</v>
      </c>
      <c r="AP20" s="1">
        <v>62</v>
      </c>
      <c r="AQ20" s="47">
        <v>26</v>
      </c>
      <c r="AR20" s="1">
        <v>69</v>
      </c>
      <c r="AS20" s="1">
        <v>218</v>
      </c>
      <c r="AT20" s="1">
        <v>94</v>
      </c>
      <c r="AU20" s="91">
        <v>70</v>
      </c>
      <c r="AV20" s="51" t="s">
        <v>61</v>
      </c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R20" s="88"/>
    </row>
    <row r="21" spans="1:71" s="35" customFormat="1">
      <c r="A21" s="41" t="s">
        <v>10</v>
      </c>
      <c r="B21" s="42">
        <v>71</v>
      </c>
      <c r="C21" s="42">
        <v>99</v>
      </c>
      <c r="D21" s="42">
        <v>165</v>
      </c>
      <c r="E21" s="42">
        <v>168</v>
      </c>
      <c r="F21" s="42">
        <v>72</v>
      </c>
      <c r="G21" s="43"/>
      <c r="H21" s="44">
        <v>61</v>
      </c>
      <c r="I21" s="42">
        <v>124</v>
      </c>
      <c r="J21" s="42">
        <v>178</v>
      </c>
      <c r="K21" s="42">
        <v>160</v>
      </c>
      <c r="L21" s="43">
        <v>93</v>
      </c>
      <c r="M21" s="45">
        <v>201</v>
      </c>
      <c r="N21" s="42">
        <v>68</v>
      </c>
      <c r="O21" s="42">
        <v>180</v>
      </c>
      <c r="P21" s="42">
        <v>141</v>
      </c>
      <c r="Q21" s="46">
        <v>85</v>
      </c>
      <c r="R21" s="44">
        <v>60</v>
      </c>
      <c r="S21" s="42">
        <v>171</v>
      </c>
      <c r="T21" s="42">
        <v>244</v>
      </c>
      <c r="U21" s="42">
        <v>127</v>
      </c>
      <c r="V21" s="43">
        <v>82</v>
      </c>
      <c r="W21" s="45">
        <v>36</v>
      </c>
      <c r="X21" s="42">
        <v>111</v>
      </c>
      <c r="Y21" s="42">
        <v>307</v>
      </c>
      <c r="Z21" s="42">
        <v>129</v>
      </c>
      <c r="AA21" s="46">
        <v>96</v>
      </c>
      <c r="AB21" s="44">
        <v>140</v>
      </c>
      <c r="AC21" s="42">
        <v>113</v>
      </c>
      <c r="AD21" s="42">
        <v>344</v>
      </c>
      <c r="AE21" s="42">
        <v>133</v>
      </c>
      <c r="AF21" s="46">
        <v>90</v>
      </c>
      <c r="AG21" s="47">
        <v>143</v>
      </c>
      <c r="AH21" s="1">
        <v>104</v>
      </c>
      <c r="AI21" s="1">
        <v>328</v>
      </c>
      <c r="AJ21" s="1">
        <v>140</v>
      </c>
      <c r="AK21" s="1">
        <v>73</v>
      </c>
      <c r="AL21" s="47">
        <v>72</v>
      </c>
      <c r="AM21" s="1">
        <v>70</v>
      </c>
      <c r="AN21" s="1">
        <v>320</v>
      </c>
      <c r="AO21" s="1">
        <v>68</v>
      </c>
      <c r="AP21" s="1">
        <v>49</v>
      </c>
      <c r="AQ21" s="47">
        <v>54</v>
      </c>
      <c r="AR21" s="1">
        <v>68</v>
      </c>
      <c r="AS21" s="1">
        <v>281</v>
      </c>
      <c r="AT21" s="1">
        <v>119</v>
      </c>
      <c r="AU21" s="91">
        <v>93</v>
      </c>
      <c r="AV21" s="51" t="s">
        <v>62</v>
      </c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R21" s="88"/>
    </row>
    <row r="22" spans="1:71" s="35" customFormat="1">
      <c r="A22" s="41" t="s">
        <v>12</v>
      </c>
      <c r="B22" s="42">
        <v>52</v>
      </c>
      <c r="C22" s="42">
        <v>183</v>
      </c>
      <c r="D22" s="42">
        <v>258</v>
      </c>
      <c r="E22" s="42">
        <v>226</v>
      </c>
      <c r="F22" s="42">
        <v>133</v>
      </c>
      <c r="G22" s="43"/>
      <c r="H22" s="44">
        <v>41</v>
      </c>
      <c r="I22" s="42">
        <v>145</v>
      </c>
      <c r="J22" s="42">
        <v>218</v>
      </c>
      <c r="K22" s="42">
        <v>213</v>
      </c>
      <c r="L22" s="43">
        <v>112</v>
      </c>
      <c r="M22" s="45">
        <v>207</v>
      </c>
      <c r="N22" s="42">
        <v>42</v>
      </c>
      <c r="O22" s="42">
        <v>259</v>
      </c>
      <c r="P22" s="42">
        <v>201</v>
      </c>
      <c r="Q22" s="46">
        <v>129</v>
      </c>
      <c r="R22" s="44">
        <v>26</v>
      </c>
      <c r="S22" s="42">
        <v>263</v>
      </c>
      <c r="T22" s="42">
        <v>300</v>
      </c>
      <c r="U22" s="42">
        <v>247</v>
      </c>
      <c r="V22" s="43">
        <v>126</v>
      </c>
      <c r="W22" s="45">
        <v>62</v>
      </c>
      <c r="X22" s="42">
        <v>102</v>
      </c>
      <c r="Y22" s="42">
        <v>388</v>
      </c>
      <c r="Z22" s="42">
        <v>222</v>
      </c>
      <c r="AA22" s="46">
        <v>151</v>
      </c>
      <c r="AB22" s="44">
        <v>106</v>
      </c>
      <c r="AC22" s="42">
        <v>135</v>
      </c>
      <c r="AD22" s="42">
        <v>403</v>
      </c>
      <c r="AE22" s="42">
        <v>195</v>
      </c>
      <c r="AF22" s="46">
        <v>126</v>
      </c>
      <c r="AG22" s="47">
        <v>129</v>
      </c>
      <c r="AH22" s="1">
        <v>160</v>
      </c>
      <c r="AI22" s="1">
        <v>406</v>
      </c>
      <c r="AJ22" s="1">
        <v>201</v>
      </c>
      <c r="AK22" s="1">
        <v>132</v>
      </c>
      <c r="AL22" s="47">
        <v>207</v>
      </c>
      <c r="AM22" s="1">
        <v>112</v>
      </c>
      <c r="AN22" s="1">
        <v>358</v>
      </c>
      <c r="AO22" s="1">
        <v>152</v>
      </c>
      <c r="AP22" s="1">
        <v>108</v>
      </c>
      <c r="AQ22" s="47">
        <v>312</v>
      </c>
      <c r="AR22" s="1">
        <v>108</v>
      </c>
      <c r="AS22" s="1">
        <v>371</v>
      </c>
      <c r="AT22" s="1">
        <v>201</v>
      </c>
      <c r="AU22" s="91">
        <v>146</v>
      </c>
      <c r="AV22" s="51" t="s">
        <v>63</v>
      </c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O22" s="35" t="s">
        <v>36</v>
      </c>
      <c r="BR22" s="88"/>
    </row>
    <row r="23" spans="1:71" s="35" customFormat="1">
      <c r="A23" s="41" t="s">
        <v>13</v>
      </c>
      <c r="B23" s="42">
        <v>32</v>
      </c>
      <c r="C23" s="42">
        <v>110</v>
      </c>
      <c r="D23" s="42">
        <v>127</v>
      </c>
      <c r="E23" s="42">
        <v>116</v>
      </c>
      <c r="F23" s="42">
        <v>69</v>
      </c>
      <c r="G23" s="43"/>
      <c r="H23" s="44">
        <v>13</v>
      </c>
      <c r="I23" s="42">
        <v>123</v>
      </c>
      <c r="J23" s="42">
        <v>123</v>
      </c>
      <c r="K23" s="42">
        <v>99</v>
      </c>
      <c r="L23" s="43">
        <v>68</v>
      </c>
      <c r="M23" s="45">
        <v>140</v>
      </c>
      <c r="N23" s="42">
        <v>7</v>
      </c>
      <c r="O23" s="42">
        <v>142</v>
      </c>
      <c r="P23" s="42">
        <v>102</v>
      </c>
      <c r="Q23" s="46">
        <v>71</v>
      </c>
      <c r="R23" s="44">
        <v>18</v>
      </c>
      <c r="S23" s="42">
        <v>120</v>
      </c>
      <c r="T23" s="42">
        <v>155</v>
      </c>
      <c r="U23" s="42">
        <v>86</v>
      </c>
      <c r="V23" s="43">
        <v>65</v>
      </c>
      <c r="W23" s="45">
        <v>15</v>
      </c>
      <c r="X23" s="42">
        <v>115</v>
      </c>
      <c r="Y23" s="42">
        <v>234</v>
      </c>
      <c r="Z23" s="42">
        <v>102</v>
      </c>
      <c r="AA23" s="46">
        <v>70</v>
      </c>
      <c r="AB23" s="44">
        <v>37</v>
      </c>
      <c r="AC23" s="42">
        <v>87</v>
      </c>
      <c r="AD23" s="42">
        <v>291</v>
      </c>
      <c r="AE23" s="42">
        <v>111</v>
      </c>
      <c r="AF23" s="46">
        <v>79</v>
      </c>
      <c r="AG23" s="47">
        <v>41</v>
      </c>
      <c r="AH23" s="1">
        <v>104</v>
      </c>
      <c r="AI23" s="1">
        <v>273</v>
      </c>
      <c r="AJ23" s="1">
        <v>89</v>
      </c>
      <c r="AK23" s="1">
        <v>89</v>
      </c>
      <c r="AL23" s="47">
        <v>16</v>
      </c>
      <c r="AM23" s="1">
        <v>87</v>
      </c>
      <c r="AN23" s="1">
        <v>239</v>
      </c>
      <c r="AO23" s="1">
        <v>110</v>
      </c>
      <c r="AP23" s="1">
        <v>62</v>
      </c>
      <c r="AQ23" s="47">
        <v>20</v>
      </c>
      <c r="AR23" s="1">
        <v>101</v>
      </c>
      <c r="AS23" s="1">
        <v>278</v>
      </c>
      <c r="AT23" s="1">
        <v>103</v>
      </c>
      <c r="AU23" s="91">
        <v>91</v>
      </c>
      <c r="AV23" s="51" t="s">
        <v>64</v>
      </c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O23" s="35">
        <v>2015</v>
      </c>
      <c r="BP23" s="35">
        <v>2016</v>
      </c>
      <c r="BQ23" s="35">
        <v>2017</v>
      </c>
      <c r="BR23" s="35">
        <v>2018</v>
      </c>
      <c r="BS23" s="35">
        <v>2019</v>
      </c>
    </row>
    <row r="24" spans="1:71" s="35" customFormat="1">
      <c r="A24" s="41" t="s">
        <v>14</v>
      </c>
      <c r="B24" s="42">
        <v>20</v>
      </c>
      <c r="C24" s="42">
        <v>104</v>
      </c>
      <c r="D24" s="42">
        <v>166</v>
      </c>
      <c r="E24" s="42">
        <v>169</v>
      </c>
      <c r="F24" s="42">
        <v>85</v>
      </c>
      <c r="G24" s="43"/>
      <c r="H24" s="44">
        <v>18</v>
      </c>
      <c r="I24" s="42">
        <v>145</v>
      </c>
      <c r="J24" s="42">
        <v>141</v>
      </c>
      <c r="K24" s="42">
        <v>152</v>
      </c>
      <c r="L24" s="43">
        <v>74</v>
      </c>
      <c r="M24" s="45">
        <v>142</v>
      </c>
      <c r="N24" s="42">
        <v>20</v>
      </c>
      <c r="O24" s="42">
        <v>189</v>
      </c>
      <c r="P24" s="42">
        <v>148</v>
      </c>
      <c r="Q24" s="46">
        <v>110</v>
      </c>
      <c r="R24" s="44">
        <v>16</v>
      </c>
      <c r="S24" s="42">
        <v>253</v>
      </c>
      <c r="T24" s="42">
        <v>189</v>
      </c>
      <c r="U24" s="42">
        <v>139</v>
      </c>
      <c r="V24" s="43">
        <v>76</v>
      </c>
      <c r="W24" s="45">
        <v>25</v>
      </c>
      <c r="X24" s="42">
        <v>133</v>
      </c>
      <c r="Y24" s="42">
        <v>284</v>
      </c>
      <c r="Z24" s="42">
        <v>121</v>
      </c>
      <c r="AA24" s="46">
        <v>84</v>
      </c>
      <c r="AB24" s="44">
        <v>39</v>
      </c>
      <c r="AC24" s="42">
        <v>103</v>
      </c>
      <c r="AD24" s="42">
        <v>276</v>
      </c>
      <c r="AE24" s="42">
        <v>123</v>
      </c>
      <c r="AF24" s="46">
        <v>90</v>
      </c>
      <c r="AG24" s="47">
        <v>40</v>
      </c>
      <c r="AH24" s="1">
        <v>88</v>
      </c>
      <c r="AI24" s="1">
        <v>280</v>
      </c>
      <c r="AJ24" s="1">
        <v>121</v>
      </c>
      <c r="AK24" s="1">
        <v>83</v>
      </c>
      <c r="AL24" s="47">
        <v>27</v>
      </c>
      <c r="AM24" s="1">
        <v>81</v>
      </c>
      <c r="AN24" s="1">
        <v>306</v>
      </c>
      <c r="AO24" s="1">
        <v>88</v>
      </c>
      <c r="AP24" s="1">
        <v>70</v>
      </c>
      <c r="AQ24" s="47">
        <v>45</v>
      </c>
      <c r="AR24" s="1">
        <v>74</v>
      </c>
      <c r="AS24" s="1">
        <v>324</v>
      </c>
      <c r="AT24" s="1">
        <v>97</v>
      </c>
      <c r="AU24" s="91">
        <v>80</v>
      </c>
      <c r="AV24" s="51" t="s">
        <v>65</v>
      </c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N24" s="35" t="s">
        <v>1</v>
      </c>
      <c r="BO24" s="35">
        <v>5763</v>
      </c>
      <c r="BP24" s="35">
        <v>5488</v>
      </c>
      <c r="BQ24" s="35">
        <f>BP7</f>
        <v>5048</v>
      </c>
      <c r="BR24" s="35">
        <f>BQ7</f>
        <v>5178</v>
      </c>
      <c r="BS24" s="26">
        <v>5069</v>
      </c>
    </row>
    <row r="25" spans="1:71" s="35" customFormat="1">
      <c r="A25" s="41" t="s">
        <v>15</v>
      </c>
      <c r="B25" s="42">
        <v>1</v>
      </c>
      <c r="C25" s="42">
        <v>21</v>
      </c>
      <c r="D25" s="42">
        <v>29</v>
      </c>
      <c r="E25" s="42">
        <v>14</v>
      </c>
      <c r="F25" s="42">
        <v>17</v>
      </c>
      <c r="G25" s="43"/>
      <c r="H25" s="44">
        <v>1</v>
      </c>
      <c r="I25" s="42">
        <v>33</v>
      </c>
      <c r="J25" s="42">
        <v>19</v>
      </c>
      <c r="K25" s="42">
        <v>13</v>
      </c>
      <c r="L25" s="43">
        <v>12</v>
      </c>
      <c r="M25" s="45">
        <v>60</v>
      </c>
      <c r="N25" s="42">
        <v>9</v>
      </c>
      <c r="O25" s="42">
        <v>24</v>
      </c>
      <c r="P25" s="42">
        <v>24</v>
      </c>
      <c r="Q25" s="46">
        <v>16</v>
      </c>
      <c r="R25" s="44">
        <v>1</v>
      </c>
      <c r="S25" s="42">
        <v>55</v>
      </c>
      <c r="T25" s="42">
        <v>28</v>
      </c>
      <c r="U25" s="42">
        <v>18</v>
      </c>
      <c r="V25" s="43">
        <v>11</v>
      </c>
      <c r="W25" s="45">
        <v>0</v>
      </c>
      <c r="X25" s="42">
        <v>23</v>
      </c>
      <c r="Y25" s="42">
        <v>47</v>
      </c>
      <c r="Z25" s="42">
        <v>20</v>
      </c>
      <c r="AA25" s="46">
        <v>18</v>
      </c>
      <c r="AB25" s="44">
        <v>16</v>
      </c>
      <c r="AC25" s="42">
        <v>24</v>
      </c>
      <c r="AD25" s="42">
        <v>48</v>
      </c>
      <c r="AE25" s="42">
        <v>21</v>
      </c>
      <c r="AF25" s="46">
        <v>7</v>
      </c>
      <c r="AG25" s="47">
        <v>10</v>
      </c>
      <c r="AH25" s="1">
        <v>18</v>
      </c>
      <c r="AI25" s="1">
        <v>55</v>
      </c>
      <c r="AJ25" s="1">
        <v>13</v>
      </c>
      <c r="AK25" s="1">
        <v>11</v>
      </c>
      <c r="AL25" s="47">
        <v>3</v>
      </c>
      <c r="AM25" s="1">
        <v>17</v>
      </c>
      <c r="AN25" s="1">
        <v>56</v>
      </c>
      <c r="AO25" s="1">
        <v>19</v>
      </c>
      <c r="AP25" s="1">
        <v>23</v>
      </c>
      <c r="AQ25" s="47">
        <v>3</v>
      </c>
      <c r="AR25" s="1">
        <v>11</v>
      </c>
      <c r="AS25" s="1">
        <v>41</v>
      </c>
      <c r="AT25" s="1">
        <v>11</v>
      </c>
      <c r="AU25" s="91">
        <v>14</v>
      </c>
      <c r="AV25" s="51" t="s">
        <v>66</v>
      </c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N25" s="35" t="s">
        <v>48</v>
      </c>
      <c r="BO25" s="35">
        <v>2417</v>
      </c>
      <c r="BP25" s="35">
        <v>2304</v>
      </c>
      <c r="BQ25" s="35">
        <f t="shared" ref="BQ25:BQ26" si="10">BP8</f>
        <v>1979</v>
      </c>
      <c r="BR25" s="35">
        <f>BQ8</f>
        <v>2191</v>
      </c>
      <c r="BS25" s="26">
        <v>2055</v>
      </c>
    </row>
    <row r="26" spans="1:71" s="35" customFormat="1">
      <c r="A26" s="41" t="s">
        <v>16</v>
      </c>
      <c r="B26" s="42">
        <v>15</v>
      </c>
      <c r="C26" s="42">
        <v>136</v>
      </c>
      <c r="D26" s="42">
        <v>84</v>
      </c>
      <c r="E26" s="42">
        <v>82</v>
      </c>
      <c r="F26" s="42">
        <v>34</v>
      </c>
      <c r="G26" s="43"/>
      <c r="H26" s="44">
        <v>4</v>
      </c>
      <c r="I26" s="42">
        <v>62</v>
      </c>
      <c r="J26" s="42">
        <v>72</v>
      </c>
      <c r="K26" s="42">
        <v>70</v>
      </c>
      <c r="L26" s="43">
        <v>32</v>
      </c>
      <c r="M26" s="45">
        <v>99</v>
      </c>
      <c r="N26" s="42">
        <v>24</v>
      </c>
      <c r="O26" s="42">
        <v>65</v>
      </c>
      <c r="P26" s="42">
        <v>69</v>
      </c>
      <c r="Q26" s="46">
        <v>30</v>
      </c>
      <c r="R26" s="44">
        <v>23</v>
      </c>
      <c r="S26" s="42">
        <v>75</v>
      </c>
      <c r="T26" s="42">
        <v>88</v>
      </c>
      <c r="U26" s="42">
        <v>66</v>
      </c>
      <c r="V26" s="43">
        <v>40</v>
      </c>
      <c r="W26" s="45">
        <v>5</v>
      </c>
      <c r="X26" s="42">
        <v>52</v>
      </c>
      <c r="Y26" s="42">
        <v>130</v>
      </c>
      <c r="Z26" s="42">
        <v>71</v>
      </c>
      <c r="AA26" s="46">
        <v>42</v>
      </c>
      <c r="AB26" s="44">
        <v>11</v>
      </c>
      <c r="AC26" s="42">
        <v>24</v>
      </c>
      <c r="AD26" s="42">
        <v>153</v>
      </c>
      <c r="AE26" s="42">
        <v>58</v>
      </c>
      <c r="AF26" s="46">
        <v>41</v>
      </c>
      <c r="AG26" s="47">
        <v>19</v>
      </c>
      <c r="AH26" s="1">
        <v>17</v>
      </c>
      <c r="AI26" s="1">
        <v>123</v>
      </c>
      <c r="AJ26" s="1">
        <v>51</v>
      </c>
      <c r="AK26" s="1">
        <v>31</v>
      </c>
      <c r="AL26" s="47">
        <v>13</v>
      </c>
      <c r="AM26" s="1">
        <v>30</v>
      </c>
      <c r="AN26" s="1">
        <v>136</v>
      </c>
      <c r="AO26" s="1">
        <v>64</v>
      </c>
      <c r="AP26" s="1">
        <v>44</v>
      </c>
      <c r="AQ26" s="47">
        <v>18</v>
      </c>
      <c r="AR26" s="1">
        <v>24</v>
      </c>
      <c r="AS26" s="1">
        <v>112</v>
      </c>
      <c r="AT26" s="1">
        <v>61</v>
      </c>
      <c r="AU26" s="91">
        <v>41</v>
      </c>
      <c r="AV26" s="51" t="s">
        <v>67</v>
      </c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N26" s="35" t="s">
        <v>51</v>
      </c>
      <c r="BO26" s="35">
        <v>3346</v>
      </c>
      <c r="BP26" s="35">
        <v>3184</v>
      </c>
      <c r="BQ26" s="35">
        <f t="shared" si="10"/>
        <v>3069</v>
      </c>
      <c r="BR26" s="35">
        <f>BQ9</f>
        <v>2987</v>
      </c>
      <c r="BS26" s="26">
        <v>3014</v>
      </c>
    </row>
    <row r="27" spans="1:71" s="35" customFormat="1">
      <c r="A27" s="41" t="s">
        <v>17</v>
      </c>
      <c r="B27" s="42">
        <v>15</v>
      </c>
      <c r="C27" s="42">
        <v>86</v>
      </c>
      <c r="D27" s="42">
        <v>84</v>
      </c>
      <c r="E27" s="42">
        <v>94</v>
      </c>
      <c r="F27" s="42">
        <v>50</v>
      </c>
      <c r="G27" s="43"/>
      <c r="H27" s="44">
        <v>14</v>
      </c>
      <c r="I27" s="42">
        <v>83</v>
      </c>
      <c r="J27" s="42">
        <v>70</v>
      </c>
      <c r="K27" s="42">
        <v>76</v>
      </c>
      <c r="L27" s="43">
        <v>33</v>
      </c>
      <c r="M27" s="45">
        <v>106</v>
      </c>
      <c r="N27" s="42">
        <v>12</v>
      </c>
      <c r="O27" s="42">
        <v>87</v>
      </c>
      <c r="P27" s="42">
        <v>87</v>
      </c>
      <c r="Q27" s="46">
        <v>39</v>
      </c>
      <c r="R27" s="44">
        <v>21</v>
      </c>
      <c r="S27" s="42">
        <v>74</v>
      </c>
      <c r="T27" s="42">
        <v>106</v>
      </c>
      <c r="U27" s="42">
        <v>62</v>
      </c>
      <c r="V27" s="43">
        <v>32</v>
      </c>
      <c r="W27" s="45">
        <v>4</v>
      </c>
      <c r="X27" s="42">
        <v>53</v>
      </c>
      <c r="Y27" s="42">
        <v>129</v>
      </c>
      <c r="Z27" s="42">
        <v>68</v>
      </c>
      <c r="AA27" s="46">
        <v>33</v>
      </c>
      <c r="AB27" s="44">
        <v>17</v>
      </c>
      <c r="AC27" s="42">
        <v>42</v>
      </c>
      <c r="AD27" s="42">
        <v>154</v>
      </c>
      <c r="AE27" s="42">
        <v>40</v>
      </c>
      <c r="AF27" s="46">
        <v>35</v>
      </c>
      <c r="AG27" s="47">
        <v>21</v>
      </c>
      <c r="AH27" s="1">
        <v>65</v>
      </c>
      <c r="AI27" s="1">
        <v>149</v>
      </c>
      <c r="AJ27" s="1">
        <v>56</v>
      </c>
      <c r="AK27" s="1">
        <v>30</v>
      </c>
      <c r="AL27" s="47">
        <v>6</v>
      </c>
      <c r="AM27" s="1">
        <v>53</v>
      </c>
      <c r="AN27" s="1">
        <v>143</v>
      </c>
      <c r="AO27" s="1">
        <v>49</v>
      </c>
      <c r="AP27" s="1">
        <v>31</v>
      </c>
      <c r="AQ27" s="47">
        <v>3</v>
      </c>
      <c r="AR27" s="1">
        <v>62</v>
      </c>
      <c r="AS27" s="1">
        <v>141</v>
      </c>
      <c r="AT27" s="1">
        <v>56</v>
      </c>
      <c r="AU27" s="91">
        <v>34</v>
      </c>
      <c r="AV27" s="51" t="s">
        <v>68</v>
      </c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R27" s="88"/>
    </row>
    <row r="28" spans="1:71" s="35" customFormat="1">
      <c r="A28" s="41" t="s">
        <v>18</v>
      </c>
      <c r="B28" s="42">
        <v>12</v>
      </c>
      <c r="C28" s="42">
        <v>134</v>
      </c>
      <c r="D28" s="42">
        <v>87</v>
      </c>
      <c r="E28" s="42">
        <v>92</v>
      </c>
      <c r="F28" s="42">
        <v>40</v>
      </c>
      <c r="G28" s="43"/>
      <c r="H28" s="44">
        <v>4</v>
      </c>
      <c r="I28" s="42">
        <v>89</v>
      </c>
      <c r="J28" s="42">
        <v>85</v>
      </c>
      <c r="K28" s="42">
        <v>64</v>
      </c>
      <c r="L28" s="43">
        <v>44</v>
      </c>
      <c r="M28" s="45">
        <v>65</v>
      </c>
      <c r="N28" s="42">
        <v>20</v>
      </c>
      <c r="O28" s="42">
        <v>86</v>
      </c>
      <c r="P28" s="42">
        <v>80</v>
      </c>
      <c r="Q28" s="46">
        <v>33</v>
      </c>
      <c r="R28" s="44">
        <v>8</v>
      </c>
      <c r="S28" s="42">
        <v>80</v>
      </c>
      <c r="T28" s="42">
        <v>130</v>
      </c>
      <c r="U28" s="42">
        <v>71</v>
      </c>
      <c r="V28" s="43">
        <v>40</v>
      </c>
      <c r="W28" s="45">
        <v>4</v>
      </c>
      <c r="X28" s="42">
        <v>44</v>
      </c>
      <c r="Y28" s="42">
        <v>145</v>
      </c>
      <c r="Z28" s="42">
        <v>66</v>
      </c>
      <c r="AA28" s="46">
        <v>27</v>
      </c>
      <c r="AB28" s="44">
        <v>17</v>
      </c>
      <c r="AC28" s="42">
        <v>43</v>
      </c>
      <c r="AD28" s="42">
        <v>156</v>
      </c>
      <c r="AE28" s="42">
        <v>58</v>
      </c>
      <c r="AF28" s="46">
        <v>41</v>
      </c>
      <c r="AG28" s="47">
        <v>22</v>
      </c>
      <c r="AH28" s="1">
        <v>41</v>
      </c>
      <c r="AI28" s="1">
        <v>151</v>
      </c>
      <c r="AJ28" s="1">
        <v>56</v>
      </c>
      <c r="AK28" s="1">
        <v>41</v>
      </c>
      <c r="AL28" s="47">
        <v>18</v>
      </c>
      <c r="AM28" s="1">
        <v>45</v>
      </c>
      <c r="AN28" s="1">
        <v>126</v>
      </c>
      <c r="AO28" s="1">
        <v>67</v>
      </c>
      <c r="AP28" s="1">
        <v>34</v>
      </c>
      <c r="AQ28" s="47">
        <v>17</v>
      </c>
      <c r="AR28" s="1">
        <v>30</v>
      </c>
      <c r="AS28" s="1">
        <v>161</v>
      </c>
      <c r="AT28" s="1">
        <v>55</v>
      </c>
      <c r="AU28" s="91">
        <v>43</v>
      </c>
      <c r="AV28" s="51" t="s">
        <v>69</v>
      </c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O28" s="35" t="s">
        <v>37</v>
      </c>
      <c r="BR28" s="88"/>
    </row>
    <row r="29" spans="1:71" s="35" customFormat="1">
      <c r="A29" s="41" t="s">
        <v>19</v>
      </c>
      <c r="B29" s="42">
        <v>34</v>
      </c>
      <c r="C29" s="42">
        <v>211</v>
      </c>
      <c r="D29" s="42">
        <v>155</v>
      </c>
      <c r="E29" s="42">
        <v>166</v>
      </c>
      <c r="F29" s="42">
        <v>80</v>
      </c>
      <c r="G29" s="43"/>
      <c r="H29" s="44">
        <v>76</v>
      </c>
      <c r="I29" s="42">
        <v>177</v>
      </c>
      <c r="J29" s="42">
        <v>171</v>
      </c>
      <c r="K29" s="42">
        <v>146</v>
      </c>
      <c r="L29" s="43">
        <v>85</v>
      </c>
      <c r="M29" s="45">
        <v>184</v>
      </c>
      <c r="N29" s="42">
        <v>56</v>
      </c>
      <c r="O29" s="42">
        <v>152</v>
      </c>
      <c r="P29" s="42">
        <v>118</v>
      </c>
      <c r="Q29" s="46">
        <v>71</v>
      </c>
      <c r="R29" s="44">
        <v>66</v>
      </c>
      <c r="S29" s="42">
        <v>164</v>
      </c>
      <c r="T29" s="42">
        <v>213</v>
      </c>
      <c r="U29" s="42">
        <v>126</v>
      </c>
      <c r="V29" s="43">
        <v>97</v>
      </c>
      <c r="W29" s="45">
        <v>27</v>
      </c>
      <c r="X29" s="42">
        <v>101</v>
      </c>
      <c r="Y29" s="42">
        <v>277</v>
      </c>
      <c r="Z29" s="42">
        <v>135</v>
      </c>
      <c r="AA29" s="46">
        <v>102</v>
      </c>
      <c r="AB29" s="44">
        <v>72</v>
      </c>
      <c r="AC29" s="42">
        <v>98</v>
      </c>
      <c r="AD29" s="42">
        <v>313</v>
      </c>
      <c r="AE29" s="42">
        <v>139</v>
      </c>
      <c r="AF29" s="46">
        <v>112</v>
      </c>
      <c r="AG29" s="47">
        <v>75</v>
      </c>
      <c r="AH29" s="1">
        <v>81</v>
      </c>
      <c r="AI29" s="1">
        <v>306</v>
      </c>
      <c r="AJ29" s="1">
        <v>130</v>
      </c>
      <c r="AK29" s="1">
        <v>82</v>
      </c>
      <c r="AL29" s="47">
        <v>26</v>
      </c>
      <c r="AM29" s="1">
        <v>80</v>
      </c>
      <c r="AN29" s="1">
        <v>264</v>
      </c>
      <c r="AO29" s="1">
        <v>109</v>
      </c>
      <c r="AP29" s="1">
        <v>74</v>
      </c>
      <c r="AQ29" s="47">
        <v>56</v>
      </c>
      <c r="AR29" s="1">
        <v>91</v>
      </c>
      <c r="AS29" s="1">
        <v>293</v>
      </c>
      <c r="AT29" s="1">
        <v>132</v>
      </c>
      <c r="AU29" s="91">
        <v>96</v>
      </c>
      <c r="AV29" s="51" t="s">
        <v>70</v>
      </c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O29" s="35">
        <v>2015</v>
      </c>
      <c r="BP29" s="35">
        <v>2016</v>
      </c>
      <c r="BQ29" s="35">
        <v>2017</v>
      </c>
      <c r="BR29" s="35">
        <v>2018</v>
      </c>
      <c r="BS29" s="35">
        <v>2019</v>
      </c>
    </row>
    <row r="30" spans="1:71" s="35" customFormat="1">
      <c r="A30" s="41" t="s">
        <v>11</v>
      </c>
      <c r="B30" s="42">
        <v>75</v>
      </c>
      <c r="C30" s="42">
        <v>515</v>
      </c>
      <c r="D30" s="42">
        <v>331</v>
      </c>
      <c r="E30" s="42">
        <v>250</v>
      </c>
      <c r="F30" s="42">
        <v>142</v>
      </c>
      <c r="G30" s="43"/>
      <c r="H30" s="44">
        <v>108</v>
      </c>
      <c r="I30" s="42">
        <v>374</v>
      </c>
      <c r="J30" s="42">
        <v>291</v>
      </c>
      <c r="K30" s="42">
        <v>242</v>
      </c>
      <c r="L30" s="43">
        <v>117</v>
      </c>
      <c r="M30" s="45">
        <v>289</v>
      </c>
      <c r="N30" s="42">
        <v>139</v>
      </c>
      <c r="O30" s="42">
        <v>347</v>
      </c>
      <c r="P30" s="42">
        <v>230</v>
      </c>
      <c r="Q30" s="46">
        <v>149</v>
      </c>
      <c r="R30" s="44">
        <v>113</v>
      </c>
      <c r="S30" s="42">
        <v>350</v>
      </c>
      <c r="T30" s="42">
        <v>502</v>
      </c>
      <c r="U30" s="42">
        <v>230</v>
      </c>
      <c r="V30" s="43">
        <v>152</v>
      </c>
      <c r="W30" s="45">
        <v>116</v>
      </c>
      <c r="X30" s="42">
        <v>224</v>
      </c>
      <c r="Y30" s="42">
        <v>633</v>
      </c>
      <c r="Z30" s="42">
        <v>256</v>
      </c>
      <c r="AA30" s="46">
        <v>173</v>
      </c>
      <c r="AB30" s="44">
        <v>244</v>
      </c>
      <c r="AC30" s="42">
        <v>167</v>
      </c>
      <c r="AD30" s="42">
        <v>614</v>
      </c>
      <c r="AE30" s="42">
        <v>242</v>
      </c>
      <c r="AF30" s="46">
        <v>165</v>
      </c>
      <c r="AG30" s="47">
        <v>178</v>
      </c>
      <c r="AH30" s="1">
        <v>131</v>
      </c>
      <c r="AI30" s="1">
        <v>630</v>
      </c>
      <c r="AJ30" s="1">
        <v>232</v>
      </c>
      <c r="AK30" s="1">
        <v>169</v>
      </c>
      <c r="AL30" s="47">
        <v>124</v>
      </c>
      <c r="AM30" s="1">
        <v>116</v>
      </c>
      <c r="AN30" s="1">
        <v>482</v>
      </c>
      <c r="AO30" s="1">
        <v>204</v>
      </c>
      <c r="AP30" s="1">
        <v>135</v>
      </c>
      <c r="AQ30" s="47">
        <v>71</v>
      </c>
      <c r="AR30" s="1">
        <v>140</v>
      </c>
      <c r="AS30" s="1">
        <v>557</v>
      </c>
      <c r="AT30" s="1">
        <v>185</v>
      </c>
      <c r="AU30" s="91">
        <v>163</v>
      </c>
      <c r="AV30" s="51" t="s">
        <v>71</v>
      </c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N30" s="35" t="s">
        <v>1</v>
      </c>
      <c r="BO30" s="35">
        <v>3358</v>
      </c>
      <c r="BP30" s="35">
        <v>3417</v>
      </c>
      <c r="BQ30" s="35">
        <f t="shared" ref="BQ30:BR32" si="11">BU7</f>
        <v>3211</v>
      </c>
      <c r="BR30" s="35">
        <f t="shared" si="11"/>
        <v>3109</v>
      </c>
      <c r="BS30" s="35">
        <v>3550</v>
      </c>
    </row>
    <row r="31" spans="1:71" s="35" customFormat="1">
      <c r="A31" s="41" t="s">
        <v>20</v>
      </c>
      <c r="B31" s="42">
        <v>43</v>
      </c>
      <c r="C31" s="42">
        <v>470</v>
      </c>
      <c r="D31" s="42">
        <v>313</v>
      </c>
      <c r="E31" s="42">
        <v>149</v>
      </c>
      <c r="F31" s="42">
        <v>92</v>
      </c>
      <c r="G31" s="43"/>
      <c r="H31" s="44">
        <v>48</v>
      </c>
      <c r="I31" s="42">
        <v>652</v>
      </c>
      <c r="J31" s="42">
        <v>238</v>
      </c>
      <c r="K31" s="42">
        <v>114</v>
      </c>
      <c r="L31" s="43">
        <v>74</v>
      </c>
      <c r="M31" s="45">
        <v>403</v>
      </c>
      <c r="N31" s="42">
        <v>90</v>
      </c>
      <c r="O31" s="42">
        <v>228</v>
      </c>
      <c r="P31" s="42">
        <v>135</v>
      </c>
      <c r="Q31" s="46">
        <v>73</v>
      </c>
      <c r="R31" s="44">
        <v>84</v>
      </c>
      <c r="S31" s="42">
        <v>587</v>
      </c>
      <c r="T31" s="42">
        <v>282</v>
      </c>
      <c r="U31" s="42">
        <v>130</v>
      </c>
      <c r="V31" s="43">
        <v>96</v>
      </c>
      <c r="W31" s="45">
        <v>97</v>
      </c>
      <c r="X31" s="42">
        <v>412</v>
      </c>
      <c r="Y31" s="42">
        <v>372</v>
      </c>
      <c r="Z31" s="42">
        <v>178</v>
      </c>
      <c r="AA31" s="46">
        <v>87</v>
      </c>
      <c r="AB31" s="44">
        <v>143</v>
      </c>
      <c r="AC31" s="42">
        <v>267</v>
      </c>
      <c r="AD31" s="42">
        <v>408</v>
      </c>
      <c r="AE31" s="42">
        <v>124</v>
      </c>
      <c r="AF31" s="46">
        <v>95</v>
      </c>
      <c r="AG31" s="47">
        <v>184</v>
      </c>
      <c r="AH31" s="1">
        <v>284</v>
      </c>
      <c r="AI31" s="1">
        <v>424</v>
      </c>
      <c r="AJ31" s="1">
        <v>141</v>
      </c>
      <c r="AK31" s="1">
        <v>100</v>
      </c>
      <c r="AL31" s="47">
        <v>113</v>
      </c>
      <c r="AM31" s="1">
        <v>189</v>
      </c>
      <c r="AN31" s="1">
        <v>430</v>
      </c>
      <c r="AO31" s="1">
        <v>122</v>
      </c>
      <c r="AP31" s="1">
        <v>82</v>
      </c>
      <c r="AQ31" s="47">
        <v>74</v>
      </c>
      <c r="AR31" s="1">
        <v>180</v>
      </c>
      <c r="AS31" s="1">
        <v>442</v>
      </c>
      <c r="AT31" s="1">
        <v>116</v>
      </c>
      <c r="AU31" s="91">
        <v>93</v>
      </c>
      <c r="AV31" s="51" t="s">
        <v>72</v>
      </c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N31" s="35" t="s">
        <v>48</v>
      </c>
      <c r="BO31" s="35">
        <v>1288</v>
      </c>
      <c r="BP31" s="35">
        <v>1341</v>
      </c>
      <c r="BQ31" s="35">
        <f t="shared" si="11"/>
        <v>1248</v>
      </c>
      <c r="BR31" s="35">
        <f t="shared" si="11"/>
        <v>1156</v>
      </c>
      <c r="BS31" s="35">
        <v>1260</v>
      </c>
    </row>
    <row r="32" spans="1:71" s="35" customFormat="1">
      <c r="A32" s="41" t="s">
        <v>21</v>
      </c>
      <c r="B32" s="42">
        <v>33</v>
      </c>
      <c r="C32" s="42">
        <v>352</v>
      </c>
      <c r="D32" s="42">
        <v>370</v>
      </c>
      <c r="E32" s="42">
        <v>213</v>
      </c>
      <c r="F32" s="42">
        <v>141</v>
      </c>
      <c r="G32" s="43"/>
      <c r="H32" s="44">
        <v>57</v>
      </c>
      <c r="I32" s="42">
        <v>381</v>
      </c>
      <c r="J32" s="42">
        <v>309</v>
      </c>
      <c r="K32" s="42">
        <v>192</v>
      </c>
      <c r="L32" s="43">
        <v>122</v>
      </c>
      <c r="M32" s="45">
        <v>325</v>
      </c>
      <c r="N32" s="42">
        <v>47</v>
      </c>
      <c r="O32" s="42">
        <v>358</v>
      </c>
      <c r="P32" s="42">
        <v>209</v>
      </c>
      <c r="Q32" s="46">
        <v>142</v>
      </c>
      <c r="R32" s="44">
        <v>92</v>
      </c>
      <c r="S32" s="42">
        <v>348</v>
      </c>
      <c r="T32" s="42">
        <v>477</v>
      </c>
      <c r="U32" s="42">
        <v>203</v>
      </c>
      <c r="V32" s="43">
        <v>135</v>
      </c>
      <c r="W32" s="45">
        <v>81</v>
      </c>
      <c r="X32" s="42">
        <v>180</v>
      </c>
      <c r="Y32" s="42">
        <v>505</v>
      </c>
      <c r="Z32" s="42">
        <v>182</v>
      </c>
      <c r="AA32" s="46">
        <v>116</v>
      </c>
      <c r="AB32" s="44">
        <v>225</v>
      </c>
      <c r="AC32" s="42">
        <v>156</v>
      </c>
      <c r="AD32" s="42">
        <v>485</v>
      </c>
      <c r="AE32" s="42">
        <v>175</v>
      </c>
      <c r="AF32" s="46">
        <v>133</v>
      </c>
      <c r="AG32" s="47">
        <v>256</v>
      </c>
      <c r="AH32" s="1">
        <v>124</v>
      </c>
      <c r="AI32" s="1">
        <v>423</v>
      </c>
      <c r="AJ32" s="1">
        <v>178</v>
      </c>
      <c r="AK32" s="1">
        <v>104</v>
      </c>
      <c r="AL32" s="47">
        <v>126</v>
      </c>
      <c r="AM32" s="1">
        <v>147</v>
      </c>
      <c r="AN32" s="1">
        <v>483</v>
      </c>
      <c r="AO32" s="1">
        <v>186</v>
      </c>
      <c r="AP32" s="1">
        <v>130</v>
      </c>
      <c r="AQ32" s="47">
        <v>150</v>
      </c>
      <c r="AR32" s="1">
        <v>153</v>
      </c>
      <c r="AS32" s="1">
        <v>443</v>
      </c>
      <c r="AT32" s="1">
        <v>159</v>
      </c>
      <c r="AU32" s="91">
        <v>109</v>
      </c>
      <c r="AV32" s="51" t="s">
        <v>73</v>
      </c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N32" s="35" t="s">
        <v>51</v>
      </c>
      <c r="BO32" s="35">
        <v>2070</v>
      </c>
      <c r="BP32" s="35">
        <v>2076</v>
      </c>
      <c r="BQ32" s="35">
        <f t="shared" si="11"/>
        <v>1963</v>
      </c>
      <c r="BR32" s="35">
        <f t="shared" si="11"/>
        <v>1953</v>
      </c>
      <c r="BS32" s="35">
        <v>2290</v>
      </c>
    </row>
    <row r="33" spans="1:74" s="35" customFormat="1">
      <c r="A33" s="41" t="s">
        <v>22</v>
      </c>
      <c r="B33" s="42">
        <v>138</v>
      </c>
      <c r="C33" s="42">
        <v>287</v>
      </c>
      <c r="D33" s="42">
        <v>278</v>
      </c>
      <c r="E33" s="42">
        <v>147</v>
      </c>
      <c r="F33" s="42">
        <v>92</v>
      </c>
      <c r="G33" s="43"/>
      <c r="H33" s="44">
        <v>149</v>
      </c>
      <c r="I33" s="42">
        <v>295</v>
      </c>
      <c r="J33" s="42">
        <v>242</v>
      </c>
      <c r="K33" s="42">
        <v>146</v>
      </c>
      <c r="L33" s="43">
        <v>82</v>
      </c>
      <c r="M33" s="45">
        <v>279</v>
      </c>
      <c r="N33" s="42">
        <v>114</v>
      </c>
      <c r="O33" s="42">
        <v>213</v>
      </c>
      <c r="P33" s="42">
        <v>117</v>
      </c>
      <c r="Q33" s="46">
        <v>83</v>
      </c>
      <c r="R33" s="44">
        <v>105</v>
      </c>
      <c r="S33" s="42">
        <v>377</v>
      </c>
      <c r="T33" s="42">
        <v>348</v>
      </c>
      <c r="U33" s="42">
        <v>119</v>
      </c>
      <c r="V33" s="43">
        <v>115</v>
      </c>
      <c r="W33" s="45">
        <v>138</v>
      </c>
      <c r="X33" s="42">
        <v>212</v>
      </c>
      <c r="Y33" s="42">
        <v>356</v>
      </c>
      <c r="Z33" s="42">
        <v>160</v>
      </c>
      <c r="AA33" s="46">
        <v>87</v>
      </c>
      <c r="AB33" s="44">
        <v>156</v>
      </c>
      <c r="AC33" s="42">
        <v>114</v>
      </c>
      <c r="AD33" s="42">
        <v>377</v>
      </c>
      <c r="AE33" s="42">
        <v>129</v>
      </c>
      <c r="AF33" s="46">
        <v>105</v>
      </c>
      <c r="AG33" s="47">
        <v>275</v>
      </c>
      <c r="AH33" s="1">
        <v>105</v>
      </c>
      <c r="AI33" s="1">
        <v>377</v>
      </c>
      <c r="AJ33" s="1">
        <v>129</v>
      </c>
      <c r="AK33" s="1">
        <v>97</v>
      </c>
      <c r="AL33" s="47">
        <v>164</v>
      </c>
      <c r="AM33" s="1">
        <v>82</v>
      </c>
      <c r="AN33" s="1">
        <v>385</v>
      </c>
      <c r="AO33" s="1">
        <v>159</v>
      </c>
      <c r="AP33" s="1">
        <v>104</v>
      </c>
      <c r="AQ33" s="47">
        <v>126</v>
      </c>
      <c r="AR33" s="1">
        <v>88</v>
      </c>
      <c r="AS33" s="1">
        <v>380</v>
      </c>
      <c r="AT33" s="1">
        <v>136</v>
      </c>
      <c r="AU33" s="91">
        <v>85</v>
      </c>
      <c r="AV33" s="51" t="s">
        <v>74</v>
      </c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R33" s="88"/>
    </row>
    <row r="34" spans="1:74" s="35" customFormat="1">
      <c r="A34" s="52" t="s">
        <v>6</v>
      </c>
      <c r="B34" s="53">
        <v>214</v>
      </c>
      <c r="C34" s="53">
        <v>527</v>
      </c>
      <c r="D34" s="53">
        <v>571</v>
      </c>
      <c r="E34" s="53">
        <v>389</v>
      </c>
      <c r="F34" s="53">
        <v>194</v>
      </c>
      <c r="G34" s="54"/>
      <c r="H34" s="55">
        <v>244</v>
      </c>
      <c r="I34" s="53">
        <v>390</v>
      </c>
      <c r="J34" s="53">
        <v>428</v>
      </c>
      <c r="K34" s="53">
        <v>283</v>
      </c>
      <c r="L34" s="54">
        <v>178</v>
      </c>
      <c r="M34" s="56">
        <v>497</v>
      </c>
      <c r="N34" s="53">
        <v>185</v>
      </c>
      <c r="O34" s="53">
        <v>499</v>
      </c>
      <c r="P34" s="53">
        <v>286</v>
      </c>
      <c r="Q34" s="57">
        <v>201</v>
      </c>
      <c r="R34" s="55">
        <v>138</v>
      </c>
      <c r="S34" s="53">
        <v>560</v>
      </c>
      <c r="T34" s="53">
        <v>715</v>
      </c>
      <c r="U34" s="53">
        <v>332</v>
      </c>
      <c r="V34" s="54">
        <v>232</v>
      </c>
      <c r="W34" s="56">
        <v>250</v>
      </c>
      <c r="X34" s="53">
        <v>362</v>
      </c>
      <c r="Y34" s="53">
        <v>750</v>
      </c>
      <c r="Z34" s="53">
        <v>297</v>
      </c>
      <c r="AA34" s="57">
        <v>206</v>
      </c>
      <c r="AB34" s="55">
        <v>451</v>
      </c>
      <c r="AC34" s="53">
        <v>342</v>
      </c>
      <c r="AD34" s="53">
        <v>836</v>
      </c>
      <c r="AE34" s="53">
        <v>299</v>
      </c>
      <c r="AF34" s="57">
        <v>192</v>
      </c>
      <c r="AG34" s="58">
        <v>333</v>
      </c>
      <c r="AH34" s="59">
        <v>336</v>
      </c>
      <c r="AI34" s="59">
        <v>783</v>
      </c>
      <c r="AJ34" s="59">
        <v>283</v>
      </c>
      <c r="AK34" s="59">
        <v>179</v>
      </c>
      <c r="AL34" s="58">
        <v>259</v>
      </c>
      <c r="AM34" s="59">
        <v>338</v>
      </c>
      <c r="AN34" s="59">
        <v>791</v>
      </c>
      <c r="AO34" s="59">
        <v>266</v>
      </c>
      <c r="AP34" s="59">
        <v>203</v>
      </c>
      <c r="AQ34" s="58">
        <v>228</v>
      </c>
      <c r="AR34" s="59">
        <v>244</v>
      </c>
      <c r="AS34" s="59">
        <v>817</v>
      </c>
      <c r="AT34" s="59">
        <v>272</v>
      </c>
      <c r="AU34" s="92">
        <v>206</v>
      </c>
      <c r="AV34" s="60" t="s">
        <v>75</v>
      </c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R34" s="88"/>
    </row>
    <row r="35" spans="1:74" ht="14.25">
      <c r="A35" s="61" t="s">
        <v>29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93" t="s">
        <v>30</v>
      </c>
    </row>
    <row r="37" spans="1:74">
      <c r="BM37" s="66"/>
      <c r="BN37" s="11"/>
      <c r="BO37" s="7"/>
      <c r="BP37" s="7"/>
    </row>
    <row r="38" spans="1:74">
      <c r="BM38" s="66"/>
      <c r="BN38" s="45"/>
      <c r="BO38" s="42"/>
      <c r="BP38" s="42"/>
    </row>
    <row r="39" spans="1:74">
      <c r="BM39" s="66"/>
      <c r="BN39" s="45"/>
      <c r="BO39" s="42"/>
      <c r="BP39" s="42"/>
    </row>
    <row r="40" spans="1:74">
      <c r="BM40" s="66"/>
      <c r="BN40" s="45"/>
      <c r="BO40" s="42"/>
      <c r="BP40" s="42"/>
    </row>
    <row r="41" spans="1:74">
      <c r="BM41" s="66"/>
      <c r="BN41" s="45"/>
      <c r="BO41" s="42"/>
      <c r="BP41" s="42"/>
    </row>
    <row r="42" spans="1:74">
      <c r="BM42" s="66"/>
      <c r="BN42" s="45"/>
      <c r="BO42" s="42"/>
      <c r="BP42" s="42"/>
    </row>
    <row r="43" spans="1:74">
      <c r="BM43" s="66"/>
      <c r="BN43" s="45"/>
      <c r="BO43" s="42"/>
      <c r="BP43" s="42"/>
    </row>
    <row r="44" spans="1:74">
      <c r="BM44" s="66"/>
      <c r="BN44" s="45"/>
      <c r="BO44" s="42"/>
      <c r="BP44" s="42"/>
    </row>
    <row r="45" spans="1:74">
      <c r="BM45" s="66"/>
      <c r="BN45" s="45"/>
      <c r="BO45" s="42"/>
      <c r="BP45" s="42"/>
    </row>
    <row r="46" spans="1:74">
      <c r="BM46" s="66"/>
      <c r="BN46" s="45"/>
      <c r="BO46" s="42"/>
      <c r="BP46" s="42"/>
    </row>
    <row r="47" spans="1:74">
      <c r="BL47" s="70"/>
      <c r="BM47" s="80"/>
      <c r="BN47" s="81"/>
      <c r="BO47" s="82"/>
      <c r="BP47" s="82"/>
      <c r="BQ47" s="70"/>
      <c r="BR47" s="90"/>
      <c r="BS47" s="70"/>
      <c r="BT47" s="70"/>
      <c r="BU47" s="70"/>
    </row>
    <row r="48" spans="1:74">
      <c r="BK48" s="78"/>
      <c r="BL48" s="4"/>
      <c r="BM48" s="83"/>
      <c r="BN48" s="1"/>
      <c r="BO48" s="1"/>
      <c r="BP48" s="1"/>
      <c r="BQ48" s="4"/>
      <c r="BR48" s="4"/>
      <c r="BS48" s="4"/>
      <c r="BT48" s="4"/>
      <c r="BU48" s="4"/>
      <c r="BV48" s="79"/>
    </row>
    <row r="49" spans="2:74">
      <c r="BK49" s="78"/>
      <c r="BL49" s="4"/>
      <c r="BM49" s="83"/>
      <c r="BN49" s="1"/>
      <c r="BO49" s="1"/>
      <c r="BP49" s="1"/>
      <c r="BQ49" s="4"/>
      <c r="BR49" s="4"/>
      <c r="BS49" s="4"/>
      <c r="BT49" s="4"/>
      <c r="BU49" s="4"/>
      <c r="BV49" s="79"/>
    </row>
    <row r="50" spans="2:74" ht="12.75"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BK50" s="78"/>
      <c r="BL50" s="4"/>
      <c r="BM50" s="83"/>
      <c r="BN50" s="1"/>
      <c r="BO50" s="1"/>
      <c r="BP50" s="1"/>
      <c r="BQ50" s="4"/>
      <c r="BR50" s="4"/>
      <c r="BS50" s="4"/>
      <c r="BT50" s="4"/>
      <c r="BU50" s="4"/>
      <c r="BV50" s="79"/>
    </row>
    <row r="51" spans="2:74" ht="12.75"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BK51" s="78"/>
      <c r="BL51" s="4"/>
      <c r="BM51" s="83"/>
      <c r="BN51" s="1"/>
      <c r="BO51" s="1"/>
      <c r="BP51" s="1"/>
      <c r="BQ51" s="4"/>
      <c r="BR51" s="4"/>
      <c r="BS51" s="4"/>
      <c r="BT51" s="4"/>
      <c r="BU51" s="4"/>
      <c r="BV51" s="79"/>
    </row>
    <row r="52" spans="2:74" ht="12.75"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BK52" s="78"/>
      <c r="BL52" s="4"/>
      <c r="BM52" s="83"/>
      <c r="BN52" s="1"/>
      <c r="BO52" s="1"/>
      <c r="BP52" s="1"/>
      <c r="BQ52" s="4"/>
      <c r="BR52" s="4"/>
      <c r="BS52" s="4"/>
      <c r="BT52" s="4"/>
      <c r="BU52" s="4"/>
      <c r="BV52" s="79"/>
    </row>
    <row r="53" spans="2:74" ht="12.75"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BK53" s="78"/>
      <c r="BL53" s="4"/>
      <c r="BM53" s="83"/>
      <c r="BN53" s="1"/>
      <c r="BO53" s="1"/>
      <c r="BP53" s="1"/>
      <c r="BQ53" s="4"/>
      <c r="BR53" s="4"/>
      <c r="BS53" s="4"/>
      <c r="BT53" s="4"/>
      <c r="BU53" s="4"/>
      <c r="BV53" s="79"/>
    </row>
    <row r="54" spans="2:74" ht="12.75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BK54" s="78"/>
      <c r="BL54" s="4"/>
      <c r="BM54" s="83"/>
      <c r="BN54" s="1"/>
      <c r="BO54" s="1"/>
      <c r="BP54" s="1"/>
      <c r="BQ54" s="4"/>
      <c r="BR54" s="4"/>
      <c r="BS54" s="4"/>
      <c r="BT54" s="4"/>
      <c r="BU54" s="4"/>
      <c r="BV54" s="79"/>
    </row>
    <row r="55" spans="2:74" ht="12.75"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BK55" s="78"/>
      <c r="BL55" s="4"/>
      <c r="BM55" s="83"/>
      <c r="BN55" s="1"/>
      <c r="BO55" s="1"/>
      <c r="BP55" s="1"/>
      <c r="BQ55" s="4"/>
      <c r="BR55" s="4"/>
      <c r="BS55" s="4"/>
      <c r="BT55" s="4"/>
      <c r="BU55" s="4"/>
      <c r="BV55" s="79"/>
    </row>
    <row r="56" spans="2:74" ht="12.75"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BK56" s="78"/>
      <c r="BL56" s="4"/>
      <c r="BM56" s="83"/>
      <c r="BN56" s="1"/>
      <c r="BO56" s="1"/>
      <c r="BP56" s="1"/>
      <c r="BQ56" s="4"/>
      <c r="BR56" s="4"/>
      <c r="BS56" s="4"/>
      <c r="BT56" s="4"/>
      <c r="BU56" s="4"/>
      <c r="BV56" s="79"/>
    </row>
    <row r="57" spans="2:74" ht="12.75"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BK57" s="78"/>
      <c r="BL57" s="4"/>
      <c r="BM57" s="83"/>
      <c r="BN57" s="1"/>
      <c r="BO57" s="1"/>
      <c r="BP57" s="1"/>
      <c r="BQ57" s="4"/>
      <c r="BR57" s="4"/>
      <c r="BS57" s="4"/>
      <c r="BT57" s="4"/>
      <c r="BU57" s="4"/>
      <c r="BV57" s="79"/>
    </row>
    <row r="58" spans="2:74" ht="12.75"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BK58" s="78"/>
      <c r="BL58" s="4"/>
      <c r="BM58" s="87"/>
      <c r="BN58" s="2"/>
      <c r="BO58" s="2"/>
      <c r="BP58" s="2"/>
      <c r="BQ58" s="4"/>
      <c r="BR58" s="4"/>
      <c r="BS58" s="4"/>
      <c r="BT58" s="4"/>
      <c r="BU58" s="4"/>
      <c r="BV58" s="79"/>
    </row>
    <row r="59" spans="2:74">
      <c r="BK59" s="78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79"/>
    </row>
    <row r="60" spans="2:74">
      <c r="BK60" s="78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79"/>
    </row>
    <row r="61" spans="2:74">
      <c r="BK61" s="78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79"/>
    </row>
    <row r="62" spans="2:74" ht="24.75" customHeight="1">
      <c r="BK62" s="78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79"/>
    </row>
    <row r="63" spans="2:74">
      <c r="BK63" s="78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79"/>
    </row>
    <row r="64" spans="2:74">
      <c r="BK64" s="78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79"/>
    </row>
    <row r="65" spans="2:74">
      <c r="BK65" s="78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79"/>
    </row>
    <row r="66" spans="2:74">
      <c r="BK66" s="78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79"/>
    </row>
    <row r="67" spans="2:74">
      <c r="BK67" s="78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79"/>
    </row>
    <row r="68" spans="2:74">
      <c r="BL68" s="77"/>
      <c r="BM68" s="77"/>
      <c r="BN68" s="77"/>
      <c r="BO68" s="77"/>
      <c r="BP68" s="77"/>
      <c r="BQ68" s="77"/>
      <c r="BR68" s="77"/>
      <c r="BS68" s="77"/>
      <c r="BT68" s="77"/>
      <c r="BU68" s="77"/>
    </row>
    <row r="70" spans="2:74" ht="61.5"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7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9"/>
    </row>
    <row r="71" spans="2:74" s="70" customFormat="1" ht="36.75" customHeight="1">
      <c r="N71" s="71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3"/>
      <c r="BC71" s="90"/>
      <c r="BD71" s="90"/>
      <c r="BE71" s="90"/>
      <c r="BF71" s="90"/>
      <c r="BR71" s="90"/>
    </row>
    <row r="72" spans="2:74" s="4" customFormat="1" ht="61.5"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</row>
    <row r="73" spans="2:74" s="4" customFormat="1" ht="61.5"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</row>
    <row r="74" spans="2:74" s="4" customFormat="1" ht="61.5"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</row>
    <row r="75" spans="2:74" s="4" customFormat="1" ht="61.5"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</row>
    <row r="76" spans="2:74" s="4" customFormat="1" ht="61.5"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</row>
    <row r="77" spans="2:74" s="4" customFormat="1" ht="61.5"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</row>
    <row r="78" spans="2:74" s="4" customFormat="1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5"/>
    </row>
    <row r="79" spans="2:74" s="4" customFormat="1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5"/>
    </row>
    <row r="80" spans="2:74" s="4" customFormat="1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5"/>
    </row>
    <row r="81" spans="2:48" s="4" customFormat="1"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5"/>
    </row>
    <row r="82" spans="2:48" s="4" customFormat="1"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5"/>
    </row>
    <row r="83" spans="2:48" s="4" customFormat="1"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5"/>
    </row>
    <row r="84" spans="2:48" s="4" customFormat="1"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5"/>
    </row>
    <row r="85" spans="2:48" s="4" customFormat="1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5"/>
    </row>
    <row r="86" spans="2:48" s="77" customFormat="1"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76"/>
    </row>
  </sheetData>
  <mergeCells count="15">
    <mergeCell ref="AL3:AP3"/>
    <mergeCell ref="AV3:AV5"/>
    <mergeCell ref="BN5:BQ5"/>
    <mergeCell ref="BS5:BV5"/>
    <mergeCell ref="A1:AV1"/>
    <mergeCell ref="A2:AV2"/>
    <mergeCell ref="A3:A5"/>
    <mergeCell ref="B3:F3"/>
    <mergeCell ref="H3:L3"/>
    <mergeCell ref="M3:Q3"/>
    <mergeCell ref="R3:V3"/>
    <mergeCell ref="W3:AA3"/>
    <mergeCell ref="AB3:AF3"/>
    <mergeCell ref="AG3:AK3"/>
    <mergeCell ref="AQ3:AU3"/>
  </mergeCells>
  <pageMargins left="0.7" right="0.7" top="0.75" bottom="0.75" header="0.3" footer="0.3"/>
  <pageSetup scale="5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8.24</vt:lpstr>
      <vt:lpstr>'8.24'!Print_Area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2020-11-29T14:38:57Z</cp:lastPrinted>
  <dcterms:created xsi:type="dcterms:W3CDTF">2019-06-30T04:22:49Z</dcterms:created>
  <dcterms:modified xsi:type="dcterms:W3CDTF">2020-11-29T14:39:34Z</dcterms:modified>
</cp:coreProperties>
</file>