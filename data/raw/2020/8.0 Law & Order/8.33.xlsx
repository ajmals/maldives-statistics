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8. LAW AND ORDER\"/>
    </mc:Choice>
  </mc:AlternateContent>
  <bookViews>
    <workbookView xWindow="0" yWindow="0" windowWidth="28740" windowHeight="11730" tabRatio="740"/>
  </bookViews>
  <sheets>
    <sheet name="8.33" sheetId="43" r:id="rId1"/>
  </sheets>
  <definedNames>
    <definedName name="_xlnm.Print_Area" localSheetId="0">'8.33'!$A$1:$P$67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8" i="43" l="1"/>
  <c r="I28" i="43"/>
  <c r="AH51" i="43" s="1"/>
  <c r="N27" i="43"/>
  <c r="I27" i="43" s="1"/>
  <c r="AH50" i="43" s="1"/>
  <c r="N26" i="43"/>
  <c r="I26" i="43" s="1"/>
  <c r="AH49" i="43" s="1"/>
  <c r="N25" i="43"/>
  <c r="N24" i="43"/>
  <c r="I24" i="43" s="1"/>
  <c r="AH47" i="43" s="1"/>
  <c r="N23" i="43"/>
  <c r="I23" i="43"/>
  <c r="AH46" i="43" s="1"/>
  <c r="M22" i="43"/>
  <c r="L22" i="43"/>
  <c r="K22" i="43"/>
  <c r="J22" i="43"/>
  <c r="N21" i="43"/>
  <c r="I21" i="43" s="1"/>
  <c r="AG51" i="43" s="1"/>
  <c r="N20" i="43"/>
  <c r="I20" i="43" s="1"/>
  <c r="AG50" i="43" s="1"/>
  <c r="N19" i="43"/>
  <c r="N18" i="43"/>
  <c r="I18" i="43" s="1"/>
  <c r="AG48" i="43" s="1"/>
  <c r="N17" i="43"/>
  <c r="I17" i="43" s="1"/>
  <c r="N16" i="43"/>
  <c r="I16" i="43"/>
  <c r="AG46" i="43" s="1"/>
  <c r="M15" i="43"/>
  <c r="L15" i="43"/>
  <c r="K15" i="43"/>
  <c r="J15" i="43"/>
  <c r="J8" i="43" s="1"/>
  <c r="M14" i="43"/>
  <c r="L14" i="43"/>
  <c r="K14" i="43"/>
  <c r="J14" i="43"/>
  <c r="M13" i="43"/>
  <c r="L13" i="43"/>
  <c r="K13" i="43"/>
  <c r="J13" i="43"/>
  <c r="M12" i="43"/>
  <c r="L12" i="43"/>
  <c r="K12" i="43"/>
  <c r="J12" i="43"/>
  <c r="M11" i="43"/>
  <c r="L11" i="43"/>
  <c r="K11" i="43"/>
  <c r="J11" i="43"/>
  <c r="M10" i="43"/>
  <c r="L10" i="43"/>
  <c r="K10" i="43"/>
  <c r="J10" i="43"/>
  <c r="M9" i="43"/>
  <c r="L9" i="43"/>
  <c r="K9" i="43"/>
  <c r="J9" i="43"/>
  <c r="M8" i="43" l="1"/>
  <c r="N10" i="43"/>
  <c r="AG80" i="43"/>
  <c r="I10" i="43"/>
  <c r="AL61" i="43" s="1"/>
  <c r="AG47" i="43"/>
  <c r="N12" i="43"/>
  <c r="N14" i="43"/>
  <c r="I14" i="43"/>
  <c r="AL65" i="43" s="1"/>
  <c r="N9" i="43"/>
  <c r="N15" i="43"/>
  <c r="I15" i="43" s="1"/>
  <c r="N11" i="43"/>
  <c r="N13" i="43"/>
  <c r="I13" i="43"/>
  <c r="AL64" i="43" s="1"/>
  <c r="I9" i="43"/>
  <c r="AL60" i="43" s="1"/>
  <c r="L8" i="43"/>
  <c r="I19" i="43"/>
  <c r="I25" i="43"/>
  <c r="N22" i="43"/>
  <c r="I22" i="43" s="1"/>
  <c r="K8" i="43"/>
  <c r="I11" i="43" l="1"/>
  <c r="AL62" i="43" s="1"/>
  <c r="AH48" i="43"/>
  <c r="I12" i="43"/>
  <c r="AL63" i="43" s="1"/>
  <c r="AG49" i="43"/>
  <c r="AH80" i="43"/>
  <c r="I8" i="43"/>
  <c r="N8" i="43"/>
  <c r="AI80" i="43" l="1"/>
  <c r="G28" i="43"/>
  <c r="B28" i="43" s="1"/>
  <c r="G27" i="43"/>
  <c r="B27" i="43" s="1"/>
  <c r="G26" i="43"/>
  <c r="B26" i="43" s="1"/>
  <c r="G25" i="43"/>
  <c r="G24" i="43"/>
  <c r="B24" i="43" s="1"/>
  <c r="G23" i="43"/>
  <c r="B23" i="43" s="1"/>
  <c r="F22" i="43"/>
  <c r="E22" i="43"/>
  <c r="D22" i="43"/>
  <c r="C22" i="43"/>
  <c r="G21" i="43"/>
  <c r="G20" i="43"/>
  <c r="B20" i="43" s="1"/>
  <c r="G19" i="43"/>
  <c r="B19" i="43" s="1"/>
  <c r="G18" i="43"/>
  <c r="B18" i="43" s="1"/>
  <c r="G17" i="43"/>
  <c r="B17" i="43" s="1"/>
  <c r="G16" i="43"/>
  <c r="B16" i="43" s="1"/>
  <c r="F15" i="43"/>
  <c r="E15" i="43"/>
  <c r="D15" i="43"/>
  <c r="C15" i="43"/>
  <c r="F14" i="43"/>
  <c r="E14" i="43"/>
  <c r="D14" i="43"/>
  <c r="C14" i="43"/>
  <c r="F13" i="43"/>
  <c r="E13" i="43"/>
  <c r="D13" i="43"/>
  <c r="C13" i="43"/>
  <c r="F12" i="43"/>
  <c r="E12" i="43"/>
  <c r="D12" i="43"/>
  <c r="C12" i="43"/>
  <c r="F11" i="43"/>
  <c r="E11" i="43"/>
  <c r="D11" i="43"/>
  <c r="C11" i="43"/>
  <c r="F10" i="43"/>
  <c r="E10" i="43"/>
  <c r="D10" i="43"/>
  <c r="C10" i="43"/>
  <c r="F9" i="43"/>
  <c r="E9" i="43"/>
  <c r="D9" i="43"/>
  <c r="C9" i="43"/>
  <c r="E8" i="43" l="1"/>
  <c r="F8" i="43"/>
  <c r="G11" i="43"/>
  <c r="G9" i="43"/>
  <c r="G10" i="43"/>
  <c r="G14" i="43"/>
  <c r="B25" i="43"/>
  <c r="B11" i="43" s="1"/>
  <c r="AK62" i="43" s="1"/>
  <c r="AJ62" i="43"/>
  <c r="G12" i="43"/>
  <c r="B9" i="43"/>
  <c r="AK60" i="43" s="1"/>
  <c r="B13" i="43"/>
  <c r="AK64" i="43" s="1"/>
  <c r="B12" i="43"/>
  <c r="AK63" i="43" s="1"/>
  <c r="G22" i="43"/>
  <c r="B22" i="43" s="1"/>
  <c r="C8" i="43"/>
  <c r="B10" i="43"/>
  <c r="AK61" i="43" s="1"/>
  <c r="D8" i="43"/>
  <c r="G15" i="43"/>
  <c r="B15" i="43" s="1"/>
  <c r="AH82" i="43"/>
  <c r="B21" i="43"/>
  <c r="B14" i="43" s="1"/>
  <c r="AK65" i="43" s="1"/>
  <c r="AJ63" i="43"/>
  <c r="AJ61" i="43"/>
  <c r="AJ60" i="43"/>
  <c r="AJ65" i="43"/>
  <c r="AI49" i="43"/>
  <c r="AJ49" i="43" s="1"/>
  <c r="AJ64" i="43"/>
  <c r="G13" i="43"/>
  <c r="G8" i="43" l="1"/>
  <c r="AK49" i="43"/>
  <c r="B8" i="43"/>
  <c r="AI51" i="43"/>
  <c r="AK51" i="43" s="1"/>
  <c r="AI48" i="43"/>
  <c r="AK48" i="43" s="1"/>
  <c r="AI50" i="43"/>
  <c r="AK50" i="43" s="1"/>
  <c r="AI47" i="43"/>
  <c r="AK47" i="43" s="1"/>
  <c r="AI46" i="43"/>
  <c r="AK46" i="43" l="1"/>
  <c r="AJ46" i="43"/>
  <c r="AJ50" i="43"/>
  <c r="AJ48" i="43"/>
  <c r="AJ51" i="43"/>
  <c r="AJ47" i="43"/>
  <c r="AI82" i="43"/>
  <c r="AF80" i="43"/>
  <c r="AG82" i="43" s="1"/>
</calcChain>
</file>

<file path=xl/sharedStrings.xml><?xml version="1.0" encoding="utf-8"?>
<sst xmlns="http://schemas.openxmlformats.org/spreadsheetml/2006/main" count="102" uniqueCount="37">
  <si>
    <t>Total</t>
  </si>
  <si>
    <t>Male'</t>
  </si>
  <si>
    <t>Atolls</t>
  </si>
  <si>
    <t>Both Sexes</t>
  </si>
  <si>
    <t>Male</t>
  </si>
  <si>
    <t>Female</t>
  </si>
  <si>
    <t xml:space="preserve">Total </t>
  </si>
  <si>
    <t>cscnijed</t>
  </si>
  <si>
    <t>Source:Maldives Correctional  Service</t>
  </si>
  <si>
    <t>މައުލޫމާތު ދެއްވީ: މޯލްޑިވްސް ކަރެކްޝަނަލް ސަރވިސް</t>
  </si>
  <si>
    <t>Period of Sentence and Sex</t>
  </si>
  <si>
    <t xml:space="preserve"> cnutogeguscnij utwdcaum unuveruk cmukuh</t>
  </si>
  <si>
    <t>iawgudcnwb Eg</t>
  </si>
  <si>
    <t>Jailed</t>
  </si>
  <si>
    <t>Banished</t>
  </si>
  <si>
    <t>House Arrest/Detention</t>
  </si>
  <si>
    <t xml:space="preserve"> elWm</t>
  </si>
  <si>
    <t xml:space="preserve"> uLotwa</t>
  </si>
  <si>
    <t xml:space="preserve"> wlcmuj</t>
  </si>
  <si>
    <t xml:space="preserve"> iawgulwj</t>
  </si>
  <si>
    <t xml:space="preserve"> iawfivelWvurwa</t>
  </si>
  <si>
    <t>Less than 1 year</t>
  </si>
  <si>
    <t xml:space="preserve"> cSwd cnurwhwa 1</t>
  </si>
  <si>
    <t>1 - 2 years</t>
  </si>
  <si>
    <t>urwhwa 2 - 1</t>
  </si>
  <si>
    <t>2 - 3 years</t>
  </si>
  <si>
    <t>urwhwa 3 - 2</t>
  </si>
  <si>
    <t>3 - 4 years</t>
  </si>
  <si>
    <t>urwhwa 4 - 3</t>
  </si>
  <si>
    <t>4 - 5 years</t>
  </si>
  <si>
    <t>urwhwa 5 - 4</t>
  </si>
  <si>
    <t>5 years &amp; Over</t>
  </si>
  <si>
    <t xml:space="preserve"> itwm cnurwhwa 5</t>
  </si>
  <si>
    <t xml:space="preserve"> cnehirif</t>
  </si>
  <si>
    <t xml:space="preserve"> cnehcnwa</t>
  </si>
  <si>
    <t>Table  8.33 :   PERSONS SENTENCED, BY TYPE AND PERIOD, 2018 - 2019</t>
  </si>
  <si>
    <t>2019 - 2018 cnutogeguscnij cnuhIm unuverukcmukuh :8.33clwvWt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</si>
</sst>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Faruma"/>
    </font>
    <font>
      <b/>
      <sz val="15"/>
      <color theme="3"/>
      <name val="Arial Mäori"/>
      <family val="2"/>
    </font>
    <font>
      <b/>
      <sz val="11"/>
      <name val="A_Faseyha"/>
    </font>
    <font>
      <b/>
      <sz val="9"/>
      <name val="A_Viligili"/>
    </font>
    <font>
      <b/>
      <sz val="10"/>
      <color theme="1"/>
      <name val="A_Randhoo"/>
    </font>
    <font>
      <b/>
      <sz val="10"/>
      <name val="A_Viligili"/>
    </font>
    <font>
      <sz val="10"/>
      <name val="A_Viligili"/>
    </font>
    <font>
      <sz val="10"/>
      <color indexed="8"/>
      <name val="Calibri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7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8" fillId="0" borderId="8" applyNumberFormat="0" applyFill="0" applyAlignment="0" applyProtection="0"/>
    <xf numFmtId="0" fontId="10" fillId="0" borderId="0"/>
    <xf numFmtId="0" fontId="8" fillId="0" borderId="0"/>
  </cellStyleXfs>
  <cellXfs count="100">
    <xf numFmtId="0" fontId="0" fillId="0" borderId="0" xfId="0"/>
    <xf numFmtId="164" fontId="1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/>
    <xf numFmtId="164" fontId="3" fillId="2" borderId="0" xfId="0" applyNumberFormat="1" applyFont="1" applyFill="1" applyAlignment="1">
      <alignment vertical="center"/>
    </xf>
    <xf numFmtId="164" fontId="2" fillId="2" borderId="0" xfId="0" applyNumberFormat="1" applyFont="1" applyFill="1" applyBorder="1" applyAlignment="1" applyProtection="1">
      <alignment horizontal="center" vertical="top"/>
    </xf>
    <xf numFmtId="164" fontId="3" fillId="2" borderId="0" xfId="0" applyNumberFormat="1" applyFont="1" applyFill="1" applyAlignment="1">
      <alignment vertical="top"/>
    </xf>
    <xf numFmtId="164" fontId="2" fillId="2" borderId="6" xfId="0" applyNumberFormat="1" applyFont="1" applyFill="1" applyBorder="1" applyAlignment="1" applyProtection="1">
      <alignment horizontal="center" vertical="center"/>
    </xf>
    <xf numFmtId="164" fontId="21" fillId="2" borderId="0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 applyProtection="1">
      <alignment horizontal="center" vertical="center"/>
    </xf>
    <xf numFmtId="164" fontId="9" fillId="2" borderId="1" xfId="0" applyNumberFormat="1" applyFont="1" applyFill="1" applyBorder="1" applyAlignment="1" applyProtection="1">
      <alignment horizontal="right" vertical="center"/>
    </xf>
    <xf numFmtId="164" fontId="20" fillId="2" borderId="7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 applyProtection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164" fontId="22" fillId="2" borderId="9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Border="1" applyAlignment="1" applyProtection="1">
      <alignment horizontal="left" vertical="center" indent="1"/>
    </xf>
    <xf numFmtId="3" fontId="2" fillId="2" borderId="6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left" vertical="center" indent="1"/>
    </xf>
    <xf numFmtId="3" fontId="6" fillId="2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164" fontId="23" fillId="2" borderId="2" xfId="0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3" fontId="6" fillId="2" borderId="6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 applyProtection="1">
      <alignment horizontal="right" vertical="center"/>
    </xf>
    <xf numFmtId="1" fontId="6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Border="1" applyAlignment="1" applyProtection="1">
      <alignment horizontal="left" vertical="center" indent="1"/>
    </xf>
    <xf numFmtId="3" fontId="1" fillId="2" borderId="0" xfId="6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 applyProtection="1">
      <alignment horizontal="right" vertical="center"/>
    </xf>
    <xf numFmtId="1" fontId="1" fillId="2" borderId="0" xfId="0" applyNumberFormat="1" applyFont="1" applyFill="1" applyBorder="1" applyAlignment="1">
      <alignment horizontal="right" vertical="center"/>
    </xf>
    <xf numFmtId="1" fontId="1" fillId="2" borderId="0" xfId="6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 applyProtection="1">
      <alignment horizontal="right" vertical="center"/>
    </xf>
    <xf numFmtId="164" fontId="1" fillId="2" borderId="2" xfId="0" applyNumberFormat="1" applyFont="1" applyFill="1" applyBorder="1" applyAlignment="1" applyProtection="1">
      <alignment horizontal="left" vertical="center" indent="1"/>
    </xf>
    <xf numFmtId="3" fontId="1" fillId="2" borderId="2" xfId="0" applyNumberFormat="1" applyFont="1" applyFill="1" applyBorder="1" applyAlignment="1" applyProtection="1">
      <alignment horizontal="right" vertical="center"/>
    </xf>
    <xf numFmtId="3" fontId="1" fillId="2" borderId="2" xfId="6" applyNumberFormat="1" applyFont="1" applyFill="1" applyBorder="1" applyAlignment="1">
      <alignment horizontal="right" vertical="center"/>
    </xf>
    <xf numFmtId="3" fontId="6" fillId="2" borderId="12" xfId="0" applyNumberFormat="1" applyFont="1" applyFill="1" applyBorder="1" applyAlignment="1">
      <alignment horizontal="right" vertical="center"/>
    </xf>
    <xf numFmtId="3" fontId="3" fillId="2" borderId="0" xfId="6" applyNumberFormat="1" applyFont="1" applyFill="1" applyBorder="1" applyAlignment="1">
      <alignment horizontal="right" vertical="center"/>
    </xf>
    <xf numFmtId="3" fontId="24" fillId="2" borderId="0" xfId="0" applyNumberFormat="1" applyFont="1" applyFill="1" applyBorder="1" applyAlignment="1" applyProtection="1">
      <alignment horizontal="right" vertical="center"/>
    </xf>
    <xf numFmtId="165" fontId="3" fillId="2" borderId="0" xfId="0" applyNumberFormat="1" applyFont="1" applyFill="1" applyBorder="1" applyAlignment="1" applyProtection="1">
      <alignment horizontal="right" vertical="center"/>
    </xf>
    <xf numFmtId="1" fontId="3" fillId="2" borderId="0" xfId="0" applyNumberFormat="1" applyFont="1" applyFill="1" applyBorder="1" applyAlignment="1">
      <alignment horizontal="right" vertical="center"/>
    </xf>
    <xf numFmtId="1" fontId="3" fillId="2" borderId="0" xfId="6" applyNumberFormat="1" applyFont="1" applyFill="1" applyBorder="1" applyAlignment="1">
      <alignment horizontal="right" vertical="center"/>
    </xf>
    <xf numFmtId="3" fontId="1" fillId="2" borderId="0" xfId="6" quotePrefix="1" applyNumberFormat="1" applyFont="1" applyFill="1" applyBorder="1" applyAlignment="1" applyProtection="1">
      <alignment horizontal="right" vertical="center"/>
    </xf>
    <xf numFmtId="1" fontId="3" fillId="2" borderId="0" xfId="6" quotePrefix="1" applyNumberFormat="1" applyFont="1" applyFill="1" applyBorder="1" applyAlignment="1" applyProtection="1">
      <alignment horizontal="right" vertical="center"/>
    </xf>
    <xf numFmtId="164" fontId="3" fillId="2" borderId="1" xfId="0" applyNumberFormat="1" applyFont="1" applyFill="1" applyBorder="1" applyAlignment="1" applyProtection="1">
      <alignment horizontal="left" vertical="center" indent="1"/>
    </xf>
    <xf numFmtId="3" fontId="3" fillId="2" borderId="1" xfId="6" applyNumberFormat="1" applyFont="1" applyFill="1" applyBorder="1" applyAlignment="1">
      <alignment horizontal="right" vertical="center"/>
    </xf>
    <xf numFmtId="3" fontId="1" fillId="2" borderId="1" xfId="6" applyNumberFormat="1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164" fontId="23" fillId="2" borderId="1" xfId="0" applyNumberFormat="1" applyFont="1" applyFill="1" applyBorder="1" applyAlignment="1">
      <alignment horizontal="right" vertical="center" indent="1"/>
    </xf>
    <xf numFmtId="164" fontId="12" fillId="2" borderId="4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left"/>
    </xf>
    <xf numFmtId="164" fontId="17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 applyProtection="1">
      <alignment horizontal="left" vertical="center"/>
    </xf>
    <xf numFmtId="164" fontId="2" fillId="2" borderId="0" xfId="0" applyNumberFormat="1" applyFont="1" applyFill="1" applyBorder="1" applyAlignment="1" applyProtection="1">
      <alignment vertical="center"/>
    </xf>
    <xf numFmtId="1" fontId="3" fillId="2" borderId="0" xfId="0" applyNumberFormat="1" applyFont="1" applyFill="1" applyAlignment="1">
      <alignment vertical="center"/>
    </xf>
    <xf numFmtId="0" fontId="16" fillId="2" borderId="0" xfId="0" applyFont="1" applyFill="1" applyBorder="1" applyAlignment="1" applyProtection="1">
      <alignment horizontal="center" vertical="center"/>
    </xf>
    <xf numFmtId="0" fontId="15" fillId="2" borderId="0" xfId="0" applyFont="1" applyFill="1" applyBorder="1" applyAlignment="1" applyProtection="1">
      <alignment horizontal="left" vertical="center"/>
    </xf>
    <xf numFmtId="0" fontId="25" fillId="2" borderId="0" xfId="0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horizontal="left"/>
    </xf>
    <xf numFmtId="164" fontId="2" fillId="2" borderId="9" xfId="0" applyNumberFormat="1" applyFont="1" applyFill="1" applyBorder="1" applyAlignment="1" applyProtection="1">
      <alignment horizontal="left" vertical="center"/>
    </xf>
    <xf numFmtId="164" fontId="2" fillId="2" borderId="9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 applyProtection="1">
      <alignment horizontal="center" vertical="center"/>
    </xf>
    <xf numFmtId="164" fontId="2" fillId="2" borderId="10" xfId="0" applyNumberFormat="1" applyFont="1" applyFill="1" applyBorder="1" applyAlignment="1" applyProtection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 wrapText="1"/>
    </xf>
    <xf numFmtId="164" fontId="2" fillId="2" borderId="0" xfId="0" applyNumberFormat="1" applyFont="1" applyFill="1" applyBorder="1" applyAlignment="1" applyProtection="1">
      <alignment horizontal="left" vertical="center" wrapText="1"/>
    </xf>
    <xf numFmtId="164" fontId="2" fillId="2" borderId="1" xfId="0" applyNumberFormat="1" applyFont="1" applyFill="1" applyBorder="1" applyAlignment="1" applyProtection="1">
      <alignment horizontal="left" vertical="center" wrapText="1"/>
    </xf>
    <xf numFmtId="164" fontId="20" fillId="2" borderId="9" xfId="0" applyNumberFormat="1" applyFont="1" applyFill="1" applyBorder="1" applyAlignment="1">
      <alignment horizontal="right" vertical="center" wrapText="1"/>
    </xf>
    <xf numFmtId="164" fontId="20" fillId="2" borderId="0" xfId="0" applyNumberFormat="1" applyFont="1" applyFill="1" applyBorder="1" applyAlignment="1">
      <alignment horizontal="right" vertical="center" wrapText="1"/>
    </xf>
    <xf numFmtId="164" fontId="20" fillId="2" borderId="1" xfId="0" applyNumberFormat="1" applyFont="1" applyFill="1" applyBorder="1" applyAlignment="1">
      <alignment horizontal="right" vertical="center" wrapText="1"/>
    </xf>
  </cellXfs>
  <cellStyles count="7">
    <cellStyle name="Comma 2" xfId="1"/>
    <cellStyle name="Heading 1 2" xfId="4"/>
    <cellStyle name="Normal" xfId="0" builtinId="0"/>
    <cellStyle name="Normal 2" xfId="5"/>
    <cellStyle name="Normal 3" xfId="3"/>
    <cellStyle name="Normal_Long Series" xfId="6"/>
    <cellStyle name="Percent 2" xfId="2"/>
  </cellStyles>
  <dxfs count="0"/>
  <tableStyles count="0" defaultTableStyle="TableStyleMedium2" defaultPivotStyle="PivotStyleLight16"/>
  <colors>
    <mruColors>
      <color rgb="FF663300"/>
      <color rgb="FFCF9F6F"/>
      <color rgb="FFDDBA97"/>
      <color rgb="FF996633"/>
      <color rgb="FF7B5229"/>
      <color rgb="FFFAF5F0"/>
      <color rgb="FFF5EADF"/>
      <color rgb="FFF1E2D3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00307947844436E-2"/>
          <c:y val="0.1753044483326813"/>
          <c:w val="0.90002565145571201"/>
          <c:h val="0.7165155965860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'8.33'!$AG$34</c:f>
              <c:strCache>
                <c:ptCount val="1"/>
                <c:pt idx="0">
                  <c:v>Jailed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'8.33'!$AF$35:$AF$40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'8.33'!$AG$35:$AG$40</c:f>
              <c:numCache>
                <c:formatCode>General_)</c:formatCode>
                <c:ptCount val="6"/>
                <c:pt idx="0">
                  <c:v>278</c:v>
                </c:pt>
                <c:pt idx="1">
                  <c:v>257</c:v>
                </c:pt>
                <c:pt idx="2">
                  <c:v>742</c:v>
                </c:pt>
                <c:pt idx="3">
                  <c:v>893</c:v>
                </c:pt>
                <c:pt idx="4">
                  <c:v>988</c:v>
                </c:pt>
                <c:pt idx="5">
                  <c:v>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43D4-BA53-7F43480BA5CF}"/>
            </c:ext>
          </c:extLst>
        </c:ser>
        <c:ser>
          <c:idx val="1"/>
          <c:order val="1"/>
          <c:tx>
            <c:strRef>
              <c:f>'8.33'!$AH$34</c:f>
              <c:strCache>
                <c:ptCount val="1"/>
                <c:pt idx="0">
                  <c:v>Banished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numRef>
              <c:f>'8.33'!$AF$35:$AF$40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'8.33'!$AH$35:$AH$40</c:f>
              <c:numCache>
                <c:formatCode>General_)</c:formatCode>
                <c:ptCount val="6"/>
                <c:pt idx="0">
                  <c:v>24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5-43D4-BA53-7F43480BA5CF}"/>
            </c:ext>
          </c:extLst>
        </c:ser>
        <c:ser>
          <c:idx val="2"/>
          <c:order val="2"/>
          <c:tx>
            <c:strRef>
              <c:f>'8.33'!$AI$34</c:f>
              <c:strCache>
                <c:ptCount val="1"/>
                <c:pt idx="0">
                  <c:v>House Arrest/Detention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numRef>
              <c:f>'8.33'!$AF$35:$AF$40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'8.33'!$AI$35:$AI$40</c:f>
              <c:numCache>
                <c:formatCode>General_)</c:formatCode>
                <c:ptCount val="6"/>
                <c:pt idx="0">
                  <c:v>99</c:v>
                </c:pt>
                <c:pt idx="1">
                  <c:v>93</c:v>
                </c:pt>
                <c:pt idx="2">
                  <c:v>81</c:v>
                </c:pt>
                <c:pt idx="3">
                  <c:v>229</c:v>
                </c:pt>
                <c:pt idx="4">
                  <c:v>273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5-43D4-BA53-7F43480BA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347864"/>
        <c:axId val="367347472"/>
      </c:barChart>
      <c:catAx>
        <c:axId val="36734786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367347472"/>
        <c:crosses val="autoZero"/>
        <c:auto val="1"/>
        <c:lblAlgn val="ctr"/>
        <c:lblOffset val="100"/>
        <c:noMultiLvlLbl val="0"/>
      </c:catAx>
      <c:valAx>
        <c:axId val="367347472"/>
        <c:scaling>
          <c:orientation val="minMax"/>
        </c:scaling>
        <c:delete val="0"/>
        <c:axPos val="l"/>
        <c:majorGridlines>
          <c:spPr>
            <a:ln>
              <a:solidFill>
                <a:srgbClr val="DDBA97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367347864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7561878827098394E-2"/>
          <c:y val="0.20940028319387283"/>
          <c:w val="0.53054445939233807"/>
          <c:h val="6.1336759988334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665081330243762E-2"/>
          <c:y val="0.14272747964917415"/>
          <c:w val="0.90649170398708312"/>
          <c:h val="0.6888962030871542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'8.33'!$AG$45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'8.33'!$AF$46:$AF$51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'8.33'!$AJ$46:$AJ$51</c:f>
              <c:numCache>
                <c:formatCode>0</c:formatCode>
                <c:ptCount val="6"/>
                <c:pt idx="0">
                  <c:v>96.09375</c:v>
                </c:pt>
                <c:pt idx="1">
                  <c:v>83.07692307692308</c:v>
                </c:pt>
                <c:pt idx="2">
                  <c:v>100</c:v>
                </c:pt>
                <c:pt idx="3">
                  <c:v>92.258064516129039</c:v>
                </c:pt>
                <c:pt idx="4">
                  <c:v>100</c:v>
                </c:pt>
                <c:pt idx="5">
                  <c:v>97.777777777777771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C-40E6-9439-184BE6801BBB}"/>
            </c:ext>
          </c:extLst>
        </c:ser>
        <c:ser>
          <c:idx val="2"/>
          <c:order val="1"/>
          <c:tx>
            <c:strRef>
              <c:f>'8.33'!$AH$45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'8.33'!$AF$46:$AF$51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'8.33'!$AK$46:$AK$51</c:f>
              <c:numCache>
                <c:formatCode>0</c:formatCode>
                <c:ptCount val="6"/>
                <c:pt idx="0">
                  <c:v>3.90625</c:v>
                </c:pt>
                <c:pt idx="1">
                  <c:v>16.923076923076923</c:v>
                </c:pt>
                <c:pt idx="2">
                  <c:v>0</c:v>
                </c:pt>
                <c:pt idx="3">
                  <c:v>7.741935483870968</c:v>
                </c:pt>
                <c:pt idx="4">
                  <c:v>0</c:v>
                </c:pt>
                <c:pt idx="5">
                  <c:v>2.2222222222222223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C-40E6-9439-184BE6801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4840528"/>
        <c:axId val="364838176"/>
      </c:barChart>
      <c:catAx>
        <c:axId val="364840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64838176"/>
        <c:crosses val="autoZero"/>
        <c:auto val="1"/>
        <c:lblAlgn val="ctr"/>
        <c:lblOffset val="100"/>
        <c:noMultiLvlLbl val="0"/>
      </c:catAx>
      <c:valAx>
        <c:axId val="36483817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DBA97"/>
              </a:solidFill>
            </a:ln>
          </c:spPr>
        </c:majorGridlines>
        <c:numFmt formatCode="0" sourceLinked="1"/>
        <c:majorTickMark val="out"/>
        <c:minorTickMark val="none"/>
        <c:tickLblPos val="nextTo"/>
        <c:crossAx val="364840528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8439226722074754"/>
          <c:y val="0.91427095728789531"/>
          <c:w val="0.29628862343828005"/>
          <c:h val="8.31016701690423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125269644381649E-2"/>
          <c:y val="0.15962234741447126"/>
          <c:w val="0.89357015238391391"/>
          <c:h val="0.68491478673040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'8.33'!$AI$59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strRef>
              <c:f>'8.33'!$AF$60:$AF$65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'8.33'!$AI$60:$AI$65</c:f>
              <c:numCache>
                <c:formatCode>General_)</c:formatCode>
                <c:ptCount val="6"/>
                <c:pt idx="0">
                  <c:v>79</c:v>
                </c:pt>
                <c:pt idx="1">
                  <c:v>60</c:v>
                </c:pt>
                <c:pt idx="2">
                  <c:v>162</c:v>
                </c:pt>
                <c:pt idx="3">
                  <c:v>188</c:v>
                </c:pt>
                <c:pt idx="4">
                  <c:v>100</c:v>
                </c:pt>
                <c:pt idx="5">
                  <c:v>239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564-41EB-AF28-B218C831CB4E}"/>
            </c:ext>
          </c:extLst>
        </c:ser>
        <c:ser>
          <c:idx val="1"/>
          <c:order val="1"/>
          <c:tx>
            <c:strRef>
              <c:f>'8.33'!$AJ$59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'8.33'!$AF$60:$AF$65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'8.33'!$AJ$60:$AJ$65</c:f>
              <c:numCache>
                <c:formatCode>General_)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564-41EB-AF28-B218C831CB4E}"/>
            </c:ext>
          </c:extLst>
        </c:ser>
        <c:ser>
          <c:idx val="2"/>
          <c:order val="2"/>
          <c:tx>
            <c:strRef>
              <c:f>'8.33'!$AK$59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'8.33'!$AF$60:$AF$65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'8.33'!$AK$60:$AK$65</c:f>
              <c:numCache>
                <c:formatCode>General_)</c:formatCode>
                <c:ptCount val="6"/>
                <c:pt idx="0">
                  <c:v>821</c:v>
                </c:pt>
                <c:pt idx="1">
                  <c:v>93</c:v>
                </c:pt>
                <c:pt idx="2">
                  <c:v>12</c:v>
                </c:pt>
                <c:pt idx="3">
                  <c:v>287</c:v>
                </c:pt>
                <c:pt idx="4">
                  <c:v>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4-41EB-AF28-B218C831CB4E}"/>
            </c:ext>
          </c:extLst>
        </c:ser>
        <c:ser>
          <c:idx val="3"/>
          <c:order val="3"/>
          <c:tx>
            <c:strRef>
              <c:f>'8.33'!$AL$59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'8.33'!$AF$60:$AF$65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'8.33'!$AL$60:$AL$65</c:f>
              <c:numCache>
                <c:formatCode>General_)</c:formatCode>
                <c:ptCount val="6"/>
                <c:pt idx="0">
                  <c:v>896</c:v>
                </c:pt>
                <c:pt idx="1">
                  <c:v>65</c:v>
                </c:pt>
                <c:pt idx="2">
                  <c:v>25</c:v>
                </c:pt>
                <c:pt idx="3">
                  <c:v>155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4-41EB-AF28-B218C831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44448"/>
        <c:axId val="364842488"/>
        <c:extLst/>
      </c:barChart>
      <c:catAx>
        <c:axId val="36484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4842488"/>
        <c:crosses val="autoZero"/>
        <c:auto val="1"/>
        <c:lblAlgn val="ctr"/>
        <c:lblOffset val="100"/>
        <c:noMultiLvlLbl val="0"/>
      </c:catAx>
      <c:valAx>
        <c:axId val="364842488"/>
        <c:scaling>
          <c:orientation val="minMax"/>
          <c:max val="1000"/>
        </c:scaling>
        <c:delete val="0"/>
        <c:axPos val="l"/>
        <c:majorGridlines>
          <c:spPr>
            <a:ln>
              <a:solidFill>
                <a:srgbClr val="DDBA97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64844448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7762485820583572"/>
          <c:y val="0.23741698233155506"/>
          <c:w val="0.45451161601369566"/>
          <c:h val="5.5345908756620002E-2"/>
        </c:manualLayout>
      </c:layout>
      <c:overlay val="0"/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9867335379701"/>
          <c:y val="0.16695892418194144"/>
          <c:w val="0.48442843825033749"/>
          <c:h val="0.73437078474737605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996633"/>
              </a:solidFill>
            </c:spPr>
            <c:extLst>
              <c:ext xmlns:c16="http://schemas.microsoft.com/office/drawing/2014/chart" uri="{C3380CC4-5D6E-409C-BE32-E72D297353CC}">
                <c16:uniqueId val="{00000001-234A-41FF-8885-FDB35D99E6C3}"/>
              </c:ext>
            </c:extLst>
          </c:dPt>
          <c:dPt>
            <c:idx val="1"/>
            <c:bubble3D val="0"/>
            <c:spPr>
              <a:solidFill>
                <a:srgbClr val="DDBA97"/>
              </a:solidFill>
            </c:spPr>
            <c:extLst>
              <c:ext xmlns:c16="http://schemas.microsoft.com/office/drawing/2014/chart" uri="{C3380CC4-5D6E-409C-BE32-E72D297353CC}">
                <c16:uniqueId val="{00000003-234A-41FF-8885-FDB35D99E6C3}"/>
              </c:ext>
            </c:extLst>
          </c:dPt>
          <c:dLbls>
            <c:dLbl>
              <c:idx val="1"/>
              <c:layout>
                <c:manualLayout>
                  <c:x val="0.13190868445182638"/>
                  <c:y val="-6.9917742619766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800">
                      <a:solidFill>
                        <a:srgbClr val="7B5229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87210629375535"/>
                      <c:h val="0.145760627416493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34A-41FF-8885-FDB35D99E6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'8.33'!$AG$79:$AI$79</c15:sqref>
                  </c15:fullRef>
                </c:ext>
              </c:extLst>
              <c:f>('8.33'!$AG$79,'8.33'!$AI$79)</c:f>
              <c:strCache>
                <c:ptCount val="2"/>
                <c:pt idx="0">
                  <c:v>Jailed</c:v>
                </c:pt>
                <c:pt idx="1">
                  <c:v>House Arrest/Detention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'8.33'!$AG$80:$AI$80</c15:sqref>
                  </c15:fullRef>
                </c:ext>
              </c:extLst>
              <c:f>('8.33'!$AG$80,'8.33'!$AI$80)</c:f>
              <c:numCache>
                <c:formatCode>General_)</c:formatCode>
                <c:ptCount val="2"/>
                <c:pt idx="0">
                  <c:v>991</c:v>
                </c:pt>
                <c:pt idx="1">
                  <c:v>249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'8.33'!$AH$80</c15:sqref>
                  <c15:spPr xmlns:c15="http://schemas.microsoft.com/office/drawing/2012/chart">
                    <a:solidFill>
                      <a:srgbClr val="7B5229"/>
                    </a:solidFill>
                  </c15:spPr>
                  <c15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3C2D-4A5E-B09F-D364DCB9D51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234A-41FF-8885-FDB35D99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104775</xdr:rowOff>
    </xdr:from>
    <xdr:to>
      <xdr:col>15</xdr:col>
      <xdr:colOff>835269</xdr:colOff>
      <xdr:row>39</xdr:row>
      <xdr:rowOff>131083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95375" y="8010525"/>
          <a:ext cx="7869975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65</xdr:row>
      <xdr:rowOff>88446</xdr:rowOff>
    </xdr:from>
    <xdr:to>
      <xdr:col>15</xdr:col>
      <xdr:colOff>762198</xdr:colOff>
      <xdr:row>65</xdr:row>
      <xdr:rowOff>111360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1095375" y="12204246"/>
          <a:ext cx="7796904" cy="22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8</xdr:col>
      <xdr:colOff>440564</xdr:colOff>
      <xdr:row>135</xdr:row>
      <xdr:rowOff>1029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983876" y="23428139"/>
          <a:ext cx="4069170" cy="23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 editAs="oneCell">
    <xdr:from>
      <xdr:col>1</xdr:col>
      <xdr:colOff>0</xdr:colOff>
      <xdr:row>40</xdr:row>
      <xdr:rowOff>104775</xdr:rowOff>
    </xdr:from>
    <xdr:to>
      <xdr:col>15</xdr:col>
      <xdr:colOff>778119</xdr:colOff>
      <xdr:row>40</xdr:row>
      <xdr:rowOff>131083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95375" y="8172450"/>
          <a:ext cx="7812825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72</xdr:row>
      <xdr:rowOff>231321</xdr:rowOff>
    </xdr:from>
    <xdr:to>
      <xdr:col>15</xdr:col>
      <xdr:colOff>790773</xdr:colOff>
      <xdr:row>73</xdr:row>
      <xdr:rowOff>23954</xdr:rowOff>
    </xdr:to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1095375" y="13413921"/>
          <a:ext cx="7825479" cy="21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8</xdr:col>
      <xdr:colOff>612014</xdr:colOff>
      <xdr:row>135</xdr:row>
      <xdr:rowOff>1029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983876" y="23428139"/>
          <a:ext cx="4240620" cy="23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>
    <xdr:from>
      <xdr:col>6</xdr:col>
      <xdr:colOff>428968</xdr:colOff>
      <xdr:row>28</xdr:row>
      <xdr:rowOff>219475</xdr:rowOff>
    </xdr:from>
    <xdr:to>
      <xdr:col>15</xdr:col>
      <xdr:colOff>817711</xdr:colOff>
      <xdr:row>45</xdr:row>
      <xdr:rowOff>109852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381630</xdr:colOff>
      <xdr:row>47</xdr:row>
      <xdr:rowOff>40132</xdr:rowOff>
    </xdr:from>
    <xdr:to>
      <xdr:col>15</xdr:col>
      <xdr:colOff>826697</xdr:colOff>
      <xdr:row>65</xdr:row>
      <xdr:rowOff>82058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81601</xdr:colOff>
      <xdr:row>29</xdr:row>
      <xdr:rowOff>19406</xdr:rowOff>
    </xdr:from>
    <xdr:to>
      <xdr:col>5</xdr:col>
      <xdr:colOff>584081</xdr:colOff>
      <xdr:row>46</xdr:row>
      <xdr:rowOff>9880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64917</xdr:colOff>
      <xdr:row>47</xdr:row>
      <xdr:rowOff>79818</xdr:rowOff>
    </xdr:from>
    <xdr:to>
      <xdr:col>5</xdr:col>
      <xdr:colOff>584081</xdr:colOff>
      <xdr:row>65</xdr:row>
      <xdr:rowOff>89343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320179</xdr:colOff>
      <xdr:row>29</xdr:row>
      <xdr:rowOff>60835</xdr:rowOff>
    </xdr:from>
    <xdr:to>
      <xdr:col>6</xdr:col>
      <xdr:colOff>138661</xdr:colOff>
      <xdr:row>30</xdr:row>
      <xdr:rowOff>140473</xdr:rowOff>
    </xdr:to>
    <xdr:sp macro="" textlink="">
      <xdr:nvSpPr>
        <xdr:cNvPr id="19" name="TextBox 18"/>
        <xdr:cNvSpPr txBox="1"/>
      </xdr:nvSpPr>
      <xdr:spPr>
        <a:xfrm>
          <a:off x="320179" y="6368901"/>
          <a:ext cx="4410251" cy="24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8.53: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duration, 2016 - 2019</a:t>
          </a:r>
          <a:endParaRPr lang="en-US" sz="1100"/>
        </a:p>
      </xdr:txBody>
    </xdr:sp>
    <xdr:clientData/>
  </xdr:twoCellAnchor>
  <xdr:twoCellAnchor>
    <xdr:from>
      <xdr:col>8</xdr:col>
      <xdr:colOff>134789</xdr:colOff>
      <xdr:row>47</xdr:row>
      <xdr:rowOff>118925</xdr:rowOff>
    </xdr:from>
    <xdr:to>
      <xdr:col>15</xdr:col>
      <xdr:colOff>341462</xdr:colOff>
      <xdr:row>49</xdr:row>
      <xdr:rowOff>61586</xdr:rowOff>
    </xdr:to>
    <xdr:sp macro="" textlink="">
      <xdr:nvSpPr>
        <xdr:cNvPr id="21" name="TextBox 20"/>
        <xdr:cNvSpPr txBox="1"/>
      </xdr:nvSpPr>
      <xdr:spPr>
        <a:xfrm>
          <a:off x="5535284" y="9338406"/>
          <a:ext cx="4510895" cy="266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8.56: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duration and sex,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8</xdr:col>
      <xdr:colOff>566109</xdr:colOff>
      <xdr:row>29</xdr:row>
      <xdr:rowOff>58617</xdr:rowOff>
    </xdr:from>
    <xdr:to>
      <xdr:col>15</xdr:col>
      <xdr:colOff>440307</xdr:colOff>
      <xdr:row>30</xdr:row>
      <xdr:rowOff>141216</xdr:rowOff>
    </xdr:to>
    <xdr:sp macro="" textlink="">
      <xdr:nvSpPr>
        <xdr:cNvPr id="23" name="TextBox 22"/>
        <xdr:cNvSpPr txBox="1"/>
      </xdr:nvSpPr>
      <xdr:spPr>
        <a:xfrm>
          <a:off x="5966604" y="6366683"/>
          <a:ext cx="4178420" cy="2443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8.54: 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type, 2014 - 2019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0.05231</cdr:x>
      <cdr:y>0.03937</cdr:y>
    </cdr:from>
    <cdr:to>
      <cdr:x>0.90828</cdr:x>
      <cdr:y>0.12724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1617" y="115011"/>
          <a:ext cx="3790266" cy="256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+mn-lt"/>
              <a:ea typeface="+mn-ea"/>
              <a:cs typeface="+mn-cs"/>
            </a:rPr>
            <a:t>Figure 8.55: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sentenced  by  type, 2019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2"/>
  <sheetViews>
    <sheetView tabSelected="1" zoomScale="106" zoomScaleNormal="106" workbookViewId="0">
      <selection activeCell="S19" sqref="S19"/>
    </sheetView>
  </sheetViews>
  <sheetFormatPr defaultColWidth="11.140625" defaultRowHeight="12.75"/>
  <cols>
    <col min="1" max="1" width="16.42578125" style="11" customWidth="1"/>
    <col min="2" max="3" width="10.28515625" style="11" customWidth="1"/>
    <col min="4" max="4" width="11.42578125" style="11" customWidth="1"/>
    <col min="5" max="5" width="10.28515625" style="42" customWidth="1"/>
    <col min="6" max="7" width="10.28515625" style="1" customWidth="1"/>
    <col min="8" max="8" width="1.85546875" style="1" customWidth="1"/>
    <col min="9" max="10" width="10.28515625" style="11" customWidth="1"/>
    <col min="11" max="11" width="11.42578125" style="11" customWidth="1"/>
    <col min="12" max="12" width="10.28515625" style="42" customWidth="1"/>
    <col min="13" max="14" width="10.28515625" style="1" customWidth="1"/>
    <col min="15" max="15" width="1.85546875" style="1" customWidth="1"/>
    <col min="16" max="16" width="18.7109375" style="11" customWidth="1"/>
    <col min="17" max="30" width="14" style="11" customWidth="1"/>
    <col min="31" max="16384" width="11.140625" style="11"/>
  </cols>
  <sheetData>
    <row r="1" spans="1:36" ht="22.5" customHeight="1">
      <c r="A1" s="92" t="s">
        <v>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spans="1:36" s="13" customFormat="1" ht="15">
      <c r="A2" s="93" t="s">
        <v>35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spans="1:36">
      <c r="A3" s="94" t="s">
        <v>10</v>
      </c>
      <c r="B3" s="86">
        <v>2018</v>
      </c>
      <c r="C3" s="87"/>
      <c r="D3" s="87"/>
      <c r="E3" s="87"/>
      <c r="F3" s="87"/>
      <c r="G3" s="87"/>
      <c r="H3" s="79"/>
      <c r="I3" s="86">
        <v>2019</v>
      </c>
      <c r="J3" s="87"/>
      <c r="K3" s="87"/>
      <c r="L3" s="87"/>
      <c r="M3" s="87"/>
      <c r="N3" s="87"/>
      <c r="O3" s="82"/>
      <c r="P3" s="97" t="s">
        <v>11</v>
      </c>
      <c r="Q3" s="80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0"/>
      <c r="AE3" s="80"/>
      <c r="AF3" s="80"/>
      <c r="AG3" s="80"/>
      <c r="AH3" s="80"/>
    </row>
    <row r="4" spans="1:36" ht="15">
      <c r="A4" s="95"/>
      <c r="B4" s="14"/>
      <c r="C4" s="80"/>
      <c r="D4" s="80"/>
      <c r="E4" s="88" t="s">
        <v>12</v>
      </c>
      <c r="F4" s="88"/>
      <c r="G4" s="88"/>
      <c r="H4" s="80"/>
      <c r="I4" s="14"/>
      <c r="J4" s="80"/>
      <c r="K4" s="80"/>
      <c r="L4" s="88" t="s">
        <v>12</v>
      </c>
      <c r="M4" s="88"/>
      <c r="N4" s="88"/>
      <c r="O4" s="83"/>
      <c r="P4" s="98"/>
      <c r="Q4" s="80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0"/>
      <c r="AE4" s="80"/>
      <c r="AF4" s="80"/>
      <c r="AG4" s="80"/>
      <c r="AH4" s="80"/>
    </row>
    <row r="5" spans="1:36" ht="12.75" customHeight="1">
      <c r="A5" s="95"/>
      <c r="B5" s="89" t="s">
        <v>6</v>
      </c>
      <c r="C5" s="90" t="s">
        <v>13</v>
      </c>
      <c r="D5" s="90" t="s">
        <v>14</v>
      </c>
      <c r="E5" s="91" t="s">
        <v>15</v>
      </c>
      <c r="F5" s="91"/>
      <c r="G5" s="91"/>
      <c r="H5" s="80"/>
      <c r="I5" s="89" t="s">
        <v>6</v>
      </c>
      <c r="J5" s="90" t="s">
        <v>13</v>
      </c>
      <c r="K5" s="90" t="s">
        <v>14</v>
      </c>
      <c r="L5" s="91" t="s">
        <v>15</v>
      </c>
      <c r="M5" s="91"/>
      <c r="N5" s="91"/>
      <c r="O5" s="83"/>
      <c r="P5" s="98"/>
      <c r="Q5" s="81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1"/>
      <c r="AE5" s="81"/>
      <c r="AF5" s="80"/>
      <c r="AG5" s="80"/>
      <c r="AH5" s="80"/>
    </row>
    <row r="6" spans="1:36" ht="15.75">
      <c r="A6" s="95"/>
      <c r="B6" s="89"/>
      <c r="C6" s="90"/>
      <c r="D6" s="90"/>
      <c r="E6" s="16" t="s">
        <v>16</v>
      </c>
      <c r="F6" s="16" t="s">
        <v>17</v>
      </c>
      <c r="G6" s="16" t="s">
        <v>18</v>
      </c>
      <c r="H6" s="15"/>
      <c r="I6" s="89"/>
      <c r="J6" s="90"/>
      <c r="K6" s="90"/>
      <c r="L6" s="16" t="s">
        <v>16</v>
      </c>
      <c r="M6" s="16" t="s">
        <v>17</v>
      </c>
      <c r="N6" s="16" t="s">
        <v>18</v>
      </c>
      <c r="O6" s="15"/>
      <c r="P6" s="98"/>
      <c r="Q6" s="81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1"/>
      <c r="AE6" s="81"/>
      <c r="AF6" s="80"/>
      <c r="AG6" s="80"/>
      <c r="AH6" s="80"/>
    </row>
    <row r="7" spans="1:36" s="6" customFormat="1" ht="15">
      <c r="A7" s="96"/>
      <c r="B7" s="19" t="s">
        <v>18</v>
      </c>
      <c r="C7" s="16" t="s">
        <v>19</v>
      </c>
      <c r="D7" s="16" t="s">
        <v>20</v>
      </c>
      <c r="E7" s="18" t="s">
        <v>1</v>
      </c>
      <c r="F7" s="18" t="s">
        <v>2</v>
      </c>
      <c r="G7" s="18" t="s">
        <v>0</v>
      </c>
      <c r="H7" s="17"/>
      <c r="I7" s="19" t="s">
        <v>18</v>
      </c>
      <c r="J7" s="16" t="s">
        <v>19</v>
      </c>
      <c r="K7" s="16" t="s">
        <v>20</v>
      </c>
      <c r="L7" s="18" t="s">
        <v>1</v>
      </c>
      <c r="M7" s="18" t="s">
        <v>2</v>
      </c>
      <c r="N7" s="18" t="s">
        <v>0</v>
      </c>
      <c r="O7" s="17"/>
      <c r="P7" s="99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1"/>
      <c r="AE7" s="21"/>
      <c r="AF7" s="21"/>
      <c r="AG7" s="21"/>
      <c r="AH7" s="21"/>
    </row>
    <row r="8" spans="1:36" ht="15.75">
      <c r="A8" s="78" t="s">
        <v>3</v>
      </c>
      <c r="B8" s="24">
        <f>B15+B22</f>
        <v>1262</v>
      </c>
      <c r="C8" s="22">
        <f>C15+C22</f>
        <v>988</v>
      </c>
      <c r="D8" s="22">
        <f t="shared" ref="D8:F8" si="0">D15+D22</f>
        <v>1</v>
      </c>
      <c r="E8" s="23">
        <f t="shared" si="0"/>
        <v>157</v>
      </c>
      <c r="F8" s="23">
        <f t="shared" si="0"/>
        <v>116</v>
      </c>
      <c r="G8" s="23">
        <f>G15+G22</f>
        <v>273</v>
      </c>
      <c r="H8" s="23"/>
      <c r="I8" s="24">
        <f>I15+I22</f>
        <v>1241</v>
      </c>
      <c r="J8" s="22">
        <f>J15+J22</f>
        <v>991</v>
      </c>
      <c r="K8" s="22">
        <f t="shared" ref="K8:M8" si="1">K15+K22</f>
        <v>1</v>
      </c>
      <c r="L8" s="23">
        <f t="shared" si="1"/>
        <v>117</v>
      </c>
      <c r="M8" s="23">
        <f t="shared" si="1"/>
        <v>132</v>
      </c>
      <c r="N8" s="23">
        <f>N15+N22</f>
        <v>249</v>
      </c>
      <c r="O8" s="23"/>
      <c r="P8" s="25" t="s">
        <v>7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ht="15.75">
      <c r="A9" s="27" t="s">
        <v>21</v>
      </c>
      <c r="B9" s="28">
        <f>B16+B23</f>
        <v>821</v>
      </c>
      <c r="C9" s="4">
        <f t="shared" ref="C9:G10" si="2">C16+C23</f>
        <v>575</v>
      </c>
      <c r="D9" s="4">
        <f t="shared" si="2"/>
        <v>1</v>
      </c>
      <c r="E9" s="2">
        <f t="shared" si="2"/>
        <v>140</v>
      </c>
      <c r="F9" s="2">
        <f t="shared" si="2"/>
        <v>105</v>
      </c>
      <c r="G9" s="2">
        <f t="shared" si="2"/>
        <v>245</v>
      </c>
      <c r="H9" s="2"/>
      <c r="I9" s="28">
        <f>I16+I23</f>
        <v>896</v>
      </c>
      <c r="J9" s="4">
        <f t="shared" ref="J9:N9" si="3">J16+J23</f>
        <v>670</v>
      </c>
      <c r="K9" s="4">
        <f t="shared" si="3"/>
        <v>1</v>
      </c>
      <c r="L9" s="2">
        <f t="shared" si="3"/>
        <v>105</v>
      </c>
      <c r="M9" s="2">
        <f t="shared" si="3"/>
        <v>120</v>
      </c>
      <c r="N9" s="2">
        <f t="shared" si="3"/>
        <v>225</v>
      </c>
      <c r="O9" s="2"/>
      <c r="P9" s="29" t="s">
        <v>22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36" ht="15.75">
      <c r="A10" s="27" t="s">
        <v>23</v>
      </c>
      <c r="B10" s="28">
        <f>B17+B24</f>
        <v>93</v>
      </c>
      <c r="C10" s="5">
        <f t="shared" si="2"/>
        <v>68</v>
      </c>
      <c r="D10" s="5">
        <f t="shared" si="2"/>
        <v>0</v>
      </c>
      <c r="E10" s="3">
        <f t="shared" si="2"/>
        <v>15</v>
      </c>
      <c r="F10" s="3">
        <f t="shared" si="2"/>
        <v>10</v>
      </c>
      <c r="G10" s="3">
        <f t="shared" si="2"/>
        <v>25</v>
      </c>
      <c r="H10" s="2"/>
      <c r="I10" s="28">
        <f>I17+I24</f>
        <v>65</v>
      </c>
      <c r="J10" s="5">
        <f t="shared" ref="J10:N10" si="4">J17+J24</f>
        <v>47</v>
      </c>
      <c r="K10" s="5">
        <f t="shared" si="4"/>
        <v>0</v>
      </c>
      <c r="L10" s="3">
        <f t="shared" si="4"/>
        <v>9</v>
      </c>
      <c r="M10" s="3">
        <f t="shared" si="4"/>
        <v>9</v>
      </c>
      <c r="N10" s="3">
        <f t="shared" si="4"/>
        <v>18</v>
      </c>
      <c r="O10" s="2"/>
      <c r="P10" s="29" t="s">
        <v>24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ht="15.75">
      <c r="A11" s="27" t="s">
        <v>25</v>
      </c>
      <c r="B11" s="28">
        <f t="shared" ref="B11:G14" si="5">B18+B25</f>
        <v>12</v>
      </c>
      <c r="C11" s="5">
        <f t="shared" si="5"/>
        <v>9</v>
      </c>
      <c r="D11" s="5">
        <f t="shared" si="5"/>
        <v>0</v>
      </c>
      <c r="E11" s="3">
        <f t="shared" si="5"/>
        <v>2</v>
      </c>
      <c r="F11" s="3">
        <f t="shared" si="5"/>
        <v>1</v>
      </c>
      <c r="G11" s="3">
        <f t="shared" si="5"/>
        <v>3</v>
      </c>
      <c r="H11" s="2"/>
      <c r="I11" s="28">
        <f t="shared" ref="I11:N11" si="6">I18+I25</f>
        <v>25</v>
      </c>
      <c r="J11" s="5">
        <f t="shared" si="6"/>
        <v>23</v>
      </c>
      <c r="K11" s="5">
        <f t="shared" si="6"/>
        <v>0</v>
      </c>
      <c r="L11" s="3">
        <f t="shared" si="6"/>
        <v>0</v>
      </c>
      <c r="M11" s="3">
        <f t="shared" si="6"/>
        <v>2</v>
      </c>
      <c r="N11" s="3">
        <f t="shared" si="6"/>
        <v>2</v>
      </c>
      <c r="O11" s="2"/>
      <c r="P11" s="29" t="s">
        <v>26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ht="15.75">
      <c r="A12" s="27" t="s">
        <v>27</v>
      </c>
      <c r="B12" s="28">
        <f t="shared" si="5"/>
        <v>287</v>
      </c>
      <c r="C12" s="5">
        <f t="shared" si="5"/>
        <v>287</v>
      </c>
      <c r="D12" s="5">
        <f t="shared" si="5"/>
        <v>0</v>
      </c>
      <c r="E12" s="3">
        <f t="shared" si="5"/>
        <v>0</v>
      </c>
      <c r="F12" s="3">
        <f t="shared" si="5"/>
        <v>0</v>
      </c>
      <c r="G12" s="3">
        <f t="shared" si="5"/>
        <v>0</v>
      </c>
      <c r="H12" s="2"/>
      <c r="I12" s="28">
        <f t="shared" ref="I12:N12" si="7">I19+I26</f>
        <v>155</v>
      </c>
      <c r="J12" s="5">
        <f t="shared" si="7"/>
        <v>153</v>
      </c>
      <c r="K12" s="5">
        <f t="shared" si="7"/>
        <v>0</v>
      </c>
      <c r="L12" s="3">
        <f t="shared" si="7"/>
        <v>1</v>
      </c>
      <c r="M12" s="3">
        <f t="shared" si="7"/>
        <v>1</v>
      </c>
      <c r="N12" s="3">
        <f t="shared" si="7"/>
        <v>2</v>
      </c>
      <c r="O12" s="2"/>
      <c r="P12" s="29" t="s">
        <v>28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ht="15.75">
      <c r="A13" s="27" t="s">
        <v>29</v>
      </c>
      <c r="B13" s="28">
        <f t="shared" si="5"/>
        <v>2</v>
      </c>
      <c r="C13" s="5">
        <f t="shared" si="5"/>
        <v>2</v>
      </c>
      <c r="D13" s="5">
        <f t="shared" si="5"/>
        <v>0</v>
      </c>
      <c r="E13" s="3">
        <f t="shared" si="5"/>
        <v>0</v>
      </c>
      <c r="F13" s="3">
        <f t="shared" si="5"/>
        <v>0</v>
      </c>
      <c r="G13" s="3">
        <f t="shared" si="5"/>
        <v>0</v>
      </c>
      <c r="H13" s="2"/>
      <c r="I13" s="28">
        <f t="shared" ref="I13:N13" si="8">I20+I27</f>
        <v>10</v>
      </c>
      <c r="J13" s="5">
        <f t="shared" si="8"/>
        <v>9</v>
      </c>
      <c r="K13" s="5">
        <f t="shared" si="8"/>
        <v>0</v>
      </c>
      <c r="L13" s="3">
        <f t="shared" si="8"/>
        <v>1</v>
      </c>
      <c r="M13" s="3">
        <f t="shared" si="8"/>
        <v>0</v>
      </c>
      <c r="N13" s="3">
        <f t="shared" si="8"/>
        <v>1</v>
      </c>
      <c r="O13" s="2"/>
      <c r="P13" s="29" t="s">
        <v>30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ht="15.75">
      <c r="A14" s="30" t="s">
        <v>31</v>
      </c>
      <c r="B14" s="34">
        <f t="shared" si="5"/>
        <v>47</v>
      </c>
      <c r="C14" s="32">
        <f t="shared" si="5"/>
        <v>47</v>
      </c>
      <c r="D14" s="32">
        <f t="shared" si="5"/>
        <v>0</v>
      </c>
      <c r="E14" s="33">
        <f t="shared" si="5"/>
        <v>0</v>
      </c>
      <c r="F14" s="33">
        <f t="shared" si="5"/>
        <v>0</v>
      </c>
      <c r="G14" s="33">
        <f t="shared" si="5"/>
        <v>0</v>
      </c>
      <c r="H14" s="31"/>
      <c r="I14" s="34">
        <f t="shared" ref="I14:N14" si="9">I21+I28</f>
        <v>90</v>
      </c>
      <c r="J14" s="32">
        <f t="shared" si="9"/>
        <v>89</v>
      </c>
      <c r="K14" s="32">
        <f t="shared" si="9"/>
        <v>0</v>
      </c>
      <c r="L14" s="33">
        <f t="shared" si="9"/>
        <v>1</v>
      </c>
      <c r="M14" s="33">
        <f t="shared" si="9"/>
        <v>0</v>
      </c>
      <c r="N14" s="33">
        <f t="shared" si="9"/>
        <v>1</v>
      </c>
      <c r="O14" s="31"/>
      <c r="P14" s="35" t="s">
        <v>32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s="42" customFormat="1" ht="15.75">
      <c r="A15" s="36" t="s">
        <v>4</v>
      </c>
      <c r="B15" s="38">
        <f>C15+D15+G15</f>
        <v>1189</v>
      </c>
      <c r="C15" s="37">
        <f>SUM(C16:C21)</f>
        <v>944</v>
      </c>
      <c r="D15" s="37">
        <f t="shared" ref="D15:G15" si="10">SUM(D16:D21)</f>
        <v>1</v>
      </c>
      <c r="E15" s="37">
        <f t="shared" si="10"/>
        <v>146</v>
      </c>
      <c r="F15" s="37">
        <f t="shared" si="10"/>
        <v>98</v>
      </c>
      <c r="G15" s="37">
        <f t="shared" si="10"/>
        <v>244</v>
      </c>
      <c r="H15" s="37"/>
      <c r="I15" s="38">
        <f>J15+K15+N15</f>
        <v>1181</v>
      </c>
      <c r="J15" s="37">
        <f>SUM(J16:J21)</f>
        <v>956</v>
      </c>
      <c r="K15" s="37">
        <f t="shared" ref="K15:N15" si="11">SUM(K16:K21)</f>
        <v>0</v>
      </c>
      <c r="L15" s="37">
        <f t="shared" si="11"/>
        <v>105</v>
      </c>
      <c r="M15" s="37">
        <f t="shared" si="11"/>
        <v>120</v>
      </c>
      <c r="N15" s="37">
        <f t="shared" si="11"/>
        <v>225</v>
      </c>
      <c r="O15" s="37"/>
      <c r="P15" s="39" t="s">
        <v>33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1"/>
      <c r="AG15" s="41"/>
      <c r="AH15" s="41"/>
    </row>
    <row r="16" spans="1:36" s="42" customFormat="1" ht="15.75">
      <c r="A16" s="43" t="s">
        <v>21</v>
      </c>
      <c r="B16" s="38">
        <f>C16+D16+G16</f>
        <v>790</v>
      </c>
      <c r="C16" s="44">
        <v>559</v>
      </c>
      <c r="D16" s="44">
        <v>1</v>
      </c>
      <c r="E16" s="44">
        <v>135</v>
      </c>
      <c r="F16" s="44">
        <v>95</v>
      </c>
      <c r="G16" s="3">
        <f>F16+E16</f>
        <v>230</v>
      </c>
      <c r="H16" s="3"/>
      <c r="I16" s="38">
        <f>J16+K16+N16</f>
        <v>861</v>
      </c>
      <c r="J16" s="44">
        <v>649</v>
      </c>
      <c r="K16" s="44">
        <v>0</v>
      </c>
      <c r="L16" s="44">
        <v>100</v>
      </c>
      <c r="M16" s="44">
        <v>112</v>
      </c>
      <c r="N16" s="3">
        <f>M16+L16</f>
        <v>212</v>
      </c>
      <c r="O16" s="3"/>
      <c r="P16" s="29" t="s">
        <v>22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4"/>
      <c r="AE16" s="44"/>
      <c r="AF16" s="46"/>
      <c r="AG16" s="47"/>
      <c r="AH16" s="47"/>
    </row>
    <row r="17" spans="1:34" s="42" customFormat="1" ht="18.75" customHeight="1">
      <c r="A17" s="43" t="s">
        <v>23</v>
      </c>
      <c r="B17" s="38">
        <f t="shared" ref="B17" si="12">C17+D17+G17</f>
        <v>78</v>
      </c>
      <c r="C17" s="44">
        <v>67</v>
      </c>
      <c r="D17" s="44">
        <v>0</v>
      </c>
      <c r="E17" s="44">
        <v>9</v>
      </c>
      <c r="F17" s="44">
        <v>2</v>
      </c>
      <c r="G17" s="3">
        <f t="shared" ref="G17:G21" si="13">F17+E17</f>
        <v>11</v>
      </c>
      <c r="H17" s="3"/>
      <c r="I17" s="38">
        <f t="shared" ref="I17" si="14">J17+K17+N17</f>
        <v>54</v>
      </c>
      <c r="J17" s="44">
        <v>47</v>
      </c>
      <c r="K17" s="44">
        <v>0</v>
      </c>
      <c r="L17" s="44">
        <v>2</v>
      </c>
      <c r="M17" s="44">
        <v>5</v>
      </c>
      <c r="N17" s="3">
        <f t="shared" ref="N17:N21" si="15">M17+L17</f>
        <v>7</v>
      </c>
      <c r="O17" s="3"/>
      <c r="P17" s="29" t="s">
        <v>24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4"/>
      <c r="AE17" s="44"/>
      <c r="AF17" s="46"/>
      <c r="AG17" s="47"/>
      <c r="AH17" s="47"/>
    </row>
    <row r="18" spans="1:34" s="42" customFormat="1" ht="18.75" customHeight="1">
      <c r="A18" s="43" t="s">
        <v>25</v>
      </c>
      <c r="B18" s="38">
        <f>C18+D18+G18</f>
        <v>11</v>
      </c>
      <c r="C18" s="44">
        <v>8</v>
      </c>
      <c r="D18" s="44">
        <v>0</v>
      </c>
      <c r="E18" s="44">
        <v>2</v>
      </c>
      <c r="F18" s="44">
        <v>1</v>
      </c>
      <c r="G18" s="3">
        <f t="shared" si="13"/>
        <v>3</v>
      </c>
      <c r="H18" s="3"/>
      <c r="I18" s="38">
        <f>J18+K18+N18</f>
        <v>25</v>
      </c>
      <c r="J18" s="44">
        <v>23</v>
      </c>
      <c r="K18" s="44">
        <v>0</v>
      </c>
      <c r="L18" s="44">
        <v>0</v>
      </c>
      <c r="M18" s="44">
        <v>2</v>
      </c>
      <c r="N18" s="3">
        <f t="shared" si="15"/>
        <v>2</v>
      </c>
      <c r="O18" s="3"/>
      <c r="P18" s="29" t="s">
        <v>26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4"/>
      <c r="AE18" s="44"/>
      <c r="AF18" s="46"/>
      <c r="AG18" s="47"/>
      <c r="AH18" s="47"/>
    </row>
    <row r="19" spans="1:34" s="42" customFormat="1" ht="18.75" customHeight="1">
      <c r="A19" s="43" t="s">
        <v>27</v>
      </c>
      <c r="B19" s="38">
        <f t="shared" ref="B19:B21" si="16">C19+D19+G19</f>
        <v>264</v>
      </c>
      <c r="C19" s="48">
        <v>264</v>
      </c>
      <c r="D19" s="48">
        <v>0</v>
      </c>
      <c r="E19" s="44">
        <v>0</v>
      </c>
      <c r="F19" s="44">
        <v>0</v>
      </c>
      <c r="G19" s="3">
        <f t="shared" si="13"/>
        <v>0</v>
      </c>
      <c r="H19" s="3"/>
      <c r="I19" s="38">
        <f t="shared" ref="I19:I21" si="17">J19+K19+N19</f>
        <v>143</v>
      </c>
      <c r="J19" s="48">
        <v>141</v>
      </c>
      <c r="K19" s="48">
        <v>0</v>
      </c>
      <c r="L19" s="44">
        <v>1</v>
      </c>
      <c r="M19" s="44">
        <v>1</v>
      </c>
      <c r="N19" s="3">
        <f t="shared" si="15"/>
        <v>2</v>
      </c>
      <c r="O19" s="3"/>
      <c r="P19" s="29" t="s">
        <v>28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8"/>
      <c r="AE19" s="48"/>
      <c r="AF19" s="46"/>
      <c r="AG19" s="47"/>
      <c r="AH19" s="47"/>
    </row>
    <row r="20" spans="1:34" s="42" customFormat="1" ht="18.75" customHeight="1">
      <c r="A20" s="43" t="s">
        <v>29</v>
      </c>
      <c r="B20" s="38">
        <f t="shared" si="16"/>
        <v>2</v>
      </c>
      <c r="C20" s="48">
        <v>2</v>
      </c>
      <c r="D20" s="48">
        <v>0</v>
      </c>
      <c r="E20" s="44">
        <v>0</v>
      </c>
      <c r="F20" s="44">
        <v>0</v>
      </c>
      <c r="G20" s="3">
        <f t="shared" si="13"/>
        <v>0</v>
      </c>
      <c r="H20" s="3"/>
      <c r="I20" s="38">
        <f t="shared" si="17"/>
        <v>10</v>
      </c>
      <c r="J20" s="48">
        <v>9</v>
      </c>
      <c r="K20" s="48">
        <v>0</v>
      </c>
      <c r="L20" s="44">
        <v>1</v>
      </c>
      <c r="M20" s="44">
        <v>0</v>
      </c>
      <c r="N20" s="3">
        <f t="shared" si="15"/>
        <v>1</v>
      </c>
      <c r="O20" s="3"/>
      <c r="P20" s="29" t="s">
        <v>30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8"/>
      <c r="AE20" s="48"/>
      <c r="AF20" s="46"/>
      <c r="AG20" s="47"/>
      <c r="AH20" s="47"/>
    </row>
    <row r="21" spans="1:34" s="42" customFormat="1" ht="18.75" customHeight="1">
      <c r="A21" s="49" t="s">
        <v>31</v>
      </c>
      <c r="B21" s="52">
        <f t="shared" si="16"/>
        <v>44</v>
      </c>
      <c r="C21" s="50">
        <v>44</v>
      </c>
      <c r="D21" s="50">
        <v>0</v>
      </c>
      <c r="E21" s="51">
        <v>0</v>
      </c>
      <c r="F21" s="51">
        <v>0</v>
      </c>
      <c r="G21" s="33">
        <f t="shared" si="13"/>
        <v>0</v>
      </c>
      <c r="H21" s="33"/>
      <c r="I21" s="52">
        <f t="shared" si="17"/>
        <v>88</v>
      </c>
      <c r="J21" s="50">
        <v>87</v>
      </c>
      <c r="K21" s="50">
        <v>0</v>
      </c>
      <c r="L21" s="51">
        <v>1</v>
      </c>
      <c r="M21" s="51">
        <v>0</v>
      </c>
      <c r="N21" s="33">
        <f t="shared" si="15"/>
        <v>1</v>
      </c>
      <c r="O21" s="33"/>
      <c r="P21" s="35" t="s">
        <v>32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8"/>
      <c r="AE21" s="48"/>
      <c r="AF21" s="46"/>
      <c r="AG21" s="47"/>
      <c r="AH21" s="47"/>
    </row>
    <row r="22" spans="1:34" s="42" customFormat="1" ht="18.75" customHeight="1">
      <c r="A22" s="36" t="s">
        <v>5</v>
      </c>
      <c r="B22" s="38">
        <f>C22+D22+G22</f>
        <v>73</v>
      </c>
      <c r="C22" s="37">
        <f>SUM(C23:C28)</f>
        <v>44</v>
      </c>
      <c r="D22" s="37">
        <f t="shared" ref="D22:G22" si="18">SUM(D23:D28)</f>
        <v>0</v>
      </c>
      <c r="E22" s="37">
        <f t="shared" si="18"/>
        <v>11</v>
      </c>
      <c r="F22" s="37">
        <f t="shared" si="18"/>
        <v>18</v>
      </c>
      <c r="G22" s="48">
        <f t="shared" si="18"/>
        <v>29</v>
      </c>
      <c r="H22" s="48"/>
      <c r="I22" s="38">
        <f>J22+K22+N22</f>
        <v>60</v>
      </c>
      <c r="J22" s="37">
        <f>SUM(J23:J28)</f>
        <v>35</v>
      </c>
      <c r="K22" s="37">
        <f t="shared" ref="K22:N22" si="19">SUM(K23:K28)</f>
        <v>1</v>
      </c>
      <c r="L22" s="37">
        <f t="shared" si="19"/>
        <v>12</v>
      </c>
      <c r="M22" s="37">
        <f t="shared" si="19"/>
        <v>12</v>
      </c>
      <c r="N22" s="48">
        <f t="shared" si="19"/>
        <v>24</v>
      </c>
      <c r="O22" s="48"/>
      <c r="P22" s="39" t="s">
        <v>34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41"/>
      <c r="AH22" s="41"/>
    </row>
    <row r="23" spans="1:34" ht="18.75" customHeight="1">
      <c r="A23" s="27" t="s">
        <v>21</v>
      </c>
      <c r="B23" s="28">
        <f>C23+D23+G23</f>
        <v>31</v>
      </c>
      <c r="C23" s="53">
        <v>16</v>
      </c>
      <c r="D23" s="54">
        <v>0</v>
      </c>
      <c r="E23" s="44">
        <v>5</v>
      </c>
      <c r="F23" s="44">
        <v>10</v>
      </c>
      <c r="G23" s="3">
        <f>E23+F23</f>
        <v>15</v>
      </c>
      <c r="H23" s="3"/>
      <c r="I23" s="28">
        <f>J23+K23+N23</f>
        <v>35</v>
      </c>
      <c r="J23" s="53">
        <v>21</v>
      </c>
      <c r="K23" s="54">
        <v>1</v>
      </c>
      <c r="L23" s="44">
        <v>5</v>
      </c>
      <c r="M23" s="44">
        <v>8</v>
      </c>
      <c r="N23" s="3">
        <f>L23+M23</f>
        <v>13</v>
      </c>
      <c r="O23" s="3"/>
      <c r="P23" s="29" t="s">
        <v>22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3"/>
      <c r="AE23" s="53"/>
      <c r="AF23" s="56"/>
      <c r="AG23" s="57"/>
      <c r="AH23" s="57"/>
    </row>
    <row r="24" spans="1:34" ht="18.75" customHeight="1">
      <c r="A24" s="27" t="s">
        <v>23</v>
      </c>
      <c r="B24" s="28">
        <f t="shared" ref="B24:B28" si="20">C24+D24+G24</f>
        <v>15</v>
      </c>
      <c r="C24" s="53">
        <v>1</v>
      </c>
      <c r="D24" s="54">
        <v>0</v>
      </c>
      <c r="E24" s="44">
        <v>6</v>
      </c>
      <c r="F24" s="44">
        <v>8</v>
      </c>
      <c r="G24" s="3">
        <f t="shared" ref="G24:G28" si="21">E24+F24</f>
        <v>14</v>
      </c>
      <c r="H24" s="3"/>
      <c r="I24" s="28">
        <f t="shared" ref="I24:I28" si="22">J24+K24+N24</f>
        <v>11</v>
      </c>
      <c r="J24" s="53">
        <v>0</v>
      </c>
      <c r="K24" s="54">
        <v>0</v>
      </c>
      <c r="L24" s="44">
        <v>7</v>
      </c>
      <c r="M24" s="44">
        <v>4</v>
      </c>
      <c r="N24" s="3">
        <f t="shared" ref="N24:N28" si="23">L24+M24</f>
        <v>11</v>
      </c>
      <c r="O24" s="3"/>
      <c r="P24" s="29" t="s">
        <v>24</v>
      </c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3"/>
      <c r="AE24" s="53"/>
      <c r="AF24" s="56"/>
      <c r="AG24" s="57"/>
      <c r="AH24" s="57"/>
    </row>
    <row r="25" spans="1:34" ht="18.75" customHeight="1">
      <c r="A25" s="27" t="s">
        <v>25</v>
      </c>
      <c r="B25" s="28">
        <f t="shared" si="20"/>
        <v>1</v>
      </c>
      <c r="C25" s="53">
        <v>1</v>
      </c>
      <c r="D25" s="54">
        <v>0</v>
      </c>
      <c r="E25" s="44">
        <v>0</v>
      </c>
      <c r="F25" s="58">
        <v>0</v>
      </c>
      <c r="G25" s="3">
        <f t="shared" si="21"/>
        <v>0</v>
      </c>
      <c r="H25" s="3"/>
      <c r="I25" s="28">
        <f t="shared" si="22"/>
        <v>0</v>
      </c>
      <c r="J25" s="53">
        <v>0</v>
      </c>
      <c r="K25" s="54">
        <v>0</v>
      </c>
      <c r="L25" s="44">
        <v>0</v>
      </c>
      <c r="M25" s="58">
        <v>0</v>
      </c>
      <c r="N25" s="3">
        <f t="shared" si="23"/>
        <v>0</v>
      </c>
      <c r="O25" s="3"/>
      <c r="P25" s="29" t="s">
        <v>26</v>
      </c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3"/>
      <c r="AE25" s="53"/>
      <c r="AF25" s="56"/>
      <c r="AG25" s="57"/>
      <c r="AH25" s="59"/>
    </row>
    <row r="26" spans="1:34" ht="18.75" customHeight="1">
      <c r="A26" s="27" t="s">
        <v>27</v>
      </c>
      <c r="B26" s="28">
        <f t="shared" si="20"/>
        <v>23</v>
      </c>
      <c r="C26" s="53">
        <v>23</v>
      </c>
      <c r="D26" s="53">
        <v>0</v>
      </c>
      <c r="E26" s="44">
        <v>0</v>
      </c>
      <c r="F26" s="44">
        <v>0</v>
      </c>
      <c r="G26" s="3">
        <f t="shared" si="21"/>
        <v>0</v>
      </c>
      <c r="H26" s="3"/>
      <c r="I26" s="28">
        <f t="shared" si="22"/>
        <v>12</v>
      </c>
      <c r="J26" s="53">
        <v>12</v>
      </c>
      <c r="K26" s="53">
        <v>0</v>
      </c>
      <c r="L26" s="44">
        <v>0</v>
      </c>
      <c r="M26" s="44">
        <v>0</v>
      </c>
      <c r="N26" s="3">
        <f t="shared" si="23"/>
        <v>0</v>
      </c>
      <c r="O26" s="3"/>
      <c r="P26" s="29" t="s">
        <v>28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3"/>
      <c r="AE26" s="53"/>
      <c r="AF26" s="56"/>
      <c r="AG26" s="57"/>
      <c r="AH26" s="57"/>
    </row>
    <row r="27" spans="1:34" ht="18.75" customHeight="1">
      <c r="A27" s="27" t="s">
        <v>29</v>
      </c>
      <c r="B27" s="28">
        <f t="shared" si="20"/>
        <v>0</v>
      </c>
      <c r="C27" s="53">
        <v>0</v>
      </c>
      <c r="D27" s="53">
        <v>0</v>
      </c>
      <c r="E27" s="44">
        <v>0</v>
      </c>
      <c r="F27" s="44">
        <v>0</v>
      </c>
      <c r="G27" s="3">
        <f t="shared" si="21"/>
        <v>0</v>
      </c>
      <c r="H27" s="3"/>
      <c r="I27" s="28">
        <f t="shared" si="22"/>
        <v>0</v>
      </c>
      <c r="J27" s="53">
        <v>0</v>
      </c>
      <c r="K27" s="53">
        <v>0</v>
      </c>
      <c r="L27" s="44">
        <v>0</v>
      </c>
      <c r="M27" s="44">
        <v>0</v>
      </c>
      <c r="N27" s="3">
        <f t="shared" si="23"/>
        <v>0</v>
      </c>
      <c r="O27" s="3"/>
      <c r="P27" s="29" t="s">
        <v>30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3"/>
      <c r="AE27" s="53"/>
      <c r="AF27" s="56"/>
      <c r="AG27" s="57"/>
      <c r="AH27" s="57"/>
    </row>
    <row r="28" spans="1:34" ht="18.75" customHeight="1">
      <c r="A28" s="60" t="s">
        <v>31</v>
      </c>
      <c r="B28" s="63">
        <f t="shared" si="20"/>
        <v>3</v>
      </c>
      <c r="C28" s="61">
        <v>3</v>
      </c>
      <c r="D28" s="61">
        <v>0</v>
      </c>
      <c r="E28" s="62">
        <v>0</v>
      </c>
      <c r="F28" s="62">
        <v>0</v>
      </c>
      <c r="G28" s="62">
        <f t="shared" si="21"/>
        <v>0</v>
      </c>
      <c r="H28" s="62"/>
      <c r="I28" s="63">
        <f t="shared" si="22"/>
        <v>2</v>
      </c>
      <c r="J28" s="61">
        <v>2</v>
      </c>
      <c r="K28" s="61">
        <v>0</v>
      </c>
      <c r="L28" s="62">
        <v>0</v>
      </c>
      <c r="M28" s="62">
        <v>0</v>
      </c>
      <c r="N28" s="62">
        <f t="shared" si="23"/>
        <v>0</v>
      </c>
      <c r="O28" s="62"/>
      <c r="P28" s="64" t="s">
        <v>32</v>
      </c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3"/>
      <c r="AE28" s="53"/>
      <c r="AF28" s="56"/>
      <c r="AG28" s="57"/>
      <c r="AH28" s="57"/>
    </row>
    <row r="29" spans="1:34" ht="18.75" customHeight="1">
      <c r="A29" s="65" t="s">
        <v>8</v>
      </c>
      <c r="B29" s="66"/>
      <c r="C29" s="66"/>
      <c r="D29" s="66"/>
      <c r="E29" s="67"/>
      <c r="F29" s="68"/>
      <c r="G29" s="9"/>
      <c r="H29" s="9"/>
      <c r="I29" s="66"/>
      <c r="J29" s="66"/>
      <c r="K29" s="66"/>
      <c r="L29" s="67"/>
      <c r="M29" s="68"/>
      <c r="N29" s="9"/>
      <c r="O29" s="9"/>
      <c r="P29" s="69" t="s">
        <v>9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7"/>
      <c r="AH29" s="7"/>
    </row>
    <row r="30" spans="1:34">
      <c r="B30" s="66"/>
      <c r="C30" s="66"/>
      <c r="D30" s="66"/>
      <c r="E30" s="67"/>
      <c r="G30" s="9"/>
      <c r="H30" s="9"/>
      <c r="I30" s="66"/>
      <c r="J30" s="66"/>
      <c r="K30" s="66"/>
      <c r="L30" s="67"/>
      <c r="N30" s="9"/>
      <c r="O30" s="9"/>
    </row>
    <row r="31" spans="1:34">
      <c r="A31" s="70"/>
      <c r="E31" s="11"/>
      <c r="F31" s="11"/>
      <c r="G31" s="11"/>
      <c r="H31" s="11"/>
      <c r="L31" s="11"/>
      <c r="M31" s="11"/>
      <c r="N31" s="11"/>
      <c r="O31" s="1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34">
      <c r="A32" s="70"/>
      <c r="E32" s="11"/>
      <c r="F32" s="11"/>
      <c r="G32" s="11"/>
      <c r="H32" s="11"/>
      <c r="L32" s="11"/>
      <c r="M32" s="11"/>
      <c r="N32" s="11"/>
      <c r="O32" s="1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"/>
    </row>
    <row r="33" spans="1:37">
      <c r="A33" s="70"/>
      <c r="E33" s="11"/>
      <c r="F33" s="11"/>
      <c r="G33" s="11"/>
      <c r="H33" s="11"/>
      <c r="L33" s="11"/>
      <c r="M33" s="11"/>
      <c r="N33" s="11"/>
      <c r="O33" s="11"/>
    </row>
    <row r="34" spans="1:37">
      <c r="A34" s="70"/>
      <c r="E34" s="11"/>
      <c r="F34" s="11"/>
      <c r="G34" s="11"/>
      <c r="H34" s="11"/>
      <c r="L34" s="11"/>
      <c r="M34" s="11"/>
      <c r="N34" s="11"/>
      <c r="O34" s="11"/>
      <c r="AG34" s="11" t="s">
        <v>13</v>
      </c>
      <c r="AH34" s="11" t="s">
        <v>14</v>
      </c>
      <c r="AI34" s="11" t="s">
        <v>15</v>
      </c>
    </row>
    <row r="35" spans="1:37">
      <c r="A35" s="70"/>
      <c r="E35" s="11"/>
      <c r="F35" s="11"/>
      <c r="G35" s="11"/>
      <c r="H35" s="11"/>
      <c r="L35" s="11"/>
      <c r="M35" s="11"/>
      <c r="N35" s="11"/>
      <c r="O35" s="11"/>
      <c r="AF35" s="11">
        <v>2014</v>
      </c>
      <c r="AG35" s="11">
        <v>278</v>
      </c>
      <c r="AH35" s="11">
        <v>24</v>
      </c>
      <c r="AI35" s="11">
        <v>99</v>
      </c>
    </row>
    <row r="36" spans="1:37">
      <c r="E36" s="11"/>
      <c r="F36" s="11"/>
      <c r="G36" s="11"/>
      <c r="H36" s="11"/>
      <c r="L36" s="11"/>
      <c r="M36" s="11"/>
      <c r="N36" s="11"/>
      <c r="O36" s="11"/>
      <c r="AF36" s="11">
        <v>2015</v>
      </c>
      <c r="AG36" s="11">
        <v>257</v>
      </c>
      <c r="AH36" s="11">
        <v>8</v>
      </c>
      <c r="AI36" s="11">
        <v>93</v>
      </c>
    </row>
    <row r="37" spans="1:37">
      <c r="E37" s="11"/>
      <c r="F37" s="11"/>
      <c r="G37" s="11"/>
      <c r="H37" s="11"/>
      <c r="L37" s="11"/>
      <c r="M37" s="11"/>
      <c r="N37" s="11"/>
      <c r="O37" s="11"/>
      <c r="AF37" s="11">
        <v>2016</v>
      </c>
      <c r="AG37" s="11">
        <v>742</v>
      </c>
      <c r="AH37" s="11">
        <v>5</v>
      </c>
      <c r="AI37" s="11">
        <v>81</v>
      </c>
    </row>
    <row r="38" spans="1:37">
      <c r="E38" s="11"/>
      <c r="F38" s="11"/>
      <c r="L38" s="11"/>
      <c r="M38" s="11"/>
      <c r="AF38" s="11">
        <v>2017</v>
      </c>
      <c r="AG38" s="11">
        <v>893</v>
      </c>
      <c r="AH38" s="11">
        <v>2</v>
      </c>
      <c r="AI38" s="11">
        <v>229</v>
      </c>
    </row>
    <row r="39" spans="1:37">
      <c r="AF39" s="11">
        <v>2018</v>
      </c>
      <c r="AG39" s="11">
        <v>988</v>
      </c>
      <c r="AH39" s="11">
        <v>1</v>
      </c>
      <c r="AI39" s="11">
        <v>273</v>
      </c>
    </row>
    <row r="40" spans="1:37">
      <c r="AF40" s="11">
        <v>2019</v>
      </c>
      <c r="AG40" s="11">
        <v>991</v>
      </c>
      <c r="AH40" s="11">
        <v>1</v>
      </c>
      <c r="AI40" s="11">
        <v>249</v>
      </c>
    </row>
    <row r="45" spans="1:37">
      <c r="AF45" s="10"/>
      <c r="AG45" s="10" t="s">
        <v>4</v>
      </c>
      <c r="AH45" s="10" t="s">
        <v>5</v>
      </c>
    </row>
    <row r="46" spans="1:37">
      <c r="AF46" s="11" t="s">
        <v>21</v>
      </c>
      <c r="AG46" s="11">
        <f>I16</f>
        <v>861</v>
      </c>
      <c r="AH46" s="11">
        <f>I23</f>
        <v>35</v>
      </c>
      <c r="AI46" s="11">
        <f>SUM(AG46:AH46)</f>
        <v>896</v>
      </c>
      <c r="AJ46" s="72">
        <f>AG46/AI46*100</f>
        <v>96.09375</v>
      </c>
      <c r="AK46" s="72">
        <f>AH46/AI46*100</f>
        <v>3.90625</v>
      </c>
    </row>
    <row r="47" spans="1:37">
      <c r="AF47" s="11" t="s">
        <v>23</v>
      </c>
      <c r="AG47" s="11">
        <f>I17</f>
        <v>54</v>
      </c>
      <c r="AH47" s="11">
        <f>I24</f>
        <v>11</v>
      </c>
      <c r="AI47" s="11">
        <f t="shared" ref="AI47:AI51" si="24">SUM(AG47:AH47)</f>
        <v>65</v>
      </c>
      <c r="AJ47" s="72">
        <f t="shared" ref="AJ47:AJ51" si="25">AG47/AI47*100</f>
        <v>83.07692307692308</v>
      </c>
      <c r="AK47" s="72">
        <f t="shared" ref="AK47:AK51" si="26">AH47/AI47*100</f>
        <v>16.923076923076923</v>
      </c>
    </row>
    <row r="48" spans="1:37">
      <c r="AF48" s="11" t="s">
        <v>25</v>
      </c>
      <c r="AG48" s="11">
        <f>I18</f>
        <v>25</v>
      </c>
      <c r="AH48" s="11">
        <f>I25</f>
        <v>0</v>
      </c>
      <c r="AI48" s="11">
        <f t="shared" si="24"/>
        <v>25</v>
      </c>
      <c r="AJ48" s="72">
        <f t="shared" si="25"/>
        <v>100</v>
      </c>
      <c r="AK48" s="72">
        <f t="shared" si="26"/>
        <v>0</v>
      </c>
    </row>
    <row r="49" spans="5:38">
      <c r="E49" s="11"/>
      <c r="F49" s="11"/>
      <c r="G49" s="11"/>
      <c r="H49" s="11"/>
      <c r="L49" s="11"/>
      <c r="M49" s="11"/>
      <c r="N49" s="11"/>
      <c r="O49" s="11"/>
      <c r="AF49" s="11" t="s">
        <v>27</v>
      </c>
      <c r="AG49" s="11">
        <f>I19</f>
        <v>143</v>
      </c>
      <c r="AH49" s="11">
        <f>I26</f>
        <v>12</v>
      </c>
      <c r="AI49" s="11">
        <f t="shared" si="24"/>
        <v>155</v>
      </c>
      <c r="AJ49" s="72">
        <f t="shared" si="25"/>
        <v>92.258064516129039</v>
      </c>
      <c r="AK49" s="72">
        <f t="shared" si="26"/>
        <v>7.741935483870968</v>
      </c>
    </row>
    <row r="50" spans="5:38">
      <c r="E50" s="11"/>
      <c r="F50" s="11"/>
      <c r="G50" s="11"/>
      <c r="H50" s="11"/>
      <c r="L50" s="11"/>
      <c r="M50" s="11"/>
      <c r="N50" s="11"/>
      <c r="O50" s="11"/>
      <c r="AF50" s="11" t="s">
        <v>29</v>
      </c>
      <c r="AG50" s="11">
        <f>I20</f>
        <v>10</v>
      </c>
      <c r="AH50" s="11">
        <f>I27</f>
        <v>0</v>
      </c>
      <c r="AI50" s="11">
        <f t="shared" si="24"/>
        <v>10</v>
      </c>
      <c r="AJ50" s="72">
        <f t="shared" si="25"/>
        <v>100</v>
      </c>
      <c r="AK50" s="72">
        <f t="shared" si="26"/>
        <v>0</v>
      </c>
    </row>
    <row r="51" spans="5:38">
      <c r="E51" s="11"/>
      <c r="F51" s="11"/>
      <c r="G51" s="11"/>
      <c r="H51" s="11"/>
      <c r="L51" s="11"/>
      <c r="M51" s="11"/>
      <c r="N51" s="11"/>
      <c r="O51" s="11"/>
      <c r="AF51" s="11" t="s">
        <v>31</v>
      </c>
      <c r="AG51" s="11">
        <f>I21</f>
        <v>88</v>
      </c>
      <c r="AH51" s="11">
        <f>I28</f>
        <v>2</v>
      </c>
      <c r="AI51" s="11">
        <f t="shared" si="24"/>
        <v>90</v>
      </c>
      <c r="AJ51" s="72">
        <f t="shared" si="25"/>
        <v>97.777777777777771</v>
      </c>
      <c r="AK51" s="72">
        <f t="shared" si="26"/>
        <v>2.2222222222222223</v>
      </c>
    </row>
    <row r="52" spans="5:38">
      <c r="E52" s="11"/>
      <c r="F52" s="11"/>
      <c r="G52" s="11"/>
      <c r="H52" s="11"/>
      <c r="L52" s="11"/>
      <c r="M52" s="11"/>
      <c r="N52" s="11"/>
      <c r="O52" s="11"/>
    </row>
    <row r="53" spans="5:38">
      <c r="E53" s="11"/>
      <c r="F53" s="11"/>
      <c r="G53" s="11"/>
      <c r="H53" s="11"/>
      <c r="L53" s="11"/>
      <c r="M53" s="11"/>
      <c r="N53" s="11"/>
      <c r="O53" s="11"/>
    </row>
    <row r="54" spans="5:38">
      <c r="E54" s="11"/>
      <c r="F54" s="11"/>
      <c r="G54" s="11"/>
      <c r="H54" s="11"/>
      <c r="L54" s="11"/>
      <c r="M54" s="11"/>
      <c r="N54" s="11"/>
      <c r="O54" s="11"/>
    </row>
    <row r="55" spans="5:38">
      <c r="E55" s="11"/>
      <c r="F55" s="11"/>
      <c r="G55" s="11"/>
      <c r="H55" s="11"/>
      <c r="L55" s="11"/>
      <c r="M55" s="11"/>
      <c r="N55" s="11"/>
      <c r="O55" s="11"/>
    </row>
    <row r="56" spans="5:38">
      <c r="E56" s="11"/>
      <c r="F56" s="11"/>
      <c r="G56" s="11"/>
      <c r="H56" s="11"/>
      <c r="L56" s="11"/>
      <c r="M56" s="11"/>
      <c r="N56" s="11"/>
      <c r="O56" s="11"/>
    </row>
    <row r="57" spans="5:38">
      <c r="E57" s="11"/>
      <c r="F57" s="11"/>
      <c r="G57" s="11"/>
      <c r="H57" s="11"/>
      <c r="L57" s="11"/>
      <c r="M57" s="11"/>
      <c r="N57" s="11"/>
      <c r="O57" s="11"/>
    </row>
    <row r="58" spans="5:38">
      <c r="E58" s="11"/>
      <c r="F58" s="11"/>
      <c r="G58" s="11"/>
      <c r="H58" s="11"/>
      <c r="L58" s="11"/>
      <c r="M58" s="11"/>
      <c r="N58" s="11"/>
      <c r="O58" s="11"/>
    </row>
    <row r="59" spans="5:38">
      <c r="E59" s="11"/>
      <c r="F59" s="11"/>
      <c r="G59" s="11"/>
      <c r="H59" s="11"/>
      <c r="L59" s="11"/>
      <c r="M59" s="11"/>
      <c r="N59" s="11"/>
      <c r="O59" s="11"/>
      <c r="AG59" s="11">
        <v>2014</v>
      </c>
      <c r="AH59" s="11">
        <v>2015</v>
      </c>
      <c r="AI59" s="11">
        <v>2016</v>
      </c>
      <c r="AJ59" s="11">
        <v>2017</v>
      </c>
      <c r="AK59" s="11">
        <v>2018</v>
      </c>
      <c r="AL59" s="11">
        <v>2019</v>
      </c>
    </row>
    <row r="60" spans="5:38">
      <c r="E60" s="11"/>
      <c r="F60" s="11"/>
      <c r="G60" s="11"/>
      <c r="H60" s="11"/>
      <c r="L60" s="11"/>
      <c r="M60" s="11"/>
      <c r="N60" s="11"/>
      <c r="O60" s="11"/>
      <c r="AF60" s="11" t="s">
        <v>21</v>
      </c>
      <c r="AG60" s="11">
        <v>93</v>
      </c>
      <c r="AH60" s="11">
        <v>92</v>
      </c>
      <c r="AI60" s="11">
        <v>79</v>
      </c>
      <c r="AJ60" s="11" t="e">
        <f>#REF!</f>
        <v>#REF!</v>
      </c>
      <c r="AK60" s="11">
        <f>B9</f>
        <v>821</v>
      </c>
      <c r="AL60" s="11">
        <f>I9</f>
        <v>896</v>
      </c>
    </row>
    <row r="61" spans="5:38">
      <c r="E61" s="11"/>
      <c r="F61" s="11"/>
      <c r="G61" s="11"/>
      <c r="H61" s="11"/>
      <c r="L61" s="11"/>
      <c r="M61" s="11"/>
      <c r="N61" s="11"/>
      <c r="O61" s="11"/>
      <c r="AF61" s="11" t="s">
        <v>23</v>
      </c>
      <c r="AG61" s="11">
        <v>98</v>
      </c>
      <c r="AH61" s="11">
        <v>51</v>
      </c>
      <c r="AI61" s="11">
        <v>60</v>
      </c>
      <c r="AJ61" s="11" t="e">
        <f>#REF!</f>
        <v>#REF!</v>
      </c>
      <c r="AK61" s="11">
        <f t="shared" ref="AK61:AK65" si="27">B10</f>
        <v>93</v>
      </c>
      <c r="AL61" s="11">
        <f t="shared" ref="AL61:AL65" si="28">I10</f>
        <v>65</v>
      </c>
    </row>
    <row r="62" spans="5:38">
      <c r="E62" s="11"/>
      <c r="F62" s="11"/>
      <c r="G62" s="11"/>
      <c r="H62" s="11"/>
      <c r="L62" s="11"/>
      <c r="M62" s="11"/>
      <c r="N62" s="11"/>
      <c r="O62" s="11"/>
      <c r="AF62" s="11" t="s">
        <v>25</v>
      </c>
      <c r="AG62" s="11">
        <v>94</v>
      </c>
      <c r="AH62" s="11">
        <v>66</v>
      </c>
      <c r="AI62" s="11">
        <v>162</v>
      </c>
      <c r="AJ62" s="11" t="e">
        <f>#REF!</f>
        <v>#REF!</v>
      </c>
      <c r="AK62" s="11">
        <f t="shared" si="27"/>
        <v>12</v>
      </c>
      <c r="AL62" s="11">
        <f t="shared" si="28"/>
        <v>25</v>
      </c>
    </row>
    <row r="63" spans="5:38">
      <c r="E63" s="11"/>
      <c r="F63" s="11"/>
      <c r="G63" s="11"/>
      <c r="H63" s="11"/>
      <c r="L63" s="11"/>
      <c r="M63" s="11"/>
      <c r="N63" s="11"/>
      <c r="O63" s="11"/>
      <c r="AF63" s="11" t="s">
        <v>27</v>
      </c>
      <c r="AG63" s="11">
        <v>25</v>
      </c>
      <c r="AH63" s="11">
        <v>87</v>
      </c>
      <c r="AI63" s="11">
        <v>188</v>
      </c>
      <c r="AJ63" s="11" t="e">
        <f>#REF!</f>
        <v>#REF!</v>
      </c>
      <c r="AK63" s="11">
        <f t="shared" si="27"/>
        <v>287</v>
      </c>
      <c r="AL63" s="11">
        <f t="shared" si="28"/>
        <v>155</v>
      </c>
    </row>
    <row r="64" spans="5:38">
      <c r="E64" s="11"/>
      <c r="F64" s="11"/>
      <c r="G64" s="11"/>
      <c r="H64" s="11"/>
      <c r="L64" s="11"/>
      <c r="M64" s="11"/>
      <c r="N64" s="11"/>
      <c r="O64" s="11"/>
      <c r="AF64" s="11" t="s">
        <v>29</v>
      </c>
      <c r="AG64" s="11">
        <v>56</v>
      </c>
      <c r="AH64" s="11">
        <v>47</v>
      </c>
      <c r="AI64" s="11">
        <v>100</v>
      </c>
      <c r="AJ64" s="11" t="e">
        <f>#REF!</f>
        <v>#REF!</v>
      </c>
      <c r="AK64" s="11">
        <f t="shared" si="27"/>
        <v>2</v>
      </c>
      <c r="AL64" s="11">
        <f t="shared" si="28"/>
        <v>10</v>
      </c>
    </row>
    <row r="65" spans="1:38">
      <c r="E65" s="11"/>
      <c r="F65" s="11"/>
      <c r="G65" s="11"/>
      <c r="H65" s="11"/>
      <c r="L65" s="11"/>
      <c r="M65" s="11"/>
      <c r="N65" s="11"/>
      <c r="O65" s="11"/>
      <c r="AF65" s="11" t="s">
        <v>31</v>
      </c>
      <c r="AG65" s="11">
        <v>34</v>
      </c>
      <c r="AH65" s="11">
        <v>15</v>
      </c>
      <c r="AI65" s="11">
        <v>239</v>
      </c>
      <c r="AJ65" s="11" t="e">
        <f>#REF!</f>
        <v>#REF!</v>
      </c>
      <c r="AK65" s="11">
        <f t="shared" si="27"/>
        <v>47</v>
      </c>
      <c r="AL65" s="11">
        <f t="shared" si="28"/>
        <v>90</v>
      </c>
    </row>
    <row r="66" spans="1:38">
      <c r="E66" s="11"/>
      <c r="F66" s="11"/>
      <c r="G66" s="11"/>
      <c r="H66" s="11"/>
      <c r="L66" s="11"/>
      <c r="M66" s="11"/>
      <c r="N66" s="11"/>
      <c r="O66" s="11"/>
    </row>
    <row r="67" spans="1:38">
      <c r="E67" s="11"/>
      <c r="F67" s="11"/>
      <c r="G67" s="11"/>
      <c r="H67" s="11"/>
      <c r="L67" s="11"/>
      <c r="M67" s="11"/>
      <c r="N67" s="11"/>
      <c r="O67" s="11"/>
    </row>
    <row r="68" spans="1:38">
      <c r="E68" s="11"/>
      <c r="L68" s="11"/>
    </row>
    <row r="69" spans="1:38">
      <c r="E69" s="11"/>
      <c r="L69" s="11"/>
      <c r="AF69" s="11" t="s">
        <v>21</v>
      </c>
      <c r="AG69" s="11">
        <v>79</v>
      </c>
    </row>
    <row r="70" spans="1:38">
      <c r="A70" s="7"/>
      <c r="E70" s="11"/>
      <c r="L70" s="11"/>
      <c r="AF70" s="11" t="s">
        <v>23</v>
      </c>
      <c r="AG70" s="11">
        <v>60</v>
      </c>
    </row>
    <row r="71" spans="1:38">
      <c r="A71" s="7"/>
      <c r="E71" s="11"/>
      <c r="L71" s="11"/>
      <c r="AF71" s="11" t="s">
        <v>25</v>
      </c>
      <c r="AG71" s="11">
        <v>162</v>
      </c>
    </row>
    <row r="72" spans="1:38">
      <c r="A72" s="73"/>
      <c r="E72" s="11"/>
      <c r="F72" s="11"/>
      <c r="G72" s="11"/>
      <c r="H72" s="11"/>
      <c r="L72" s="11"/>
      <c r="M72" s="11"/>
      <c r="N72" s="11"/>
      <c r="O72" s="11"/>
      <c r="AF72" s="11" t="s">
        <v>27</v>
      </c>
      <c r="AG72" s="11">
        <v>188</v>
      </c>
    </row>
    <row r="73" spans="1:38">
      <c r="A73" s="74"/>
      <c r="E73" s="11"/>
      <c r="F73" s="11"/>
      <c r="G73" s="11"/>
      <c r="H73" s="11"/>
      <c r="L73" s="11"/>
      <c r="M73" s="11"/>
      <c r="N73" s="11"/>
      <c r="O73" s="11"/>
      <c r="AF73" s="11" t="s">
        <v>29</v>
      </c>
      <c r="AG73" s="11">
        <v>100</v>
      </c>
    </row>
    <row r="74" spans="1:38">
      <c r="A74" s="74"/>
      <c r="E74" s="11"/>
      <c r="F74" s="11"/>
      <c r="G74" s="11"/>
      <c r="H74" s="11"/>
      <c r="L74" s="11"/>
      <c r="M74" s="11"/>
      <c r="N74" s="11"/>
      <c r="O74" s="11"/>
      <c r="AF74" s="11" t="s">
        <v>31</v>
      </c>
      <c r="AG74" s="11">
        <v>239</v>
      </c>
    </row>
    <row r="75" spans="1:38">
      <c r="A75" s="75"/>
      <c r="E75" s="11"/>
      <c r="F75" s="11"/>
      <c r="G75" s="11"/>
      <c r="H75" s="11"/>
      <c r="L75" s="11"/>
      <c r="M75" s="11"/>
      <c r="N75" s="11"/>
      <c r="O75" s="11"/>
    </row>
    <row r="76" spans="1:38">
      <c r="A76" s="76"/>
      <c r="E76" s="11"/>
      <c r="F76" s="11"/>
      <c r="G76" s="11"/>
      <c r="H76" s="11"/>
      <c r="L76" s="11"/>
      <c r="M76" s="11"/>
      <c r="N76" s="11"/>
      <c r="O76" s="11"/>
    </row>
    <row r="77" spans="1:38">
      <c r="A77" s="76"/>
      <c r="E77" s="11"/>
      <c r="F77" s="11"/>
      <c r="G77" s="11"/>
      <c r="H77" s="11"/>
      <c r="L77" s="11"/>
      <c r="M77" s="11"/>
      <c r="N77" s="11"/>
      <c r="O77" s="11"/>
    </row>
    <row r="78" spans="1:38">
      <c r="A78" s="76"/>
      <c r="E78" s="11"/>
      <c r="F78" s="11"/>
      <c r="G78" s="11"/>
      <c r="H78" s="11"/>
      <c r="L78" s="11"/>
      <c r="M78" s="11"/>
      <c r="N78" s="11"/>
      <c r="O78" s="11"/>
    </row>
    <row r="79" spans="1:38">
      <c r="A79" s="76"/>
      <c r="E79" s="11"/>
      <c r="F79" s="11"/>
      <c r="G79" s="11"/>
      <c r="H79" s="11"/>
      <c r="L79" s="11"/>
      <c r="M79" s="11"/>
      <c r="N79" s="11"/>
      <c r="O79" s="11"/>
      <c r="AG79" s="71" t="s">
        <v>13</v>
      </c>
      <c r="AH79" s="71" t="s">
        <v>14</v>
      </c>
      <c r="AI79" s="11" t="s">
        <v>15</v>
      </c>
    </row>
    <row r="80" spans="1:38">
      <c r="A80" s="76"/>
      <c r="E80" s="11"/>
      <c r="F80" s="11"/>
      <c r="G80" s="11"/>
      <c r="H80" s="11"/>
      <c r="L80" s="11"/>
      <c r="M80" s="11"/>
      <c r="N80" s="11"/>
      <c r="O80" s="11"/>
      <c r="AF80" s="11">
        <f>SUM(AG80:AI80)</f>
        <v>1241</v>
      </c>
      <c r="AG80" s="71">
        <f>J8</f>
        <v>991</v>
      </c>
      <c r="AH80" s="71">
        <f>K8</f>
        <v>1</v>
      </c>
      <c r="AI80" s="71">
        <f>N8</f>
        <v>249</v>
      </c>
    </row>
    <row r="81" spans="1:35">
      <c r="A81" s="76"/>
      <c r="E81" s="11"/>
      <c r="F81" s="11"/>
      <c r="G81" s="11"/>
      <c r="H81" s="11"/>
      <c r="L81" s="11"/>
      <c r="M81" s="11"/>
      <c r="N81" s="11"/>
      <c r="O81" s="11"/>
    </row>
    <row r="82" spans="1:35">
      <c r="A82" s="75"/>
      <c r="E82" s="11"/>
      <c r="F82" s="11"/>
      <c r="G82" s="11"/>
      <c r="H82" s="11"/>
      <c r="L82" s="11"/>
      <c r="M82" s="11"/>
      <c r="N82" s="11"/>
      <c r="O82" s="11"/>
      <c r="AG82" s="11">
        <f>AG80/AF80*100</f>
        <v>79.854955680902492</v>
      </c>
      <c r="AH82" s="11">
        <f>AH80/AG80*100</f>
        <v>0.10090817356205853</v>
      </c>
      <c r="AI82" s="11">
        <f>AI80/AG80*100</f>
        <v>25.126135216952573</v>
      </c>
    </row>
    <row r="83" spans="1:35">
      <c r="A83" s="76"/>
      <c r="E83" s="11"/>
      <c r="F83" s="11"/>
      <c r="G83" s="11"/>
      <c r="H83" s="11"/>
      <c r="L83" s="11"/>
      <c r="M83" s="11"/>
      <c r="N83" s="11"/>
      <c r="O83" s="11"/>
    </row>
    <row r="84" spans="1:35">
      <c r="A84" s="76"/>
      <c r="E84" s="11"/>
      <c r="F84" s="11"/>
      <c r="G84" s="11"/>
      <c r="H84" s="11"/>
      <c r="L84" s="11"/>
      <c r="M84" s="11"/>
      <c r="N84" s="11"/>
      <c r="O84" s="11"/>
    </row>
    <row r="85" spans="1:35">
      <c r="A85" s="76"/>
      <c r="E85" s="11"/>
      <c r="F85" s="11"/>
      <c r="G85" s="11"/>
      <c r="H85" s="11"/>
      <c r="L85" s="11"/>
      <c r="M85" s="11"/>
      <c r="N85" s="11"/>
      <c r="O85" s="11"/>
    </row>
    <row r="86" spans="1:35">
      <c r="A86" s="76"/>
      <c r="E86" s="11"/>
      <c r="F86" s="11"/>
      <c r="G86" s="11"/>
      <c r="H86" s="11"/>
      <c r="L86" s="11"/>
      <c r="M86" s="11"/>
      <c r="N86" s="11"/>
      <c r="O86" s="11"/>
    </row>
    <row r="87" spans="1:35">
      <c r="A87" s="76"/>
      <c r="E87" s="11"/>
      <c r="F87" s="11"/>
      <c r="G87" s="11"/>
      <c r="H87" s="11"/>
      <c r="L87" s="11"/>
      <c r="M87" s="11"/>
      <c r="N87" s="11"/>
      <c r="O87" s="11"/>
    </row>
    <row r="88" spans="1:35">
      <c r="A88" s="76"/>
      <c r="E88" s="11"/>
      <c r="F88" s="11"/>
      <c r="G88" s="11"/>
      <c r="H88" s="11"/>
      <c r="L88" s="11"/>
      <c r="M88" s="11"/>
      <c r="N88" s="11"/>
      <c r="O88" s="11"/>
    </row>
    <row r="89" spans="1:35">
      <c r="A89" s="75"/>
      <c r="E89" s="11"/>
      <c r="F89" s="11"/>
      <c r="G89" s="11"/>
      <c r="H89" s="11"/>
      <c r="L89" s="11"/>
      <c r="M89" s="11"/>
      <c r="N89" s="11"/>
      <c r="O89" s="11"/>
    </row>
    <row r="90" spans="1:35">
      <c r="A90" s="76"/>
      <c r="E90" s="11"/>
      <c r="F90" s="11"/>
      <c r="G90" s="11"/>
      <c r="H90" s="11"/>
      <c r="L90" s="11"/>
      <c r="M90" s="11"/>
      <c r="N90" s="11"/>
      <c r="O90" s="11"/>
    </row>
    <row r="91" spans="1:35">
      <c r="A91" s="76"/>
      <c r="E91" s="11"/>
      <c r="F91" s="11"/>
      <c r="G91" s="11"/>
      <c r="H91" s="11"/>
      <c r="L91" s="11"/>
      <c r="M91" s="11"/>
      <c r="N91" s="11"/>
      <c r="O91" s="11"/>
    </row>
    <row r="92" spans="1:35">
      <c r="A92" s="76"/>
      <c r="E92" s="11"/>
      <c r="F92" s="11"/>
      <c r="G92" s="11"/>
      <c r="H92" s="11"/>
      <c r="L92" s="11"/>
      <c r="M92" s="11"/>
      <c r="N92" s="11"/>
      <c r="O92" s="11"/>
    </row>
    <row r="93" spans="1:35">
      <c r="A93" s="76"/>
      <c r="E93" s="11"/>
      <c r="F93" s="11"/>
      <c r="G93" s="11"/>
      <c r="H93" s="11"/>
      <c r="L93" s="11"/>
      <c r="M93" s="11"/>
      <c r="N93" s="11"/>
      <c r="O93" s="11"/>
    </row>
    <row r="94" spans="1:35">
      <c r="A94" s="76"/>
      <c r="E94" s="11"/>
      <c r="F94" s="11"/>
      <c r="G94" s="11"/>
      <c r="H94" s="11"/>
      <c r="L94" s="11"/>
      <c r="M94" s="11"/>
      <c r="N94" s="11"/>
      <c r="O94" s="11"/>
    </row>
    <row r="95" spans="1:35">
      <c r="A95" s="76"/>
      <c r="E95" s="11"/>
      <c r="F95" s="11"/>
      <c r="G95" s="11"/>
      <c r="H95" s="11"/>
      <c r="L95" s="11"/>
      <c r="M95" s="11"/>
      <c r="N95" s="11"/>
      <c r="O95" s="11"/>
    </row>
    <row r="96" spans="1:35">
      <c r="A96" s="77"/>
      <c r="E96" s="11"/>
      <c r="F96" s="11"/>
      <c r="G96" s="11"/>
      <c r="H96" s="11"/>
      <c r="L96" s="11"/>
      <c r="M96" s="11"/>
      <c r="N96" s="11"/>
      <c r="O96" s="11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</sheetData>
  <mergeCells count="16">
    <mergeCell ref="I3:N3"/>
    <mergeCell ref="L4:N4"/>
    <mergeCell ref="I5:I6"/>
    <mergeCell ref="J5:J6"/>
    <mergeCell ref="K5:K6"/>
    <mergeCell ref="L5:N5"/>
    <mergeCell ref="A1:P1"/>
    <mergeCell ref="A2:P2"/>
    <mergeCell ref="A3:A7"/>
    <mergeCell ref="B3:G3"/>
    <mergeCell ref="P3:P7"/>
    <mergeCell ref="E4:G4"/>
    <mergeCell ref="D5:D6"/>
    <mergeCell ref="E5:G5"/>
    <mergeCell ref="B5:B6"/>
    <mergeCell ref="C5:C6"/>
  </mergeCells>
  <pageMargins left="0.7" right="0.7" top="0.75" bottom="0.75" header="0.3" footer="0.3"/>
  <pageSetup scale="54" orientation="portrait" r:id="rId1"/>
  <colBreaks count="1" manualBreakCount="1">
    <brk id="16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8.33</vt:lpstr>
      <vt:lpstr>'8.33'!Print_Area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2021-01-07T08:58:56Z</cp:lastPrinted>
  <dcterms:created xsi:type="dcterms:W3CDTF">2019-06-30T04:22:49Z</dcterms:created>
  <dcterms:modified xsi:type="dcterms:W3CDTF">2021-01-07T08:59:11Z</dcterms:modified>
</cp:coreProperties>
</file>