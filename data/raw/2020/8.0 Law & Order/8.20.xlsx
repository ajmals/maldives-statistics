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ohamed\Desktop\yearbook 2020 =update\web\8. LAW AND ORDER\"/>
    </mc:Choice>
  </mc:AlternateContent>
  <bookViews>
    <workbookView xWindow="0" yWindow="0" windowWidth="28800" windowHeight="12435" tabRatio="709"/>
  </bookViews>
  <sheets>
    <sheet name="8.20" sheetId="19" r:id="rId1"/>
  </sheets>
  <definedNames>
    <definedName name="_xlnm.Print_Area" localSheetId="0">'8.20'!$A$1:$P$53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A31" i="19" l="1"/>
  <c r="AA32" i="19"/>
  <c r="AA30" i="19"/>
  <c r="Z39" i="19"/>
  <c r="Z38" i="19"/>
  <c r="Z37" i="19"/>
  <c r="Y39" i="19"/>
  <c r="Y38" i="19"/>
  <c r="Y37" i="19"/>
  <c r="J21" i="19" l="1"/>
  <c r="I21" i="19"/>
  <c r="H21" i="19"/>
  <c r="N21" i="19"/>
  <c r="O21" i="19"/>
  <c r="M21" i="19"/>
  <c r="L34" i="19" l="1"/>
  <c r="G34" i="19"/>
  <c r="B34" i="19" s="1"/>
  <c r="E34" i="19"/>
  <c r="D34" i="19"/>
  <c r="C34" i="19"/>
  <c r="L33" i="19"/>
  <c r="G33" i="19"/>
  <c r="E33" i="19"/>
  <c r="D33" i="19"/>
  <c r="C33" i="19"/>
  <c r="L32" i="19"/>
  <c r="G32" i="19"/>
  <c r="E32" i="19"/>
  <c r="D32" i="19"/>
  <c r="C32" i="19"/>
  <c r="L31" i="19"/>
  <c r="G31" i="19"/>
  <c r="B31" i="19" s="1"/>
  <c r="E31" i="19"/>
  <c r="D31" i="19"/>
  <c r="C31" i="19"/>
  <c r="L30" i="19"/>
  <c r="G30" i="19"/>
  <c r="E30" i="19"/>
  <c r="D30" i="19"/>
  <c r="C30" i="19"/>
  <c r="L29" i="19"/>
  <c r="G29" i="19"/>
  <c r="E29" i="19"/>
  <c r="D29" i="19"/>
  <c r="C29" i="19"/>
  <c r="L28" i="19"/>
  <c r="G28" i="19"/>
  <c r="E28" i="19"/>
  <c r="D28" i="19"/>
  <c r="C28" i="19"/>
  <c r="L27" i="19"/>
  <c r="G27" i="19"/>
  <c r="E27" i="19"/>
  <c r="D27" i="19"/>
  <c r="C27" i="19"/>
  <c r="L26" i="19"/>
  <c r="G26" i="19"/>
  <c r="E26" i="19"/>
  <c r="D26" i="19"/>
  <c r="C26" i="19"/>
  <c r="L25" i="19"/>
  <c r="G25" i="19"/>
  <c r="E25" i="19"/>
  <c r="D25" i="19"/>
  <c r="C25" i="19"/>
  <c r="L24" i="19"/>
  <c r="G24" i="19"/>
  <c r="E24" i="19"/>
  <c r="D24" i="19"/>
  <c r="C24" i="19"/>
  <c r="L23" i="19"/>
  <c r="G23" i="19"/>
  <c r="E23" i="19"/>
  <c r="D23" i="19"/>
  <c r="C23" i="19"/>
  <c r="L22" i="19"/>
  <c r="G22" i="19"/>
  <c r="E22" i="19"/>
  <c r="D22" i="19"/>
  <c r="C22" i="19"/>
  <c r="L21" i="19"/>
  <c r="G21" i="19"/>
  <c r="E21" i="19"/>
  <c r="D21" i="19"/>
  <c r="C21" i="19"/>
  <c r="L20" i="19"/>
  <c r="G20" i="19"/>
  <c r="E20" i="19"/>
  <c r="D20" i="19"/>
  <c r="C20" i="19"/>
  <c r="L19" i="19"/>
  <c r="G19" i="19"/>
  <c r="E19" i="19"/>
  <c r="D19" i="19"/>
  <c r="C19" i="19"/>
  <c r="L18" i="19"/>
  <c r="G18" i="19"/>
  <c r="B18" i="19" s="1"/>
  <c r="E18" i="19"/>
  <c r="D18" i="19"/>
  <c r="C18" i="19"/>
  <c r="L17" i="19"/>
  <c r="G17" i="19"/>
  <c r="E17" i="19"/>
  <c r="D17" i="19"/>
  <c r="C17" i="19"/>
  <c r="L16" i="19"/>
  <c r="G16" i="19"/>
  <c r="B16" i="19" s="1"/>
  <c r="E16" i="19"/>
  <c r="D16" i="19"/>
  <c r="C16" i="19"/>
  <c r="L15" i="19"/>
  <c r="G15" i="19"/>
  <c r="E15" i="19"/>
  <c r="D15" i="19"/>
  <c r="C15" i="19"/>
  <c r="L14" i="19"/>
  <c r="G14" i="19"/>
  <c r="B14" i="19" s="1"/>
  <c r="E14" i="19"/>
  <c r="D14" i="19"/>
  <c r="C14" i="19"/>
  <c r="L13" i="19"/>
  <c r="G13" i="19"/>
  <c r="E13" i="19"/>
  <c r="D13" i="19"/>
  <c r="C13" i="19"/>
  <c r="L12" i="19"/>
  <c r="G12" i="19"/>
  <c r="E12" i="19"/>
  <c r="D12" i="19"/>
  <c r="C12" i="19"/>
  <c r="L11" i="19"/>
  <c r="G11" i="19"/>
  <c r="B11" i="19" s="1"/>
  <c r="E11" i="19"/>
  <c r="D11" i="19"/>
  <c r="C11" i="19"/>
  <c r="L10" i="19"/>
  <c r="G10" i="19"/>
  <c r="E10" i="19"/>
  <c r="D10" i="19"/>
  <c r="C10" i="19"/>
  <c r="O9" i="19"/>
  <c r="N9" i="19"/>
  <c r="M9" i="19"/>
  <c r="J9" i="19"/>
  <c r="I9" i="19"/>
  <c r="H9" i="19"/>
  <c r="B15" i="19" l="1"/>
  <c r="B13" i="19"/>
  <c r="B29" i="19"/>
  <c r="B33" i="19"/>
  <c r="B24" i="19"/>
  <c r="C9" i="19"/>
  <c r="L9" i="19"/>
  <c r="B21" i="19"/>
  <c r="B28" i="19"/>
  <c r="B25" i="19"/>
  <c r="B17" i="19"/>
  <c r="B20" i="19"/>
  <c r="B12" i="19"/>
  <c r="B27" i="19"/>
  <c r="B30" i="19"/>
  <c r="D9" i="19"/>
  <c r="B23" i="19"/>
  <c r="B26" i="19"/>
  <c r="G9" i="19"/>
  <c r="B10" i="19"/>
  <c r="B19" i="19"/>
  <c r="B22" i="19"/>
  <c r="B32" i="19"/>
  <c r="E9" i="19"/>
  <c r="B9" i="19" l="1"/>
</calcChain>
</file>

<file path=xl/sharedStrings.xml><?xml version="1.0" encoding="utf-8"?>
<sst xmlns="http://schemas.openxmlformats.org/spreadsheetml/2006/main" count="97" uniqueCount="73">
  <si>
    <t>Theft</t>
  </si>
  <si>
    <t>Total</t>
  </si>
  <si>
    <t>ވައްކަން</t>
  </si>
  <si>
    <t>Drugs</t>
  </si>
  <si>
    <t>ޓްރެފިކް</t>
  </si>
  <si>
    <t>Assault</t>
  </si>
  <si>
    <t>Others</t>
  </si>
  <si>
    <t>މަސްތުވާތަކެތި</t>
  </si>
  <si>
    <t>ގެއްލޭތަކެތި</t>
  </si>
  <si>
    <t>Robbery</t>
  </si>
  <si>
    <t>މާރާމާރީ</t>
  </si>
  <si>
    <t>Vandalism</t>
  </si>
  <si>
    <t>މުދަލަށް ގެއްލުންދިނުން</t>
  </si>
  <si>
    <t>Sexual Offences</t>
  </si>
  <si>
    <t>Threats; False Alarms</t>
  </si>
  <si>
    <t>ފޭރުން</t>
  </si>
  <si>
    <t>Traffic Accidents</t>
  </si>
  <si>
    <t>Embezzlement</t>
  </si>
  <si>
    <t>Domestic violence</t>
  </si>
  <si>
    <t>މަކަރާއި ޙީލަތް</t>
  </si>
  <si>
    <t>Counterfeit and forgery</t>
  </si>
  <si>
    <t>އާއިލީ</t>
  </si>
  <si>
    <t>Disorderly Conduct</t>
  </si>
  <si>
    <t>Deceptive Practices</t>
  </si>
  <si>
    <t>އެހެނިހެން</t>
  </si>
  <si>
    <t>Arson</t>
  </si>
  <si>
    <t>ހުޅުޖެހުން</t>
  </si>
  <si>
    <t>Lost items</t>
  </si>
  <si>
    <t>Attempted Suicides</t>
  </si>
  <si>
    <t>އަމިއްލައަށް މަރުވާން އުޅުން</t>
  </si>
  <si>
    <t>Obstructing Justice</t>
  </si>
  <si>
    <t>Causing, Aiding or Soliciting Suicide</t>
  </si>
  <si>
    <t>އަމިއްލައަށް /  އެހެނިހެން ގޮތްގޮތަށް މަރުވުން</t>
  </si>
  <si>
    <t>Child Abandonment and Parental Duty of Care</t>
  </si>
  <si>
    <t>ދަރިންނަށް އިޙްމާލުވުން ފަދަ މައްސަލަތައް</t>
  </si>
  <si>
    <t>މަކަރުހެދުމާއި އޮޅުވާލުން</t>
  </si>
  <si>
    <t>އަޚްލާޤީ ގޮތުން ދަށުދަރަޖައިގެ ޢަމަލުތައް</t>
  </si>
  <si>
    <t>އަމުރަށް ނުކިޔަމަންތެރިވުމާއި ވާޖިބަށް ހުރަސްއެޅުން</t>
  </si>
  <si>
    <t>Producing or Distributing Obscene Material</t>
  </si>
  <si>
    <t>އޮރިޔާން ފޮޓޯ / ފިލްމުގެ މައްސަލަތައް</t>
  </si>
  <si>
    <t>Theft by Deception</t>
  </si>
  <si>
    <t>ޓެކުން އަދި ފްރޯޑް</t>
  </si>
  <si>
    <t>ބިރުދެއްކުމާއި އިންޒާރުދިނުން</t>
  </si>
  <si>
    <t>Trafficking, Manufacture, Sale, or Possession of Firearms or Catastrophic Agents</t>
  </si>
  <si>
    <t>ހަތިޔާރު / ގޮވާތަކެތީގެ މައްސަލަތައް</t>
  </si>
  <si>
    <t>Use of a Dangerous Weapon During an Offense</t>
  </si>
  <si>
    <t>ހަތިޔާރު ބޭނުންކުރުން</t>
  </si>
  <si>
    <t>Source: Maldives Police Service</t>
  </si>
  <si>
    <t>ޖުމްލަ</t>
  </si>
  <si>
    <t>ވަގުފައިސާ</t>
  </si>
  <si>
    <t>މަޢުލޫމާތު ދެއްވީ: މޯލްޑިވްސް ޕޮލިސް ސަރވިސް</t>
  </si>
  <si>
    <t>Type of offence</t>
  </si>
  <si>
    <t>ކުށުގެ ބާވަތް</t>
  </si>
  <si>
    <t>Male</t>
  </si>
  <si>
    <t>Female</t>
  </si>
  <si>
    <t>ދެޖިންސް</t>
  </si>
  <si>
    <t xml:space="preserve">ފިރިހެން </t>
  </si>
  <si>
    <t xml:space="preserve">އަންހެން </t>
  </si>
  <si>
    <t>ޖިންސީ މައްސަލަ</t>
  </si>
  <si>
    <t>&lt; 18 yrs</t>
  </si>
  <si>
    <t>18 - 34 yrs</t>
  </si>
  <si>
    <t>35 yrs  and above</t>
  </si>
  <si>
    <t>Both sexes</t>
  </si>
  <si>
    <t>&lt; 18</t>
  </si>
  <si>
    <t>18-34</t>
  </si>
  <si>
    <t>35 +</t>
  </si>
  <si>
    <t>35+</t>
  </si>
  <si>
    <t>18 އަހަރުންދަށް</t>
  </si>
  <si>
    <t>18-34 އަހަރާއި ދެމެދު</t>
  </si>
  <si>
    <t>35 އަހަރުން މަތި</t>
  </si>
  <si>
    <t>Note: Foreigners without ages are not included in this total</t>
  </si>
  <si>
    <t>Table 8.20: NUMBER OF VICTIMS BY TYPE OF OFFENCES, GENDER AND AGE GROUP, 2019</t>
  </si>
  <si>
    <t>ތާވަލު 8.20: ހުށަހެޅިފައިވާ މައްސަލަތަކުގައި އަނިޔާލިބިފައިވާ މީހުންގެ އަދަދު ޖިންސް އަދި އުމުރުފުރާއިން، 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</si>
</sst>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General_)"/>
    <numFmt numFmtId="166" formatCode="_-* #,##0_-;\-* #,##0_-;_-* &quot;-&quot;??_-;_-@_-"/>
    <numFmt numFmtId="167" formatCode="#,##0.0"/>
  </numFmts>
  <fonts count="2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0"/>
      <name val="Faruma"/>
      <family val="3"/>
    </font>
    <font>
      <sz val="10"/>
      <color rgb="FF000000"/>
      <name val="Calibri"/>
      <family val="2"/>
      <scheme val="minor"/>
    </font>
    <font>
      <sz val="10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Courier"/>
      <family val="3"/>
    </font>
    <font>
      <b/>
      <sz val="10"/>
      <name val="Courier"/>
      <family val="3"/>
    </font>
    <font>
      <b/>
      <sz val="11"/>
      <color theme="1"/>
      <name val="Faruma"/>
      <family val="3"/>
    </font>
    <font>
      <b/>
      <sz val="10"/>
      <color theme="1"/>
      <name val="Faruma"/>
      <family val="3"/>
    </font>
    <font>
      <sz val="11"/>
      <name val="Calibri"/>
      <family val="2"/>
      <scheme val="minor"/>
    </font>
    <font>
      <b/>
      <sz val="12"/>
      <color theme="1"/>
      <name val="Faruma"/>
      <family val="3"/>
    </font>
    <font>
      <sz val="11"/>
      <color rgb="FF000000"/>
      <name val="Faruma"/>
      <family val="3"/>
    </font>
    <font>
      <sz val="10"/>
      <color rgb="FF000000"/>
      <name val="Faruma"/>
      <family val="3"/>
    </font>
    <font>
      <sz val="10"/>
      <name val="Arial"/>
      <family val="2"/>
    </font>
    <font>
      <b/>
      <sz val="9"/>
      <name val="P_Faruma"/>
    </font>
    <font>
      <sz val="8"/>
      <color rgb="FF000000"/>
      <name val="Faruma"/>
      <family val="3"/>
    </font>
    <font>
      <i/>
      <sz val="9"/>
      <color rgb="FF000000"/>
      <name val="Calibri"/>
      <family val="2"/>
      <scheme val="minor"/>
    </font>
    <font>
      <b/>
      <sz val="10"/>
      <name val="Faruma"/>
    </font>
    <font>
      <b/>
      <sz val="15"/>
      <color theme="3"/>
      <name val="Arial Mäo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 style="thin">
        <color theme="0"/>
      </top>
      <bottom/>
      <diagonal/>
    </border>
    <border>
      <left/>
      <right/>
      <top/>
      <bottom style="thick">
        <color theme="4"/>
      </bottom>
      <diagonal/>
    </border>
  </borders>
  <cellStyleXfs count="7">
    <xf numFmtId="0" fontId="0" fillId="0" borderId="0"/>
    <xf numFmtId="166" fontId="8" fillId="0" borderId="0" applyFont="0" applyFill="0" applyBorder="0" applyAlignment="0" applyProtection="0"/>
    <xf numFmtId="9" fontId="9" fillId="0" borderId="0" applyFont="0" applyFill="0" applyBorder="0" applyAlignment="0" applyProtection="0"/>
    <xf numFmtId="167" fontId="9" fillId="0" borderId="0"/>
    <xf numFmtId="0" fontId="17" fillId="0" borderId="0"/>
    <xf numFmtId="0" fontId="22" fillId="0" borderId="6" applyNumberFormat="0" applyFill="0" applyAlignment="0" applyProtection="0"/>
    <xf numFmtId="0" fontId="17" fillId="0" borderId="0"/>
  </cellStyleXfs>
  <cellXfs count="66">
    <xf numFmtId="0" fontId="0" fillId="0" borderId="0" xfId="0"/>
    <xf numFmtId="164" fontId="4" fillId="2" borderId="0" xfId="0" applyNumberFormat="1" applyFont="1" applyFill="1" applyBorder="1" applyAlignment="1">
      <alignment vertical="center"/>
    </xf>
    <xf numFmtId="164" fontId="3" fillId="2" borderId="0" xfId="0" applyNumberFormat="1" applyFont="1" applyFill="1" applyBorder="1" applyAlignment="1" applyProtection="1">
      <alignment horizontal="right" vertical="center" indent="1"/>
    </xf>
    <xf numFmtId="164" fontId="3" fillId="2" borderId="2" xfId="0" applyNumberFormat="1" applyFont="1" applyFill="1" applyBorder="1" applyAlignment="1" applyProtection="1">
      <alignment horizontal="right" vertical="center" indent="1"/>
    </xf>
    <xf numFmtId="164" fontId="4" fillId="2" borderId="0" xfId="0" applyNumberFormat="1" applyFont="1" applyFill="1" applyBorder="1" applyAlignment="1">
      <alignment horizontal="left" vertical="center" indent="1"/>
    </xf>
    <xf numFmtId="164" fontId="4" fillId="2" borderId="2" xfId="0" applyNumberFormat="1" applyFont="1" applyFill="1" applyBorder="1" applyAlignment="1">
      <alignment horizontal="left" vertical="center" indent="1"/>
    </xf>
    <xf numFmtId="0" fontId="0" fillId="2" borderId="0" xfId="0" applyNumberFormat="1" applyFill="1" applyBorder="1"/>
    <xf numFmtId="0" fontId="1" fillId="2" borderId="0" xfId="0" applyNumberFormat="1" applyFont="1" applyFill="1" applyBorder="1" applyAlignment="1">
      <alignment vertical="center"/>
    </xf>
    <xf numFmtId="3" fontId="7" fillId="2" borderId="0" xfId="0" applyNumberFormat="1" applyFont="1" applyFill="1" applyBorder="1" applyAlignment="1">
      <alignment horizontal="right" vertical="center"/>
    </xf>
    <xf numFmtId="0" fontId="5" fillId="2" borderId="0" xfId="0" applyNumberFormat="1" applyFont="1" applyFill="1" applyBorder="1"/>
    <xf numFmtId="0" fontId="5" fillId="2" borderId="0" xfId="0" applyNumberFormat="1" applyFont="1" applyFill="1"/>
    <xf numFmtId="0" fontId="7" fillId="2" borderId="0" xfId="0" applyNumberFormat="1" applyFont="1" applyFill="1" applyBorder="1" applyAlignment="1">
      <alignment horizontal="center" vertical="center"/>
    </xf>
    <xf numFmtId="0" fontId="15" fillId="2" borderId="0" xfId="0" applyNumberFormat="1" applyFont="1" applyFill="1" applyBorder="1" applyAlignment="1">
      <alignment horizontal="right" vertical="center" wrapText="1"/>
    </xf>
    <xf numFmtId="0" fontId="0" fillId="2" borderId="0" xfId="0" applyNumberFormat="1" applyFont="1" applyFill="1"/>
    <xf numFmtId="0" fontId="0" fillId="2" borderId="0" xfId="0" applyNumberFormat="1" applyFont="1" applyFill="1" applyBorder="1"/>
    <xf numFmtId="0" fontId="6" fillId="2" borderId="0" xfId="0" applyNumberFormat="1" applyFont="1" applyFill="1" applyBorder="1" applyAlignment="1">
      <alignment vertical="top"/>
    </xf>
    <xf numFmtId="0" fontId="16" fillId="2" borderId="3" xfId="0" applyNumberFormat="1" applyFont="1" applyFill="1" applyBorder="1" applyAlignment="1">
      <alignment vertical="center"/>
    </xf>
    <xf numFmtId="3" fontId="0" fillId="2" borderId="0" xfId="0" applyNumberFormat="1" applyFont="1" applyFill="1"/>
    <xf numFmtId="0" fontId="1" fillId="2" borderId="0" xfId="0" applyNumberFormat="1" applyFont="1" applyFill="1"/>
    <xf numFmtId="0" fontId="7" fillId="2" borderId="0" xfId="0" applyNumberFormat="1" applyFont="1" applyFill="1" applyBorder="1" applyAlignment="1">
      <alignment horizontal="center" vertical="center" wrapText="1"/>
    </xf>
    <xf numFmtId="0" fontId="0" fillId="2" borderId="0" xfId="0" applyNumberFormat="1" applyFont="1" applyFill="1" applyAlignment="1">
      <alignment vertical="center"/>
    </xf>
    <xf numFmtId="0" fontId="5" fillId="2" borderId="2" xfId="0" applyNumberFormat="1" applyFont="1" applyFill="1" applyBorder="1"/>
    <xf numFmtId="3" fontId="1" fillId="2" borderId="1" xfId="0" applyNumberFormat="1" applyFont="1" applyFill="1" applyBorder="1" applyAlignment="1">
      <alignment horizontal="right" vertical="center" indent="3"/>
    </xf>
    <xf numFmtId="0" fontId="10" fillId="2" borderId="0" xfId="0" applyNumberFormat="1" applyFont="1" applyFill="1"/>
    <xf numFmtId="0" fontId="12" fillId="2" borderId="0" xfId="0" applyNumberFormat="1" applyFont="1" applyFill="1" applyBorder="1" applyAlignment="1">
      <alignment horizontal="center" vertical="center"/>
    </xf>
    <xf numFmtId="0" fontId="13" fillId="2" borderId="0" xfId="0" applyNumberFormat="1" applyFont="1" applyFill="1"/>
    <xf numFmtId="0" fontId="10" fillId="2" borderId="0" xfId="0" applyNumberFormat="1" applyFont="1" applyFill="1" applyAlignment="1">
      <alignment vertical="center"/>
    </xf>
    <xf numFmtId="3" fontId="1" fillId="2" borderId="0" xfId="0" applyNumberFormat="1" applyFont="1" applyFill="1" applyBorder="1" applyAlignment="1">
      <alignment horizontal="right" vertical="center" indent="3"/>
    </xf>
    <xf numFmtId="0" fontId="11" fillId="2" borderId="0" xfId="0" applyNumberFormat="1" applyFont="1" applyFill="1" applyBorder="1" applyAlignment="1">
      <alignment vertical="center"/>
    </xf>
    <xf numFmtId="0" fontId="0" fillId="2" borderId="0" xfId="0" applyNumberFormat="1" applyFont="1" applyFill="1" applyBorder="1" applyAlignment="1">
      <alignment vertical="center"/>
    </xf>
    <xf numFmtId="3" fontId="0" fillId="2" borderId="0" xfId="0" applyNumberFormat="1" applyFont="1" applyFill="1" applyBorder="1" applyAlignment="1">
      <alignment horizontal="right" vertical="center" indent="3"/>
    </xf>
    <xf numFmtId="0" fontId="18" fillId="2" borderId="0" xfId="4" applyFont="1" applyFill="1" applyBorder="1" applyAlignment="1">
      <alignment horizontal="right" vertical="center" wrapText="1"/>
    </xf>
    <xf numFmtId="0" fontId="19" fillId="2" borderId="0" xfId="0" applyNumberFormat="1" applyFont="1" applyFill="1" applyBorder="1" applyAlignment="1">
      <alignment horizontal="right" vertical="center" wrapText="1"/>
    </xf>
    <xf numFmtId="0" fontId="16" fillId="2" borderId="0" xfId="0" applyNumberFormat="1" applyFont="1" applyFill="1" applyBorder="1" applyAlignment="1">
      <alignment horizontal="right" vertical="center" wrapText="1"/>
    </xf>
    <xf numFmtId="3" fontId="0" fillId="2" borderId="2" xfId="0" applyNumberFormat="1" applyFont="1" applyFill="1" applyBorder="1" applyAlignment="1">
      <alignment horizontal="right" vertical="center" indent="3"/>
    </xf>
    <xf numFmtId="0" fontId="16" fillId="2" borderId="0" xfId="0" applyNumberFormat="1" applyFont="1" applyFill="1" applyBorder="1" applyAlignment="1">
      <alignment vertical="center"/>
    </xf>
    <xf numFmtId="0" fontId="0" fillId="2" borderId="0" xfId="0" applyNumberFormat="1" applyFont="1" applyFill="1" applyBorder="1" applyAlignment="1">
      <alignment wrapText="1"/>
    </xf>
    <xf numFmtId="0" fontId="0" fillId="2" borderId="0" xfId="0" applyNumberFormat="1" applyFont="1" applyFill="1" applyAlignment="1">
      <alignment wrapText="1"/>
    </xf>
    <xf numFmtId="164" fontId="4" fillId="2" borderId="0" xfId="0" applyNumberFormat="1" applyFont="1" applyFill="1" applyBorder="1" applyAlignment="1">
      <alignment horizontal="left" vertical="center" wrapText="1" indent="1"/>
    </xf>
    <xf numFmtId="164" fontId="3" fillId="2" borderId="0" xfId="0" applyNumberFormat="1" applyFont="1" applyFill="1" applyBorder="1" applyAlignment="1" applyProtection="1">
      <alignment horizontal="right" vertical="center" wrapText="1" indent="1"/>
    </xf>
    <xf numFmtId="164" fontId="20" fillId="2" borderId="0" xfId="0" applyNumberFormat="1" applyFont="1" applyFill="1" applyBorder="1" applyAlignment="1">
      <alignment horizontal="left" vertical="center"/>
    </xf>
    <xf numFmtId="3" fontId="1" fillId="2" borderId="2" xfId="0" applyNumberFormat="1" applyFont="1" applyFill="1" applyBorder="1" applyAlignment="1">
      <alignment horizontal="right" vertical="center" indent="3"/>
    </xf>
    <xf numFmtId="0" fontId="1" fillId="2" borderId="0" xfId="0" applyNumberFormat="1" applyFont="1" applyFill="1" applyBorder="1"/>
    <xf numFmtId="0" fontId="1" fillId="2" borderId="0" xfId="0" applyNumberFormat="1" applyFont="1" applyFill="1" applyBorder="1" applyAlignment="1">
      <alignment horizontal="center" vertical="center" wrapText="1"/>
    </xf>
    <xf numFmtId="0" fontId="7" fillId="2" borderId="1" xfId="0" applyNumberFormat="1" applyFont="1" applyFill="1" applyBorder="1" applyAlignment="1">
      <alignment horizontal="center" vertical="center"/>
    </xf>
    <xf numFmtId="0" fontId="21" fillId="2" borderId="2" xfId="4" applyFont="1" applyFill="1" applyBorder="1" applyAlignment="1">
      <alignment horizontal="center" vertical="center" wrapText="1" readingOrder="2"/>
    </xf>
    <xf numFmtId="0" fontId="21" fillId="2" borderId="2" xfId="4" applyFont="1" applyFill="1" applyBorder="1" applyAlignment="1">
      <alignment horizontal="center" vertical="center" wrapText="1"/>
    </xf>
    <xf numFmtId="3" fontId="0" fillId="2" borderId="0" xfId="0" applyNumberFormat="1" applyFont="1" applyFill="1" applyBorder="1"/>
    <xf numFmtId="0" fontId="10" fillId="2" borderId="0" xfId="0" applyNumberFormat="1" applyFont="1" applyFill="1" applyBorder="1"/>
    <xf numFmtId="3" fontId="0" fillId="2" borderId="0" xfId="0" applyNumberFormat="1" applyFont="1" applyFill="1" applyBorder="1" applyAlignment="1">
      <alignment vertical="center"/>
    </xf>
    <xf numFmtId="0" fontId="13" fillId="2" borderId="0" xfId="0" applyNumberFormat="1" applyFont="1" applyFill="1" applyBorder="1"/>
    <xf numFmtId="0" fontId="10" fillId="2" borderId="0" xfId="0" applyNumberFormat="1" applyFont="1" applyFill="1" applyBorder="1" applyAlignment="1">
      <alignment vertical="center"/>
    </xf>
    <xf numFmtId="3" fontId="10" fillId="2" borderId="0" xfId="0" applyNumberFormat="1" applyFont="1" applyFill="1" applyBorder="1" applyAlignment="1">
      <alignment vertical="center"/>
    </xf>
    <xf numFmtId="1" fontId="0" fillId="2" borderId="0" xfId="0" applyNumberFormat="1" applyFont="1" applyFill="1" applyBorder="1" applyAlignment="1">
      <alignment vertical="center"/>
    </xf>
    <xf numFmtId="0" fontId="9" fillId="2" borderId="0" xfId="0" applyNumberFormat="1" applyFont="1" applyFill="1" applyBorder="1" applyAlignment="1">
      <alignment vertical="center"/>
    </xf>
    <xf numFmtId="0" fontId="14" fillId="2" borderId="0" xfId="0" applyNumberFormat="1" applyFont="1" applyFill="1" applyAlignment="1">
      <alignment horizontal="center"/>
    </xf>
    <xf numFmtId="164" fontId="2" fillId="2" borderId="4" xfId="0" applyNumberFormat="1" applyFont="1" applyFill="1" applyBorder="1" applyAlignment="1">
      <alignment horizontal="center"/>
    </xf>
    <xf numFmtId="164" fontId="2" fillId="2" borderId="5" xfId="0" applyNumberFormat="1" applyFont="1" applyFill="1" applyBorder="1" applyAlignment="1">
      <alignment horizontal="center"/>
    </xf>
    <xf numFmtId="0" fontId="1" fillId="2" borderId="1" xfId="0" applyNumberFormat="1" applyFont="1" applyFill="1" applyBorder="1" applyAlignment="1">
      <alignment horizontal="center" vertical="center" wrapText="1"/>
    </xf>
    <xf numFmtId="0" fontId="1" fillId="2" borderId="0" xfId="0" applyNumberFormat="1" applyFont="1" applyFill="1" applyBorder="1" applyAlignment="1">
      <alignment horizontal="center" vertical="center" wrapText="1"/>
    </xf>
    <xf numFmtId="0" fontId="1" fillId="2" borderId="2" xfId="0" applyNumberFormat="1" applyFont="1" applyFill="1" applyBorder="1" applyAlignment="1">
      <alignment horizontal="center" vertical="center" wrapText="1"/>
    </xf>
    <xf numFmtId="0" fontId="7" fillId="2" borderId="1" xfId="0" applyNumberFormat="1" applyFont="1" applyFill="1" applyBorder="1" applyAlignment="1">
      <alignment horizontal="center" vertical="center"/>
    </xf>
    <xf numFmtId="0" fontId="12" fillId="2" borderId="1" xfId="0" applyNumberFormat="1" applyFont="1" applyFill="1" applyBorder="1" applyAlignment="1">
      <alignment horizontal="right" vertical="center"/>
    </xf>
    <xf numFmtId="0" fontId="12" fillId="2" borderId="0" xfId="0" applyNumberFormat="1" applyFont="1" applyFill="1" applyBorder="1" applyAlignment="1">
      <alignment horizontal="right" vertical="center"/>
    </xf>
    <xf numFmtId="0" fontId="12" fillId="2" borderId="2" xfId="0" applyNumberFormat="1" applyFont="1" applyFill="1" applyBorder="1" applyAlignment="1">
      <alignment horizontal="right" vertical="center"/>
    </xf>
    <xf numFmtId="0" fontId="12" fillId="2" borderId="2" xfId="0" applyNumberFormat="1" applyFont="1" applyFill="1" applyBorder="1" applyAlignment="1">
      <alignment horizontal="center" vertical="center"/>
    </xf>
  </cellXfs>
  <cellStyles count="7">
    <cellStyle name="Comma 2" xfId="1"/>
    <cellStyle name="Heading 1 2" xfId="5"/>
    <cellStyle name="Normal" xfId="0" builtinId="0"/>
    <cellStyle name="Normal 2" xfId="6"/>
    <cellStyle name="Normal 3" xfId="3"/>
    <cellStyle name="Normal_II-14(Population)" xfId="4"/>
    <cellStyle name="Percent 2" xfId="2"/>
  </cellStyles>
  <dxfs count="0"/>
  <tableStyles count="0" defaultTableStyle="TableStyleMedium2" defaultPivotStyle="PivotStyleLight16"/>
  <colors>
    <mruColors>
      <color rgb="FFDDBA97"/>
      <color rgb="FF663300"/>
      <color rgb="FFCF9F6F"/>
      <color rgb="FF7B5229"/>
      <color rgb="FFF1E2D3"/>
      <color rgb="FF996633"/>
      <color rgb="FFF5EADF"/>
      <color rgb="FFFAF5F0"/>
      <color rgb="FFFFC58B"/>
      <color rgb="FFCC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4"/>
    </mc:Choice>
    <mc:Fallback>
      <c:style val="14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1756392885016318"/>
          <c:y val="0.19039225453296482"/>
          <c:w val="0.45958964231087795"/>
          <c:h val="0.77451325587626529"/>
        </c:manualLayout>
      </c:layout>
      <c:pieChart>
        <c:varyColors val="1"/>
        <c:ser>
          <c:idx val="0"/>
          <c:order val="0"/>
          <c:explosion val="2"/>
          <c:dPt>
            <c:idx val="0"/>
            <c:bubble3D val="0"/>
            <c:spPr>
              <a:solidFill>
                <a:srgbClr val="DDBA97"/>
              </a:solidFill>
            </c:spPr>
          </c:dPt>
          <c:dPt>
            <c:idx val="1"/>
            <c:bubble3D val="0"/>
            <c:spPr>
              <a:solidFill>
                <a:srgbClr val="996633"/>
              </a:solidFill>
            </c:spPr>
          </c:dPt>
          <c:dLbls>
            <c:dLbl>
              <c:idx val="0"/>
              <c:layout>
                <c:manualLayout>
                  <c:x val="-0.17640490214443721"/>
                  <c:y val="-4.1333569003585958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"/>
              <c:layout>
                <c:manualLayout>
                  <c:x val="0.15967237464739059"/>
                  <c:y val="-0.1564716621803946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2"/>
              <c:layout>
                <c:manualLayout>
                  <c:x val="4.4148885694603318E-2"/>
                  <c:y val="0.2680462440685876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100"/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'8.20'!$Z$30:$Z$32</c:f>
              <c:strCache>
                <c:ptCount val="3"/>
                <c:pt idx="0">
                  <c:v>&lt; 18 yrs</c:v>
                </c:pt>
                <c:pt idx="1">
                  <c:v>18 - 34 yrs</c:v>
                </c:pt>
                <c:pt idx="2">
                  <c:v>35 yrs  and above</c:v>
                </c:pt>
              </c:strCache>
            </c:strRef>
          </c:cat>
          <c:val>
            <c:numRef>
              <c:f>'8.20'!$AA$30:$AA$32</c:f>
              <c:numCache>
                <c:formatCode>#,##0</c:formatCode>
                <c:ptCount val="3"/>
                <c:pt idx="0">
                  <c:v>792</c:v>
                </c:pt>
                <c:pt idx="1">
                  <c:v>969</c:v>
                </c:pt>
                <c:pt idx="2">
                  <c:v>669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8-AFCB-4A6E-8647-153282F04384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44"/>
      </c:pieChart>
    </c:plotArea>
    <c:plotVisOnly val="1"/>
    <c:dispBlanksAs val="zero"/>
    <c:showDLblsOverMax val="0"/>
  </c:chart>
  <c:spPr>
    <a:solidFill>
      <a:srgbClr val="FAF5F0"/>
    </a:solidFill>
  </c:spPr>
  <c:printSettings>
    <c:headerFooter/>
    <c:pageMargins b="0.75000000000000666" l="0.70000000000000062" r="0.70000000000000062" t="0.75000000000000666" header="0.30000000000000032" footer="0.30000000000000032"/>
    <c:pageSetup orientation="portrait" horizontalDpi="-1" verticalDpi="-1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387626950532948"/>
          <c:y val="0.12743499919652901"/>
          <c:w val="0.87973626075415867"/>
          <c:h val="0.7309535593765065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'8.20'!$Y$36</c:f>
              <c:strCache>
                <c:ptCount val="1"/>
                <c:pt idx="0">
                  <c:v>Male</c:v>
                </c:pt>
              </c:strCache>
            </c:strRef>
          </c:tx>
          <c:spPr>
            <a:solidFill>
              <a:srgbClr val="996633"/>
            </a:solidFill>
          </c:spPr>
          <c:invertIfNegative val="0"/>
          <c:cat>
            <c:strRef>
              <c:f>'8.20'!$X$37:$X$39</c:f>
              <c:strCache>
                <c:ptCount val="3"/>
                <c:pt idx="0">
                  <c:v>&lt; 18 yrs</c:v>
                </c:pt>
                <c:pt idx="1">
                  <c:v>18 - 34 yrs</c:v>
                </c:pt>
                <c:pt idx="2">
                  <c:v>35 yrs  and above</c:v>
                </c:pt>
              </c:strCache>
            </c:strRef>
          </c:cat>
          <c:val>
            <c:numRef>
              <c:f>'8.20'!$Y$37:$Y$39</c:f>
              <c:numCache>
                <c:formatCode>#,##0</c:formatCode>
                <c:ptCount val="3"/>
                <c:pt idx="0">
                  <c:v>344</c:v>
                </c:pt>
                <c:pt idx="1">
                  <c:v>652</c:v>
                </c:pt>
                <c:pt idx="2">
                  <c:v>438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8293-42A4-88B6-8414D69CE409}"/>
            </c:ext>
          </c:extLst>
        </c:ser>
        <c:ser>
          <c:idx val="1"/>
          <c:order val="1"/>
          <c:tx>
            <c:strRef>
              <c:f>'8.20'!$Z$36</c:f>
              <c:strCache>
                <c:ptCount val="1"/>
                <c:pt idx="0">
                  <c:v>Female</c:v>
                </c:pt>
              </c:strCache>
            </c:strRef>
          </c:tx>
          <c:spPr>
            <a:solidFill>
              <a:srgbClr val="DDBA97"/>
            </a:solidFill>
          </c:spPr>
          <c:invertIfNegative val="0"/>
          <c:cat>
            <c:strRef>
              <c:f>'8.20'!$X$37:$X$39</c:f>
              <c:strCache>
                <c:ptCount val="3"/>
                <c:pt idx="0">
                  <c:v>&lt; 18 yrs</c:v>
                </c:pt>
                <c:pt idx="1">
                  <c:v>18 - 34 yrs</c:v>
                </c:pt>
                <c:pt idx="2">
                  <c:v>35 yrs  and above</c:v>
                </c:pt>
              </c:strCache>
            </c:strRef>
          </c:cat>
          <c:val>
            <c:numRef>
              <c:f>'8.20'!$Z$37:$Z$39</c:f>
              <c:numCache>
                <c:formatCode>#,##0</c:formatCode>
                <c:ptCount val="3"/>
                <c:pt idx="0">
                  <c:v>448</c:v>
                </c:pt>
                <c:pt idx="1">
                  <c:v>317</c:v>
                </c:pt>
                <c:pt idx="2">
                  <c:v>231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8293-42A4-88B6-8414D69CE4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28736384"/>
        <c:axId val="428742656"/>
      </c:barChart>
      <c:catAx>
        <c:axId val="42873638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Age group</a:t>
                </a:r>
              </a:p>
            </c:rich>
          </c:tx>
          <c:layout>
            <c:manualLayout>
              <c:xMode val="edge"/>
              <c:yMode val="edge"/>
              <c:x val="0.35303389072824554"/>
              <c:y val="0.91571749959826432"/>
            </c:manualLayout>
          </c:layout>
          <c:overlay val="0"/>
        </c:title>
        <c:numFmt formatCode="General" sourceLinked="0"/>
        <c:majorTickMark val="none"/>
        <c:minorTickMark val="none"/>
        <c:tickLblPos val="nextTo"/>
        <c:crossAx val="428742656"/>
        <c:crosses val="autoZero"/>
        <c:auto val="1"/>
        <c:lblAlgn val="ctr"/>
        <c:lblOffset val="100"/>
        <c:noMultiLvlLbl val="0"/>
      </c:catAx>
      <c:valAx>
        <c:axId val="428742656"/>
        <c:scaling>
          <c:orientation val="minMax"/>
        </c:scaling>
        <c:delete val="0"/>
        <c:axPos val="l"/>
        <c:majorGridlines>
          <c:spPr>
            <a:ln>
              <a:solidFill>
                <a:srgbClr val="F1E2D3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Number</a:t>
                </a:r>
              </a:p>
            </c:rich>
          </c:tx>
          <c:layout/>
          <c:overlay val="0"/>
        </c:title>
        <c:numFmt formatCode="#,##0" sourceLinked="1"/>
        <c:majorTickMark val="out"/>
        <c:minorTickMark val="none"/>
        <c:tickLblPos val="nextTo"/>
        <c:crossAx val="428736384"/>
        <c:crosses val="autoZero"/>
        <c:crossBetween val="between"/>
      </c:valAx>
      <c:spPr>
        <a:solidFill>
          <a:srgbClr val="FAF5F0"/>
        </a:solidFill>
        <a:ln w="6350">
          <a:solidFill>
            <a:schemeClr val="bg1">
              <a:lumMod val="65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644750150175321"/>
          <c:y val="0.15539514703519203"/>
          <c:w val="0.20184986698786023"/>
          <c:h val="7.3224982178071149E-2"/>
        </c:manualLayout>
      </c:layout>
      <c:overlay val="0"/>
    </c:legend>
    <c:plotVisOnly val="1"/>
    <c:dispBlanksAs val="gap"/>
    <c:showDLblsOverMax val="0"/>
  </c:chart>
  <c:printSettings>
    <c:headerFooter/>
    <c:pageMargins b="0.750000000000006" l="0.70000000000000062" r="0.70000000000000062" t="0.750000000000006" header="0.30000000000000032" footer="0.30000000000000032"/>
    <c:pageSetup orientation="portrait"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1162050</xdr:colOff>
      <xdr:row>36</xdr:row>
      <xdr:rowOff>152400</xdr:rowOff>
    </xdr:from>
    <xdr:to>
      <xdr:col>6</xdr:col>
      <xdr:colOff>240842</xdr:colOff>
      <xdr:row>51</xdr:row>
      <xdr:rowOff>171761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xmlns="" id="{B39D55E9-0083-4B00-A1A6-4B1C67428EA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399594</xdr:colOff>
      <xdr:row>36</xdr:row>
      <xdr:rowOff>182345</xdr:rowOff>
    </xdr:from>
    <xdr:to>
      <xdr:col>15</xdr:col>
      <xdr:colOff>430284</xdr:colOff>
      <xdr:row>51</xdr:row>
      <xdr:rowOff>150595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xmlns="" id="{BE7D2144-791B-4812-8AB7-F996FA29F5D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1743075</xdr:colOff>
      <xdr:row>37</xdr:row>
      <xdr:rowOff>47625</xdr:rowOff>
    </xdr:from>
    <xdr:to>
      <xdr:col>4</xdr:col>
      <xdr:colOff>487488</xdr:colOff>
      <xdr:row>38</xdr:row>
      <xdr:rowOff>58642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xmlns="" id="{A770EC8D-42CF-4ACA-A3E5-CF5BAE561683}"/>
            </a:ext>
          </a:extLst>
        </xdr:cNvPr>
        <xdr:cNvSpPr txBox="1"/>
      </xdr:nvSpPr>
      <xdr:spPr>
        <a:xfrm>
          <a:off x="1743075" y="9401175"/>
          <a:ext cx="4173663" cy="24914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 b="1" i="0" baseline="0">
              <a:solidFill>
                <a:schemeClr val="dk1"/>
              </a:solidFill>
              <a:effectLst/>
              <a:latin typeface="Consolas" pitchFamily="49" charset="0"/>
              <a:ea typeface="+mn-ea"/>
              <a:cs typeface="Consolas" pitchFamily="49" charset="0"/>
            </a:rPr>
            <a:t>Figure 8.26: Percentage share of victims by age, 2019</a:t>
          </a:r>
          <a:endParaRPr lang="en-US" sz="1000">
            <a:effectLst/>
            <a:latin typeface="Consolas" pitchFamily="49" charset="0"/>
            <a:cs typeface="Consolas" pitchFamily="49" charset="0"/>
          </a:endParaRPr>
        </a:p>
        <a:p>
          <a:endParaRPr lang="en-US" sz="1000">
            <a:latin typeface="Consolas" pitchFamily="49" charset="0"/>
            <a:cs typeface="Consolas" pitchFamily="49" charset="0"/>
          </a:endParaRPr>
        </a:p>
      </xdr:txBody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0.21419</cdr:x>
      <cdr:y>0.03176</cdr:y>
    </cdr:from>
    <cdr:to>
      <cdr:x>0.80344</cdr:x>
      <cdr:y>0.11808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1226593" y="98817"/>
          <a:ext cx="3374438" cy="26858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+mn-lt"/>
              <a:ea typeface="+mn-ea"/>
              <a:cs typeface="Consolas" pitchFamily="49" charset="0"/>
            </a:rPr>
            <a:t>Figure 8.27: Number of victims by age and sex, 2019</a:t>
          </a:r>
          <a:endParaRPr lang="en-US">
            <a:solidFill>
              <a:schemeClr val="tx1">
                <a:lumMod val="75000"/>
                <a:lumOff val="25000"/>
              </a:schemeClr>
            </a:solidFill>
            <a:effectLst/>
            <a:latin typeface="+mn-lt"/>
            <a:cs typeface="Consolas" pitchFamily="49" charset="0"/>
          </a:endParaRPr>
        </a:p>
        <a:p xmlns:a="http://schemas.openxmlformats.org/drawingml/2006/main">
          <a:endParaRPr lang="en-US" sz="1100">
            <a:solidFill>
              <a:schemeClr val="tx1">
                <a:lumMod val="50000"/>
                <a:lumOff val="50000"/>
              </a:schemeClr>
            </a:solidFill>
            <a:latin typeface="Consolas" pitchFamily="49" charset="0"/>
            <a:cs typeface="Consolas" pitchFamily="49" charset="0"/>
          </a:endParaRPr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AC42"/>
  <sheetViews>
    <sheetView tabSelected="1" zoomScaleNormal="100" zoomScaleSheetLayoutView="106" workbookViewId="0">
      <selection activeCell="X46" sqref="X46"/>
    </sheetView>
  </sheetViews>
  <sheetFormatPr defaultColWidth="9.140625" defaultRowHeight="15"/>
  <cols>
    <col min="1" max="1" width="50.5703125" style="13" customWidth="1"/>
    <col min="2" max="5" width="10.28515625" style="13" customWidth="1"/>
    <col min="6" max="6" width="1.28515625" style="13" customWidth="1"/>
    <col min="7" max="10" width="10.28515625" style="13" customWidth="1"/>
    <col min="11" max="11" width="3.140625" style="13" customWidth="1"/>
    <col min="12" max="15" width="10.28515625" style="13" customWidth="1"/>
    <col min="16" max="16" width="32.7109375" style="13" bestFit="1" customWidth="1"/>
    <col min="17" max="17" width="3.28515625" style="13" customWidth="1"/>
    <col min="18" max="24" width="9.140625" style="13"/>
    <col min="25" max="25" width="11.85546875" style="13" customWidth="1"/>
    <col min="26" max="26" width="9.140625" style="13"/>
    <col min="27" max="27" width="11.28515625" style="13" customWidth="1"/>
    <col min="28" max="28" width="12.140625" style="13" customWidth="1"/>
    <col min="29" max="16384" width="9.140625" style="13"/>
  </cols>
  <sheetData>
    <row r="1" spans="1:29" ht="22.5" customHeight="1"/>
    <row r="2" spans="1:29" s="18" customFormat="1" ht="19.5" customHeight="1">
      <c r="A2" s="55" t="s">
        <v>72</v>
      </c>
      <c r="B2" s="55"/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  <c r="O2" s="55"/>
      <c r="P2" s="55"/>
      <c r="Y2" s="42"/>
      <c r="Z2" s="14"/>
      <c r="AA2" s="14"/>
      <c r="AB2" s="14"/>
      <c r="AC2" s="42"/>
    </row>
    <row r="3" spans="1:29">
      <c r="A3" s="56" t="s">
        <v>71</v>
      </c>
      <c r="B3" s="57"/>
      <c r="C3" s="57"/>
      <c r="D3" s="57"/>
      <c r="E3" s="57"/>
      <c r="F3" s="57"/>
      <c r="G3" s="57"/>
      <c r="H3" s="57"/>
      <c r="I3" s="57"/>
      <c r="J3" s="57"/>
      <c r="K3" s="57"/>
      <c r="L3" s="57"/>
      <c r="M3" s="57"/>
      <c r="N3" s="57"/>
      <c r="O3" s="57"/>
      <c r="P3" s="57"/>
      <c r="Y3" s="14"/>
      <c r="Z3" s="19"/>
      <c r="AA3" s="19"/>
      <c r="AB3" s="14"/>
      <c r="AC3" s="14"/>
    </row>
    <row r="4" spans="1:29" ht="9.75" customHeight="1">
      <c r="A4" s="10"/>
      <c r="B4" s="10"/>
      <c r="C4" s="10"/>
      <c r="D4" s="10"/>
      <c r="E4" s="10"/>
      <c r="F4" s="10"/>
      <c r="G4" s="10"/>
      <c r="H4" s="10"/>
      <c r="I4" s="10"/>
      <c r="J4" s="10"/>
      <c r="K4" s="21"/>
      <c r="L4" s="21"/>
      <c r="M4" s="10"/>
      <c r="N4" s="10"/>
      <c r="O4" s="10"/>
      <c r="P4" s="10"/>
      <c r="Y4" s="14"/>
      <c r="Z4" s="27"/>
      <c r="AA4" s="27"/>
      <c r="AB4" s="27"/>
      <c r="AC4" s="47"/>
    </row>
    <row r="5" spans="1:29" s="23" customFormat="1" ht="13.5" customHeight="1">
      <c r="A5" s="58" t="s">
        <v>51</v>
      </c>
      <c r="B5" s="61" t="s">
        <v>62</v>
      </c>
      <c r="C5" s="61"/>
      <c r="D5" s="61"/>
      <c r="E5" s="61"/>
      <c r="F5" s="44"/>
      <c r="G5" s="61" t="s">
        <v>53</v>
      </c>
      <c r="H5" s="61"/>
      <c r="I5" s="61"/>
      <c r="J5" s="61"/>
      <c r="K5" s="11"/>
      <c r="L5" s="61" t="s">
        <v>54</v>
      </c>
      <c r="M5" s="61"/>
      <c r="N5" s="61"/>
      <c r="O5" s="61"/>
      <c r="P5" s="62" t="s">
        <v>52</v>
      </c>
      <c r="Y5" s="48"/>
      <c r="Z5" s="14"/>
      <c r="AA5" s="14"/>
      <c r="AB5" s="14"/>
      <c r="AC5" s="48"/>
    </row>
    <row r="6" spans="1:29" s="23" customFormat="1" ht="18.75" customHeight="1">
      <c r="A6" s="59"/>
      <c r="B6" s="65" t="s">
        <v>55</v>
      </c>
      <c r="C6" s="65"/>
      <c r="D6" s="65"/>
      <c r="E6" s="65"/>
      <c r="F6" s="24"/>
      <c r="G6" s="65" t="s">
        <v>56</v>
      </c>
      <c r="H6" s="65"/>
      <c r="I6" s="65"/>
      <c r="J6" s="65"/>
      <c r="K6" s="24"/>
      <c r="L6" s="65" t="s">
        <v>57</v>
      </c>
      <c r="M6" s="65"/>
      <c r="N6" s="65"/>
      <c r="O6" s="65"/>
      <c r="P6" s="63"/>
      <c r="Y6" s="48"/>
      <c r="Z6" s="29"/>
      <c r="AA6" s="49"/>
      <c r="AB6" s="29"/>
      <c r="AC6" s="48"/>
    </row>
    <row r="7" spans="1:29" s="25" customFormat="1" ht="12.75" customHeight="1">
      <c r="A7" s="59"/>
      <c r="B7" s="43" t="s">
        <v>1</v>
      </c>
      <c r="C7" s="43" t="s">
        <v>63</v>
      </c>
      <c r="D7" s="43" t="s">
        <v>64</v>
      </c>
      <c r="E7" s="43" t="s">
        <v>65</v>
      </c>
      <c r="F7" s="43"/>
      <c r="G7" s="43" t="s">
        <v>1</v>
      </c>
      <c r="H7" s="43" t="s">
        <v>63</v>
      </c>
      <c r="I7" s="43" t="s">
        <v>64</v>
      </c>
      <c r="J7" s="43" t="s">
        <v>66</v>
      </c>
      <c r="K7" s="43"/>
      <c r="L7" s="43" t="s">
        <v>1</v>
      </c>
      <c r="M7" s="43" t="s">
        <v>63</v>
      </c>
      <c r="N7" s="43" t="s">
        <v>64</v>
      </c>
      <c r="O7" s="43" t="s">
        <v>66</v>
      </c>
      <c r="P7" s="63"/>
      <c r="Y7" s="50"/>
      <c r="Z7" s="51"/>
      <c r="AA7" s="52"/>
      <c r="AB7" s="53"/>
      <c r="AC7" s="50"/>
    </row>
    <row r="8" spans="1:29" ht="37.5">
      <c r="A8" s="60"/>
      <c r="B8" s="45" t="s">
        <v>48</v>
      </c>
      <c r="C8" s="45" t="s">
        <v>67</v>
      </c>
      <c r="D8" s="45" t="s">
        <v>68</v>
      </c>
      <c r="E8" s="45" t="s">
        <v>69</v>
      </c>
      <c r="F8" s="46"/>
      <c r="G8" s="45" t="s">
        <v>48</v>
      </c>
      <c r="H8" s="45" t="s">
        <v>67</v>
      </c>
      <c r="I8" s="45" t="s">
        <v>68</v>
      </c>
      <c r="J8" s="45" t="s">
        <v>69</v>
      </c>
      <c r="K8" s="46"/>
      <c r="L8" s="45" t="s">
        <v>48</v>
      </c>
      <c r="M8" s="45" t="s">
        <v>67</v>
      </c>
      <c r="N8" s="45" t="s">
        <v>68</v>
      </c>
      <c r="O8" s="45" t="s">
        <v>69</v>
      </c>
      <c r="P8" s="64"/>
      <c r="Y8" s="14"/>
      <c r="Z8" s="54"/>
      <c r="AA8" s="49"/>
      <c r="AB8" s="53"/>
      <c r="AC8" s="14"/>
    </row>
    <row r="9" spans="1:29" s="26" customFormat="1" ht="21.75" customHeight="1">
      <c r="A9" s="7" t="s">
        <v>1</v>
      </c>
      <c r="B9" s="22">
        <f>G9+L9</f>
        <v>2430</v>
      </c>
      <c r="C9" s="22">
        <f t="shared" ref="C9:E9" si="0">H9+M9</f>
        <v>792</v>
      </c>
      <c r="D9" s="22">
        <f t="shared" si="0"/>
        <v>969</v>
      </c>
      <c r="E9" s="22">
        <f t="shared" si="0"/>
        <v>669</v>
      </c>
      <c r="F9" s="27"/>
      <c r="G9" s="22">
        <f>SUM(H9:J9)</f>
        <v>1434</v>
      </c>
      <c r="H9" s="22">
        <f>SUM(H10:H21)</f>
        <v>344</v>
      </c>
      <c r="I9" s="22">
        <f t="shared" ref="I9:J9" si="1">SUM(I10:I21)</f>
        <v>652</v>
      </c>
      <c r="J9" s="22">
        <f t="shared" si="1"/>
        <v>438</v>
      </c>
      <c r="K9" s="27"/>
      <c r="L9" s="22">
        <f>SUM(M9:O9)</f>
        <v>996</v>
      </c>
      <c r="M9" s="22">
        <f>SUM(M10:M21)</f>
        <v>448</v>
      </c>
      <c r="N9" s="22">
        <f t="shared" ref="N9:O9" si="2">SUM(N10:N21)</f>
        <v>317</v>
      </c>
      <c r="O9" s="22">
        <f t="shared" si="2"/>
        <v>231</v>
      </c>
      <c r="P9" s="28" t="s">
        <v>48</v>
      </c>
      <c r="Y9" s="51"/>
      <c r="Z9" s="29"/>
      <c r="AA9" s="49"/>
      <c r="AB9" s="53"/>
      <c r="AC9" s="51"/>
    </row>
    <row r="10" spans="1:29" s="20" customFormat="1" ht="21.75" customHeight="1">
      <c r="A10" s="29" t="s">
        <v>5</v>
      </c>
      <c r="B10" s="27">
        <f>IFERROR((G10+L10),"-")</f>
        <v>497</v>
      </c>
      <c r="C10" s="30">
        <f t="shared" ref="C10:E25" si="3">IFERROR((H10+M10),"-")</f>
        <v>68</v>
      </c>
      <c r="D10" s="30">
        <f t="shared" si="3"/>
        <v>290</v>
      </c>
      <c r="E10" s="30">
        <f t="shared" si="3"/>
        <v>139</v>
      </c>
      <c r="F10" s="30"/>
      <c r="G10" s="27">
        <f t="shared" ref="G10:G20" si="4">SUM(H10:J10)</f>
        <v>416</v>
      </c>
      <c r="H10" s="30">
        <v>59</v>
      </c>
      <c r="I10" s="30">
        <v>241</v>
      </c>
      <c r="J10" s="30">
        <v>116</v>
      </c>
      <c r="K10" s="30"/>
      <c r="L10" s="27">
        <f t="shared" ref="L10:L20" si="5">SUM(M10:O10)</f>
        <v>81</v>
      </c>
      <c r="M10" s="30">
        <v>9</v>
      </c>
      <c r="N10" s="30">
        <v>49</v>
      </c>
      <c r="O10" s="30">
        <v>23</v>
      </c>
      <c r="P10" s="12" t="s">
        <v>10</v>
      </c>
      <c r="Q10" s="31"/>
      <c r="R10" s="32"/>
      <c r="Y10" s="29"/>
      <c r="Z10" s="8"/>
      <c r="AA10" s="8"/>
      <c r="AB10" s="8"/>
      <c r="AC10" s="29"/>
    </row>
    <row r="11" spans="1:29" s="20" customFormat="1" ht="21.75" customHeight="1">
      <c r="A11" s="29" t="s">
        <v>0</v>
      </c>
      <c r="B11" s="27">
        <f t="shared" ref="B11:E34" si="6">IFERROR((G11+L11),"-")</f>
        <v>10</v>
      </c>
      <c r="C11" s="30">
        <f t="shared" si="3"/>
        <v>2</v>
      </c>
      <c r="D11" s="30">
        <f t="shared" si="3"/>
        <v>5</v>
      </c>
      <c r="E11" s="30">
        <f t="shared" si="3"/>
        <v>3</v>
      </c>
      <c r="F11" s="30"/>
      <c r="G11" s="27">
        <f t="shared" si="4"/>
        <v>7</v>
      </c>
      <c r="H11" s="30">
        <v>0</v>
      </c>
      <c r="I11" s="30">
        <v>5</v>
      </c>
      <c r="J11" s="30">
        <v>2</v>
      </c>
      <c r="K11" s="30"/>
      <c r="L11" s="27">
        <f t="shared" si="5"/>
        <v>3</v>
      </c>
      <c r="M11" s="30">
        <v>2</v>
      </c>
      <c r="N11" s="30">
        <v>0</v>
      </c>
      <c r="O11" s="30">
        <v>1</v>
      </c>
      <c r="P11" s="12" t="s">
        <v>2</v>
      </c>
      <c r="Q11" s="33"/>
      <c r="R11" s="32"/>
      <c r="Y11" s="14"/>
      <c r="Z11" s="29"/>
      <c r="AA11" s="29"/>
      <c r="AB11" s="29"/>
      <c r="AC11" s="14"/>
    </row>
    <row r="12" spans="1:29" s="20" customFormat="1" ht="21.75" customHeight="1">
      <c r="A12" s="29" t="s">
        <v>9</v>
      </c>
      <c r="B12" s="27">
        <f t="shared" si="6"/>
        <v>44</v>
      </c>
      <c r="C12" s="30">
        <f t="shared" si="3"/>
        <v>10</v>
      </c>
      <c r="D12" s="30">
        <f t="shared" si="3"/>
        <v>28</v>
      </c>
      <c r="E12" s="30">
        <f t="shared" si="3"/>
        <v>6</v>
      </c>
      <c r="F12" s="30"/>
      <c r="G12" s="27">
        <f t="shared" si="4"/>
        <v>38</v>
      </c>
      <c r="H12" s="30">
        <v>8</v>
      </c>
      <c r="I12" s="30">
        <v>25</v>
      </c>
      <c r="J12" s="30">
        <v>5</v>
      </c>
      <c r="K12" s="30"/>
      <c r="L12" s="27">
        <f t="shared" si="5"/>
        <v>6</v>
      </c>
      <c r="M12" s="30">
        <v>2</v>
      </c>
      <c r="N12" s="30">
        <v>3</v>
      </c>
      <c r="O12" s="30">
        <v>1</v>
      </c>
      <c r="P12" s="12" t="s">
        <v>15</v>
      </c>
      <c r="Q12" s="33"/>
      <c r="R12" s="32"/>
      <c r="Y12" s="48"/>
      <c r="Z12" s="14"/>
      <c r="AA12" s="6"/>
      <c r="AB12" s="6"/>
      <c r="AC12" s="48"/>
    </row>
    <row r="13" spans="1:29" s="20" customFormat="1" ht="21.75" customHeight="1">
      <c r="A13" s="29" t="s">
        <v>3</v>
      </c>
      <c r="B13" s="27">
        <f t="shared" si="6"/>
        <v>3</v>
      </c>
      <c r="C13" s="30">
        <f t="shared" si="3"/>
        <v>2</v>
      </c>
      <c r="D13" s="30">
        <f t="shared" si="3"/>
        <v>1</v>
      </c>
      <c r="E13" s="30">
        <f t="shared" si="3"/>
        <v>0</v>
      </c>
      <c r="F13" s="30"/>
      <c r="G13" s="27">
        <f t="shared" si="4"/>
        <v>3</v>
      </c>
      <c r="H13" s="30">
        <v>2</v>
      </c>
      <c r="I13" s="30">
        <v>1</v>
      </c>
      <c r="J13" s="30">
        <v>0</v>
      </c>
      <c r="K13" s="30"/>
      <c r="L13" s="27">
        <f t="shared" si="5"/>
        <v>0</v>
      </c>
      <c r="M13" s="30">
        <v>0</v>
      </c>
      <c r="N13" s="30">
        <v>0</v>
      </c>
      <c r="O13" s="30">
        <v>0</v>
      </c>
      <c r="P13" s="12" t="s">
        <v>7</v>
      </c>
      <c r="Q13" s="33"/>
      <c r="R13" s="32"/>
      <c r="Y13" s="48"/>
      <c r="Z13" s="19"/>
      <c r="AA13" s="8"/>
      <c r="AB13" s="8"/>
      <c r="AC13" s="48"/>
    </row>
    <row r="14" spans="1:29" s="20" customFormat="1" ht="21.75" customHeight="1">
      <c r="A14" s="29" t="s">
        <v>13</v>
      </c>
      <c r="B14" s="27">
        <f t="shared" si="6"/>
        <v>317</v>
      </c>
      <c r="C14" s="30">
        <f t="shared" si="3"/>
        <v>259</v>
      </c>
      <c r="D14" s="30">
        <f t="shared" si="3"/>
        <v>43</v>
      </c>
      <c r="E14" s="30">
        <f t="shared" si="3"/>
        <v>15</v>
      </c>
      <c r="F14" s="30"/>
      <c r="G14" s="27">
        <f t="shared" si="4"/>
        <v>61</v>
      </c>
      <c r="H14" s="30">
        <v>55</v>
      </c>
      <c r="I14" s="30">
        <v>6</v>
      </c>
      <c r="J14" s="30">
        <v>0</v>
      </c>
      <c r="K14" s="30"/>
      <c r="L14" s="27">
        <f t="shared" si="5"/>
        <v>256</v>
      </c>
      <c r="M14" s="30">
        <v>204</v>
      </c>
      <c r="N14" s="30">
        <v>37</v>
      </c>
      <c r="O14" s="30">
        <v>15</v>
      </c>
      <c r="P14" s="12" t="s">
        <v>58</v>
      </c>
      <c r="Q14" s="33"/>
      <c r="R14" s="32"/>
      <c r="Y14" s="9"/>
      <c r="Z14" s="19"/>
      <c r="AA14" s="8"/>
      <c r="AB14" s="8"/>
      <c r="AC14" s="9"/>
    </row>
    <row r="15" spans="1:29" s="20" customFormat="1" ht="21.75" customHeight="1">
      <c r="A15" s="29" t="s">
        <v>16</v>
      </c>
      <c r="B15" s="27">
        <f t="shared" si="6"/>
        <v>622</v>
      </c>
      <c r="C15" s="30">
        <f t="shared" si="3"/>
        <v>40</v>
      </c>
      <c r="D15" s="30">
        <f t="shared" si="3"/>
        <v>340</v>
      </c>
      <c r="E15" s="30">
        <f t="shared" si="3"/>
        <v>242</v>
      </c>
      <c r="F15" s="30"/>
      <c r="G15" s="27">
        <f t="shared" si="4"/>
        <v>439</v>
      </c>
      <c r="H15" s="30">
        <v>28</v>
      </c>
      <c r="I15" s="30">
        <v>258</v>
      </c>
      <c r="J15" s="30">
        <v>153</v>
      </c>
      <c r="K15" s="30"/>
      <c r="L15" s="27">
        <f t="shared" si="5"/>
        <v>183</v>
      </c>
      <c r="M15" s="30">
        <v>12</v>
      </c>
      <c r="N15" s="30">
        <v>82</v>
      </c>
      <c r="O15" s="30">
        <v>89</v>
      </c>
      <c r="P15" s="12" t="s">
        <v>4</v>
      </c>
      <c r="Q15" s="33"/>
      <c r="R15" s="32"/>
      <c r="Y15" s="29"/>
      <c r="Z15" s="14"/>
      <c r="AA15" s="8"/>
      <c r="AB15" s="8"/>
      <c r="AC15" s="29"/>
    </row>
    <row r="16" spans="1:29" s="20" customFormat="1" ht="21.75" customHeight="1">
      <c r="A16" s="29" t="s">
        <v>18</v>
      </c>
      <c r="B16" s="27">
        <f t="shared" si="6"/>
        <v>213</v>
      </c>
      <c r="C16" s="30">
        <f t="shared" si="3"/>
        <v>114</v>
      </c>
      <c r="D16" s="30">
        <f t="shared" si="3"/>
        <v>56</v>
      </c>
      <c r="E16" s="30">
        <f t="shared" si="3"/>
        <v>43</v>
      </c>
      <c r="F16" s="30"/>
      <c r="G16" s="27">
        <f t="shared" si="4"/>
        <v>67</v>
      </c>
      <c r="H16" s="30">
        <v>58</v>
      </c>
      <c r="I16" s="30">
        <v>6</v>
      </c>
      <c r="J16" s="30">
        <v>3</v>
      </c>
      <c r="K16" s="30"/>
      <c r="L16" s="27">
        <f t="shared" si="5"/>
        <v>146</v>
      </c>
      <c r="M16" s="30">
        <v>56</v>
      </c>
      <c r="N16" s="30">
        <v>50</v>
      </c>
      <c r="O16" s="30">
        <v>40</v>
      </c>
      <c r="P16" s="12" t="s">
        <v>21</v>
      </c>
      <c r="Q16" s="33"/>
      <c r="R16" s="32"/>
      <c r="Y16" s="29"/>
      <c r="Z16" s="19"/>
      <c r="AA16" s="8"/>
      <c r="AB16" s="8"/>
      <c r="AC16" s="29"/>
    </row>
    <row r="17" spans="1:29" s="20" customFormat="1" ht="21.75" customHeight="1">
      <c r="A17" s="29" t="s">
        <v>20</v>
      </c>
      <c r="B17" s="27">
        <f t="shared" si="6"/>
        <v>0</v>
      </c>
      <c r="C17" s="30">
        <f t="shared" si="3"/>
        <v>0</v>
      </c>
      <c r="D17" s="30">
        <f t="shared" si="3"/>
        <v>0</v>
      </c>
      <c r="E17" s="30">
        <f t="shared" si="3"/>
        <v>0</v>
      </c>
      <c r="F17" s="30"/>
      <c r="G17" s="27">
        <f t="shared" si="4"/>
        <v>0</v>
      </c>
      <c r="H17" s="30">
        <v>0</v>
      </c>
      <c r="I17" s="30">
        <v>0</v>
      </c>
      <c r="J17" s="30">
        <v>0</v>
      </c>
      <c r="K17" s="30"/>
      <c r="L17" s="27">
        <f t="shared" si="5"/>
        <v>0</v>
      </c>
      <c r="M17" s="30">
        <v>0</v>
      </c>
      <c r="N17" s="30">
        <v>0</v>
      </c>
      <c r="O17" s="30">
        <v>0</v>
      </c>
      <c r="P17" s="12" t="s">
        <v>49</v>
      </c>
      <c r="Q17" s="33"/>
      <c r="R17" s="32"/>
      <c r="Y17" s="29"/>
      <c r="Z17" s="19"/>
      <c r="AA17" s="8"/>
      <c r="AB17" s="8"/>
      <c r="AC17" s="29"/>
    </row>
    <row r="18" spans="1:29" s="20" customFormat="1" ht="21.75" customHeight="1">
      <c r="A18" s="29" t="s">
        <v>11</v>
      </c>
      <c r="B18" s="27">
        <f t="shared" si="6"/>
        <v>17</v>
      </c>
      <c r="C18" s="30">
        <f t="shared" si="3"/>
        <v>5</v>
      </c>
      <c r="D18" s="30">
        <f t="shared" si="3"/>
        <v>8</v>
      </c>
      <c r="E18" s="30">
        <f t="shared" si="3"/>
        <v>4</v>
      </c>
      <c r="F18" s="30"/>
      <c r="G18" s="27">
        <f t="shared" si="4"/>
        <v>12</v>
      </c>
      <c r="H18" s="30">
        <v>4</v>
      </c>
      <c r="I18" s="30">
        <v>5</v>
      </c>
      <c r="J18" s="30">
        <v>3</v>
      </c>
      <c r="K18" s="30"/>
      <c r="L18" s="27">
        <f t="shared" si="5"/>
        <v>5</v>
      </c>
      <c r="M18" s="30">
        <v>1</v>
      </c>
      <c r="N18" s="30">
        <v>3</v>
      </c>
      <c r="O18" s="30">
        <v>1</v>
      </c>
      <c r="P18" s="12" t="s">
        <v>12</v>
      </c>
      <c r="Q18" s="33"/>
      <c r="R18" s="32"/>
    </row>
    <row r="19" spans="1:29" s="20" customFormat="1" ht="21.75" customHeight="1">
      <c r="A19" s="29" t="s">
        <v>17</v>
      </c>
      <c r="B19" s="27">
        <f t="shared" si="6"/>
        <v>0</v>
      </c>
      <c r="C19" s="30">
        <f t="shared" si="3"/>
        <v>0</v>
      </c>
      <c r="D19" s="30">
        <f t="shared" si="3"/>
        <v>0</v>
      </c>
      <c r="E19" s="30">
        <f t="shared" si="3"/>
        <v>0</v>
      </c>
      <c r="F19" s="30"/>
      <c r="G19" s="27">
        <f t="shared" si="4"/>
        <v>0</v>
      </c>
      <c r="H19" s="30">
        <v>0</v>
      </c>
      <c r="I19" s="30">
        <v>0</v>
      </c>
      <c r="J19" s="30">
        <v>0</v>
      </c>
      <c r="K19" s="30"/>
      <c r="L19" s="27">
        <f t="shared" si="5"/>
        <v>0</v>
      </c>
      <c r="M19" s="30">
        <v>0</v>
      </c>
      <c r="N19" s="30">
        <v>0</v>
      </c>
      <c r="O19" s="30">
        <v>0</v>
      </c>
      <c r="P19" s="12" t="s">
        <v>19</v>
      </c>
      <c r="Q19" s="33"/>
      <c r="R19" s="32"/>
      <c r="S19" s="29"/>
    </row>
    <row r="20" spans="1:29" s="20" customFormat="1" ht="21.75" customHeight="1">
      <c r="A20" s="29" t="s">
        <v>27</v>
      </c>
      <c r="B20" s="27">
        <f t="shared" si="6"/>
        <v>0</v>
      </c>
      <c r="C20" s="30">
        <f t="shared" si="3"/>
        <v>0</v>
      </c>
      <c r="D20" s="30">
        <f t="shared" si="3"/>
        <v>0</v>
      </c>
      <c r="E20" s="30">
        <f t="shared" si="3"/>
        <v>0</v>
      </c>
      <c r="F20" s="30"/>
      <c r="G20" s="27">
        <f t="shared" si="4"/>
        <v>0</v>
      </c>
      <c r="H20" s="30">
        <v>0</v>
      </c>
      <c r="I20" s="30">
        <v>0</v>
      </c>
      <c r="J20" s="30">
        <v>0</v>
      </c>
      <c r="K20" s="30"/>
      <c r="L20" s="27">
        <f t="shared" si="5"/>
        <v>0</v>
      </c>
      <c r="M20" s="30">
        <v>0</v>
      </c>
      <c r="N20" s="30">
        <v>0</v>
      </c>
      <c r="O20" s="30">
        <v>0</v>
      </c>
      <c r="P20" s="12" t="s">
        <v>8</v>
      </c>
      <c r="Q20" s="33"/>
      <c r="R20" s="32"/>
      <c r="S20" s="29"/>
    </row>
    <row r="21" spans="1:29" s="20" customFormat="1" ht="21.75" customHeight="1">
      <c r="A21" s="29" t="s">
        <v>6</v>
      </c>
      <c r="B21" s="27">
        <f t="shared" si="6"/>
        <v>707</v>
      </c>
      <c r="C21" s="30">
        <f t="shared" si="3"/>
        <v>292</v>
      </c>
      <c r="D21" s="30">
        <f t="shared" si="3"/>
        <v>198</v>
      </c>
      <c r="E21" s="30">
        <f t="shared" si="3"/>
        <v>217</v>
      </c>
      <c r="F21" s="30"/>
      <c r="G21" s="27">
        <f>SUM(H21:J21)</f>
        <v>391</v>
      </c>
      <c r="H21" s="30">
        <f>SUM(H22:H34)</f>
        <v>130</v>
      </c>
      <c r="I21" s="30">
        <f t="shared" ref="I21" si="7">SUM(I22:I34)</f>
        <v>105</v>
      </c>
      <c r="J21" s="30">
        <f t="shared" ref="J21" si="8">SUM(J22:J34)</f>
        <v>156</v>
      </c>
      <c r="K21" s="30"/>
      <c r="L21" s="27">
        <f>SUM(M21:O21)</f>
        <v>316</v>
      </c>
      <c r="M21" s="30">
        <f>SUM(M22:M34)</f>
        <v>162</v>
      </c>
      <c r="N21" s="30">
        <f t="shared" ref="N21:O21" si="9">SUM(N22:N34)</f>
        <v>93</v>
      </c>
      <c r="O21" s="30">
        <f t="shared" si="9"/>
        <v>61</v>
      </c>
      <c r="P21" s="12" t="s">
        <v>24</v>
      </c>
      <c r="Q21" s="33"/>
      <c r="R21" s="32"/>
      <c r="S21" s="29"/>
    </row>
    <row r="22" spans="1:29" ht="18.75" customHeight="1">
      <c r="A22" s="1" t="s">
        <v>25</v>
      </c>
      <c r="B22" s="27">
        <f t="shared" si="6"/>
        <v>0</v>
      </c>
      <c r="C22" s="30">
        <f t="shared" si="3"/>
        <v>0</v>
      </c>
      <c r="D22" s="30">
        <f t="shared" si="3"/>
        <v>0</v>
      </c>
      <c r="E22" s="30">
        <f t="shared" si="3"/>
        <v>0</v>
      </c>
      <c r="F22" s="30"/>
      <c r="G22" s="27">
        <f>SUM(H22:J22)</f>
        <v>0</v>
      </c>
      <c r="H22" s="30">
        <v>0</v>
      </c>
      <c r="I22" s="30">
        <v>0</v>
      </c>
      <c r="J22" s="30">
        <v>0</v>
      </c>
      <c r="K22" s="30"/>
      <c r="L22" s="27">
        <f>SUM(M22:O22)</f>
        <v>0</v>
      </c>
      <c r="M22" s="30">
        <v>0</v>
      </c>
      <c r="N22" s="30">
        <v>0</v>
      </c>
      <c r="O22" s="30">
        <v>0</v>
      </c>
      <c r="P22" s="2" t="s">
        <v>26</v>
      </c>
      <c r="Q22" s="33"/>
      <c r="R22" s="14"/>
      <c r="S22" s="14"/>
    </row>
    <row r="23" spans="1:29" ht="18.75" customHeight="1">
      <c r="A23" s="4" t="s">
        <v>28</v>
      </c>
      <c r="B23" s="27">
        <f t="shared" si="6"/>
        <v>21</v>
      </c>
      <c r="C23" s="30">
        <f t="shared" si="3"/>
        <v>16</v>
      </c>
      <c r="D23" s="30">
        <f t="shared" si="3"/>
        <v>4</v>
      </c>
      <c r="E23" s="30">
        <f t="shared" si="3"/>
        <v>1</v>
      </c>
      <c r="F23" s="30"/>
      <c r="G23" s="27">
        <f t="shared" ref="G23:G34" si="10">SUM(H23:J23)</f>
        <v>9</v>
      </c>
      <c r="H23" s="30">
        <v>6</v>
      </c>
      <c r="I23" s="30">
        <v>2</v>
      </c>
      <c r="J23" s="30">
        <v>1</v>
      </c>
      <c r="K23" s="30"/>
      <c r="L23" s="27">
        <f t="shared" ref="L23:L34" si="11">SUM(M23:O23)</f>
        <v>12</v>
      </c>
      <c r="M23" s="30">
        <v>10</v>
      </c>
      <c r="N23" s="30">
        <v>2</v>
      </c>
      <c r="O23" s="30">
        <v>0</v>
      </c>
      <c r="P23" s="2" t="s">
        <v>29</v>
      </c>
      <c r="Q23" s="33"/>
      <c r="R23" s="14"/>
      <c r="S23" s="14"/>
    </row>
    <row r="24" spans="1:29" ht="18.75" customHeight="1">
      <c r="A24" s="4" t="s">
        <v>31</v>
      </c>
      <c r="B24" s="27">
        <f t="shared" si="6"/>
        <v>48</v>
      </c>
      <c r="C24" s="30">
        <f t="shared" si="3"/>
        <v>4</v>
      </c>
      <c r="D24" s="30">
        <f t="shared" si="3"/>
        <v>11</v>
      </c>
      <c r="E24" s="30">
        <f t="shared" si="3"/>
        <v>33</v>
      </c>
      <c r="F24" s="30"/>
      <c r="G24" s="27">
        <f t="shared" si="10"/>
        <v>39</v>
      </c>
      <c r="H24" s="30">
        <v>4</v>
      </c>
      <c r="I24" s="30">
        <v>10</v>
      </c>
      <c r="J24" s="30">
        <v>25</v>
      </c>
      <c r="K24" s="30"/>
      <c r="L24" s="27">
        <f t="shared" si="11"/>
        <v>9</v>
      </c>
      <c r="M24" s="30">
        <v>0</v>
      </c>
      <c r="N24" s="30">
        <v>1</v>
      </c>
      <c r="O24" s="30">
        <v>8</v>
      </c>
      <c r="P24" s="2" t="s">
        <v>32</v>
      </c>
      <c r="Q24" s="33"/>
      <c r="R24" s="14"/>
      <c r="S24" s="14"/>
    </row>
    <row r="25" spans="1:29" ht="18.75" customHeight="1">
      <c r="A25" s="4" t="s">
        <v>33</v>
      </c>
      <c r="B25" s="27">
        <f t="shared" si="6"/>
        <v>69</v>
      </c>
      <c r="C25" s="30">
        <f t="shared" si="3"/>
        <v>66</v>
      </c>
      <c r="D25" s="30">
        <f t="shared" si="3"/>
        <v>2</v>
      </c>
      <c r="E25" s="30">
        <f t="shared" si="3"/>
        <v>1</v>
      </c>
      <c r="F25" s="30"/>
      <c r="G25" s="27">
        <f t="shared" si="10"/>
        <v>34</v>
      </c>
      <c r="H25" s="30">
        <v>33</v>
      </c>
      <c r="I25" s="30">
        <v>0</v>
      </c>
      <c r="J25" s="30">
        <v>1</v>
      </c>
      <c r="K25" s="30"/>
      <c r="L25" s="27">
        <f t="shared" si="11"/>
        <v>35</v>
      </c>
      <c r="M25" s="30">
        <v>33</v>
      </c>
      <c r="N25" s="30">
        <v>2</v>
      </c>
      <c r="O25" s="30">
        <v>0</v>
      </c>
      <c r="P25" s="2" t="s">
        <v>34</v>
      </c>
      <c r="Q25" s="33"/>
      <c r="R25" s="14"/>
      <c r="S25" s="14"/>
    </row>
    <row r="26" spans="1:29" ht="18.75" customHeight="1">
      <c r="A26" s="4" t="s">
        <v>23</v>
      </c>
      <c r="B26" s="27">
        <f t="shared" si="6"/>
        <v>0</v>
      </c>
      <c r="C26" s="30">
        <f t="shared" si="6"/>
        <v>0</v>
      </c>
      <c r="D26" s="30">
        <f t="shared" si="6"/>
        <v>0</v>
      </c>
      <c r="E26" s="30">
        <f t="shared" si="6"/>
        <v>0</v>
      </c>
      <c r="F26" s="30"/>
      <c r="G26" s="27">
        <f t="shared" si="10"/>
        <v>0</v>
      </c>
      <c r="H26" s="30">
        <v>0</v>
      </c>
      <c r="I26" s="30">
        <v>0</v>
      </c>
      <c r="J26" s="30">
        <v>0</v>
      </c>
      <c r="K26" s="30"/>
      <c r="L26" s="27">
        <f t="shared" si="11"/>
        <v>0</v>
      </c>
      <c r="M26" s="30">
        <v>0</v>
      </c>
      <c r="N26" s="30">
        <v>0</v>
      </c>
      <c r="O26" s="30">
        <v>0</v>
      </c>
      <c r="P26" s="2" t="s">
        <v>35</v>
      </c>
      <c r="Q26" s="33"/>
      <c r="R26" s="14"/>
      <c r="S26" s="14"/>
    </row>
    <row r="27" spans="1:29" ht="18.75" customHeight="1">
      <c r="A27" s="4" t="s">
        <v>22</v>
      </c>
      <c r="B27" s="27">
        <f t="shared" si="6"/>
        <v>25</v>
      </c>
      <c r="C27" s="30">
        <f t="shared" si="6"/>
        <v>11</v>
      </c>
      <c r="D27" s="30">
        <f t="shared" si="6"/>
        <v>6</v>
      </c>
      <c r="E27" s="30">
        <f t="shared" si="6"/>
        <v>8</v>
      </c>
      <c r="F27" s="30"/>
      <c r="G27" s="27">
        <f t="shared" si="10"/>
        <v>8</v>
      </c>
      <c r="H27" s="30">
        <v>5</v>
      </c>
      <c r="I27" s="30">
        <v>1</v>
      </c>
      <c r="J27" s="30">
        <v>2</v>
      </c>
      <c r="K27" s="30"/>
      <c r="L27" s="27">
        <f t="shared" si="11"/>
        <v>17</v>
      </c>
      <c r="M27" s="30">
        <v>6</v>
      </c>
      <c r="N27" s="30">
        <v>5</v>
      </c>
      <c r="O27" s="30">
        <v>6</v>
      </c>
      <c r="P27" s="2" t="s">
        <v>36</v>
      </c>
      <c r="Q27" s="33"/>
      <c r="R27" s="14"/>
      <c r="S27" s="14"/>
    </row>
    <row r="28" spans="1:29" ht="18.75" customHeight="1">
      <c r="A28" s="4" t="s">
        <v>30</v>
      </c>
      <c r="B28" s="27">
        <f t="shared" si="6"/>
        <v>8</v>
      </c>
      <c r="C28" s="30">
        <f t="shared" si="6"/>
        <v>0</v>
      </c>
      <c r="D28" s="30">
        <f t="shared" si="6"/>
        <v>6</v>
      </c>
      <c r="E28" s="30">
        <f t="shared" si="6"/>
        <v>2</v>
      </c>
      <c r="F28" s="30"/>
      <c r="G28" s="27">
        <f t="shared" si="10"/>
        <v>8</v>
      </c>
      <c r="H28" s="30">
        <v>0</v>
      </c>
      <c r="I28" s="30">
        <v>6</v>
      </c>
      <c r="J28" s="30">
        <v>2</v>
      </c>
      <c r="K28" s="30"/>
      <c r="L28" s="27">
        <f t="shared" si="11"/>
        <v>0</v>
      </c>
      <c r="M28" s="30">
        <v>0</v>
      </c>
      <c r="N28" s="30">
        <v>0</v>
      </c>
      <c r="O28" s="30">
        <v>0</v>
      </c>
      <c r="P28" s="2" t="s">
        <v>37</v>
      </c>
      <c r="Q28" s="33"/>
      <c r="R28" s="14"/>
      <c r="S28" s="14"/>
    </row>
    <row r="29" spans="1:29" ht="18.75" customHeight="1">
      <c r="A29" s="4" t="s">
        <v>38</v>
      </c>
      <c r="B29" s="27">
        <f t="shared" si="6"/>
        <v>39</v>
      </c>
      <c r="C29" s="30">
        <f t="shared" si="6"/>
        <v>34</v>
      </c>
      <c r="D29" s="30">
        <f t="shared" si="6"/>
        <v>4</v>
      </c>
      <c r="E29" s="30">
        <f t="shared" si="6"/>
        <v>1</v>
      </c>
      <c r="F29" s="30"/>
      <c r="G29" s="27">
        <f t="shared" si="10"/>
        <v>12</v>
      </c>
      <c r="H29" s="30">
        <v>11</v>
      </c>
      <c r="I29" s="30">
        <v>1</v>
      </c>
      <c r="J29" s="30">
        <v>0</v>
      </c>
      <c r="K29" s="30"/>
      <c r="L29" s="27">
        <f t="shared" si="11"/>
        <v>27</v>
      </c>
      <c r="M29" s="30">
        <v>23</v>
      </c>
      <c r="N29" s="30">
        <v>3</v>
      </c>
      <c r="O29" s="30">
        <v>1</v>
      </c>
      <c r="P29" s="2" t="s">
        <v>39</v>
      </c>
      <c r="Q29" s="33"/>
      <c r="R29" s="14"/>
      <c r="S29" s="14"/>
    </row>
    <row r="30" spans="1:29" ht="18.75" customHeight="1">
      <c r="A30" s="4" t="s">
        <v>40</v>
      </c>
      <c r="B30" s="27">
        <f t="shared" si="6"/>
        <v>0</v>
      </c>
      <c r="C30" s="30">
        <f t="shared" si="6"/>
        <v>0</v>
      </c>
      <c r="D30" s="30">
        <f t="shared" si="6"/>
        <v>0</v>
      </c>
      <c r="E30" s="30">
        <f t="shared" si="6"/>
        <v>0</v>
      </c>
      <c r="F30" s="30"/>
      <c r="G30" s="27">
        <f t="shared" si="10"/>
        <v>0</v>
      </c>
      <c r="H30" s="30">
        <v>0</v>
      </c>
      <c r="I30" s="30">
        <v>0</v>
      </c>
      <c r="J30" s="30">
        <v>0</v>
      </c>
      <c r="K30" s="30"/>
      <c r="L30" s="27">
        <f t="shared" si="11"/>
        <v>0</v>
      </c>
      <c r="M30" s="30">
        <v>0</v>
      </c>
      <c r="N30" s="30">
        <v>0</v>
      </c>
      <c r="O30" s="30">
        <v>0</v>
      </c>
      <c r="P30" s="2" t="s">
        <v>41</v>
      </c>
      <c r="Q30" s="33"/>
      <c r="R30" s="14"/>
      <c r="S30" s="14"/>
      <c r="Z30" s="13" t="s">
        <v>59</v>
      </c>
      <c r="AA30" s="17">
        <f>Y37+Z37</f>
        <v>792</v>
      </c>
    </row>
    <row r="31" spans="1:29" ht="18.75" customHeight="1">
      <c r="A31" s="4" t="s">
        <v>14</v>
      </c>
      <c r="B31" s="27">
        <f t="shared" si="6"/>
        <v>109</v>
      </c>
      <c r="C31" s="30">
        <f t="shared" si="6"/>
        <v>25</v>
      </c>
      <c r="D31" s="30">
        <f t="shared" si="6"/>
        <v>42</v>
      </c>
      <c r="E31" s="30">
        <f t="shared" si="6"/>
        <v>42</v>
      </c>
      <c r="F31" s="30"/>
      <c r="G31" s="27">
        <f t="shared" si="10"/>
        <v>48</v>
      </c>
      <c r="H31" s="30">
        <v>8</v>
      </c>
      <c r="I31" s="30">
        <v>14</v>
      </c>
      <c r="J31" s="30">
        <v>26</v>
      </c>
      <c r="K31" s="30"/>
      <c r="L31" s="27">
        <f t="shared" si="11"/>
        <v>61</v>
      </c>
      <c r="M31" s="30">
        <v>17</v>
      </c>
      <c r="N31" s="30">
        <v>28</v>
      </c>
      <c r="O31" s="30">
        <v>16</v>
      </c>
      <c r="P31" s="2" t="s">
        <v>42</v>
      </c>
      <c r="Q31" s="33"/>
      <c r="R31" s="14"/>
      <c r="S31" s="14"/>
      <c r="Z31" s="13" t="s">
        <v>60</v>
      </c>
      <c r="AA31" s="17">
        <f t="shared" ref="AA31:AA32" si="12">Y38+Z38</f>
        <v>969</v>
      </c>
    </row>
    <row r="32" spans="1:29" s="37" customFormat="1" ht="23.25" customHeight="1">
      <c r="A32" s="38" t="s">
        <v>43</v>
      </c>
      <c r="B32" s="27">
        <f t="shared" si="6"/>
        <v>0</v>
      </c>
      <c r="C32" s="30">
        <f t="shared" si="6"/>
        <v>0</v>
      </c>
      <c r="D32" s="30">
        <f t="shared" si="6"/>
        <v>0</v>
      </c>
      <c r="E32" s="30">
        <f t="shared" si="6"/>
        <v>0</v>
      </c>
      <c r="F32" s="30"/>
      <c r="G32" s="27">
        <f t="shared" si="10"/>
        <v>0</v>
      </c>
      <c r="H32" s="30">
        <v>0</v>
      </c>
      <c r="I32" s="30">
        <v>0</v>
      </c>
      <c r="J32" s="30">
        <v>0</v>
      </c>
      <c r="K32" s="30"/>
      <c r="L32" s="27">
        <f t="shared" si="11"/>
        <v>0</v>
      </c>
      <c r="M32" s="30">
        <v>0</v>
      </c>
      <c r="N32" s="30">
        <v>0</v>
      </c>
      <c r="O32" s="30">
        <v>0</v>
      </c>
      <c r="P32" s="39" t="s">
        <v>44</v>
      </c>
      <c r="Q32" s="33"/>
      <c r="R32" s="36"/>
      <c r="S32" s="36"/>
      <c r="Z32" s="13" t="s">
        <v>61</v>
      </c>
      <c r="AA32" s="17">
        <f t="shared" si="12"/>
        <v>669</v>
      </c>
    </row>
    <row r="33" spans="1:26" ht="18.75" customHeight="1">
      <c r="A33" s="4" t="s">
        <v>45</v>
      </c>
      <c r="B33" s="27">
        <f>IFERROR((G33+L33),"-")</f>
        <v>10</v>
      </c>
      <c r="C33" s="30">
        <f t="shared" si="6"/>
        <v>3</v>
      </c>
      <c r="D33" s="30">
        <f t="shared" si="6"/>
        <v>4</v>
      </c>
      <c r="E33" s="30">
        <f t="shared" si="6"/>
        <v>3</v>
      </c>
      <c r="F33" s="30"/>
      <c r="G33" s="27">
        <f t="shared" si="10"/>
        <v>6</v>
      </c>
      <c r="H33" s="30">
        <v>2</v>
      </c>
      <c r="I33" s="30">
        <v>2</v>
      </c>
      <c r="J33" s="30">
        <v>2</v>
      </c>
      <c r="K33" s="30"/>
      <c r="L33" s="27">
        <f t="shared" si="11"/>
        <v>4</v>
      </c>
      <c r="M33" s="30">
        <v>1</v>
      </c>
      <c r="N33" s="30">
        <v>2</v>
      </c>
      <c r="O33" s="30">
        <v>1</v>
      </c>
      <c r="P33" s="2" t="s">
        <v>46</v>
      </c>
      <c r="Q33" s="33"/>
      <c r="R33" s="14"/>
      <c r="S33" s="14"/>
    </row>
    <row r="34" spans="1:26" ht="18.75" customHeight="1">
      <c r="A34" s="5" t="s">
        <v>6</v>
      </c>
      <c r="B34" s="41">
        <f t="shared" si="6"/>
        <v>378</v>
      </c>
      <c r="C34" s="34">
        <f t="shared" si="6"/>
        <v>133</v>
      </c>
      <c r="D34" s="34">
        <f t="shared" si="6"/>
        <v>119</v>
      </c>
      <c r="E34" s="34">
        <f t="shared" si="6"/>
        <v>126</v>
      </c>
      <c r="F34" s="34"/>
      <c r="G34" s="41">
        <f t="shared" si="10"/>
        <v>227</v>
      </c>
      <c r="H34" s="34">
        <v>61</v>
      </c>
      <c r="I34" s="34">
        <v>69</v>
      </c>
      <c r="J34" s="34">
        <v>97</v>
      </c>
      <c r="K34" s="34"/>
      <c r="L34" s="41">
        <f t="shared" si="11"/>
        <v>151</v>
      </c>
      <c r="M34" s="34">
        <v>72</v>
      </c>
      <c r="N34" s="34">
        <v>50</v>
      </c>
      <c r="O34" s="34">
        <v>29</v>
      </c>
      <c r="P34" s="3" t="s">
        <v>24</v>
      </c>
      <c r="Q34" s="33"/>
      <c r="R34" s="14"/>
      <c r="S34" s="14"/>
    </row>
    <row r="35" spans="1:26" ht="18.75" customHeight="1">
      <c r="A35" s="40" t="s">
        <v>70</v>
      </c>
      <c r="B35" s="30"/>
      <c r="C35" s="30"/>
      <c r="D35" s="30"/>
      <c r="E35" s="30"/>
      <c r="F35" s="30"/>
      <c r="G35" s="30"/>
      <c r="H35" s="30"/>
      <c r="I35" s="30"/>
      <c r="J35" s="30"/>
      <c r="K35" s="30"/>
      <c r="L35" s="30"/>
      <c r="M35" s="30"/>
      <c r="N35" s="30"/>
      <c r="O35" s="30"/>
      <c r="P35" s="2"/>
      <c r="Q35" s="33"/>
      <c r="R35" s="14"/>
      <c r="S35" s="14"/>
    </row>
    <row r="36" spans="1:26" ht="18.75" customHeight="1">
      <c r="A36" s="15" t="s">
        <v>47</v>
      </c>
      <c r="B36" s="30"/>
      <c r="C36" s="30"/>
      <c r="D36" s="30"/>
      <c r="E36" s="30"/>
      <c r="F36" s="30"/>
      <c r="G36" s="30"/>
      <c r="N36" s="16"/>
      <c r="O36" s="16"/>
      <c r="P36" s="16" t="s">
        <v>50</v>
      </c>
      <c r="Q36" s="33"/>
      <c r="R36" s="14"/>
      <c r="S36" s="14"/>
      <c r="Y36" s="6" t="s">
        <v>53</v>
      </c>
      <c r="Z36" s="6" t="s">
        <v>54</v>
      </c>
    </row>
    <row r="37" spans="1:26" ht="18.75" customHeight="1">
      <c r="A37" s="15"/>
      <c r="N37" s="35"/>
      <c r="O37" s="35"/>
      <c r="P37" s="35"/>
      <c r="Q37" s="33"/>
      <c r="R37" s="14"/>
      <c r="S37" s="14"/>
      <c r="X37" s="13" t="s">
        <v>59</v>
      </c>
      <c r="Y37" s="17">
        <f>H9</f>
        <v>344</v>
      </c>
      <c r="Z37" s="17">
        <f>M9</f>
        <v>448</v>
      </c>
    </row>
    <row r="38" spans="1:26" ht="18.75" customHeight="1">
      <c r="A38" s="15"/>
      <c r="N38" s="35"/>
      <c r="O38" s="35"/>
      <c r="P38" s="35"/>
      <c r="Q38" s="33"/>
      <c r="R38" s="14"/>
      <c r="S38" s="14"/>
      <c r="X38" s="13" t="s">
        <v>60</v>
      </c>
      <c r="Y38" s="17">
        <f>I9</f>
        <v>652</v>
      </c>
      <c r="Z38" s="17">
        <f>N9</f>
        <v>317</v>
      </c>
    </row>
    <row r="39" spans="1:26" ht="18.75" customHeight="1">
      <c r="A39" s="15"/>
      <c r="N39" s="35"/>
      <c r="O39" s="35"/>
      <c r="P39" s="35"/>
      <c r="Q39" s="33"/>
      <c r="R39" s="14"/>
      <c r="S39" s="14"/>
      <c r="X39" s="13" t="s">
        <v>61</v>
      </c>
      <c r="Y39" s="17">
        <f>J9</f>
        <v>438</v>
      </c>
      <c r="Z39" s="17">
        <f>O9</f>
        <v>231</v>
      </c>
    </row>
    <row r="40" spans="1:26" ht="18.75" customHeight="1">
      <c r="A40" s="15"/>
      <c r="N40" s="35"/>
      <c r="O40" s="35"/>
      <c r="P40" s="35"/>
      <c r="Q40" s="33"/>
      <c r="R40" s="14"/>
      <c r="S40" s="14"/>
    </row>
    <row r="41" spans="1:26" ht="18.75" customHeight="1">
      <c r="A41" s="15"/>
      <c r="N41" s="35"/>
      <c r="O41" s="35"/>
      <c r="P41" s="35"/>
      <c r="Q41" s="33"/>
      <c r="R41" s="14"/>
      <c r="S41" s="14"/>
    </row>
    <row r="42" spans="1:26" ht="18.75" customHeight="1">
      <c r="Q42" s="33"/>
      <c r="R42" s="14"/>
      <c r="S42" s="14"/>
    </row>
  </sheetData>
  <mergeCells count="10">
    <mergeCell ref="A2:P2"/>
    <mergeCell ref="A3:P3"/>
    <mergeCell ref="A5:A8"/>
    <mergeCell ref="B5:E5"/>
    <mergeCell ref="G5:J5"/>
    <mergeCell ref="L5:O5"/>
    <mergeCell ref="P5:P8"/>
    <mergeCell ref="B6:E6"/>
    <mergeCell ref="G6:J6"/>
    <mergeCell ref="L6:O6"/>
  </mergeCells>
  <pageMargins left="0.7" right="0.7" top="0.75" bottom="0.75" header="0.3" footer="0.3"/>
  <pageSetup paperSize="9" scale="41" orientation="portrait" horizontalDpi="4294967295" verticalDpi="4294967295" r:id="rId1"/>
  <ignoredErrors>
    <ignoredError sqref="H9:O9" formulaRange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8.20</vt:lpstr>
      <vt:lpstr>'8.20'!Print_Area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mohamed</cp:lastModifiedBy>
  <cp:lastPrinted>2020-11-29T14:35:02Z</cp:lastPrinted>
  <dcterms:created xsi:type="dcterms:W3CDTF">2019-06-30T04:22:49Z</dcterms:created>
  <dcterms:modified xsi:type="dcterms:W3CDTF">2020-11-29T14:35:27Z</dcterms:modified>
</cp:coreProperties>
</file>