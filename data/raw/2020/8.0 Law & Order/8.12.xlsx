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 tabRatio="947"/>
  </bookViews>
  <sheets>
    <sheet name="8.12" sheetId="12" r:id="rId1"/>
  </sheets>
  <externalReferences>
    <externalReference r:id="rId2"/>
    <externalReference r:id="rId3"/>
  </externalReferences>
  <definedNames>
    <definedName name="_xlnm.Print_Area" localSheetId="0">'8.12'!$A$1:$Q$35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2" l="1"/>
  <c r="O5" i="12"/>
  <c r="O7" i="12"/>
  <c r="O8" i="12"/>
  <c r="O9" i="12"/>
  <c r="O10" i="12"/>
  <c r="O11" i="12"/>
  <c r="O12" i="12"/>
  <c r="O13" i="12"/>
  <c r="O14" i="12"/>
  <c r="O15" i="12"/>
  <c r="O16" i="12"/>
  <c r="O17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5" i="12"/>
  <c r="BN21" i="12"/>
  <c r="BN22" i="12"/>
  <c r="BN23" i="12"/>
  <c r="BN24" i="12"/>
  <c r="BN25" i="12"/>
  <c r="BN26" i="12"/>
  <c r="BN27" i="12"/>
  <c r="BN28" i="12"/>
  <c r="BN29" i="12"/>
  <c r="BN30" i="12"/>
  <c r="BN31" i="12"/>
  <c r="BN20" i="12"/>
  <c r="M5" i="12"/>
  <c r="L5" i="12" l="1"/>
  <c r="K5" i="12"/>
  <c r="J5" i="12"/>
  <c r="I5" i="12"/>
  <c r="H5" i="12"/>
  <c r="G5" i="12"/>
</calcChain>
</file>

<file path=xl/sharedStrings.xml><?xml version="1.0" encoding="utf-8"?>
<sst xmlns="http://schemas.openxmlformats.org/spreadsheetml/2006/main" count="50" uniqueCount="40">
  <si>
    <t>Theft</t>
  </si>
  <si>
    <t>Total</t>
  </si>
  <si>
    <t>wlcmuj</t>
  </si>
  <si>
    <t>Traffic accidents</t>
  </si>
  <si>
    <t>ވައްކަން</t>
  </si>
  <si>
    <t>Drugs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</si>
  <si>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</si>
  <si>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</si>
  <si>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</si>
  <si>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</si>
  <si>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</si>
  <si>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</si>
  <si>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</si>
  <si>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</si>
  <si>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</si>
  <si>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</si>
  <si>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</si>
  <si>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</si>
  <si>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</si>
  <si>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</si>
  <si>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</si>
  <si>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</si>
  <si>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</si>
  <si>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</si>
  <si>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</si>
  <si>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</si>
  <si>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</si>
  <si>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</si>
  <si>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</si>
  <si>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</si>
  <si>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ވަގުފައިސާ</t>
  </si>
  <si>
    <t xml:space="preserve"> މައްސަލައިގެ ބާވަތް</t>
  </si>
  <si>
    <t xml:space="preserve">  ކުރީ އަހަރާއި  އަޅާބަލާއިރު  އިތުރުވި މިންވަރު</t>
  </si>
  <si>
    <t>އިންސައްތަ 2018</t>
  </si>
  <si>
    <t>Logged cases</t>
  </si>
  <si>
    <t>Completed cases</t>
  </si>
  <si>
    <t>%change over 2018</t>
  </si>
  <si>
    <t>Table  8.12: COMPLETED CASES BY TYPE, 2016 - 2019</t>
  </si>
  <si>
    <t>ތާވަލު 8.12: ނިންމުނު މައްސަލަތައް، 2016- 2019</t>
  </si>
  <si>
    <t>Percentage share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</si>
</sst>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17" fillId="0" borderId="0"/>
    <xf numFmtId="0" fontId="24" fillId="0" borderId="7" applyNumberFormat="0" applyFill="0" applyAlignment="0" applyProtection="0"/>
    <xf numFmtId="0" fontId="23" fillId="0" borderId="0"/>
  </cellStyleXfs>
  <cellXfs count="45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6" fontId="11" fillId="2" borderId="0" xfId="1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right" vertical="top"/>
    </xf>
    <xf numFmtId="164" fontId="8" fillId="2" borderId="0" xfId="0" applyNumberFormat="1" applyFont="1" applyFill="1" applyBorder="1" applyAlignment="1" applyProtection="1">
      <alignment horizontal="right" vertical="center"/>
    </xf>
    <xf numFmtId="167" fontId="14" fillId="2" borderId="0" xfId="1" applyNumberFormat="1" applyFont="1" applyFill="1" applyBorder="1" applyAlignment="1">
      <alignment horizontal="right"/>
    </xf>
    <xf numFmtId="164" fontId="18" fillId="2" borderId="0" xfId="0" applyNumberFormat="1" applyFont="1" applyFill="1"/>
    <xf numFmtId="164" fontId="13" fillId="2" borderId="0" xfId="0" applyNumberFormat="1" applyFont="1" applyFill="1"/>
    <xf numFmtId="164" fontId="15" fillId="2" borderId="5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 applyBorder="1"/>
    <xf numFmtId="164" fontId="11" fillId="2" borderId="0" xfId="0" applyNumberFormat="1" applyFont="1" applyFill="1" applyBorder="1"/>
    <xf numFmtId="164" fontId="19" fillId="2" borderId="0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/>
    <xf numFmtId="164" fontId="10" fillId="2" borderId="4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 applyProtection="1">
      <alignment horizontal="right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164" fontId="4" fillId="2" borderId="3" xfId="0" applyNumberFormat="1" applyFont="1" applyFill="1" applyBorder="1"/>
    <xf numFmtId="166" fontId="4" fillId="2" borderId="3" xfId="1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/>
    <xf numFmtId="166" fontId="10" fillId="2" borderId="4" xfId="1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right" vertical="center" indent="2"/>
    </xf>
    <xf numFmtId="164" fontId="7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 applyProtection="1">
      <alignment horizontal="right" vertical="center"/>
      <protection locked="0"/>
    </xf>
    <xf numFmtId="3" fontId="12" fillId="2" borderId="0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25" fillId="2" borderId="6" xfId="0" applyNumberFormat="1" applyFont="1" applyFill="1" applyBorder="1" applyAlignment="1" applyProtection="1">
      <alignment horizontal="right" vertical="center"/>
    </xf>
    <xf numFmtId="164" fontId="26" fillId="2" borderId="5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164" fontId="20" fillId="2" borderId="3" xfId="0" applyNumberFormat="1" applyFont="1" applyFill="1" applyBorder="1" applyAlignment="1" applyProtection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F9F6F"/>
      <color rgb="FF996633"/>
      <color rgb="FFDDBA97"/>
      <color rgb="FF7B5229"/>
      <color rgb="FFF1E2D3"/>
      <color rgb="FFF5EADF"/>
      <color rgb="FFFAF5F0"/>
      <color rgb="FFFFC58B"/>
      <color rgb="FFCC66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'8.12'!$BM$19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'8.12'!$BL$20:$BL$31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'8.12'!$BM$20:$BM$31</c:f>
              <c:numCache>
                <c:formatCode>#,##0</c:formatCode>
                <c:ptCount val="12"/>
                <c:pt idx="0">
                  <c:v>4554</c:v>
                </c:pt>
                <c:pt idx="1">
                  <c:v>2324</c:v>
                </c:pt>
                <c:pt idx="2">
                  <c:v>2188</c:v>
                </c:pt>
                <c:pt idx="3">
                  <c:v>1814</c:v>
                </c:pt>
                <c:pt idx="4">
                  <c:v>631</c:v>
                </c:pt>
                <c:pt idx="5">
                  <c:v>467</c:v>
                </c:pt>
                <c:pt idx="6">
                  <c:v>483</c:v>
                </c:pt>
                <c:pt idx="7">
                  <c:v>405</c:v>
                </c:pt>
                <c:pt idx="8">
                  <c:v>494</c:v>
                </c:pt>
                <c:pt idx="9">
                  <c:v>219</c:v>
                </c:pt>
                <c:pt idx="10">
                  <c:v>86</c:v>
                </c:pt>
                <c:pt idx="11">
                  <c:v>2815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'8.12'!$BN$19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'8.12'!$BL$20:$BL$31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'8.12'!$BN$20:$BN$31</c:f>
              <c:numCache>
                <c:formatCode>_-* #,##0_-;\-* #,##0_-;_-* "-"??_-;_-@_-</c:formatCode>
                <c:ptCount val="12"/>
                <c:pt idx="0">
                  <c:v>4220</c:v>
                </c:pt>
                <c:pt idx="1">
                  <c:v>2316</c:v>
                </c:pt>
                <c:pt idx="2">
                  <c:v>2161</c:v>
                </c:pt>
                <c:pt idx="3">
                  <c:v>1780</c:v>
                </c:pt>
                <c:pt idx="4">
                  <c:v>582</c:v>
                </c:pt>
                <c:pt idx="5">
                  <c:v>426</c:v>
                </c:pt>
                <c:pt idx="6">
                  <c:v>486</c:v>
                </c:pt>
                <c:pt idx="7">
                  <c:v>393</c:v>
                </c:pt>
                <c:pt idx="8">
                  <c:v>386</c:v>
                </c:pt>
                <c:pt idx="9">
                  <c:v>172</c:v>
                </c:pt>
                <c:pt idx="10">
                  <c:v>52</c:v>
                </c:pt>
                <c:pt idx="11">
                  <c:v>2293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93654784"/>
        <c:axId val="393653608"/>
      </c:barChart>
      <c:catAx>
        <c:axId val="3936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393653608"/>
        <c:crosses val="autoZero"/>
        <c:auto val="1"/>
        <c:lblAlgn val="ctr"/>
        <c:lblOffset val="100"/>
        <c:noMultiLvlLbl val="0"/>
      </c:catAx>
      <c:valAx>
        <c:axId val="39365360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39365478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044373063475363"/>
          <c:y val="0.22859657286991969"/>
          <c:w val="0.371851653014450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15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66676</xdr:colOff>
      <xdr:row>19</xdr:row>
      <xdr:rowOff>47625</xdr:rowOff>
    </xdr:from>
    <xdr:to>
      <xdr:col>15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2019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O31"/>
  <sheetViews>
    <sheetView tabSelected="1" zoomScaleNormal="100" workbookViewId="0">
      <selection activeCell="AM6" sqref="AM6"/>
    </sheetView>
  </sheetViews>
  <sheetFormatPr defaultColWidth="9.140625" defaultRowHeight="15"/>
  <cols>
    <col min="1" max="1" width="16.28515625" style="1" customWidth="1"/>
    <col min="2" max="4" width="9.42578125" style="1" hidden="1" customWidth="1"/>
    <col min="5" max="5" width="10.85546875" style="1" hidden="1" customWidth="1"/>
    <col min="6" max="9" width="10.5703125" style="1" hidden="1" customWidth="1"/>
    <col min="10" max="12" width="10.5703125" style="1" bestFit="1" customWidth="1"/>
    <col min="13" max="13" width="10.5703125" style="1" customWidth="1"/>
    <col min="14" max="14" width="16.42578125" style="1" customWidth="1"/>
    <col min="15" max="15" width="14.140625" style="1" customWidth="1"/>
    <col min="16" max="16" width="14.7109375" style="1" customWidth="1"/>
    <col min="17" max="17" width="1.28515625" style="1" customWidth="1"/>
    <col min="18" max="19" width="3.42578125" style="1" customWidth="1"/>
    <col min="20" max="20" width="7.85546875" style="1" customWidth="1"/>
    <col min="21" max="21" width="5.7109375" style="1" bestFit="1" customWidth="1"/>
    <col min="22" max="61" width="3.42578125" style="1" customWidth="1"/>
    <col min="62" max="16384" width="9.140625" style="1"/>
  </cols>
  <sheetData>
    <row r="1" spans="1:67" ht="21.75">
      <c r="A1" s="34" t="s">
        <v>38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67" ht="21.75" customHeight="1">
      <c r="A2" s="35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35"/>
      <c r="O2" s="35"/>
      <c r="P2" s="35"/>
    </row>
    <row r="3" spans="1:67" ht="51.75">
      <c r="A3" s="37" t="s">
        <v>28</v>
      </c>
      <c r="B3" s="39">
        <v>2008</v>
      </c>
      <c r="C3" s="39">
        <v>2009</v>
      </c>
      <c r="D3" s="41">
        <v>2010</v>
      </c>
      <c r="E3" s="39">
        <v>2011</v>
      </c>
      <c r="F3" s="39">
        <v>2012</v>
      </c>
      <c r="G3" s="39">
        <v>2013</v>
      </c>
      <c r="H3" s="39">
        <v>2014</v>
      </c>
      <c r="I3" s="39">
        <v>2015</v>
      </c>
      <c r="J3" s="39">
        <v>2016</v>
      </c>
      <c r="K3" s="39">
        <v>2017</v>
      </c>
      <c r="L3" s="39">
        <v>2018</v>
      </c>
      <c r="M3" s="39">
        <v>2019</v>
      </c>
      <c r="N3" s="31" t="s">
        <v>32</v>
      </c>
      <c r="O3" s="31" t="s">
        <v>33</v>
      </c>
      <c r="P3" s="43" t="s">
        <v>31</v>
      </c>
      <c r="BK3" s="2"/>
      <c r="BL3" s="2"/>
      <c r="BM3" s="2"/>
      <c r="BN3" s="2"/>
      <c r="BO3" s="2"/>
    </row>
    <row r="4" spans="1:67" ht="24">
      <c r="A4" s="38"/>
      <c r="B4" s="40"/>
      <c r="C4" s="40"/>
      <c r="D4" s="42"/>
      <c r="E4" s="40"/>
      <c r="F4" s="40"/>
      <c r="G4" s="40"/>
      <c r="H4" s="40"/>
      <c r="I4" s="40"/>
      <c r="J4" s="40"/>
      <c r="K4" s="40"/>
      <c r="L4" s="40"/>
      <c r="M4" s="40"/>
      <c r="N4" s="18" t="s">
        <v>36</v>
      </c>
      <c r="O4" s="18" t="s">
        <v>39</v>
      </c>
      <c r="P4" s="44"/>
      <c r="BJ4" s="4"/>
      <c r="BK4" s="2"/>
      <c r="BL4" s="2"/>
      <c r="BM4" s="2"/>
      <c r="BN4" s="2"/>
      <c r="BO4" s="2"/>
    </row>
    <row r="5" spans="1:67" s="9" customFormat="1" ht="15.75">
      <c r="A5" s="20" t="s">
        <v>1</v>
      </c>
      <c r="B5" s="21">
        <v>16499</v>
      </c>
      <c r="C5" s="21">
        <v>18904</v>
      </c>
      <c r="D5" s="21">
        <v>17601</v>
      </c>
      <c r="E5" s="21">
        <v>16255</v>
      </c>
      <c r="F5" s="21">
        <v>19741</v>
      </c>
      <c r="G5" s="21">
        <f>SUM(G6:G17)</f>
        <v>19614</v>
      </c>
      <c r="H5" s="21">
        <f t="shared" ref="H5:K5" si="0">SUM(H6:H17)</f>
        <v>21984</v>
      </c>
      <c r="I5" s="21">
        <f t="shared" si="0"/>
        <v>20290</v>
      </c>
      <c r="J5" s="21">
        <f t="shared" si="0"/>
        <v>18901</v>
      </c>
      <c r="K5" s="21">
        <f t="shared" si="0"/>
        <v>16626</v>
      </c>
      <c r="L5" s="21">
        <f>SUM(L6:L17)</f>
        <v>14856</v>
      </c>
      <c r="M5" s="21">
        <f>SUM(M6:M17)</f>
        <v>15267</v>
      </c>
      <c r="N5" s="22">
        <f>((M5-L5)/L5*100)</f>
        <v>2.7665589660743133</v>
      </c>
      <c r="O5" s="22">
        <f>M5/$M$5*100</f>
        <v>100</v>
      </c>
      <c r="P5" s="32" t="s">
        <v>2</v>
      </c>
      <c r="BJ5" s="4"/>
      <c r="BK5" s="19"/>
      <c r="BL5" s="19"/>
      <c r="BM5" s="19"/>
      <c r="BN5" s="19"/>
      <c r="BO5" s="19"/>
    </row>
    <row r="6" spans="1:67" ht="18.75">
      <c r="A6" s="12" t="s">
        <v>0</v>
      </c>
      <c r="B6" s="23">
        <v>3846</v>
      </c>
      <c r="C6" s="23">
        <v>4479</v>
      </c>
      <c r="D6" s="23">
        <v>3956</v>
      </c>
      <c r="E6" s="23">
        <v>4608</v>
      </c>
      <c r="F6" s="23">
        <v>6289</v>
      </c>
      <c r="G6" s="23">
        <v>5734</v>
      </c>
      <c r="H6" s="23">
        <v>6785</v>
      </c>
      <c r="I6" s="23">
        <v>4618</v>
      </c>
      <c r="J6" s="23">
        <v>4058</v>
      </c>
      <c r="K6" s="23">
        <v>3522</v>
      </c>
      <c r="L6" s="23">
        <v>3355</v>
      </c>
      <c r="M6" s="23">
        <v>4220</v>
      </c>
      <c r="N6" s="29">
        <f t="shared" ref="N6:N17" si="1">((M6-L6)/L6*100)</f>
        <v>25.782414307004469</v>
      </c>
      <c r="O6" s="29">
        <f>M6/$M$5*100</f>
        <v>27.641317875155565</v>
      </c>
      <c r="P6" s="7" t="s">
        <v>4</v>
      </c>
      <c r="T6" s="9"/>
      <c r="BJ6" s="4"/>
      <c r="BK6" s="19"/>
      <c r="BL6" s="2"/>
      <c r="BM6" s="2"/>
      <c r="BN6" s="2"/>
      <c r="BO6" s="2"/>
    </row>
    <row r="7" spans="1:67" ht="18.75">
      <c r="A7" s="12" t="s">
        <v>16</v>
      </c>
      <c r="B7" s="23">
        <v>2544</v>
      </c>
      <c r="C7" s="23">
        <v>2723</v>
      </c>
      <c r="D7" s="23">
        <v>2560</v>
      </c>
      <c r="E7" s="23">
        <v>2135</v>
      </c>
      <c r="F7" s="23">
        <v>2167</v>
      </c>
      <c r="G7" s="23">
        <v>1962</v>
      </c>
      <c r="H7" s="23">
        <v>2267</v>
      </c>
      <c r="I7" s="23">
        <v>1998</v>
      </c>
      <c r="J7" s="23">
        <v>2336</v>
      </c>
      <c r="K7" s="23">
        <v>2108</v>
      </c>
      <c r="L7" s="23">
        <v>1936</v>
      </c>
      <c r="M7" s="23">
        <v>2316</v>
      </c>
      <c r="N7" s="29">
        <f t="shared" si="1"/>
        <v>19.628099173553721</v>
      </c>
      <c r="O7" s="29">
        <f t="shared" ref="O7:O17" si="2">M7/$M$5*100</f>
        <v>15.169974454706228</v>
      </c>
      <c r="P7" s="7" t="s">
        <v>29</v>
      </c>
      <c r="T7" s="9"/>
      <c r="BJ7" s="4"/>
      <c r="BK7" s="19"/>
      <c r="BL7" s="2"/>
      <c r="BM7" s="2"/>
      <c r="BN7" s="2"/>
      <c r="BO7" s="2"/>
    </row>
    <row r="8" spans="1:67" ht="18.75">
      <c r="A8" s="12" t="s">
        <v>5</v>
      </c>
      <c r="B8" s="23">
        <v>2531</v>
      </c>
      <c r="C8" s="23">
        <v>1804</v>
      </c>
      <c r="D8" s="23">
        <v>2002</v>
      </c>
      <c r="E8" s="23">
        <v>1172</v>
      </c>
      <c r="F8" s="23">
        <v>1736</v>
      </c>
      <c r="G8" s="23">
        <v>3237</v>
      </c>
      <c r="H8" s="23">
        <v>2939</v>
      </c>
      <c r="I8" s="23">
        <v>4528</v>
      </c>
      <c r="J8" s="23">
        <v>3410</v>
      </c>
      <c r="K8" s="23">
        <v>2903</v>
      </c>
      <c r="L8" s="23">
        <v>2405</v>
      </c>
      <c r="M8" s="23">
        <v>2161</v>
      </c>
      <c r="N8" s="29">
        <f t="shared" si="1"/>
        <v>-10.145530145530145</v>
      </c>
      <c r="O8" s="29">
        <f t="shared" si="2"/>
        <v>14.154712779196959</v>
      </c>
      <c r="P8" s="7" t="s">
        <v>8</v>
      </c>
      <c r="T8" s="9"/>
      <c r="BJ8" s="4"/>
      <c r="BK8" s="19"/>
      <c r="BL8" s="2"/>
      <c r="BM8" s="2"/>
      <c r="BN8" s="2"/>
      <c r="BO8" s="2"/>
    </row>
    <row r="9" spans="1:67" ht="18.75">
      <c r="A9" s="12" t="s">
        <v>25</v>
      </c>
      <c r="B9" s="23">
        <v>1260</v>
      </c>
      <c r="C9" s="23">
        <v>2212</v>
      </c>
      <c r="D9" s="23">
        <v>1757</v>
      </c>
      <c r="E9" s="23">
        <v>1499</v>
      </c>
      <c r="F9" s="23">
        <v>1500</v>
      </c>
      <c r="G9" s="23">
        <v>1864</v>
      </c>
      <c r="H9" s="23">
        <v>2175</v>
      </c>
      <c r="I9" s="23">
        <v>1765</v>
      </c>
      <c r="J9" s="23">
        <v>1850</v>
      </c>
      <c r="K9" s="23">
        <v>1659</v>
      </c>
      <c r="L9" s="23">
        <v>1790</v>
      </c>
      <c r="M9" s="23">
        <v>1780</v>
      </c>
      <c r="N9" s="29">
        <f t="shared" si="1"/>
        <v>-0.55865921787709494</v>
      </c>
      <c r="O9" s="29">
        <f t="shared" si="2"/>
        <v>11.65913408004192</v>
      </c>
      <c r="P9" s="7" t="s">
        <v>10</v>
      </c>
      <c r="T9" s="9"/>
      <c r="BJ9" s="4"/>
      <c r="BK9" s="19"/>
      <c r="BL9" s="2"/>
      <c r="BM9" s="2"/>
      <c r="BN9" s="2"/>
      <c r="BO9" s="2"/>
    </row>
    <row r="10" spans="1:67" ht="18.75">
      <c r="A10" s="12" t="s">
        <v>6</v>
      </c>
      <c r="B10" s="23">
        <v>1370</v>
      </c>
      <c r="C10" s="23">
        <v>1679</v>
      </c>
      <c r="D10" s="23">
        <v>1580</v>
      </c>
      <c r="E10" s="23">
        <v>1265</v>
      </c>
      <c r="F10" s="23">
        <v>1342</v>
      </c>
      <c r="G10" s="23">
        <v>1149</v>
      </c>
      <c r="H10" s="23">
        <v>1507</v>
      </c>
      <c r="I10" s="23">
        <v>1200</v>
      </c>
      <c r="J10" s="23">
        <v>997</v>
      </c>
      <c r="K10" s="23">
        <v>820</v>
      </c>
      <c r="L10" s="23">
        <v>745</v>
      </c>
      <c r="M10" s="23">
        <v>582</v>
      </c>
      <c r="N10" s="29">
        <f t="shared" si="1"/>
        <v>-21.879194630872483</v>
      </c>
      <c r="O10" s="29">
        <f t="shared" si="2"/>
        <v>3.8121438396541558</v>
      </c>
      <c r="P10" s="7" t="s">
        <v>12</v>
      </c>
      <c r="T10" s="9"/>
      <c r="BJ10" s="4"/>
      <c r="BK10" s="19"/>
      <c r="BL10" s="2"/>
      <c r="BM10" s="2"/>
      <c r="BN10" s="2"/>
      <c r="BO10" s="2"/>
    </row>
    <row r="11" spans="1:67" ht="18.75">
      <c r="A11" s="12" t="s">
        <v>13</v>
      </c>
      <c r="B11" s="23">
        <v>433</v>
      </c>
      <c r="C11" s="23">
        <v>866</v>
      </c>
      <c r="D11" s="23">
        <v>869</v>
      </c>
      <c r="E11" s="23">
        <v>757</v>
      </c>
      <c r="F11" s="23">
        <v>849</v>
      </c>
      <c r="G11" s="23">
        <v>681</v>
      </c>
      <c r="H11" s="23">
        <v>731</v>
      </c>
      <c r="I11" s="23">
        <v>617</v>
      </c>
      <c r="J11" s="23">
        <v>412</v>
      </c>
      <c r="K11" s="23">
        <v>456</v>
      </c>
      <c r="L11" s="23">
        <v>451</v>
      </c>
      <c r="M11" s="23">
        <v>426</v>
      </c>
      <c r="N11" s="29">
        <f t="shared" si="1"/>
        <v>-5.5432372505543244</v>
      </c>
      <c r="O11" s="29">
        <f t="shared" si="2"/>
        <v>2.7903320888190213</v>
      </c>
      <c r="P11" s="7" t="s">
        <v>14</v>
      </c>
      <c r="T11" s="9"/>
      <c r="BJ11" s="4"/>
      <c r="BK11" s="19"/>
      <c r="BL11" s="2"/>
      <c r="BM11" s="2"/>
      <c r="BN11" s="2"/>
      <c r="BO11" s="2"/>
    </row>
    <row r="12" spans="1:67" ht="18.75">
      <c r="A12" s="12" t="s">
        <v>11</v>
      </c>
      <c r="B12" s="23">
        <v>608</v>
      </c>
      <c r="C12" s="23">
        <v>642</v>
      </c>
      <c r="D12" s="23">
        <v>564</v>
      </c>
      <c r="E12" s="23">
        <v>661</v>
      </c>
      <c r="F12" s="23">
        <v>961</v>
      </c>
      <c r="G12" s="23">
        <v>678</v>
      </c>
      <c r="H12" s="23">
        <v>823</v>
      </c>
      <c r="I12" s="23">
        <v>590</v>
      </c>
      <c r="J12" s="23">
        <v>757</v>
      </c>
      <c r="K12" s="23">
        <v>668</v>
      </c>
      <c r="L12" s="23">
        <v>513</v>
      </c>
      <c r="M12" s="23">
        <v>486</v>
      </c>
      <c r="N12" s="29">
        <f t="shared" si="1"/>
        <v>-5.2631578947368416</v>
      </c>
      <c r="O12" s="29">
        <f t="shared" si="2"/>
        <v>3.1833366083709964</v>
      </c>
      <c r="P12" s="7" t="s">
        <v>15</v>
      </c>
      <c r="T12" s="9"/>
      <c r="BJ12" s="4"/>
      <c r="BK12" s="19"/>
      <c r="BL12" s="2"/>
      <c r="BM12" s="2"/>
      <c r="BN12" s="2"/>
      <c r="BO12" s="2"/>
    </row>
    <row r="13" spans="1:67" ht="18.75">
      <c r="A13" s="12" t="s">
        <v>18</v>
      </c>
      <c r="B13" s="23">
        <v>383</v>
      </c>
      <c r="C13" s="23">
        <v>435</v>
      </c>
      <c r="D13" s="23">
        <v>581</v>
      </c>
      <c r="E13" s="23">
        <v>547</v>
      </c>
      <c r="F13" s="23">
        <v>551</v>
      </c>
      <c r="G13" s="23">
        <v>610</v>
      </c>
      <c r="H13" s="23">
        <v>619</v>
      </c>
      <c r="I13" s="23">
        <v>647</v>
      </c>
      <c r="J13" s="23">
        <v>643</v>
      </c>
      <c r="K13" s="23">
        <v>507</v>
      </c>
      <c r="L13" s="23">
        <v>346</v>
      </c>
      <c r="M13" s="23">
        <v>393</v>
      </c>
      <c r="N13" s="29">
        <f t="shared" si="1"/>
        <v>13.583815028901732</v>
      </c>
      <c r="O13" s="29">
        <f t="shared" si="2"/>
        <v>2.5741796030654349</v>
      </c>
      <c r="P13" s="7" t="s">
        <v>19</v>
      </c>
      <c r="T13" s="9"/>
      <c r="BJ13" s="4"/>
      <c r="BK13" s="19"/>
      <c r="BL13" s="2"/>
      <c r="BM13" s="2"/>
      <c r="BN13" s="2"/>
      <c r="BO13" s="2"/>
    </row>
    <row r="14" spans="1:67" ht="18.75">
      <c r="A14" s="12" t="s">
        <v>17</v>
      </c>
      <c r="B14" s="23">
        <v>326</v>
      </c>
      <c r="C14" s="23">
        <v>348</v>
      </c>
      <c r="D14" s="23">
        <v>402</v>
      </c>
      <c r="E14" s="23">
        <v>317</v>
      </c>
      <c r="F14" s="23">
        <v>311</v>
      </c>
      <c r="G14" s="23">
        <v>367</v>
      </c>
      <c r="H14" s="23">
        <v>489</v>
      </c>
      <c r="I14" s="23">
        <v>759</v>
      </c>
      <c r="J14" s="23">
        <v>590</v>
      </c>
      <c r="K14" s="23">
        <v>515</v>
      </c>
      <c r="L14" s="23">
        <v>506</v>
      </c>
      <c r="M14" s="23">
        <v>386</v>
      </c>
      <c r="N14" s="29">
        <f t="shared" si="1"/>
        <v>-23.715415019762844</v>
      </c>
      <c r="O14" s="29">
        <f t="shared" si="2"/>
        <v>2.5283290757843715</v>
      </c>
      <c r="P14" s="7" t="s">
        <v>21</v>
      </c>
      <c r="T14" s="9"/>
      <c r="BJ14" s="4"/>
      <c r="BK14" s="19"/>
      <c r="BL14" s="2"/>
      <c r="BM14" s="2"/>
      <c r="BN14" s="2"/>
      <c r="BO14" s="2"/>
    </row>
    <row r="15" spans="1:67" ht="18.75">
      <c r="A15" s="12" t="s">
        <v>20</v>
      </c>
      <c r="B15" s="23">
        <v>76</v>
      </c>
      <c r="C15" s="23">
        <v>86</v>
      </c>
      <c r="D15" s="23">
        <v>125</v>
      </c>
      <c r="E15" s="23">
        <v>116</v>
      </c>
      <c r="F15" s="23">
        <v>151</v>
      </c>
      <c r="G15" s="23">
        <v>171</v>
      </c>
      <c r="H15" s="23">
        <v>245</v>
      </c>
      <c r="I15" s="23">
        <v>335</v>
      </c>
      <c r="J15" s="23">
        <v>341</v>
      </c>
      <c r="K15" s="23">
        <v>273</v>
      </c>
      <c r="L15" s="23">
        <v>218</v>
      </c>
      <c r="M15" s="23">
        <v>172</v>
      </c>
      <c r="N15" s="29">
        <f t="shared" si="1"/>
        <v>-21.100917431192663</v>
      </c>
      <c r="O15" s="29">
        <f t="shared" si="2"/>
        <v>1.1266129560489946</v>
      </c>
      <c r="P15" s="7" t="s">
        <v>23</v>
      </c>
      <c r="T15" s="9"/>
      <c r="BJ15" s="4"/>
      <c r="BK15" s="19"/>
      <c r="BL15" s="2"/>
      <c r="BM15" s="2"/>
      <c r="BN15" s="2"/>
      <c r="BO15" s="2"/>
    </row>
    <row r="16" spans="1:67" ht="18.75">
      <c r="A16" s="12" t="s">
        <v>22</v>
      </c>
      <c r="B16" s="23">
        <v>88</v>
      </c>
      <c r="C16" s="23">
        <v>133</v>
      </c>
      <c r="D16" s="23">
        <v>153</v>
      </c>
      <c r="E16" s="23">
        <v>125</v>
      </c>
      <c r="F16" s="23">
        <v>135</v>
      </c>
      <c r="G16" s="23">
        <v>106</v>
      </c>
      <c r="H16" s="23">
        <v>106</v>
      </c>
      <c r="I16" s="23">
        <v>103</v>
      </c>
      <c r="J16" s="23">
        <v>126</v>
      </c>
      <c r="K16" s="23">
        <v>94</v>
      </c>
      <c r="L16" s="23">
        <v>59</v>
      </c>
      <c r="M16" s="23">
        <v>52</v>
      </c>
      <c r="N16" s="29">
        <f t="shared" si="1"/>
        <v>-11.864406779661017</v>
      </c>
      <c r="O16" s="29">
        <f t="shared" si="2"/>
        <v>0.34060391694504483</v>
      </c>
      <c r="P16" s="7" t="s">
        <v>30</v>
      </c>
      <c r="T16" s="9"/>
      <c r="BJ16" s="4"/>
      <c r="BK16" s="19"/>
      <c r="BL16" s="2"/>
      <c r="BM16" s="2"/>
      <c r="BN16" s="2"/>
      <c r="BO16" s="2"/>
    </row>
    <row r="17" spans="1:67" ht="18.75">
      <c r="A17" s="24" t="s">
        <v>7</v>
      </c>
      <c r="B17" s="25">
        <v>3034</v>
      </c>
      <c r="C17" s="25">
        <v>3497</v>
      </c>
      <c r="D17" s="25">
        <v>3052</v>
      </c>
      <c r="E17" s="25">
        <v>3053</v>
      </c>
      <c r="F17" s="25">
        <v>3749</v>
      </c>
      <c r="G17" s="25">
        <v>3055</v>
      </c>
      <c r="H17" s="25">
        <v>3298</v>
      </c>
      <c r="I17" s="25">
        <v>3130</v>
      </c>
      <c r="J17" s="25">
        <v>3381</v>
      </c>
      <c r="K17" s="25">
        <v>3101</v>
      </c>
      <c r="L17" s="25">
        <v>2532</v>
      </c>
      <c r="M17" s="25">
        <v>2293</v>
      </c>
      <c r="N17" s="30">
        <f t="shared" si="1"/>
        <v>-9.4391785150078977</v>
      </c>
      <c r="O17" s="30">
        <f t="shared" si="2"/>
        <v>15.019322722211307</v>
      </c>
      <c r="P17" s="17" t="s">
        <v>24</v>
      </c>
      <c r="T17" s="9"/>
      <c r="BJ17" s="4"/>
      <c r="BK17" s="19"/>
      <c r="BL17" s="2"/>
      <c r="BM17" s="2"/>
      <c r="BN17" s="2"/>
      <c r="BO17" s="2"/>
    </row>
    <row r="18" spans="1:67">
      <c r="A18" s="11" t="s">
        <v>26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6"/>
      <c r="O18" s="26"/>
      <c r="P18" s="33" t="s">
        <v>27</v>
      </c>
      <c r="BJ18" s="4"/>
      <c r="BK18" s="2"/>
      <c r="BL18" s="2"/>
      <c r="BO18" s="2"/>
    </row>
    <row r="19" spans="1:67">
      <c r="BJ19" s="4"/>
      <c r="BK19" s="2"/>
      <c r="BL19" s="3"/>
      <c r="BM19" s="27" t="s">
        <v>34</v>
      </c>
      <c r="BN19" s="28" t="s">
        <v>35</v>
      </c>
      <c r="BO19" s="2"/>
    </row>
    <row r="20" spans="1:67">
      <c r="A20" s="15"/>
      <c r="BJ20" s="4"/>
      <c r="BK20" s="12"/>
      <c r="BL20" s="4" t="s">
        <v>0</v>
      </c>
      <c r="BM20" s="6">
        <v>4554</v>
      </c>
      <c r="BN20" s="23">
        <f>M6</f>
        <v>4220</v>
      </c>
    </row>
    <row r="21" spans="1:67">
      <c r="BJ21" s="4"/>
      <c r="BK21" s="12"/>
      <c r="BL21" s="4" t="s">
        <v>3</v>
      </c>
      <c r="BM21" s="6">
        <v>2324</v>
      </c>
      <c r="BN21" s="23">
        <f t="shared" ref="BN21:BN31" si="3">M7</f>
        <v>2316</v>
      </c>
    </row>
    <row r="22" spans="1:67">
      <c r="BJ22" s="4"/>
      <c r="BK22" s="12"/>
      <c r="BL22" s="4" t="s">
        <v>5</v>
      </c>
      <c r="BM22" s="6">
        <v>2188</v>
      </c>
      <c r="BN22" s="23">
        <f t="shared" si="3"/>
        <v>2161</v>
      </c>
    </row>
    <row r="23" spans="1:67">
      <c r="BJ23" s="4"/>
      <c r="BK23" s="12"/>
      <c r="BL23" s="4" t="s">
        <v>9</v>
      </c>
      <c r="BM23" s="6">
        <v>1814</v>
      </c>
      <c r="BN23" s="23">
        <f t="shared" si="3"/>
        <v>1780</v>
      </c>
    </row>
    <row r="24" spans="1:67">
      <c r="BJ24" s="4"/>
      <c r="BK24" s="12"/>
      <c r="BL24" s="4" t="s">
        <v>6</v>
      </c>
      <c r="BM24" s="6">
        <v>631</v>
      </c>
      <c r="BN24" s="23">
        <f t="shared" si="3"/>
        <v>582</v>
      </c>
    </row>
    <row r="25" spans="1:67" ht="17.25">
      <c r="A25" s="1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8"/>
      <c r="O25" s="8"/>
      <c r="P25" s="14"/>
      <c r="BJ25" s="4"/>
      <c r="BK25" s="12"/>
      <c r="BL25" s="4" t="s">
        <v>13</v>
      </c>
      <c r="BM25" s="6">
        <v>467</v>
      </c>
      <c r="BN25" s="23">
        <f t="shared" si="3"/>
        <v>426</v>
      </c>
    </row>
    <row r="26" spans="1:67">
      <c r="BJ26" s="4"/>
      <c r="BK26" s="12"/>
      <c r="BL26" s="4" t="s">
        <v>11</v>
      </c>
      <c r="BM26" s="6">
        <v>483</v>
      </c>
      <c r="BN26" s="23">
        <f t="shared" si="3"/>
        <v>486</v>
      </c>
    </row>
    <row r="27" spans="1:67">
      <c r="BK27" s="12"/>
      <c r="BL27" s="4" t="s">
        <v>18</v>
      </c>
      <c r="BM27" s="6">
        <v>405</v>
      </c>
      <c r="BN27" s="23">
        <f t="shared" si="3"/>
        <v>393</v>
      </c>
    </row>
    <row r="28" spans="1:67">
      <c r="BK28" s="12"/>
      <c r="BL28" s="4" t="s">
        <v>17</v>
      </c>
      <c r="BM28" s="6">
        <v>494</v>
      </c>
      <c r="BN28" s="23">
        <f t="shared" si="3"/>
        <v>386</v>
      </c>
    </row>
    <row r="29" spans="1:67">
      <c r="BK29" s="12"/>
      <c r="BL29" s="4" t="s">
        <v>20</v>
      </c>
      <c r="BM29" s="6">
        <v>219</v>
      </c>
      <c r="BN29" s="23">
        <f t="shared" si="3"/>
        <v>172</v>
      </c>
    </row>
    <row r="30" spans="1:67">
      <c r="BK30" s="12"/>
      <c r="BL30" s="4" t="s">
        <v>22</v>
      </c>
      <c r="BM30" s="6">
        <v>86</v>
      </c>
      <c r="BN30" s="23">
        <f t="shared" si="3"/>
        <v>52</v>
      </c>
    </row>
    <row r="31" spans="1:67">
      <c r="BK31" s="12"/>
      <c r="BL31" s="16" t="s">
        <v>7</v>
      </c>
      <c r="BM31" s="6">
        <v>2815</v>
      </c>
      <c r="BN31" s="23">
        <f t="shared" si="3"/>
        <v>2293</v>
      </c>
    </row>
  </sheetData>
  <mergeCells count="16">
    <mergeCell ref="A1:P1"/>
    <mergeCell ref="A2:P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P3:P4"/>
    <mergeCell ref="M3:M4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8.12</vt:lpstr>
      <vt:lpstr>'8.12'!Print_Area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2020-10-11T06:19:34Z</cp:lastPrinted>
  <dcterms:created xsi:type="dcterms:W3CDTF">2019-06-30T04:22:49Z</dcterms:created>
  <dcterms:modified xsi:type="dcterms:W3CDTF">2020-10-11T07:27:18Z</dcterms:modified>
</cp:coreProperties>
</file>