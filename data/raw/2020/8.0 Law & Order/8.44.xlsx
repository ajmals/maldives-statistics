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4270" windowHeight="11430" tabRatio="947"/>
  </bookViews>
  <sheets>
    <sheet name="8.44" sheetId="44" r:id="rId1"/>
  </sheets>
  <definedNames>
    <definedName name="_xlnm.Print_Area" localSheetId="0">'8.44'!$A$1:$N$37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44" l="1"/>
  <c r="K5" i="44" l="1"/>
  <c r="J5" i="44"/>
  <c r="I5" i="44"/>
  <c r="H5" i="44"/>
  <c r="G5" i="44"/>
  <c r="F5" i="44"/>
  <c r="E5" i="44"/>
  <c r="D5" i="44"/>
  <c r="C5" i="44"/>
  <c r="B5" i="44"/>
</calcChain>
</file>

<file path=xl/sharedStrings.xml><?xml version="1.0" encoding="utf-8"?>
<sst xmlns="http://schemas.openxmlformats.org/spreadsheetml/2006/main" count="27" uniqueCount="27">
  <si>
    <t>Total</t>
  </si>
  <si>
    <t>Others</t>
  </si>
  <si>
    <t>އެހެނިހެން</t>
  </si>
  <si>
    <t>ޖުމްލަ</t>
  </si>
  <si>
    <t xml:space="preserve">Types of abuse </t>
  </si>
  <si>
    <t>ކުރެވޭ އަނިޔާގެ ބާވަތް</t>
  </si>
  <si>
    <t>Neglect</t>
  </si>
  <si>
    <t>އަޅާނުލުން</t>
  </si>
  <si>
    <t>Physical Abuse</t>
  </si>
  <si>
    <t>ޖިސްމާނީ އަނިޔާ</t>
  </si>
  <si>
    <t>Emotional Abuse</t>
  </si>
  <si>
    <t>ނަފްސާނީ އަނިޔާ</t>
  </si>
  <si>
    <t>Sexual Abuse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</si>
  <si>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</si>
  <si>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</si>
  <si>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</si>
  <si>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</si>
  <si>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</si>
  <si>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</si>
  <si>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</si>
  <si>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</si>
  <si>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</si>
  <si>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</si>
  <si>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</si>
  <si>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</si>
  <si>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Table 8.44: NUMBER OF REPORTED CHILD ABUSE  CASES (UNDER 18) BY TYPE, 2009 - 2019</t>
  </si>
  <si>
    <t>ތާވަލު 8.44: ކުޑަކުދިންނަށް ކުރާ އަނިޔާއާއިބެހޭގޮތުން ހުށަހެޅިފައިވާ މައްސަލަތައް، 2009 - 2019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</si>
</sst>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Faruma"/>
    </font>
    <font>
      <b/>
      <sz val="10"/>
      <name val="Faruma"/>
    </font>
    <font>
      <sz val="10"/>
      <name val="Faruma"/>
    </font>
    <font>
      <sz val="12"/>
      <name val="Calibri"/>
      <family val="2"/>
      <scheme val="minor"/>
    </font>
    <font>
      <b/>
      <sz val="15"/>
      <color theme="3"/>
      <name val="Arial Mäo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16" fillId="0" borderId="2" applyNumberFormat="0" applyFill="0" applyAlignment="0" applyProtection="0"/>
    <xf numFmtId="0" fontId="10" fillId="0" borderId="0"/>
  </cellStyleXfs>
  <cellXfs count="26">
    <xf numFmtId="0" fontId="0" fillId="0" borderId="0" xfId="0"/>
    <xf numFmtId="164" fontId="3" fillId="2" borderId="0" xfId="0" applyNumberFormat="1" applyFont="1" applyFill="1"/>
    <xf numFmtId="164" fontId="4" fillId="2" borderId="0" xfId="0" applyNumberFormat="1" applyFont="1" applyFill="1"/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 readingOrder="2"/>
    </xf>
    <xf numFmtId="165" fontId="11" fillId="2" borderId="3" xfId="1" applyNumberFormat="1" applyFont="1" applyFill="1" applyBorder="1" applyAlignment="1">
      <alignment vertical="center" wrapText="1"/>
    </xf>
    <xf numFmtId="165" fontId="2" fillId="2" borderId="3" xfId="1" applyNumberFormat="1" applyFont="1" applyFill="1" applyBorder="1" applyAlignment="1">
      <alignment horizontal="right" vertical="center" wrapText="1"/>
    </xf>
    <xf numFmtId="165" fontId="13" fillId="2" borderId="3" xfId="1" applyNumberFormat="1" applyFont="1" applyFill="1" applyBorder="1" applyAlignment="1">
      <alignment vertical="center" wrapText="1" readingOrder="2"/>
    </xf>
    <xf numFmtId="165" fontId="17" fillId="2" borderId="0" xfId="1" applyNumberFormat="1" applyFont="1" applyFill="1"/>
    <xf numFmtId="165" fontId="9" fillId="2" borderId="0" xfId="1" applyNumberFormat="1" applyFont="1" applyFill="1" applyAlignment="1">
      <alignment vertical="center" wrapText="1"/>
    </xf>
    <xf numFmtId="165" fontId="3" fillId="2" borderId="0" xfId="1" applyNumberFormat="1" applyFont="1" applyFill="1" applyAlignment="1">
      <alignment horizontal="right" vertical="center" wrapText="1"/>
    </xf>
    <xf numFmtId="165" fontId="14" fillId="2" borderId="0" xfId="1" applyNumberFormat="1" applyFont="1" applyFill="1" applyAlignment="1">
      <alignment vertical="center" wrapText="1" readingOrder="2"/>
    </xf>
    <xf numFmtId="165" fontId="15" fillId="2" borderId="0" xfId="1" applyNumberFormat="1" applyFont="1" applyFill="1"/>
    <xf numFmtId="165" fontId="12" fillId="2" borderId="0" xfId="1" applyNumberFormat="1" applyFont="1" applyFill="1" applyAlignment="1">
      <alignment vertical="center" wrapText="1" readingOrder="2"/>
    </xf>
    <xf numFmtId="165" fontId="12" fillId="2" borderId="0" xfId="1" applyNumberFormat="1" applyFont="1" applyFill="1" applyAlignment="1">
      <alignment vertical="center" readingOrder="2"/>
    </xf>
    <xf numFmtId="165" fontId="9" fillId="2" borderId="1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right" vertical="center" wrapText="1"/>
    </xf>
    <xf numFmtId="165" fontId="14" fillId="2" borderId="1" xfId="1" applyNumberFormat="1" applyFont="1" applyFill="1" applyBorder="1" applyAlignment="1">
      <alignment vertical="center" wrapText="1" readingOrder="2"/>
    </xf>
    <xf numFmtId="164" fontId="14" fillId="2" borderId="0" xfId="0" applyNumberFormat="1" applyFont="1" applyFill="1" applyBorder="1" applyAlignment="1">
      <alignment vertical="top" wrapText="1" readingOrder="2"/>
    </xf>
    <xf numFmtId="165" fontId="5" fillId="2" borderId="3" xfId="1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left" vertical="center" wrapText="1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CF9F6F"/>
      <color rgb="FF996633"/>
      <color rgb="FFDDBA97"/>
      <color rgb="FF7B5229"/>
      <color rgb="FFF1E2D3"/>
      <color rgb="FFF5EADF"/>
      <color rgb="FFFAF5F0"/>
      <color rgb="FFFFC58B"/>
      <color rgb="FFCC660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383223181439669E-2"/>
          <c:y val="0.15358178053830226"/>
          <c:w val="0.8941656389336875"/>
          <c:h val="0.683132321874399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'8.44'!$J$4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'8.44'!$A$6:$A$14</c:f>
              <c:strCache>
                <c:ptCount val="9"/>
                <c:pt idx="0">
                  <c:v>Neglect</c:v>
                </c:pt>
                <c:pt idx="1">
                  <c:v>Physical Abuse</c:v>
                </c:pt>
                <c:pt idx="2">
                  <c:v>Emotional Abuse</c:v>
                </c:pt>
                <c:pt idx="3">
                  <c:v>Sexual Abuse</c:v>
                </c:pt>
                <c:pt idx="4">
                  <c:v>Bullying</c:v>
                </c:pt>
                <c:pt idx="5">
                  <c:v>Harrasment</c:v>
                </c:pt>
                <c:pt idx="6">
                  <c:v>Witness to Domestic Violence</c:v>
                </c:pt>
                <c:pt idx="7">
                  <c:v>Cyber Bullying</c:v>
                </c:pt>
                <c:pt idx="8">
                  <c:v>Others</c:v>
                </c:pt>
              </c:strCache>
            </c:strRef>
          </c:cat>
          <c:val>
            <c:numRef>
              <c:f>'8.44'!$J$6:$J$14</c:f>
              <c:numCache>
                <c:formatCode>_-* #,##0_-;\-* #,##0_-;_-* "-"??_-;_-@_-</c:formatCode>
                <c:ptCount val="9"/>
                <c:pt idx="0">
                  <c:v>297</c:v>
                </c:pt>
                <c:pt idx="1">
                  <c:v>354</c:v>
                </c:pt>
                <c:pt idx="2">
                  <c:v>182</c:v>
                </c:pt>
                <c:pt idx="3">
                  <c:v>418</c:v>
                </c:pt>
                <c:pt idx="4">
                  <c:v>39</c:v>
                </c:pt>
                <c:pt idx="5">
                  <c:v>12</c:v>
                </c:pt>
                <c:pt idx="6">
                  <c:v>48</c:v>
                </c:pt>
                <c:pt idx="7">
                  <c:v>10</c:v>
                </c:pt>
                <c:pt idx="8">
                  <c:v>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A33-4FE5-9A19-2F529D044815}"/>
            </c:ext>
          </c:extLst>
        </c:ser>
        <c:ser>
          <c:idx val="1"/>
          <c:order val="1"/>
          <c:tx>
            <c:strRef>
              <c:f>'8.44'!$K$4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CF9F6F"/>
            </a:solidFill>
            <a:ln>
              <a:noFill/>
            </a:ln>
            <a:effectLst/>
          </c:spPr>
          <c:invertIfNegative val="0"/>
          <c:cat>
            <c:strRef>
              <c:f>'8.44'!$A$6:$A$14</c:f>
              <c:strCache>
                <c:ptCount val="9"/>
                <c:pt idx="0">
                  <c:v>Neglect</c:v>
                </c:pt>
                <c:pt idx="1">
                  <c:v>Physical Abuse</c:v>
                </c:pt>
                <c:pt idx="2">
                  <c:v>Emotional Abuse</c:v>
                </c:pt>
                <c:pt idx="3">
                  <c:v>Sexual Abuse</c:v>
                </c:pt>
                <c:pt idx="4">
                  <c:v>Bullying</c:v>
                </c:pt>
                <c:pt idx="5">
                  <c:v>Harrasment</c:v>
                </c:pt>
                <c:pt idx="6">
                  <c:v>Witness to Domestic Violence</c:v>
                </c:pt>
                <c:pt idx="7">
                  <c:v>Cyber Bullying</c:v>
                </c:pt>
                <c:pt idx="8">
                  <c:v>Others</c:v>
                </c:pt>
              </c:strCache>
            </c:strRef>
          </c:cat>
          <c:val>
            <c:numRef>
              <c:f>'8.44'!$K$6:$K$14</c:f>
              <c:numCache>
                <c:formatCode>_-* #,##0_-;\-* #,##0_-;_-* "-"??_-;_-@_-</c:formatCode>
                <c:ptCount val="9"/>
                <c:pt idx="0">
                  <c:v>351</c:v>
                </c:pt>
                <c:pt idx="1">
                  <c:v>316</c:v>
                </c:pt>
                <c:pt idx="2">
                  <c:v>113</c:v>
                </c:pt>
                <c:pt idx="3">
                  <c:v>358</c:v>
                </c:pt>
                <c:pt idx="4">
                  <c:v>31</c:v>
                </c:pt>
                <c:pt idx="5">
                  <c:v>27</c:v>
                </c:pt>
                <c:pt idx="6">
                  <c:v>55</c:v>
                </c:pt>
                <c:pt idx="7">
                  <c:v>19</c:v>
                </c:pt>
                <c:pt idx="8">
                  <c:v>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A33-4FE5-9A19-2F529D044815}"/>
            </c:ext>
          </c:extLst>
        </c:ser>
        <c:ser>
          <c:idx val="2"/>
          <c:order val="2"/>
          <c:tx>
            <c:strRef>
              <c:f>'8.44'!$L$4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7B5229"/>
            </a:solidFill>
            <a:ln>
              <a:noFill/>
            </a:ln>
            <a:effectLst/>
          </c:spPr>
          <c:invertIfNegative val="0"/>
          <c:cat>
            <c:strRef>
              <c:f>'8.44'!$A$6:$A$14</c:f>
              <c:strCache>
                <c:ptCount val="9"/>
                <c:pt idx="0">
                  <c:v>Neglect</c:v>
                </c:pt>
                <c:pt idx="1">
                  <c:v>Physical Abuse</c:v>
                </c:pt>
                <c:pt idx="2">
                  <c:v>Emotional Abuse</c:v>
                </c:pt>
                <c:pt idx="3">
                  <c:v>Sexual Abuse</c:v>
                </c:pt>
                <c:pt idx="4">
                  <c:v>Bullying</c:v>
                </c:pt>
                <c:pt idx="5">
                  <c:v>Harrasment</c:v>
                </c:pt>
                <c:pt idx="6">
                  <c:v>Witness to Domestic Violence</c:v>
                </c:pt>
                <c:pt idx="7">
                  <c:v>Cyber Bullying</c:v>
                </c:pt>
                <c:pt idx="8">
                  <c:v>Others</c:v>
                </c:pt>
              </c:strCache>
            </c:strRef>
          </c:cat>
          <c:val>
            <c:numRef>
              <c:f>'8.44'!$L$6:$L$14</c:f>
              <c:numCache>
                <c:formatCode>_-* #,##0_-;\-* #,##0_-;_-* "-"??_-;_-@_-</c:formatCode>
                <c:ptCount val="9"/>
                <c:pt idx="0">
                  <c:v>410</c:v>
                </c:pt>
                <c:pt idx="1">
                  <c:v>299</c:v>
                </c:pt>
                <c:pt idx="2">
                  <c:v>144</c:v>
                </c:pt>
                <c:pt idx="3">
                  <c:v>360</c:v>
                </c:pt>
                <c:pt idx="4">
                  <c:v>32</c:v>
                </c:pt>
                <c:pt idx="5">
                  <c:v>13</c:v>
                </c:pt>
                <c:pt idx="6">
                  <c:v>65</c:v>
                </c:pt>
                <c:pt idx="7">
                  <c:v>29</c:v>
                </c:pt>
                <c:pt idx="8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422918608"/>
        <c:axId val="422919000"/>
        <c:extLst xmlns:c16r2="http://schemas.microsoft.com/office/drawing/2015/06/chart"/>
      </c:barChart>
      <c:catAx>
        <c:axId val="42291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19000"/>
        <c:crosses val="autoZero"/>
        <c:auto val="1"/>
        <c:lblAlgn val="ctr"/>
        <c:lblOffset val="100"/>
        <c:noMultiLvlLbl val="0"/>
      </c:catAx>
      <c:valAx>
        <c:axId val="42291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E2D3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18608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9701943973346006"/>
          <c:y val="0.24959541642660521"/>
          <c:w val="0.26813693819323614"/>
          <c:h val="7.5982651558799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204484510758"/>
          <c:y val="0.13720496206606905"/>
          <c:w val="0.85737130176031584"/>
          <c:h val="0.7633288678700009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96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'8.44'!$B$4:$L$4</c:f>
              <c:numCache>
                <c:formatCode>General_)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'8.44'!$B$5:$L$5</c:f>
              <c:numCache>
                <c:formatCode>_-* #,##0_-;\-* #,##0_-;_-* "-"??_-;_-@_-</c:formatCode>
                <c:ptCount val="11"/>
                <c:pt idx="0">
                  <c:v>314</c:v>
                </c:pt>
                <c:pt idx="1">
                  <c:v>331</c:v>
                </c:pt>
                <c:pt idx="2">
                  <c:v>485</c:v>
                </c:pt>
                <c:pt idx="3">
                  <c:v>654</c:v>
                </c:pt>
                <c:pt idx="4">
                  <c:v>440</c:v>
                </c:pt>
                <c:pt idx="5">
                  <c:v>624</c:v>
                </c:pt>
                <c:pt idx="6">
                  <c:v>642</c:v>
                </c:pt>
                <c:pt idx="7">
                  <c:v>1095</c:v>
                </c:pt>
                <c:pt idx="8">
                  <c:v>1412</c:v>
                </c:pt>
                <c:pt idx="9">
                  <c:v>1309</c:v>
                </c:pt>
                <c:pt idx="10">
                  <c:v>1375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3A-444A-9767-CF9C1B335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921744"/>
        <c:axId val="383081920"/>
      </c:barChart>
      <c:catAx>
        <c:axId val="42292174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81920"/>
        <c:crosses val="autoZero"/>
        <c:auto val="1"/>
        <c:lblAlgn val="ctr"/>
        <c:lblOffset val="100"/>
        <c:noMultiLvlLbl val="0"/>
      </c:catAx>
      <c:valAx>
        <c:axId val="3830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E2D3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2174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17</xdr:row>
      <xdr:rowOff>38100</xdr:rowOff>
    </xdr:from>
    <xdr:to>
      <xdr:col>6</xdr:col>
      <xdr:colOff>638175</xdr:colOff>
      <xdr:row>36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17</xdr:row>
      <xdr:rowOff>32062</xdr:rowOff>
    </xdr:from>
    <xdr:to>
      <xdr:col>13</xdr:col>
      <xdr:colOff>17843</xdr:colOff>
      <xdr:row>36</xdr:row>
      <xdr:rowOff>13012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0.18128</cdr:x>
      <cdr:y>0.02274</cdr:y>
    </cdr:from>
    <cdr:to>
      <cdr:x>0.91746</cdr:x>
      <cdr:y>0.10973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87805" y="71032"/>
          <a:ext cx="4417646" cy="27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8.58: Number of child abuse cases reported by type, 2014 - 2019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0.25766</cdr:x>
      <cdr:y>0.02804</cdr:y>
    </cdr:from>
    <cdr:to>
      <cdr:x>0.84488</cdr:x>
      <cdr:y>0.11869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22566" y="85725"/>
          <a:ext cx="3925759" cy="277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/>
            <a:t>Figure 8.59:</a:t>
          </a:r>
          <a:r>
            <a:rPr lang="en-US" sz="1050" b="1" baseline="0"/>
            <a:t> Number of Child Abuse cases reported,  2009 - 2019</a:t>
          </a:r>
          <a:endParaRPr lang="en-US" sz="105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6"/>
  <sheetViews>
    <sheetView tabSelected="1" zoomScaleNormal="100" workbookViewId="0">
      <selection activeCell="AA49" sqref="AA49"/>
    </sheetView>
  </sheetViews>
  <sheetFormatPr defaultColWidth="9.140625" defaultRowHeight="12.75"/>
  <cols>
    <col min="1" max="1" width="29.85546875" style="1" customWidth="1"/>
    <col min="2" max="12" width="10.7109375" style="1" customWidth="1"/>
    <col min="13" max="13" width="47.28515625" style="1" customWidth="1"/>
    <col min="14" max="16384" width="9.140625" style="1"/>
  </cols>
  <sheetData>
    <row r="1" spans="1:16" ht="18.75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6">
      <c r="A2" s="23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P2" s="2"/>
    </row>
    <row r="3" spans="1:1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6" ht="18.75">
      <c r="A4" s="3" t="s">
        <v>4</v>
      </c>
      <c r="B4" s="4">
        <v>2009</v>
      </c>
      <c r="C4" s="4">
        <v>2010</v>
      </c>
      <c r="D4" s="4">
        <v>2011</v>
      </c>
      <c r="E4" s="4">
        <v>2012</v>
      </c>
      <c r="F4" s="4">
        <v>2013</v>
      </c>
      <c r="G4" s="4">
        <v>2014</v>
      </c>
      <c r="H4" s="4">
        <v>2015</v>
      </c>
      <c r="I4" s="4">
        <v>2016</v>
      </c>
      <c r="J4" s="4">
        <v>2017</v>
      </c>
      <c r="K4" s="4">
        <v>2018</v>
      </c>
      <c r="L4" s="4">
        <v>2019</v>
      </c>
      <c r="M4" s="5" t="s">
        <v>5</v>
      </c>
    </row>
    <row r="5" spans="1:16" s="9" customFormat="1" ht="18.75">
      <c r="A5" s="6" t="s">
        <v>0</v>
      </c>
      <c r="B5" s="7">
        <f t="shared" ref="B5:H5" si="0">SUM(B6:B9)</f>
        <v>314</v>
      </c>
      <c r="C5" s="7">
        <f t="shared" si="0"/>
        <v>331</v>
      </c>
      <c r="D5" s="7">
        <f t="shared" si="0"/>
        <v>485</v>
      </c>
      <c r="E5" s="7">
        <f t="shared" si="0"/>
        <v>654</v>
      </c>
      <c r="F5" s="7">
        <f t="shared" si="0"/>
        <v>440</v>
      </c>
      <c r="G5" s="7">
        <f t="shared" si="0"/>
        <v>624</v>
      </c>
      <c r="H5" s="7">
        <f t="shared" si="0"/>
        <v>642</v>
      </c>
      <c r="I5" s="7">
        <f>SUM(I6:I9)</f>
        <v>1095</v>
      </c>
      <c r="J5" s="7">
        <f>SUM(J6:J14)</f>
        <v>1412</v>
      </c>
      <c r="K5" s="20">
        <f>SUM(K6:K14)</f>
        <v>1309</v>
      </c>
      <c r="L5" s="20">
        <f>SUM(L6:L14)</f>
        <v>1375</v>
      </c>
      <c r="M5" s="8" t="s">
        <v>3</v>
      </c>
    </row>
    <row r="6" spans="1:16" s="13" customFormat="1" ht="18.75">
      <c r="A6" s="10" t="s">
        <v>6</v>
      </c>
      <c r="B6" s="11">
        <v>75</v>
      </c>
      <c r="C6" s="11">
        <v>102</v>
      </c>
      <c r="D6" s="11">
        <v>156</v>
      </c>
      <c r="E6" s="11">
        <v>141</v>
      </c>
      <c r="F6" s="11">
        <v>116</v>
      </c>
      <c r="G6" s="11">
        <v>120</v>
      </c>
      <c r="H6" s="11">
        <v>227</v>
      </c>
      <c r="I6" s="11">
        <v>287</v>
      </c>
      <c r="J6" s="11">
        <v>297</v>
      </c>
      <c r="K6" s="11">
        <v>351</v>
      </c>
      <c r="L6" s="11">
        <v>410</v>
      </c>
      <c r="M6" s="12" t="s">
        <v>7</v>
      </c>
    </row>
    <row r="7" spans="1:16" s="13" customFormat="1" ht="18.75">
      <c r="A7" s="10" t="s">
        <v>8</v>
      </c>
      <c r="B7" s="11">
        <v>76</v>
      </c>
      <c r="C7" s="11">
        <v>69</v>
      </c>
      <c r="D7" s="11">
        <v>96</v>
      </c>
      <c r="E7" s="11">
        <v>159</v>
      </c>
      <c r="F7" s="11">
        <v>110</v>
      </c>
      <c r="G7" s="11">
        <v>139</v>
      </c>
      <c r="H7" s="11">
        <v>245</v>
      </c>
      <c r="I7" s="11">
        <v>324</v>
      </c>
      <c r="J7" s="11">
        <v>354</v>
      </c>
      <c r="K7" s="11">
        <v>316</v>
      </c>
      <c r="L7" s="11">
        <v>299</v>
      </c>
      <c r="M7" s="12" t="s">
        <v>9</v>
      </c>
    </row>
    <row r="8" spans="1:16" s="13" customFormat="1" ht="18.75">
      <c r="A8" s="10" t="s">
        <v>10</v>
      </c>
      <c r="B8" s="11">
        <v>30</v>
      </c>
      <c r="C8" s="11">
        <v>93</v>
      </c>
      <c r="D8" s="11">
        <v>146</v>
      </c>
      <c r="E8" s="11">
        <v>59</v>
      </c>
      <c r="F8" s="11">
        <v>170</v>
      </c>
      <c r="G8" s="11">
        <v>65</v>
      </c>
      <c r="H8" s="11">
        <v>72</v>
      </c>
      <c r="I8" s="11">
        <v>142</v>
      </c>
      <c r="J8" s="11">
        <v>182</v>
      </c>
      <c r="K8" s="11">
        <v>113</v>
      </c>
      <c r="L8" s="11">
        <v>144</v>
      </c>
      <c r="M8" s="12" t="s">
        <v>11</v>
      </c>
    </row>
    <row r="9" spans="1:16" s="13" customFormat="1" ht="18.75">
      <c r="A9" s="10" t="s">
        <v>12</v>
      </c>
      <c r="B9" s="11">
        <v>133</v>
      </c>
      <c r="C9" s="11">
        <v>67</v>
      </c>
      <c r="D9" s="11">
        <v>87</v>
      </c>
      <c r="E9" s="11">
        <v>295</v>
      </c>
      <c r="F9" s="11">
        <v>44</v>
      </c>
      <c r="G9" s="11">
        <v>300</v>
      </c>
      <c r="H9" s="11">
        <v>98</v>
      </c>
      <c r="I9" s="11">
        <v>342</v>
      </c>
      <c r="J9" s="11">
        <v>418</v>
      </c>
      <c r="K9" s="11">
        <v>358</v>
      </c>
      <c r="L9" s="11">
        <v>360</v>
      </c>
      <c r="M9" s="12" t="s">
        <v>13</v>
      </c>
    </row>
    <row r="10" spans="1:16" s="13" customFormat="1" ht="21">
      <c r="A10" s="10" t="s">
        <v>14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39</v>
      </c>
      <c r="K10" s="11">
        <v>31</v>
      </c>
      <c r="L10" s="11">
        <v>32</v>
      </c>
      <c r="M10" s="14" t="s">
        <v>15</v>
      </c>
    </row>
    <row r="11" spans="1:16" s="13" customFormat="1" ht="21">
      <c r="A11" s="10" t="s">
        <v>16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12</v>
      </c>
      <c r="K11" s="11">
        <v>27</v>
      </c>
      <c r="L11" s="11">
        <v>13</v>
      </c>
      <c r="M11" s="14" t="s">
        <v>17</v>
      </c>
    </row>
    <row r="12" spans="1:16" s="13" customFormat="1" ht="21">
      <c r="A12" s="10" t="s">
        <v>18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48</v>
      </c>
      <c r="K12" s="11">
        <v>55</v>
      </c>
      <c r="L12" s="11">
        <v>65</v>
      </c>
      <c r="M12" s="15" t="s">
        <v>19</v>
      </c>
    </row>
    <row r="13" spans="1:16" s="13" customFormat="1" ht="21">
      <c r="A13" s="10" t="s">
        <v>20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10</v>
      </c>
      <c r="K13" s="11">
        <v>19</v>
      </c>
      <c r="L13" s="11">
        <v>29</v>
      </c>
      <c r="M13" s="14" t="s">
        <v>21</v>
      </c>
    </row>
    <row r="14" spans="1:16" s="13" customFormat="1" ht="18.75">
      <c r="A14" s="16" t="s">
        <v>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7">
        <v>52</v>
      </c>
      <c r="K14" s="17">
        <v>39</v>
      </c>
      <c r="L14" s="17">
        <v>23</v>
      </c>
      <c r="M14" s="18" t="s">
        <v>2</v>
      </c>
    </row>
    <row r="15" spans="1:16" ht="24" customHeight="1">
      <c r="A15" s="24" t="s">
        <v>22</v>
      </c>
      <c r="B15" s="24"/>
      <c r="C15" s="24"/>
      <c r="D15" s="24"/>
      <c r="E15" s="24"/>
      <c r="F15" s="24"/>
      <c r="G15" s="24"/>
      <c r="H15" s="24"/>
      <c r="I15" s="24"/>
      <c r="J15" s="19"/>
      <c r="K15" s="19"/>
      <c r="L15" s="19"/>
      <c r="M15" s="19" t="s">
        <v>23</v>
      </c>
    </row>
    <row r="16" spans="1:16">
      <c r="A16" s="25" t="s">
        <v>24</v>
      </c>
      <c r="B16" s="25"/>
      <c r="C16" s="25"/>
      <c r="D16" s="25"/>
      <c r="E16" s="25"/>
      <c r="F16" s="25"/>
      <c r="G16" s="25"/>
      <c r="H16" s="25"/>
      <c r="I16" s="25"/>
    </row>
  </sheetData>
  <mergeCells count="4">
    <mergeCell ref="A1:M1"/>
    <mergeCell ref="A2:M2"/>
    <mergeCell ref="A15:I15"/>
    <mergeCell ref="A16:I16"/>
  </mergeCells>
  <pageMargins left="0.7" right="0.7" top="0.75" bottom="0.75" header="0.3" footer="0.3"/>
  <pageSetup scale="4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8.44</vt:lpstr>
      <vt:lpstr>'8.44'!Print_Area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2020-10-11T08:19:34Z</cp:lastPrinted>
  <dcterms:created xsi:type="dcterms:W3CDTF">2019-06-30T04:22:49Z</dcterms:created>
  <dcterms:modified xsi:type="dcterms:W3CDTF">2020-10-11T08:19:49Z</dcterms:modified>
</cp:coreProperties>
</file>