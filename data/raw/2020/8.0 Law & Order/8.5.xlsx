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5" sheetId="5" r:id="rId1"/>
  </sheets>
  <definedNames>
    <definedName name="_xlnm.Print_Area" localSheetId="0">'8.5'!$A$1:$H$33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E5" i="5" l="1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<sst xmlns="http://schemas.openxmlformats.org/spreadsheetml/2006/main" count="32" uniqueCount="32">
  <si>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</si>
  <si>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</si>
  <si>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</si>
  <si>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</si>
  <si>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</si>
  <si>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</si>
  <si>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</si>
  <si>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</si>
  <si>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</si>
  <si>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</si>
  <si>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</si>
  <si>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</si>
  <si>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</si>
  <si>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</si>
  <si>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</si>
  <si>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</si>
  <si>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</si>
  <si>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</si>
  <si>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</si>
  <si>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</si>
  <si>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</si>
  <si>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</si>
  <si>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</si>
  <si>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</si>
  <si>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</si>
  <si>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</si>
  <si>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</si>
  <si>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</si>
  <si>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</si>
  <si>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</si>
  <si>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2019 - 2016 ,cawtwlwscawm WviawfiLehwSuh : 8.5 ulwvWt</t>
  </si>
  <si>
    <t>Table 8.5: LOGGED CASES 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</si>
</sst>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7" applyNumberFormat="0" applyFill="0" applyAlignment="0" applyProtection="0"/>
    <xf numFmtId="0" fontId="15" fillId="0" borderId="0"/>
  </cellStyleXfs>
  <cellXfs count="23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0" fillId="2" borderId="3" xfId="0" applyNumberFormat="1" applyFill="1" applyBorder="1"/>
    <xf numFmtId="164" fontId="1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 applyProtection="1">
      <alignment horizontal="right" vertical="center"/>
      <protection locked="0"/>
    </xf>
    <xf numFmtId="166" fontId="7" fillId="2" borderId="6" xfId="1" applyNumberFormat="1" applyFont="1" applyFill="1" applyBorder="1" applyAlignment="1" applyProtection="1">
      <alignment horizontal="right" vertical="center"/>
      <protection locked="0"/>
    </xf>
    <xf numFmtId="164" fontId="14" fillId="2" borderId="1" xfId="0" applyNumberFormat="1" applyFont="1" applyFill="1" applyBorder="1" applyAlignment="1" applyProtection="1">
      <alignment vertical="top"/>
    </xf>
    <xf numFmtId="164" fontId="0" fillId="2" borderId="3" xfId="0" applyNumberFormat="1" applyFill="1" applyBorder="1" applyAlignment="1">
      <alignment vertical="top"/>
    </xf>
    <xf numFmtId="164" fontId="9" fillId="2" borderId="0" xfId="0" applyNumberFormat="1" applyFont="1" applyFill="1" applyBorder="1" applyAlignment="1">
      <alignment horizontal="right" vertical="top"/>
    </xf>
    <xf numFmtId="164" fontId="18" fillId="2" borderId="1" xfId="0" applyNumberFormat="1" applyFont="1" applyFill="1" applyBorder="1" applyAlignment="1" applyProtection="1">
      <alignment horizontal="right" vertical="center"/>
    </xf>
    <xf numFmtId="164" fontId="18" fillId="2" borderId="5" xfId="0" applyNumberFormat="1" applyFont="1" applyFill="1" applyBorder="1" applyAlignment="1" applyProtection="1">
      <alignment horizontal="right" vertical="center"/>
    </xf>
    <xf numFmtId="164" fontId="17" fillId="2" borderId="2" xfId="0" applyNumberFormat="1" applyFont="1" applyFill="1" applyBorder="1" applyAlignment="1">
      <alignment horizontal="right" vertical="top"/>
    </xf>
    <xf numFmtId="0" fontId="8" fillId="2" borderId="3" xfId="5" applyNumberFormat="1" applyFont="1" applyFill="1" applyBorder="1" applyAlignment="1">
      <alignment horizontal="left" vertical="center" indent="1"/>
    </xf>
    <xf numFmtId="0" fontId="8" fillId="2" borderId="6" xfId="5" applyNumberFormat="1" applyFont="1" applyFill="1" applyBorder="1" applyAlignment="1">
      <alignment horizontal="left" vertical="center" indent="1"/>
    </xf>
    <xf numFmtId="0" fontId="19" fillId="2" borderId="3" xfId="5" applyNumberFormat="1" applyFont="1" applyFill="1" applyBorder="1" applyAlignment="1">
      <alignment horizontal="right" vertical="center" indent="1"/>
    </xf>
    <xf numFmtId="0" fontId="19" fillId="2" borderId="6" xfId="5" applyNumberFormat="1" applyFont="1" applyFill="1" applyBorder="1" applyAlignment="1">
      <alignment horizontal="right" vertical="center" indent="1"/>
    </xf>
    <xf numFmtId="164" fontId="20" fillId="2" borderId="3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'8.5'!$D$4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'8.5'!$D$6:$D$17</c:f>
              <c:numCache>
                <c:formatCode>_-* #,##0_-;\-* #,##0_-;_-* "-"??_-;_-@_-</c:formatCode>
                <c:ptCount val="12"/>
                <c:pt idx="0">
                  <c:v>1362</c:v>
                </c:pt>
                <c:pt idx="1">
                  <c:v>1112</c:v>
                </c:pt>
                <c:pt idx="2">
                  <c:v>1278</c:v>
                </c:pt>
                <c:pt idx="3">
                  <c:v>1406</c:v>
                </c:pt>
                <c:pt idx="4">
                  <c:v>1270</c:v>
                </c:pt>
                <c:pt idx="5">
                  <c:v>1216</c:v>
                </c:pt>
                <c:pt idx="6">
                  <c:v>1309</c:v>
                </c:pt>
                <c:pt idx="7">
                  <c:v>1308</c:v>
                </c:pt>
                <c:pt idx="8">
                  <c:v>1223</c:v>
                </c:pt>
                <c:pt idx="9">
                  <c:v>1482</c:v>
                </c:pt>
                <c:pt idx="10">
                  <c:v>1296</c:v>
                </c:pt>
                <c:pt idx="11">
                  <c:v>1273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'8.5'!$E$4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'8.5'!$E$6:$E$17</c:f>
              <c:numCache>
                <c:formatCode>_-* #,##0_-;\-* #,##0_-;_-* "-"??_-;_-@_-</c:formatCode>
                <c:ptCount val="12"/>
                <c:pt idx="0">
                  <c:v>1427</c:v>
                </c:pt>
                <c:pt idx="1">
                  <c:v>1100</c:v>
                </c:pt>
                <c:pt idx="2">
                  <c:v>1374</c:v>
                </c:pt>
                <c:pt idx="3">
                  <c:v>1278</c:v>
                </c:pt>
                <c:pt idx="4">
                  <c:v>1156</c:v>
                </c:pt>
                <c:pt idx="5">
                  <c:v>1175</c:v>
                </c:pt>
                <c:pt idx="6">
                  <c:v>1165</c:v>
                </c:pt>
                <c:pt idx="7">
                  <c:v>1296</c:v>
                </c:pt>
                <c:pt idx="8">
                  <c:v>1278</c:v>
                </c:pt>
                <c:pt idx="9">
                  <c:v>1300</c:v>
                </c:pt>
                <c:pt idx="10">
                  <c:v>1096</c:v>
                </c:pt>
                <c:pt idx="11">
                  <c:v>1166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'8.5'!$F$4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1313</c:v>
                </c:pt>
                <c:pt idx="1">
                  <c:v>1282</c:v>
                </c:pt>
                <c:pt idx="2">
                  <c:v>1298</c:v>
                </c:pt>
                <c:pt idx="3">
                  <c:v>1411</c:v>
                </c:pt>
                <c:pt idx="4">
                  <c:v>1393</c:v>
                </c:pt>
                <c:pt idx="5">
                  <c:v>1450</c:v>
                </c:pt>
                <c:pt idx="6">
                  <c:v>1432</c:v>
                </c:pt>
                <c:pt idx="7">
                  <c:v>1300</c:v>
                </c:pt>
                <c:pt idx="8">
                  <c:v>1409</c:v>
                </c:pt>
                <c:pt idx="9">
                  <c:v>1505</c:v>
                </c:pt>
                <c:pt idx="10">
                  <c:v>1244</c:v>
                </c:pt>
                <c:pt idx="11">
                  <c:v>1443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27402664"/>
        <c:axId val="127406192"/>
      </c:barChart>
      <c:catAx>
        <c:axId val="127402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406192"/>
        <c:crosses val="autoZero"/>
        <c:auto val="1"/>
        <c:lblAlgn val="ctr"/>
        <c:lblOffset val="100"/>
        <c:noMultiLvlLbl val="0"/>
      </c:catAx>
      <c:valAx>
        <c:axId val="12740619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740266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024801656206426"/>
          <c:y val="0.20911347281449894"/>
          <c:w val="0.21101252368948348"/>
          <c:h val="8.721026057075251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55243</xdr:colOff>
      <xdr:row>18</xdr:row>
      <xdr:rowOff>87631</xdr:rowOff>
    </xdr:from>
    <xdr:to>
      <xdr:col>7</xdr:col>
      <xdr:colOff>1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0.21454</cdr:x>
      <cdr:y>0.03871</cdr:y>
    </cdr:from>
    <cdr:to>
      <cdr:x>0.83815</cdr:x>
      <cdr:y>0.14982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87783" y="102874"/>
          <a:ext cx="374332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2017 - 2019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9"/>
  <sheetViews>
    <sheetView tabSelected="1" zoomScaleNormal="100" workbookViewId="0">
      <selection activeCell="I22" sqref="I22"/>
    </sheetView>
  </sheetViews>
  <sheetFormatPr defaultColWidth="9.140625" defaultRowHeight="15"/>
  <cols>
    <col min="1" max="1" width="25.5703125" style="2" customWidth="1"/>
    <col min="2" max="2" width="0.5703125" style="2" customWidth="1"/>
    <col min="3" max="6" width="12.7109375" style="2" customWidth="1"/>
    <col min="7" max="7" width="27.140625" style="2" customWidth="1"/>
    <col min="8" max="8" width="3.42578125" style="2" customWidth="1"/>
    <col min="9" max="9" width="22.140625" style="2" bestFit="1" customWidth="1"/>
    <col min="10" max="10" width="6.7109375" style="2" bestFit="1" customWidth="1"/>
    <col min="11" max="13" width="3.28515625" style="2" customWidth="1"/>
    <col min="14" max="14" width="7.5703125" style="2" customWidth="1"/>
    <col min="15" max="15" width="7.28515625" style="2" customWidth="1"/>
    <col min="16" max="21" width="3.28515625" style="2" customWidth="1"/>
    <col min="22" max="22" width="9.140625" style="2"/>
    <col min="23" max="27" width="9.85546875" style="2" customWidth="1"/>
    <col min="28" max="16384" width="9.140625" style="2"/>
  </cols>
  <sheetData>
    <row r="1" spans="1:11" ht="18.75">
      <c r="A1" s="21" t="s">
        <v>30</v>
      </c>
      <c r="B1" s="21"/>
      <c r="C1" s="21"/>
      <c r="D1" s="21"/>
      <c r="E1" s="21"/>
      <c r="F1" s="21"/>
      <c r="G1" s="21"/>
    </row>
    <row r="2" spans="1:11" ht="15.75">
      <c r="A2" s="22" t="s">
        <v>31</v>
      </c>
      <c r="B2" s="22"/>
      <c r="C2" s="22"/>
      <c r="D2" s="22"/>
      <c r="E2" s="22"/>
      <c r="F2" s="22"/>
      <c r="G2" s="22"/>
    </row>
    <row r="3" spans="1:11" ht="5.25" customHeight="1">
      <c r="A3" s="3"/>
      <c r="B3" s="3"/>
      <c r="C3" s="3"/>
      <c r="D3" s="3"/>
      <c r="E3" s="3"/>
      <c r="F3" s="3"/>
      <c r="G3" s="3"/>
      <c r="I3" s="1"/>
    </row>
    <row r="4" spans="1:11" s="6" customFormat="1" ht="15.75">
      <c r="A4" s="4" t="s">
        <v>4</v>
      </c>
      <c r="B4" s="5">
        <v>2015</v>
      </c>
      <c r="C4" s="5">
        <v>2016</v>
      </c>
      <c r="D4" s="5">
        <v>2017</v>
      </c>
      <c r="E4" s="5">
        <v>2018</v>
      </c>
      <c r="F4" s="5">
        <v>2019</v>
      </c>
      <c r="G4" s="15" t="s">
        <v>5</v>
      </c>
      <c r="H4" s="2"/>
      <c r="I4" s="2"/>
      <c r="J4" s="2"/>
      <c r="K4" s="2"/>
    </row>
    <row r="5" spans="1:11" ht="15.75">
      <c r="A5" s="7" t="s">
        <v>0</v>
      </c>
      <c r="B5" s="8">
        <f>SUM(B6:B17)</f>
        <v>16362</v>
      </c>
      <c r="C5" s="8">
        <f t="shared" ref="C5:E5" si="0">SUM(C6:C17)</f>
        <v>16287</v>
      </c>
      <c r="D5" s="8">
        <f t="shared" si="0"/>
        <v>15535</v>
      </c>
      <c r="E5" s="8">
        <f t="shared" si="0"/>
        <v>14811</v>
      </c>
      <c r="F5" s="8">
        <f t="shared" ref="F5" si="1">SUM(F6:F17)</f>
        <v>16480</v>
      </c>
      <c r="G5" s="14" t="s">
        <v>1</v>
      </c>
      <c r="H5" s="6"/>
      <c r="I5" s="6"/>
      <c r="J5" s="6"/>
      <c r="K5" s="6"/>
    </row>
    <row r="6" spans="1:11" ht="18.75">
      <c r="A6" s="17" t="s">
        <v>6</v>
      </c>
      <c r="B6" s="9">
        <v>1371</v>
      </c>
      <c r="C6" s="9">
        <v>1467</v>
      </c>
      <c r="D6" s="9">
        <v>1362</v>
      </c>
      <c r="E6" s="9">
        <v>1427</v>
      </c>
      <c r="F6" s="9">
        <v>1313</v>
      </c>
      <c r="G6" s="19" t="s">
        <v>7</v>
      </c>
      <c r="I6" s="6"/>
    </row>
    <row r="7" spans="1:11" ht="18.75">
      <c r="A7" s="17" t="s">
        <v>8</v>
      </c>
      <c r="B7" s="9">
        <v>1414</v>
      </c>
      <c r="C7" s="9">
        <v>1420</v>
      </c>
      <c r="D7" s="9">
        <v>1112</v>
      </c>
      <c r="E7" s="9">
        <v>1100</v>
      </c>
      <c r="F7" s="9">
        <v>1282</v>
      </c>
      <c r="G7" s="19" t="s">
        <v>9</v>
      </c>
      <c r="I7" s="6"/>
    </row>
    <row r="8" spans="1:11" ht="18.75">
      <c r="A8" s="17" t="s">
        <v>10</v>
      </c>
      <c r="B8" s="9">
        <v>1441</v>
      </c>
      <c r="C8" s="9">
        <v>1598</v>
      </c>
      <c r="D8" s="9">
        <v>1278</v>
      </c>
      <c r="E8" s="9">
        <v>1374</v>
      </c>
      <c r="F8" s="9">
        <v>1298</v>
      </c>
      <c r="G8" s="19" t="s">
        <v>11</v>
      </c>
      <c r="I8" s="6"/>
    </row>
    <row r="9" spans="1:11" ht="18.75">
      <c r="A9" s="17" t="s">
        <v>12</v>
      </c>
      <c r="B9" s="9">
        <v>1271</v>
      </c>
      <c r="C9" s="9">
        <v>1251</v>
      </c>
      <c r="D9" s="9">
        <v>1406</v>
      </c>
      <c r="E9" s="9">
        <v>1278</v>
      </c>
      <c r="F9" s="9">
        <v>1411</v>
      </c>
      <c r="G9" s="19" t="s">
        <v>13</v>
      </c>
      <c r="I9" s="6"/>
    </row>
    <row r="10" spans="1:11" ht="18.75">
      <c r="A10" s="17" t="s">
        <v>14</v>
      </c>
      <c r="B10" s="9">
        <v>1332</v>
      </c>
      <c r="C10" s="9">
        <v>1539</v>
      </c>
      <c r="D10" s="9">
        <v>1270</v>
      </c>
      <c r="E10" s="9">
        <v>1156</v>
      </c>
      <c r="F10" s="9">
        <v>1393</v>
      </c>
      <c r="G10" s="19" t="s">
        <v>15</v>
      </c>
      <c r="I10" s="6"/>
    </row>
    <row r="11" spans="1:11" ht="18.75">
      <c r="A11" s="17" t="s">
        <v>16</v>
      </c>
      <c r="B11" s="9">
        <v>1262</v>
      </c>
      <c r="C11" s="9">
        <v>1334</v>
      </c>
      <c r="D11" s="9">
        <v>1216</v>
      </c>
      <c r="E11" s="9">
        <v>1175</v>
      </c>
      <c r="F11" s="9">
        <v>1450</v>
      </c>
      <c r="G11" s="19" t="s">
        <v>17</v>
      </c>
    </row>
    <row r="12" spans="1:11" ht="18.75">
      <c r="A12" s="17" t="s">
        <v>18</v>
      </c>
      <c r="B12" s="9">
        <v>1326</v>
      </c>
      <c r="C12" s="9">
        <v>1301</v>
      </c>
      <c r="D12" s="9">
        <v>1309</v>
      </c>
      <c r="E12" s="9">
        <v>1165</v>
      </c>
      <c r="F12" s="9">
        <v>1432</v>
      </c>
      <c r="G12" s="19" t="s">
        <v>19</v>
      </c>
      <c r="I12" s="6"/>
    </row>
    <row r="13" spans="1:11" ht="18.75">
      <c r="A13" s="17" t="s">
        <v>20</v>
      </c>
      <c r="B13" s="9">
        <v>1609</v>
      </c>
      <c r="C13" s="9">
        <v>1267</v>
      </c>
      <c r="D13" s="9">
        <v>1308</v>
      </c>
      <c r="E13" s="9">
        <v>1296</v>
      </c>
      <c r="F13" s="9">
        <v>1300</v>
      </c>
      <c r="G13" s="19" t="s">
        <v>21</v>
      </c>
      <c r="I13" s="6"/>
    </row>
    <row r="14" spans="1:11" ht="18.75">
      <c r="A14" s="17" t="s">
        <v>22</v>
      </c>
      <c r="B14" s="9">
        <v>1428</v>
      </c>
      <c r="C14" s="9">
        <v>1189</v>
      </c>
      <c r="D14" s="9">
        <v>1223</v>
      </c>
      <c r="E14" s="9">
        <v>1278</v>
      </c>
      <c r="F14" s="9">
        <v>1409</v>
      </c>
      <c r="G14" s="19" t="s">
        <v>23</v>
      </c>
      <c r="I14" s="6"/>
    </row>
    <row r="15" spans="1:11" ht="18.75">
      <c r="A15" s="17" t="s">
        <v>24</v>
      </c>
      <c r="B15" s="9">
        <v>1369</v>
      </c>
      <c r="C15" s="9">
        <v>1252</v>
      </c>
      <c r="D15" s="9">
        <v>1482</v>
      </c>
      <c r="E15" s="9">
        <v>1300</v>
      </c>
      <c r="F15" s="9">
        <v>1505</v>
      </c>
      <c r="G15" s="19" t="s">
        <v>25</v>
      </c>
      <c r="I15" s="6"/>
    </row>
    <row r="16" spans="1:11" ht="18.75">
      <c r="A16" s="17" t="s">
        <v>26</v>
      </c>
      <c r="B16" s="9">
        <v>1285</v>
      </c>
      <c r="C16" s="9">
        <v>1300</v>
      </c>
      <c r="D16" s="9">
        <v>1296</v>
      </c>
      <c r="E16" s="9">
        <v>1096</v>
      </c>
      <c r="F16" s="9">
        <v>1244</v>
      </c>
      <c r="G16" s="19" t="s">
        <v>27</v>
      </c>
      <c r="I16" s="6"/>
    </row>
    <row r="17" spans="1:9" ht="18.75">
      <c r="A17" s="18" t="s">
        <v>28</v>
      </c>
      <c r="B17" s="10">
        <v>1254</v>
      </c>
      <c r="C17" s="10">
        <v>1369</v>
      </c>
      <c r="D17" s="10">
        <v>1273</v>
      </c>
      <c r="E17" s="10">
        <v>1166</v>
      </c>
      <c r="F17" s="10">
        <v>1443</v>
      </c>
      <c r="G17" s="20" t="s">
        <v>29</v>
      </c>
      <c r="I17" s="6"/>
    </row>
    <row r="18" spans="1:9">
      <c r="A18" s="11" t="s">
        <v>2</v>
      </c>
      <c r="B18" s="12"/>
      <c r="C18" s="12"/>
      <c r="D18" s="12"/>
      <c r="E18" s="12"/>
      <c r="F18" s="12"/>
      <c r="G18" s="16" t="s">
        <v>3</v>
      </c>
    </row>
    <row r="19" spans="1:9">
      <c r="A19" s="11"/>
      <c r="B19" s="12"/>
      <c r="C19" s="12"/>
      <c r="D19" s="12"/>
      <c r="E19" s="12"/>
      <c r="F19" s="12"/>
      <c r="G19" s="13"/>
    </row>
  </sheetData>
  <mergeCells count="2">
    <mergeCell ref="A1:G1"/>
    <mergeCell ref="A2:G2"/>
  </mergeCells>
  <pageMargins left="0.7" right="0.7" top="0.75" bottom="0.75" header="0.3" footer="0.3"/>
  <pageSetup scale="7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2020-06-28T07:06:24Z</cp:lastPrinted>
  <dcterms:created xsi:type="dcterms:W3CDTF">2019-06-30T04:22:49Z</dcterms:created>
  <dcterms:modified xsi:type="dcterms:W3CDTF">2020-06-28T07:06:36Z</dcterms:modified>
</cp:coreProperties>
</file>