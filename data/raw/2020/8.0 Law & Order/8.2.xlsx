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852"/>
  </bookViews>
  <sheets>
    <sheet name="8.2" sheetId="2" r:id="rId1"/>
  </sheets>
  <definedNames>
    <definedName name="_xlnm.Print_Area" localSheetId="0">'8.2'!$A$1:$O$65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2" l="1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L21" i="2"/>
  <c r="M21" i="2"/>
  <c r="M22" i="2"/>
  <c r="L23" i="2"/>
  <c r="M23" i="2"/>
  <c r="L24" i="2"/>
  <c r="M24" i="2"/>
  <c r="L25" i="2"/>
  <c r="M25" i="2"/>
  <c r="L26" i="2"/>
  <c r="M26" i="2"/>
  <c r="M27" i="2"/>
  <c r="L28" i="2"/>
  <c r="M28" i="2"/>
  <c r="L29" i="2"/>
  <c r="M29" i="2"/>
  <c r="L30" i="2"/>
  <c r="M30" i="2"/>
  <c r="H30" i="2"/>
  <c r="H29" i="2"/>
  <c r="H28" i="2"/>
  <c r="H27" i="2"/>
  <c r="H26" i="2"/>
  <c r="H25" i="2"/>
  <c r="H24" i="2"/>
  <c r="H23" i="2"/>
  <c r="H22" i="2"/>
  <c r="H21" i="2"/>
  <c r="H20" i="2"/>
  <c r="H18" i="2"/>
  <c r="H17" i="2"/>
  <c r="H16" i="2"/>
  <c r="H15" i="2"/>
  <c r="H14" i="2"/>
  <c r="H13" i="2"/>
  <c r="H12" i="2"/>
  <c r="H11" i="2"/>
  <c r="H10" i="2"/>
  <c r="H9" i="2"/>
  <c r="H8" i="2"/>
  <c r="J7" i="2"/>
  <c r="H19" i="2" l="1"/>
  <c r="I7" i="2"/>
  <c r="H7" i="2" l="1"/>
  <c r="E30" i="2" l="1"/>
  <c r="K30" i="2" s="1"/>
  <c r="B30" i="2"/>
  <c r="E29" i="2"/>
  <c r="K29" i="2" s="1"/>
  <c r="B29" i="2"/>
  <c r="E28" i="2"/>
  <c r="K28" i="2" s="1"/>
  <c r="B28" i="2"/>
  <c r="E27" i="2"/>
  <c r="K27" i="2" s="1"/>
  <c r="B27" i="2"/>
  <c r="E26" i="2"/>
  <c r="K26" i="2" s="1"/>
  <c r="B26" i="2"/>
  <c r="E25" i="2"/>
  <c r="K25" i="2" s="1"/>
  <c r="B25" i="2"/>
  <c r="E24" i="2"/>
  <c r="K24" i="2" s="1"/>
  <c r="B24" i="2"/>
  <c r="E23" i="2"/>
  <c r="K23" i="2" s="1"/>
  <c r="B23" i="2"/>
  <c r="E22" i="2"/>
  <c r="K22" i="2" s="1"/>
  <c r="B22" i="2"/>
  <c r="E21" i="2"/>
  <c r="K21" i="2" s="1"/>
  <c r="B21" i="2"/>
  <c r="E20" i="2"/>
  <c r="K20" i="2" s="1"/>
  <c r="B20" i="2"/>
  <c r="E19" i="2"/>
  <c r="K19" i="2" s="1"/>
  <c r="B19" i="2"/>
  <c r="E18" i="2"/>
  <c r="K18" i="2" s="1"/>
  <c r="B18" i="2"/>
  <c r="E17" i="2"/>
  <c r="K17" i="2" s="1"/>
  <c r="B17" i="2"/>
  <c r="E16" i="2"/>
  <c r="K16" i="2" s="1"/>
  <c r="B16" i="2"/>
  <c r="E15" i="2"/>
  <c r="K15" i="2" s="1"/>
  <c r="B15" i="2"/>
  <c r="E14" i="2"/>
  <c r="K14" i="2" s="1"/>
  <c r="B14" i="2"/>
  <c r="E13" i="2"/>
  <c r="K13" i="2" s="1"/>
  <c r="B13" i="2"/>
  <c r="E12" i="2"/>
  <c r="K12" i="2" s="1"/>
  <c r="B12" i="2"/>
  <c r="E11" i="2"/>
  <c r="K11" i="2" s="1"/>
  <c r="B11" i="2"/>
  <c r="E10" i="2"/>
  <c r="K10" i="2" s="1"/>
  <c r="B10" i="2"/>
  <c r="E9" i="2"/>
  <c r="K9" i="2" s="1"/>
  <c r="B9" i="2"/>
  <c r="E8" i="2"/>
  <c r="K8" i="2" s="1"/>
  <c r="B8" i="2"/>
  <c r="G7" i="2"/>
  <c r="M7" i="2" s="1"/>
  <c r="F7" i="2"/>
  <c r="L7" i="2" s="1"/>
  <c r="D7" i="2"/>
  <c r="C7" i="2"/>
  <c r="B7" i="2" l="1"/>
  <c r="E7" i="2"/>
  <c r="K7" i="2" s="1"/>
</calcChain>
</file>

<file path=xl/sharedStrings.xml><?xml version="1.0" encoding="utf-8"?>
<sst xmlns="http://schemas.openxmlformats.org/spreadsheetml/2006/main" count="80" uniqueCount="60">
  <si>
    <t>ހުށަހެޅިފައިވާ މައްސަލަތައް</t>
  </si>
  <si>
    <t>Theft</t>
  </si>
  <si>
    <t>Total</t>
  </si>
  <si>
    <t>wlcmuj</t>
  </si>
  <si>
    <t>ވައްކަން</t>
  </si>
  <si>
    <t>Drugs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</si>
  <si>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</si>
  <si>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</si>
  <si>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</si>
  <si>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</si>
  <si>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</si>
  <si>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</si>
  <si>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</si>
  <si>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</si>
  <si>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</si>
  <si>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</si>
  <si>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</si>
  <si>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</si>
  <si>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</si>
  <si>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</si>
  <si>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</si>
  <si>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</si>
  <si>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</si>
  <si>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ވަގުފައިސާ އަދި ފޯރޖްކުރުން</t>
  </si>
  <si>
    <t>އެހެނިހެން</t>
  </si>
  <si>
    <t>Arson</t>
  </si>
  <si>
    <t>ހުޅުޖެހުން</t>
  </si>
  <si>
    <t>Lost items</t>
  </si>
  <si>
    <t>އަމިއްލައަށް މަރުވާން އުޅުން</t>
  </si>
  <si>
    <t>Source: Maldives Police Service</t>
  </si>
  <si>
    <t>csivrws csilop cscviDclOm :Ivcaed utWmUluAwm</t>
  </si>
  <si>
    <t>Type of case</t>
  </si>
  <si>
    <t>ކުރީ އަހަރާއި  އަޅާ ބަލާއިރު އިތުރުވި މިންވަރު</t>
  </si>
  <si>
    <t>ރާއްޖެ</t>
  </si>
  <si>
    <t>މާލެ</t>
  </si>
  <si>
    <t>އަތޮޅުތައް</t>
  </si>
  <si>
    <t>Republic</t>
  </si>
  <si>
    <t>Male'</t>
  </si>
  <si>
    <t>Atolls</t>
  </si>
  <si>
    <t>ޓްރެފިކް އެކްސިޑެންޓްސް</t>
  </si>
  <si>
    <t>Threatening</t>
  </si>
  <si>
    <t xml:space="preserve">  ބިރުދެއްކުން</t>
  </si>
  <si>
    <t>Fire incidents</t>
  </si>
  <si>
    <t xml:space="preserve">  އަލިފާނުގެ ހާދިސާ</t>
  </si>
  <si>
    <t>Environmental offences</t>
  </si>
  <si>
    <t>ތިމާވެއްޓާއި ގުޅުންހުރި މައްސަލަތައް</t>
  </si>
  <si>
    <t>Illegal immigration</t>
  </si>
  <si>
    <t>ރާއްޖެއަށް ނުވަތަ ރާއްޖޭގެ ސަރަހައްދަކަށް ޤަވާއިދާއި ހިލާފަށް ވަނުން</t>
  </si>
  <si>
    <t>Obstruction of Justice</t>
  </si>
  <si>
    <t>ފުލުހުންގެ ވާޖިބަށް ހުރަސް އެޅުން</t>
  </si>
  <si>
    <t>Illegally entering households</t>
  </si>
  <si>
    <t>ޤަވާއިދާއި ޚިލާފަށް ގޯތިގެދޮރަށް ވަނުން</t>
  </si>
  <si>
    <t>Sudden death</t>
  </si>
  <si>
    <t>ކުއްލި މަރު</t>
  </si>
  <si>
    <t>Attempt to suicide</t>
  </si>
  <si>
    <t>Unlawful posession of weapons</t>
  </si>
  <si>
    <t>ހަތިޔާރު ގެންގުޅުން</t>
  </si>
  <si>
    <t>% change over 2018</t>
  </si>
  <si>
    <t>ތާވަލު 8.2: މާލެ އަދި އަތޮޅުތަކުން ހުށަހެޅިފައިވާ މައްސަލަތަކުގެ ޢަދަދު އަދި ބާވަތް، 2017- 2019</t>
  </si>
  <si>
    <t>TABLE 8.2  : NUMBER OF  LOGGED CASES BY  LOCALITY &amp; TYPE OF CASES, 2017 - 2019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</si>
</sst>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Faruma"/>
      <family val="3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i/>
      <sz val="10"/>
      <name val="Calibri"/>
      <family val="2"/>
      <scheme val="minor"/>
    </font>
    <font>
      <sz val="9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167" fontId="23" fillId="0" borderId="0"/>
    <xf numFmtId="0" fontId="28" fillId="0" borderId="14" applyNumberFormat="0" applyFill="0" applyAlignment="0" applyProtection="0"/>
    <xf numFmtId="0" fontId="27" fillId="0" borderId="0"/>
  </cellStyleXfs>
  <cellXfs count="67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5" fillId="2" borderId="0" xfId="0" applyNumberFormat="1" applyFont="1" applyFill="1" applyBorder="1" applyAlignment="1">
      <alignment vertical="center"/>
    </xf>
    <xf numFmtId="164" fontId="13" fillId="2" borderId="0" xfId="0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 applyProtection="1">
      <alignment horizontal="right" vertical="center"/>
    </xf>
    <xf numFmtId="167" fontId="18" fillId="2" borderId="0" xfId="1" applyNumberFormat="1" applyFont="1" applyFill="1" applyBorder="1" applyAlignment="1">
      <alignment horizontal="right"/>
    </xf>
    <xf numFmtId="164" fontId="0" fillId="2" borderId="0" xfId="0" applyNumberFormat="1" applyFill="1" applyBorder="1"/>
    <xf numFmtId="164" fontId="9" fillId="2" borderId="0" xfId="0" applyNumberFormat="1" applyFont="1" applyFill="1" applyBorder="1"/>
    <xf numFmtId="164" fontId="21" fillId="2" borderId="3" xfId="0" applyNumberFormat="1" applyFont="1" applyFill="1" applyBorder="1" applyAlignment="1">
      <alignment horizontal="right" vertical="center" wrapText="1"/>
    </xf>
    <xf numFmtId="164" fontId="21" fillId="2" borderId="6" xfId="0" applyNumberFormat="1" applyFont="1" applyFill="1" applyBorder="1" applyAlignment="1">
      <alignment horizontal="right" vertical="center" wrapText="1"/>
    </xf>
    <xf numFmtId="164" fontId="21" fillId="2" borderId="7" xfId="0" applyNumberFormat="1" applyFont="1" applyFill="1" applyBorder="1" applyAlignment="1">
      <alignment horizontal="right" vertical="center" wrapText="1"/>
    </xf>
    <xf numFmtId="164" fontId="5" fillId="2" borderId="8" xfId="0" applyNumberFormat="1" applyFont="1" applyFill="1" applyBorder="1" applyAlignment="1">
      <alignment horizontal="right" vertical="center" wrapText="1"/>
    </xf>
    <xf numFmtId="164" fontId="5" fillId="2" borderId="9" xfId="0" applyNumberFormat="1" applyFont="1" applyFill="1" applyBorder="1" applyAlignment="1">
      <alignment horizontal="right" vertical="center" wrapText="1"/>
    </xf>
    <xf numFmtId="166" fontId="5" fillId="2" borderId="0" xfId="3" applyNumberFormat="1" applyFont="1" applyFill="1" applyBorder="1" applyAlignment="1">
      <alignment horizontal="center" vertical="center"/>
    </xf>
    <xf numFmtId="166" fontId="5" fillId="2" borderId="7" xfId="3" applyNumberFormat="1" applyFont="1" applyFill="1" applyBorder="1" applyAlignment="1">
      <alignment horizontal="center" vertical="center"/>
    </xf>
    <xf numFmtId="164" fontId="24" fillId="2" borderId="0" xfId="0" applyNumberFormat="1" applyFont="1" applyFill="1" applyBorder="1"/>
    <xf numFmtId="166" fontId="6" fillId="2" borderId="0" xfId="3" applyNumberFormat="1" applyFont="1" applyFill="1" applyBorder="1" applyAlignment="1">
      <alignment horizontal="center" vertical="center"/>
    </xf>
    <xf numFmtId="166" fontId="14" fillId="2" borderId="0" xfId="3" applyNumberFormat="1" applyFont="1" applyFill="1" applyBorder="1" applyAlignment="1">
      <alignment horizontal="center" vertical="center"/>
    </xf>
    <xf numFmtId="164" fontId="24" fillId="2" borderId="0" xfId="0" applyNumberFormat="1" applyFont="1" applyFill="1"/>
    <xf numFmtId="166" fontId="13" fillId="2" borderId="0" xfId="3" applyNumberFormat="1" applyFont="1" applyFill="1" applyBorder="1" applyAlignment="1">
      <alignment horizontal="center" vertical="center"/>
    </xf>
    <xf numFmtId="166" fontId="13" fillId="2" borderId="11" xfId="3" applyNumberFormat="1" applyFont="1" applyFill="1" applyBorder="1" applyAlignment="1">
      <alignment horizontal="center" vertical="center"/>
    </xf>
    <xf numFmtId="164" fontId="16" fillId="2" borderId="0" xfId="0" applyNumberFormat="1" applyFont="1" applyFill="1" applyBorder="1" applyAlignment="1">
      <alignment horizontal="left" vertical="center" indent="1"/>
    </xf>
    <xf numFmtId="164" fontId="10" fillId="2" borderId="0" xfId="0" applyNumberFormat="1" applyFont="1" applyFill="1" applyBorder="1" applyAlignment="1" applyProtection="1">
      <alignment horizontal="right" vertical="center" indent="1"/>
    </xf>
    <xf numFmtId="164" fontId="10" fillId="2" borderId="0" xfId="0" applyNumberFormat="1" applyFont="1" applyFill="1" applyBorder="1" applyAlignment="1" applyProtection="1">
      <alignment horizontal="right" vertical="center" wrapText="1"/>
    </xf>
    <xf numFmtId="164" fontId="25" fillId="2" borderId="4" xfId="0" applyNumberFormat="1" applyFont="1" applyFill="1" applyBorder="1" applyAlignment="1">
      <alignment horizontal="left" vertical="center" indent="1"/>
    </xf>
    <xf numFmtId="166" fontId="13" fillId="2" borderId="4" xfId="3" applyNumberFormat="1" applyFont="1" applyFill="1" applyBorder="1" applyAlignment="1">
      <alignment horizontal="center" vertical="center"/>
    </xf>
    <xf numFmtId="166" fontId="13" fillId="2" borderId="8" xfId="3" applyNumberFormat="1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 applyProtection="1">
      <alignment horizontal="right" vertical="center" indent="1"/>
    </xf>
    <xf numFmtId="164" fontId="17" fillId="2" borderId="0" xfId="0" applyNumberFormat="1" applyFont="1" applyFill="1"/>
    <xf numFmtId="164" fontId="19" fillId="2" borderId="5" xfId="0" applyNumberFormat="1" applyFont="1" applyFill="1" applyBorder="1" applyAlignment="1" applyProtection="1">
      <alignment vertical="center"/>
    </xf>
    <xf numFmtId="164" fontId="13" fillId="2" borderId="0" xfId="0" applyNumberFormat="1" applyFont="1" applyFill="1" applyBorder="1"/>
    <xf numFmtId="164" fontId="14" fillId="2" borderId="0" xfId="0" applyNumberFormat="1" applyFont="1" applyFill="1" applyBorder="1"/>
    <xf numFmtId="164" fontId="26" fillId="2" borderId="0" xfId="0" applyNumberFormat="1" applyFont="1" applyFill="1" applyBorder="1" applyAlignment="1" applyProtection="1">
      <alignment horizontal="right" vertical="center"/>
    </xf>
    <xf numFmtId="164" fontId="11" fillId="2" borderId="0" xfId="0" applyNumberFormat="1" applyFont="1" applyFill="1" applyBorder="1" applyAlignment="1">
      <alignment vertical="center"/>
    </xf>
    <xf numFmtId="3" fontId="5" fillId="2" borderId="12" xfId="3" applyNumberFormat="1" applyFont="1" applyFill="1" applyBorder="1" applyAlignment="1">
      <alignment horizontal="right" vertical="center"/>
    </xf>
    <xf numFmtId="3" fontId="13" fillId="2" borderId="0" xfId="3" applyNumberFormat="1" applyFont="1" applyFill="1" applyBorder="1" applyAlignment="1">
      <alignment horizontal="right" vertical="center"/>
    </xf>
    <xf numFmtId="3" fontId="13" fillId="2" borderId="11" xfId="3" applyNumberFormat="1" applyFont="1" applyFill="1" applyBorder="1" applyAlignment="1">
      <alignment horizontal="right" vertical="center"/>
    </xf>
    <xf numFmtId="3" fontId="5" fillId="2" borderId="9" xfId="3" applyNumberFormat="1" applyFont="1" applyFill="1" applyBorder="1" applyAlignment="1">
      <alignment horizontal="right" vertical="center"/>
    </xf>
    <xf numFmtId="3" fontId="13" fillId="2" borderId="4" xfId="3" applyNumberFormat="1" applyFont="1" applyFill="1" applyBorder="1" applyAlignment="1">
      <alignment horizontal="right" vertical="center"/>
    </xf>
    <xf numFmtId="3" fontId="13" fillId="2" borderId="8" xfId="3" applyNumberFormat="1" applyFont="1" applyFill="1" applyBorder="1" applyAlignment="1">
      <alignment horizontal="right" vertical="center"/>
    </xf>
    <xf numFmtId="166" fontId="13" fillId="2" borderId="0" xfId="3" applyNumberFormat="1" applyFont="1" applyFill="1" applyBorder="1" applyAlignment="1">
      <alignment horizontal="right" vertical="center"/>
    </xf>
    <xf numFmtId="165" fontId="12" fillId="2" borderId="0" xfId="4" applyNumberFormat="1" applyFont="1" applyFill="1" applyBorder="1" applyAlignment="1" applyProtection="1">
      <alignment horizontal="right" vertical="center"/>
      <protection locked="0"/>
    </xf>
    <xf numFmtId="164" fontId="5" fillId="2" borderId="4" xfId="0" applyNumberFormat="1" applyFont="1" applyFill="1" applyBorder="1" applyAlignment="1">
      <alignment horizontal="right" vertical="center" wrapText="1"/>
    </xf>
    <xf numFmtId="165" fontId="15" fillId="2" borderId="0" xfId="4" applyNumberFormat="1" applyFont="1" applyFill="1" applyBorder="1" applyAlignment="1" applyProtection="1">
      <alignment horizontal="right" vertical="center"/>
      <protection locked="0"/>
    </xf>
    <xf numFmtId="165" fontId="12" fillId="2" borderId="4" xfId="4" applyNumberFormat="1" applyFont="1" applyFill="1" applyBorder="1" applyAlignment="1" applyProtection="1">
      <alignment horizontal="right" vertical="center"/>
      <protection locked="0"/>
    </xf>
    <xf numFmtId="165" fontId="15" fillId="2" borderId="4" xfId="4" applyNumberFormat="1" applyFont="1" applyFill="1" applyBorder="1" applyAlignment="1" applyProtection="1">
      <alignment horizontal="right" vertical="center"/>
      <protection locked="0"/>
    </xf>
    <xf numFmtId="165" fontId="12" fillId="2" borderId="16" xfId="4" applyNumberFormat="1" applyFont="1" applyFill="1" applyBorder="1" applyAlignment="1" applyProtection="1">
      <alignment horizontal="right" vertical="center"/>
      <protection locked="0"/>
    </xf>
    <xf numFmtId="164" fontId="29" fillId="2" borderId="13" xfId="0" applyNumberFormat="1" applyFont="1" applyFill="1" applyBorder="1" applyAlignment="1">
      <alignment horizontal="right"/>
    </xf>
    <xf numFmtId="164" fontId="30" fillId="2" borderId="10" xfId="0" applyNumberFormat="1" applyFont="1" applyFill="1" applyBorder="1" applyAlignment="1" applyProtection="1">
      <alignment horizontal="right" vertical="center"/>
    </xf>
    <xf numFmtId="164" fontId="8" fillId="2" borderId="3" xfId="0" applyNumberFormat="1" applyFont="1" applyFill="1" applyBorder="1" applyAlignment="1" applyProtection="1">
      <alignment horizontal="right" vertical="center" wrapText="1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15" xfId="0" applyNumberFormat="1" applyFont="1" applyFill="1" applyBorder="1" applyAlignment="1">
      <alignment horizontal="center" vertical="top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  <xf numFmtId="164" fontId="8" fillId="2" borderId="0" xfId="0" applyNumberFormat="1" applyFont="1" applyFill="1" applyBorder="1" applyAlignment="1" applyProtection="1">
      <alignment horizontal="right" vertical="center" wrapText="1"/>
    </xf>
    <xf numFmtId="164" fontId="8" fillId="2" borderId="4" xfId="0" applyNumberFormat="1" applyFont="1" applyFill="1" applyBorder="1" applyAlignment="1" applyProtection="1">
      <alignment horizontal="right" vertical="center" wrapText="1"/>
    </xf>
    <xf numFmtId="164" fontId="5" fillId="2" borderId="0" xfId="0" applyNumberFormat="1" applyFont="1" applyFill="1" applyBorder="1" applyAlignment="1">
      <alignment horizontal="center" vertical="center" wrapText="1"/>
    </xf>
    <xf numFmtId="164" fontId="20" fillId="2" borderId="1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left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 wrapText="1"/>
    </xf>
  </cellXfs>
  <cellStyles count="8">
    <cellStyle name="Comma" xfId="1" builtinId="3"/>
    <cellStyle name="Comma 2" xfId="3"/>
    <cellStyle name="Heading 1 2" xfId="6"/>
    <cellStyle name="Hyperlink" xfId="2" builtinId="8"/>
    <cellStyle name="Normal" xfId="0" builtinId="0"/>
    <cellStyle name="Normal 2" xfId="7"/>
    <cellStyle name="Normal 3" xfId="5"/>
    <cellStyle name="Percent 2" xfId="4"/>
  </cellStyles>
  <dxfs count="0"/>
  <tableStyles count="0" defaultTableStyle="TableStyleMedium2" defaultPivotStyle="PivotStyleLight16"/>
  <colors>
    <mruColors>
      <color rgb="FF996633"/>
      <color rgb="FFF5EADF"/>
      <color rgb="FFDDBA97"/>
      <color rgb="FFF1E2D3"/>
      <color rgb="FFFAF5F0"/>
      <color rgb="FFCC6600"/>
      <color rgb="FF663300"/>
      <color rgb="FFFFC58B"/>
      <color rgb="FFFF8E1D"/>
      <color rgb="FFFFAB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54202331622758E-2"/>
          <c:y val="0.1784770735971532"/>
          <c:w val="0.89173231707112144"/>
          <c:h val="0.521512249891598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'8.2'!$I$6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'8.2'!$I$8:$I$19</c:f>
              <c:numCache>
                <c:formatCode>_-* #,##0_-;\-* #,##0_-;_-* "-"??_-;_-@_-</c:formatCode>
                <c:ptCount val="12"/>
                <c:pt idx="0">
                  <c:v>3289</c:v>
                </c:pt>
                <c:pt idx="1">
                  <c:v>2132</c:v>
                </c:pt>
                <c:pt idx="2">
                  <c:v>1102</c:v>
                </c:pt>
                <c:pt idx="3">
                  <c:v>1412</c:v>
                </c:pt>
                <c:pt idx="4">
                  <c:v>294</c:v>
                </c:pt>
                <c:pt idx="5">
                  <c:v>305</c:v>
                </c:pt>
                <c:pt idx="6">
                  <c:v>436</c:v>
                </c:pt>
                <c:pt idx="7">
                  <c:v>144</c:v>
                </c:pt>
                <c:pt idx="8">
                  <c:v>380</c:v>
                </c:pt>
                <c:pt idx="9">
                  <c:v>120</c:v>
                </c:pt>
                <c:pt idx="10">
                  <c:v>79</c:v>
                </c:pt>
                <c:pt idx="11">
                  <c:v>1766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58C-4970-B6B5-D76371007392}"/>
            </c:ext>
          </c:extLst>
        </c:ser>
        <c:ser>
          <c:idx val="1"/>
          <c:order val="1"/>
          <c:tx>
            <c:strRef>
              <c:f>'8.2'!$J$6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663300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'8.2'!$J$8:$J$19</c:f>
              <c:numCache>
                <c:formatCode>_-* #,##0_-;\-* #,##0_-;_-* "-"??_-;_-@_-</c:formatCode>
                <c:ptCount val="12"/>
                <c:pt idx="0">
                  <c:v>1265</c:v>
                </c:pt>
                <c:pt idx="1">
                  <c:v>192</c:v>
                </c:pt>
                <c:pt idx="2">
                  <c:v>1086</c:v>
                </c:pt>
                <c:pt idx="3">
                  <c:v>402</c:v>
                </c:pt>
                <c:pt idx="4">
                  <c:v>337</c:v>
                </c:pt>
                <c:pt idx="5">
                  <c:v>162</c:v>
                </c:pt>
                <c:pt idx="6">
                  <c:v>47</c:v>
                </c:pt>
                <c:pt idx="7">
                  <c:v>261</c:v>
                </c:pt>
                <c:pt idx="8">
                  <c:v>114</c:v>
                </c:pt>
                <c:pt idx="9">
                  <c:v>99</c:v>
                </c:pt>
                <c:pt idx="10">
                  <c:v>7</c:v>
                </c:pt>
                <c:pt idx="11">
                  <c:v>1049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58C-4970-B6B5-D76371007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127796616"/>
        <c:axId val="127797008"/>
      </c:barChart>
      <c:catAx>
        <c:axId val="1277966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127797008"/>
        <c:crosses val="autoZero"/>
        <c:auto val="1"/>
        <c:lblAlgn val="ctr"/>
        <c:lblOffset val="100"/>
        <c:noMultiLvlLbl val="0"/>
      </c:catAx>
      <c:valAx>
        <c:axId val="1277970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  <a:r>
                  <a:rPr lang="en-US" baseline="0"/>
                  <a:t> of cases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9.8808255778023608E-3"/>
              <c:y val="0.2530107029948275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27796616"/>
        <c:crosses val="autoZero"/>
        <c:crossBetween val="between"/>
      </c:valAx>
      <c:spPr>
        <a:solidFill>
          <a:srgbClr val="F1E2D3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0513524056367918"/>
          <c:y val="0.2454842030394257"/>
          <c:w val="0.18600515524547906"/>
          <c:h val="0.1031269761331854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bg1">
          <a:lumMod val="75000"/>
        </a:schemeClr>
      </a:solidFill>
    </a:ln>
  </c:spPr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40029912908872"/>
          <c:y val="0.18141358627834758"/>
          <c:w val="0.38882937296076686"/>
          <c:h val="0.7924713536842497"/>
        </c:manualLayout>
      </c:layout>
      <c:pieChart>
        <c:varyColors val="1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explosion val="3"/>
          <c:dPt>
            <c:idx val="0"/>
            <c:bubble3D val="0"/>
            <c:spPr>
              <a:solidFill>
                <a:srgbClr val="996633"/>
              </a:solidFill>
            </c:spPr>
          </c:dPt>
          <c:dPt>
            <c:idx val="1"/>
            <c:bubble3D val="0"/>
            <c:spPr>
              <a:solidFill>
                <a:srgbClr val="DDBA97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C33-4BA7-AE15-317750693BEC}"/>
              </c:ext>
            </c:extLst>
          </c:dPt>
          <c:dLbls>
            <c:dLbl>
              <c:idx val="0"/>
              <c:layout>
                <c:manualLayout>
                  <c:x val="-0.11619251616536438"/>
                  <c:y val="-0.177082644325033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DC33-4BA7-AE15-317750693BE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8.9802194265946642E-2"/>
                  <c:y val="0.139907212216155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DC33-4BA7-AE15-317750693BE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'8.2'!$F$6:$G$6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'8.2'!$F$7:$G$7</c:f>
              <c:numCache>
                <c:formatCode>_-* #,##0_-;\-* #,##0_-;_-* "-"??_-;_-@_-</c:formatCode>
                <c:ptCount val="2"/>
                <c:pt idx="0">
                  <c:v>10203</c:v>
                </c:pt>
                <c:pt idx="1">
                  <c:v>4608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C33-4BA7-AE15-317750693BE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85259</xdr:rowOff>
    </xdr:from>
    <xdr:to>
      <xdr:col>13</xdr:col>
      <xdr:colOff>76200</xdr:colOff>
      <xdr:row>47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48</xdr:row>
      <xdr:rowOff>129893</xdr:rowOff>
    </xdr:from>
    <xdr:to>
      <xdr:col>13</xdr:col>
      <xdr:colOff>95250</xdr:colOff>
      <xdr:row>63</xdr:row>
      <xdr:rowOff>190234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438150</xdr:colOff>
      <xdr:row>32</xdr:row>
      <xdr:rowOff>96981</xdr:rowOff>
    </xdr:from>
    <xdr:to>
      <xdr:col>11</xdr:col>
      <xdr:colOff>485775</xdr:colOff>
      <xdr:row>33</xdr:row>
      <xdr:rowOff>142875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 txBox="1"/>
      </xdr:nvSpPr>
      <xdr:spPr>
        <a:xfrm>
          <a:off x="2828925" y="7755081"/>
          <a:ext cx="5553075" cy="23639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8.3: Number of logged cases for Male' and Atolls by type, 2019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76200</xdr:colOff>
      <xdr:row>49</xdr:row>
      <xdr:rowOff>91743</xdr:rowOff>
    </xdr:from>
    <xdr:to>
      <xdr:col>11</xdr:col>
      <xdr:colOff>523875</xdr:colOff>
      <xdr:row>50</xdr:row>
      <xdr:rowOff>143377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 txBox="1"/>
      </xdr:nvSpPr>
      <xdr:spPr>
        <a:xfrm>
          <a:off x="2466975" y="11016918"/>
          <a:ext cx="5953125" cy="242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8.4: Percentage share of logged cases for Male' and Atolls, 2019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41"/>
  <sheetViews>
    <sheetView tabSelected="1" zoomScaleNormal="100" workbookViewId="0">
      <selection activeCell="V4" sqref="V4"/>
    </sheetView>
  </sheetViews>
  <sheetFormatPr defaultColWidth="9.140625" defaultRowHeight="15"/>
  <cols>
    <col min="1" max="1" width="26.7109375" style="1" customWidth="1"/>
    <col min="2" max="10" width="9.140625" style="1" customWidth="1"/>
    <col min="11" max="12" width="9.42578125" style="1" customWidth="1"/>
    <col min="13" max="13" width="9.28515625" style="1" customWidth="1"/>
    <col min="14" max="14" width="35.140625" style="1" customWidth="1"/>
    <col min="15" max="15" width="2.140625" style="7" customWidth="1"/>
    <col min="16" max="16" width="9.140625" style="7"/>
    <col min="17" max="17" width="22.140625" style="7" bestFit="1" customWidth="1"/>
    <col min="18" max="44" width="9.140625" style="7"/>
    <col min="45" max="16384" width="9.140625" style="1"/>
  </cols>
  <sheetData>
    <row r="1" spans="1:44" ht="21">
      <c r="A1" s="58" t="s">
        <v>58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44" ht="21.75" customHeight="1">
      <c r="A2" s="51" t="s">
        <v>59</v>
      </c>
      <c r="B2" s="51"/>
      <c r="C2" s="51"/>
      <c r="D2" s="51"/>
      <c r="E2" s="51"/>
      <c r="F2" s="51"/>
      <c r="G2" s="51"/>
      <c r="H2" s="52"/>
      <c r="I2" s="52"/>
      <c r="J2" s="52"/>
      <c r="K2" s="51"/>
      <c r="L2" s="51"/>
      <c r="M2" s="51"/>
      <c r="N2" s="51"/>
    </row>
    <row r="3" spans="1:44" ht="17.25" customHeight="1">
      <c r="A3" s="53" t="s">
        <v>31</v>
      </c>
      <c r="B3" s="60">
        <v>2017</v>
      </c>
      <c r="C3" s="61"/>
      <c r="D3" s="62"/>
      <c r="E3" s="60">
        <v>2018</v>
      </c>
      <c r="F3" s="61"/>
      <c r="G3" s="62"/>
      <c r="H3" s="60">
        <v>2019</v>
      </c>
      <c r="I3" s="61"/>
      <c r="J3" s="62"/>
      <c r="K3" s="66" t="s">
        <v>32</v>
      </c>
      <c r="L3" s="66"/>
      <c r="M3" s="66"/>
      <c r="N3" s="50" t="s">
        <v>0</v>
      </c>
    </row>
    <row r="4" spans="1:44" ht="16.5" customHeight="1">
      <c r="A4" s="59"/>
      <c r="B4" s="63"/>
      <c r="C4" s="64"/>
      <c r="D4" s="65"/>
      <c r="E4" s="63"/>
      <c r="F4" s="64"/>
      <c r="G4" s="65"/>
      <c r="H4" s="63"/>
      <c r="I4" s="64"/>
      <c r="J4" s="65"/>
      <c r="K4" s="57" t="s">
        <v>57</v>
      </c>
      <c r="L4" s="57"/>
      <c r="M4" s="57"/>
      <c r="N4" s="55"/>
      <c r="Q4" s="8"/>
      <c r="R4" s="8"/>
      <c r="S4" s="8"/>
      <c r="T4" s="8"/>
      <c r="U4" s="8"/>
      <c r="V4" s="8"/>
    </row>
    <row r="5" spans="1:44" ht="18.75">
      <c r="A5" s="59"/>
      <c r="B5" s="11" t="s">
        <v>33</v>
      </c>
      <c r="C5" s="9" t="s">
        <v>34</v>
      </c>
      <c r="D5" s="10" t="s">
        <v>35</v>
      </c>
      <c r="E5" s="11" t="s">
        <v>33</v>
      </c>
      <c r="F5" s="9" t="s">
        <v>34</v>
      </c>
      <c r="G5" s="10" t="s">
        <v>35</v>
      </c>
      <c r="H5" s="11" t="s">
        <v>33</v>
      </c>
      <c r="I5" s="9" t="s">
        <v>34</v>
      </c>
      <c r="J5" s="10" t="s">
        <v>35</v>
      </c>
      <c r="K5" s="9" t="s">
        <v>33</v>
      </c>
      <c r="L5" s="9" t="s">
        <v>34</v>
      </c>
      <c r="M5" s="9" t="s">
        <v>35</v>
      </c>
      <c r="N5" s="55"/>
      <c r="Q5" s="8"/>
      <c r="R5" s="8"/>
      <c r="S5" s="8"/>
      <c r="T5" s="8"/>
      <c r="U5" s="8"/>
      <c r="V5" s="8"/>
    </row>
    <row r="6" spans="1:44" ht="13.5" customHeight="1">
      <c r="A6" s="54"/>
      <c r="B6" s="13" t="s">
        <v>36</v>
      </c>
      <c r="C6" s="43" t="s">
        <v>37</v>
      </c>
      <c r="D6" s="12" t="s">
        <v>38</v>
      </c>
      <c r="E6" s="13" t="s">
        <v>36</v>
      </c>
      <c r="F6" s="43" t="s">
        <v>37</v>
      </c>
      <c r="G6" s="12" t="s">
        <v>38</v>
      </c>
      <c r="H6" s="13" t="s">
        <v>36</v>
      </c>
      <c r="I6" s="43" t="s">
        <v>37</v>
      </c>
      <c r="J6" s="12" t="s">
        <v>38</v>
      </c>
      <c r="K6" s="13" t="s">
        <v>36</v>
      </c>
      <c r="L6" s="43" t="s">
        <v>37</v>
      </c>
      <c r="M6" s="43" t="s">
        <v>38</v>
      </c>
      <c r="N6" s="56"/>
      <c r="Q6" s="8"/>
      <c r="R6" s="8"/>
      <c r="S6" s="8"/>
      <c r="T6" s="8"/>
      <c r="U6" s="8"/>
      <c r="V6" s="8"/>
    </row>
    <row r="7" spans="1:44" s="19" customFormat="1" ht="15.75">
      <c r="A7" s="3" t="s">
        <v>2</v>
      </c>
      <c r="B7" s="15">
        <f>SUM(B8:B19)</f>
        <v>15535</v>
      </c>
      <c r="C7" s="14">
        <f t="shared" ref="C7:D7" si="0">SUM(C8:C19)</f>
        <v>10930</v>
      </c>
      <c r="D7" s="14">
        <f t="shared" si="0"/>
        <v>4605</v>
      </c>
      <c r="E7" s="15">
        <f>SUM(E8:E19)</f>
        <v>14811</v>
      </c>
      <c r="F7" s="14">
        <f t="shared" ref="F7:G7" si="1">SUM(F8:F19)</f>
        <v>10203</v>
      </c>
      <c r="G7" s="14">
        <f t="shared" si="1"/>
        <v>4608</v>
      </c>
      <c r="H7" s="15">
        <f>SUM(H8:H19)</f>
        <v>16480</v>
      </c>
      <c r="I7" s="14">
        <f t="shared" ref="I7:J7" si="2">SUM(I8:I19)</f>
        <v>11459</v>
      </c>
      <c r="J7" s="14">
        <f t="shared" si="2"/>
        <v>5021</v>
      </c>
      <c r="K7" s="47">
        <f>(H7-E7)/E7*100</f>
        <v>11.268651677807036</v>
      </c>
      <c r="L7" s="42">
        <f>(I7-F7)/F7*100</f>
        <v>12.310104871116339</v>
      </c>
      <c r="M7" s="42">
        <f t="shared" ref="M7" si="3">(J7-G7)/G7*100</f>
        <v>8.9626736111111107</v>
      </c>
      <c r="N7" s="49" t="s">
        <v>3</v>
      </c>
      <c r="O7" s="16"/>
      <c r="P7" s="17"/>
      <c r="Q7" s="18"/>
      <c r="R7" s="18"/>
      <c r="S7" s="17"/>
      <c r="T7" s="18"/>
      <c r="U7" s="18"/>
      <c r="V7" s="3"/>
      <c r="W7" s="3"/>
      <c r="X7" s="3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ht="18.75">
      <c r="A8" s="34" t="s">
        <v>1</v>
      </c>
      <c r="B8" s="35">
        <f>SUM(C8:D8)</f>
        <v>3503</v>
      </c>
      <c r="C8" s="36">
        <v>2509</v>
      </c>
      <c r="D8" s="37">
        <v>994</v>
      </c>
      <c r="E8" s="35">
        <f>SUM(F8:G8)</f>
        <v>3270</v>
      </c>
      <c r="F8" s="36">
        <v>2141</v>
      </c>
      <c r="G8" s="37">
        <v>1129</v>
      </c>
      <c r="H8" s="35">
        <f>SUM(I8:J8)</f>
        <v>4554</v>
      </c>
      <c r="I8" s="20">
        <v>3289</v>
      </c>
      <c r="J8" s="21">
        <v>1265</v>
      </c>
      <c r="K8" s="42">
        <f t="shared" ref="K8:K30" si="4">(H8-E8)/E8*100</f>
        <v>39.26605504587156</v>
      </c>
      <c r="L8" s="44">
        <f t="shared" ref="L8:L30" si="5">(I8-F8)/F8*100</f>
        <v>53.61980382998599</v>
      </c>
      <c r="M8" s="44">
        <f t="shared" ref="M8:M30" si="6">(J8-G8)/G8*100</f>
        <v>12.046058458813109</v>
      </c>
      <c r="N8" s="5" t="s">
        <v>4</v>
      </c>
      <c r="O8" s="4"/>
      <c r="P8" s="17"/>
      <c r="Q8" s="18"/>
      <c r="R8" s="18"/>
      <c r="S8" s="17"/>
      <c r="T8" s="18"/>
      <c r="U8" s="18"/>
      <c r="V8" s="3"/>
      <c r="W8" s="3"/>
      <c r="X8" s="3"/>
    </row>
    <row r="9" spans="1:44" ht="18.75">
      <c r="A9" s="34" t="s">
        <v>15</v>
      </c>
      <c r="B9" s="35">
        <f t="shared" ref="B9:B18" si="7">SUM(C9:D9)</f>
        <v>2105</v>
      </c>
      <c r="C9" s="36">
        <v>1926</v>
      </c>
      <c r="D9" s="37">
        <v>179</v>
      </c>
      <c r="E9" s="35">
        <f t="shared" ref="E9:E18" si="8">SUM(F9:G9)</f>
        <v>2007</v>
      </c>
      <c r="F9" s="36">
        <v>1849</v>
      </c>
      <c r="G9" s="37">
        <v>158</v>
      </c>
      <c r="H9" s="35">
        <f t="shared" ref="H9:H18" si="9">SUM(I9:J9)</f>
        <v>2324</v>
      </c>
      <c r="I9" s="20">
        <v>2132</v>
      </c>
      <c r="J9" s="21">
        <v>192</v>
      </c>
      <c r="K9" s="42">
        <f t="shared" si="4"/>
        <v>15.794718485301445</v>
      </c>
      <c r="L9" s="44">
        <f t="shared" si="5"/>
        <v>15.305570578691185</v>
      </c>
      <c r="M9" s="44">
        <f t="shared" si="6"/>
        <v>21.518987341772153</v>
      </c>
      <c r="N9" s="5" t="s">
        <v>39</v>
      </c>
      <c r="O9" s="4"/>
      <c r="P9" s="17"/>
      <c r="Q9" s="18"/>
      <c r="R9" s="18"/>
      <c r="S9" s="17"/>
      <c r="T9" s="18"/>
      <c r="U9" s="18"/>
      <c r="V9" s="3"/>
      <c r="W9" s="3"/>
      <c r="X9" s="3"/>
    </row>
    <row r="10" spans="1:44" ht="18.75">
      <c r="A10" s="34" t="s">
        <v>5</v>
      </c>
      <c r="B10" s="35">
        <f t="shared" si="7"/>
        <v>2038</v>
      </c>
      <c r="C10" s="36">
        <v>1167</v>
      </c>
      <c r="D10" s="37">
        <v>871</v>
      </c>
      <c r="E10" s="35">
        <f t="shared" si="8"/>
        <v>2230</v>
      </c>
      <c r="F10" s="36">
        <v>1390</v>
      </c>
      <c r="G10" s="37">
        <v>840</v>
      </c>
      <c r="H10" s="35">
        <f t="shared" si="9"/>
        <v>2188</v>
      </c>
      <c r="I10" s="20">
        <v>1102</v>
      </c>
      <c r="J10" s="21">
        <v>1086</v>
      </c>
      <c r="K10" s="42">
        <f t="shared" si="4"/>
        <v>-1.883408071748879</v>
      </c>
      <c r="L10" s="44">
        <f t="shared" si="5"/>
        <v>-20.719424460431654</v>
      </c>
      <c r="M10" s="44">
        <f t="shared" si="6"/>
        <v>29.285714285714288</v>
      </c>
      <c r="N10" s="5" t="s">
        <v>8</v>
      </c>
      <c r="O10" s="4"/>
      <c r="P10" s="17"/>
      <c r="Q10" s="18"/>
      <c r="R10" s="18"/>
      <c r="S10" s="17"/>
      <c r="T10" s="18"/>
      <c r="U10" s="18"/>
      <c r="V10" s="3"/>
      <c r="W10" s="3"/>
      <c r="X10" s="3"/>
    </row>
    <row r="11" spans="1:44" ht="18.75">
      <c r="A11" s="34" t="s">
        <v>27</v>
      </c>
      <c r="B11" s="35">
        <f t="shared" si="7"/>
        <v>1655</v>
      </c>
      <c r="C11" s="36">
        <v>1306</v>
      </c>
      <c r="D11" s="37">
        <v>349</v>
      </c>
      <c r="E11" s="35">
        <f t="shared" si="8"/>
        <v>1787</v>
      </c>
      <c r="F11" s="36">
        <v>1442</v>
      </c>
      <c r="G11" s="37">
        <v>345</v>
      </c>
      <c r="H11" s="35">
        <f t="shared" si="9"/>
        <v>1814</v>
      </c>
      <c r="I11" s="20">
        <v>1412</v>
      </c>
      <c r="J11" s="21">
        <v>402</v>
      </c>
      <c r="K11" s="42">
        <f t="shared" si="4"/>
        <v>1.5109121432568551</v>
      </c>
      <c r="L11" s="44">
        <f t="shared" si="5"/>
        <v>-2.0804438280166435</v>
      </c>
      <c r="M11" s="44">
        <f t="shared" si="6"/>
        <v>16.521739130434781</v>
      </c>
      <c r="N11" s="5" t="s">
        <v>9</v>
      </c>
      <c r="O11" s="4"/>
      <c r="P11" s="17"/>
      <c r="Q11" s="18"/>
      <c r="R11" s="18"/>
      <c r="S11" s="17"/>
      <c r="T11" s="18"/>
      <c r="U11" s="18"/>
      <c r="V11" s="3"/>
      <c r="W11" s="3"/>
      <c r="X11" s="3"/>
    </row>
    <row r="12" spans="1:44" ht="18.75">
      <c r="A12" s="34" t="s">
        <v>6</v>
      </c>
      <c r="B12" s="35">
        <f t="shared" si="7"/>
        <v>770</v>
      </c>
      <c r="C12" s="36">
        <v>360</v>
      </c>
      <c r="D12" s="37">
        <v>410</v>
      </c>
      <c r="E12" s="35">
        <f t="shared" si="8"/>
        <v>753</v>
      </c>
      <c r="F12" s="36">
        <v>338</v>
      </c>
      <c r="G12" s="37">
        <v>415</v>
      </c>
      <c r="H12" s="35">
        <f t="shared" si="9"/>
        <v>631</v>
      </c>
      <c r="I12" s="20">
        <v>294</v>
      </c>
      <c r="J12" s="21">
        <v>337</v>
      </c>
      <c r="K12" s="42">
        <f t="shared" si="4"/>
        <v>-16.201859229747676</v>
      </c>
      <c r="L12" s="44">
        <f t="shared" si="5"/>
        <v>-13.017751479289942</v>
      </c>
      <c r="M12" s="44">
        <f t="shared" si="6"/>
        <v>-18.795180722891565</v>
      </c>
      <c r="N12" s="5" t="s">
        <v>11</v>
      </c>
      <c r="O12" s="4"/>
      <c r="P12" s="17"/>
      <c r="Q12" s="18"/>
      <c r="R12" s="18"/>
      <c r="S12" s="17"/>
      <c r="T12" s="18"/>
      <c r="U12" s="18"/>
      <c r="V12" s="3"/>
      <c r="W12" s="3"/>
      <c r="X12" s="3"/>
    </row>
    <row r="13" spans="1:44" ht="18.75">
      <c r="A13" s="34" t="s">
        <v>12</v>
      </c>
      <c r="B13" s="35">
        <f t="shared" si="7"/>
        <v>455</v>
      </c>
      <c r="C13" s="36">
        <v>296</v>
      </c>
      <c r="D13" s="37">
        <v>159</v>
      </c>
      <c r="E13" s="35">
        <f t="shared" si="8"/>
        <v>472</v>
      </c>
      <c r="F13" s="36">
        <v>294</v>
      </c>
      <c r="G13" s="37">
        <v>178</v>
      </c>
      <c r="H13" s="35">
        <f t="shared" si="9"/>
        <v>467</v>
      </c>
      <c r="I13" s="20">
        <v>305</v>
      </c>
      <c r="J13" s="21">
        <v>162</v>
      </c>
      <c r="K13" s="42">
        <f t="shared" si="4"/>
        <v>-1.0593220338983049</v>
      </c>
      <c r="L13" s="44">
        <f t="shared" si="5"/>
        <v>3.7414965986394559</v>
      </c>
      <c r="M13" s="44">
        <f t="shared" si="6"/>
        <v>-8.9887640449438209</v>
      </c>
      <c r="N13" s="5" t="s">
        <v>13</v>
      </c>
      <c r="O13" s="4"/>
      <c r="P13" s="17"/>
      <c r="Q13" s="18"/>
      <c r="R13" s="18"/>
      <c r="S13" s="17"/>
      <c r="T13" s="18"/>
      <c r="U13" s="18"/>
      <c r="V13" s="3"/>
      <c r="W13" s="3"/>
      <c r="X13" s="3"/>
    </row>
    <row r="14" spans="1:44" ht="18.75">
      <c r="A14" s="34" t="s">
        <v>10</v>
      </c>
      <c r="B14" s="35">
        <f t="shared" si="7"/>
        <v>662</v>
      </c>
      <c r="C14" s="36">
        <v>619</v>
      </c>
      <c r="D14" s="37">
        <v>43</v>
      </c>
      <c r="E14" s="35">
        <f t="shared" si="8"/>
        <v>537</v>
      </c>
      <c r="F14" s="36">
        <v>491</v>
      </c>
      <c r="G14" s="37">
        <v>46</v>
      </c>
      <c r="H14" s="35">
        <f t="shared" si="9"/>
        <v>483</v>
      </c>
      <c r="I14" s="20">
        <v>436</v>
      </c>
      <c r="J14" s="21">
        <v>47</v>
      </c>
      <c r="K14" s="42">
        <f t="shared" si="4"/>
        <v>-10.05586592178771</v>
      </c>
      <c r="L14" s="44">
        <f t="shared" si="5"/>
        <v>-11.201629327902241</v>
      </c>
      <c r="M14" s="44">
        <f t="shared" si="6"/>
        <v>2.1739130434782608</v>
      </c>
      <c r="N14" s="5" t="s">
        <v>14</v>
      </c>
      <c r="O14" s="4"/>
      <c r="P14" s="17"/>
      <c r="Q14" s="18"/>
      <c r="R14" s="18"/>
      <c r="S14" s="17"/>
      <c r="T14" s="18"/>
      <c r="U14" s="18"/>
      <c r="V14" s="3"/>
      <c r="W14" s="3"/>
      <c r="X14" s="3"/>
    </row>
    <row r="15" spans="1:44" ht="18.75">
      <c r="A15" s="4" t="s">
        <v>17</v>
      </c>
      <c r="B15" s="35">
        <f t="shared" si="7"/>
        <v>417</v>
      </c>
      <c r="C15" s="36">
        <v>129</v>
      </c>
      <c r="D15" s="37">
        <v>288</v>
      </c>
      <c r="E15" s="35">
        <f t="shared" si="8"/>
        <v>361</v>
      </c>
      <c r="F15" s="36">
        <v>114</v>
      </c>
      <c r="G15" s="37">
        <v>247</v>
      </c>
      <c r="H15" s="35">
        <f t="shared" si="9"/>
        <v>405</v>
      </c>
      <c r="I15" s="20">
        <v>144</v>
      </c>
      <c r="J15" s="21">
        <v>261</v>
      </c>
      <c r="K15" s="42">
        <f t="shared" si="4"/>
        <v>12.18836565096953</v>
      </c>
      <c r="L15" s="44">
        <f t="shared" si="5"/>
        <v>26.315789473684209</v>
      </c>
      <c r="M15" s="44">
        <f t="shared" si="6"/>
        <v>5.668016194331984</v>
      </c>
      <c r="N15" s="5" t="s">
        <v>18</v>
      </c>
      <c r="O15" s="4"/>
      <c r="P15" s="17"/>
      <c r="Q15" s="18"/>
      <c r="R15" s="18"/>
      <c r="S15" s="17"/>
      <c r="T15" s="18"/>
      <c r="U15" s="18"/>
      <c r="V15" s="3"/>
      <c r="W15" s="3"/>
      <c r="X15" s="3"/>
    </row>
    <row r="16" spans="1:44" ht="18.75">
      <c r="A16" s="4" t="s">
        <v>16</v>
      </c>
      <c r="B16" s="35">
        <f t="shared" si="7"/>
        <v>518</v>
      </c>
      <c r="C16" s="36">
        <v>435</v>
      </c>
      <c r="D16" s="37">
        <v>83</v>
      </c>
      <c r="E16" s="35">
        <f t="shared" si="8"/>
        <v>516</v>
      </c>
      <c r="F16" s="36">
        <v>373</v>
      </c>
      <c r="G16" s="37">
        <v>143</v>
      </c>
      <c r="H16" s="35">
        <f t="shared" si="9"/>
        <v>494</v>
      </c>
      <c r="I16" s="20">
        <v>380</v>
      </c>
      <c r="J16" s="21">
        <v>114</v>
      </c>
      <c r="K16" s="42">
        <f t="shared" si="4"/>
        <v>-4.2635658914728678</v>
      </c>
      <c r="L16" s="44">
        <f t="shared" si="5"/>
        <v>1.8766756032171581</v>
      </c>
      <c r="M16" s="44">
        <f t="shared" si="6"/>
        <v>-20.27972027972028</v>
      </c>
      <c r="N16" s="5" t="s">
        <v>20</v>
      </c>
      <c r="O16" s="4"/>
      <c r="P16" s="17"/>
      <c r="Q16" s="18"/>
      <c r="R16" s="18"/>
      <c r="S16" s="17"/>
      <c r="T16" s="18"/>
      <c r="U16" s="18"/>
      <c r="V16" s="3"/>
      <c r="W16" s="3"/>
      <c r="X16" s="3"/>
    </row>
    <row r="17" spans="1:26" ht="18.75">
      <c r="A17" s="4" t="s">
        <v>19</v>
      </c>
      <c r="B17" s="35">
        <f t="shared" si="7"/>
        <v>279</v>
      </c>
      <c r="C17" s="36">
        <v>133</v>
      </c>
      <c r="D17" s="37">
        <v>146</v>
      </c>
      <c r="E17" s="35">
        <f t="shared" si="8"/>
        <v>240</v>
      </c>
      <c r="F17" s="36">
        <v>116</v>
      </c>
      <c r="G17" s="37">
        <v>124</v>
      </c>
      <c r="H17" s="35">
        <f t="shared" si="9"/>
        <v>219</v>
      </c>
      <c r="I17" s="20">
        <v>120</v>
      </c>
      <c r="J17" s="21">
        <v>99</v>
      </c>
      <c r="K17" s="42">
        <f t="shared" si="4"/>
        <v>-8.75</v>
      </c>
      <c r="L17" s="44">
        <f t="shared" si="5"/>
        <v>3.4482758620689653</v>
      </c>
      <c r="M17" s="44">
        <f t="shared" si="6"/>
        <v>-20.161290322580644</v>
      </c>
      <c r="N17" s="5" t="s">
        <v>22</v>
      </c>
      <c r="O17" s="4"/>
      <c r="P17" s="17"/>
      <c r="Q17" s="18"/>
      <c r="R17" s="18"/>
      <c r="S17" s="17"/>
      <c r="T17" s="18"/>
      <c r="U17" s="18"/>
      <c r="V17" s="3"/>
      <c r="W17" s="3"/>
      <c r="X17" s="3"/>
    </row>
    <row r="18" spans="1:26" ht="18.75">
      <c r="A18" s="4" t="s">
        <v>21</v>
      </c>
      <c r="B18" s="35">
        <f t="shared" si="7"/>
        <v>86</v>
      </c>
      <c r="C18" s="36">
        <v>71</v>
      </c>
      <c r="D18" s="37">
        <v>15</v>
      </c>
      <c r="E18" s="35">
        <f t="shared" si="8"/>
        <v>71</v>
      </c>
      <c r="F18" s="36">
        <v>64</v>
      </c>
      <c r="G18" s="37">
        <v>7</v>
      </c>
      <c r="H18" s="35">
        <f t="shared" si="9"/>
        <v>86</v>
      </c>
      <c r="I18" s="20">
        <v>79</v>
      </c>
      <c r="J18" s="21">
        <v>7</v>
      </c>
      <c r="K18" s="42">
        <f t="shared" si="4"/>
        <v>21.12676056338028</v>
      </c>
      <c r="L18" s="44">
        <f t="shared" si="5"/>
        <v>23.4375</v>
      </c>
      <c r="M18" s="44">
        <f t="shared" si="6"/>
        <v>0</v>
      </c>
      <c r="N18" s="5" t="s">
        <v>23</v>
      </c>
      <c r="O18" s="4"/>
      <c r="P18" s="17"/>
      <c r="Q18" s="18"/>
      <c r="R18" s="18"/>
      <c r="S18" s="17"/>
      <c r="T18" s="18"/>
      <c r="U18" s="18"/>
      <c r="V18" s="3"/>
      <c r="W18" s="3"/>
      <c r="X18" s="3"/>
      <c r="Z18" s="2"/>
    </row>
    <row r="19" spans="1:26" ht="18.75">
      <c r="A19" s="4" t="s">
        <v>7</v>
      </c>
      <c r="B19" s="35">
        <f>SUM(C19:D19)</f>
        <v>3047</v>
      </c>
      <c r="C19" s="36">
        <v>1979</v>
      </c>
      <c r="D19" s="37">
        <v>1068</v>
      </c>
      <c r="E19" s="35">
        <f>SUM(F19:G19)</f>
        <v>2567</v>
      </c>
      <c r="F19" s="36">
        <v>1591</v>
      </c>
      <c r="G19" s="37">
        <v>976</v>
      </c>
      <c r="H19" s="35">
        <f>SUM(I19:J19)</f>
        <v>2815</v>
      </c>
      <c r="I19" s="20">
        <v>1766</v>
      </c>
      <c r="J19" s="21">
        <v>1049</v>
      </c>
      <c r="K19" s="42">
        <f t="shared" si="4"/>
        <v>9.6610829762368517</v>
      </c>
      <c r="L19" s="44">
        <f t="shared" si="5"/>
        <v>10.999371464487744</v>
      </c>
      <c r="M19" s="44">
        <f t="shared" si="6"/>
        <v>7.4795081967213113</v>
      </c>
      <c r="N19" s="5" t="s">
        <v>24</v>
      </c>
      <c r="O19" s="4"/>
      <c r="P19" s="17"/>
      <c r="Q19" s="18"/>
      <c r="R19" s="18"/>
      <c r="S19" s="17"/>
      <c r="T19" s="18"/>
      <c r="U19" s="18"/>
      <c r="V19" s="3"/>
      <c r="W19" s="3"/>
      <c r="X19" s="3"/>
    </row>
    <row r="20" spans="1:26" ht="18.75">
      <c r="A20" s="22" t="s">
        <v>40</v>
      </c>
      <c r="B20" s="35">
        <f t="shared" ref="B20:B30" si="10">C20+D20</f>
        <v>636</v>
      </c>
      <c r="C20" s="36">
        <v>402</v>
      </c>
      <c r="D20" s="37">
        <v>234</v>
      </c>
      <c r="E20" s="35">
        <f t="shared" ref="E20:E30" si="11">F20+G20</f>
        <v>542</v>
      </c>
      <c r="F20" s="36">
        <v>327</v>
      </c>
      <c r="G20" s="37">
        <v>215</v>
      </c>
      <c r="H20" s="35">
        <f t="shared" ref="H20:H30" si="12">I20+J20</f>
        <v>485</v>
      </c>
      <c r="I20" s="20">
        <v>323</v>
      </c>
      <c r="J20" s="21">
        <v>162</v>
      </c>
      <c r="K20" s="42">
        <f t="shared" si="4"/>
        <v>-10.516605166051662</v>
      </c>
      <c r="L20" s="44">
        <f t="shared" si="5"/>
        <v>-1.2232415902140672</v>
      </c>
      <c r="M20" s="44">
        <f t="shared" si="6"/>
        <v>-24.651162790697676</v>
      </c>
      <c r="N20" s="5" t="s">
        <v>41</v>
      </c>
      <c r="Q20" s="8"/>
      <c r="R20" s="8"/>
      <c r="S20" s="8"/>
      <c r="T20" s="8"/>
      <c r="U20" s="8"/>
      <c r="V20" s="8"/>
    </row>
    <row r="21" spans="1:26" ht="18.75">
      <c r="A21" s="22" t="s">
        <v>42</v>
      </c>
      <c r="B21" s="35">
        <f t="shared" si="10"/>
        <v>75</v>
      </c>
      <c r="C21" s="36">
        <v>29</v>
      </c>
      <c r="D21" s="37">
        <v>46</v>
      </c>
      <c r="E21" s="35">
        <f t="shared" si="11"/>
        <v>64</v>
      </c>
      <c r="F21" s="36">
        <v>18</v>
      </c>
      <c r="G21" s="37">
        <v>46</v>
      </c>
      <c r="H21" s="35">
        <f t="shared" si="12"/>
        <v>52</v>
      </c>
      <c r="I21" s="20">
        <v>19</v>
      </c>
      <c r="J21" s="21">
        <v>33</v>
      </c>
      <c r="K21" s="42">
        <f t="shared" si="4"/>
        <v>-18.75</v>
      </c>
      <c r="L21" s="44">
        <f t="shared" si="5"/>
        <v>5.5555555555555554</v>
      </c>
      <c r="M21" s="44">
        <f t="shared" si="6"/>
        <v>-28.260869565217391</v>
      </c>
      <c r="N21" s="5" t="s">
        <v>43</v>
      </c>
      <c r="Q21" s="8"/>
      <c r="R21" s="8"/>
      <c r="S21" s="8"/>
      <c r="T21" s="8"/>
      <c r="U21" s="8"/>
      <c r="V21" s="8"/>
    </row>
    <row r="22" spans="1:26" ht="18.75">
      <c r="A22" s="22" t="s">
        <v>44</v>
      </c>
      <c r="B22" s="35">
        <f t="shared" si="10"/>
        <v>9</v>
      </c>
      <c r="C22" s="36">
        <v>2</v>
      </c>
      <c r="D22" s="37">
        <v>7</v>
      </c>
      <c r="E22" s="35">
        <f t="shared" si="11"/>
        <v>5</v>
      </c>
      <c r="F22" s="36">
        <v>0</v>
      </c>
      <c r="G22" s="37">
        <v>5</v>
      </c>
      <c r="H22" s="35">
        <f t="shared" si="12"/>
        <v>10</v>
      </c>
      <c r="I22" s="36">
        <v>0</v>
      </c>
      <c r="J22" s="21">
        <v>10</v>
      </c>
      <c r="K22" s="42">
        <f t="shared" si="4"/>
        <v>100</v>
      </c>
      <c r="L22" s="41">
        <v>0</v>
      </c>
      <c r="M22" s="44">
        <f t="shared" si="6"/>
        <v>100</v>
      </c>
      <c r="N22" s="23" t="s">
        <v>45</v>
      </c>
      <c r="Q22" s="8"/>
      <c r="R22" s="8"/>
      <c r="S22" s="8"/>
      <c r="T22" s="8"/>
      <c r="U22" s="8"/>
      <c r="V22" s="8"/>
    </row>
    <row r="23" spans="1:26" ht="37.5">
      <c r="A23" s="22" t="s">
        <v>46</v>
      </c>
      <c r="B23" s="35">
        <f t="shared" si="10"/>
        <v>26</v>
      </c>
      <c r="C23" s="36">
        <v>16</v>
      </c>
      <c r="D23" s="37">
        <v>10</v>
      </c>
      <c r="E23" s="35">
        <f t="shared" si="11"/>
        <v>12</v>
      </c>
      <c r="F23" s="36">
        <v>5</v>
      </c>
      <c r="G23" s="37">
        <v>7</v>
      </c>
      <c r="H23" s="35">
        <f t="shared" si="12"/>
        <v>16</v>
      </c>
      <c r="I23" s="20">
        <v>10</v>
      </c>
      <c r="J23" s="21">
        <v>6</v>
      </c>
      <c r="K23" s="42">
        <f t="shared" si="4"/>
        <v>33.333333333333329</v>
      </c>
      <c r="L23" s="44">
        <f t="shared" si="5"/>
        <v>100</v>
      </c>
      <c r="M23" s="44">
        <f t="shared" si="6"/>
        <v>-14.285714285714285</v>
      </c>
      <c r="N23" s="24" t="s">
        <v>47</v>
      </c>
      <c r="Q23" s="8"/>
      <c r="R23" s="8"/>
      <c r="S23" s="8"/>
      <c r="T23" s="8"/>
      <c r="U23" s="8"/>
      <c r="V23" s="8"/>
    </row>
    <row r="24" spans="1:26" ht="18.75">
      <c r="A24" s="22" t="s">
        <v>25</v>
      </c>
      <c r="B24" s="35">
        <f t="shared" si="10"/>
        <v>32</v>
      </c>
      <c r="C24" s="36">
        <v>6</v>
      </c>
      <c r="D24" s="37">
        <v>26</v>
      </c>
      <c r="E24" s="35">
        <f t="shared" si="11"/>
        <v>24</v>
      </c>
      <c r="F24" s="36">
        <v>6</v>
      </c>
      <c r="G24" s="37">
        <v>18</v>
      </c>
      <c r="H24" s="35">
        <f t="shared" si="12"/>
        <v>23</v>
      </c>
      <c r="I24" s="20">
        <v>7</v>
      </c>
      <c r="J24" s="21">
        <v>16</v>
      </c>
      <c r="K24" s="42">
        <f t="shared" si="4"/>
        <v>-4.1666666666666661</v>
      </c>
      <c r="L24" s="44">
        <f t="shared" si="5"/>
        <v>16.666666666666664</v>
      </c>
      <c r="M24" s="44">
        <f t="shared" si="6"/>
        <v>-11.111111111111111</v>
      </c>
      <c r="N24" s="23" t="s">
        <v>26</v>
      </c>
      <c r="Q24" s="8"/>
      <c r="R24" s="8"/>
      <c r="S24" s="8"/>
      <c r="T24" s="8"/>
      <c r="U24" s="8"/>
      <c r="V24" s="8"/>
    </row>
    <row r="25" spans="1:26" ht="18.75">
      <c r="A25" s="22" t="s">
        <v>48</v>
      </c>
      <c r="B25" s="35">
        <f t="shared" si="10"/>
        <v>145</v>
      </c>
      <c r="C25" s="36">
        <v>74</v>
      </c>
      <c r="D25" s="37">
        <v>71</v>
      </c>
      <c r="E25" s="35">
        <f t="shared" si="11"/>
        <v>89</v>
      </c>
      <c r="F25" s="36">
        <v>30</v>
      </c>
      <c r="G25" s="37">
        <v>59</v>
      </c>
      <c r="H25" s="35">
        <f t="shared" si="12"/>
        <v>73</v>
      </c>
      <c r="I25" s="20">
        <v>25</v>
      </c>
      <c r="J25" s="21">
        <v>48</v>
      </c>
      <c r="K25" s="42">
        <f t="shared" si="4"/>
        <v>-17.977528089887642</v>
      </c>
      <c r="L25" s="44">
        <f t="shared" si="5"/>
        <v>-16.666666666666664</v>
      </c>
      <c r="M25" s="44">
        <f t="shared" si="6"/>
        <v>-18.64406779661017</v>
      </c>
      <c r="N25" s="23" t="s">
        <v>49</v>
      </c>
      <c r="Q25" s="8"/>
      <c r="R25" s="8"/>
      <c r="S25" s="8"/>
      <c r="T25" s="8"/>
      <c r="U25" s="8"/>
      <c r="V25" s="8"/>
    </row>
    <row r="26" spans="1:26" ht="18.75">
      <c r="A26" s="22" t="s">
        <v>50</v>
      </c>
      <c r="B26" s="35">
        <f t="shared" si="10"/>
        <v>71</v>
      </c>
      <c r="C26" s="36">
        <v>38</v>
      </c>
      <c r="D26" s="37">
        <v>33</v>
      </c>
      <c r="E26" s="35">
        <f t="shared" si="11"/>
        <v>92</v>
      </c>
      <c r="F26" s="36">
        <v>47</v>
      </c>
      <c r="G26" s="37">
        <v>45</v>
      </c>
      <c r="H26" s="35">
        <f t="shared" si="12"/>
        <v>112</v>
      </c>
      <c r="I26" s="20">
        <v>58</v>
      </c>
      <c r="J26" s="21">
        <v>54</v>
      </c>
      <c r="K26" s="42">
        <f t="shared" si="4"/>
        <v>21.739130434782609</v>
      </c>
      <c r="L26" s="44">
        <f t="shared" si="5"/>
        <v>23.404255319148938</v>
      </c>
      <c r="M26" s="44">
        <f t="shared" si="6"/>
        <v>20</v>
      </c>
      <c r="N26" s="23" t="s">
        <v>51</v>
      </c>
      <c r="Q26" s="8"/>
      <c r="R26" s="8"/>
      <c r="S26" s="8"/>
      <c r="T26" s="8"/>
      <c r="U26" s="8"/>
      <c r="V26" s="8"/>
    </row>
    <row r="27" spans="1:26" ht="18.75">
      <c r="A27" s="22" t="s">
        <v>52</v>
      </c>
      <c r="B27" s="35">
        <f t="shared" si="10"/>
        <v>4</v>
      </c>
      <c r="C27" s="36">
        <v>2</v>
      </c>
      <c r="D27" s="37">
        <v>2</v>
      </c>
      <c r="E27" s="35">
        <f t="shared" si="11"/>
        <v>8</v>
      </c>
      <c r="F27" s="36">
        <v>0</v>
      </c>
      <c r="G27" s="37">
        <v>8</v>
      </c>
      <c r="H27" s="35">
        <f t="shared" si="12"/>
        <v>21</v>
      </c>
      <c r="I27" s="20">
        <v>9</v>
      </c>
      <c r="J27" s="21">
        <v>12</v>
      </c>
      <c r="K27" s="42">
        <f t="shared" si="4"/>
        <v>162.5</v>
      </c>
      <c r="L27" s="20">
        <v>0</v>
      </c>
      <c r="M27" s="44">
        <f t="shared" si="6"/>
        <v>50</v>
      </c>
      <c r="N27" s="23" t="s">
        <v>53</v>
      </c>
      <c r="Q27" s="8"/>
      <c r="R27" s="8"/>
      <c r="S27" s="8"/>
      <c r="T27" s="8"/>
      <c r="U27" s="8"/>
      <c r="V27" s="8"/>
    </row>
    <row r="28" spans="1:26" ht="18.75">
      <c r="A28" s="22" t="s">
        <v>54</v>
      </c>
      <c r="B28" s="35">
        <f t="shared" si="10"/>
        <v>70</v>
      </c>
      <c r="C28" s="36">
        <v>28</v>
      </c>
      <c r="D28" s="37">
        <v>42</v>
      </c>
      <c r="E28" s="35">
        <f t="shared" si="11"/>
        <v>36</v>
      </c>
      <c r="F28" s="36">
        <v>16</v>
      </c>
      <c r="G28" s="37">
        <v>20</v>
      </c>
      <c r="H28" s="35">
        <f t="shared" si="12"/>
        <v>56</v>
      </c>
      <c r="I28" s="20">
        <v>26</v>
      </c>
      <c r="J28" s="21">
        <v>30</v>
      </c>
      <c r="K28" s="42">
        <f t="shared" si="4"/>
        <v>55.555555555555557</v>
      </c>
      <c r="L28" s="44">
        <f t="shared" si="5"/>
        <v>62.5</v>
      </c>
      <c r="M28" s="44">
        <f t="shared" si="6"/>
        <v>50</v>
      </c>
      <c r="N28" s="23" t="s">
        <v>28</v>
      </c>
      <c r="Q28" s="8"/>
      <c r="R28" s="8"/>
      <c r="S28" s="8"/>
      <c r="T28" s="8"/>
      <c r="U28" s="8"/>
      <c r="V28" s="8"/>
    </row>
    <row r="29" spans="1:26" ht="18.75">
      <c r="A29" s="22" t="s">
        <v>55</v>
      </c>
      <c r="B29" s="35">
        <f t="shared" si="10"/>
        <v>27</v>
      </c>
      <c r="C29" s="36">
        <v>19</v>
      </c>
      <c r="D29" s="37">
        <v>8</v>
      </c>
      <c r="E29" s="35">
        <f t="shared" si="11"/>
        <v>36</v>
      </c>
      <c r="F29" s="36">
        <v>24</v>
      </c>
      <c r="G29" s="37">
        <v>12</v>
      </c>
      <c r="H29" s="35">
        <f t="shared" si="12"/>
        <v>17</v>
      </c>
      <c r="I29" s="20">
        <v>9</v>
      </c>
      <c r="J29" s="21">
        <v>8</v>
      </c>
      <c r="K29" s="42">
        <f t="shared" si="4"/>
        <v>-52.777777777777779</v>
      </c>
      <c r="L29" s="44">
        <f t="shared" si="5"/>
        <v>-62.5</v>
      </c>
      <c r="M29" s="44">
        <f t="shared" si="6"/>
        <v>-33.333333333333329</v>
      </c>
      <c r="N29" s="23" t="s">
        <v>56</v>
      </c>
      <c r="P29" s="5"/>
      <c r="Q29" s="8"/>
      <c r="R29" s="8"/>
      <c r="S29" s="8"/>
      <c r="T29" s="8"/>
      <c r="U29" s="8"/>
      <c r="V29" s="8"/>
    </row>
    <row r="30" spans="1:26" ht="18.75">
      <c r="A30" s="25" t="s">
        <v>7</v>
      </c>
      <c r="B30" s="38">
        <f t="shared" si="10"/>
        <v>1952</v>
      </c>
      <c r="C30" s="39">
        <v>1363</v>
      </c>
      <c r="D30" s="40">
        <v>589</v>
      </c>
      <c r="E30" s="38">
        <f t="shared" si="11"/>
        <v>248</v>
      </c>
      <c r="F30" s="39">
        <v>151</v>
      </c>
      <c r="G30" s="40">
        <v>97</v>
      </c>
      <c r="H30" s="38">
        <f t="shared" si="12"/>
        <v>1950</v>
      </c>
      <c r="I30" s="26">
        <v>1280</v>
      </c>
      <c r="J30" s="27">
        <v>670</v>
      </c>
      <c r="K30" s="45">
        <f t="shared" si="4"/>
        <v>686.29032258064524</v>
      </c>
      <c r="L30" s="46">
        <f t="shared" si="5"/>
        <v>747.68211920529802</v>
      </c>
      <c r="M30" s="46">
        <f t="shared" si="6"/>
        <v>590.7216494845361</v>
      </c>
      <c r="N30" s="28" t="s">
        <v>24</v>
      </c>
      <c r="P30" s="1"/>
      <c r="Q30" s="8"/>
      <c r="R30" s="8"/>
      <c r="S30" s="8"/>
      <c r="T30" s="8"/>
      <c r="U30" s="8"/>
      <c r="V30" s="8"/>
    </row>
    <row r="31" spans="1:26" ht="16.5">
      <c r="A31" s="30" t="s">
        <v>29</v>
      </c>
      <c r="B31" s="29"/>
      <c r="C31" s="29"/>
      <c r="D31" s="29"/>
      <c r="E31" s="29"/>
      <c r="H31" s="29"/>
      <c r="K31" s="29"/>
      <c r="L31" s="29"/>
      <c r="M31" s="29"/>
      <c r="N31" s="48" t="s">
        <v>30</v>
      </c>
      <c r="Q31" s="8"/>
      <c r="R31" s="8"/>
      <c r="S31" s="8"/>
      <c r="T31" s="8"/>
      <c r="U31" s="8"/>
      <c r="V31" s="8"/>
    </row>
    <row r="32" spans="1:26">
      <c r="F32" s="31"/>
      <c r="G32" s="31"/>
      <c r="I32" s="31"/>
      <c r="J32" s="31"/>
    </row>
    <row r="33" spans="1:22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Q33" s="8"/>
      <c r="R33" s="8"/>
      <c r="S33" s="8"/>
      <c r="T33" s="8"/>
      <c r="U33" s="8"/>
      <c r="V33" s="8"/>
    </row>
    <row r="34" spans="1:22">
      <c r="A34" s="31"/>
      <c r="B34" s="31"/>
      <c r="C34" s="31"/>
      <c r="D34" s="31"/>
      <c r="E34" s="31"/>
      <c r="H34" s="31"/>
      <c r="K34" s="31"/>
      <c r="L34" s="31"/>
      <c r="M34" s="31"/>
      <c r="N34" s="31"/>
      <c r="Q34" s="8"/>
      <c r="R34" s="8"/>
      <c r="S34" s="8"/>
      <c r="T34" s="8"/>
      <c r="U34" s="8"/>
      <c r="V34" s="8"/>
    </row>
    <row r="35" spans="1:22">
      <c r="Q35" s="8"/>
      <c r="R35" s="8"/>
      <c r="S35" s="8"/>
      <c r="T35" s="8"/>
      <c r="U35" s="8"/>
      <c r="V35" s="8"/>
    </row>
    <row r="36" spans="1:22">
      <c r="Q36" s="8"/>
      <c r="R36" s="8"/>
      <c r="S36" s="8"/>
      <c r="T36" s="8"/>
      <c r="U36" s="8"/>
      <c r="V36" s="8"/>
    </row>
    <row r="37" spans="1:22">
      <c r="Q37" s="8"/>
      <c r="R37" s="8"/>
      <c r="S37" s="8"/>
      <c r="T37" s="8"/>
      <c r="U37" s="8"/>
      <c r="V37" s="8"/>
    </row>
    <row r="38" spans="1:22">
      <c r="F38" s="6"/>
      <c r="G38" s="6"/>
      <c r="I38" s="6"/>
      <c r="J38" s="6"/>
      <c r="Q38" s="8"/>
      <c r="R38" s="8"/>
      <c r="S38" s="8"/>
      <c r="T38" s="8"/>
      <c r="U38" s="8"/>
      <c r="V38" s="8"/>
    </row>
    <row r="39" spans="1:22" ht="17.25">
      <c r="A39" s="32"/>
      <c r="B39" s="6"/>
      <c r="C39" s="6"/>
      <c r="D39" s="6"/>
      <c r="E39" s="6"/>
      <c r="H39" s="6"/>
      <c r="K39" s="6"/>
      <c r="L39" s="6"/>
      <c r="M39" s="6"/>
      <c r="N39" s="33"/>
      <c r="Q39" s="8"/>
      <c r="R39" s="8"/>
      <c r="S39" s="8"/>
      <c r="T39" s="8"/>
      <c r="U39" s="8"/>
      <c r="V39" s="8"/>
    </row>
    <row r="40" spans="1:22">
      <c r="Q40" s="8"/>
      <c r="R40" s="8"/>
      <c r="S40" s="8"/>
      <c r="T40" s="8"/>
      <c r="U40" s="8"/>
      <c r="V40" s="8"/>
    </row>
    <row r="41" spans="1:22">
      <c r="Q41" s="8"/>
      <c r="R41" s="8"/>
      <c r="S41" s="8"/>
      <c r="T41" s="8"/>
      <c r="U41" s="8"/>
      <c r="V41" s="8"/>
    </row>
  </sheetData>
  <mergeCells count="9">
    <mergeCell ref="N3:N6"/>
    <mergeCell ref="K4:M4"/>
    <mergeCell ref="A1:N1"/>
    <mergeCell ref="A2:N2"/>
    <mergeCell ref="A3:A6"/>
    <mergeCell ref="B3:D4"/>
    <mergeCell ref="E3:G4"/>
    <mergeCell ref="K3:M3"/>
    <mergeCell ref="H3:J4"/>
  </mergeCells>
  <pageMargins left="0.7" right="0.7" top="0.75" bottom="0.75" header="0.3" footer="0.3"/>
  <pageSetup paperSize="9" scale="50" orientation="portrait" horizontalDpi="4294967295" verticalDpi="4294967295" r:id="rId1"/>
  <ignoredErrors>
    <ignoredError sqref="K8:M30 L7:M7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</vt:lpstr>
      <vt:lpstr>'8.2'!Print_Area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2020-06-28T06:57:39Z</cp:lastPrinted>
  <dcterms:created xsi:type="dcterms:W3CDTF">2019-06-30T04:22:49Z</dcterms:created>
  <dcterms:modified xsi:type="dcterms:W3CDTF">2020-06-28T06:58:45Z</dcterms:modified>
</cp:coreProperties>
</file>