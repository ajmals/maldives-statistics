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709"/>
  </bookViews>
  <sheets>
    <sheet name="8.30" sheetId="26" r:id="rId1"/>
  </sheets>
  <definedNames>
    <definedName name="_xlnm.Print_Area" localSheetId="0">'8.30'!$A$1:$M$30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6" i="26" l="1"/>
  <c r="AL15" i="26"/>
  <c r="AJ17" i="26"/>
  <c r="AJ13" i="26"/>
  <c r="AJ16" i="26"/>
  <c r="AJ15" i="26"/>
  <c r="K6" i="26" l="1"/>
  <c r="AI15" i="26" l="1"/>
  <c r="AI16" i="26"/>
  <c r="AI13" i="26" l="1"/>
  <c r="AH16" i="26" l="1"/>
  <c r="AH17" i="26" s="1"/>
  <c r="AG16" i="26"/>
  <c r="AF16" i="26"/>
  <c r="AF17" i="26" s="1"/>
  <c r="AE16" i="26"/>
  <c r="AE13" i="26" s="1"/>
  <c r="AD16" i="26"/>
  <c r="AH15" i="26"/>
  <c r="AG15" i="26"/>
  <c r="AF15" i="26"/>
  <c r="AE15" i="26"/>
  <c r="AD15" i="26"/>
  <c r="J6" i="26"/>
  <c r="AI17" i="26" s="1"/>
  <c r="I6" i="26"/>
  <c r="H6" i="26"/>
  <c r="AG17" i="26" s="1"/>
  <c r="G6" i="26"/>
  <c r="F6" i="26"/>
  <c r="E6" i="26"/>
  <c r="D6" i="26"/>
  <c r="AC17" i="26" s="1"/>
  <c r="C6" i="26"/>
  <c r="AB17" i="26" s="1"/>
  <c r="B6" i="26"/>
  <c r="AA17" i="26" s="1"/>
  <c r="AF13" i="26" l="1"/>
  <c r="AG13" i="26"/>
  <c r="AH13" i="26"/>
  <c r="AD17" i="26"/>
  <c r="AE17" i="26"/>
</calcChain>
</file>

<file path=xl/sharedStrings.xml><?xml version="1.0" encoding="utf-8"?>
<sst xmlns="http://schemas.openxmlformats.org/spreadsheetml/2006/main" count="21" uniqueCount="19">
  <si>
    <t>Male</t>
  </si>
  <si>
    <t>Female</t>
  </si>
  <si>
    <t>ތަފްސީލް</t>
  </si>
  <si>
    <t>ފިރިހެން</t>
  </si>
  <si>
    <t>އަންހެން</t>
  </si>
  <si>
    <t>Category</t>
  </si>
  <si>
    <t>end year</t>
  </si>
  <si>
    <t>Total judges / Majistrates</t>
  </si>
  <si>
    <t xml:space="preserve">ފަނޑިޔާރުންގެ ޖުމްލަ އަދަދު </t>
  </si>
  <si>
    <t>Total  Expenditure for Courts (million MVR)</t>
  </si>
  <si>
    <t>ކޯޓުތަކަށް ޖުމްލަ ޚަރަދުވި ވަރު (މިލިއަން ރުފިޔާ)</t>
  </si>
  <si>
    <t>Source:  Judicial Service Commission</t>
  </si>
  <si>
    <t>މަޢުލޫމާތު ދެއްވި ފަރާތް: ޖުޑީޝަލް ސަރވިސް ކޮމިޝަން</t>
  </si>
  <si>
    <t xml:space="preserve"> Department of Judicial Administration</t>
  </si>
  <si>
    <t xml:space="preserve">                 ޑިޕާޓްމަންޓް އޮފް ޖުޑިޝަލް އެޑްމިނިސްޓްރޭޝަން</t>
  </si>
  <si>
    <t>% share of females</t>
  </si>
  <si>
    <t>% share 2019</t>
  </si>
  <si>
    <t>TABLE 8.30: JUDGES BY SEX AND FINANCIAL RESOURCES FOR COURTS , 2013 - 2019</t>
  </si>
  <si>
    <t>ތާވަލު 8.30: ކޯޓުތަކުގައި ތިބި ފަނޑިޔާރުންގެ އަދަދު އަދި ކޯޓުތަކަށް ހިނގި ޚަރަދު، 2013 - 2019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</si>
</sst>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69" formatCode="_(* #,##0.0_);_(* \(#,##0.0\);_(* &quot;-&quot;??_);_(@_)"/>
    <numFmt numFmtId="170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Faruma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Faruma"/>
    </font>
    <font>
      <b/>
      <sz val="10"/>
      <color rgb="FF000000"/>
      <name val="Faruma"/>
    </font>
    <font>
      <sz val="10"/>
      <color rgb="FF000000"/>
      <name val="Faruma"/>
    </font>
    <font>
      <sz val="9"/>
      <color theme="1"/>
      <name val="Faruma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17" fillId="0" borderId="6" applyNumberFormat="0" applyFill="0" applyAlignment="0" applyProtection="0"/>
    <xf numFmtId="0" fontId="10" fillId="0" borderId="0"/>
  </cellStyleXfs>
  <cellXfs count="39">
    <xf numFmtId="0" fontId="0" fillId="0" borderId="0" xfId="0"/>
    <xf numFmtId="0" fontId="2" fillId="2" borderId="2" xfId="0" applyNumberFormat="1" applyFont="1" applyFill="1" applyBorder="1" applyAlignment="1">
      <alignment horizontal="right" vertical="center"/>
    </xf>
    <xf numFmtId="164" fontId="8" fillId="2" borderId="0" xfId="0" applyNumberFormat="1" applyFont="1" applyFill="1"/>
    <xf numFmtId="164" fontId="8" fillId="2" borderId="0" xfId="0" applyNumberFormat="1" applyFont="1" applyFill="1" applyBorder="1"/>
    <xf numFmtId="0" fontId="11" fillId="2" borderId="0" xfId="0" applyNumberFormat="1" applyFont="1" applyFill="1" applyBorder="1" applyAlignment="1">
      <alignment horizontal="left" vertical="center"/>
    </xf>
    <xf numFmtId="170" fontId="11" fillId="2" borderId="0" xfId="1" applyNumberFormat="1" applyFont="1" applyFill="1" applyBorder="1" applyAlignment="1">
      <alignment horizontal="right" vertical="center"/>
    </xf>
    <xf numFmtId="164" fontId="11" fillId="2" borderId="0" xfId="0" applyNumberFormat="1" applyFont="1" applyFill="1"/>
    <xf numFmtId="0" fontId="12" fillId="2" borderId="0" xfId="0" applyNumberFormat="1" applyFont="1" applyFill="1" applyBorder="1" applyAlignment="1">
      <alignment horizontal="left" vertical="center" indent="2"/>
    </xf>
    <xf numFmtId="170" fontId="8" fillId="2" borderId="0" xfId="1" applyNumberFormat="1" applyFont="1" applyFill="1" applyBorder="1" applyAlignment="1">
      <alignment horizontal="right" vertical="center"/>
    </xf>
    <xf numFmtId="0" fontId="8" fillId="2" borderId="2" xfId="0" applyNumberFormat="1" applyFont="1" applyFill="1" applyBorder="1" applyAlignment="1">
      <alignment horizontal="left" vertical="center"/>
    </xf>
    <xf numFmtId="167" fontId="8" fillId="2" borderId="0" xfId="0" applyNumberFormat="1" applyFont="1" applyFill="1"/>
    <xf numFmtId="0" fontId="14" fillId="2" borderId="3" xfId="0" applyNumberFormat="1" applyFont="1" applyFill="1" applyBorder="1" applyAlignment="1">
      <alignment vertical="top"/>
    </xf>
    <xf numFmtId="0" fontId="15" fillId="2" borderId="0" xfId="0" applyNumberFormat="1" applyFont="1" applyFill="1" applyBorder="1" applyAlignment="1">
      <alignment horizontal="right" vertical="top" indent="1"/>
    </xf>
    <xf numFmtId="167" fontId="8" fillId="2" borderId="0" xfId="0" applyNumberFormat="1" applyFont="1" applyFill="1" applyBorder="1"/>
    <xf numFmtId="169" fontId="8" fillId="2" borderId="2" xfId="1" applyNumberFormat="1" applyFont="1" applyFill="1" applyBorder="1" applyAlignment="1">
      <alignment vertical="center"/>
    </xf>
    <xf numFmtId="0" fontId="9" fillId="2" borderId="2" xfId="0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167" fontId="3" fillId="2" borderId="0" xfId="0" applyNumberFormat="1" applyFont="1" applyFill="1"/>
    <xf numFmtId="0" fontId="16" fillId="2" borderId="0" xfId="0" applyFont="1" applyFill="1"/>
    <xf numFmtId="164" fontId="3" fillId="2" borderId="0" xfId="0" applyNumberFormat="1" applyFont="1" applyFill="1"/>
    <xf numFmtId="0" fontId="7" fillId="2" borderId="0" xfId="0" applyFont="1" applyFill="1" applyAlignment="1">
      <alignment horizontal="left" vertical="top" indent="4"/>
    </xf>
    <xf numFmtId="0" fontId="16" fillId="2" borderId="0" xfId="0" applyFont="1" applyFill="1" applyAlignment="1">
      <alignment vertical="center"/>
    </xf>
    <xf numFmtId="164" fontId="3" fillId="2" borderId="0" xfId="0" applyNumberFormat="1" applyFont="1" applyFill="1" applyAlignment="1">
      <alignment horizontal="right" vertical="center"/>
    </xf>
    <xf numFmtId="0" fontId="2" fillId="2" borderId="5" xfId="0" applyNumberFormat="1" applyFont="1" applyFill="1" applyBorder="1" applyAlignment="1">
      <alignment horizontal="right" vertical="center"/>
    </xf>
    <xf numFmtId="164" fontId="8" fillId="2" borderId="5" xfId="0" applyNumberFormat="1" applyFont="1" applyFill="1" applyBorder="1"/>
    <xf numFmtId="1" fontId="8" fillId="2" borderId="0" xfId="0" applyNumberFormat="1" applyFont="1" applyFill="1"/>
    <xf numFmtId="165" fontId="8" fillId="2" borderId="0" xfId="0" applyNumberFormat="1" applyFont="1" applyFill="1"/>
    <xf numFmtId="169" fontId="8" fillId="2" borderId="0" xfId="1" applyNumberFormat="1" applyFont="1" applyFill="1"/>
    <xf numFmtId="0" fontId="2" fillId="2" borderId="0" xfId="0" applyNumberFormat="1" applyFont="1" applyFill="1" applyAlignment="1">
      <alignment horizontal="center"/>
    </xf>
    <xf numFmtId="164" fontId="3" fillId="2" borderId="0" xfId="0" applyNumberFormat="1" applyFont="1" applyFill="1" applyBorder="1"/>
    <xf numFmtId="164" fontId="4" fillId="2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Alignment="1">
      <alignment horizontal="center"/>
    </xf>
    <xf numFmtId="164" fontId="13" fillId="2" borderId="0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Alignment="1">
      <alignment horizont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0" fontId="14" fillId="2" borderId="1" xfId="0" applyNumberFormat="1" applyFont="1" applyFill="1" applyBorder="1" applyAlignment="1">
      <alignment horizontal="right" vertical="center"/>
    </xf>
    <xf numFmtId="0" fontId="14" fillId="2" borderId="2" xfId="0" applyNumberFormat="1" applyFont="1" applyFill="1" applyBorder="1" applyAlignment="1">
      <alignment horizontal="right" vertical="center"/>
    </xf>
    <xf numFmtId="0" fontId="11" fillId="2" borderId="4" xfId="0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DDBA97"/>
      <color rgb="FF663300"/>
      <color rgb="FFCF9F6F"/>
      <color rgb="FF7B5229"/>
      <color rgb="FFF1E2D3"/>
      <color rgb="FF996633"/>
      <color rgb="FFF5EADF"/>
      <color rgb="FFFAF5F0"/>
      <color rgb="FFFFC58B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Figure: 8.45: Percentage share of majistrates by sex, 2019</a:t>
            </a:r>
          </a:p>
        </c:rich>
      </c:tx>
      <c:layout>
        <c:manualLayout>
          <c:xMode val="edge"/>
          <c:yMode val="edge"/>
          <c:x val="0.15375707728102819"/>
          <c:y val="3.69053725267938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164012366980025"/>
          <c:y val="0.12205736782902137"/>
          <c:w val="0.4195290808796503"/>
          <c:h val="0.82307425091074993"/>
        </c:manualLayout>
      </c:layout>
      <c:doughnutChart>
        <c:varyColors val="1"/>
        <c:ser>
          <c:idx val="0"/>
          <c:order val="0"/>
          <c:spPr>
            <a:solidFill>
              <a:srgbClr val="DDBA97"/>
            </a:solidFill>
          </c:spPr>
          <c:dPt>
            <c:idx val="0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298-444E-90EE-7CAC93D2160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'8.30'!$A$7:$A$8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'8.30'!$K$7:$K$8</c:f>
              <c:numCache>
                <c:formatCode>_(* #,##0_);_(* \(#,##0\);_(* "-"??_);_(@_)</c:formatCode>
                <c:ptCount val="2"/>
                <c:pt idx="0">
                  <c:v>173</c:v>
                </c:pt>
                <c:pt idx="1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7298-444E-90EE-7CAC93D2160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57"/>
        <c:holeSize val="50"/>
      </c:doughnutChart>
    </c:plotArea>
    <c:plotVisOnly val="1"/>
    <c:dispBlanksAs val="zero"/>
    <c:showDLblsOverMax val="0"/>
  </c:chart>
  <c:spPr>
    <a:solidFill>
      <a:srgbClr val="F5EADF"/>
    </a:solidFill>
  </c:spPr>
  <c:printSettings>
    <c:headerFooter/>
    <c:pageMargins b="0.75000000000000477" l="0.70000000000000062" r="0.70000000000000062" t="0.7500000000000047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227599741933217E-2"/>
          <c:y val="0.18628626421697292"/>
          <c:w val="0.85897134733158342"/>
          <c:h val="0.7178191274243507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996633"/>
            </a:solidFill>
          </c:spPr>
          <c:invertIfNegative val="0"/>
          <c:cat>
            <c:numRef>
              <c:f>'8.30'!$AA$14:$AJ$14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 formatCode="General_)">
                  <c:v>2014</c:v>
                </c:pt>
                <c:pt idx="5">
                  <c:v>2015</c:v>
                </c:pt>
                <c:pt idx="6">
                  <c:v>2016</c:v>
                </c:pt>
                <c:pt idx="7" formatCode="General_)">
                  <c:v>2017</c:v>
                </c:pt>
                <c:pt idx="8" formatCode="General_)">
                  <c:v>2018</c:v>
                </c:pt>
                <c:pt idx="9" formatCode="General_)">
                  <c:v>2019</c:v>
                </c:pt>
              </c:numCache>
            </c:numRef>
          </c:cat>
          <c:val>
            <c:numRef>
              <c:f>'8.30'!$AA$17:$AJ$17</c:f>
              <c:numCache>
                <c:formatCode>_(* #,##0.0_);_(* \(#,##0.0\);_(* "-"??_);_(@_)</c:formatCode>
                <c:ptCount val="10"/>
                <c:pt idx="0">
                  <c:v>1.9801980198019802</c:v>
                </c:pt>
                <c:pt idx="1">
                  <c:v>2.5380710659898478</c:v>
                </c:pt>
                <c:pt idx="2">
                  <c:v>3.0487804878048781</c:v>
                </c:pt>
                <c:pt idx="3">
                  <c:v>4.8648648648648649</c:v>
                </c:pt>
                <c:pt idx="4">
                  <c:v>4.395604395604396</c:v>
                </c:pt>
                <c:pt idx="5">
                  <c:v>3.8251366120218582</c:v>
                </c:pt>
                <c:pt idx="6">
                  <c:v>2.8089887640449436</c:v>
                </c:pt>
                <c:pt idx="7">
                  <c:v>3.867403314917127</c:v>
                </c:pt>
                <c:pt idx="8">
                  <c:v>5.0761421319796955</c:v>
                </c:pt>
                <c:pt idx="9">
                  <c:v>5.9782608695652177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F14-4900-9493-D84BB6427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035248"/>
        <c:axId val="434032112"/>
      </c:barChart>
      <c:catAx>
        <c:axId val="434035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4032112"/>
        <c:crosses val="autoZero"/>
        <c:auto val="1"/>
        <c:lblAlgn val="ctr"/>
        <c:lblOffset val="100"/>
        <c:noMultiLvlLbl val="0"/>
      </c:catAx>
      <c:valAx>
        <c:axId val="43403211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434035248"/>
        <c:crosses val="autoZero"/>
        <c:crossBetween val="between"/>
      </c:valAx>
      <c:spPr>
        <a:solidFill>
          <a:srgbClr val="F5EAD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2375536</xdr:colOff>
      <xdr:row>13</xdr:row>
      <xdr:rowOff>133350</xdr:rowOff>
    </xdr:from>
    <xdr:to>
      <xdr:col>5</xdr:col>
      <xdr:colOff>34018</xdr:colOff>
      <xdr:row>13</xdr:row>
      <xdr:rowOff>136072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375536" y="2409825"/>
          <a:ext cx="1297032" cy="2722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170017</xdr:colOff>
      <xdr:row>12</xdr:row>
      <xdr:rowOff>147176</xdr:rowOff>
    </xdr:from>
    <xdr:to>
      <xdr:col>7</xdr:col>
      <xdr:colOff>71693</xdr:colOff>
      <xdr:row>27</xdr:row>
      <xdr:rowOff>153629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307260</xdr:colOff>
      <xdr:row>12</xdr:row>
      <xdr:rowOff>131937</xdr:rowOff>
    </xdr:from>
    <xdr:to>
      <xdr:col>12</xdr:col>
      <xdr:colOff>27860</xdr:colOff>
      <xdr:row>27</xdr:row>
      <xdr:rowOff>167170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886765</xdr:colOff>
      <xdr:row>13</xdr:row>
      <xdr:rowOff>138368</xdr:rowOff>
    </xdr:from>
    <xdr:ext cx="4922520" cy="225878"/>
    <xdr:sp macro="" textlink="">
      <xdr:nvSpPr>
        <xdr:cNvPr id="7" name="TextBox 6"/>
        <xdr:cNvSpPr txBox="1"/>
      </xdr:nvSpPr>
      <xdr:spPr>
        <a:xfrm>
          <a:off x="6345717" y="2893449"/>
          <a:ext cx="4922520" cy="2258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>
              <a:latin typeface="Consolas" pitchFamily="49" charset="0"/>
              <a:cs typeface="Consolas" pitchFamily="49" charset="0"/>
            </a:rPr>
            <a:t>Figure 8.46: Share of female judges / majistrates, 2010 - 2019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33"/>
  <sheetViews>
    <sheetView tabSelected="1" zoomScale="93" zoomScaleNormal="93" zoomScaleSheetLayoutView="93" workbookViewId="0">
      <selection activeCell="Q22" sqref="Q22"/>
    </sheetView>
  </sheetViews>
  <sheetFormatPr defaultColWidth="9.140625" defaultRowHeight="15"/>
  <cols>
    <col min="1" max="1" width="40.28515625" style="2" customWidth="1"/>
    <col min="2" max="4" width="14.28515625" style="2" hidden="1" customWidth="1"/>
    <col min="5" max="5" width="14.28515625" style="2" customWidth="1"/>
    <col min="6" max="11" width="13.7109375" style="2" customWidth="1"/>
    <col min="12" max="12" width="38.5703125" style="2" customWidth="1"/>
    <col min="13" max="13" width="2.28515625" style="2" customWidth="1"/>
    <col min="14" max="16384" width="9.140625" style="2"/>
  </cols>
  <sheetData>
    <row r="1" spans="1:38" ht="21">
      <c r="A1" s="32" t="s">
        <v>18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38">
      <c r="A2" s="33" t="s">
        <v>17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38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38" ht="15" customHeight="1">
      <c r="A4" s="34" t="s">
        <v>5</v>
      </c>
      <c r="B4" s="38" t="s">
        <v>6</v>
      </c>
      <c r="C4" s="38"/>
      <c r="D4" s="38"/>
      <c r="E4" s="38"/>
      <c r="F4" s="38"/>
      <c r="G4" s="38"/>
      <c r="H4" s="38"/>
      <c r="I4" s="38"/>
      <c r="J4" s="38"/>
      <c r="K4" s="38"/>
      <c r="L4" s="36" t="s">
        <v>2</v>
      </c>
    </row>
    <row r="5" spans="1:38" ht="15" customHeight="1">
      <c r="A5" s="35"/>
      <c r="B5" s="1">
        <v>2010</v>
      </c>
      <c r="C5" s="1">
        <v>2011</v>
      </c>
      <c r="D5" s="1">
        <v>2012</v>
      </c>
      <c r="E5" s="1">
        <v>2013</v>
      </c>
      <c r="F5" s="1">
        <v>2014</v>
      </c>
      <c r="G5" s="1">
        <v>2015</v>
      </c>
      <c r="H5" s="1">
        <v>2016</v>
      </c>
      <c r="I5" s="1">
        <v>2017</v>
      </c>
      <c r="J5" s="1">
        <v>2018</v>
      </c>
      <c r="K5" s="1">
        <v>2019</v>
      </c>
      <c r="L5" s="37"/>
    </row>
    <row r="6" spans="1:38" s="6" customFormat="1" ht="18.75">
      <c r="A6" s="4" t="s">
        <v>7</v>
      </c>
      <c r="B6" s="5">
        <f t="shared" ref="B6:J6" si="0">SUM(B7:B8)</f>
        <v>202</v>
      </c>
      <c r="C6" s="5">
        <f t="shared" si="0"/>
        <v>197</v>
      </c>
      <c r="D6" s="5">
        <f t="shared" si="0"/>
        <v>164</v>
      </c>
      <c r="E6" s="5">
        <f t="shared" si="0"/>
        <v>185</v>
      </c>
      <c r="F6" s="5">
        <f t="shared" si="0"/>
        <v>182</v>
      </c>
      <c r="G6" s="5">
        <f t="shared" si="0"/>
        <v>183</v>
      </c>
      <c r="H6" s="5">
        <f t="shared" si="0"/>
        <v>178</v>
      </c>
      <c r="I6" s="5">
        <f t="shared" si="0"/>
        <v>181</v>
      </c>
      <c r="J6" s="5">
        <f t="shared" si="0"/>
        <v>197</v>
      </c>
      <c r="K6" s="5">
        <f t="shared" ref="K6" si="1">SUM(K7:K8)</f>
        <v>184</v>
      </c>
      <c r="L6" s="11" t="s">
        <v>8</v>
      </c>
    </row>
    <row r="7" spans="1:38" ht="18.75">
      <c r="A7" s="7" t="s">
        <v>0</v>
      </c>
      <c r="B7" s="8">
        <v>198</v>
      </c>
      <c r="C7" s="8">
        <v>192</v>
      </c>
      <c r="D7" s="8">
        <v>159</v>
      </c>
      <c r="E7" s="8">
        <v>176</v>
      </c>
      <c r="F7" s="8">
        <v>174</v>
      </c>
      <c r="G7" s="8">
        <v>176</v>
      </c>
      <c r="H7" s="8">
        <v>173</v>
      </c>
      <c r="I7" s="8">
        <v>174</v>
      </c>
      <c r="J7" s="8">
        <v>187</v>
      </c>
      <c r="K7" s="8">
        <v>173</v>
      </c>
      <c r="L7" s="12" t="s">
        <v>3</v>
      </c>
      <c r="N7" s="10"/>
    </row>
    <row r="8" spans="1:38" s="3" customFormat="1" ht="18.75">
      <c r="A8" s="7" t="s">
        <v>1</v>
      </c>
      <c r="B8" s="8">
        <v>4</v>
      </c>
      <c r="C8" s="8">
        <v>5</v>
      </c>
      <c r="D8" s="8">
        <v>5</v>
      </c>
      <c r="E8" s="8">
        <v>9</v>
      </c>
      <c r="F8" s="8">
        <v>8</v>
      </c>
      <c r="G8" s="8">
        <v>7</v>
      </c>
      <c r="H8" s="8">
        <v>5</v>
      </c>
      <c r="I8" s="8">
        <v>7</v>
      </c>
      <c r="J8" s="8">
        <v>10</v>
      </c>
      <c r="K8" s="8">
        <v>11</v>
      </c>
      <c r="L8" s="12" t="s">
        <v>4</v>
      </c>
      <c r="N8" s="13"/>
    </row>
    <row r="9" spans="1:38" ht="21">
      <c r="A9" s="9" t="s">
        <v>9</v>
      </c>
      <c r="B9" s="14">
        <v>211.38208</v>
      </c>
      <c r="C9" s="14">
        <v>253.832494</v>
      </c>
      <c r="D9" s="14">
        <v>298.93866270999996</v>
      </c>
      <c r="E9" s="14">
        <v>292.36569200000002</v>
      </c>
      <c r="F9" s="14">
        <v>326.90534851999996</v>
      </c>
      <c r="G9" s="14">
        <v>468.04598700000003</v>
      </c>
      <c r="H9" s="14">
        <v>448.00623200000001</v>
      </c>
      <c r="I9" s="14">
        <v>413</v>
      </c>
      <c r="J9" s="14">
        <v>447.08000700000002</v>
      </c>
      <c r="K9" s="14">
        <v>487.6</v>
      </c>
      <c r="L9" s="15" t="s">
        <v>10</v>
      </c>
      <c r="N9" s="3"/>
      <c r="O9" s="3"/>
    </row>
    <row r="10" spans="1:38" s="19" customFormat="1" ht="17.25">
      <c r="A10" s="16" t="s">
        <v>11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8" t="s">
        <v>12</v>
      </c>
      <c r="N10" s="29"/>
      <c r="O10" s="29"/>
    </row>
    <row r="11" spans="1:38" ht="17.25">
      <c r="A11" s="20" t="s">
        <v>13</v>
      </c>
      <c r="B11" s="19"/>
      <c r="C11" s="19"/>
      <c r="L11" s="21" t="s">
        <v>14</v>
      </c>
      <c r="N11" s="30"/>
      <c r="O11" s="30"/>
    </row>
    <row r="12" spans="1:38" s="19" customFormat="1" ht="12">
      <c r="C12" s="22"/>
      <c r="N12" s="30"/>
      <c r="O12" s="30"/>
    </row>
    <row r="13" spans="1:38" s="19" customFormat="1" ht="12">
      <c r="N13" s="30"/>
      <c r="O13" s="30"/>
      <c r="AE13" s="19">
        <f>AE15+AE16</f>
        <v>182</v>
      </c>
      <c r="AF13" s="19">
        <f t="shared" ref="AF13:AJ13" si="2">AF15+AF16</f>
        <v>183</v>
      </c>
      <c r="AG13" s="19">
        <f t="shared" si="2"/>
        <v>178</v>
      </c>
      <c r="AH13" s="19">
        <f t="shared" si="2"/>
        <v>181</v>
      </c>
      <c r="AI13" s="19">
        <f t="shared" si="2"/>
        <v>197</v>
      </c>
      <c r="AJ13" s="19">
        <f t="shared" si="2"/>
        <v>184</v>
      </c>
    </row>
    <row r="14" spans="1:38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N14" s="30"/>
      <c r="O14" s="30"/>
      <c r="AA14" s="23">
        <v>2010</v>
      </c>
      <c r="AB14" s="23">
        <v>2011</v>
      </c>
      <c r="AC14" s="23">
        <v>2012</v>
      </c>
      <c r="AD14" s="23">
        <v>2013</v>
      </c>
      <c r="AE14" s="24">
        <v>2014</v>
      </c>
      <c r="AF14" s="23">
        <v>2015</v>
      </c>
      <c r="AG14" s="23">
        <v>2016</v>
      </c>
      <c r="AH14" s="24">
        <v>2017</v>
      </c>
      <c r="AI14" s="24">
        <v>2018</v>
      </c>
      <c r="AJ14" s="24">
        <v>2019</v>
      </c>
      <c r="AL14" s="2" t="s">
        <v>16</v>
      </c>
    </row>
    <row r="15" spans="1:38">
      <c r="N15" s="30"/>
      <c r="O15" s="30"/>
      <c r="Z15" s="7" t="s">
        <v>0</v>
      </c>
      <c r="AA15" s="8">
        <v>198</v>
      </c>
      <c r="AB15" s="8">
        <v>192</v>
      </c>
      <c r="AC15" s="8">
        <v>159</v>
      </c>
      <c r="AD15" s="8">
        <f t="shared" ref="AD15:AJ16" si="3">E7</f>
        <v>176</v>
      </c>
      <c r="AE15" s="2">
        <f t="shared" si="3"/>
        <v>174</v>
      </c>
      <c r="AF15" s="2">
        <f t="shared" si="3"/>
        <v>176</v>
      </c>
      <c r="AG15" s="2">
        <f t="shared" si="3"/>
        <v>173</v>
      </c>
      <c r="AH15" s="2">
        <f t="shared" si="3"/>
        <v>174</v>
      </c>
      <c r="AI15" s="2">
        <f t="shared" si="3"/>
        <v>187</v>
      </c>
      <c r="AJ15" s="2">
        <f t="shared" si="3"/>
        <v>173</v>
      </c>
      <c r="AL15" s="25">
        <f>AJ15/AJ13*100</f>
        <v>94.021739130434781</v>
      </c>
    </row>
    <row r="16" spans="1:38">
      <c r="Z16" s="7" t="s">
        <v>1</v>
      </c>
      <c r="AA16" s="8">
        <v>4</v>
      </c>
      <c r="AB16" s="8">
        <v>5</v>
      </c>
      <c r="AC16" s="8">
        <v>5</v>
      </c>
      <c r="AD16" s="8">
        <f t="shared" si="3"/>
        <v>9</v>
      </c>
      <c r="AE16" s="2">
        <f t="shared" si="3"/>
        <v>8</v>
      </c>
      <c r="AF16" s="2">
        <f t="shared" si="3"/>
        <v>7</v>
      </c>
      <c r="AG16" s="2">
        <f t="shared" si="3"/>
        <v>5</v>
      </c>
      <c r="AH16" s="2">
        <f t="shared" si="3"/>
        <v>7</v>
      </c>
      <c r="AI16" s="2">
        <f t="shared" si="3"/>
        <v>10</v>
      </c>
      <c r="AJ16" s="2">
        <f t="shared" si="3"/>
        <v>11</v>
      </c>
      <c r="AL16" s="26">
        <f>AJ16/AJ13*100</f>
        <v>5.9782608695652177</v>
      </c>
    </row>
    <row r="17" spans="1:36">
      <c r="Z17" s="2" t="s">
        <v>15</v>
      </c>
      <c r="AA17" s="27">
        <f t="shared" ref="AA17:AJ17" si="4">AA16/B6*100</f>
        <v>1.9801980198019802</v>
      </c>
      <c r="AB17" s="27">
        <f t="shared" si="4"/>
        <v>2.5380710659898478</v>
      </c>
      <c r="AC17" s="27">
        <f t="shared" si="4"/>
        <v>3.0487804878048781</v>
      </c>
      <c r="AD17" s="27">
        <f t="shared" si="4"/>
        <v>4.8648648648648649</v>
      </c>
      <c r="AE17" s="27">
        <f t="shared" si="4"/>
        <v>4.395604395604396</v>
      </c>
      <c r="AF17" s="27">
        <f t="shared" si="4"/>
        <v>3.8251366120218582</v>
      </c>
      <c r="AG17" s="27">
        <f t="shared" si="4"/>
        <v>2.8089887640449436</v>
      </c>
      <c r="AH17" s="27">
        <f t="shared" si="4"/>
        <v>3.867403314917127</v>
      </c>
      <c r="AI17" s="27">
        <f t="shared" si="4"/>
        <v>5.0761421319796955</v>
      </c>
      <c r="AJ17" s="27">
        <f t="shared" si="4"/>
        <v>5.9782608695652177</v>
      </c>
    </row>
    <row r="18" spans="1:36">
      <c r="A18" s="4"/>
    </row>
    <row r="20" spans="1:36">
      <c r="AA20" s="8"/>
      <c r="AB20" s="8"/>
      <c r="AC20" s="8"/>
    </row>
    <row r="21" spans="1:36">
      <c r="AA21" s="8"/>
      <c r="AB21" s="8"/>
      <c r="AC21" s="8"/>
    </row>
    <row r="33" spans="15:15">
      <c r="O33" s="6"/>
    </row>
  </sheetData>
  <mergeCells count="7">
    <mergeCell ref="N11:O15"/>
    <mergeCell ref="A14:L14"/>
    <mergeCell ref="A1:L1"/>
    <mergeCell ref="A2:L2"/>
    <mergeCell ref="A4:A5"/>
    <mergeCell ref="L4:L5"/>
    <mergeCell ref="B4:K4"/>
  </mergeCells>
  <pageMargins left="0.7" right="0.7" top="0.75" bottom="0.75" header="0.3" footer="0.3"/>
  <pageSetup scale="50" orientation="portrait" horizontalDpi="0" verticalDpi="0" r:id="rId1"/>
  <ignoredErrors>
    <ignoredError sqref="E6:J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8.30</vt:lpstr>
      <vt:lpstr>'8.30'!Print_Area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2020-11-29T14:51:28Z</cp:lastPrinted>
  <dcterms:created xsi:type="dcterms:W3CDTF">2019-06-30T04:22:49Z</dcterms:created>
  <dcterms:modified xsi:type="dcterms:W3CDTF">2020-11-29T14:56:04Z</dcterms:modified>
</cp:coreProperties>
</file>