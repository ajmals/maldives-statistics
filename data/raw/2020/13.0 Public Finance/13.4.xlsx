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3. PUBLIC FINANCE\"/>
    </mc:Choice>
  </mc:AlternateContent>
  <bookViews>
    <workbookView xWindow="0" yWindow="0" windowWidth="28740" windowHeight="11730" tabRatio="738"/>
  </bookViews>
  <sheets>
    <sheet name="13.4" sheetId="4" r:id="rId1"/>
  </sheets>
  <externalReferences>
    <externalReference r:id="rId2"/>
    <externalReference r:id="rId3"/>
    <externalReference r:id="rId4"/>
    <externalReference r:id="rId5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'13.4'!$A$1:$R$41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52511"/>
</workbook>
</file>

<file path=xl/calcChain.xml><?xml version="1.0" encoding="utf-8"?>
<calcChain xmlns="http://schemas.openxmlformats.org/spreadsheetml/2006/main">
  <c r="P39" i="4" l="1"/>
  <c r="P38" i="4"/>
  <c r="P37" i="4"/>
  <c r="P36" i="4"/>
  <c r="L35" i="4"/>
  <c r="K35" i="4"/>
  <c r="K28" i="4" s="1"/>
  <c r="J35" i="4"/>
  <c r="I35" i="4"/>
  <c r="H35" i="4"/>
  <c r="G35" i="4"/>
  <c r="G28" i="4" s="1"/>
  <c r="P34" i="4"/>
  <c r="P33" i="4"/>
  <c r="P32" i="4"/>
  <c r="P31" i="4"/>
  <c r="P30" i="4"/>
  <c r="L29" i="4"/>
  <c r="K29" i="4"/>
  <c r="J29" i="4"/>
  <c r="J28" i="4" s="1"/>
  <c r="I29" i="4"/>
  <c r="H29" i="4"/>
  <c r="H28" i="4" s="1"/>
  <c r="G29" i="4"/>
  <c r="F29" i="4"/>
  <c r="F28" i="4" s="1"/>
  <c r="E29" i="4"/>
  <c r="E28" i="4" s="1"/>
  <c r="D29" i="4"/>
  <c r="C29" i="4"/>
  <c r="B29" i="4"/>
  <c r="B28" i="4" s="1"/>
  <c r="D28" i="4"/>
  <c r="C28" i="4"/>
  <c r="P27" i="4"/>
  <c r="P26" i="4"/>
  <c r="L25" i="4"/>
  <c r="K25" i="4"/>
  <c r="J25" i="4"/>
  <c r="I25" i="4"/>
  <c r="H25" i="4"/>
  <c r="G25" i="4"/>
  <c r="F25" i="4"/>
  <c r="E25" i="4"/>
  <c r="D25" i="4"/>
  <c r="C25" i="4"/>
  <c r="B25" i="4"/>
  <c r="L24" i="4"/>
  <c r="K24" i="4"/>
  <c r="J24" i="4"/>
  <c r="J10" i="4" s="1"/>
  <c r="J9" i="4" s="1"/>
  <c r="I24" i="4"/>
  <c r="H24" i="4"/>
  <c r="G24" i="4"/>
  <c r="P23" i="4"/>
  <c r="P22" i="4"/>
  <c r="P21" i="4"/>
  <c r="P20" i="4"/>
  <c r="P19" i="4"/>
  <c r="P18" i="4"/>
  <c r="P17" i="4"/>
  <c r="P16" i="4"/>
  <c r="P15" i="4"/>
  <c r="P14" i="4"/>
  <c r="P13" i="4"/>
  <c r="P12" i="4"/>
  <c r="L11" i="4"/>
  <c r="K11" i="4"/>
  <c r="J11" i="4"/>
  <c r="I11" i="4"/>
  <c r="H11" i="4"/>
  <c r="G11" i="4"/>
  <c r="F11" i="4"/>
  <c r="E11" i="4"/>
  <c r="D11" i="4"/>
  <c r="D10" i="4" s="1"/>
  <c r="C11" i="4"/>
  <c r="B11" i="4"/>
  <c r="F10" i="4"/>
  <c r="E10" i="4"/>
  <c r="E9" i="4" s="1"/>
  <c r="B10" i="4"/>
  <c r="F9" i="4" l="1"/>
  <c r="P11" i="4"/>
  <c r="L28" i="4"/>
  <c r="B9" i="4"/>
  <c r="C10" i="4"/>
  <c r="G10" i="4"/>
  <c r="G8" i="4" s="1"/>
  <c r="K10" i="4"/>
  <c r="K8" i="4" s="1"/>
  <c r="E8" i="4"/>
  <c r="P24" i="4"/>
  <c r="I10" i="4"/>
  <c r="H10" i="4"/>
  <c r="H8" i="4" s="1"/>
  <c r="L10" i="4"/>
  <c r="L9" i="4" s="1"/>
  <c r="P35" i="4"/>
  <c r="I28" i="4"/>
  <c r="B8" i="4"/>
  <c r="F8" i="4"/>
  <c r="J8" i="4"/>
  <c r="C8" i="4"/>
  <c r="C9" i="4"/>
  <c r="G9" i="4"/>
  <c r="K9" i="4"/>
  <c r="D8" i="4"/>
  <c r="D9" i="4"/>
  <c r="H9" i="4"/>
  <c r="L8" i="4"/>
  <c r="P28" i="4"/>
  <c r="N22" i="4"/>
  <c r="N20" i="4"/>
  <c r="P25" i="4"/>
  <c r="P29" i="4"/>
  <c r="P10" i="4" l="1"/>
  <c r="I9" i="4"/>
  <c r="P9" i="4" s="1"/>
  <c r="I8" i="4"/>
  <c r="N37" i="4" s="1"/>
  <c r="N14" i="4"/>
  <c r="N26" i="4"/>
  <c r="N15" i="4"/>
  <c r="N31" i="4"/>
  <c r="N25" i="4"/>
  <c r="N17" i="4" l="1"/>
  <c r="N27" i="4"/>
  <c r="N35" i="4"/>
  <c r="N33" i="4"/>
  <c r="N32" i="4"/>
  <c r="N18" i="4"/>
  <c r="N8" i="4"/>
  <c r="N36" i="4"/>
  <c r="N21" i="4"/>
  <c r="N34" i="4"/>
  <c r="N28" i="4"/>
  <c r="N12" i="4"/>
  <c r="N13" i="4"/>
  <c r="N23" i="4"/>
  <c r="N9" i="4"/>
  <c r="N29" i="4"/>
  <c r="N11" i="4"/>
  <c r="N24" i="4"/>
  <c r="N16" i="4"/>
  <c r="P8" i="4"/>
  <c r="N19" i="4"/>
  <c r="N30" i="4"/>
  <c r="N39" i="4"/>
  <c r="N38" i="4"/>
  <c r="N10" i="4"/>
</calcChain>
</file>

<file path=xl/sharedStrings.xml><?xml version="1.0" encoding="utf-8"?>
<sst xmlns="http://schemas.openxmlformats.org/spreadsheetml/2006/main" count="90" uniqueCount="82">
  <si>
    <t>Particulars</t>
  </si>
  <si>
    <t>clIBcfwt</t>
  </si>
  <si>
    <t>Actual</t>
  </si>
  <si>
    <t>Revised</t>
  </si>
  <si>
    <t>Expenditure and net lending</t>
  </si>
  <si>
    <t>Current expenditure</t>
  </si>
  <si>
    <t>udwrwK Wditenivua</t>
  </si>
  <si>
    <t>Net lending</t>
  </si>
  <si>
    <t>IkWbufWs egInwrwd EverukUd</t>
  </si>
  <si>
    <t>Source:  Ministry of Finance and Treasury</t>
  </si>
  <si>
    <t>IrwRercT cDcnea cscnEnif cfoa IrcTcsinim :ctWrwf ivcaedutWmUluAwm</t>
  </si>
  <si>
    <t>(cniaWyifur cnwyilim)</t>
  </si>
  <si>
    <t>ikWbufWs egInwrwd EverukUd iaWdwrwK wlcmuj</t>
  </si>
  <si>
    <t>Expenditure on goods and services</t>
  </si>
  <si>
    <t>udwrwK unuveruk cSwtwmcdiK iaWSwCcaekwt</t>
  </si>
  <si>
    <t xml:space="preserve">  Salaries and wages</t>
  </si>
  <si>
    <t>wrUjua iaWawrWsum</t>
  </si>
  <si>
    <t xml:space="preserve">  Other allowances</t>
  </si>
  <si>
    <t>Eved cSwncnufwzcawvum cnutogctog cnehinehea</t>
  </si>
  <si>
    <t xml:space="preserve">  Other benefits and gratuities</t>
  </si>
  <si>
    <t>Wsiawf EdcSwkwtog cnUn cSwkwtwmcdiKikwv</t>
  </si>
  <si>
    <t xml:space="preserve">  Travel expenses</t>
  </si>
  <si>
    <t>udwrwK egumurukurutwd</t>
  </si>
  <si>
    <t xml:space="preserve">  Supplies and requisites</t>
  </si>
  <si>
    <t>cnudOh itekwt iaWSwmutwgitekwt</t>
  </si>
  <si>
    <t xml:space="preserve">  Repairs and maintenance</t>
  </si>
  <si>
    <t>cSwmuTcaeheleb iaWSwmurukutWmWrwm</t>
  </si>
  <si>
    <t xml:space="preserve">  Transportation, communication,</t>
  </si>
  <si>
    <t>EverukcnunEb iaWtWlwBWvum iaWmulufua itekwt</t>
  </si>
  <si>
    <t xml:space="preserve">  utilities, and other services </t>
  </si>
  <si>
    <t>udwrwK egutwmcdiK</t>
  </si>
  <si>
    <t xml:space="preserve">  Subscriptions, membership fees, etc,</t>
  </si>
  <si>
    <t>egWtcnwt iaWkwtctwAWmwj ikeaikea egurEb</t>
  </si>
  <si>
    <t xml:space="preserve">  to international organizations </t>
  </si>
  <si>
    <t>Wsiawf Eved cSwaWdcnwC</t>
  </si>
  <si>
    <t xml:space="preserve">  Social welfare contributions and transfers</t>
  </si>
  <si>
    <t>Wsiawf egIheaEved iawkwTcSwaWdiawf egutwAWmwj</t>
  </si>
  <si>
    <t>Interest payments</t>
  </si>
  <si>
    <t>udwrwK egutwmcdiK Eved cSwaWsiawf Wviawfigen cSwNcnwrwd</t>
  </si>
  <si>
    <t>Subsidies and transfers</t>
  </si>
  <si>
    <t>cSwmurukulwdwb iaWSwaIDiscbws</t>
  </si>
  <si>
    <t xml:space="preserve">  Food, medicine and other  </t>
  </si>
  <si>
    <t>cSwaIDiscbws eguhEb iaWCcaekwtObWk</t>
  </si>
  <si>
    <t xml:space="preserve">  Pension</t>
  </si>
  <si>
    <t xml:space="preserve">cSwnwxcnep </t>
  </si>
  <si>
    <t>Capital expenditure and net lending</t>
  </si>
  <si>
    <t>IkWbufWs egInwrwd EverukUd idwa udwrwK ivinwncnuhimed</t>
  </si>
  <si>
    <t xml:space="preserve">  Development expenditure</t>
  </si>
  <si>
    <t>udwrwK Everuk iawkwTcSwaIqcawrwt</t>
  </si>
  <si>
    <t xml:space="preserve">  Foreign loan-financed</t>
  </si>
  <si>
    <t>udwrwK Everuk cnunOlEbil cnurEb</t>
  </si>
  <si>
    <t>1_/ cnutogctog cnehinehea</t>
  </si>
  <si>
    <t>Memorandum item:</t>
  </si>
  <si>
    <t>caeacmwTiawa Wviawfiveruk cDrOker iawkwTcSwnWdwh</t>
  </si>
  <si>
    <t>Capital contributions to</t>
  </si>
  <si>
    <t>Wtcnwt iaWkwtctwAWmwj ikeaikea egurEb</t>
  </si>
  <si>
    <t xml:space="preserve">      foreign organizations </t>
  </si>
  <si>
    <t>cSwmukcaed cSwlWmcsuawr</t>
  </si>
  <si>
    <t>ބެހިފައިވާ ގޮތް އިން ސައްތައިން</t>
  </si>
  <si>
    <t>Percentage Share</t>
  </si>
  <si>
    <t>Percentage Change</t>
  </si>
  <si>
    <t>އިތުރުވި މިންވަރު</t>
  </si>
  <si>
    <t>(In million MVR)</t>
  </si>
  <si>
    <t>cawtunOl egEretea</t>
  </si>
  <si>
    <t xml:space="preserve">  Training expenses</t>
  </si>
  <si>
    <t>unIrcmwt</t>
  </si>
  <si>
    <t xml:space="preserve">  Domestic Loan</t>
  </si>
  <si>
    <t xml:space="preserve">  Grant Financed</t>
  </si>
  <si>
    <t xml:space="preserve">  Domestic PSIP</t>
  </si>
  <si>
    <t>ގްރާންޓް ފައިނާންސްޑް</t>
  </si>
  <si>
    <t>ޑޮމެސްޓިކް ފީ.އެސް.އައި.ޕީ</t>
  </si>
  <si>
    <t xml:space="preserve">      Transfers to sovereign development Fund</t>
  </si>
  <si>
    <t xml:space="preserve">   cSwmukcaed cSwlWmcsuawr</t>
  </si>
  <si>
    <t>Wsiawf EverukudwrwK cSwaIqcawrwt  cnegibil iawgutog egIhea Elih egurEb iaWncnEjcaWr Inenemih iawgiawbim 2_/</t>
  </si>
  <si>
    <t>2018-2019</t>
  </si>
  <si>
    <t>Table  13.4 :  ECONOMIC CLASSIFICATION OF CENTRAL GOVERNMENT EXPENDITURE AND NET LENDING, 2011 - 2022</t>
  </si>
  <si>
    <t>2022 - 2011 ,IkWbufWs egInwrwd iaWdwrwK EverukcnurWkurws cnutogegukwtiawb IdWBitcqia : 13.4 ulwvWt</t>
  </si>
  <si>
    <t xml:space="preserve">Approved </t>
  </si>
  <si>
    <t>udwrwK ޖުމްލަ</t>
  </si>
  <si>
    <t xml:space="preserve">Note:  1_/  Comprises development expenditure financed from domestic sources and by foreign grants. </t>
  </si>
  <si>
    <r>
      <t>Other</t>
    </r>
    <r>
      <rPr>
        <vertAlign val="superscript"/>
        <sz val="9"/>
        <color theme="1"/>
        <rFont val="Calibri"/>
        <family val="2"/>
        <scheme val="minor"/>
      </rPr>
      <t>1_/</t>
    </r>
  </si>
  <si>
    <t>Total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</si>
</sst>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7" formatCode="_(* #,##0.0_);_(* \(#,##0.0\);_(* &quot;-&quot;??_);_(@_)"/>
    <numFmt numFmtId="168" formatCode="0.0"/>
    <numFmt numFmtId="169" formatCode="0.0_);\(0.0\)"/>
    <numFmt numFmtId="170" formatCode="_-* #,##0.00_-;\-* #,##0.00_-;_-* &quot;-&quot;??_-;_-@_-"/>
    <numFmt numFmtId="171" formatCode="#,##0.00\ ;&quot; (&quot;#,##0.00\);&quot; -&quot;#\ ;@\ "/>
    <numFmt numFmtId="175" formatCode="0.0%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_Randhoo"/>
    </font>
    <font>
      <sz val="9"/>
      <color theme="1"/>
      <name val="Akuru"/>
      <family val="2"/>
      <charset val="2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b/>
      <sz val="9"/>
      <color theme="1"/>
      <name val="Akuru"/>
      <family val="2"/>
      <charset val="2"/>
    </font>
    <font>
      <sz val="10"/>
      <color indexed="8"/>
      <name val="Arial"/>
      <family val="2"/>
    </font>
    <font>
      <vertAlign val="superscript"/>
      <sz val="9"/>
      <color theme="1"/>
      <name val="Calibri"/>
      <family val="2"/>
      <scheme val="minor"/>
    </font>
    <font>
      <b/>
      <sz val="12"/>
      <color theme="1"/>
      <name val="A_Faseyha"/>
    </font>
    <font>
      <sz val="10"/>
      <name val="Courier"/>
    </font>
    <font>
      <sz val="10"/>
      <name val="Helv"/>
    </font>
    <font>
      <sz val="12"/>
      <color theme="1"/>
      <name val="A_Faseyha"/>
    </font>
    <font>
      <b/>
      <sz val="10"/>
      <color theme="1"/>
      <name val="A_Faseyha"/>
    </font>
    <font>
      <sz val="10"/>
      <color theme="1"/>
      <name val="A_Faseyh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DDFDD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1" tint="4.9989318521683403E-2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6" fillId="0" borderId="0"/>
    <xf numFmtId="171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9" fontId="1" fillId="0" borderId="0" applyFont="0" applyFill="0" applyBorder="0" applyAlignment="0" applyProtection="0"/>
    <xf numFmtId="168" fontId="24" fillId="0" borderId="0"/>
    <xf numFmtId="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27">
    <xf numFmtId="0" fontId="0" fillId="0" borderId="0" xfId="0"/>
    <xf numFmtId="164" fontId="10" fillId="2" borderId="0" xfId="2" applyNumberFormat="1" applyFont="1" applyFill="1" applyBorder="1" applyAlignment="1" applyProtection="1">
      <alignment horizontal="right" vertical="center"/>
      <protection locked="0"/>
    </xf>
    <xf numFmtId="164" fontId="5" fillId="2" borderId="0" xfId="2" applyNumberFormat="1" applyFont="1" applyFill="1" applyBorder="1" applyAlignment="1" applyProtection="1">
      <alignment horizontal="right" vertical="center"/>
      <protection locked="0"/>
    </xf>
    <xf numFmtId="164" fontId="5" fillId="2" borderId="1" xfId="2" applyNumberFormat="1" applyFont="1" applyFill="1" applyBorder="1" applyAlignment="1" applyProtection="1">
      <alignment horizontal="right" vertical="center"/>
    </xf>
    <xf numFmtId="164" fontId="15" fillId="2" borderId="0" xfId="2" applyNumberFormat="1" applyFont="1" applyFill="1" applyAlignment="1">
      <alignment vertical="center"/>
    </xf>
    <xf numFmtId="164" fontId="9" fillId="2" borderId="0" xfId="2" applyNumberFormat="1" applyFont="1" applyFill="1" applyAlignment="1">
      <alignment vertical="center"/>
    </xf>
    <xf numFmtId="164" fontId="18" fillId="2" borderId="0" xfId="2" applyNumberFormat="1" applyFont="1" applyFill="1" applyAlignment="1">
      <alignment vertical="center"/>
    </xf>
    <xf numFmtId="164" fontId="14" fillId="2" borderId="0" xfId="2" applyNumberFormat="1" applyFont="1" applyFill="1" applyAlignment="1" applyProtection="1">
      <alignment horizontal="left" vertical="center"/>
    </xf>
    <xf numFmtId="164" fontId="13" fillId="2" borderId="2" xfId="2" applyNumberFormat="1" applyFont="1" applyFill="1" applyBorder="1" applyAlignment="1" applyProtection="1">
      <alignment horizontal="left" vertical="center"/>
    </xf>
    <xf numFmtId="164" fontId="16" fillId="2" borderId="0" xfId="2" applyNumberFormat="1" applyFont="1" applyFill="1" applyAlignment="1">
      <alignment horizontal="right" vertical="center"/>
    </xf>
    <xf numFmtId="164" fontId="9" fillId="2" borderId="0" xfId="2" applyNumberFormat="1" applyFont="1" applyFill="1" applyBorder="1" applyAlignment="1">
      <alignment vertical="center"/>
    </xf>
    <xf numFmtId="164" fontId="10" fillId="2" borderId="2" xfId="2" applyNumberFormat="1" applyFont="1" applyFill="1" applyBorder="1" applyAlignment="1" applyProtection="1">
      <alignment horizontal="right" vertical="center"/>
    </xf>
    <xf numFmtId="37" fontId="13" fillId="2" borderId="0" xfId="2" applyNumberFormat="1" applyFont="1" applyFill="1" applyAlignment="1" applyProtection="1">
      <alignment vertical="center"/>
    </xf>
    <xf numFmtId="164" fontId="15" fillId="2" borderId="0" xfId="2" applyNumberFormat="1" applyFont="1" applyFill="1" applyBorder="1" applyAlignment="1">
      <alignment vertical="center"/>
    </xf>
    <xf numFmtId="164" fontId="9" fillId="2" borderId="3" xfId="2" applyNumberFormat="1" applyFont="1" applyFill="1" applyBorder="1" applyAlignment="1" applyProtection="1">
      <alignment horizontal="center" vertical="center"/>
    </xf>
    <xf numFmtId="164" fontId="10" fillId="2" borderId="0" xfId="2" applyNumberFormat="1" applyFont="1" applyFill="1" applyAlignment="1" applyProtection="1">
      <alignment horizontal="left" vertical="center"/>
    </xf>
    <xf numFmtId="165" fontId="10" fillId="2" borderId="0" xfId="2" applyNumberFormat="1" applyFont="1" applyFill="1" applyAlignment="1" applyProtection="1">
      <alignment horizontal="right" vertical="center"/>
    </xf>
    <xf numFmtId="165" fontId="10" fillId="2" borderId="0" xfId="2" applyNumberFormat="1" applyFont="1" applyFill="1" applyAlignment="1" applyProtection="1">
      <alignment horizontal="right" vertical="center"/>
      <protection locked="0"/>
    </xf>
    <xf numFmtId="164" fontId="8" fillId="2" borderId="0" xfId="2" applyNumberFormat="1" applyFont="1" applyFill="1" applyAlignment="1">
      <alignment horizontal="right" vertical="center"/>
    </xf>
    <xf numFmtId="164" fontId="13" fillId="2" borderId="0" xfId="2" applyNumberFormat="1" applyFont="1" applyFill="1" applyAlignment="1" applyProtection="1">
      <alignment horizontal="left" vertical="center"/>
    </xf>
    <xf numFmtId="164" fontId="13" fillId="2" borderId="0" xfId="2" applyNumberFormat="1" applyFont="1" applyFill="1" applyAlignment="1" applyProtection="1">
      <alignment vertical="center"/>
    </xf>
    <xf numFmtId="164" fontId="17" fillId="2" borderId="0" xfId="2" applyNumberFormat="1" applyFont="1" applyFill="1" applyAlignment="1">
      <alignment horizontal="right" vertical="center"/>
    </xf>
    <xf numFmtId="169" fontId="10" fillId="2" borderId="0" xfId="2" applyNumberFormat="1" applyFont="1" applyFill="1" applyAlignment="1" applyProtection="1">
      <alignment horizontal="right" vertical="center"/>
      <protection locked="0"/>
    </xf>
    <xf numFmtId="164" fontId="20" fillId="2" borderId="0" xfId="2" applyNumberFormat="1" applyFont="1" applyFill="1" applyAlignment="1">
      <alignment horizontal="right" vertical="center"/>
    </xf>
    <xf numFmtId="168" fontId="13" fillId="2" borderId="0" xfId="2" applyNumberFormat="1" applyFont="1" applyFill="1" applyAlignment="1" applyProtection="1">
      <alignment horizontal="right" vertical="center"/>
    </xf>
    <xf numFmtId="168" fontId="18" fillId="2" borderId="0" xfId="2" applyNumberFormat="1" applyFont="1" applyFill="1" applyAlignment="1">
      <alignment horizontal="right" vertical="center"/>
    </xf>
    <xf numFmtId="1" fontId="18" fillId="2" borderId="0" xfId="2" applyNumberFormat="1" applyFont="1" applyFill="1" applyAlignment="1">
      <alignment vertical="center"/>
    </xf>
    <xf numFmtId="168" fontId="15" fillId="2" borderId="0" xfId="2" applyNumberFormat="1" applyFont="1" applyFill="1" applyAlignment="1">
      <alignment horizontal="right" vertical="center"/>
    </xf>
    <xf numFmtId="1" fontId="15" fillId="2" borderId="0" xfId="2" applyNumberFormat="1" applyFont="1" applyFill="1" applyAlignment="1">
      <alignment vertical="center"/>
    </xf>
    <xf numFmtId="168" fontId="12" fillId="2" borderId="3" xfId="2" applyNumberFormat="1" applyFont="1" applyFill="1" applyBorder="1" applyAlignment="1" applyProtection="1">
      <alignment horizontal="center" vertical="center"/>
      <protection hidden="1"/>
    </xf>
    <xf numFmtId="164" fontId="10" fillId="2" borderId="0" xfId="2" applyNumberFormat="1" applyFont="1" applyFill="1" applyBorder="1" applyAlignment="1" applyProtection="1">
      <alignment horizontal="center" vertical="center"/>
      <protection locked="0"/>
    </xf>
    <xf numFmtId="165" fontId="10" fillId="2" borderId="0" xfId="2" applyNumberFormat="1" applyFont="1" applyFill="1" applyAlignment="1" applyProtection="1">
      <alignment vertical="center"/>
      <protection locked="0"/>
    </xf>
    <xf numFmtId="164" fontId="10" fillId="2" borderId="9" xfId="2" applyNumberFormat="1" applyFont="1" applyFill="1" applyBorder="1" applyAlignment="1" applyProtection="1">
      <alignment horizontal="center" vertical="center"/>
    </xf>
    <xf numFmtId="164" fontId="12" fillId="2" borderId="10" xfId="2" applyNumberFormat="1" applyFont="1" applyFill="1" applyBorder="1" applyAlignment="1" applyProtection="1">
      <alignment horizontal="center" vertical="center" wrapText="1"/>
    </xf>
    <xf numFmtId="164" fontId="10" fillId="2" borderId="11" xfId="2" applyNumberFormat="1" applyFont="1" applyFill="1" applyBorder="1" applyAlignment="1" applyProtection="1">
      <alignment horizontal="center" vertical="center" wrapText="1"/>
      <protection locked="0"/>
    </xf>
    <xf numFmtId="164" fontId="12" fillId="2" borderId="6" xfId="2" applyNumberFormat="1" applyFont="1" applyFill="1" applyBorder="1" applyAlignment="1" applyProtection="1">
      <alignment horizontal="center" vertical="center" wrapText="1"/>
    </xf>
    <xf numFmtId="168" fontId="12" fillId="2" borderId="3" xfId="2" applyNumberFormat="1" applyFont="1" applyFill="1" applyBorder="1" applyAlignment="1" applyProtection="1">
      <alignment horizontal="center" vertical="center" wrapText="1"/>
      <protection hidden="1"/>
    </xf>
    <xf numFmtId="164" fontId="10" fillId="2" borderId="7" xfId="2" applyNumberFormat="1" applyFont="1" applyFill="1" applyBorder="1" applyAlignment="1" applyProtection="1">
      <alignment horizontal="center" vertical="center" wrapText="1"/>
      <protection locked="0"/>
    </xf>
    <xf numFmtId="165" fontId="10" fillId="2" borderId="8" xfId="2" applyNumberFormat="1" applyFont="1" applyFill="1" applyBorder="1" applyAlignment="1" applyProtection="1">
      <alignment horizontal="center" vertical="center"/>
      <protection locked="0"/>
    </xf>
    <xf numFmtId="165" fontId="13" fillId="2" borderId="8" xfId="2" applyNumberFormat="1" applyFont="1" applyFill="1" applyBorder="1" applyAlignment="1" applyProtection="1">
      <alignment horizontal="center" vertical="center"/>
      <protection locked="0"/>
    </xf>
    <xf numFmtId="41" fontId="19" fillId="2" borderId="8" xfId="3" applyNumberFormat="1" applyFont="1" applyFill="1" applyBorder="1" applyAlignment="1" applyProtection="1">
      <alignment horizontal="center" vertical="center"/>
      <protection locked="0"/>
    </xf>
    <xf numFmtId="164" fontId="14" fillId="2" borderId="0" xfId="2" applyNumberFormat="1" applyFont="1" applyFill="1" applyAlignment="1" applyProtection="1">
      <alignment horizontal="left" vertical="center" indent="4"/>
    </xf>
    <xf numFmtId="175" fontId="9" fillId="2" borderId="0" xfId="12" applyNumberFormat="1" applyFont="1" applyFill="1" applyAlignment="1">
      <alignment vertical="center"/>
    </xf>
    <xf numFmtId="165" fontId="13" fillId="2" borderId="0" xfId="2" applyNumberFormat="1" applyFont="1" applyFill="1" applyBorder="1" applyAlignment="1" applyProtection="1">
      <alignment horizontal="center" vertical="center"/>
      <protection locked="0"/>
    </xf>
    <xf numFmtId="164" fontId="27" fillId="2" borderId="0" xfId="2" applyNumberFormat="1" applyFont="1" applyFill="1" applyAlignment="1">
      <alignment horizontal="right" vertical="center"/>
    </xf>
    <xf numFmtId="164" fontId="28" fillId="2" borderId="0" xfId="2" applyNumberFormat="1" applyFont="1" applyFill="1" applyAlignment="1">
      <alignment horizontal="right" vertical="center"/>
    </xf>
    <xf numFmtId="164" fontId="23" fillId="2" borderId="3" xfId="2" applyNumberFormat="1" applyFont="1" applyFill="1" applyBorder="1" applyAlignment="1" applyProtection="1">
      <alignment horizontal="center" vertical="center"/>
    </xf>
    <xf numFmtId="164" fontId="10" fillId="2" borderId="4" xfId="2" applyNumberFormat="1" applyFont="1" applyFill="1" applyBorder="1" applyAlignment="1" applyProtection="1">
      <alignment horizontal="center" vertical="center" wrapText="1"/>
      <protection locked="0"/>
    </xf>
    <xf numFmtId="164" fontId="10" fillId="2" borderId="13" xfId="2" applyNumberFormat="1" applyFont="1" applyFill="1" applyBorder="1" applyAlignment="1" applyProtection="1">
      <alignment horizontal="center" vertical="center"/>
    </xf>
    <xf numFmtId="168" fontId="10" fillId="2" borderId="12" xfId="2" applyNumberFormat="1" applyFont="1" applyFill="1" applyBorder="1" applyAlignment="1" applyProtection="1">
      <alignment horizontal="center" vertical="center"/>
      <protection locked="0"/>
    </xf>
    <xf numFmtId="168" fontId="10" fillId="2" borderId="0" xfId="1" applyNumberFormat="1" applyFont="1" applyFill="1" applyBorder="1" applyAlignment="1" applyProtection="1">
      <alignment horizontal="right" vertical="center" indent="3"/>
    </xf>
    <xf numFmtId="165" fontId="10" fillId="2" borderId="4" xfId="2" applyNumberFormat="1" applyFont="1" applyFill="1" applyBorder="1" applyAlignment="1" applyProtection="1">
      <alignment horizontal="center" vertical="center"/>
      <protection locked="0"/>
    </xf>
    <xf numFmtId="164" fontId="27" fillId="2" borderId="0" xfId="2" applyNumberFormat="1" applyFont="1" applyFill="1" applyBorder="1" applyAlignment="1">
      <alignment horizontal="right" vertical="center"/>
    </xf>
    <xf numFmtId="1" fontId="27" fillId="2" borderId="2" xfId="2" applyNumberFormat="1" applyFont="1" applyFill="1" applyBorder="1" applyAlignment="1">
      <alignment vertical="center"/>
    </xf>
    <xf numFmtId="165" fontId="27" fillId="2" borderId="0" xfId="2" applyNumberFormat="1" applyFont="1" applyFill="1" applyAlignment="1">
      <alignment horizontal="right" vertical="center"/>
    </xf>
    <xf numFmtId="165" fontId="28" fillId="2" borderId="0" xfId="2" applyNumberFormat="1" applyFont="1" applyFill="1" applyAlignment="1">
      <alignment horizontal="right" vertical="center" indent="1"/>
    </xf>
    <xf numFmtId="164" fontId="28" fillId="2" borderId="0" xfId="2" applyNumberFormat="1" applyFont="1" applyFill="1" applyAlignment="1">
      <alignment horizontal="right" vertical="center" indent="3"/>
    </xf>
    <xf numFmtId="164" fontId="13" fillId="3" borderId="0" xfId="2" applyNumberFormat="1" applyFont="1" applyFill="1" applyAlignment="1" applyProtection="1">
      <alignment horizontal="left" vertical="center"/>
    </xf>
    <xf numFmtId="43" fontId="13" fillId="3" borderId="0" xfId="1" applyFont="1" applyFill="1" applyAlignment="1" applyProtection="1">
      <alignment horizontal="right" vertical="center"/>
      <protection locked="0"/>
    </xf>
    <xf numFmtId="165" fontId="13" fillId="3" borderId="0" xfId="2" applyNumberFormat="1" applyFont="1" applyFill="1" applyAlignment="1" applyProtection="1">
      <alignment horizontal="right" vertical="center"/>
      <protection locked="0"/>
    </xf>
    <xf numFmtId="165" fontId="13" fillId="3" borderId="4" xfId="2" applyNumberFormat="1" applyFont="1" applyFill="1" applyBorder="1" applyAlignment="1" applyProtection="1">
      <alignment horizontal="center" vertical="center"/>
      <protection locked="0"/>
    </xf>
    <xf numFmtId="165" fontId="13" fillId="3" borderId="8" xfId="2" applyNumberFormat="1" applyFont="1" applyFill="1" applyBorder="1" applyAlignment="1" applyProtection="1">
      <alignment horizontal="center" vertical="center"/>
      <protection locked="0"/>
    </xf>
    <xf numFmtId="168" fontId="13" fillId="3" borderId="4" xfId="1" applyNumberFormat="1" applyFont="1" applyFill="1" applyBorder="1" applyAlignment="1" applyProtection="1">
      <alignment horizontal="center" vertical="center"/>
    </xf>
    <xf numFmtId="164" fontId="9" fillId="3" borderId="0" xfId="2" applyNumberFormat="1" applyFont="1" applyFill="1" applyAlignment="1">
      <alignment vertical="center"/>
    </xf>
    <xf numFmtId="165" fontId="28" fillId="3" borderId="0" xfId="2" applyNumberFormat="1" applyFont="1" applyFill="1" applyAlignment="1">
      <alignment horizontal="right" vertical="center" indent="1"/>
    </xf>
    <xf numFmtId="164" fontId="13" fillId="3" borderId="0" xfId="2" applyNumberFormat="1" applyFont="1" applyFill="1" applyBorder="1" applyAlignment="1" applyProtection="1">
      <alignment horizontal="left" vertical="center"/>
    </xf>
    <xf numFmtId="165" fontId="13" fillId="3" borderId="0" xfId="2" applyNumberFormat="1" applyFont="1" applyFill="1" applyBorder="1" applyAlignment="1" applyProtection="1">
      <alignment horizontal="right" vertical="center"/>
    </xf>
    <xf numFmtId="165" fontId="10" fillId="3" borderId="8" xfId="2" applyNumberFormat="1" applyFont="1" applyFill="1" applyBorder="1" applyAlignment="1" applyProtection="1">
      <alignment horizontal="center" vertical="center"/>
      <protection locked="0"/>
    </xf>
    <xf numFmtId="164" fontId="18" fillId="3" borderId="0" xfId="2" applyNumberFormat="1" applyFont="1" applyFill="1" applyAlignment="1">
      <alignment vertical="center"/>
    </xf>
    <xf numFmtId="165" fontId="28" fillId="3" borderId="0" xfId="2" applyNumberFormat="1" applyFont="1" applyFill="1" applyBorder="1" applyAlignment="1">
      <alignment horizontal="right" vertical="center" indent="1"/>
    </xf>
    <xf numFmtId="165" fontId="13" fillId="3" borderId="0" xfId="2" applyNumberFormat="1" applyFont="1" applyFill="1" applyBorder="1" applyAlignment="1" applyProtection="1">
      <alignment horizontal="right" vertical="center"/>
      <protection locked="0"/>
    </xf>
    <xf numFmtId="164" fontId="13" fillId="3" borderId="2" xfId="2" applyNumberFormat="1" applyFont="1" applyFill="1" applyBorder="1" applyAlignment="1" applyProtection="1">
      <alignment horizontal="left" vertical="center"/>
    </xf>
    <xf numFmtId="43" fontId="13" fillId="3" borderId="2" xfId="1" applyFont="1" applyFill="1" applyBorder="1" applyAlignment="1" applyProtection="1">
      <alignment horizontal="right" vertical="center"/>
      <protection locked="0"/>
    </xf>
    <xf numFmtId="165" fontId="13" fillId="3" borderId="2" xfId="2" applyNumberFormat="1" applyFont="1" applyFill="1" applyBorder="1" applyAlignment="1" applyProtection="1">
      <alignment horizontal="right" vertical="center"/>
      <protection locked="0"/>
    </xf>
    <xf numFmtId="165" fontId="13" fillId="3" borderId="5" xfId="2" applyNumberFormat="1" applyFont="1" applyFill="1" applyBorder="1" applyAlignment="1" applyProtection="1">
      <alignment horizontal="center" vertical="center"/>
      <protection locked="0"/>
    </xf>
    <xf numFmtId="165" fontId="13" fillId="3" borderId="9" xfId="2" applyNumberFormat="1" applyFont="1" applyFill="1" applyBorder="1" applyAlignment="1" applyProtection="1">
      <alignment horizontal="center" vertical="center"/>
      <protection locked="0"/>
    </xf>
    <xf numFmtId="164" fontId="18" fillId="3" borderId="2" xfId="2" applyNumberFormat="1" applyFont="1" applyFill="1" applyBorder="1" applyAlignment="1">
      <alignment vertical="center"/>
    </xf>
    <xf numFmtId="165" fontId="28" fillId="3" borderId="2" xfId="2" applyNumberFormat="1" applyFont="1" applyFill="1" applyBorder="1" applyAlignment="1">
      <alignment horizontal="right" vertical="center" indent="1"/>
    </xf>
    <xf numFmtId="164" fontId="16" fillId="3" borderId="0" xfId="2" applyNumberFormat="1" applyFont="1" applyFill="1" applyAlignment="1">
      <alignment horizontal="right" vertical="center"/>
    </xf>
    <xf numFmtId="164" fontId="17" fillId="3" borderId="0" xfId="2" applyNumberFormat="1" applyFont="1" applyFill="1" applyAlignment="1">
      <alignment horizontal="right" vertical="center"/>
    </xf>
    <xf numFmtId="164" fontId="5" fillId="2" borderId="4" xfId="2" applyNumberFormat="1" applyFont="1" applyFill="1" applyBorder="1" applyAlignment="1" applyProtection="1">
      <alignment horizontal="right" vertical="center"/>
      <protection locked="0"/>
    </xf>
    <xf numFmtId="164" fontId="5" fillId="2" borderId="14" xfId="2" applyNumberFormat="1" applyFont="1" applyFill="1" applyBorder="1" applyAlignment="1" applyProtection="1">
      <alignment horizontal="right" vertical="center"/>
    </xf>
    <xf numFmtId="164" fontId="9" fillId="2" borderId="6" xfId="2" applyNumberFormat="1" applyFont="1" applyFill="1" applyBorder="1" applyAlignment="1" applyProtection="1">
      <alignment horizontal="center" vertical="center"/>
    </xf>
    <xf numFmtId="165" fontId="10" fillId="2" borderId="4" xfId="2" applyNumberFormat="1" applyFont="1" applyFill="1" applyBorder="1" applyAlignment="1" applyProtection="1">
      <alignment horizontal="right" vertical="center"/>
      <protection locked="0"/>
    </xf>
    <xf numFmtId="165" fontId="10" fillId="2" borderId="0" xfId="2" applyNumberFormat="1" applyFont="1" applyFill="1" applyBorder="1" applyAlignment="1" applyProtection="1">
      <alignment horizontal="right" vertical="center"/>
      <protection locked="0"/>
    </xf>
    <xf numFmtId="165" fontId="10" fillId="2" borderId="4" xfId="2" applyNumberFormat="1" applyFont="1" applyFill="1" applyBorder="1" applyAlignment="1" applyProtection="1">
      <alignment horizontal="right" vertical="center"/>
    </xf>
    <xf numFmtId="165" fontId="10" fillId="2" borderId="0" xfId="2" applyNumberFormat="1" applyFont="1" applyFill="1" applyBorder="1" applyAlignment="1" applyProtection="1">
      <alignment horizontal="right" vertical="center"/>
    </xf>
    <xf numFmtId="43" fontId="13" fillId="3" borderId="4" xfId="1" applyFont="1" applyFill="1" applyBorder="1" applyAlignment="1" applyProtection="1">
      <alignment horizontal="right" vertical="center"/>
      <protection locked="0"/>
    </xf>
    <xf numFmtId="43" fontId="13" fillId="3" borderId="0" xfId="1" applyFont="1" applyFill="1" applyBorder="1" applyAlignment="1" applyProtection="1">
      <alignment horizontal="right" vertical="center"/>
      <protection locked="0"/>
    </xf>
    <xf numFmtId="169" fontId="10" fillId="2" borderId="4" xfId="2" applyNumberFormat="1" applyFont="1" applyFill="1" applyBorder="1" applyAlignment="1" applyProtection="1">
      <alignment horizontal="right" vertical="center"/>
      <protection locked="0"/>
    </xf>
    <xf numFmtId="169" fontId="10" fillId="2" borderId="0" xfId="2" applyNumberFormat="1" applyFont="1" applyFill="1" applyBorder="1" applyAlignment="1" applyProtection="1">
      <alignment horizontal="right" vertical="center"/>
      <protection locked="0"/>
    </xf>
    <xf numFmtId="165" fontId="13" fillId="3" borderId="4" xfId="2" applyNumberFormat="1" applyFont="1" applyFill="1" applyBorder="1" applyAlignment="1" applyProtection="1">
      <alignment horizontal="right" vertical="center"/>
    </xf>
    <xf numFmtId="165" fontId="13" fillId="3" borderId="4" xfId="2" applyNumberFormat="1" applyFont="1" applyFill="1" applyBorder="1" applyAlignment="1" applyProtection="1">
      <alignment horizontal="right" vertical="center"/>
      <protection locked="0"/>
    </xf>
    <xf numFmtId="43" fontId="13" fillId="3" borderId="5" xfId="1" applyFont="1" applyFill="1" applyBorder="1" applyAlignment="1" applyProtection="1">
      <alignment horizontal="right" vertical="center"/>
      <protection locked="0"/>
    </xf>
    <xf numFmtId="168" fontId="13" fillId="2" borderId="0" xfId="1" applyNumberFormat="1" applyFont="1" applyFill="1" applyBorder="1" applyAlignment="1" applyProtection="1">
      <alignment horizontal="right" vertical="center" indent="3"/>
    </xf>
    <xf numFmtId="164" fontId="9" fillId="2" borderId="0" xfId="2" applyNumberFormat="1" applyFont="1" applyFill="1" applyBorder="1" applyAlignment="1" applyProtection="1">
      <alignment horizontal="center" vertical="center"/>
    </xf>
    <xf numFmtId="168" fontId="13" fillId="2" borderId="4" xfId="1" applyNumberFormat="1" applyFont="1" applyFill="1" applyBorder="1" applyAlignment="1" applyProtection="1">
      <alignment horizontal="center" vertical="center"/>
    </xf>
    <xf numFmtId="168" fontId="13" fillId="2" borderId="0" xfId="1" applyNumberFormat="1" applyFont="1" applyFill="1" applyBorder="1" applyAlignment="1" applyProtection="1">
      <alignment horizontal="center" vertical="center"/>
    </xf>
    <xf numFmtId="165" fontId="13" fillId="2" borderId="4" xfId="2" applyNumberFormat="1" applyFont="1" applyFill="1" applyBorder="1" applyAlignment="1" applyProtection="1">
      <alignment horizontal="center" vertical="center"/>
      <protection locked="0"/>
    </xf>
    <xf numFmtId="165" fontId="13" fillId="2" borderId="0" xfId="2" applyNumberFormat="1" applyFont="1" applyFill="1" applyBorder="1" applyAlignment="1" applyProtection="1">
      <alignment horizontal="right" vertical="center"/>
      <protection locked="0"/>
    </xf>
    <xf numFmtId="167" fontId="13" fillId="2" borderId="0" xfId="1" applyNumberFormat="1" applyFont="1" applyFill="1" applyBorder="1" applyAlignment="1" applyProtection="1">
      <alignment horizontal="center" vertical="center"/>
      <protection locked="0"/>
    </xf>
    <xf numFmtId="165" fontId="13" fillId="2" borderId="4" xfId="2" applyNumberFormat="1" applyFont="1" applyFill="1" applyBorder="1" applyAlignment="1" applyProtection="1">
      <alignment horizontal="right" vertical="center"/>
      <protection locked="0"/>
    </xf>
    <xf numFmtId="165" fontId="13" fillId="2" borderId="0" xfId="2" applyNumberFormat="1" applyFont="1" applyFill="1" applyAlignment="1" applyProtection="1">
      <alignment horizontal="right" vertical="center"/>
      <protection locked="0"/>
    </xf>
    <xf numFmtId="164" fontId="10" fillId="2" borderId="0" xfId="2" applyNumberFormat="1" applyFont="1" applyFill="1" applyBorder="1" applyAlignment="1" applyProtection="1">
      <alignment horizontal="left" vertical="center"/>
    </xf>
    <xf numFmtId="164" fontId="10" fillId="2" borderId="2" xfId="2" applyNumberFormat="1" applyFont="1" applyFill="1" applyBorder="1" applyAlignment="1" applyProtection="1">
      <alignment horizontal="left" vertical="center"/>
    </xf>
    <xf numFmtId="164" fontId="23" fillId="2" borderId="0" xfId="2" applyNumberFormat="1" applyFont="1" applyFill="1" applyAlignment="1">
      <alignment horizontal="center" vertical="center"/>
    </xf>
    <xf numFmtId="164" fontId="11" fillId="2" borderId="0" xfId="2" applyNumberFormat="1" applyFont="1" applyFill="1" applyBorder="1" applyAlignment="1" applyProtection="1">
      <alignment horizontal="center" vertical="center"/>
    </xf>
    <xf numFmtId="164" fontId="26" fillId="2" borderId="0" xfId="2" applyNumberFormat="1" applyFont="1" applyFill="1" applyAlignment="1">
      <alignment horizontal="center" vertical="center" wrapText="1"/>
    </xf>
    <xf numFmtId="164" fontId="10" fillId="2" borderId="2" xfId="2" applyNumberFormat="1" applyFont="1" applyFill="1" applyBorder="1" applyAlignment="1" applyProtection="1">
      <alignment horizontal="center" vertical="center"/>
    </xf>
    <xf numFmtId="165" fontId="13" fillId="2" borderId="0" xfId="2" applyNumberFormat="1" applyFont="1" applyFill="1" applyAlignment="1" applyProtection="1">
      <alignment horizontal="right" vertical="center"/>
      <protection locked="0"/>
    </xf>
    <xf numFmtId="167" fontId="13" fillId="2" borderId="0" xfId="1" applyNumberFormat="1" applyFont="1" applyFill="1" applyAlignment="1" applyProtection="1">
      <alignment horizontal="right" vertical="center"/>
      <protection locked="0"/>
    </xf>
    <xf numFmtId="167" fontId="13" fillId="2" borderId="0" xfId="1" applyNumberFormat="1" applyFont="1" applyFill="1" applyAlignment="1" applyProtection="1">
      <alignment horizontal="center" vertical="center"/>
      <protection locked="0"/>
    </xf>
    <xf numFmtId="165" fontId="13" fillId="2" borderId="0" xfId="2" applyNumberFormat="1" applyFont="1" applyFill="1" applyBorder="1" applyAlignment="1" applyProtection="1">
      <alignment horizontal="right" vertical="center"/>
      <protection locked="0"/>
    </xf>
    <xf numFmtId="167" fontId="13" fillId="2" borderId="4" xfId="1" applyNumberFormat="1" applyFont="1" applyFill="1" applyBorder="1" applyAlignment="1" applyProtection="1">
      <alignment horizontal="center" vertical="center"/>
      <protection locked="0"/>
    </xf>
    <xf numFmtId="165" fontId="13" fillId="2" borderId="4" xfId="2" applyNumberFormat="1" applyFont="1" applyFill="1" applyBorder="1" applyAlignment="1" applyProtection="1">
      <alignment horizontal="right" vertical="center"/>
      <protection locked="0"/>
    </xf>
    <xf numFmtId="167" fontId="13" fillId="2" borderId="0" xfId="1" applyNumberFormat="1" applyFont="1" applyFill="1" applyBorder="1" applyAlignment="1" applyProtection="1">
      <alignment horizontal="center" vertical="center"/>
      <protection locked="0"/>
    </xf>
    <xf numFmtId="168" fontId="13" fillId="2" borderId="4" xfId="1" applyNumberFormat="1" applyFont="1" applyFill="1" applyBorder="1" applyAlignment="1" applyProtection="1">
      <alignment horizontal="center" vertical="center"/>
    </xf>
    <xf numFmtId="0" fontId="13" fillId="2" borderId="4" xfId="1" applyNumberFormat="1" applyFont="1" applyFill="1" applyBorder="1" applyAlignment="1" applyProtection="1">
      <alignment horizontal="center" vertical="center"/>
    </xf>
    <xf numFmtId="168" fontId="13" fillId="2" borderId="0" xfId="1" applyNumberFormat="1" applyFont="1" applyFill="1" applyBorder="1" applyAlignment="1" applyProtection="1">
      <alignment horizontal="center" vertical="center"/>
    </xf>
    <xf numFmtId="165" fontId="13" fillId="2" borderId="4" xfId="2" applyNumberFormat="1" applyFont="1" applyFill="1" applyBorder="1" applyAlignment="1" applyProtection="1">
      <alignment horizontal="center" vertical="center"/>
      <protection locked="0"/>
    </xf>
    <xf numFmtId="165" fontId="13" fillId="2" borderId="2" xfId="2" applyNumberFormat="1" applyFont="1" applyFill="1" applyBorder="1" applyAlignment="1" applyProtection="1">
      <alignment horizontal="right" vertical="center"/>
      <protection locked="0"/>
    </xf>
    <xf numFmtId="165" fontId="13" fillId="2" borderId="5" xfId="2" applyNumberFormat="1" applyFont="1" applyFill="1" applyBorder="1" applyAlignment="1" applyProtection="1">
      <alignment horizontal="right" vertical="center"/>
      <protection locked="0"/>
    </xf>
    <xf numFmtId="165" fontId="13" fillId="2" borderId="5" xfId="2" applyNumberFormat="1" applyFont="1" applyFill="1" applyBorder="1" applyAlignment="1" applyProtection="1">
      <alignment horizontal="center" vertical="center"/>
      <protection locked="0"/>
    </xf>
    <xf numFmtId="165" fontId="13" fillId="2" borderId="9" xfId="2" applyNumberFormat="1" applyFont="1" applyFill="1" applyBorder="1" applyAlignment="1" applyProtection="1">
      <alignment horizontal="center" vertical="center"/>
      <protection locked="0"/>
    </xf>
    <xf numFmtId="168" fontId="13" fillId="2" borderId="5" xfId="1" applyNumberFormat="1" applyFont="1" applyFill="1" applyBorder="1" applyAlignment="1" applyProtection="1">
      <alignment horizontal="center" vertical="center"/>
    </xf>
    <xf numFmtId="164" fontId="18" fillId="2" borderId="2" xfId="2" applyNumberFormat="1" applyFont="1" applyFill="1" applyBorder="1" applyAlignment="1">
      <alignment vertical="center"/>
    </xf>
    <xf numFmtId="165" fontId="28" fillId="2" borderId="2" xfId="2" applyNumberFormat="1" applyFont="1" applyFill="1" applyBorder="1" applyAlignment="1">
      <alignment horizontal="right" vertical="center" indent="1"/>
    </xf>
  </cellXfs>
  <cellStyles count="18">
    <cellStyle name="Comma" xfId="1" builtinId="3"/>
    <cellStyle name="Comma 2" xfId="7"/>
    <cellStyle name="Comma 3" xfId="8"/>
    <cellStyle name="Comma 4" xfId="4"/>
    <cellStyle name="Comma 4 2" xfId="16"/>
    <cellStyle name="Comma 5" xfId="14"/>
    <cellStyle name="Comma 6" xfId="10"/>
    <cellStyle name="Comma_13 Public Finance_done" xfId="3"/>
    <cellStyle name="Excel Built-in Comma" xfId="6"/>
    <cellStyle name="Excel Built-in Normal" xfId="5"/>
    <cellStyle name="Normal" xfId="0" builtinId="0"/>
    <cellStyle name="Normal 2" xfId="11"/>
    <cellStyle name="Normal 2 2" xfId="15"/>
    <cellStyle name="Normal 3" xfId="13"/>
    <cellStyle name="Normal 4" xfId="9"/>
    <cellStyle name="Normal_13 Public Finance_done" xfId="2"/>
    <cellStyle name="Percent" xfId="12" builtinId="5"/>
    <cellStyle name="Percent 2" xfId="17"/>
  </cellStyles>
  <dxfs count="0"/>
  <tableStyles count="0" defaultTableStyle="TableStyleMedium9" defaultPivotStyle="PivotStyleLight16"/>
  <colors>
    <mruColors>
      <color rgb="FF7DDFDD"/>
      <color rgb="FFFAC090"/>
      <color rgb="FFCC6600"/>
      <color rgb="FF953735"/>
      <color rgb="FFFCD5B5"/>
      <color rgb="FFFDEADA"/>
      <color rgb="FFFFCC00"/>
      <color rgb="FFFDEADB"/>
      <color rgb="FF00A8A4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personal/fathimath_amana_finance_gov_mv/Documents/3.%20Data%20Requests/NBS/Budget%20in%20GFS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F"/>
    </sheetNames>
    <sheetDataSet>
      <sheetData sheetId="0">
        <row r="159">
          <cell r="H159">
            <v>1096.946659</v>
          </cell>
          <cell r="I159">
            <v>1440.2569269999999</v>
          </cell>
          <cell r="J159">
            <v>1646.814384</v>
          </cell>
          <cell r="K159">
            <v>1843.741722</v>
          </cell>
          <cell r="L159">
            <v>2132.6773250000001</v>
          </cell>
          <cell r="M159">
            <v>2169.2186390000002</v>
          </cell>
        </row>
        <row r="173">
          <cell r="H173">
            <v>-77.370552000000004</v>
          </cell>
          <cell r="I173">
            <v>-103.625304</v>
          </cell>
          <cell r="J173">
            <v>-205.69936299999998</v>
          </cell>
          <cell r="K173">
            <v>-210.01121000000001</v>
          </cell>
          <cell r="L173">
            <v>-313.61100900000002</v>
          </cell>
          <cell r="M173">
            <v>-386.61668300000002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tabSelected="1" view="pageBreakPreview" zoomScale="89" zoomScaleNormal="96" zoomScaleSheetLayoutView="89" workbookViewId="0">
      <pane ySplit="7" topLeftCell="A8" activePane="bottomLeft" state="frozen"/>
      <selection activeCell="W23" sqref="W23"/>
      <selection pane="bottomLeft" activeCell="G10" sqref="G10"/>
    </sheetView>
  </sheetViews>
  <sheetFormatPr defaultColWidth="9.140625" defaultRowHeight="12.75"/>
  <cols>
    <col min="1" max="1" width="36.140625" style="4" customWidth="1"/>
    <col min="2" max="3" width="9.140625" style="4" customWidth="1"/>
    <col min="4" max="4" width="9.140625" style="4"/>
    <col min="5" max="7" width="9.28515625" style="4" bestFit="1" customWidth="1"/>
    <col min="8" max="12" width="9.28515625" style="4" customWidth="1"/>
    <col min="13" max="13" width="2.28515625" style="4" customWidth="1"/>
    <col min="14" max="14" width="13" style="4" customWidth="1"/>
    <col min="15" max="15" width="1" style="4" customWidth="1"/>
    <col min="16" max="16" width="12.140625" style="27" customWidth="1"/>
    <col min="17" max="17" width="2.5703125" style="27" customWidth="1"/>
    <col min="18" max="18" width="42.28515625" style="28" bestFit="1" customWidth="1"/>
    <col min="19" max="16384" width="9.140625" style="4"/>
  </cols>
  <sheetData>
    <row r="1" spans="1:19" ht="18.75">
      <c r="A1" s="105" t="s">
        <v>76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</row>
    <row r="2" spans="1:19" ht="15">
      <c r="A2" s="106" t="s">
        <v>75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</row>
    <row r="3" spans="1:19" ht="18.75">
      <c r="A3" s="107" t="s">
        <v>11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</row>
    <row r="4" spans="1:19">
      <c r="A4" s="108" t="s">
        <v>62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3"/>
    </row>
    <row r="5" spans="1:19" ht="29.25" customHeight="1">
      <c r="A5" s="95"/>
      <c r="B5" s="95"/>
      <c r="C5" s="95"/>
      <c r="D5" s="95"/>
      <c r="E5" s="95"/>
      <c r="F5" s="95"/>
      <c r="G5" s="95"/>
      <c r="H5" s="95"/>
      <c r="I5" s="95"/>
      <c r="J5" s="82"/>
      <c r="K5" s="14"/>
      <c r="L5" s="14"/>
      <c r="M5" s="95"/>
      <c r="N5" s="35" t="s">
        <v>58</v>
      </c>
      <c r="O5" s="33"/>
      <c r="P5" s="36" t="s">
        <v>61</v>
      </c>
      <c r="Q5" s="29"/>
      <c r="R5" s="46"/>
      <c r="S5" s="13"/>
    </row>
    <row r="6" spans="1:19" s="10" customFormat="1" ht="24">
      <c r="A6" s="103" t="s">
        <v>0</v>
      </c>
      <c r="B6" s="1" t="s">
        <v>2</v>
      </c>
      <c r="C6" s="1" t="s">
        <v>2</v>
      </c>
      <c r="D6" s="1" t="s">
        <v>2</v>
      </c>
      <c r="E6" s="2" t="s">
        <v>2</v>
      </c>
      <c r="F6" s="2" t="s">
        <v>2</v>
      </c>
      <c r="G6" s="2" t="s">
        <v>2</v>
      </c>
      <c r="H6" s="2" t="s">
        <v>2</v>
      </c>
      <c r="I6" s="2" t="s">
        <v>3</v>
      </c>
      <c r="J6" s="80" t="s">
        <v>77</v>
      </c>
      <c r="K6" s="2" t="s">
        <v>77</v>
      </c>
      <c r="L6" s="2" t="s">
        <v>77</v>
      </c>
      <c r="M6" s="1"/>
      <c r="N6" s="37" t="s">
        <v>59</v>
      </c>
      <c r="O6" s="34"/>
      <c r="P6" s="47" t="s">
        <v>60</v>
      </c>
      <c r="Q6" s="30"/>
      <c r="R6" s="52" t="s">
        <v>1</v>
      </c>
    </row>
    <row r="7" spans="1:19" s="5" customFormat="1" ht="15.75">
      <c r="A7" s="104"/>
      <c r="B7" s="11">
        <v>2012</v>
      </c>
      <c r="C7" s="11">
        <v>2013</v>
      </c>
      <c r="D7" s="11">
        <v>2014</v>
      </c>
      <c r="E7" s="3">
        <v>2015</v>
      </c>
      <c r="F7" s="3">
        <v>2016</v>
      </c>
      <c r="G7" s="3">
        <v>2017</v>
      </c>
      <c r="H7" s="3">
        <v>2018</v>
      </c>
      <c r="I7" s="3">
        <v>2019</v>
      </c>
      <c r="J7" s="81">
        <v>2020</v>
      </c>
      <c r="K7" s="3">
        <v>2021</v>
      </c>
      <c r="L7" s="3">
        <v>2022</v>
      </c>
      <c r="M7" s="11"/>
      <c r="N7" s="48">
        <v>2019</v>
      </c>
      <c r="O7" s="32"/>
      <c r="P7" s="49" t="s">
        <v>74</v>
      </c>
      <c r="R7" s="53"/>
    </row>
    <row r="8" spans="1:19" s="5" customFormat="1" ht="21" customHeight="1">
      <c r="A8" s="15" t="s">
        <v>4</v>
      </c>
      <c r="B8" s="17">
        <f t="shared" ref="B8:J8" si="0">+B10+B28</f>
        <v>13110.002924999999</v>
      </c>
      <c r="C8" s="17">
        <f t="shared" si="0"/>
        <v>13530.771002489999</v>
      </c>
      <c r="D8" s="17">
        <f t="shared" si="0"/>
        <v>16417.244472999999</v>
      </c>
      <c r="E8" s="17">
        <f t="shared" si="0"/>
        <v>21336.878134909999</v>
      </c>
      <c r="F8" s="17">
        <f t="shared" si="0"/>
        <v>25262.973192969999</v>
      </c>
      <c r="G8" s="17">
        <f t="shared" si="0"/>
        <v>22420.18677</v>
      </c>
      <c r="H8" s="17">
        <f t="shared" si="0"/>
        <v>26418.667526999998</v>
      </c>
      <c r="I8" s="17">
        <f>+I10+I28</f>
        <v>28856.879435000003</v>
      </c>
      <c r="J8" s="83">
        <f t="shared" si="0"/>
        <v>35756.359809000001</v>
      </c>
      <c r="K8" s="84">
        <f>+K10+K28</f>
        <v>39396.908740000006</v>
      </c>
      <c r="L8" s="84">
        <f>+L10+L28</f>
        <v>36085.796196999996</v>
      </c>
      <c r="M8" s="17"/>
      <c r="N8" s="51">
        <f>I8/$I$8*100</f>
        <v>100</v>
      </c>
      <c r="O8" s="38"/>
      <c r="P8" s="50">
        <f>+(I8-H8)/H8*100</f>
        <v>9.2291252218081823</v>
      </c>
      <c r="R8" s="44" t="s">
        <v>12</v>
      </c>
      <c r="S8" s="42"/>
    </row>
    <row r="9" spans="1:19" s="5" customFormat="1" ht="21" customHeight="1">
      <c r="A9" s="15" t="s">
        <v>81</v>
      </c>
      <c r="B9" s="16">
        <f t="shared" ref="B9:J9" si="1">B10+B29</f>
        <v>13200.234560999999</v>
      </c>
      <c r="C9" s="16">
        <f t="shared" si="1"/>
        <v>13666.256009489998</v>
      </c>
      <c r="D9" s="16">
        <f t="shared" si="1"/>
        <v>16539.406523000001</v>
      </c>
      <c r="E9" s="16">
        <f t="shared" si="1"/>
        <v>21440.896380909999</v>
      </c>
      <c r="F9" s="16">
        <f t="shared" si="1"/>
        <v>25306.509388119997</v>
      </c>
      <c r="G9" s="16">
        <f t="shared" si="1"/>
        <v>22497.557322000001</v>
      </c>
      <c r="H9" s="16">
        <f t="shared" si="1"/>
        <v>26522.292830999999</v>
      </c>
      <c r="I9" s="16">
        <f>I10+I29</f>
        <v>29062.578798000002</v>
      </c>
      <c r="J9" s="85">
        <f t="shared" si="1"/>
        <v>35966.371018999998</v>
      </c>
      <c r="K9" s="86">
        <f>K10+K29</f>
        <v>39710.519749000006</v>
      </c>
      <c r="L9" s="86">
        <f>L10+L29</f>
        <v>36472.412879999996</v>
      </c>
      <c r="M9" s="17"/>
      <c r="N9" s="51">
        <f>I9/$I$8*100</f>
        <v>100.71282608177829</v>
      </c>
      <c r="O9" s="38"/>
      <c r="P9" s="50">
        <f t="shared" ref="P9:P19" si="2">+(I9-H9)/H9*100</f>
        <v>9.5779274559205767</v>
      </c>
      <c r="R9" s="44" t="s">
        <v>78</v>
      </c>
    </row>
    <row r="10" spans="1:19" s="5" customFormat="1" ht="21" customHeight="1">
      <c r="A10" s="15" t="s">
        <v>5</v>
      </c>
      <c r="B10" s="17">
        <f t="shared" ref="B10:J10" si="3">+B11+B24+B25</f>
        <v>10316.485255</v>
      </c>
      <c r="C10" s="17">
        <f t="shared" si="3"/>
        <v>11573.214585849999</v>
      </c>
      <c r="D10" s="17">
        <f t="shared" si="3"/>
        <v>13960.001397</v>
      </c>
      <c r="E10" s="17">
        <f t="shared" si="3"/>
        <v>16733.74419112</v>
      </c>
      <c r="F10" s="17">
        <f t="shared" si="3"/>
        <v>16141.004692499997</v>
      </c>
      <c r="G10" s="17">
        <f t="shared" si="3"/>
        <v>14955.176706</v>
      </c>
      <c r="H10" s="17">
        <f t="shared" si="3"/>
        <v>18268.036271999998</v>
      </c>
      <c r="I10" s="17">
        <f t="shared" si="3"/>
        <v>20833.803974000002</v>
      </c>
      <c r="J10" s="83">
        <f t="shared" si="3"/>
        <v>22337.870621000002</v>
      </c>
      <c r="K10" s="84">
        <f>+K11+K24+K25</f>
        <v>22780.239696000004</v>
      </c>
      <c r="L10" s="84">
        <f>+L11+L24+L25</f>
        <v>23179.522129999998</v>
      </c>
      <c r="M10" s="17"/>
      <c r="N10" s="51">
        <f t="shared" ref="N10:N18" si="4">I10/$I$8*100</f>
        <v>72.197009454636486</v>
      </c>
      <c r="O10" s="38"/>
      <c r="P10" s="50">
        <f t="shared" si="2"/>
        <v>14.045120470516245</v>
      </c>
      <c r="R10" s="54" t="s">
        <v>6</v>
      </c>
    </row>
    <row r="11" spans="1:19" s="6" customFormat="1" ht="21" customHeight="1">
      <c r="A11" s="15" t="s">
        <v>13</v>
      </c>
      <c r="B11" s="17">
        <f t="shared" ref="B11:C11" si="5">SUM(B12:B23)</f>
        <v>8519.2447279999997</v>
      </c>
      <c r="C11" s="17">
        <f t="shared" si="5"/>
        <v>8842.2643139699994</v>
      </c>
      <c r="D11" s="17">
        <f>SUM(D12:D23)</f>
        <v>10437.031647</v>
      </c>
      <c r="E11" s="17">
        <f t="shared" ref="E11:J11" si="6">SUM(E12:E23)</f>
        <v>13631.306274120001</v>
      </c>
      <c r="F11" s="17">
        <f t="shared" si="6"/>
        <v>13953.813229789997</v>
      </c>
      <c r="G11" s="17">
        <f t="shared" si="6"/>
        <v>13009.614011000001</v>
      </c>
      <c r="H11" s="17">
        <f t="shared" si="6"/>
        <v>15141.07069</v>
      </c>
      <c r="I11" s="17">
        <f t="shared" si="6"/>
        <v>17026.425155000001</v>
      </c>
      <c r="J11" s="83">
        <f t="shared" si="6"/>
        <v>18438.357703000001</v>
      </c>
      <c r="K11" s="84">
        <f>SUM(K12:K23)</f>
        <v>18591.781873000004</v>
      </c>
      <c r="L11" s="84">
        <f>SUM(L12:L23)</f>
        <v>18954.513412</v>
      </c>
      <c r="M11" s="17"/>
      <c r="N11" s="51">
        <f>I11/$I$8*100</f>
        <v>59.003002016735564</v>
      </c>
      <c r="O11" s="38"/>
      <c r="P11" s="50">
        <f t="shared" si="2"/>
        <v>12.451923008623114</v>
      </c>
      <c r="R11" s="55" t="s">
        <v>14</v>
      </c>
    </row>
    <row r="12" spans="1:19" s="6" customFormat="1" ht="15.75">
      <c r="A12" s="19" t="s">
        <v>15</v>
      </c>
      <c r="B12" s="102">
        <v>2722.7159489999999</v>
      </c>
      <c r="C12" s="102">
        <v>3283.7425111899997</v>
      </c>
      <c r="D12" s="102">
        <v>3392.859852</v>
      </c>
      <c r="E12" s="102">
        <v>3929.2445547999996</v>
      </c>
      <c r="F12" s="102">
        <v>4029.6268312199995</v>
      </c>
      <c r="G12" s="102">
        <v>3996.5962450000002</v>
      </c>
      <c r="H12" s="102">
        <v>4278.4317789999996</v>
      </c>
      <c r="I12" s="102">
        <v>4597.2917520000001</v>
      </c>
      <c r="J12" s="101">
        <v>4713.687551</v>
      </c>
      <c r="K12" s="99">
        <v>4707.8021390000004</v>
      </c>
      <c r="L12" s="99">
        <v>4707.8021390000004</v>
      </c>
      <c r="M12" s="102"/>
      <c r="N12" s="98">
        <f t="shared" si="4"/>
        <v>15.931354470795709</v>
      </c>
      <c r="O12" s="39"/>
      <c r="P12" s="94">
        <f t="shared" si="2"/>
        <v>7.4527300999649899</v>
      </c>
      <c r="R12" s="55" t="s">
        <v>16</v>
      </c>
    </row>
    <row r="13" spans="1:19" s="6" customFormat="1" ht="15.75">
      <c r="A13" s="19" t="s">
        <v>17</v>
      </c>
      <c r="B13" s="102">
        <v>1836.5324539999999</v>
      </c>
      <c r="C13" s="102">
        <v>2321.9727118199999</v>
      </c>
      <c r="D13" s="102">
        <v>2435.6551049999998</v>
      </c>
      <c r="E13" s="102">
        <v>2891.4520778200003</v>
      </c>
      <c r="F13" s="102">
        <v>2868.9035563300004</v>
      </c>
      <c r="G13" s="102">
        <v>2975.2445929999999</v>
      </c>
      <c r="H13" s="102">
        <v>3398.4061360000001</v>
      </c>
      <c r="I13" s="102">
        <v>3669.7286119999999</v>
      </c>
      <c r="J13" s="101">
        <v>4002.3807849999998</v>
      </c>
      <c r="K13" s="99">
        <v>3998.0567769999998</v>
      </c>
      <c r="L13" s="99">
        <v>3998.0567769999998</v>
      </c>
      <c r="M13" s="102"/>
      <c r="N13" s="98">
        <f>I13/$I$8*100</f>
        <v>12.716997415697866</v>
      </c>
      <c r="O13" s="39"/>
      <c r="P13" s="94">
        <f t="shared" si="2"/>
        <v>7.9838155047398915</v>
      </c>
      <c r="R13" s="55" t="s">
        <v>18</v>
      </c>
    </row>
    <row r="14" spans="1:19" s="6" customFormat="1" ht="15.75">
      <c r="A14" s="19" t="s">
        <v>19</v>
      </c>
      <c r="B14" s="102">
        <v>157.925938</v>
      </c>
      <c r="C14" s="102">
        <v>321.28531844000003</v>
      </c>
      <c r="D14" s="102">
        <v>192.40862899999999</v>
      </c>
      <c r="E14" s="102">
        <v>904.71419108000009</v>
      </c>
      <c r="F14" s="102">
        <v>927.20913623999991</v>
      </c>
      <c r="G14" s="102">
        <v>948.15110600000003</v>
      </c>
      <c r="H14" s="102">
        <v>983.17368399999998</v>
      </c>
      <c r="I14" s="102">
        <v>559.16243999999995</v>
      </c>
      <c r="J14" s="101">
        <v>555.98600399999998</v>
      </c>
      <c r="K14" s="99">
        <v>555.72794999999996</v>
      </c>
      <c r="L14" s="99">
        <v>555.72794999999996</v>
      </c>
      <c r="M14" s="102"/>
      <c r="N14" s="98">
        <f t="shared" si="4"/>
        <v>1.9377093121226465</v>
      </c>
      <c r="O14" s="39"/>
      <c r="P14" s="97">
        <f t="shared" si="2"/>
        <v>-43.126789386278979</v>
      </c>
      <c r="R14" s="55" t="s">
        <v>20</v>
      </c>
    </row>
    <row r="15" spans="1:19" s="6" customFormat="1" ht="15.75">
      <c r="A15" s="19" t="s">
        <v>21</v>
      </c>
      <c r="B15" s="102">
        <v>139.60034300000001</v>
      </c>
      <c r="C15" s="102">
        <v>118.49545676999999</v>
      </c>
      <c r="D15" s="102">
        <v>133.54383899999999</v>
      </c>
      <c r="E15" s="102">
        <v>188.85908920000003</v>
      </c>
      <c r="F15" s="102">
        <v>186.86977014999999</v>
      </c>
      <c r="G15" s="102">
        <v>176.68496999999999</v>
      </c>
      <c r="H15" s="102">
        <v>175.52487600000001</v>
      </c>
      <c r="I15" s="102">
        <v>216.73183299999999</v>
      </c>
      <c r="J15" s="101">
        <v>237.804551</v>
      </c>
      <c r="K15" s="99">
        <v>235.36249900000001</v>
      </c>
      <c r="L15" s="99">
        <v>239.75693899999999</v>
      </c>
      <c r="M15" s="102"/>
      <c r="N15" s="98">
        <f t="shared" si="4"/>
        <v>0.75105776245899192</v>
      </c>
      <c r="O15" s="39"/>
      <c r="P15" s="97">
        <f t="shared" si="2"/>
        <v>23.476419946310052</v>
      </c>
      <c r="R15" s="55" t="s">
        <v>22</v>
      </c>
    </row>
    <row r="16" spans="1:19" s="6" customFormat="1" ht="15.75">
      <c r="A16" s="19" t="s">
        <v>64</v>
      </c>
      <c r="B16" s="102">
        <v>308.01030900000001</v>
      </c>
      <c r="C16" s="102">
        <v>274.06769034999996</v>
      </c>
      <c r="D16" s="102">
        <v>305.657895</v>
      </c>
      <c r="E16" s="102">
        <v>415.17217681</v>
      </c>
      <c r="F16" s="102">
        <v>456.03143373999984</v>
      </c>
      <c r="G16" s="102">
        <v>248.34092699999999</v>
      </c>
      <c r="H16" s="102">
        <v>523.14564399999995</v>
      </c>
      <c r="I16" s="102">
        <v>610.076457</v>
      </c>
      <c r="J16" s="101">
        <v>905.70007799999996</v>
      </c>
      <c r="K16" s="99">
        <v>930.01875299999995</v>
      </c>
      <c r="L16" s="99">
        <v>945.65141400000005</v>
      </c>
      <c r="M16" s="102"/>
      <c r="N16" s="98">
        <f>I16/$I$8*100</f>
        <v>2.1141456350961114</v>
      </c>
      <c r="O16" s="39"/>
      <c r="P16" s="97">
        <f t="shared" si="2"/>
        <v>16.616942910070385</v>
      </c>
      <c r="R16" s="55" t="s">
        <v>65</v>
      </c>
    </row>
    <row r="17" spans="1:18" s="6" customFormat="1" ht="15.75">
      <c r="A17" s="19" t="s">
        <v>23</v>
      </c>
      <c r="B17" s="102">
        <v>496.65301599999998</v>
      </c>
      <c r="C17" s="102">
        <v>537.30073173999995</v>
      </c>
      <c r="D17" s="102">
        <v>825.74070600000005</v>
      </c>
      <c r="E17" s="102">
        <v>1218.26251843</v>
      </c>
      <c r="F17" s="102">
        <v>1181.3357782100002</v>
      </c>
      <c r="G17" s="102">
        <v>1110.862676</v>
      </c>
      <c r="H17" s="102">
        <v>1324.022338</v>
      </c>
      <c r="I17" s="102">
        <v>1738.2513650000001</v>
      </c>
      <c r="J17" s="101">
        <v>1623.6497380000001</v>
      </c>
      <c r="K17" s="99">
        <v>1659.4125340000001</v>
      </c>
      <c r="L17" s="99">
        <v>1701.139999</v>
      </c>
      <c r="M17" s="102"/>
      <c r="N17" s="98">
        <f t="shared" si="4"/>
        <v>6.0236983313299826</v>
      </c>
      <c r="O17" s="39"/>
      <c r="P17" s="97">
        <f t="shared" si="2"/>
        <v>31.285652447957425</v>
      </c>
      <c r="R17" s="55" t="s">
        <v>24</v>
      </c>
    </row>
    <row r="18" spans="1:18" s="6" customFormat="1" ht="15.75">
      <c r="A18" s="19" t="s">
        <v>25</v>
      </c>
      <c r="B18" s="102">
        <v>195.09169399999999</v>
      </c>
      <c r="C18" s="102">
        <v>99.355695399999988</v>
      </c>
      <c r="D18" s="102">
        <v>216.49781200000001</v>
      </c>
      <c r="E18" s="102">
        <v>386.44576319000004</v>
      </c>
      <c r="F18" s="102">
        <v>316.02278891999981</v>
      </c>
      <c r="G18" s="102">
        <v>211.97992600000001</v>
      </c>
      <c r="H18" s="102">
        <v>220.23083500000001</v>
      </c>
      <c r="I18" s="102">
        <v>487.84004199999998</v>
      </c>
      <c r="J18" s="101">
        <v>410.17099300000001</v>
      </c>
      <c r="K18" s="99">
        <v>401.25690800000001</v>
      </c>
      <c r="L18" s="99">
        <v>408.850573</v>
      </c>
      <c r="M18" s="102"/>
      <c r="N18" s="98">
        <f t="shared" si="4"/>
        <v>1.6905502311809479</v>
      </c>
      <c r="O18" s="39"/>
      <c r="P18" s="97">
        <f t="shared" si="2"/>
        <v>121.51305106753101</v>
      </c>
      <c r="R18" s="55" t="s">
        <v>26</v>
      </c>
    </row>
    <row r="19" spans="1:18" s="6" customFormat="1" ht="15" customHeight="1">
      <c r="A19" s="19" t="s">
        <v>27</v>
      </c>
      <c r="B19" s="110">
        <v>1035.3256839999999</v>
      </c>
      <c r="C19" s="110">
        <v>1038.28734955</v>
      </c>
      <c r="D19" s="110">
        <v>1366</v>
      </c>
      <c r="E19" s="110">
        <v>2050.2554301199998</v>
      </c>
      <c r="F19" s="111">
        <v>1633.9390962599996</v>
      </c>
      <c r="G19" s="111">
        <v>1597.2507149999999</v>
      </c>
      <c r="H19" s="111">
        <v>1793.0884430000001</v>
      </c>
      <c r="I19" s="111">
        <v>2105.3172300000001</v>
      </c>
      <c r="J19" s="113">
        <v>2299.1318099999999</v>
      </c>
      <c r="K19" s="115">
        <v>2185.7025859999999</v>
      </c>
      <c r="L19" s="115">
        <v>2218.9390100000001</v>
      </c>
      <c r="M19" s="100"/>
      <c r="N19" s="119">
        <f>I19/$I$8*100</f>
        <v>7.2957203662378607</v>
      </c>
      <c r="O19" s="39"/>
      <c r="P19" s="116">
        <f t="shared" si="2"/>
        <v>17.412904991881653</v>
      </c>
      <c r="R19" s="55" t="s">
        <v>28</v>
      </c>
    </row>
    <row r="20" spans="1:18" s="6" customFormat="1" ht="15.75">
      <c r="A20" s="19" t="s">
        <v>29</v>
      </c>
      <c r="B20" s="110"/>
      <c r="C20" s="110"/>
      <c r="D20" s="110"/>
      <c r="E20" s="110"/>
      <c r="F20" s="111"/>
      <c r="G20" s="111"/>
      <c r="H20" s="111"/>
      <c r="I20" s="111"/>
      <c r="J20" s="113"/>
      <c r="K20" s="115"/>
      <c r="L20" s="115"/>
      <c r="M20" s="100"/>
      <c r="N20" s="119">
        <f>J20/$J$8*100</f>
        <v>0</v>
      </c>
      <c r="O20" s="39"/>
      <c r="P20" s="117" t="e">
        <f>+(J20-I20)/I20*100</f>
        <v>#DIV/0!</v>
      </c>
      <c r="R20" s="55" t="s">
        <v>30</v>
      </c>
    </row>
    <row r="21" spans="1:18" s="6" customFormat="1" ht="15.75">
      <c r="A21" s="19" t="s">
        <v>31</v>
      </c>
      <c r="B21" s="109">
        <v>32.124121000000002</v>
      </c>
      <c r="C21" s="109">
        <v>24.469034969999999</v>
      </c>
      <c r="D21" s="109">
        <v>29.4</v>
      </c>
      <c r="E21" s="109">
        <v>37.105308000000001</v>
      </c>
      <c r="F21" s="109">
        <v>26.478656230000009</v>
      </c>
      <c r="G21" s="112">
        <v>18.765281000000002</v>
      </c>
      <c r="H21" s="112">
        <v>28.353482</v>
      </c>
      <c r="I21" s="112">
        <v>32.251596999999997</v>
      </c>
      <c r="J21" s="114">
        <v>41.659225999999997</v>
      </c>
      <c r="K21" s="112">
        <v>42.741903999999998</v>
      </c>
      <c r="L21" s="112">
        <v>43.857061999999999</v>
      </c>
      <c r="M21" s="43"/>
      <c r="N21" s="119">
        <f>I21/$I$8*100</f>
        <v>0.11176398013737619</v>
      </c>
      <c r="O21" s="39"/>
      <c r="P21" s="118">
        <f>+(I21-H21)/H21*100</f>
        <v>13.748276137653912</v>
      </c>
      <c r="R21" s="55" t="s">
        <v>32</v>
      </c>
    </row>
    <row r="22" spans="1:18" s="5" customFormat="1" ht="15.75">
      <c r="A22" s="19" t="s">
        <v>33</v>
      </c>
      <c r="B22" s="109"/>
      <c r="C22" s="109"/>
      <c r="D22" s="109"/>
      <c r="E22" s="109"/>
      <c r="F22" s="109"/>
      <c r="G22" s="112"/>
      <c r="H22" s="112"/>
      <c r="I22" s="112"/>
      <c r="J22" s="114"/>
      <c r="K22" s="112"/>
      <c r="L22" s="112"/>
      <c r="M22" s="43"/>
      <c r="N22" s="119">
        <f>J22/$J$8*100</f>
        <v>0</v>
      </c>
      <c r="O22" s="39"/>
      <c r="P22" s="118" t="e">
        <f>+(J22-I22)/I22*100</f>
        <v>#DIV/0!</v>
      </c>
      <c r="R22" s="55" t="s">
        <v>34</v>
      </c>
    </row>
    <row r="23" spans="1:18" s="5" customFormat="1" ht="15.75">
      <c r="A23" s="19" t="s">
        <v>35</v>
      </c>
      <c r="B23" s="102">
        <v>1595.26522</v>
      </c>
      <c r="C23" s="102">
        <v>823.28781374000005</v>
      </c>
      <c r="D23" s="102">
        <v>1539.2678089999999</v>
      </c>
      <c r="E23" s="102">
        <v>1609.7951646700001</v>
      </c>
      <c r="F23" s="102">
        <v>2327.3961824900007</v>
      </c>
      <c r="G23" s="102">
        <v>1725.737572</v>
      </c>
      <c r="H23" s="102">
        <v>2416.6934729999998</v>
      </c>
      <c r="I23" s="102">
        <v>3009.773827</v>
      </c>
      <c r="J23" s="101">
        <v>3648.1869670000001</v>
      </c>
      <c r="K23" s="99">
        <v>3875.6998229999999</v>
      </c>
      <c r="L23" s="99">
        <v>4134.7315490000001</v>
      </c>
      <c r="M23" s="102"/>
      <c r="N23" s="98">
        <f>I23/$I$8*100</f>
        <v>10.430004511678066</v>
      </c>
      <c r="O23" s="39"/>
      <c r="P23" s="97">
        <f t="shared" ref="P23:P39" si="7">+(I23-H23)/H23*100</f>
        <v>24.540983812223843</v>
      </c>
      <c r="R23" s="55" t="s">
        <v>36</v>
      </c>
    </row>
    <row r="24" spans="1:18" s="6" customFormat="1" ht="15.75">
      <c r="A24" s="15" t="s">
        <v>37</v>
      </c>
      <c r="B24" s="31">
        <v>1107.0812289999999</v>
      </c>
      <c r="C24" s="31">
        <v>956.72619699999996</v>
      </c>
      <c r="D24" s="31">
        <v>978.34736899999996</v>
      </c>
      <c r="E24" s="31">
        <v>1347.6498610000001</v>
      </c>
      <c r="F24" s="17">
        <v>1182.28911582</v>
      </c>
      <c r="G24" s="17">
        <f>[4]IMF!H159</f>
        <v>1096.946659</v>
      </c>
      <c r="H24" s="17">
        <f>[4]IMF!I159</f>
        <v>1440.2569269999999</v>
      </c>
      <c r="I24" s="17">
        <f>[4]IMF!J159</f>
        <v>1646.814384</v>
      </c>
      <c r="J24" s="83">
        <f>[4]IMF!K159</f>
        <v>1843.741722</v>
      </c>
      <c r="K24" s="84">
        <f>[4]IMF!L159</f>
        <v>2132.6773250000001</v>
      </c>
      <c r="L24" s="84">
        <f>[4]IMF!M159</f>
        <v>2169.2186390000002</v>
      </c>
      <c r="M24" s="17"/>
      <c r="N24" s="98">
        <f>I24/$I$8*100</f>
        <v>5.7068346135951478</v>
      </c>
      <c r="O24" s="38"/>
      <c r="P24" s="97">
        <f t="shared" si="7"/>
        <v>14.341708977595506</v>
      </c>
      <c r="R24" s="54" t="s">
        <v>38</v>
      </c>
    </row>
    <row r="25" spans="1:18" s="6" customFormat="1" ht="15.75">
      <c r="A25" s="15" t="s">
        <v>39</v>
      </c>
      <c r="B25" s="17">
        <f t="shared" ref="B25:G25" si="8">SUM(B26:B27)</f>
        <v>690.15929800000004</v>
      </c>
      <c r="C25" s="17">
        <f t="shared" si="8"/>
        <v>1774.22407488</v>
      </c>
      <c r="D25" s="17">
        <f t="shared" si="8"/>
        <v>2544.6223810000001</v>
      </c>
      <c r="E25" s="17">
        <f t="shared" si="8"/>
        <v>1754.7880560000001</v>
      </c>
      <c r="F25" s="17">
        <f t="shared" si="8"/>
        <v>1004.9023468899991</v>
      </c>
      <c r="G25" s="17">
        <f t="shared" si="8"/>
        <v>848.61603600000012</v>
      </c>
      <c r="H25" s="17">
        <f>SUM(H26:H27)</f>
        <v>1686.7086549999999</v>
      </c>
      <c r="I25" s="17">
        <f>SUM(I26:I27)</f>
        <v>2160.5644349999998</v>
      </c>
      <c r="J25" s="83">
        <f>SUM(J26:J27)</f>
        <v>2055.7711960000001</v>
      </c>
      <c r="K25" s="84">
        <f>SUM(K26:K27)</f>
        <v>2055.7804980000001</v>
      </c>
      <c r="L25" s="84">
        <f>SUM(L26:L27)</f>
        <v>2055.7900790000003</v>
      </c>
      <c r="M25" s="17"/>
      <c r="N25" s="98">
        <f t="shared" ref="N25:N27" si="9">I25/$I$8*100</f>
        <v>7.4871728243057669</v>
      </c>
      <c r="O25" s="38"/>
      <c r="P25" s="97">
        <f t="shared" si="7"/>
        <v>28.093516837974597</v>
      </c>
      <c r="R25" s="54" t="s">
        <v>40</v>
      </c>
    </row>
    <row r="26" spans="1:18" s="5" customFormat="1" ht="15.75">
      <c r="A26" s="20" t="s">
        <v>41</v>
      </c>
      <c r="B26" s="102">
        <v>442.056106</v>
      </c>
      <c r="C26" s="102">
        <v>1308.5437119999999</v>
      </c>
      <c r="D26" s="102">
        <v>1338.103672</v>
      </c>
      <c r="E26" s="102">
        <v>1236.8888260000001</v>
      </c>
      <c r="F26" s="102">
        <v>492.59633237999998</v>
      </c>
      <c r="G26" s="102">
        <v>334.80296700000002</v>
      </c>
      <c r="H26" s="102">
        <v>1167.4048849999999</v>
      </c>
      <c r="I26" s="102">
        <v>1180.5794619999999</v>
      </c>
      <c r="J26" s="101">
        <v>1049.3365100000001</v>
      </c>
      <c r="K26" s="99">
        <v>1049.345812</v>
      </c>
      <c r="L26" s="99">
        <v>1049.355393</v>
      </c>
      <c r="M26" s="102"/>
      <c r="N26" s="98">
        <f t="shared" si="9"/>
        <v>4.0911542935862144</v>
      </c>
      <c r="O26" s="39"/>
      <c r="P26" s="97">
        <f>+(I26-H26)/H26*100</f>
        <v>1.1285353667164071</v>
      </c>
      <c r="R26" s="55" t="s">
        <v>42</v>
      </c>
    </row>
    <row r="27" spans="1:18" s="6" customFormat="1" ht="15.75">
      <c r="A27" s="19" t="s">
        <v>43</v>
      </c>
      <c r="B27" s="102">
        <v>248.10319200000001</v>
      </c>
      <c r="C27" s="102">
        <v>465.68036288000002</v>
      </c>
      <c r="D27" s="102">
        <v>1206.5187089999999</v>
      </c>
      <c r="E27" s="102">
        <v>517.89922999999999</v>
      </c>
      <c r="F27" s="102">
        <v>512.30601450999905</v>
      </c>
      <c r="G27" s="102">
        <v>513.81306900000004</v>
      </c>
      <c r="H27" s="102">
        <v>519.30376999999999</v>
      </c>
      <c r="I27" s="102">
        <v>979.98497299999997</v>
      </c>
      <c r="J27" s="101">
        <v>1006.4346860000001</v>
      </c>
      <c r="K27" s="99">
        <v>1006.4346860000001</v>
      </c>
      <c r="L27" s="99">
        <v>1006.4346860000001</v>
      </c>
      <c r="M27" s="102"/>
      <c r="N27" s="98">
        <f t="shared" si="9"/>
        <v>3.396018530719553</v>
      </c>
      <c r="O27" s="39"/>
      <c r="P27" s="96">
        <f t="shared" si="7"/>
        <v>88.711314959257848</v>
      </c>
      <c r="R27" s="55" t="s">
        <v>44</v>
      </c>
    </row>
    <row r="28" spans="1:18" s="5" customFormat="1" ht="15.75">
      <c r="A28" s="15" t="s">
        <v>45</v>
      </c>
      <c r="B28" s="17">
        <f t="shared" ref="B28:L28" si="10">+B29+B35</f>
        <v>2793.5176699999997</v>
      </c>
      <c r="C28" s="17">
        <f t="shared" si="10"/>
        <v>1957.5564166399993</v>
      </c>
      <c r="D28" s="17">
        <f t="shared" si="10"/>
        <v>2457.2430760000007</v>
      </c>
      <c r="E28" s="17">
        <f t="shared" si="10"/>
        <v>4603.1339437899996</v>
      </c>
      <c r="F28" s="17">
        <f t="shared" si="10"/>
        <v>9121.9685004700004</v>
      </c>
      <c r="G28" s="17">
        <f t="shared" si="10"/>
        <v>7465.0100640000001</v>
      </c>
      <c r="H28" s="17">
        <f t="shared" si="10"/>
        <v>8150.6312549999993</v>
      </c>
      <c r="I28" s="17">
        <f t="shared" si="10"/>
        <v>8023.0754610000004</v>
      </c>
      <c r="J28" s="83">
        <f t="shared" si="10"/>
        <v>13418.489188</v>
      </c>
      <c r="K28" s="84">
        <f t="shared" si="10"/>
        <v>16616.669044000002</v>
      </c>
      <c r="L28" s="84">
        <f t="shared" si="10"/>
        <v>12906.274066999998</v>
      </c>
      <c r="M28" s="17"/>
      <c r="N28" s="98">
        <f>I28/$I$8*100</f>
        <v>27.802990545363521</v>
      </c>
      <c r="O28" s="38"/>
      <c r="P28" s="96">
        <f t="shared" si="7"/>
        <v>-1.5649805519265758</v>
      </c>
      <c r="R28" s="54" t="s">
        <v>46</v>
      </c>
    </row>
    <row r="29" spans="1:18" s="6" customFormat="1" ht="15.75">
      <c r="A29" s="15" t="s">
        <v>47</v>
      </c>
      <c r="B29" s="17">
        <f t="shared" ref="B29:G29" si="11">SUM(B30:B34)</f>
        <v>2883.7493059999997</v>
      </c>
      <c r="C29" s="17">
        <f t="shared" si="11"/>
        <v>2093.0414236399993</v>
      </c>
      <c r="D29" s="17">
        <f t="shared" si="11"/>
        <v>2579.4051260000006</v>
      </c>
      <c r="E29" s="17">
        <f t="shared" si="11"/>
        <v>4707.1521897899993</v>
      </c>
      <c r="F29" s="17">
        <f t="shared" si="11"/>
        <v>9165.5046956200003</v>
      </c>
      <c r="G29" s="17">
        <f t="shared" si="11"/>
        <v>7542.3806160000004</v>
      </c>
      <c r="H29" s="17">
        <f>SUM(H30:H34)</f>
        <v>8254.2565589999995</v>
      </c>
      <c r="I29" s="17">
        <f>SUM(I30:I34)</f>
        <v>8228.7748240000001</v>
      </c>
      <c r="J29" s="83">
        <f>SUM(J30:J34)</f>
        <v>13628.500398</v>
      </c>
      <c r="K29" s="84">
        <f>SUM(K30:K34)</f>
        <v>16930.280053000002</v>
      </c>
      <c r="L29" s="84">
        <f>SUM(L30:L34)</f>
        <v>13292.890749999999</v>
      </c>
      <c r="M29" s="17"/>
      <c r="N29" s="98">
        <f t="shared" ref="N29:N39" si="12">I29/$I$8*100</f>
        <v>28.51581662714182</v>
      </c>
      <c r="O29" s="38"/>
      <c r="P29" s="96">
        <f t="shared" si="7"/>
        <v>-0.30871023717109292</v>
      </c>
      <c r="R29" s="54" t="s">
        <v>48</v>
      </c>
    </row>
    <row r="30" spans="1:18" s="5" customFormat="1" ht="15.75">
      <c r="A30" s="19" t="s">
        <v>49</v>
      </c>
      <c r="B30" s="102">
        <v>1131.645327</v>
      </c>
      <c r="C30" s="102">
        <v>1176.9269400000001</v>
      </c>
      <c r="D30" s="102">
        <v>188.39416600000001</v>
      </c>
      <c r="E30" s="102">
        <v>635.05139099999997</v>
      </c>
      <c r="F30" s="102">
        <v>2801.4434660000002</v>
      </c>
      <c r="G30" s="102">
        <v>2706.2206759999999</v>
      </c>
      <c r="H30" s="102">
        <v>4254.9127410000001</v>
      </c>
      <c r="I30" s="102">
        <v>2493.350625</v>
      </c>
      <c r="J30" s="101">
        <v>2854.8110390000002</v>
      </c>
      <c r="K30" s="99">
        <v>4425.9711349999998</v>
      </c>
      <c r="L30" s="99">
        <v>4546.4272650000003</v>
      </c>
      <c r="M30" s="102"/>
      <c r="N30" s="98">
        <f t="shared" si="12"/>
        <v>8.6404028218514117</v>
      </c>
      <c r="O30" s="39"/>
      <c r="P30" s="96">
        <f t="shared" si="7"/>
        <v>-41.400663732201323</v>
      </c>
      <c r="R30" s="55" t="s">
        <v>50</v>
      </c>
    </row>
    <row r="31" spans="1:18" s="63" customFormat="1" ht="15.75" hidden="1">
      <c r="A31" s="57" t="s">
        <v>66</v>
      </c>
      <c r="B31" s="58">
        <v>0</v>
      </c>
      <c r="C31" s="58">
        <v>0</v>
      </c>
      <c r="D31" s="58">
        <v>0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87">
        <v>0</v>
      </c>
      <c r="K31" s="88">
        <v>0</v>
      </c>
      <c r="L31" s="88">
        <v>0</v>
      </c>
      <c r="M31" s="59"/>
      <c r="N31" s="60">
        <f t="shared" si="12"/>
        <v>0</v>
      </c>
      <c r="O31" s="61"/>
      <c r="P31" s="62" t="e">
        <f t="shared" si="7"/>
        <v>#DIV/0!</v>
      </c>
      <c r="R31" s="64" t="s">
        <v>63</v>
      </c>
    </row>
    <row r="32" spans="1:18" s="5" customFormat="1" ht="14.25" customHeight="1">
      <c r="A32" s="19" t="s">
        <v>67</v>
      </c>
      <c r="B32" s="102">
        <v>154.819729</v>
      </c>
      <c r="C32" s="102">
        <v>36.444533999999997</v>
      </c>
      <c r="D32" s="102">
        <v>84.145286999999996</v>
      </c>
      <c r="E32" s="102">
        <v>79.620881999999995</v>
      </c>
      <c r="F32" s="102">
        <v>129.85195100000001</v>
      </c>
      <c r="G32" s="102">
        <v>178.19472400000001</v>
      </c>
      <c r="H32" s="102">
        <v>196.488542</v>
      </c>
      <c r="I32" s="102">
        <v>334.45497699999999</v>
      </c>
      <c r="J32" s="101">
        <v>472.65657499999998</v>
      </c>
      <c r="K32" s="99">
        <v>401.88142599999998</v>
      </c>
      <c r="L32" s="99">
        <v>452.25166100000001</v>
      </c>
      <c r="M32" s="102"/>
      <c r="N32" s="98">
        <f t="shared" si="12"/>
        <v>1.1590129755830265</v>
      </c>
      <c r="O32" s="39"/>
      <c r="P32" s="96">
        <f t="shared" si="7"/>
        <v>70.216020535182139</v>
      </c>
      <c r="R32" s="55" t="s">
        <v>69</v>
      </c>
    </row>
    <row r="33" spans="1:22" s="5" customFormat="1" ht="17.25" customHeight="1">
      <c r="A33" s="19" t="s">
        <v>68</v>
      </c>
      <c r="B33" s="102">
        <v>522.60649899999999</v>
      </c>
      <c r="C33" s="102">
        <v>645.19940499999996</v>
      </c>
      <c r="D33" s="102">
        <v>1702.5169109999999</v>
      </c>
      <c r="E33" s="102">
        <v>2402.6626430000001</v>
      </c>
      <c r="F33" s="102">
        <v>4149.4601480000001</v>
      </c>
      <c r="G33" s="102">
        <v>3005.0319509999999</v>
      </c>
      <c r="H33" s="102">
        <v>2374.0485250000002</v>
      </c>
      <c r="I33" s="102">
        <v>2344.3332839999998</v>
      </c>
      <c r="J33" s="101">
        <v>6332.4438879999998</v>
      </c>
      <c r="K33" s="99">
        <v>7454.1030790000004</v>
      </c>
      <c r="L33" s="99">
        <v>4475.8773080000001</v>
      </c>
      <c r="M33" s="102"/>
      <c r="N33" s="98">
        <f t="shared" si="12"/>
        <v>8.1240013816483536</v>
      </c>
      <c r="O33" s="39"/>
      <c r="P33" s="96">
        <f t="shared" si="7"/>
        <v>-1.2516694872528071</v>
      </c>
      <c r="R33" s="55" t="s">
        <v>70</v>
      </c>
    </row>
    <row r="34" spans="1:22" s="6" customFormat="1" ht="17.25" customHeight="1">
      <c r="A34" s="19" t="s">
        <v>80</v>
      </c>
      <c r="B34" s="102">
        <v>1074.6777509999999</v>
      </c>
      <c r="C34" s="102">
        <v>234.47054463999962</v>
      </c>
      <c r="D34" s="102">
        <v>604.34876200000042</v>
      </c>
      <c r="E34" s="102">
        <v>1589.8172737899997</v>
      </c>
      <c r="F34" s="102">
        <v>2084.74913062</v>
      </c>
      <c r="G34" s="102">
        <v>1652.9332650000003</v>
      </c>
      <c r="H34" s="102">
        <v>1428.8067509999992</v>
      </c>
      <c r="I34" s="102">
        <v>3056.6359379999999</v>
      </c>
      <c r="J34" s="101">
        <v>3968.5888960000011</v>
      </c>
      <c r="K34" s="99">
        <v>4648.3244130000012</v>
      </c>
      <c r="L34" s="99">
        <v>3818.3345159999999</v>
      </c>
      <c r="M34" s="102"/>
      <c r="N34" s="98">
        <f>I34/$I$8*100</f>
        <v>10.59239944805903</v>
      </c>
      <c r="O34" s="39"/>
      <c r="P34" s="96">
        <f t="shared" si="7"/>
        <v>113.92927601025885</v>
      </c>
      <c r="R34" s="55" t="s">
        <v>51</v>
      </c>
      <c r="S34" s="9"/>
      <c r="V34" s="21"/>
    </row>
    <row r="35" spans="1:22" s="5" customFormat="1" ht="17.25" customHeight="1">
      <c r="A35" s="15" t="s">
        <v>7</v>
      </c>
      <c r="B35" s="22">
        <v>-90.231635999999995</v>
      </c>
      <c r="C35" s="22">
        <v>-135.485007</v>
      </c>
      <c r="D35" s="22">
        <v>-122.16204999999999</v>
      </c>
      <c r="E35" s="22">
        <v>-104.018246</v>
      </c>
      <c r="F35" s="22">
        <v>-43.536195150000012</v>
      </c>
      <c r="G35" s="22">
        <f>[4]IMF!H173</f>
        <v>-77.370552000000004</v>
      </c>
      <c r="H35" s="22">
        <f>[4]IMF!I173</f>
        <v>-103.625304</v>
      </c>
      <c r="I35" s="22">
        <f>[4]IMF!J173</f>
        <v>-205.69936299999998</v>
      </c>
      <c r="J35" s="89">
        <f>[4]IMF!K173</f>
        <v>-210.01121000000001</v>
      </c>
      <c r="K35" s="90">
        <f>[4]IMF!L173</f>
        <v>-313.61100900000002</v>
      </c>
      <c r="L35" s="90">
        <f>[4]IMF!M173</f>
        <v>-386.61668300000002</v>
      </c>
      <c r="M35" s="22"/>
      <c r="N35" s="98">
        <f>I35/$I$8*100</f>
        <v>-0.71282608177830498</v>
      </c>
      <c r="O35" s="40"/>
      <c r="P35" s="96">
        <f t="shared" si="7"/>
        <v>98.50302489824297</v>
      </c>
      <c r="R35" s="54" t="s">
        <v>8</v>
      </c>
      <c r="S35" s="18"/>
      <c r="V35" s="23"/>
    </row>
    <row r="36" spans="1:22" s="68" customFormat="1" ht="17.25" hidden="1" customHeight="1">
      <c r="A36" s="65" t="s">
        <v>52</v>
      </c>
      <c r="B36" s="66"/>
      <c r="C36" s="66"/>
      <c r="D36" s="66"/>
      <c r="E36" s="66"/>
      <c r="F36" s="66"/>
      <c r="G36" s="66"/>
      <c r="H36" s="66"/>
      <c r="I36" s="66"/>
      <c r="J36" s="91"/>
      <c r="K36" s="66"/>
      <c r="L36" s="66"/>
      <c r="M36" s="66"/>
      <c r="N36" s="60">
        <f t="shared" si="12"/>
        <v>0</v>
      </c>
      <c r="O36" s="67"/>
      <c r="P36" s="62" t="e">
        <f t="shared" si="7"/>
        <v>#DIV/0!</v>
      </c>
      <c r="R36" s="69" t="s">
        <v>53</v>
      </c>
    </row>
    <row r="37" spans="1:22" s="68" customFormat="1" ht="17.25" hidden="1" customHeight="1">
      <c r="A37" s="65" t="s">
        <v>54</v>
      </c>
      <c r="B37" s="70"/>
      <c r="C37" s="70"/>
      <c r="D37" s="70"/>
      <c r="E37" s="70"/>
      <c r="F37" s="70"/>
      <c r="G37" s="70"/>
      <c r="H37" s="70"/>
      <c r="I37" s="70"/>
      <c r="J37" s="92"/>
      <c r="K37" s="70"/>
      <c r="L37" s="70"/>
      <c r="M37" s="70"/>
      <c r="N37" s="60">
        <f t="shared" si="12"/>
        <v>0</v>
      </c>
      <c r="O37" s="67"/>
      <c r="P37" s="62" t="e">
        <f t="shared" si="7"/>
        <v>#DIV/0!</v>
      </c>
      <c r="R37" s="69" t="s">
        <v>55</v>
      </c>
    </row>
    <row r="38" spans="1:22" s="6" customFormat="1" ht="17.25" customHeight="1">
      <c r="A38" s="8" t="s">
        <v>56</v>
      </c>
      <c r="B38" s="120">
        <v>46.362653000000002</v>
      </c>
      <c r="C38" s="120">
        <v>0</v>
      </c>
      <c r="D38" s="120">
        <v>5.5719279999999998</v>
      </c>
      <c r="E38" s="120">
        <v>55.088943999999998</v>
      </c>
      <c r="F38" s="120">
        <v>113.76190484999999</v>
      </c>
      <c r="G38" s="120">
        <v>49.168303999999999</v>
      </c>
      <c r="H38" s="120">
        <v>10.266794000000001</v>
      </c>
      <c r="I38" s="120">
        <v>21.620684000000001</v>
      </c>
      <c r="J38" s="121">
        <v>21.272852</v>
      </c>
      <c r="K38" s="120">
        <v>21.272852</v>
      </c>
      <c r="L38" s="120">
        <v>21.272852</v>
      </c>
      <c r="M38" s="120"/>
      <c r="N38" s="122">
        <f t="shared" si="12"/>
        <v>7.4923846317826906E-2</v>
      </c>
      <c r="O38" s="123"/>
      <c r="P38" s="124">
        <f t="shared" si="7"/>
        <v>110.58846607811552</v>
      </c>
      <c r="Q38" s="125"/>
      <c r="R38" s="126" t="s">
        <v>57</v>
      </c>
      <c r="S38" s="9"/>
      <c r="V38" s="21"/>
    </row>
    <row r="39" spans="1:22" s="68" customFormat="1" ht="17.25" hidden="1" customHeight="1">
      <c r="A39" s="71" t="s">
        <v>71</v>
      </c>
      <c r="B39" s="72">
        <v>0</v>
      </c>
      <c r="C39" s="72">
        <v>0</v>
      </c>
      <c r="D39" s="72">
        <v>0</v>
      </c>
      <c r="E39" s="72">
        <v>0</v>
      </c>
      <c r="F39" s="72">
        <v>0</v>
      </c>
      <c r="G39" s="72">
        <v>0</v>
      </c>
      <c r="H39" s="72">
        <v>0</v>
      </c>
      <c r="I39" s="72">
        <v>0</v>
      </c>
      <c r="J39" s="93">
        <v>0</v>
      </c>
      <c r="K39" s="72">
        <v>0</v>
      </c>
      <c r="L39" s="72">
        <v>0</v>
      </c>
      <c r="M39" s="73"/>
      <c r="N39" s="74">
        <f t="shared" si="12"/>
        <v>0</v>
      </c>
      <c r="O39" s="75"/>
      <c r="P39" s="62" t="e">
        <f t="shared" si="7"/>
        <v>#DIV/0!</v>
      </c>
      <c r="Q39" s="76"/>
      <c r="R39" s="77" t="s">
        <v>72</v>
      </c>
      <c r="S39" s="78"/>
      <c r="V39" s="79"/>
    </row>
    <row r="40" spans="1:22" s="6" customFormat="1" ht="15.75" customHeight="1">
      <c r="A40" s="41" t="s">
        <v>79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24"/>
      <c r="Q40" s="24"/>
      <c r="R40" s="56" t="s">
        <v>73</v>
      </c>
    </row>
    <row r="41" spans="1:22" s="6" customFormat="1" ht="14.25" customHeight="1">
      <c r="A41" s="7" t="s">
        <v>9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24"/>
      <c r="Q41" s="24"/>
      <c r="R41" s="45" t="s">
        <v>10</v>
      </c>
    </row>
    <row r="42" spans="1:22" s="6" customFormat="1" ht="12">
      <c r="P42" s="25"/>
      <c r="Q42" s="25"/>
      <c r="R42" s="26"/>
    </row>
    <row r="43" spans="1:22" s="6" customFormat="1" ht="12">
      <c r="P43" s="25"/>
      <c r="Q43" s="25"/>
      <c r="R43" s="26"/>
    </row>
    <row r="44" spans="1:22" s="6" customFormat="1" ht="12">
      <c r="P44" s="25"/>
      <c r="Q44" s="25"/>
      <c r="R44" s="26"/>
    </row>
    <row r="45" spans="1:22" s="6" customFormat="1" ht="12">
      <c r="P45" s="25"/>
      <c r="Q45" s="25"/>
      <c r="R45" s="26"/>
    </row>
    <row r="46" spans="1:22" s="6" customFormat="1" ht="12">
      <c r="P46" s="25"/>
      <c r="Q46" s="25"/>
      <c r="R46" s="26"/>
    </row>
    <row r="47" spans="1:22" s="6" customFormat="1" ht="12">
      <c r="P47" s="25"/>
      <c r="Q47" s="25"/>
      <c r="R47" s="26"/>
    </row>
    <row r="48" spans="1:22" s="6" customFormat="1" ht="12">
      <c r="P48" s="25"/>
      <c r="Q48" s="25"/>
      <c r="R48" s="26"/>
    </row>
    <row r="49" spans="16:18" s="6" customFormat="1" ht="12">
      <c r="P49" s="25"/>
      <c r="Q49" s="25"/>
      <c r="R49" s="26"/>
    </row>
    <row r="50" spans="16:18" s="6" customFormat="1" ht="12">
      <c r="P50" s="25"/>
      <c r="Q50" s="25"/>
      <c r="R50" s="26"/>
    </row>
    <row r="51" spans="16:18" s="6" customFormat="1" ht="12">
      <c r="P51" s="25"/>
      <c r="Q51" s="25"/>
      <c r="R51" s="26"/>
    </row>
  </sheetData>
  <mergeCells count="30">
    <mergeCell ref="P19:P20"/>
    <mergeCell ref="P21:P22"/>
    <mergeCell ref="I19:I20"/>
    <mergeCell ref="N19:N20"/>
    <mergeCell ref="I21:I22"/>
    <mergeCell ref="N21:N22"/>
    <mergeCell ref="L19:L20"/>
    <mergeCell ref="L21:L22"/>
    <mergeCell ref="H21:H22"/>
    <mergeCell ref="J19:J20"/>
    <mergeCell ref="J21:J22"/>
    <mergeCell ref="K19:K20"/>
    <mergeCell ref="K21:K22"/>
    <mergeCell ref="E21:E22"/>
    <mergeCell ref="F21:F22"/>
    <mergeCell ref="G21:G22"/>
    <mergeCell ref="E19:E20"/>
    <mergeCell ref="F19:F20"/>
    <mergeCell ref="G19:G20"/>
    <mergeCell ref="B21:B22"/>
    <mergeCell ref="C21:C22"/>
    <mergeCell ref="D21:D22"/>
    <mergeCell ref="A1:R1"/>
    <mergeCell ref="A2:R2"/>
    <mergeCell ref="A3:R3"/>
    <mergeCell ref="A4:R4"/>
    <mergeCell ref="B19:B20"/>
    <mergeCell ref="C19:C20"/>
    <mergeCell ref="D19:D20"/>
    <mergeCell ref="H19:H20"/>
  </mergeCells>
  <pageMargins left="0.17" right="0.16" top="0.35" bottom="0.27" header="0.17" footer="0.17"/>
  <pageSetup paperSize="9" scale="65" orientation="landscape" horizontalDpi="4294967295" verticalDpi="4294967295" r:id="rId1"/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13.4</vt:lpstr>
      <vt:lpstr>'13.4'!Print_Area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2020-08-27T07:39:15Z</cp:lastPrinted>
  <dcterms:created xsi:type="dcterms:W3CDTF">2014-03-06T08:38:12Z</dcterms:created>
  <dcterms:modified xsi:type="dcterms:W3CDTF">2020-08-27T07:39:23Z</dcterms:modified>
</cp:coreProperties>
</file>