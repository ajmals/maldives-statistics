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12" sheetId="33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'13.12'!$A$1:$P$76</definedName>
    <definedName name="_xlnm.Print_Titles" localSheetId="0">'13.12'!$4:$6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N67" i="33" l="1"/>
  <c r="N66" i="33"/>
  <c r="N65" i="33"/>
  <c r="N64" i="33"/>
  <c r="N63" i="33"/>
  <c r="N62" i="33"/>
  <c r="N60" i="33"/>
  <c r="N59" i="33"/>
  <c r="N58" i="33"/>
  <c r="N56" i="33"/>
  <c r="N55" i="33"/>
  <c r="N54" i="33"/>
  <c r="N53" i="33"/>
  <c r="N52" i="33"/>
  <c r="N49" i="33"/>
  <c r="N48" i="33"/>
  <c r="N47" i="33"/>
  <c r="N46" i="33"/>
  <c r="N45" i="33"/>
  <c r="N44" i="33"/>
  <c r="N43" i="33"/>
  <c r="N42" i="33"/>
  <c r="N41" i="33"/>
  <c r="N39" i="33"/>
  <c r="N37" i="33"/>
  <c r="N36" i="33"/>
  <c r="N35" i="33"/>
  <c r="N34" i="33"/>
  <c r="N33" i="33"/>
  <c r="N32" i="33"/>
  <c r="N31" i="33"/>
  <c r="N30" i="33"/>
  <c r="N29" i="33"/>
  <c r="N28" i="33"/>
  <c r="N27" i="33"/>
  <c r="N26" i="33"/>
  <c r="N24" i="33"/>
  <c r="N23" i="33"/>
  <c r="N22" i="33"/>
  <c r="N20" i="33"/>
  <c r="N19" i="33"/>
  <c r="N18" i="33"/>
  <c r="N17" i="33"/>
  <c r="N16" i="33"/>
  <c r="N15" i="33"/>
  <c r="N14" i="33"/>
  <c r="N13" i="33"/>
  <c r="N12" i="33"/>
  <c r="N11" i="33"/>
  <c r="N10" i="33"/>
  <c r="N9" i="33"/>
  <c r="N8" i="33"/>
  <c r="F7" i="33"/>
  <c r="L49" i="33" s="1"/>
  <c r="E7" i="33"/>
  <c r="K62" i="33" s="1"/>
  <c r="D7" i="33"/>
  <c r="J50" i="33" s="1"/>
  <c r="C7" i="33"/>
  <c r="B7" i="33"/>
  <c r="H41" i="33" s="1"/>
  <c r="J42" i="33" l="1"/>
  <c r="J18" i="33"/>
  <c r="K24" i="33"/>
  <c r="K57" i="33"/>
  <c r="J58" i="33"/>
  <c r="K66" i="33"/>
  <c r="K18" i="33"/>
  <c r="K22" i="33"/>
  <c r="J17" i="33"/>
  <c r="K39" i="33"/>
  <c r="K50" i="33"/>
  <c r="L11" i="33"/>
  <c r="H21" i="33"/>
  <c r="L28" i="33"/>
  <c r="H39" i="33"/>
  <c r="H8" i="33"/>
  <c r="H20" i="33"/>
  <c r="L30" i="33"/>
  <c r="L34" i="33"/>
  <c r="H45" i="33"/>
  <c r="K8" i="33"/>
  <c r="K10" i="33"/>
  <c r="J14" i="33"/>
  <c r="K20" i="33"/>
  <c r="J29" i="33"/>
  <c r="H37" i="33"/>
  <c r="K42" i="33"/>
  <c r="J44" i="33"/>
  <c r="L52" i="33"/>
  <c r="H55" i="33"/>
  <c r="H57" i="33"/>
  <c r="L62" i="33"/>
  <c r="H65" i="33"/>
  <c r="L9" i="33"/>
  <c r="L13" i="33"/>
  <c r="H24" i="33"/>
  <c r="H36" i="33"/>
  <c r="L47" i="33"/>
  <c r="L15" i="33"/>
  <c r="H27" i="33"/>
  <c r="L32" i="33"/>
  <c r="H44" i="33"/>
  <c r="L61" i="33"/>
  <c r="J13" i="33"/>
  <c r="K14" i="33"/>
  <c r="K16" i="33"/>
  <c r="H18" i="33"/>
  <c r="H19" i="33"/>
  <c r="H26" i="33"/>
  <c r="J28" i="33"/>
  <c r="K29" i="33"/>
  <c r="L31" i="33"/>
  <c r="K33" i="33"/>
  <c r="K44" i="33"/>
  <c r="K55" i="33"/>
  <c r="J57" i="33"/>
  <c r="J68" i="33"/>
  <c r="I49" i="33"/>
  <c r="I13" i="33"/>
  <c r="I9" i="33"/>
  <c r="I56" i="33"/>
  <c r="I22" i="33"/>
  <c r="I17" i="33"/>
  <c r="I41" i="33"/>
  <c r="I67" i="33"/>
  <c r="I21" i="33"/>
  <c r="H60" i="33"/>
  <c r="H68" i="33"/>
  <c r="H67" i="33"/>
  <c r="H66" i="33"/>
  <c r="H52" i="33"/>
  <c r="H47" i="33"/>
  <c r="H34" i="33"/>
  <c r="H31" i="33"/>
  <c r="H29" i="33"/>
  <c r="H28" i="33"/>
  <c r="H17" i="33"/>
  <c r="H16" i="33"/>
  <c r="H14" i="33"/>
  <c r="H11" i="33"/>
  <c r="H63" i="33"/>
  <c r="H61" i="33"/>
  <c r="H59" i="33"/>
  <c r="H53" i="33"/>
  <c r="H50" i="33"/>
  <c r="H49" i="33"/>
  <c r="H48" i="33"/>
  <c r="H38" i="33"/>
  <c r="H35" i="33"/>
  <c r="H33" i="33"/>
  <c r="H32" i="33"/>
  <c r="H13" i="33"/>
  <c r="H12" i="33"/>
  <c r="H10" i="33"/>
  <c r="H64" i="33"/>
  <c r="H62" i="33"/>
  <c r="H54" i="33"/>
  <c r="L60" i="33"/>
  <c r="N7" i="33"/>
  <c r="L63" i="33"/>
  <c r="L59" i="33"/>
  <c r="L57" i="33"/>
  <c r="L53" i="33"/>
  <c r="L44" i="33"/>
  <c r="L42" i="33"/>
  <c r="L38" i="33"/>
  <c r="L36" i="33"/>
  <c r="L35" i="33"/>
  <c r="L24" i="33"/>
  <c r="L22" i="33"/>
  <c r="L21" i="33"/>
  <c r="L18" i="33"/>
  <c r="L8" i="33"/>
  <c r="L64" i="33"/>
  <c r="L56" i="33"/>
  <c r="L55" i="33"/>
  <c r="L54" i="33"/>
  <c r="L45" i="33"/>
  <c r="L43" i="33"/>
  <c r="L41" i="33"/>
  <c r="L39" i="33"/>
  <c r="L29" i="33"/>
  <c r="L26" i="33"/>
  <c r="L20" i="33"/>
  <c r="L19" i="33"/>
  <c r="L17" i="33"/>
  <c r="L14" i="33"/>
  <c r="L67" i="33"/>
  <c r="L66" i="33"/>
  <c r="L65" i="33"/>
  <c r="L50" i="33"/>
  <c r="L46" i="33"/>
  <c r="L68" i="33"/>
  <c r="H9" i="33"/>
  <c r="L10" i="33"/>
  <c r="L12" i="33"/>
  <c r="H15" i="33"/>
  <c r="L16" i="33"/>
  <c r="H22" i="33"/>
  <c r="I23" i="33"/>
  <c r="L27" i="33"/>
  <c r="H30" i="33"/>
  <c r="L33" i="33"/>
  <c r="L37" i="33"/>
  <c r="H42" i="33"/>
  <c r="H43" i="33"/>
  <c r="H46" i="33"/>
  <c r="L48" i="33"/>
  <c r="H56" i="33"/>
  <c r="K68" i="33"/>
  <c r="J21" i="33"/>
  <c r="J23" i="33"/>
  <c r="J36" i="33"/>
  <c r="J37" i="33"/>
  <c r="J51" i="33"/>
  <c r="J62" i="33"/>
  <c r="J9" i="33"/>
  <c r="J10" i="33"/>
  <c r="K12" i="33"/>
  <c r="K23" i="33"/>
  <c r="J32" i="33"/>
  <c r="J33" i="33"/>
  <c r="K37" i="33"/>
  <c r="K48" i="33"/>
  <c r="K61" i="33"/>
  <c r="I68" i="33"/>
  <c r="I66" i="33"/>
  <c r="I64" i="33"/>
  <c r="I62" i="33"/>
  <c r="I57" i="33"/>
  <c r="I55" i="33"/>
  <c r="I53" i="33"/>
  <c r="I50" i="33"/>
  <c r="I48" i="33"/>
  <c r="I46" i="33"/>
  <c r="I44" i="33"/>
  <c r="I42" i="33"/>
  <c r="I37" i="33"/>
  <c r="I35" i="33"/>
  <c r="I33" i="33"/>
  <c r="I31" i="33"/>
  <c r="I29" i="33"/>
  <c r="I27" i="33"/>
  <c r="I20" i="33"/>
  <c r="I18" i="33"/>
  <c r="I16" i="33"/>
  <c r="I14" i="33"/>
  <c r="I12" i="33"/>
  <c r="I10" i="33"/>
  <c r="I8" i="33"/>
  <c r="I61" i="33"/>
  <c r="I59" i="33"/>
  <c r="I24" i="33"/>
  <c r="I25" i="33"/>
  <c r="I26" i="33"/>
  <c r="I30" i="33"/>
  <c r="I34" i="33"/>
  <c r="I38" i="33"/>
  <c r="I39" i="33"/>
  <c r="I40" i="33"/>
  <c r="I43" i="33"/>
  <c r="J61" i="33"/>
  <c r="J59" i="33"/>
  <c r="J39" i="33"/>
  <c r="J24" i="33"/>
  <c r="J22" i="33"/>
  <c r="J67" i="33"/>
  <c r="J65" i="33"/>
  <c r="J63" i="33"/>
  <c r="J56" i="33"/>
  <c r="J54" i="33"/>
  <c r="J52" i="33"/>
  <c r="J49" i="33"/>
  <c r="J47" i="33"/>
  <c r="J45" i="33"/>
  <c r="J43" i="33"/>
  <c r="J41" i="33"/>
  <c r="I11" i="33"/>
  <c r="I15" i="33"/>
  <c r="I19" i="33"/>
  <c r="J25" i="33"/>
  <c r="J26" i="33"/>
  <c r="J27" i="33"/>
  <c r="J30" i="33"/>
  <c r="J31" i="33"/>
  <c r="J34" i="33"/>
  <c r="J35" i="33"/>
  <c r="J38" i="33"/>
  <c r="J40" i="33"/>
  <c r="I45" i="33"/>
  <c r="J46" i="33"/>
  <c r="I52" i="33"/>
  <c r="J53" i="33"/>
  <c r="I60" i="33"/>
  <c r="I63" i="33"/>
  <c r="J64" i="33"/>
  <c r="K67" i="33"/>
  <c r="K65" i="33"/>
  <c r="K63" i="33"/>
  <c r="K56" i="33"/>
  <c r="K54" i="33"/>
  <c r="K52" i="33"/>
  <c r="K49" i="33"/>
  <c r="K47" i="33"/>
  <c r="K45" i="33"/>
  <c r="K43" i="33"/>
  <c r="K41" i="33"/>
  <c r="K38" i="33"/>
  <c r="K36" i="33"/>
  <c r="K34" i="33"/>
  <c r="K32" i="33"/>
  <c r="K30" i="33"/>
  <c r="K28" i="33"/>
  <c r="K26" i="33"/>
  <c r="K21" i="33"/>
  <c r="K19" i="33"/>
  <c r="K17" i="33"/>
  <c r="K15" i="33"/>
  <c r="K13" i="33"/>
  <c r="K11" i="33"/>
  <c r="K9" i="33"/>
  <c r="K60" i="33"/>
  <c r="K58" i="33"/>
  <c r="K51" i="33"/>
  <c r="K40" i="33"/>
  <c r="J8" i="33"/>
  <c r="J11" i="33"/>
  <c r="J12" i="33"/>
  <c r="J15" i="33"/>
  <c r="J16" i="33"/>
  <c r="J19" i="33"/>
  <c r="J20" i="33"/>
  <c r="K25" i="33"/>
  <c r="K27" i="33"/>
  <c r="I28" i="33"/>
  <c r="K31" i="33"/>
  <c r="I32" i="33"/>
  <c r="K35" i="33"/>
  <c r="I36" i="33"/>
  <c r="K46" i="33"/>
  <c r="I47" i="33"/>
  <c r="J48" i="33"/>
  <c r="I51" i="33"/>
  <c r="K53" i="33"/>
  <c r="I54" i="33"/>
  <c r="J55" i="33"/>
  <c r="I58" i="33"/>
  <c r="K59" i="33"/>
  <c r="J60" i="33"/>
  <c r="K64" i="33"/>
  <c r="I65" i="33"/>
  <c r="J66" i="33"/>
  <c r="H23" i="33"/>
  <c r="L23" i="33"/>
  <c r="H25" i="33"/>
  <c r="L25" i="33"/>
  <c r="H40" i="33"/>
  <c r="L40" i="33"/>
  <c r="H51" i="33"/>
  <c r="L51" i="33"/>
  <c r="H58" i="33"/>
  <c r="L58" i="33"/>
  <c r="H7" i="33" l="1"/>
  <c r="K7" i="33"/>
  <c r="L7" i="33"/>
  <c r="J7" i="33"/>
  <c r="I7" i="33"/>
</calcChain>
</file>

<file path=xl/sharedStrings.xml><?xml version="1.0" encoding="utf-8"?>
<sst xmlns="http://schemas.openxmlformats.org/spreadsheetml/2006/main" count="147" uniqueCount="144">
  <si>
    <t xml:space="preserve">މުދަލާއި ޚިދުމަތުން ނެގޭ ޓެކްސް     </t>
  </si>
  <si>
    <t>ބިޒްނަސް ޕްރޮފިޓް ޓެކްސް</t>
  </si>
  <si>
    <t>ގްރީން ޓެކްސް</t>
  </si>
  <si>
    <t>ތަފްސީލު</t>
  </si>
  <si>
    <t>Description</t>
  </si>
  <si>
    <t>Revenue collected (MVR)</t>
  </si>
  <si>
    <t>ލިބުނު އާމްދަނީ (ރުފިޔާއިން)</t>
  </si>
  <si>
    <t>2018 އާއި އަޅާބަލާއިރު 2019 ގައި އިތުރުވި މިންވަރު (%)</t>
  </si>
  <si>
    <t>2018*</t>
  </si>
  <si>
    <t>އެއަރޕޯޓް ސަރވިސް ޗާޖް</t>
  </si>
  <si>
    <t>Airport Development Fee***</t>
  </si>
  <si>
    <t>އެއަރޕޯޓް ޑިވެލޮޕްމަންޓް ފީ</t>
  </si>
  <si>
    <t>Construction Period Extension Fee***</t>
  </si>
  <si>
    <t>Corporate Social Responsibility Fee***</t>
  </si>
  <si>
    <t>ޖޫރިމަނާ</t>
  </si>
  <si>
    <t>Green Tax</t>
  </si>
  <si>
    <t>Remittance Tax**</t>
  </si>
  <si>
    <t>ރެމިޓެންސް ޓެކްސް</t>
  </si>
  <si>
    <t>Land Acquisition and Conversion Fee</t>
  </si>
  <si>
    <t>ބިން ވިއްކުމާއި ބިން ބަދަލުކުރުމުގެ ފީ</t>
  </si>
  <si>
    <t>ބިން ވިއްކުމަށް ނެގޭ ޓެކްސް</t>
  </si>
  <si>
    <t>ކުލީގެ މުއްދަތު އިތުރުކުރުން</t>
  </si>
  <si>
    <t>Ownership Transfer Tax***</t>
  </si>
  <si>
    <t>އޯނަރޝިޕް ޓްރާންސްފަރ ޓެކްސް</t>
  </si>
  <si>
    <t>ރެވެނިއު ސްޓޭމްޕް</t>
  </si>
  <si>
    <t>ޓޫރިޒަމް އެޑްމިނިސްޓްރޭޝަން ފީ</t>
  </si>
  <si>
    <t>Total</t>
  </si>
  <si>
    <t>ޖުމްލަ</t>
  </si>
  <si>
    <t>Note:</t>
  </si>
  <si>
    <t>Source: Maldives Inland Revenue Authority</t>
  </si>
  <si>
    <t>2019 Figures reconciled as of 02.03.2020</t>
  </si>
  <si>
    <t>Percentage  shares</t>
  </si>
  <si>
    <t xml:space="preserve">ބެހިފައިވާ ގޮތް ސައްތައިން </t>
  </si>
  <si>
    <t>Airport Service Charge</t>
  </si>
  <si>
    <t>Bank Profit Tax</t>
  </si>
  <si>
    <t>ބެންކް ފައިދާގެ ޓެކްސް</t>
  </si>
  <si>
    <t>Business Profit Tax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</si>
  <si>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</si>
  <si>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</si>
  <si>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</si>
  <si>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</si>
  <si>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</si>
  <si>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</si>
  <si>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ކޮންސްޓްރަކްޝަން ޕީރިއަޑް އެކްސްޓެންޝަން ފީ</t>
  </si>
  <si>
    <t>ކޯޕަރޭޓް ސޯޝަލް ރެސްޕޮންސިބިލިޓީ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</si>
  <si>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</si>
  <si>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</si>
  <si>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</si>
  <si>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</si>
  <si>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</si>
  <si>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</si>
  <si>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</si>
  <si>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Fishing Royalty</t>
  </si>
  <si>
    <t>މަސްވެރިކަމުގެ ރޯޔަލްޓީ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</si>
  <si>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</si>
  <si>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</si>
  <si>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</si>
  <si>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</si>
  <si>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</si>
  <si>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</si>
  <si>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Foreign Investment Royalty</t>
  </si>
  <si>
    <t>ބިދޭސީން ކުރާ ވިޔަފާރިގެ ރޯޔަލްޓީ</t>
  </si>
  <si>
    <t>Fuel Re-Export Royalty</t>
  </si>
  <si>
    <t>ފިއުލް ރީއެކްސްޕޯޓް ރޯޔަލްޓީ</t>
  </si>
  <si>
    <t>Goods and Services Tax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</si>
  <si>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</si>
  <si>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</si>
  <si>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</si>
  <si>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</si>
  <si>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</si>
  <si>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</si>
  <si>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</si>
  <si>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</si>
  <si>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Other Fees and Charges</t>
  </si>
  <si>
    <t>އެހެނިހެން ފީތައް</t>
  </si>
  <si>
    <t>Partnership Annual Fee</t>
  </si>
  <si>
    <t>ޕާޓްނާޝިޕް އަހަރީ ފީ</t>
  </si>
  <si>
    <t>Partnership Registration Fee</t>
  </si>
  <si>
    <t>ޕާޓްނާޝިޕް ރަޖިސްޓްރީކުރުމުގެ ފީ</t>
  </si>
  <si>
    <t>Re-Export Royalty</t>
  </si>
  <si>
    <t>ރީއެކްސްޕޯޓް ރޯޔަލްޓީ</t>
  </si>
  <si>
    <t>Reimbursement from Previous Years' budget</t>
  </si>
  <si>
    <t>ރީއިމްބަރސްމަންޓް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</si>
  <si>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</si>
  <si>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</si>
  <si>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</si>
  <si>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</si>
  <si>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Sale of Pass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</si>
  <si>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</si>
  <si>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</si>
  <si>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</si>
  <si>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</si>
  <si>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</si>
  <si>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</si>
  <si>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</si>
  <si>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</si>
  <si>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</si>
  <si>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</si>
  <si>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</si>
  <si>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Skipjack Industry Royalty</t>
  </si>
  <si>
    <t>މަސް އެކްސްޕޯޓް ކުރުމުގެ ރޯޔަލްޓީ</t>
  </si>
  <si>
    <t>Sole Traders Registration Fee</t>
  </si>
  <si>
    <t>އަމިއްލަ ފަރުދުންގެ ވިޔަފާރި ރަޖިސްޓަރީ ފީ</t>
  </si>
  <si>
    <t>Tourism Administration Fee</t>
  </si>
  <si>
    <t xml:space="preserve"> </t>
  </si>
  <si>
    <t>Tourism Land Rent</t>
  </si>
  <si>
    <t>ޓުއަރިޒަމްއަށް ދޫކުރެވިފައިވާ ބިމުގެ ކުލި</t>
  </si>
  <si>
    <t>Tourism Tax</t>
  </si>
  <si>
    <t>ޓުއަރިޒަމް ޓެކްސް</t>
  </si>
  <si>
    <t>Trade Registry Fee</t>
  </si>
  <si>
    <t>ޓްރޭޑް ރަޖިސްޓްރީ ފީ</t>
  </si>
  <si>
    <t>Uninhabited Islands Administration Fee</t>
  </si>
  <si>
    <t xml:space="preserve">ފަޅުރަށްރަށް ބެލެހެއްޓުމުގެ ފީ    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</si>
  <si>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</si>
  <si>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</si>
  <si>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</si>
  <si>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</si>
  <si>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</si>
  <si>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</si>
  <si>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Yellowfin Tuna Export Royalty</t>
  </si>
  <si>
    <t>ބޮޑު ކަންނެލީގެ އެކްސްޕޯޓް ރޯޔަލްޓީ</t>
  </si>
  <si>
    <t>Dive School Registration Fee***</t>
  </si>
  <si>
    <r>
      <t xml:space="preserve">ޑްރައިވިންގ ސްކޫލް ރެޖިސްޓްރޭޝަން ފީ </t>
    </r>
    <r>
      <rPr>
        <sz val="8"/>
        <rFont val="Faruma"/>
      </rPr>
      <t>***</t>
    </r>
  </si>
  <si>
    <t>Guest House Registration Fee***</t>
  </si>
  <si>
    <r>
      <t xml:space="preserve">ގެސްޓް ހައުސް ރެޖިސްޓްރޭޝަން ފީ </t>
    </r>
    <r>
      <rPr>
        <sz val="8"/>
        <rFont val="Faruma"/>
      </rPr>
      <t>***</t>
    </r>
  </si>
  <si>
    <t>Other Registrations &amp; License Fees***</t>
  </si>
  <si>
    <r>
      <t xml:space="preserve">އެހެނިހެންރެޖިސްޓްރޭޝަން އަދި ލައިސަންސް ފީ </t>
    </r>
    <r>
      <rPr>
        <sz val="8"/>
        <rFont val="Faruma"/>
      </rPr>
      <t>***</t>
    </r>
  </si>
  <si>
    <t>Motor Vehicle and Vessel Registration Fee***</t>
  </si>
  <si>
    <r>
      <t xml:space="preserve">އެއްގަމު އުޅަނދު އަދި ކަނޑުގައި ދުއްވާ އުޅަނދު ރެޖިސްޓްރޭޝަން ފީ </t>
    </r>
    <r>
      <rPr>
        <sz val="8"/>
        <rFont val="Faruma"/>
      </rPr>
      <t>***</t>
    </r>
  </si>
  <si>
    <t>Bank Mortgage Registration Fee***</t>
  </si>
  <si>
    <r>
      <t xml:space="preserve">ބޭންކް މޯގޭޖް ރެޖިސްޓްރޭޝަން ފީ </t>
    </r>
    <r>
      <rPr>
        <sz val="8"/>
        <rFont val="Faruma"/>
      </rPr>
      <t>***</t>
    </r>
  </si>
  <si>
    <t>Sale of Tender Documents***</t>
  </si>
  <si>
    <r>
      <t xml:space="preserve">ސޭލް އޮފް ޓެންޑަރ ޑޮކިއުމަންޓްސް </t>
    </r>
    <r>
      <rPr>
        <sz val="8"/>
        <rFont val="Faruma"/>
      </rPr>
      <t>***</t>
    </r>
  </si>
  <si>
    <t>Loan Repayment and National Student Loan****</t>
  </si>
  <si>
    <r>
      <t xml:space="preserve">ސޭލް އޮފް ޓެންޑަރ ޑޮކިއުމަންޓްސް </t>
    </r>
    <r>
      <rPr>
        <sz val="8"/>
        <rFont val="Faruma"/>
      </rPr>
      <t>****</t>
    </r>
  </si>
  <si>
    <t>މަޢުލޫމާތު ދެއްވި ފަރާތް: މޯލްޑިވްސް އިންލަންޑް ރެވެނިއު އޮތޯރިޓީ</t>
  </si>
  <si>
    <t>***  Airport Development Fee, Construction Period Extension Fee, Corporate Social Responsibility Fee, Tourism Administration Fee, Ownership Transfer Tax, Dive School Registration Fee, Guest house registration Fee, Ither Registrations &amp; License Fees, Motor Vehicle and Vessel Registration Fee, Bank Mortgage Registration Fee, Sale of Tender Documents added</t>
  </si>
  <si>
    <t>****Loan Repayment and National Student Loan added</t>
  </si>
  <si>
    <t>**Remittance tax added</t>
  </si>
  <si>
    <t>Percentage change  over 2018</t>
  </si>
  <si>
    <t>Table 13.12: REVENUE COLLECTED BY DETAILED CATEGORIES,  2015 - 2019</t>
  </si>
  <si>
    <t>ތާވަލު 13.12: ޢާމްދަނީގެ ގޮތުގައި ލިބުނު ފައިސާގެ ތަފްޞީލު،  2015 - 2019</t>
  </si>
  <si>
    <t>*:  2018 Figures revised as per Internal Audit reconciliation on 31s March 2019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</si>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</sst>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#,##0.0"/>
    <numFmt numFmtId="165" formatCode="0.0"/>
    <numFmt numFmtId="166" formatCode="_-* #,##0.00_-;\-* #,##0.00_-;_-* &quot;-&quot;??_-;_-@_-"/>
    <numFmt numFmtId="167" formatCode="#,##0.00\ ;&quot; (&quot;#,##0.00\);&quot; -&quot;#\ ;@\ "/>
    <numFmt numFmtId="168" formatCode="_(* #,##0_);_(* \(#,##0\);_(* &quot;-&quot;??_);_(@_)"/>
    <numFmt numFmtId="169" formatCode="#,##0_);\-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</font>
    <font>
      <sz val="10"/>
      <name val="Helv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Faruma"/>
    </font>
    <font>
      <sz val="9.5"/>
      <name val="Faruma"/>
    </font>
    <font>
      <sz val="10.5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Faruma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Faruma"/>
    </font>
    <font>
      <sz val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6" fontId="1" fillId="0" borderId="0" applyFont="0" applyFill="0" applyBorder="0" applyAlignment="0" applyProtection="0"/>
    <xf numFmtId="0" fontId="7" fillId="0" borderId="0"/>
    <xf numFmtId="167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5" fontId="14" fillId="0" borderId="0"/>
    <xf numFmtId="4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9">
    <xf numFmtId="0" fontId="0" fillId="0" borderId="0" xfId="0"/>
    <xf numFmtId="0" fontId="13" fillId="2" borderId="0" xfId="0" applyFont="1" applyFill="1" applyAlignment="1">
      <alignment vertical="top" wrapText="1"/>
    </xf>
    <xf numFmtId="169" fontId="12" fillId="2" borderId="0" xfId="0" applyNumberFormat="1" applyFont="1" applyFill="1" applyAlignment="1">
      <alignment horizontal="left" vertical="top"/>
    </xf>
    <xf numFmtId="0" fontId="22" fillId="2" borderId="0" xfId="0" applyFont="1" applyFill="1" applyAlignment="1">
      <alignment horizontal="left" vertical="center" wrapText="1"/>
    </xf>
    <xf numFmtId="164" fontId="21" fillId="2" borderId="0" xfId="2" applyNumberFormat="1" applyFont="1" applyFill="1" applyBorder="1" applyAlignment="1">
      <alignment horizontal="right" vertical="center"/>
    </xf>
    <xf numFmtId="169" fontId="23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Border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 wrapText="1"/>
    </xf>
    <xf numFmtId="168" fontId="24" fillId="2" borderId="0" xfId="0" applyNumberFormat="1" applyFont="1" applyFill="1" applyAlignment="1">
      <alignment horizontal="center" vertical="center" wrapText="1"/>
    </xf>
    <xf numFmtId="1" fontId="24" fillId="2" borderId="0" xfId="0" applyNumberFormat="1" applyFont="1" applyFill="1" applyAlignment="1">
      <alignment horizontal="center" vertical="center" wrapText="1"/>
    </xf>
    <xf numFmtId="0" fontId="25" fillId="2" borderId="0" xfId="0" applyFont="1" applyFill="1" applyAlignment="1">
      <alignment vertical="top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horizontal="right" vertical="center" wrapText="1"/>
    </xf>
    <xf numFmtId="0" fontId="16" fillId="2" borderId="11" xfId="0" applyFont="1" applyFill="1" applyBorder="1" applyAlignment="1">
      <alignment horizontal="right" vertical="center" wrapText="1"/>
    </xf>
    <xf numFmtId="0" fontId="27" fillId="2" borderId="0" xfId="0" applyFont="1" applyFill="1" applyAlignment="1">
      <alignment horizontal="left" vertical="center" wrapText="1"/>
    </xf>
    <xf numFmtId="168" fontId="27" fillId="2" borderId="0" xfId="0" applyNumberFormat="1" applyFont="1" applyFill="1" applyAlignment="1">
      <alignment horizontal="right" vertical="center" wrapText="1"/>
    </xf>
    <xf numFmtId="168" fontId="27" fillId="2" borderId="7" xfId="0" applyNumberFormat="1" applyFont="1" applyFill="1" applyBorder="1" applyAlignment="1">
      <alignment horizontal="right" vertical="center" wrapText="1"/>
    </xf>
    <xf numFmtId="1" fontId="27" fillId="2" borderId="0" xfId="0" applyNumberFormat="1" applyFont="1" applyFill="1" applyBorder="1" applyAlignment="1">
      <alignment horizontal="right" vertical="center" wrapText="1"/>
    </xf>
    <xf numFmtId="1" fontId="27" fillId="2" borderId="7" xfId="0" applyNumberFormat="1" applyFont="1" applyFill="1" applyBorder="1" applyAlignment="1">
      <alignment horizontal="right" vertical="center" wrapText="1"/>
    </xf>
    <xf numFmtId="0" fontId="28" fillId="2" borderId="0" xfId="0" applyFont="1" applyFill="1" applyAlignment="1">
      <alignment vertical="top" wrapText="1"/>
    </xf>
    <xf numFmtId="0" fontId="16" fillId="2" borderId="0" xfId="0" applyFont="1" applyFill="1" applyAlignment="1">
      <alignment vertical="top" wrapText="1"/>
    </xf>
    <xf numFmtId="168" fontId="22" fillId="2" borderId="0" xfId="1" applyNumberFormat="1" applyFont="1" applyFill="1" applyBorder="1" applyAlignment="1">
      <alignment horizontal="right" vertical="center" wrapText="1"/>
    </xf>
    <xf numFmtId="168" fontId="22" fillId="2" borderId="7" xfId="1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 applyBorder="1" applyAlignment="1">
      <alignment horizontal="right" vertical="center" wrapText="1"/>
    </xf>
    <xf numFmtId="1" fontId="22" fillId="2" borderId="7" xfId="0" applyNumberFormat="1" applyFont="1" applyFill="1" applyBorder="1" applyAlignment="1">
      <alignment horizontal="right" vertical="center" wrapText="1"/>
    </xf>
    <xf numFmtId="0" fontId="29" fillId="2" borderId="0" xfId="0" applyFont="1" applyFill="1" applyAlignment="1">
      <alignment vertical="top" wrapText="1"/>
    </xf>
    <xf numFmtId="43" fontId="12" fillId="2" borderId="0" xfId="1" applyFont="1" applyFill="1" applyAlignment="1">
      <alignment horizontal="left" vertical="top"/>
    </xf>
    <xf numFmtId="0" fontId="29" fillId="2" borderId="0" xfId="0" applyFont="1" applyFill="1" applyAlignment="1">
      <alignment vertical="top"/>
    </xf>
    <xf numFmtId="164" fontId="29" fillId="2" borderId="0" xfId="2" applyNumberFormat="1" applyFont="1" applyFill="1" applyAlignment="1">
      <alignment horizontal="right" vertical="center"/>
    </xf>
    <xf numFmtId="0" fontId="22" fillId="2" borderId="0" xfId="0" applyFont="1" applyFill="1" applyBorder="1" applyAlignment="1">
      <alignment horizontal="left" vertical="center" wrapText="1"/>
    </xf>
    <xf numFmtId="0" fontId="29" fillId="2" borderId="0" xfId="0" applyFont="1" applyFill="1" applyBorder="1" applyAlignment="1">
      <alignment vertical="top" wrapText="1"/>
    </xf>
    <xf numFmtId="0" fontId="22" fillId="2" borderId="0" xfId="0" applyFont="1" applyFill="1" applyBorder="1" applyAlignment="1">
      <alignment horizontal="left" vertical="center"/>
    </xf>
    <xf numFmtId="1" fontId="22" fillId="2" borderId="8" xfId="0" applyNumberFormat="1" applyFont="1" applyFill="1" applyBorder="1" applyAlignment="1">
      <alignment horizontal="right" vertical="center" wrapText="1"/>
    </xf>
    <xf numFmtId="0" fontId="29" fillId="2" borderId="1" xfId="0" applyFont="1" applyFill="1" applyBorder="1" applyAlignment="1">
      <alignment vertical="top" wrapText="1"/>
    </xf>
    <xf numFmtId="3" fontId="22" fillId="2" borderId="0" xfId="1" applyNumberFormat="1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168" fontId="13" fillId="2" borderId="0" xfId="1" applyNumberFormat="1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20" fillId="2" borderId="0" xfId="0" applyFont="1" applyFill="1" applyBorder="1" applyAlignment="1">
      <alignment vertical="center" wrapText="1"/>
    </xf>
    <xf numFmtId="165" fontId="22" fillId="2" borderId="0" xfId="0" applyNumberFormat="1" applyFont="1" applyFill="1" applyBorder="1" applyAlignment="1">
      <alignment horizontal="right" vertical="center" wrapText="1"/>
    </xf>
    <xf numFmtId="165" fontId="22" fillId="2" borderId="1" xfId="0" applyNumberFormat="1" applyFont="1" applyFill="1" applyBorder="1" applyAlignment="1">
      <alignment horizontal="right" vertical="center" wrapText="1"/>
    </xf>
    <xf numFmtId="4" fontId="22" fillId="2" borderId="5" xfId="1" applyNumberFormat="1" applyFont="1" applyFill="1" applyBorder="1" applyAlignment="1">
      <alignment horizontal="right" vertical="center" wrapText="1" indent="6"/>
    </xf>
    <xf numFmtId="4" fontId="22" fillId="2" borderId="3" xfId="1" applyNumberFormat="1" applyFont="1" applyFill="1" applyBorder="1" applyAlignment="1">
      <alignment horizontal="right" vertical="center" wrapText="1" indent="6"/>
    </xf>
    <xf numFmtId="165" fontId="22" fillId="2" borderId="0" xfId="0" applyNumberFormat="1" applyFont="1" applyFill="1" applyBorder="1" applyAlignment="1">
      <alignment horizontal="center" vertical="center" wrapText="1"/>
    </xf>
    <xf numFmtId="165" fontId="22" fillId="2" borderId="4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right" vertical="center" wrapText="1"/>
    </xf>
    <xf numFmtId="0" fontId="17" fillId="2" borderId="0" xfId="0" applyFont="1" applyFill="1" applyBorder="1" applyAlignment="1">
      <alignment horizontal="right" vertical="center" wrapText="1"/>
    </xf>
    <xf numFmtId="0" fontId="26" fillId="2" borderId="1" xfId="0" applyFont="1" applyFill="1" applyBorder="1" applyAlignment="1">
      <alignment horizontal="right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 readingOrder="2"/>
    </xf>
    <xf numFmtId="0" fontId="19" fillId="2" borderId="4" xfId="0" applyFont="1" applyFill="1" applyBorder="1" applyAlignment="1">
      <alignment horizontal="center" vertical="center" wrapText="1" readingOrder="2"/>
    </xf>
  </cellXfs>
  <cellStyles count="16">
    <cellStyle name="Comma" xfId="1" builtinId="3"/>
    <cellStyle name="Comma 2" xfId="6"/>
    <cellStyle name="Comma 3" xfId="7"/>
    <cellStyle name="Comma 4" xfId="3"/>
    <cellStyle name="Comma 4 2" xfId="14"/>
    <cellStyle name="Comma 5" xfId="12"/>
    <cellStyle name="Comma 6" xfId="9"/>
    <cellStyle name="Excel Built-in Comma" xfId="5"/>
    <cellStyle name="Excel Built-in Normal" xfId="4"/>
    <cellStyle name="Normal" xfId="0" builtinId="0"/>
    <cellStyle name="Normal 2" xfId="10"/>
    <cellStyle name="Normal 2 2" xfId="13"/>
    <cellStyle name="Normal 3" xfId="11"/>
    <cellStyle name="Normal 4" xfId="8"/>
    <cellStyle name="Normal_13 Public Finance_done" xfId="2"/>
    <cellStyle name="Percent 2" xfId="15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tabSelected="1" zoomScaleNormal="100" workbookViewId="0">
      <selection activeCell="F76" sqref="F76"/>
    </sheetView>
  </sheetViews>
  <sheetFormatPr defaultColWidth="8" defaultRowHeight="15.75" x14ac:dyDescent="0.25"/>
  <cols>
    <col min="1" max="1" width="62.7109375" style="1" bestFit="1" customWidth="1"/>
    <col min="2" max="2" width="14.7109375" style="1" customWidth="1"/>
    <col min="3" max="3" width="16.42578125" style="1" customWidth="1"/>
    <col min="4" max="6" width="14.7109375" style="1" bestFit="1" customWidth="1"/>
    <col min="7" max="7" width="2.42578125" style="1" customWidth="1"/>
    <col min="8" max="12" width="8" style="1" customWidth="1"/>
    <col min="13" max="13" width="1.28515625" style="1" customWidth="1"/>
    <col min="14" max="14" width="19.5703125" style="1" customWidth="1"/>
    <col min="15" max="15" width="33.7109375" style="11" customWidth="1"/>
    <col min="16" max="16" width="0.85546875" style="1" customWidth="1"/>
    <col min="17" max="16384" width="8" style="1"/>
  </cols>
  <sheetData>
    <row r="1" spans="1:22" s="6" customFormat="1" ht="21" x14ac:dyDescent="0.25">
      <c r="A1" s="54" t="s">
        <v>141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22" ht="15" x14ac:dyDescent="0.25">
      <c r="A2" s="55" t="s">
        <v>140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22" x14ac:dyDescent="0.25">
      <c r="A3" s="7"/>
      <c r="B3" s="9"/>
      <c r="C3" s="10"/>
      <c r="D3" s="10"/>
      <c r="E3" s="10"/>
      <c r="F3" s="10"/>
      <c r="G3" s="8"/>
      <c r="H3" s="8"/>
      <c r="I3" s="8"/>
      <c r="J3" s="8"/>
      <c r="K3" s="8"/>
      <c r="L3" s="8"/>
      <c r="M3" s="8"/>
      <c r="N3" s="8"/>
    </row>
    <row r="4" spans="1:22" ht="30" customHeight="1" x14ac:dyDescent="0.25">
      <c r="A4" s="56" t="s">
        <v>4</v>
      </c>
      <c r="B4" s="59" t="s">
        <v>5</v>
      </c>
      <c r="C4" s="59"/>
      <c r="D4" s="59"/>
      <c r="E4" s="59"/>
      <c r="F4" s="59"/>
      <c r="G4" s="12"/>
      <c r="H4" s="60" t="s">
        <v>31</v>
      </c>
      <c r="I4" s="59"/>
      <c r="J4" s="59"/>
      <c r="K4" s="59"/>
      <c r="L4" s="59"/>
      <c r="M4" s="12"/>
      <c r="N4" s="13" t="s">
        <v>139</v>
      </c>
      <c r="O4" s="61" t="s">
        <v>3</v>
      </c>
    </row>
    <row r="5" spans="1:22" ht="18.75" customHeight="1" x14ac:dyDescent="0.25">
      <c r="A5" s="57"/>
      <c r="B5" s="64" t="s">
        <v>6</v>
      </c>
      <c r="C5" s="64"/>
      <c r="D5" s="64"/>
      <c r="E5" s="64"/>
      <c r="F5" s="64"/>
      <c r="G5" s="14"/>
      <c r="H5" s="65" t="s">
        <v>32</v>
      </c>
      <c r="I5" s="66"/>
      <c r="J5" s="66"/>
      <c r="K5" s="66"/>
      <c r="L5" s="66"/>
      <c r="M5" s="15"/>
      <c r="N5" s="67" t="s">
        <v>7</v>
      </c>
      <c r="O5" s="62"/>
    </row>
    <row r="6" spans="1:22" ht="15" customHeight="1" x14ac:dyDescent="0.25">
      <c r="A6" s="58"/>
      <c r="B6" s="17">
        <v>2015</v>
      </c>
      <c r="C6" s="16">
        <v>2016</v>
      </c>
      <c r="D6" s="16">
        <v>2017</v>
      </c>
      <c r="E6" s="16" t="s">
        <v>8</v>
      </c>
      <c r="F6" s="16">
        <v>2019</v>
      </c>
      <c r="G6" s="18"/>
      <c r="H6" s="19">
        <v>2015</v>
      </c>
      <c r="I6" s="19">
        <v>2016</v>
      </c>
      <c r="J6" s="19">
        <v>2017</v>
      </c>
      <c r="K6" s="19">
        <v>2018</v>
      </c>
      <c r="L6" s="19">
        <v>2019</v>
      </c>
      <c r="M6" s="18"/>
      <c r="N6" s="68"/>
      <c r="O6" s="63"/>
    </row>
    <row r="7" spans="1:22" s="26" customFormat="1" ht="19.5" x14ac:dyDescent="0.25">
      <c r="A7" s="20" t="s">
        <v>26</v>
      </c>
      <c r="B7" s="21">
        <f t="shared" ref="B7:C7" si="0">SUM(B8:B67)</f>
        <v>13054497017.590202</v>
      </c>
      <c r="C7" s="21">
        <f t="shared" si="0"/>
        <v>14529264650.182802</v>
      </c>
      <c r="D7" s="21">
        <f>SUM(D8:D67)</f>
        <v>15187904553.917549</v>
      </c>
      <c r="E7" s="21">
        <f>SUM(E8:E67)</f>
        <v>16284118821.083029</v>
      </c>
      <c r="F7" s="21">
        <f>SUM(F8:F68)</f>
        <v>16741900945.825201</v>
      </c>
      <c r="G7" s="22"/>
      <c r="H7" s="23">
        <f>SUM(H8:H67)</f>
        <v>99.999999999999972</v>
      </c>
      <c r="I7" s="23">
        <f>SUM(I8:I67)</f>
        <v>99.999999999999972</v>
      </c>
      <c r="J7" s="23">
        <f>SUM(J8:J67)</f>
        <v>100.00000000000006</v>
      </c>
      <c r="K7" s="23">
        <f>SUM(K8:K67)</f>
        <v>99.999999999999986</v>
      </c>
      <c r="L7" s="23">
        <f>SUM(L8:L67)</f>
        <v>99.99488815360472</v>
      </c>
      <c r="M7" s="24"/>
      <c r="N7" s="48">
        <f>(F7/E7-1)*100</f>
        <v>2.8112182782005002</v>
      </c>
      <c r="O7" s="25" t="s">
        <v>27</v>
      </c>
    </row>
    <row r="8" spans="1:22" ht="19.5" x14ac:dyDescent="0.25">
      <c r="A8" s="3" t="s">
        <v>33</v>
      </c>
      <c r="B8" s="27">
        <v>496698013.89529997</v>
      </c>
      <c r="C8" s="27">
        <v>537482907.12529993</v>
      </c>
      <c r="D8" s="27">
        <v>707769590.08371425</v>
      </c>
      <c r="E8" s="27">
        <v>647005652.04000008</v>
      </c>
      <c r="F8" s="27">
        <v>731095991.43869996</v>
      </c>
      <c r="G8" s="28"/>
      <c r="H8" s="46">
        <f>B8/B$7*100</f>
        <v>3.8048039171944139</v>
      </c>
      <c r="I8" s="46">
        <f>C8/C$7*100</f>
        <v>3.6993125258994959</v>
      </c>
      <c r="J8" s="46">
        <f>D8/D$7*100</f>
        <v>4.6600871606159329</v>
      </c>
      <c r="K8" s="46">
        <f>E8/E$7*100</f>
        <v>3.9732309690735166</v>
      </c>
      <c r="L8" s="46">
        <f>F8/F$7*100</f>
        <v>4.3668636781715504</v>
      </c>
      <c r="M8" s="30"/>
      <c r="N8" s="49">
        <f t="shared" ref="N8:N66" si="1">(F8/E8-1)*100</f>
        <v>12.996847729778583</v>
      </c>
      <c r="O8" s="31" t="s">
        <v>9</v>
      </c>
    </row>
    <row r="9" spans="1:22" ht="19.5" x14ac:dyDescent="0.25">
      <c r="A9" s="3" t="s">
        <v>10</v>
      </c>
      <c r="B9" s="27">
        <v>0</v>
      </c>
      <c r="C9" s="27">
        <v>0</v>
      </c>
      <c r="D9" s="27">
        <v>328474085.79999995</v>
      </c>
      <c r="E9" s="27">
        <v>643250528.51762462</v>
      </c>
      <c r="F9" s="27">
        <v>733697538.34760022</v>
      </c>
      <c r="G9" s="28"/>
      <c r="H9" s="46">
        <f t="shared" ref="H9:L60" si="2">B9/B$7*100</f>
        <v>0</v>
      </c>
      <c r="I9" s="46">
        <f t="shared" si="2"/>
        <v>0</v>
      </c>
      <c r="J9" s="46">
        <f t="shared" si="2"/>
        <v>2.1627347250827551</v>
      </c>
      <c r="K9" s="46">
        <f t="shared" si="2"/>
        <v>3.9501709339335509</v>
      </c>
      <c r="L9" s="46">
        <f t="shared" si="2"/>
        <v>4.3824028150791134</v>
      </c>
      <c r="M9" s="30"/>
      <c r="N9" s="49">
        <f t="shared" si="1"/>
        <v>14.060930511539782</v>
      </c>
      <c r="O9" s="31" t="s">
        <v>11</v>
      </c>
    </row>
    <row r="10" spans="1:22" ht="19.5" x14ac:dyDescent="0.25">
      <c r="A10" s="3" t="s">
        <v>34</v>
      </c>
      <c r="B10" s="27">
        <v>512725167.70999998</v>
      </c>
      <c r="C10" s="27">
        <v>491669611.60000002</v>
      </c>
      <c r="D10" s="27">
        <v>649894826.80999994</v>
      </c>
      <c r="E10" s="27">
        <v>564102077.25</v>
      </c>
      <c r="F10" s="27">
        <v>613969839.03999996</v>
      </c>
      <c r="G10" s="28"/>
      <c r="H10" s="46">
        <f t="shared" si="2"/>
        <v>3.9275750495720483</v>
      </c>
      <c r="I10" s="46">
        <f t="shared" si="2"/>
        <v>3.3839951534905386</v>
      </c>
      <c r="J10" s="46">
        <f t="shared" si="2"/>
        <v>4.2790289108207942</v>
      </c>
      <c r="K10" s="46">
        <f t="shared" si="2"/>
        <v>3.464124055147876</v>
      </c>
      <c r="L10" s="46">
        <f t="shared" si="2"/>
        <v>3.6672647928495894</v>
      </c>
      <c r="M10" s="30"/>
      <c r="N10" s="49">
        <f t="shared" si="1"/>
        <v>8.8402017650964115</v>
      </c>
      <c r="O10" s="31" t="s">
        <v>35</v>
      </c>
    </row>
    <row r="11" spans="1:22" ht="19.5" x14ac:dyDescent="0.25">
      <c r="A11" s="3" t="s">
        <v>36</v>
      </c>
      <c r="B11" s="27">
        <v>2676515345.3940001</v>
      </c>
      <c r="C11" s="27">
        <v>2742014597.9856997</v>
      </c>
      <c r="D11" s="27">
        <v>2675941922.0164604</v>
      </c>
      <c r="E11" s="27">
        <v>2710318425.4878001</v>
      </c>
      <c r="F11" s="27">
        <v>2899307645.7716002</v>
      </c>
      <c r="G11" s="28"/>
      <c r="H11" s="46">
        <f t="shared" si="2"/>
        <v>20.502630946160131</v>
      </c>
      <c r="I11" s="46">
        <f t="shared" si="2"/>
        <v>18.872356337395235</v>
      </c>
      <c r="J11" s="46">
        <f t="shared" si="2"/>
        <v>17.618901360070975</v>
      </c>
      <c r="K11" s="46">
        <f t="shared" si="2"/>
        <v>16.64393668006619</v>
      </c>
      <c r="L11" s="46">
        <f t="shared" si="2"/>
        <v>17.317672916315864</v>
      </c>
      <c r="M11" s="30"/>
      <c r="N11" s="49">
        <f t="shared" si="1"/>
        <v>6.9729526430011957</v>
      </c>
      <c r="O11" s="31" t="s">
        <v>1</v>
      </c>
    </row>
    <row r="12" spans="1:22" ht="19.5" x14ac:dyDescent="0.25">
      <c r="A12" s="3" t="s">
        <v>37</v>
      </c>
      <c r="B12" s="27">
        <v>79113040.390000001</v>
      </c>
      <c r="C12" s="27">
        <v>102136920.65000001</v>
      </c>
      <c r="D12" s="27">
        <v>111408004.60159999</v>
      </c>
      <c r="E12" s="27">
        <v>99792129.519999996</v>
      </c>
      <c r="F12" s="27">
        <v>94332153.709999993</v>
      </c>
      <c r="G12" s="28"/>
      <c r="H12" s="46">
        <f t="shared" si="2"/>
        <v>0.60602136017496211</v>
      </c>
      <c r="I12" s="46">
        <f t="shared" si="2"/>
        <v>0.70297377815824258</v>
      </c>
      <c r="J12" s="46">
        <f t="shared" si="2"/>
        <v>0.73353110829804069</v>
      </c>
      <c r="K12" s="46">
        <f t="shared" si="2"/>
        <v>0.61281872612473975</v>
      </c>
      <c r="L12" s="46">
        <f t="shared" si="2"/>
        <v>0.56344947933479961</v>
      </c>
      <c r="M12" s="30"/>
      <c r="N12" s="49">
        <f t="shared" si="1"/>
        <v>-5.4713491296983774</v>
      </c>
      <c r="O12" s="31" t="s">
        <v>38</v>
      </c>
    </row>
    <row r="13" spans="1:22" ht="19.5" x14ac:dyDescent="0.25">
      <c r="A13" s="3" t="s">
        <v>39</v>
      </c>
      <c r="B13" s="27">
        <v>12342000</v>
      </c>
      <c r="C13" s="27">
        <v>14250000</v>
      </c>
      <c r="D13" s="27">
        <v>16216900</v>
      </c>
      <c r="E13" s="27">
        <v>16185132</v>
      </c>
      <c r="F13" s="27">
        <v>16622278.460000001</v>
      </c>
      <c r="G13" s="28"/>
      <c r="H13" s="46">
        <f t="shared" si="2"/>
        <v>9.4542133514373239E-2</v>
      </c>
      <c r="I13" s="46">
        <f t="shared" si="2"/>
        <v>9.8077916144370822E-2</v>
      </c>
      <c r="J13" s="46">
        <f t="shared" si="2"/>
        <v>0.10677509818704406</v>
      </c>
      <c r="K13" s="46">
        <f t="shared" si="2"/>
        <v>9.9392126634725422E-2</v>
      </c>
      <c r="L13" s="46">
        <f t="shared" si="2"/>
        <v>9.9285490421832726E-2</v>
      </c>
      <c r="M13" s="30"/>
      <c r="N13" s="49">
        <f t="shared" si="1"/>
        <v>2.7009137769157476</v>
      </c>
      <c r="O13" s="31" t="s">
        <v>40</v>
      </c>
    </row>
    <row r="14" spans="1:22" ht="19.5" x14ac:dyDescent="0.25">
      <c r="A14" s="3" t="s">
        <v>41</v>
      </c>
      <c r="B14" s="27">
        <v>3516877</v>
      </c>
      <c r="C14" s="27">
        <v>3049365</v>
      </c>
      <c r="D14" s="27">
        <v>3431527</v>
      </c>
      <c r="E14" s="27">
        <v>4020195</v>
      </c>
      <c r="F14" s="27">
        <v>3820768</v>
      </c>
      <c r="G14" s="28"/>
      <c r="H14" s="46">
        <f t="shared" si="2"/>
        <v>2.6939965555633476E-2</v>
      </c>
      <c r="I14" s="46">
        <f t="shared" si="2"/>
        <v>2.0987744895689775E-2</v>
      </c>
      <c r="J14" s="46">
        <f t="shared" si="2"/>
        <v>2.2593814622800457E-2</v>
      </c>
      <c r="K14" s="46">
        <f t="shared" si="2"/>
        <v>2.4687826490157133E-2</v>
      </c>
      <c r="L14" s="46">
        <f t="shared" si="2"/>
        <v>2.2821590047411883E-2</v>
      </c>
      <c r="M14" s="30"/>
      <c r="N14" s="49">
        <f t="shared" si="1"/>
        <v>-4.9606300191906154</v>
      </c>
      <c r="O14" s="31" t="s">
        <v>42</v>
      </c>
    </row>
    <row r="15" spans="1:22" ht="19.5" x14ac:dyDescent="0.25">
      <c r="A15" s="2" t="s">
        <v>12</v>
      </c>
      <c r="B15" s="32">
        <v>0</v>
      </c>
      <c r="C15" s="32">
        <v>0</v>
      </c>
      <c r="D15" s="27">
        <v>65344950</v>
      </c>
      <c r="E15" s="27">
        <v>105197100</v>
      </c>
      <c r="F15" s="27">
        <v>33813250</v>
      </c>
      <c r="G15" s="28"/>
      <c r="H15" s="46">
        <f t="shared" si="2"/>
        <v>0</v>
      </c>
      <c r="I15" s="46">
        <f t="shared" si="2"/>
        <v>0</v>
      </c>
      <c r="J15" s="46">
        <f t="shared" si="2"/>
        <v>0.43024335429567206</v>
      </c>
      <c r="K15" s="46">
        <f t="shared" si="2"/>
        <v>0.64601039304504115</v>
      </c>
      <c r="L15" s="46">
        <f t="shared" si="2"/>
        <v>0.20196780586276106</v>
      </c>
      <c r="M15" s="30"/>
      <c r="N15" s="49">
        <f t="shared" si="1"/>
        <v>-67.857241311785216</v>
      </c>
      <c r="O15" s="31" t="s">
        <v>43</v>
      </c>
      <c r="P15" s="2"/>
      <c r="Q15" s="2"/>
      <c r="R15" s="2"/>
      <c r="S15" s="2"/>
      <c r="T15" s="2"/>
      <c r="U15" s="2"/>
      <c r="V15" s="2"/>
    </row>
    <row r="16" spans="1:22" ht="19.5" x14ac:dyDescent="0.25">
      <c r="A16" s="2" t="s">
        <v>13</v>
      </c>
      <c r="B16" s="32">
        <v>0</v>
      </c>
      <c r="C16" s="32">
        <v>0</v>
      </c>
      <c r="D16" s="27">
        <v>12971000</v>
      </c>
      <c r="E16" s="27">
        <v>7680000</v>
      </c>
      <c r="F16" s="27">
        <v>43975220</v>
      </c>
      <c r="G16" s="28"/>
      <c r="H16" s="46">
        <f t="shared" si="2"/>
        <v>0</v>
      </c>
      <c r="I16" s="46">
        <f t="shared" si="2"/>
        <v>0</v>
      </c>
      <c r="J16" s="46">
        <f t="shared" si="2"/>
        <v>8.5403486399012671E-2</v>
      </c>
      <c r="K16" s="46">
        <f t="shared" si="2"/>
        <v>4.7162515112925317E-2</v>
      </c>
      <c r="L16" s="46">
        <f t="shared" si="2"/>
        <v>0.26266563242906871</v>
      </c>
      <c r="M16" s="30"/>
      <c r="N16" s="49">
        <f t="shared" si="1"/>
        <v>472.59401041666666</v>
      </c>
      <c r="O16" s="31" t="s">
        <v>44</v>
      </c>
      <c r="P16" s="2"/>
      <c r="Q16" s="2"/>
      <c r="R16" s="2"/>
      <c r="S16" s="2"/>
      <c r="T16" s="2"/>
      <c r="U16" s="2"/>
      <c r="V16" s="2"/>
    </row>
    <row r="17" spans="1:15" ht="19.5" x14ac:dyDescent="0.25">
      <c r="A17" s="3" t="s">
        <v>45</v>
      </c>
      <c r="B17" s="27">
        <v>4000</v>
      </c>
      <c r="C17" s="27">
        <v>9400</v>
      </c>
      <c r="D17" s="27">
        <v>8600</v>
      </c>
      <c r="E17" s="27">
        <v>7000</v>
      </c>
      <c r="F17" s="27">
        <v>6200</v>
      </c>
      <c r="G17" s="28"/>
      <c r="H17" s="46">
        <f t="shared" si="2"/>
        <v>3.0640782211756025E-5</v>
      </c>
      <c r="I17" s="46">
        <f t="shared" si="2"/>
        <v>6.4697011351374438E-5</v>
      </c>
      <c r="J17" s="46">
        <f t="shared" si="2"/>
        <v>5.6624006092938788E-5</v>
      </c>
      <c r="K17" s="46">
        <f t="shared" si="2"/>
        <v>4.298666742063506E-5</v>
      </c>
      <c r="L17" s="46">
        <f t="shared" si="2"/>
        <v>3.7032831696128546E-5</v>
      </c>
      <c r="M17" s="30"/>
      <c r="N17" s="49">
        <f t="shared" si="1"/>
        <v>-11.428571428571432</v>
      </c>
      <c r="O17" s="31" t="s">
        <v>46</v>
      </c>
    </row>
    <row r="18" spans="1:15" ht="19.5" x14ac:dyDescent="0.25">
      <c r="A18" s="3" t="s">
        <v>47</v>
      </c>
      <c r="B18" s="27">
        <v>1400</v>
      </c>
      <c r="C18" s="27">
        <v>2200</v>
      </c>
      <c r="D18" s="27">
        <v>2800</v>
      </c>
      <c r="E18" s="27">
        <v>800</v>
      </c>
      <c r="F18" s="27">
        <v>1000</v>
      </c>
      <c r="G18" s="28"/>
      <c r="H18" s="46">
        <f t="shared" si="2"/>
        <v>1.0724273774114609E-5</v>
      </c>
      <c r="I18" s="46">
        <f t="shared" si="2"/>
        <v>1.5141853720534439E-5</v>
      </c>
      <c r="J18" s="46">
        <f t="shared" si="2"/>
        <v>1.843572291398007E-5</v>
      </c>
      <c r="K18" s="46">
        <f t="shared" si="2"/>
        <v>4.9127619909297213E-6</v>
      </c>
      <c r="L18" s="46">
        <f t="shared" si="2"/>
        <v>5.9730373703433144E-6</v>
      </c>
      <c r="M18" s="30"/>
      <c r="N18" s="49">
        <f t="shared" si="1"/>
        <v>25</v>
      </c>
      <c r="O18" s="31" t="s">
        <v>48</v>
      </c>
    </row>
    <row r="19" spans="1:15" ht="19.5" x14ac:dyDescent="0.25">
      <c r="A19" s="3" t="s">
        <v>49</v>
      </c>
      <c r="B19" s="27">
        <v>77088771.710000008</v>
      </c>
      <c r="C19" s="27">
        <v>72751662.810000002</v>
      </c>
      <c r="D19" s="27">
        <v>76295076.289999992</v>
      </c>
      <c r="E19" s="27">
        <v>76324061.13000001</v>
      </c>
      <c r="F19" s="27">
        <v>90092169.840000018</v>
      </c>
      <c r="G19" s="28"/>
      <c r="H19" s="46">
        <f t="shared" si="2"/>
        <v>0.59051506623447236</v>
      </c>
      <c r="I19" s="46">
        <f t="shared" si="2"/>
        <v>0.50072501645212075</v>
      </c>
      <c r="J19" s="46">
        <f t="shared" si="2"/>
        <v>0.50234103077978942</v>
      </c>
      <c r="K19" s="46">
        <f t="shared" si="2"/>
        <v>0.46870243314107568</v>
      </c>
      <c r="L19" s="46">
        <f t="shared" si="2"/>
        <v>0.53812389722963694</v>
      </c>
      <c r="M19" s="30"/>
      <c r="N19" s="49">
        <f t="shared" si="1"/>
        <v>18.039014835111146</v>
      </c>
      <c r="O19" s="31" t="s">
        <v>50</v>
      </c>
    </row>
    <row r="20" spans="1:15" ht="19.5" x14ac:dyDescent="0.25">
      <c r="A20" s="3" t="s">
        <v>51</v>
      </c>
      <c r="B20" s="27">
        <v>257569888.39209995</v>
      </c>
      <c r="C20" s="27">
        <v>270265257.52340001</v>
      </c>
      <c r="D20" s="27">
        <v>195626549.71080002</v>
      </c>
      <c r="E20" s="27">
        <v>226467336.32799998</v>
      </c>
      <c r="F20" s="27">
        <v>197449283.33280003</v>
      </c>
      <c r="G20" s="28"/>
      <c r="H20" s="46">
        <f t="shared" si="2"/>
        <v>1.9730357136321603</v>
      </c>
      <c r="I20" s="46">
        <f t="shared" si="2"/>
        <v>1.8601440887099516</v>
      </c>
      <c r="J20" s="46">
        <f t="shared" si="2"/>
        <v>1.288041737530806</v>
      </c>
      <c r="K20" s="46">
        <f t="shared" si="2"/>
        <v>1.3907251526241198</v>
      </c>
      <c r="L20" s="46">
        <f t="shared" si="2"/>
        <v>1.1793719480943199</v>
      </c>
      <c r="M20" s="30"/>
      <c r="N20" s="49">
        <f t="shared" si="1"/>
        <v>-12.813350245428845</v>
      </c>
      <c r="O20" s="31" t="s">
        <v>14</v>
      </c>
    </row>
    <row r="21" spans="1:15" ht="19.5" hidden="1" x14ac:dyDescent="0.25">
      <c r="A21" s="3" t="s">
        <v>52</v>
      </c>
      <c r="B21" s="27">
        <v>0</v>
      </c>
      <c r="C21" s="27">
        <v>0</v>
      </c>
      <c r="D21" s="27">
        <v>0</v>
      </c>
      <c r="E21" s="27">
        <v>0</v>
      </c>
      <c r="F21" s="27">
        <v>0</v>
      </c>
      <c r="G21" s="28"/>
      <c r="H21" s="46">
        <f t="shared" si="2"/>
        <v>0</v>
      </c>
      <c r="I21" s="46">
        <f t="shared" si="2"/>
        <v>0</v>
      </c>
      <c r="J21" s="46">
        <f t="shared" si="2"/>
        <v>0</v>
      </c>
      <c r="K21" s="46">
        <f t="shared" si="2"/>
        <v>0</v>
      </c>
      <c r="L21" s="46">
        <f t="shared" si="2"/>
        <v>0</v>
      </c>
      <c r="M21" s="30"/>
      <c r="N21" s="49"/>
      <c r="O21" s="31" t="s">
        <v>53</v>
      </c>
    </row>
    <row r="22" spans="1:15" ht="19.5" x14ac:dyDescent="0.25">
      <c r="A22" s="3" t="s">
        <v>54</v>
      </c>
      <c r="B22" s="27">
        <v>381292</v>
      </c>
      <c r="C22" s="27">
        <v>563556</v>
      </c>
      <c r="D22" s="27">
        <v>648433.64</v>
      </c>
      <c r="E22" s="27">
        <v>554092.16</v>
      </c>
      <c r="F22" s="27">
        <v>582068</v>
      </c>
      <c r="G22" s="28"/>
      <c r="H22" s="46">
        <f t="shared" si="2"/>
        <v>2.9207712827712196E-3</v>
      </c>
      <c r="I22" s="46">
        <f t="shared" si="2"/>
        <v>3.8787647796952309E-3</v>
      </c>
      <c r="J22" s="46">
        <f t="shared" si="2"/>
        <v>4.2694081839798224E-3</v>
      </c>
      <c r="K22" s="46">
        <f t="shared" si="2"/>
        <v>3.402653628900187E-3</v>
      </c>
      <c r="L22" s="46">
        <f t="shared" si="2"/>
        <v>3.4767139160809916E-3</v>
      </c>
      <c r="M22" s="30"/>
      <c r="N22" s="49">
        <f t="shared" si="1"/>
        <v>5.0489507016305613</v>
      </c>
      <c r="O22" s="31" t="s">
        <v>55</v>
      </c>
    </row>
    <row r="23" spans="1:15" ht="19.5" x14ac:dyDescent="0.25">
      <c r="A23" s="3" t="s">
        <v>56</v>
      </c>
      <c r="B23" s="27">
        <v>863486.3</v>
      </c>
      <c r="C23" s="27">
        <v>496260.27</v>
      </c>
      <c r="D23" s="27">
        <v>13500</v>
      </c>
      <c r="E23" s="27">
        <v>18452.059999999998</v>
      </c>
      <c r="F23" s="32">
        <v>0</v>
      </c>
      <c r="G23" s="28"/>
      <c r="H23" s="46">
        <f t="shared" si="2"/>
        <v>6.6144739152837577E-3</v>
      </c>
      <c r="I23" s="46">
        <f t="shared" si="2"/>
        <v>3.4155910980240576E-3</v>
      </c>
      <c r="J23" s="46">
        <f t="shared" si="2"/>
        <v>8.8886521192403908E-5</v>
      </c>
      <c r="K23" s="46">
        <f t="shared" si="2"/>
        <v>1.1331322377794331E-4</v>
      </c>
      <c r="L23" s="46">
        <f t="shared" si="2"/>
        <v>0</v>
      </c>
      <c r="M23" s="30"/>
      <c r="N23" s="49">
        <f t="shared" si="1"/>
        <v>-100</v>
      </c>
      <c r="O23" s="31" t="s">
        <v>57</v>
      </c>
    </row>
    <row r="24" spans="1:15" ht="19.5" x14ac:dyDescent="0.25">
      <c r="A24" s="3" t="s">
        <v>58</v>
      </c>
      <c r="B24" s="27">
        <v>1840460</v>
      </c>
      <c r="C24" s="27">
        <v>2210538</v>
      </c>
      <c r="D24" s="27">
        <v>2181300</v>
      </c>
      <c r="E24" s="27">
        <v>2028400</v>
      </c>
      <c r="F24" s="27">
        <v>1719140</v>
      </c>
      <c r="G24" s="28"/>
      <c r="H24" s="46">
        <f t="shared" si="2"/>
        <v>1.4098283507362126E-2</v>
      </c>
      <c r="I24" s="46">
        <f t="shared" si="2"/>
        <v>1.52143831998558E-2</v>
      </c>
      <c r="J24" s="46">
        <f t="shared" si="2"/>
        <v>1.4362086568665973E-2</v>
      </c>
      <c r="K24" s="46">
        <f t="shared" si="2"/>
        <v>1.2456308028002306E-2</v>
      </c>
      <c r="L24" s="46">
        <f t="shared" si="2"/>
        <v>1.0268487464852004E-2</v>
      </c>
      <c r="M24" s="30"/>
      <c r="N24" s="49">
        <f t="shared" si="1"/>
        <v>-15.246499704200357</v>
      </c>
      <c r="O24" s="33" t="s">
        <v>59</v>
      </c>
    </row>
    <row r="25" spans="1:15" ht="19.5" hidden="1" x14ac:dyDescent="0.25">
      <c r="A25" s="3" t="s">
        <v>60</v>
      </c>
      <c r="B25" s="27">
        <v>0</v>
      </c>
      <c r="C25" s="27">
        <v>0</v>
      </c>
      <c r="D25" s="27">
        <v>0</v>
      </c>
      <c r="E25" s="27">
        <v>0</v>
      </c>
      <c r="F25" s="27">
        <v>0</v>
      </c>
      <c r="G25" s="28"/>
      <c r="H25" s="46">
        <f t="shared" si="2"/>
        <v>0</v>
      </c>
      <c r="I25" s="46">
        <f t="shared" si="2"/>
        <v>0</v>
      </c>
      <c r="J25" s="46">
        <f t="shared" si="2"/>
        <v>0</v>
      </c>
      <c r="K25" s="46">
        <f t="shared" si="2"/>
        <v>0</v>
      </c>
      <c r="L25" s="46">
        <f t="shared" si="2"/>
        <v>0</v>
      </c>
      <c r="M25" s="30"/>
      <c r="N25" s="49"/>
      <c r="O25" s="31" t="s">
        <v>61</v>
      </c>
    </row>
    <row r="26" spans="1:15" ht="19.5" x14ac:dyDescent="0.25">
      <c r="A26" s="3" t="s">
        <v>62</v>
      </c>
      <c r="B26" s="27">
        <v>1452475.8979</v>
      </c>
      <c r="C26" s="27">
        <v>1386174.2361000003</v>
      </c>
      <c r="D26" s="27">
        <v>781782.84219999996</v>
      </c>
      <c r="E26" s="27">
        <v>131125.8983</v>
      </c>
      <c r="F26" s="27">
        <v>140596.6985</v>
      </c>
      <c r="G26" s="28"/>
      <c r="H26" s="46">
        <f t="shared" si="2"/>
        <v>1.112624941384467E-2</v>
      </c>
      <c r="I26" s="46">
        <f t="shared" si="2"/>
        <v>9.5405670519089891E-3</v>
      </c>
      <c r="J26" s="46">
        <f t="shared" si="2"/>
        <v>5.1474042348939302E-3</v>
      </c>
      <c r="K26" s="46">
        <f t="shared" si="2"/>
        <v>8.0523791149344516E-4</v>
      </c>
      <c r="L26" s="46">
        <f t="shared" si="2"/>
        <v>8.3978933428739179E-4</v>
      </c>
      <c r="M26" s="30"/>
      <c r="N26" s="49">
        <f t="shared" si="1"/>
        <v>7.2226770781252947</v>
      </c>
      <c r="O26" s="31" t="s">
        <v>63</v>
      </c>
    </row>
    <row r="27" spans="1:15" ht="19.5" x14ac:dyDescent="0.25">
      <c r="A27" s="3" t="s">
        <v>64</v>
      </c>
      <c r="B27" s="27">
        <v>6052938369.3219995</v>
      </c>
      <c r="C27" s="27">
        <v>6276877706.3801994</v>
      </c>
      <c r="D27" s="27">
        <v>6851347959.9054794</v>
      </c>
      <c r="E27" s="27">
        <v>7690004507.1075993</v>
      </c>
      <c r="F27" s="27">
        <v>7748649586.2166023</v>
      </c>
      <c r="G27" s="28"/>
      <c r="H27" s="46">
        <f t="shared" si="2"/>
        <v>46.366691578894262</v>
      </c>
      <c r="I27" s="46">
        <f t="shared" si="2"/>
        <v>43.201620023496687</v>
      </c>
      <c r="J27" s="46">
        <f t="shared" si="2"/>
        <v>45.110554491457158</v>
      </c>
      <c r="K27" s="46">
        <f t="shared" si="2"/>
        <v>47.223952315745571</v>
      </c>
      <c r="L27" s="46">
        <f t="shared" si="2"/>
        <v>46.282973548167021</v>
      </c>
      <c r="M27" s="30"/>
      <c r="N27" s="49">
        <f t="shared" si="1"/>
        <v>0.76261436589275533</v>
      </c>
      <c r="O27" s="31" t="s">
        <v>0</v>
      </c>
    </row>
    <row r="28" spans="1:15" ht="19.5" x14ac:dyDescent="0.25">
      <c r="A28" s="3" t="s">
        <v>65</v>
      </c>
      <c r="B28" s="27">
        <v>5873988.4400000004</v>
      </c>
      <c r="C28" s="27">
        <v>3949857.33</v>
      </c>
      <c r="D28" s="27">
        <v>3435640</v>
      </c>
      <c r="E28" s="27">
        <v>3313259.35</v>
      </c>
      <c r="F28" s="27">
        <v>3350940</v>
      </c>
      <c r="G28" s="28"/>
      <c r="H28" s="46">
        <f t="shared" si="2"/>
        <v>4.499590012610314E-2</v>
      </c>
      <c r="I28" s="46">
        <f t="shared" si="2"/>
        <v>2.7185528139927605E-2</v>
      </c>
      <c r="J28" s="46">
        <f t="shared" si="2"/>
        <v>2.2620895382923743E-2</v>
      </c>
      <c r="K28" s="46">
        <f t="shared" si="2"/>
        <v>2.034656825096564E-2</v>
      </c>
      <c r="L28" s="46">
        <f t="shared" si="2"/>
        <v>2.0015289845778227E-2</v>
      </c>
      <c r="M28" s="30"/>
      <c r="N28" s="49">
        <f t="shared" si="1"/>
        <v>1.1372683517817617</v>
      </c>
      <c r="O28" s="31" t="s">
        <v>66</v>
      </c>
    </row>
    <row r="29" spans="1:15" ht="18.75" x14ac:dyDescent="0.25">
      <c r="A29" s="3" t="s">
        <v>15</v>
      </c>
      <c r="B29" s="27">
        <v>45483359.280000001</v>
      </c>
      <c r="C29" s="27">
        <v>633548360.1105001</v>
      </c>
      <c r="D29" s="27">
        <v>693830414.08589995</v>
      </c>
      <c r="E29" s="27">
        <v>810525817.88999999</v>
      </c>
      <c r="F29" s="27">
        <v>851180095.05490017</v>
      </c>
      <c r="G29" s="28"/>
      <c r="H29" s="46">
        <f t="shared" si="2"/>
        <v>0.34841142648938311</v>
      </c>
      <c r="I29" s="46">
        <f t="shared" si="2"/>
        <v>4.3604984516716687</v>
      </c>
      <c r="J29" s="46">
        <f t="shared" si="2"/>
        <v>4.5683090226356091</v>
      </c>
      <c r="K29" s="46">
        <f t="shared" si="2"/>
        <v>4.9774005384965205</v>
      </c>
      <c r="L29" s="46">
        <f t="shared" si="2"/>
        <v>5.0841305166552928</v>
      </c>
      <c r="M29" s="30"/>
      <c r="N29" s="49">
        <f t="shared" si="1"/>
        <v>5.0157905235805211</v>
      </c>
      <c r="O29" s="4" t="s">
        <v>2</v>
      </c>
    </row>
    <row r="30" spans="1:15" ht="18.75" x14ac:dyDescent="0.25">
      <c r="A30" s="3" t="s">
        <v>16</v>
      </c>
      <c r="B30" s="27">
        <v>0</v>
      </c>
      <c r="C30" s="27">
        <v>14583885.27</v>
      </c>
      <c r="D30" s="27">
        <v>114217777.93000001</v>
      </c>
      <c r="E30" s="27">
        <v>101829058.88500001</v>
      </c>
      <c r="F30" s="27">
        <v>102523494</v>
      </c>
      <c r="G30" s="28"/>
      <c r="H30" s="46">
        <f t="shared" si="2"/>
        <v>0</v>
      </c>
      <c r="I30" s="46">
        <f t="shared" si="2"/>
        <v>0.10037593519790769</v>
      </c>
      <c r="J30" s="46">
        <f t="shared" si="2"/>
        <v>0.75203118063142438</v>
      </c>
      <c r="K30" s="46">
        <f t="shared" si="2"/>
        <v>0.62532741257796554</v>
      </c>
      <c r="L30" s="46">
        <f t="shared" si="2"/>
        <v>0.61237666100016852</v>
      </c>
      <c r="M30" s="30"/>
      <c r="N30" s="49">
        <f t="shared" si="1"/>
        <v>0.68196163512053154</v>
      </c>
      <c r="O30" s="4" t="s">
        <v>17</v>
      </c>
    </row>
    <row r="31" spans="1:15" ht="19.5" x14ac:dyDescent="0.25">
      <c r="A31" s="3" t="s">
        <v>67</v>
      </c>
      <c r="B31" s="27">
        <v>7681260</v>
      </c>
      <c r="C31" s="27">
        <v>7393642.1899999995</v>
      </c>
      <c r="D31" s="27">
        <v>7923901.9600000009</v>
      </c>
      <c r="E31" s="27">
        <v>9833485.3599999994</v>
      </c>
      <c r="F31" s="27">
        <v>8261581.6699999999</v>
      </c>
      <c r="G31" s="28"/>
      <c r="H31" s="46">
        <f t="shared" si="2"/>
        <v>5.8839953692968273E-2</v>
      </c>
      <c r="I31" s="46">
        <f t="shared" si="2"/>
        <v>5.0887931137705407E-2</v>
      </c>
      <c r="J31" s="46">
        <f t="shared" si="2"/>
        <v>5.2172450332894145E-2</v>
      </c>
      <c r="K31" s="46">
        <f t="shared" si="2"/>
        <v>6.0386966393714825E-2</v>
      </c>
      <c r="L31" s="46">
        <f t="shared" si="2"/>
        <v>4.9346736053053321E-2</v>
      </c>
      <c r="M31" s="30"/>
      <c r="N31" s="49">
        <f t="shared" si="1"/>
        <v>-15.985214117408308</v>
      </c>
      <c r="O31" s="31" t="s">
        <v>68</v>
      </c>
    </row>
    <row r="32" spans="1:15" ht="18.75" x14ac:dyDescent="0.25">
      <c r="A32" s="3" t="s">
        <v>18</v>
      </c>
      <c r="B32" s="27">
        <v>106062455.44860001</v>
      </c>
      <c r="C32" s="27">
        <v>866691371.39180005</v>
      </c>
      <c r="D32" s="27">
        <v>543512031.66699994</v>
      </c>
      <c r="E32" s="27">
        <v>322065841.04820001</v>
      </c>
      <c r="F32" s="27">
        <v>34822119.628899999</v>
      </c>
      <c r="G32" s="28"/>
      <c r="H32" s="46">
        <f t="shared" si="2"/>
        <v>0.81245914956115728</v>
      </c>
      <c r="I32" s="46">
        <f t="shared" si="2"/>
        <v>5.9651427120291016</v>
      </c>
      <c r="J32" s="46">
        <f t="shared" si="2"/>
        <v>3.5785847200811327</v>
      </c>
      <c r="K32" s="46">
        <f t="shared" si="2"/>
        <v>1.9777910280980127</v>
      </c>
      <c r="L32" s="46">
        <f t="shared" si="2"/>
        <v>0.20799382185798515</v>
      </c>
      <c r="M32" s="30"/>
      <c r="N32" s="49">
        <f t="shared" si="1"/>
        <v>-89.187887943792049</v>
      </c>
      <c r="O32" s="4" t="s">
        <v>19</v>
      </c>
    </row>
    <row r="33" spans="1:15" ht="19.5" x14ac:dyDescent="0.25">
      <c r="A33" s="3" t="s">
        <v>69</v>
      </c>
      <c r="B33" s="27">
        <v>29136730.280000005</v>
      </c>
      <c r="C33" s="27">
        <v>23143294.260000002</v>
      </c>
      <c r="D33" s="27">
        <v>93789092.709999979</v>
      </c>
      <c r="E33" s="27">
        <v>39352638.640000001</v>
      </c>
      <c r="F33" s="27">
        <v>25178331.740000002</v>
      </c>
      <c r="G33" s="28"/>
      <c r="H33" s="46">
        <f t="shared" si="2"/>
        <v>0.22319305171803935</v>
      </c>
      <c r="I33" s="46">
        <f t="shared" si="2"/>
        <v>0.15928744377100199</v>
      </c>
      <c r="J33" s="46">
        <f t="shared" si="2"/>
        <v>0.61752490198398124</v>
      </c>
      <c r="K33" s="46">
        <f t="shared" si="2"/>
        <v>0.24166268419173034</v>
      </c>
      <c r="L33" s="46">
        <f t="shared" si="2"/>
        <v>0.1503911164059212</v>
      </c>
      <c r="M33" s="30"/>
      <c r="N33" s="49">
        <f t="shared" si="1"/>
        <v>-36.018695035083411</v>
      </c>
      <c r="O33" s="34" t="s">
        <v>20</v>
      </c>
    </row>
    <row r="34" spans="1:15" ht="19.5" x14ac:dyDescent="0.25">
      <c r="A34" s="3" t="s">
        <v>70</v>
      </c>
      <c r="B34" s="27">
        <v>1096364901.3702002</v>
      </c>
      <c r="C34" s="27">
        <v>569097504.54999995</v>
      </c>
      <c r="D34" s="27">
        <v>117413250</v>
      </c>
      <c r="E34" s="27">
        <v>76700000</v>
      </c>
      <c r="F34" s="27">
        <v>306800000</v>
      </c>
      <c r="G34" s="28"/>
      <c r="H34" s="46">
        <f t="shared" si="2"/>
        <v>8.3983695418744198</v>
      </c>
      <c r="I34" s="46">
        <f t="shared" si="2"/>
        <v>3.9169050757351282</v>
      </c>
      <c r="J34" s="46">
        <f t="shared" si="2"/>
        <v>0.773070765510668</v>
      </c>
      <c r="K34" s="46">
        <f t="shared" si="2"/>
        <v>0.47101105588038694</v>
      </c>
      <c r="L34" s="46">
        <f t="shared" si="2"/>
        <v>1.8325278652213288</v>
      </c>
      <c r="M34" s="30"/>
      <c r="N34" s="49">
        <f t="shared" si="1"/>
        <v>300</v>
      </c>
      <c r="O34" s="31" t="s">
        <v>21</v>
      </c>
    </row>
    <row r="35" spans="1:15" ht="19.5" x14ac:dyDescent="0.25">
      <c r="A35" s="3" t="s">
        <v>71</v>
      </c>
      <c r="B35" s="27">
        <v>19776911.629999995</v>
      </c>
      <c r="C35" s="27">
        <v>17764069.445</v>
      </c>
      <c r="D35" s="27">
        <v>15100188.740000002</v>
      </c>
      <c r="E35" s="27">
        <v>17332196.1776</v>
      </c>
      <c r="F35" s="27">
        <v>15607926.970000001</v>
      </c>
      <c r="G35" s="28"/>
      <c r="H35" s="46">
        <f t="shared" si="2"/>
        <v>0.15149501051899369</v>
      </c>
      <c r="I35" s="46">
        <f t="shared" si="2"/>
        <v>0.12226406409891157</v>
      </c>
      <c r="J35" s="46">
        <f t="shared" si="2"/>
        <v>9.9422462699800665E-2</v>
      </c>
      <c r="K35" s="46">
        <f t="shared" si="2"/>
        <v>0.10643619325081334</v>
      </c>
      <c r="L35" s="46">
        <f t="shared" si="2"/>
        <v>9.322673106539929E-2</v>
      </c>
      <c r="M35" s="30"/>
      <c r="N35" s="49">
        <f t="shared" si="1"/>
        <v>-9.9483596304340889</v>
      </c>
      <c r="O35" s="31" t="s">
        <v>72</v>
      </c>
    </row>
    <row r="36" spans="1:15" ht="19.5" x14ac:dyDescent="0.25">
      <c r="A36" s="3" t="s">
        <v>73</v>
      </c>
      <c r="B36" s="27">
        <v>101.8</v>
      </c>
      <c r="C36" s="27">
        <v>1001018.28</v>
      </c>
      <c r="D36" s="27">
        <v>5909719.0500000007</v>
      </c>
      <c r="E36" s="27">
        <v>6284023.4399999995</v>
      </c>
      <c r="F36" s="27">
        <v>2601524.6399999997</v>
      </c>
      <c r="G36" s="28"/>
      <c r="H36" s="46">
        <f t="shared" si="2"/>
        <v>7.7980790728919084E-7</v>
      </c>
      <c r="I36" s="46">
        <f t="shared" si="2"/>
        <v>6.8896692578822669E-3</v>
      </c>
      <c r="J36" s="46">
        <f t="shared" si="2"/>
        <v>3.8910693894739119E-2</v>
      </c>
      <c r="K36" s="46">
        <f t="shared" si="2"/>
        <v>3.8589889382679286E-2</v>
      </c>
      <c r="L36" s="46">
        <f t="shared" si="2"/>
        <v>1.5539003894588933E-2</v>
      </c>
      <c r="M36" s="30"/>
      <c r="N36" s="49">
        <f t="shared" si="1"/>
        <v>-58.600971736668129</v>
      </c>
      <c r="O36" s="31" t="s">
        <v>74</v>
      </c>
    </row>
    <row r="37" spans="1:15" ht="19.5" x14ac:dyDescent="0.25">
      <c r="A37" s="3" t="s">
        <v>22</v>
      </c>
      <c r="B37" s="27">
        <v>0</v>
      </c>
      <c r="C37" s="27">
        <v>0</v>
      </c>
      <c r="D37" s="27">
        <v>2455050</v>
      </c>
      <c r="E37" s="27">
        <v>383500</v>
      </c>
      <c r="F37" s="27">
        <v>5139700</v>
      </c>
      <c r="G37" s="28"/>
      <c r="H37" s="46">
        <f t="shared" si="2"/>
        <v>0</v>
      </c>
      <c r="I37" s="46">
        <f t="shared" si="2"/>
        <v>0</v>
      </c>
      <c r="J37" s="46">
        <f t="shared" si="2"/>
        <v>1.6164507692845272E-2</v>
      </c>
      <c r="K37" s="46">
        <f t="shared" si="2"/>
        <v>2.3550552794019352E-3</v>
      </c>
      <c r="L37" s="46">
        <f t="shared" si="2"/>
        <v>3.0699620172353531E-2</v>
      </c>
      <c r="M37" s="30"/>
      <c r="N37" s="49">
        <f t="shared" si="1"/>
        <v>1240.2086049543677</v>
      </c>
      <c r="O37" s="31" t="s">
        <v>23</v>
      </c>
    </row>
    <row r="38" spans="1:15" ht="19.5" hidden="1" x14ac:dyDescent="0.25">
      <c r="A38" s="3" t="s">
        <v>75</v>
      </c>
      <c r="B38" s="27">
        <v>0</v>
      </c>
      <c r="C38" s="27">
        <v>0</v>
      </c>
      <c r="D38" s="27">
        <v>0</v>
      </c>
      <c r="E38" s="27">
        <v>0</v>
      </c>
      <c r="F38" s="27"/>
      <c r="G38" s="28"/>
      <c r="H38" s="46">
        <f t="shared" si="2"/>
        <v>0</v>
      </c>
      <c r="I38" s="46">
        <f t="shared" si="2"/>
        <v>0</v>
      </c>
      <c r="J38" s="46">
        <f t="shared" si="2"/>
        <v>0</v>
      </c>
      <c r="K38" s="46">
        <f t="shared" si="2"/>
        <v>0</v>
      </c>
      <c r="L38" s="46">
        <f t="shared" si="2"/>
        <v>0</v>
      </c>
      <c r="M38" s="30"/>
      <c r="N38" s="49"/>
      <c r="O38" s="31" t="s">
        <v>76</v>
      </c>
    </row>
    <row r="39" spans="1:15" ht="19.5" x14ac:dyDescent="0.25">
      <c r="A39" s="3" t="s">
        <v>77</v>
      </c>
      <c r="B39" s="27">
        <v>266000</v>
      </c>
      <c r="C39" s="27">
        <v>344000</v>
      </c>
      <c r="D39" s="27">
        <v>328000</v>
      </c>
      <c r="E39" s="27">
        <v>396000</v>
      </c>
      <c r="F39" s="27">
        <v>461500</v>
      </c>
      <c r="G39" s="28"/>
      <c r="H39" s="46">
        <f t="shared" si="2"/>
        <v>2.0376120170817759E-3</v>
      </c>
      <c r="I39" s="46">
        <f t="shared" si="2"/>
        <v>2.3676353090290214E-3</v>
      </c>
      <c r="J39" s="46">
        <f t="shared" si="2"/>
        <v>2.1596132556376654E-3</v>
      </c>
      <c r="K39" s="46">
        <f t="shared" si="2"/>
        <v>2.431817185510212E-3</v>
      </c>
      <c r="L39" s="46">
        <f t="shared" si="2"/>
        <v>2.7565567464134392E-3</v>
      </c>
      <c r="M39" s="30"/>
      <c r="N39" s="49">
        <f t="shared" si="1"/>
        <v>16.540404040404045</v>
      </c>
      <c r="O39" s="31" t="s">
        <v>78</v>
      </c>
    </row>
    <row r="40" spans="1:15" ht="19.5" hidden="1" x14ac:dyDescent="0.25">
      <c r="A40" s="3" t="s">
        <v>79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8"/>
      <c r="H40" s="46">
        <f t="shared" si="2"/>
        <v>0</v>
      </c>
      <c r="I40" s="46">
        <f t="shared" si="2"/>
        <v>0</v>
      </c>
      <c r="J40" s="46">
        <f t="shared" si="2"/>
        <v>0</v>
      </c>
      <c r="K40" s="46">
        <f t="shared" si="2"/>
        <v>0</v>
      </c>
      <c r="L40" s="46">
        <f t="shared" si="2"/>
        <v>0</v>
      </c>
      <c r="M40" s="30"/>
      <c r="N40" s="49"/>
      <c r="O40" s="31" t="s">
        <v>80</v>
      </c>
    </row>
    <row r="41" spans="1:15" ht="19.5" x14ac:dyDescent="0.25">
      <c r="A41" s="3" t="s">
        <v>81</v>
      </c>
      <c r="B41" s="27">
        <v>79956.509999999995</v>
      </c>
      <c r="C41" s="27">
        <v>280621.83</v>
      </c>
      <c r="D41" s="27">
        <v>104497.42</v>
      </c>
      <c r="E41" s="27">
        <v>89909.54</v>
      </c>
      <c r="F41" s="27">
        <v>156500.41999999998</v>
      </c>
      <c r="G41" s="28"/>
      <c r="H41" s="46">
        <f t="shared" si="2"/>
        <v>6.1248250233052323E-4</v>
      </c>
      <c r="I41" s="46">
        <f t="shared" si="2"/>
        <v>1.9314248639312199E-3</v>
      </c>
      <c r="J41" s="46">
        <f t="shared" si="2"/>
        <v>6.8803052869492829E-4</v>
      </c>
      <c r="K41" s="46">
        <f t="shared" si="2"/>
        <v>5.521302134174692E-4</v>
      </c>
      <c r="L41" s="46">
        <f t="shared" si="2"/>
        <v>9.3478285713442398E-4</v>
      </c>
      <c r="M41" s="30"/>
      <c r="N41" s="49">
        <f t="shared" si="1"/>
        <v>74.064309527109145</v>
      </c>
      <c r="O41" s="31" t="s">
        <v>82</v>
      </c>
    </row>
    <row r="42" spans="1:15" ht="19.5" x14ac:dyDescent="0.25">
      <c r="A42" s="3" t="s">
        <v>83</v>
      </c>
      <c r="B42" s="27">
        <v>84000</v>
      </c>
      <c r="C42" s="27">
        <v>84000</v>
      </c>
      <c r="D42" s="27">
        <v>96000</v>
      </c>
      <c r="E42" s="27">
        <v>84000</v>
      </c>
      <c r="F42" s="27">
        <v>54000</v>
      </c>
      <c r="G42" s="28"/>
      <c r="H42" s="46">
        <f t="shared" si="2"/>
        <v>6.4345642644687655E-4</v>
      </c>
      <c r="I42" s="46">
        <f t="shared" si="2"/>
        <v>5.7814350569313313E-4</v>
      </c>
      <c r="J42" s="46">
        <f t="shared" si="2"/>
        <v>6.320819284793167E-4</v>
      </c>
      <c r="K42" s="46">
        <f t="shared" si="2"/>
        <v>5.1584000904762067E-4</v>
      </c>
      <c r="L42" s="46">
        <f t="shared" si="2"/>
        <v>3.2254401799853899E-4</v>
      </c>
      <c r="M42" s="30"/>
      <c r="N42" s="49">
        <f t="shared" si="1"/>
        <v>-35.714285714285708</v>
      </c>
      <c r="O42" s="31" t="s">
        <v>84</v>
      </c>
    </row>
    <row r="43" spans="1:15" ht="19.5" x14ac:dyDescent="0.25">
      <c r="A43" s="3" t="s">
        <v>85</v>
      </c>
      <c r="B43" s="27">
        <v>3781185.34</v>
      </c>
      <c r="C43" s="27">
        <v>3216364.4099999997</v>
      </c>
      <c r="D43" s="27">
        <v>8311090.0599999996</v>
      </c>
      <c r="E43" s="27">
        <v>7771360.8099999987</v>
      </c>
      <c r="F43" s="27">
        <v>7489192.6700000009</v>
      </c>
      <c r="G43" s="28"/>
      <c r="H43" s="46">
        <f t="shared" si="2"/>
        <v>2.8964619126306167E-2</v>
      </c>
      <c r="I43" s="46">
        <f t="shared" si="2"/>
        <v>2.2137145185524117E-2</v>
      </c>
      <c r="J43" s="46">
        <f t="shared" si="2"/>
        <v>5.472176909260499E-2</v>
      </c>
      <c r="K43" s="46">
        <f t="shared" si="2"/>
        <v>4.7723557506461005E-2</v>
      </c>
      <c r="L43" s="46">
        <f t="shared" si="2"/>
        <v>4.4733227691611227E-2</v>
      </c>
      <c r="M43" s="30"/>
      <c r="N43" s="49">
        <f t="shared" si="1"/>
        <v>-3.6308716954295939</v>
      </c>
      <c r="O43" s="31" t="s">
        <v>86</v>
      </c>
    </row>
    <row r="44" spans="1:15" ht="19.5" x14ac:dyDescent="0.25">
      <c r="A44" s="3" t="s">
        <v>87</v>
      </c>
      <c r="B44" s="27">
        <v>0</v>
      </c>
      <c r="C44" s="27">
        <v>0</v>
      </c>
      <c r="D44" s="27">
        <v>233536</v>
      </c>
      <c r="E44" s="27">
        <v>2965677</v>
      </c>
      <c r="F44" s="27">
        <v>2805574</v>
      </c>
      <c r="G44" s="28"/>
      <c r="H44" s="46">
        <f t="shared" si="2"/>
        <v>0</v>
      </c>
      <c r="I44" s="46">
        <f t="shared" si="2"/>
        <v>0</v>
      </c>
      <c r="J44" s="46">
        <f t="shared" si="2"/>
        <v>1.5376446380140178E-3</v>
      </c>
      <c r="K44" s="46">
        <f t="shared" si="2"/>
        <v>1.8212081553718104E-2</v>
      </c>
      <c r="L44" s="46">
        <f t="shared" si="2"/>
        <v>1.6757798347263573E-2</v>
      </c>
      <c r="M44" s="30"/>
      <c r="N44" s="49">
        <f t="shared" si="1"/>
        <v>-5.3985312628448749</v>
      </c>
      <c r="O44" s="31"/>
    </row>
    <row r="45" spans="1:15" ht="19.5" x14ac:dyDescent="0.25">
      <c r="A45" s="3" t="s">
        <v>88</v>
      </c>
      <c r="B45" s="27">
        <v>248727790</v>
      </c>
      <c r="C45" s="27">
        <v>262209160</v>
      </c>
      <c r="D45" s="27">
        <v>263253500</v>
      </c>
      <c r="E45" s="27">
        <v>304371750</v>
      </c>
      <c r="F45" s="27">
        <v>319378590</v>
      </c>
      <c r="G45" s="28"/>
      <c r="H45" s="46">
        <f t="shared" si="2"/>
        <v>1.9053035108503473</v>
      </c>
      <c r="I45" s="46">
        <f t="shared" si="2"/>
        <v>1.8046967022291867</v>
      </c>
      <c r="J45" s="46">
        <f>D45/D$7*100</f>
        <v>1.7333102079055185</v>
      </c>
      <c r="K45" s="46">
        <f>E45/E$7*100</f>
        <v>1.8691324556409543</v>
      </c>
      <c r="L45" s="46">
        <f>F45/F$7*100</f>
        <v>1.9076602533575553</v>
      </c>
      <c r="M45" s="30"/>
      <c r="N45" s="49">
        <f t="shared" si="1"/>
        <v>4.9304312900261049</v>
      </c>
      <c r="O45" s="31" t="s">
        <v>89</v>
      </c>
    </row>
    <row r="46" spans="1:15" ht="21" customHeight="1" x14ac:dyDescent="0.25">
      <c r="A46" s="3" t="s">
        <v>90</v>
      </c>
      <c r="B46" s="27">
        <v>1699000</v>
      </c>
      <c r="C46" s="27">
        <v>1458085</v>
      </c>
      <c r="D46" s="27">
        <v>1736165</v>
      </c>
      <c r="E46" s="27">
        <v>2261845</v>
      </c>
      <c r="F46" s="27">
        <v>2131325</v>
      </c>
      <c r="G46" s="28"/>
      <c r="H46" s="46">
        <f t="shared" si="2"/>
        <v>1.3014672244443373E-2</v>
      </c>
      <c r="I46" s="46">
        <f t="shared" si="2"/>
        <v>1.0035504446411573E-2</v>
      </c>
      <c r="J46" s="46">
        <f t="shared" si="2"/>
        <v>1.1431234597482217E-2</v>
      </c>
      <c r="K46" s="46">
        <f t="shared" si="2"/>
        <v>1.3889882681718044E-2</v>
      </c>
      <c r="L46" s="46">
        <f t="shared" si="2"/>
        <v>1.2730483873346963E-2</v>
      </c>
      <c r="M46" s="30"/>
      <c r="N46" s="49">
        <f t="shared" si="1"/>
        <v>-5.7705103576947137</v>
      </c>
      <c r="O46" s="31" t="s">
        <v>91</v>
      </c>
    </row>
    <row r="47" spans="1:15" ht="19.5" x14ac:dyDescent="0.25">
      <c r="A47" s="3" t="s">
        <v>92</v>
      </c>
      <c r="B47" s="27">
        <v>37610881.899999999</v>
      </c>
      <c r="C47" s="27">
        <v>43317638.149999999</v>
      </c>
      <c r="D47" s="27">
        <v>44345946.150000006</v>
      </c>
      <c r="E47" s="27">
        <v>47580636.43</v>
      </c>
      <c r="F47" s="27">
        <v>17580224.899999999</v>
      </c>
      <c r="G47" s="28"/>
      <c r="H47" s="46">
        <f t="shared" si="2"/>
        <v>0.28810671027249418</v>
      </c>
      <c r="I47" s="46">
        <f t="shared" si="2"/>
        <v>0.29814060926651914</v>
      </c>
      <c r="J47" s="46">
        <f t="shared" si="2"/>
        <v>0.29198199127845764</v>
      </c>
      <c r="K47" s="46">
        <f>E47/E$7*100</f>
        <v>0.29219042769693748</v>
      </c>
      <c r="L47" s="46">
        <f t="shared" si="2"/>
        <v>0.10500734030674003</v>
      </c>
      <c r="M47" s="30"/>
      <c r="N47" s="49">
        <f t="shared" si="1"/>
        <v>-63.051723938447537</v>
      </c>
      <c r="O47" s="31" t="s">
        <v>24</v>
      </c>
    </row>
    <row r="48" spans="1:15" ht="19.5" x14ac:dyDescent="0.25">
      <c r="A48" s="3" t="s">
        <v>93</v>
      </c>
      <c r="B48" s="27">
        <v>690960.24000000011</v>
      </c>
      <c r="C48" s="27">
        <v>926804.19000000018</v>
      </c>
      <c r="D48" s="27">
        <v>874045.94</v>
      </c>
      <c r="E48" s="27">
        <v>790246.92000000016</v>
      </c>
      <c r="F48" s="27">
        <v>615506.92000000016</v>
      </c>
      <c r="G48" s="28"/>
      <c r="H48" s="46">
        <f t="shared" si="2"/>
        <v>5.2928905577056705E-3</v>
      </c>
      <c r="I48" s="46">
        <f t="shared" si="2"/>
        <v>6.3788788511629137E-3</v>
      </c>
      <c r="J48" s="46">
        <f t="shared" si="2"/>
        <v>5.7548817014033025E-3</v>
      </c>
      <c r="K48" s="46">
        <f t="shared" si="2"/>
        <v>4.8528687900316007E-3</v>
      </c>
      <c r="L48" s="46">
        <f t="shared" si="2"/>
        <v>3.6764458348649137E-3</v>
      </c>
      <c r="M48" s="30"/>
      <c r="N48" s="49">
        <f t="shared" si="1"/>
        <v>-22.112076058455244</v>
      </c>
      <c r="O48" s="31" t="s">
        <v>94</v>
      </c>
    </row>
    <row r="49" spans="1:16" ht="19.5" x14ac:dyDescent="0.25">
      <c r="A49" s="3" t="s">
        <v>95</v>
      </c>
      <c r="B49" s="27">
        <v>6211579.3000000007</v>
      </c>
      <c r="C49" s="27">
        <v>12137275.700000001</v>
      </c>
      <c r="D49" s="27">
        <v>26647124.090000004</v>
      </c>
      <c r="E49" s="27">
        <v>41135168.560000002</v>
      </c>
      <c r="F49" s="27">
        <v>17461011.800000001</v>
      </c>
      <c r="G49" s="28"/>
      <c r="H49" s="46">
        <f t="shared" si="2"/>
        <v>4.7581912130588003E-2</v>
      </c>
      <c r="I49" s="46">
        <f t="shared" si="2"/>
        <v>8.3536751461453312E-2</v>
      </c>
      <c r="J49" s="46">
        <f t="shared" si="2"/>
        <v>0.17544964149202977</v>
      </c>
      <c r="K49" s="46">
        <f t="shared" si="2"/>
        <v>0.25260911574006906</v>
      </c>
      <c r="L49" s="46">
        <f t="shared" si="2"/>
        <v>0.10429527600540557</v>
      </c>
      <c r="M49" s="30"/>
      <c r="N49" s="49">
        <f t="shared" si="1"/>
        <v>-57.552108302336812</v>
      </c>
      <c r="O49" s="31" t="s">
        <v>96</v>
      </c>
    </row>
    <row r="50" spans="1:16" ht="19.5" x14ac:dyDescent="0.25">
      <c r="A50" s="3" t="s">
        <v>97</v>
      </c>
      <c r="B50" s="27">
        <v>0</v>
      </c>
      <c r="C50" s="27">
        <v>0</v>
      </c>
      <c r="D50" s="27">
        <v>0</v>
      </c>
      <c r="E50" s="27">
        <v>0</v>
      </c>
      <c r="F50" s="27">
        <v>1205.75</v>
      </c>
      <c r="G50" s="28"/>
      <c r="H50" s="46">
        <f t="shared" si="2"/>
        <v>0</v>
      </c>
      <c r="I50" s="46">
        <f t="shared" si="2"/>
        <v>0</v>
      </c>
      <c r="J50" s="46">
        <f t="shared" si="2"/>
        <v>0</v>
      </c>
      <c r="K50" s="46">
        <f t="shared" si="2"/>
        <v>0</v>
      </c>
      <c r="L50" s="46">
        <f t="shared" si="2"/>
        <v>7.2019898092914501E-6</v>
      </c>
      <c r="M50" s="30"/>
      <c r="N50" s="50" t="s">
        <v>143</v>
      </c>
      <c r="O50" s="31" t="s">
        <v>98</v>
      </c>
    </row>
    <row r="51" spans="1:16" ht="19.5" hidden="1" x14ac:dyDescent="0.25">
      <c r="A51" s="3" t="s">
        <v>99</v>
      </c>
      <c r="B51" s="27">
        <v>0</v>
      </c>
      <c r="C51" s="27">
        <v>0</v>
      </c>
      <c r="D51" s="27">
        <v>0</v>
      </c>
      <c r="E51" s="27">
        <v>0</v>
      </c>
      <c r="F51" s="27">
        <v>0</v>
      </c>
      <c r="G51" s="28"/>
      <c r="H51" s="46">
        <f t="shared" si="2"/>
        <v>0</v>
      </c>
      <c r="I51" s="46">
        <f t="shared" si="2"/>
        <v>0</v>
      </c>
      <c r="J51" s="46">
        <f t="shared" si="2"/>
        <v>0</v>
      </c>
      <c r="K51" s="46">
        <f t="shared" si="2"/>
        <v>0</v>
      </c>
      <c r="L51" s="46">
        <f t="shared" si="2"/>
        <v>0</v>
      </c>
      <c r="M51" s="30"/>
      <c r="N51" s="49"/>
      <c r="O51" s="31" t="s">
        <v>100</v>
      </c>
    </row>
    <row r="52" spans="1:16" ht="18.75" x14ac:dyDescent="0.25">
      <c r="A52" s="3" t="s">
        <v>101</v>
      </c>
      <c r="B52" s="27">
        <v>2532700</v>
      </c>
      <c r="C52" s="27">
        <v>1649900</v>
      </c>
      <c r="D52" s="27">
        <v>1177000</v>
      </c>
      <c r="E52" s="27">
        <v>1207500</v>
      </c>
      <c r="F52" s="27">
        <v>1506700</v>
      </c>
      <c r="G52" s="28"/>
      <c r="H52" s="46">
        <f t="shared" si="2"/>
        <v>1.9400977276928622E-2</v>
      </c>
      <c r="I52" s="46">
        <f t="shared" si="2"/>
        <v>1.1355702024322626E-2</v>
      </c>
      <c r="J52" s="46">
        <f t="shared" si="2"/>
        <v>7.7495878106266227E-3</v>
      </c>
      <c r="K52" s="46">
        <f t="shared" si="2"/>
        <v>7.4152001300595476E-3</v>
      </c>
      <c r="L52" s="46">
        <f t="shared" si="2"/>
        <v>8.9995754058962707E-3</v>
      </c>
      <c r="M52" s="30"/>
      <c r="N52" s="49">
        <f t="shared" si="1"/>
        <v>24.778467908902702</v>
      </c>
      <c r="O52" s="4" t="s">
        <v>102</v>
      </c>
    </row>
    <row r="53" spans="1:16" ht="18.75" x14ac:dyDescent="0.25">
      <c r="A53" s="3" t="s">
        <v>103</v>
      </c>
      <c r="B53" s="27">
        <v>0</v>
      </c>
      <c r="C53" s="27">
        <v>0</v>
      </c>
      <c r="D53" s="27">
        <v>16865000</v>
      </c>
      <c r="E53" s="27">
        <v>21484000</v>
      </c>
      <c r="F53" s="27">
        <v>6136000</v>
      </c>
      <c r="G53" s="28"/>
      <c r="H53" s="46">
        <f t="shared" si="2"/>
        <v>0</v>
      </c>
      <c r="I53" s="46">
        <f t="shared" si="2"/>
        <v>0</v>
      </c>
      <c r="J53" s="46">
        <f t="shared" si="2"/>
        <v>0.11104230962295494</v>
      </c>
      <c r="K53" s="46">
        <f t="shared" si="2"/>
        <v>0.13193222326641765</v>
      </c>
      <c r="L53" s="46">
        <f t="shared" si="2"/>
        <v>3.6650557304426575E-2</v>
      </c>
      <c r="M53" s="30"/>
      <c r="N53" s="49">
        <f t="shared" si="1"/>
        <v>-71.439210575311861</v>
      </c>
      <c r="O53" s="4" t="s">
        <v>25</v>
      </c>
      <c r="P53" s="1" t="s">
        <v>104</v>
      </c>
    </row>
    <row r="54" spans="1:16" ht="19.5" x14ac:dyDescent="0.25">
      <c r="A54" s="3" t="s">
        <v>105</v>
      </c>
      <c r="B54" s="27">
        <v>1197553906.7121</v>
      </c>
      <c r="C54" s="27">
        <v>1449680465.8505001</v>
      </c>
      <c r="D54" s="27">
        <v>1401635711.642</v>
      </c>
      <c r="E54" s="27">
        <v>1532773547.8168001</v>
      </c>
      <c r="F54" s="27">
        <v>1646551366.4556005</v>
      </c>
      <c r="G54" s="28"/>
      <c r="H54" s="46">
        <f t="shared" si="2"/>
        <v>9.1734971106007634</v>
      </c>
      <c r="I54" s="46">
        <f t="shared" si="2"/>
        <v>9.9776588888293176</v>
      </c>
      <c r="J54" s="46">
        <f t="shared" si="2"/>
        <v>9.2286312879182777</v>
      </c>
      <c r="K54" s="46">
        <f t="shared" si="2"/>
        <v>9.4126895330210925</v>
      </c>
      <c r="L54" s="46">
        <f t="shared" si="2"/>
        <v>9.8349128440291498</v>
      </c>
      <c r="M54" s="30"/>
      <c r="N54" s="49">
        <f t="shared" si="1"/>
        <v>7.4230024911937864</v>
      </c>
      <c r="O54" s="31" t="s">
        <v>106</v>
      </c>
    </row>
    <row r="55" spans="1:16" ht="19.5" x14ac:dyDescent="0.25">
      <c r="A55" s="3" t="s">
        <v>107</v>
      </c>
      <c r="B55" s="27">
        <v>632505.73799999978</v>
      </c>
      <c r="C55" s="27">
        <v>152966.62</v>
      </c>
      <c r="D55" s="27">
        <v>3072</v>
      </c>
      <c r="E55" s="27">
        <v>3561.2</v>
      </c>
      <c r="F55" s="27">
        <v>0</v>
      </c>
      <c r="G55" s="28"/>
      <c r="H55" s="46">
        <f t="shared" si="2"/>
        <v>4.8451176414360028E-3</v>
      </c>
      <c r="I55" s="46">
        <f t="shared" si="2"/>
        <v>1.0528173564384447E-3</v>
      </c>
      <c r="J55" s="46">
        <f t="shared" si="2"/>
        <v>2.0226621711338131E-5</v>
      </c>
      <c r="K55" s="46">
        <f t="shared" si="2"/>
        <v>2.1869160002623652E-5</v>
      </c>
      <c r="L55" s="46">
        <f t="shared" si="2"/>
        <v>0</v>
      </c>
      <c r="M55" s="30"/>
      <c r="N55" s="49">
        <f t="shared" si="1"/>
        <v>-100</v>
      </c>
      <c r="O55" s="31" t="s">
        <v>108</v>
      </c>
    </row>
    <row r="56" spans="1:16" ht="19.5" x14ac:dyDescent="0.25">
      <c r="A56" s="3" t="s">
        <v>109</v>
      </c>
      <c r="B56" s="27">
        <v>1086200</v>
      </c>
      <c r="C56" s="27">
        <v>1203850</v>
      </c>
      <c r="D56" s="27">
        <v>1746700</v>
      </c>
      <c r="E56" s="27">
        <v>1797650</v>
      </c>
      <c r="F56" s="27">
        <v>1957100</v>
      </c>
      <c r="G56" s="28"/>
      <c r="H56" s="46">
        <f t="shared" si="2"/>
        <v>8.3205044096023497E-3</v>
      </c>
      <c r="I56" s="46">
        <f t="shared" si="2"/>
        <v>8.2856911824842668E-3</v>
      </c>
      <c r="J56" s="46">
        <f t="shared" si="2"/>
        <v>1.1500599004946066E-2</v>
      </c>
      <c r="K56" s="46">
        <f t="shared" si="2"/>
        <v>1.1039283241243515E-2</v>
      </c>
      <c r="L56" s="46">
        <f t="shared" si="2"/>
        <v>1.1689831437498901E-2</v>
      </c>
      <c r="M56" s="30"/>
      <c r="N56" s="49">
        <f t="shared" si="1"/>
        <v>8.8699134981781835</v>
      </c>
      <c r="O56" s="31" t="s">
        <v>110</v>
      </c>
    </row>
    <row r="57" spans="1:16" ht="24.75" customHeight="1" x14ac:dyDescent="0.25">
      <c r="A57" s="3" t="s">
        <v>111</v>
      </c>
      <c r="B57" s="27">
        <v>0</v>
      </c>
      <c r="C57" s="27">
        <v>12000</v>
      </c>
      <c r="D57" s="27">
        <v>0</v>
      </c>
      <c r="E57" s="27">
        <v>0</v>
      </c>
      <c r="F57" s="27">
        <v>0</v>
      </c>
      <c r="G57" s="28"/>
      <c r="H57" s="46">
        <f t="shared" si="2"/>
        <v>0</v>
      </c>
      <c r="I57" s="46">
        <f t="shared" si="2"/>
        <v>8.2591929384733312E-5</v>
      </c>
      <c r="J57" s="46">
        <f t="shared" si="2"/>
        <v>0</v>
      </c>
      <c r="K57" s="46">
        <f t="shared" si="2"/>
        <v>0</v>
      </c>
      <c r="L57" s="46">
        <f t="shared" si="2"/>
        <v>0</v>
      </c>
      <c r="M57" s="30"/>
      <c r="N57" s="50" t="s">
        <v>143</v>
      </c>
      <c r="O57" s="31" t="s">
        <v>112</v>
      </c>
    </row>
    <row r="58" spans="1:16" ht="19.5" x14ac:dyDescent="0.25">
      <c r="A58" s="3" t="s">
        <v>113</v>
      </c>
      <c r="B58" s="27">
        <v>781481.62</v>
      </c>
      <c r="C58" s="27">
        <v>4074889.67</v>
      </c>
      <c r="D58" s="27">
        <v>6801211.5499999998</v>
      </c>
      <c r="E58" s="27">
        <v>13826229.16</v>
      </c>
      <c r="F58" s="27">
        <v>10244081.279999999</v>
      </c>
      <c r="G58" s="28"/>
      <c r="H58" s="46">
        <f t="shared" si="2"/>
        <v>5.9863020302275711E-3</v>
      </c>
      <c r="I58" s="46">
        <f t="shared" si="2"/>
        <v>2.8046083322934935E-2</v>
      </c>
      <c r="J58" s="46">
        <f t="shared" si="2"/>
        <v>4.4780447005414607E-2</v>
      </c>
      <c r="K58" s="46">
        <f t="shared" si="2"/>
        <v>8.4906216368915197E-2</v>
      </c>
      <c r="L58" s="46">
        <f t="shared" si="2"/>
        <v>6.1188280310274373E-2</v>
      </c>
      <c r="M58" s="30"/>
      <c r="N58" s="49">
        <f t="shared" si="1"/>
        <v>-25.908350270682202</v>
      </c>
      <c r="O58" s="31" t="s">
        <v>114</v>
      </c>
    </row>
    <row r="59" spans="1:16" ht="19.5" x14ac:dyDescent="0.25">
      <c r="A59" s="3" t="s">
        <v>115</v>
      </c>
      <c r="B59" s="27">
        <v>62245584.850000001</v>
      </c>
      <c r="C59" s="27">
        <v>75695789.819999993</v>
      </c>
      <c r="D59" s="27">
        <v>83803210</v>
      </c>
      <c r="E59" s="27">
        <v>92384692.730000004</v>
      </c>
      <c r="F59" s="27">
        <v>107425337.20999999</v>
      </c>
      <c r="G59" s="28"/>
      <c r="H59" s="46">
        <f t="shared" si="2"/>
        <v>0.47681335225805765</v>
      </c>
      <c r="I59" s="46">
        <f t="shared" si="2"/>
        <v>0.52098844396125454</v>
      </c>
      <c r="J59" s="46">
        <f t="shared" si="2"/>
        <v>0.55177598530788707</v>
      </c>
      <c r="K59" s="46">
        <f t="shared" si="2"/>
        <v>0.56733000873458161</v>
      </c>
      <c r="L59" s="46">
        <f t="shared" si="2"/>
        <v>0.64165555367706206</v>
      </c>
      <c r="M59" s="30"/>
      <c r="N59" s="49">
        <f t="shared" si="1"/>
        <v>16.280450836111136</v>
      </c>
      <c r="O59" s="31" t="s">
        <v>116</v>
      </c>
    </row>
    <row r="60" spans="1:16" ht="24" customHeight="1" x14ac:dyDescent="0.25">
      <c r="A60" s="35" t="s">
        <v>117</v>
      </c>
      <c r="B60" s="27">
        <v>7051600.6999999993</v>
      </c>
      <c r="C60" s="27">
        <v>20481678.534299999</v>
      </c>
      <c r="D60" s="27">
        <v>28434516.049999997</v>
      </c>
      <c r="E60" s="27">
        <v>26636826.970000003</v>
      </c>
      <c r="F60" s="27">
        <v>27330248.999999993</v>
      </c>
      <c r="G60" s="28"/>
      <c r="H60" s="46">
        <f t="shared" si="2"/>
        <v>5.4016640323241577E-2</v>
      </c>
      <c r="I60" s="46">
        <f t="shared" si="2"/>
        <v>0.14096844559880947</v>
      </c>
      <c r="J60" s="46">
        <f t="shared" si="2"/>
        <v>0.18721816396104252</v>
      </c>
      <c r="K60" s="46">
        <f t="shared" si="2"/>
        <v>0.16357548887148463</v>
      </c>
      <c r="L60" s="46">
        <f t="shared" ref="L60:L68" si="3">F60/F$7*100</f>
        <v>0.16324459861778792</v>
      </c>
      <c r="M60" s="30"/>
      <c r="N60" s="49">
        <f t="shared" si="1"/>
        <v>2.6032456147309313</v>
      </c>
      <c r="O60" s="31" t="s">
        <v>118</v>
      </c>
    </row>
    <row r="61" spans="1:16" ht="24" customHeight="1" x14ac:dyDescent="0.25">
      <c r="A61" s="35" t="s">
        <v>119</v>
      </c>
      <c r="B61" s="27">
        <v>31388.42</v>
      </c>
      <c r="C61" s="27">
        <v>0</v>
      </c>
      <c r="D61" s="27">
        <v>0</v>
      </c>
      <c r="E61" s="27">
        <v>0</v>
      </c>
      <c r="F61" s="27">
        <v>0</v>
      </c>
      <c r="G61" s="28"/>
      <c r="H61" s="46">
        <f t="shared" ref="H61:K68" si="4">B61/B$7*100</f>
        <v>2.404414352977818E-4</v>
      </c>
      <c r="I61" s="46">
        <f t="shared" si="4"/>
        <v>0</v>
      </c>
      <c r="J61" s="46">
        <f t="shared" si="4"/>
        <v>0</v>
      </c>
      <c r="K61" s="46">
        <f t="shared" si="4"/>
        <v>0</v>
      </c>
      <c r="L61" s="46">
        <f t="shared" si="3"/>
        <v>0</v>
      </c>
      <c r="M61" s="30"/>
      <c r="N61" s="50" t="s">
        <v>143</v>
      </c>
      <c r="O61" s="36" t="s">
        <v>120</v>
      </c>
    </row>
    <row r="62" spans="1:16" ht="24" customHeight="1" x14ac:dyDescent="0.25">
      <c r="A62" s="35" t="s">
        <v>121</v>
      </c>
      <c r="B62" s="27">
        <v>0</v>
      </c>
      <c r="C62" s="27">
        <v>0</v>
      </c>
      <c r="D62" s="27">
        <v>155000</v>
      </c>
      <c r="E62" s="27">
        <v>110000</v>
      </c>
      <c r="F62" s="27">
        <v>160000</v>
      </c>
      <c r="G62" s="28"/>
      <c r="H62" s="46">
        <f t="shared" si="4"/>
        <v>0</v>
      </c>
      <c r="I62" s="46">
        <f t="shared" si="4"/>
        <v>0</v>
      </c>
      <c r="J62" s="46">
        <f t="shared" si="4"/>
        <v>1.0205489470238968E-3</v>
      </c>
      <c r="K62" s="46">
        <f t="shared" si="4"/>
        <v>6.755047737528366E-4</v>
      </c>
      <c r="L62" s="46">
        <f t="shared" si="3"/>
        <v>9.5568597925493025E-4</v>
      </c>
      <c r="M62" s="30"/>
      <c r="N62" s="49">
        <f t="shared" si="1"/>
        <v>45.45454545454546</v>
      </c>
      <c r="O62" s="36" t="s">
        <v>122</v>
      </c>
    </row>
    <row r="63" spans="1:16" ht="24" customHeight="1" x14ac:dyDescent="0.25">
      <c r="A63" s="35" t="s">
        <v>123</v>
      </c>
      <c r="B63" s="27">
        <v>0</v>
      </c>
      <c r="C63" s="27">
        <v>0</v>
      </c>
      <c r="D63" s="27">
        <v>635373.4</v>
      </c>
      <c r="E63" s="27">
        <v>555500</v>
      </c>
      <c r="F63" s="27">
        <v>647000</v>
      </c>
      <c r="G63" s="28"/>
      <c r="H63" s="46">
        <f t="shared" si="4"/>
        <v>0</v>
      </c>
      <c r="I63" s="46">
        <f t="shared" si="4"/>
        <v>0</v>
      </c>
      <c r="J63" s="46">
        <f t="shared" si="4"/>
        <v>4.1834171247547951E-3</v>
      </c>
      <c r="K63" s="46">
        <f t="shared" si="4"/>
        <v>3.4112991074518252E-3</v>
      </c>
      <c r="L63" s="46">
        <f t="shared" si="3"/>
        <v>3.8645551786121242E-3</v>
      </c>
      <c r="M63" s="30"/>
      <c r="N63" s="49">
        <f t="shared" si="1"/>
        <v>16.471647164716472</v>
      </c>
      <c r="O63" s="36" t="s">
        <v>124</v>
      </c>
    </row>
    <row r="64" spans="1:16" ht="24" customHeight="1" x14ac:dyDescent="0.25">
      <c r="A64" s="35" t="s">
        <v>125</v>
      </c>
      <c r="B64" s="27">
        <v>0</v>
      </c>
      <c r="C64" s="27">
        <v>0</v>
      </c>
      <c r="D64" s="27">
        <v>3747036.15</v>
      </c>
      <c r="E64" s="27">
        <v>4397050.95</v>
      </c>
      <c r="F64" s="27">
        <v>5647217.6000000015</v>
      </c>
      <c r="G64" s="28"/>
      <c r="H64" s="46">
        <f t="shared" si="4"/>
        <v>0</v>
      </c>
      <c r="I64" s="46">
        <f t="shared" si="4"/>
        <v>0</v>
      </c>
      <c r="J64" s="46">
        <f t="shared" si="4"/>
        <v>2.4671185789309519E-2</v>
      </c>
      <c r="K64" s="46">
        <f t="shared" si="4"/>
        <v>2.7002080974176779E-2</v>
      </c>
      <c r="L64" s="46">
        <f t="shared" si="3"/>
        <v>3.3731041763260486E-2</v>
      </c>
      <c r="M64" s="30"/>
      <c r="N64" s="49">
        <f t="shared" si="1"/>
        <v>28.431934590159823</v>
      </c>
      <c r="O64" s="36" t="s">
        <v>126</v>
      </c>
    </row>
    <row r="65" spans="1:17" ht="24" customHeight="1" x14ac:dyDescent="0.25">
      <c r="A65" s="35" t="s">
        <v>127</v>
      </c>
      <c r="B65" s="27">
        <v>0</v>
      </c>
      <c r="C65" s="27">
        <v>0</v>
      </c>
      <c r="D65" s="27">
        <v>146500</v>
      </c>
      <c r="E65" s="27">
        <v>110000</v>
      </c>
      <c r="F65" s="27">
        <v>105000</v>
      </c>
      <c r="G65" s="28"/>
      <c r="H65" s="46">
        <f t="shared" si="4"/>
        <v>0</v>
      </c>
      <c r="I65" s="46">
        <f t="shared" si="4"/>
        <v>0</v>
      </c>
      <c r="J65" s="46">
        <f t="shared" si="4"/>
        <v>9.6458335960645711E-4</v>
      </c>
      <c r="K65" s="46">
        <f t="shared" si="4"/>
        <v>6.755047737528366E-4</v>
      </c>
      <c r="L65" s="46">
        <f t="shared" si="3"/>
        <v>6.2716892388604796E-4</v>
      </c>
      <c r="M65" s="30"/>
      <c r="N65" s="49">
        <f t="shared" si="1"/>
        <v>-4.5454545454545414</v>
      </c>
      <c r="O65" s="36" t="s">
        <v>128</v>
      </c>
    </row>
    <row r="66" spans="1:17" ht="24" customHeight="1" x14ac:dyDescent="0.25">
      <c r="A66" s="35" t="s">
        <v>129</v>
      </c>
      <c r="B66" s="27">
        <v>0</v>
      </c>
      <c r="C66" s="27">
        <v>0</v>
      </c>
      <c r="D66" s="27">
        <v>480000</v>
      </c>
      <c r="E66" s="27">
        <v>480000</v>
      </c>
      <c r="F66" s="27">
        <v>460000</v>
      </c>
      <c r="G66" s="28"/>
      <c r="H66" s="46">
        <f t="shared" si="4"/>
        <v>0</v>
      </c>
      <c r="I66" s="46">
        <f t="shared" si="4"/>
        <v>0</v>
      </c>
      <c r="J66" s="46">
        <f t="shared" si="4"/>
        <v>3.1604096423965833E-3</v>
      </c>
      <c r="K66" s="46">
        <f t="shared" si="4"/>
        <v>2.9476571945578323E-3</v>
      </c>
      <c r="L66" s="46">
        <f t="shared" si="3"/>
        <v>2.7475971903579244E-3</v>
      </c>
      <c r="M66" s="30"/>
      <c r="N66" s="49">
        <f t="shared" si="1"/>
        <v>-4.1666666666666625</v>
      </c>
      <c r="O66" s="36" t="s">
        <v>130</v>
      </c>
    </row>
    <row r="67" spans="1:17" ht="24" customHeight="1" x14ac:dyDescent="0.25">
      <c r="A67" s="35" t="s">
        <v>131</v>
      </c>
      <c r="B67" s="27">
        <v>0</v>
      </c>
      <c r="C67" s="27">
        <v>0</v>
      </c>
      <c r="D67" s="27">
        <v>398443.62239999999</v>
      </c>
      <c r="E67" s="27">
        <v>198832.70610000001</v>
      </c>
      <c r="F67" s="27">
        <v>0</v>
      </c>
      <c r="G67" s="28"/>
      <c r="H67" s="46">
        <f t="shared" si="4"/>
        <v>0</v>
      </c>
      <c r="I67" s="46">
        <f t="shared" si="4"/>
        <v>0</v>
      </c>
      <c r="J67" s="46">
        <f t="shared" si="4"/>
        <v>2.6234272212174647E-3</v>
      </c>
      <c r="K67" s="46">
        <f t="shared" si="4"/>
        <v>1.2210222013522253E-3</v>
      </c>
      <c r="L67" s="46">
        <f t="shared" si="3"/>
        <v>0</v>
      </c>
      <c r="M67" s="30"/>
      <c r="N67" s="49">
        <f>(F67/E67-1)*100</f>
        <v>-100</v>
      </c>
      <c r="O67" s="36" t="s">
        <v>132</v>
      </c>
    </row>
    <row r="68" spans="1:17" ht="24" customHeight="1" x14ac:dyDescent="0.25">
      <c r="A68" s="37" t="s">
        <v>133</v>
      </c>
      <c r="B68" s="27">
        <v>0</v>
      </c>
      <c r="C68" s="27">
        <v>0</v>
      </c>
      <c r="D68" s="27">
        <v>0</v>
      </c>
      <c r="E68" s="27">
        <v>0</v>
      </c>
      <c r="F68" s="27">
        <v>855820.26</v>
      </c>
      <c r="G68" s="28"/>
      <c r="H68" s="47">
        <f t="shared" si="4"/>
        <v>0</v>
      </c>
      <c r="I68" s="47">
        <f t="shared" si="4"/>
        <v>0</v>
      </c>
      <c r="J68" s="47">
        <f t="shared" si="4"/>
        <v>0</v>
      </c>
      <c r="K68" s="47">
        <f t="shared" si="4"/>
        <v>0</v>
      </c>
      <c r="L68" s="47">
        <f t="shared" si="3"/>
        <v>5.1118463952769307E-3</v>
      </c>
      <c r="M68" s="38"/>
      <c r="N68" s="51" t="s">
        <v>143</v>
      </c>
      <c r="O68" s="39" t="s">
        <v>134</v>
      </c>
    </row>
    <row r="69" spans="1:17" ht="14.25" customHeight="1" x14ac:dyDescent="0.25">
      <c r="A69" s="52" t="s">
        <v>28</v>
      </c>
      <c r="B69" s="52"/>
      <c r="C69" s="52"/>
      <c r="D69" s="52"/>
      <c r="E69" s="52"/>
      <c r="F69" s="52"/>
      <c r="G69" s="52"/>
      <c r="H69" s="29"/>
      <c r="I69" s="29"/>
      <c r="J69" s="29"/>
      <c r="K69" s="29"/>
      <c r="L69" s="29"/>
      <c r="M69" s="29"/>
      <c r="N69" s="40"/>
      <c r="O69" s="41" t="s">
        <v>135</v>
      </c>
    </row>
    <row r="70" spans="1:17" x14ac:dyDescent="0.25">
      <c r="A70" s="5" t="s">
        <v>30</v>
      </c>
    </row>
    <row r="71" spans="1:17" s="44" customFormat="1" ht="18.75" x14ac:dyDescent="0.25">
      <c r="A71" s="5" t="s">
        <v>142</v>
      </c>
      <c r="B71" s="43"/>
      <c r="C71" s="43"/>
      <c r="D71" s="43"/>
      <c r="E71" s="43"/>
      <c r="F71" s="43"/>
      <c r="G71" s="43"/>
      <c r="P71" s="45"/>
      <c r="Q71" s="45"/>
    </row>
    <row r="72" spans="1:17" ht="19.5" x14ac:dyDescent="0.25">
      <c r="A72" s="42" t="s">
        <v>138</v>
      </c>
      <c r="B72" s="27"/>
      <c r="C72" s="27"/>
      <c r="D72" s="27"/>
      <c r="E72" s="27"/>
      <c r="F72" s="27"/>
      <c r="G72" s="27"/>
      <c r="H72" s="29"/>
      <c r="I72" s="29"/>
      <c r="J72" s="29"/>
      <c r="K72" s="29"/>
      <c r="L72" s="29"/>
      <c r="M72" s="29"/>
      <c r="N72" s="40"/>
      <c r="O72" s="36"/>
    </row>
    <row r="73" spans="1:17" ht="39.75" customHeight="1" x14ac:dyDescent="0.25">
      <c r="A73" s="53" t="s">
        <v>136</v>
      </c>
      <c r="B73" s="53"/>
      <c r="C73" s="53"/>
      <c r="D73" s="53"/>
      <c r="E73" s="53"/>
      <c r="F73" s="53"/>
      <c r="G73" s="53"/>
      <c r="H73" s="53"/>
      <c r="I73" s="53"/>
      <c r="J73" s="29"/>
      <c r="K73" s="29"/>
      <c r="L73" s="29"/>
      <c r="M73" s="29"/>
      <c r="N73" s="40"/>
      <c r="O73" s="41"/>
    </row>
    <row r="74" spans="1:17" ht="18.75" x14ac:dyDescent="0.25">
      <c r="A74" s="53" t="s">
        <v>137</v>
      </c>
      <c r="B74" s="53"/>
      <c r="C74" s="53"/>
      <c r="D74" s="53"/>
      <c r="E74" s="53"/>
      <c r="F74" s="53"/>
      <c r="G74" s="53"/>
      <c r="H74" s="53"/>
      <c r="I74" s="53"/>
      <c r="J74" s="29"/>
      <c r="K74" s="29"/>
      <c r="L74" s="29"/>
      <c r="M74" s="29"/>
      <c r="N74" s="40"/>
      <c r="O74" s="41"/>
    </row>
    <row r="75" spans="1:17" x14ac:dyDescent="0.25">
      <c r="A75" s="5" t="s">
        <v>29</v>
      </c>
    </row>
    <row r="76" spans="1:17" s="44" customFormat="1" ht="18.75" x14ac:dyDescent="0.25">
      <c r="B76" s="43"/>
      <c r="C76" s="43"/>
      <c r="D76" s="43"/>
      <c r="E76" s="43"/>
      <c r="F76" s="43"/>
      <c r="G76" s="43"/>
      <c r="P76" s="45"/>
      <c r="Q76" s="45"/>
    </row>
    <row r="80" spans="1:17" ht="15" x14ac:dyDescent="0.25">
      <c r="B80" s="27"/>
      <c r="C80" s="27"/>
      <c r="D80" s="27"/>
      <c r="E80" s="27"/>
      <c r="F80" s="27"/>
      <c r="O80" s="1"/>
    </row>
  </sheetData>
  <mergeCells count="12">
    <mergeCell ref="A69:G69"/>
    <mergeCell ref="A73:I73"/>
    <mergeCell ref="A74:I74"/>
    <mergeCell ref="A1:O1"/>
    <mergeCell ref="A2:O2"/>
    <mergeCell ref="A4:A6"/>
    <mergeCell ref="H4:L4"/>
    <mergeCell ref="O4:O6"/>
    <mergeCell ref="H5:L5"/>
    <mergeCell ref="N5:N6"/>
    <mergeCell ref="B4:F4"/>
    <mergeCell ref="B5:F5"/>
  </mergeCells>
  <pageMargins left="0.7" right="0.7" top="0.75" bottom="0.75" header="0.3" footer="0.3"/>
  <pageSetup scale="3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13.12</vt:lpstr>
      <vt:lpstr>'13.12'!Print_Area</vt:lpstr>
      <vt:lpstr>'13.12'!Print_Titles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2020-09-07T02:29:12Z</cp:lastPrinted>
  <dcterms:created xsi:type="dcterms:W3CDTF">2014-03-06T08:38:12Z</dcterms:created>
  <dcterms:modified xsi:type="dcterms:W3CDTF">2020-09-07T02:30:42Z</dcterms:modified>
</cp:coreProperties>
</file>