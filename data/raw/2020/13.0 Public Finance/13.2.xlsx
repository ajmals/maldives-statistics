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2" sheetId="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'13.2'!$A$1:$S$31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Q25" i="2" l="1"/>
  <c r="Q23" i="2"/>
  <c r="Q24" i="2"/>
  <c r="Q22" i="2"/>
  <c r="J22" i="2"/>
  <c r="I22" i="2"/>
  <c r="H22" i="2"/>
  <c r="G22" i="2"/>
  <c r="G21" i="2" s="1"/>
  <c r="F22" i="2"/>
  <c r="E22" i="2"/>
  <c r="D22" i="2"/>
  <c r="C22" i="2"/>
  <c r="C21" i="2" s="1"/>
  <c r="B22" i="2"/>
  <c r="Q21" i="2"/>
  <c r="J21" i="2"/>
  <c r="I21" i="2"/>
  <c r="H21" i="2"/>
  <c r="F21" i="2"/>
  <c r="E21" i="2"/>
  <c r="D21" i="2"/>
  <c r="B21" i="2"/>
  <c r="Q19" i="2"/>
  <c r="Q18" i="2"/>
  <c r="B18" i="2"/>
  <c r="Q17" i="2"/>
  <c r="Q16" i="2"/>
  <c r="Q15" i="2"/>
  <c r="P14" i="2"/>
  <c r="O14" i="2"/>
  <c r="N14" i="2"/>
  <c r="M14" i="2"/>
  <c r="Q14" i="2" s="1"/>
  <c r="L14" i="2"/>
  <c r="K14" i="2"/>
  <c r="I14" i="2"/>
  <c r="H14" i="2"/>
  <c r="G14" i="2"/>
  <c r="F14" i="2"/>
  <c r="D14" i="2"/>
  <c r="C14" i="2"/>
  <c r="B14" i="2"/>
  <c r="Q13" i="2"/>
  <c r="I13" i="2"/>
  <c r="H13" i="2"/>
  <c r="G13" i="2"/>
  <c r="F13" i="2"/>
  <c r="C13" i="2"/>
  <c r="Q12" i="2"/>
  <c r="Q11" i="2"/>
  <c r="Q10" i="2"/>
  <c r="P9" i="2"/>
  <c r="O9" i="2"/>
  <c r="N9" i="2"/>
  <c r="M9" i="2"/>
  <c r="Q9" i="2" s="1"/>
  <c r="L9" i="2"/>
  <c r="K9" i="2"/>
  <c r="J9" i="2"/>
  <c r="I9" i="2"/>
  <c r="H9" i="2"/>
  <c r="G9" i="2"/>
  <c r="G8" i="2" s="1"/>
  <c r="G18" i="2" s="1"/>
  <c r="F9" i="2"/>
  <c r="D9" i="2"/>
  <c r="C9" i="2"/>
  <c r="C8" i="2" s="1"/>
  <c r="C18" i="2" s="1"/>
  <c r="B9" i="2"/>
  <c r="Q8" i="2"/>
  <c r="I8" i="2"/>
  <c r="I18" i="2" s="1"/>
  <c r="H8" i="2"/>
  <c r="H18" i="2" s="1"/>
  <c r="F8" i="2"/>
  <c r="F18" i="2" s="1"/>
</calcChain>
</file>

<file path=xl/sharedStrings.xml><?xml version="1.0" encoding="utf-8"?>
<sst xmlns="http://schemas.openxmlformats.org/spreadsheetml/2006/main" count="66" uniqueCount="59">
  <si>
    <t>(cniaWyifur cnwailim)</t>
  </si>
  <si>
    <t>Particulars</t>
  </si>
  <si>
    <t>clIBcfwt</t>
  </si>
  <si>
    <t>Actual</t>
  </si>
  <si>
    <t>IrwRercT cDcnea cscnEnif cfoa IrcTcsinim :ctWrwfivcaed utWmUluAwm</t>
  </si>
  <si>
    <t>Source:  Ministry of Finance and Treasury.</t>
  </si>
  <si>
    <t>(urwvcnimivurutia)</t>
  </si>
  <si>
    <t>Actuals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</si>
  <si>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</si>
  <si>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</si>
  <si>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</si>
  <si>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</si>
  <si>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</si>
  <si>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</si>
  <si>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</si>
  <si>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</si>
  <si>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</si>
  <si>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</si>
  <si>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</si>
  <si>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</si>
  <si>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</si>
  <si>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</si>
  <si>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>Net lending</t>
  </si>
  <si>
    <t>IkWbufWs egInwrwd EverukUd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</si>
  <si>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</si>
  <si>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</si>
  <si>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</si>
  <si>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</si>
  <si>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</si>
  <si>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</si>
  <si>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</si>
  <si>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</si>
  <si>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1_/  Excludes grants for direct expenditure by donors.</t>
  </si>
  <si>
    <t>.eveaevun caeawfinemih udwrwK Wruk WdIs ctWrwf EdIhea 1_/</t>
  </si>
  <si>
    <t>Percentage Change</t>
  </si>
  <si>
    <t>(In million MVR)</t>
  </si>
  <si>
    <t xml:space="preserve">Revised </t>
  </si>
  <si>
    <t xml:space="preserve">Capital Revenue </t>
  </si>
  <si>
    <r>
      <t xml:space="preserve">Grants 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</si>
  <si>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Overall Balance </t>
    </r>
    <r>
      <rPr>
        <b/>
        <sz val="10"/>
        <color theme="1"/>
        <rFont val="Calibri"/>
        <family val="2"/>
      </rPr>
      <t xml:space="preserve"> </t>
    </r>
    <r>
      <rPr>
        <b/>
        <vertAlign val="superscript"/>
        <sz val="10"/>
        <color theme="1"/>
        <rFont val="Calibri"/>
        <family val="2"/>
      </rPr>
      <t>2_/</t>
    </r>
  </si>
  <si>
    <r>
      <t xml:space="preserve">Primary Balance </t>
    </r>
    <r>
      <rPr>
        <b/>
        <vertAlign val="superscript"/>
        <sz val="10"/>
        <color theme="1"/>
        <rFont val="Calibri"/>
        <family val="2"/>
        <scheme val="minor"/>
      </rPr>
      <t>3_/</t>
    </r>
  </si>
  <si>
    <r>
      <t xml:space="preserve">Domestic </t>
    </r>
    <r>
      <rPr>
        <b/>
        <vertAlign val="superscript"/>
        <sz val="10"/>
        <color theme="1"/>
        <rFont val="Calibri"/>
        <family val="2"/>
        <scheme val="minor"/>
      </rPr>
      <t>4_/</t>
    </r>
  </si>
  <si>
    <t>4_/  Domestic Financing primarily reflects borrowings from MMA</t>
  </si>
  <si>
    <t>.everwvcnim Wviawfigencnia Ea.cmea.cmea Inediawkcawd iawgcaetoguDnwgiawm 4_/</t>
  </si>
  <si>
    <t>InwdcmWA clwTipek</t>
  </si>
  <si>
    <t>/-2 އޯވަރޯލް ބެލެންސްގެ ގޮތުގައި ހިމެނިފައިވަނީ މުޅިބަޖެޓް އާމްދަނީ އަށް ވުރެޚަރަދު އިތުރުވި މިންވަރު (ޖުމްލަ އާމްދަނީއާއި ހިލޭ އެހީ ހިމަނައިގެން)</t>
  </si>
  <si>
    <t>/-3 ޕްރައިމަރީ ބެލެންސްގެ ގޮތުގައި ހިމެނިފައިވަނީ މުޅިބަޖެޓް އާމްދަނީ އަށް ވުރެޚަރަދު އިތުރުވި މިންވަރު (ލޯން ހިދުމަތުގެ ޚަރަދު އުނިކުރުމަށްފަހު)</t>
  </si>
  <si>
    <t>3_/  Primary Balance is excluding Loan repayment</t>
  </si>
  <si>
    <t>2_/  Overall Balance including Grants (Starting from 2012, Overall balance is calculated excluding net lending)</t>
  </si>
  <si>
    <t>2018-2019</t>
  </si>
  <si>
    <t xml:space="preserve">udwrwK ivinwncnuhimed    </t>
  </si>
  <si>
    <r>
      <t>އޯވަރޯލް ބެލެންސް</t>
    </r>
    <r>
      <rPr>
        <b/>
        <sz val="11"/>
        <color theme="1"/>
        <rFont val="A_Faseyha"/>
      </rPr>
      <t xml:space="preserve"> </t>
    </r>
    <r>
      <rPr>
        <b/>
        <vertAlign val="superscript"/>
        <sz val="11"/>
        <color theme="1"/>
        <rFont val="A_Faseyha"/>
      </rPr>
      <t>/- 2</t>
    </r>
  </si>
  <si>
    <r>
      <t xml:space="preserve">ޕްރައިމަރީ ބެލެންސް </t>
    </r>
    <r>
      <rPr>
        <b/>
        <vertAlign val="superscript"/>
        <sz val="9"/>
        <color theme="1"/>
        <rFont val="A_Faseyha"/>
      </rPr>
      <t xml:space="preserve"> /- 3</t>
    </r>
  </si>
  <si>
    <r>
      <rPr>
        <vertAlign val="superscript"/>
        <sz val="9"/>
        <color theme="1"/>
        <rFont val="A_Faseyha"/>
      </rPr>
      <t>4_/ c</t>
    </r>
    <r>
      <rPr>
        <sz val="9"/>
        <color theme="1"/>
        <rFont val="A_Faseyha"/>
      </rPr>
      <t>niaejcaWr</t>
    </r>
  </si>
  <si>
    <t>2022- 2012 ,WsWluK egutogWviawfihebutwycailWm egurWkurws  : 13.2 ulwvWt</t>
  </si>
  <si>
    <t xml:space="preserve">Table  13.2 :   SUMMARY OF CENTRAL GOVERNMENT FINANCE, 2012 - 2022
</t>
  </si>
  <si>
    <t xml:space="preserve">Approved </t>
  </si>
  <si>
    <t>5_/  Data Revised</t>
  </si>
  <si>
    <r>
      <rPr>
        <sz val="9"/>
        <color theme="1"/>
        <rFont val="A_Faseyha"/>
      </rPr>
      <t>iawfiverukuhWlcsia</t>
    </r>
    <r>
      <rPr>
        <sz val="7"/>
        <color theme="1"/>
        <rFont val="A_Faseyha"/>
      </rPr>
      <t xml:space="preserve"> </t>
    </r>
    <r>
      <rPr>
        <sz val="9"/>
        <color theme="1"/>
        <rFont val="A_Faseyha"/>
      </rPr>
      <t>5</t>
    </r>
    <r>
      <rPr>
        <sz val="7"/>
        <color theme="1"/>
        <rFont val="A_Faseyha"/>
      </rPr>
      <t>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</si>
</sst>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_-* #,##0.00_-;\-* #,##0.00_-;_-* &quot;-&quot;??_-;_-@_-"/>
    <numFmt numFmtId="168" formatCode="#,##0.00\ ;&quot; (&quot;#,##0.00\);&quot; -&quot;#\ ;@\ "/>
    <numFmt numFmtId="169" formatCode="#,##0.0_);\(#,##0.0\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</font>
    <font>
      <vertAlign val="superscript"/>
      <sz val="9"/>
      <color theme="1"/>
      <name val="A_Randhoo"/>
    </font>
    <font>
      <sz val="10"/>
      <name val="Courier"/>
    </font>
    <font>
      <sz val="10"/>
      <name val="Helv"/>
    </font>
    <font>
      <b/>
      <sz val="11"/>
      <color theme="1"/>
      <name val="A_Faseyha"/>
    </font>
    <font>
      <b/>
      <sz val="9"/>
      <color theme="1"/>
      <name val="A_Faseyha"/>
    </font>
    <font>
      <b/>
      <sz val="8"/>
      <color theme="1"/>
      <name val="A_Faseyha"/>
    </font>
    <font>
      <sz val="9"/>
      <color theme="1"/>
      <name val="A_Faseyha"/>
    </font>
    <font>
      <b/>
      <vertAlign val="superscript"/>
      <sz val="11"/>
      <color theme="1"/>
      <name val="A_Faseyha"/>
    </font>
    <font>
      <b/>
      <vertAlign val="superscript"/>
      <sz val="9"/>
      <color theme="1"/>
      <name val="A_Faseyha"/>
    </font>
    <font>
      <vertAlign val="superscript"/>
      <sz val="9"/>
      <color theme="1"/>
      <name val="A_Faseyha"/>
    </font>
    <font>
      <b/>
      <sz val="12"/>
      <color theme="1"/>
      <name val="A_Faseyha"/>
    </font>
    <font>
      <i/>
      <sz val="9.5"/>
      <color theme="1"/>
      <name val="Calibri"/>
      <family val="2"/>
      <scheme val="minor"/>
    </font>
    <font>
      <sz val="7"/>
      <color theme="1"/>
      <name val="A_Faseyha"/>
    </font>
    <font>
      <b/>
      <sz val="11"/>
      <color theme="1" tint="0.249977111117893"/>
      <name val="Roboto Condensed"/>
    </font>
    <font>
      <b/>
      <sz val="11"/>
      <color theme="0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0" fontId="4" fillId="0" borderId="0"/>
    <xf numFmtId="167" fontId="1" fillId="0" borderId="0" applyFont="0" applyFill="0" applyBorder="0" applyAlignment="0" applyProtection="0"/>
    <xf numFmtId="0" fontId="7" fillId="0" borderId="0"/>
    <xf numFmtId="168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24" fillId="0" borderId="0"/>
    <xf numFmtId="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4">
    <xf numFmtId="0" fontId="0" fillId="0" borderId="0" xfId="0"/>
    <xf numFmtId="165" fontId="6" fillId="2" borderId="0" xfId="1" applyNumberFormat="1" applyFont="1" applyFill="1" applyBorder="1" applyAlignment="1" applyProtection="1">
      <alignment horizontal="right" vertical="center"/>
      <protection locked="0"/>
    </xf>
    <xf numFmtId="164" fontId="6" fillId="2" borderId="0" xfId="1" applyNumberFormat="1" applyFont="1" applyFill="1" applyBorder="1" applyAlignment="1" applyProtection="1">
      <alignment horizontal="right" vertical="center"/>
      <protection locked="0"/>
    </xf>
    <xf numFmtId="164" fontId="6" fillId="2" borderId="1" xfId="1" applyNumberFormat="1" applyFont="1" applyFill="1" applyBorder="1" applyAlignment="1" applyProtection="1">
      <alignment horizontal="right" vertical="center"/>
    </xf>
    <xf numFmtId="164" fontId="15" fillId="2" borderId="0" xfId="1" applyNumberFormat="1" applyFont="1" applyFill="1" applyAlignment="1">
      <alignment vertical="center"/>
    </xf>
    <xf numFmtId="164" fontId="16" fillId="2" borderId="0" xfId="1" applyNumberFormat="1" applyFont="1" applyFill="1" applyAlignment="1">
      <alignment vertical="center"/>
    </xf>
    <xf numFmtId="164" fontId="17" fillId="2" borderId="3" xfId="1" applyNumberFormat="1" applyFont="1" applyFill="1" applyBorder="1" applyAlignment="1">
      <alignment horizontal="right" vertical="center"/>
    </xf>
    <xf numFmtId="165" fontId="6" fillId="2" borderId="0" xfId="1" applyNumberFormat="1" applyFont="1" applyFill="1" applyBorder="1" applyAlignment="1" applyProtection="1">
      <alignment horizontal="right" vertical="center"/>
    </xf>
    <xf numFmtId="164" fontId="6" fillId="2" borderId="0" xfId="1" applyNumberFormat="1" applyFont="1" applyFill="1" applyAlignment="1" applyProtection="1">
      <alignment horizontal="left" vertical="center"/>
    </xf>
    <xf numFmtId="164" fontId="11" fillId="2" borderId="0" xfId="1" applyNumberFormat="1" applyFont="1" applyFill="1" applyAlignment="1" applyProtection="1">
      <alignment horizontal="left" vertical="center" indent="1"/>
    </xf>
    <xf numFmtId="165" fontId="11" fillId="2" borderId="0" xfId="1" applyNumberFormat="1" applyFont="1" applyFill="1" applyBorder="1" applyAlignment="1" applyProtection="1">
      <alignment horizontal="right" vertical="center"/>
    </xf>
    <xf numFmtId="164" fontId="6" fillId="2" borderId="0" xfId="1" applyNumberFormat="1" applyFont="1" applyFill="1" applyAlignment="1" applyProtection="1">
      <alignment vertical="center"/>
    </xf>
    <xf numFmtId="164" fontId="9" fillId="2" borderId="0" xfId="1" applyNumberFormat="1" applyFont="1" applyFill="1" applyAlignment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164" fontId="19" fillId="2" borderId="0" xfId="1" applyNumberFormat="1" applyFont="1" applyFill="1" applyAlignment="1">
      <alignment vertical="center"/>
    </xf>
    <xf numFmtId="164" fontId="6" fillId="2" borderId="2" xfId="1" applyNumberFormat="1" applyFont="1" applyFill="1" applyBorder="1" applyAlignment="1" applyProtection="1">
      <alignment vertical="center"/>
    </xf>
    <xf numFmtId="165" fontId="6" fillId="2" borderId="2" xfId="1" applyNumberFormat="1" applyFont="1" applyFill="1" applyBorder="1" applyAlignment="1" applyProtection="1">
      <alignment horizontal="right" vertical="center"/>
      <protection locked="0"/>
    </xf>
    <xf numFmtId="164" fontId="14" fillId="2" borderId="0" xfId="1" applyNumberFormat="1" applyFont="1" applyFill="1" applyAlignment="1" applyProtection="1">
      <alignment horizontal="left" vertical="center"/>
    </xf>
    <xf numFmtId="164" fontId="12" fillId="2" borderId="0" xfId="1" applyNumberFormat="1" applyFont="1" applyFill="1" applyAlignment="1">
      <alignment vertical="center"/>
    </xf>
    <xf numFmtId="165" fontId="19" fillId="2" borderId="0" xfId="1" applyNumberFormat="1" applyFont="1" applyFill="1" applyAlignment="1" applyProtection="1">
      <alignment horizontal="center" vertical="center"/>
    </xf>
    <xf numFmtId="164" fontId="11" fillId="2" borderId="0" xfId="1" applyNumberFormat="1" applyFont="1" applyFill="1" applyAlignment="1">
      <alignment vertical="center"/>
    </xf>
    <xf numFmtId="164" fontId="15" fillId="2" borderId="0" xfId="1" applyNumberFormat="1" applyFont="1" applyFill="1" applyAlignment="1">
      <alignment horizontal="center" vertical="center"/>
    </xf>
    <xf numFmtId="165" fontId="6" fillId="2" borderId="0" xfId="1" applyNumberFormat="1" applyFont="1" applyFill="1" applyBorder="1" applyAlignment="1">
      <alignment horizontal="right" vertical="center"/>
    </xf>
    <xf numFmtId="165" fontId="11" fillId="2" borderId="0" xfId="1" applyNumberFormat="1" applyFont="1" applyFill="1" applyBorder="1" applyAlignment="1">
      <alignment horizontal="right" vertical="center"/>
    </xf>
    <xf numFmtId="165" fontId="23" fillId="2" borderId="0" xfId="1" applyNumberFormat="1" applyFont="1" applyFill="1" applyAlignment="1">
      <alignment horizontal="right" vertical="center" readingOrder="1"/>
    </xf>
    <xf numFmtId="165" fontId="13" fillId="2" borderId="0" xfId="1" applyNumberFormat="1" applyFont="1" applyFill="1" applyAlignment="1">
      <alignment horizontal="right" vertical="center" readingOrder="2"/>
    </xf>
    <xf numFmtId="165" fontId="27" fillId="2" borderId="0" xfId="1" applyNumberFormat="1" applyFont="1" applyFill="1" applyAlignment="1">
      <alignment horizontal="right" vertical="center"/>
    </xf>
    <xf numFmtId="165" fontId="29" fillId="2" borderId="0" xfId="1" applyNumberFormat="1" applyFont="1" applyFill="1" applyAlignment="1">
      <alignment horizontal="right" vertical="center" indent="1"/>
    </xf>
    <xf numFmtId="165" fontId="27" fillId="2" borderId="0" xfId="1" applyNumberFormat="1" applyFont="1" applyFill="1" applyAlignment="1">
      <alignment horizontal="right" vertical="center" wrapText="1"/>
    </xf>
    <xf numFmtId="165" fontId="29" fillId="2" borderId="2" xfId="1" applyNumberFormat="1" applyFont="1" applyFill="1" applyBorder="1" applyAlignment="1">
      <alignment horizontal="right" vertical="center" indent="1"/>
    </xf>
    <xf numFmtId="165" fontId="29" fillId="2" borderId="0" xfId="1" applyNumberFormat="1" applyFont="1" applyFill="1" applyAlignment="1">
      <alignment horizontal="right" vertical="center"/>
    </xf>
    <xf numFmtId="165" fontId="29" fillId="2" borderId="0" xfId="1" applyNumberFormat="1" applyFont="1" applyFill="1" applyBorder="1" applyAlignment="1">
      <alignment horizontal="right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17" fillId="2" borderId="6" xfId="1" applyNumberFormat="1" applyFont="1" applyFill="1" applyBorder="1" applyAlignment="1">
      <alignment horizontal="right" vertical="center"/>
    </xf>
    <xf numFmtId="164" fontId="17" fillId="2" borderId="9" xfId="1" applyNumberFormat="1" applyFont="1" applyFill="1" applyBorder="1" applyAlignment="1">
      <alignment horizontal="right" vertical="center"/>
    </xf>
    <xf numFmtId="164" fontId="6" fillId="2" borderId="11" xfId="1" applyNumberFormat="1" applyFont="1" applyFill="1" applyBorder="1" applyAlignment="1" applyProtection="1">
      <alignment horizontal="right" vertical="center"/>
    </xf>
    <xf numFmtId="164" fontId="6" fillId="2" borderId="10" xfId="1" applyNumberFormat="1" applyFont="1" applyFill="1" applyBorder="1" applyAlignment="1" applyProtection="1">
      <alignment horizontal="right" vertical="center"/>
    </xf>
    <xf numFmtId="165" fontId="6" fillId="2" borderId="4" xfId="1" applyNumberFormat="1" applyFont="1" applyFill="1" applyBorder="1" applyAlignment="1" applyProtection="1">
      <alignment horizontal="right" vertical="center"/>
    </xf>
    <xf numFmtId="165" fontId="6" fillId="2" borderId="7" xfId="1" applyNumberFormat="1" applyFont="1" applyFill="1" applyBorder="1" applyAlignment="1" applyProtection="1">
      <alignment horizontal="right" vertical="center"/>
    </xf>
    <xf numFmtId="165" fontId="11" fillId="2" borderId="4" xfId="1" applyNumberFormat="1" applyFont="1" applyFill="1" applyBorder="1" applyAlignment="1" applyProtection="1">
      <alignment horizontal="right" vertical="center"/>
    </xf>
    <xf numFmtId="165" fontId="11" fillId="2" borderId="7" xfId="1" applyNumberFormat="1" applyFont="1" applyFill="1" applyBorder="1" applyAlignment="1" applyProtection="1">
      <alignment horizontal="right" vertical="center"/>
    </xf>
    <xf numFmtId="165" fontId="6" fillId="2" borderId="4" xfId="1" applyNumberFormat="1" applyFont="1" applyFill="1" applyBorder="1" applyAlignment="1" applyProtection="1">
      <alignment horizontal="right" vertical="center"/>
      <protection locked="0"/>
    </xf>
    <xf numFmtId="165" fontId="6" fillId="2" borderId="7" xfId="1" applyNumberFormat="1" applyFont="1" applyFill="1" applyBorder="1" applyAlignment="1" applyProtection="1">
      <alignment horizontal="right" vertical="center"/>
      <protection locked="0"/>
    </xf>
    <xf numFmtId="165" fontId="6" fillId="2" borderId="4" xfId="1" applyNumberFormat="1" applyFont="1" applyFill="1" applyBorder="1" applyAlignment="1">
      <alignment horizontal="right" vertical="center"/>
    </xf>
    <xf numFmtId="165" fontId="6" fillId="2" borderId="7" xfId="1" applyNumberFormat="1" applyFont="1" applyFill="1" applyBorder="1" applyAlignment="1">
      <alignment horizontal="right" vertical="center"/>
    </xf>
    <xf numFmtId="165" fontId="11" fillId="2" borderId="4" xfId="1" applyNumberFormat="1" applyFont="1" applyFill="1" applyBorder="1" applyAlignment="1">
      <alignment horizontal="right" vertical="center"/>
    </xf>
    <xf numFmtId="165" fontId="11" fillId="2" borderId="7" xfId="1" applyNumberFormat="1" applyFont="1" applyFill="1" applyBorder="1" applyAlignment="1">
      <alignment horizontal="right" vertical="center"/>
    </xf>
    <xf numFmtId="165" fontId="6" fillId="2" borderId="5" xfId="1" applyNumberFormat="1" applyFont="1" applyFill="1" applyBorder="1" applyAlignment="1" applyProtection="1">
      <alignment horizontal="right" vertical="center"/>
      <protection locked="0"/>
    </xf>
    <xf numFmtId="165" fontId="6" fillId="2" borderId="8" xfId="1" applyNumberFormat="1" applyFont="1" applyFill="1" applyBorder="1" applyAlignment="1" applyProtection="1">
      <alignment horizontal="right" vertical="center"/>
      <protection locked="0"/>
    </xf>
    <xf numFmtId="164" fontId="6" fillId="2" borderId="0" xfId="1" applyNumberFormat="1" applyFont="1" applyFill="1" applyBorder="1" applyAlignment="1" applyProtection="1">
      <alignment horizontal="left" vertical="center"/>
    </xf>
    <xf numFmtId="164" fontId="27" fillId="2" borderId="0" xfId="1" applyNumberFormat="1" applyFont="1" applyFill="1" applyBorder="1" applyAlignment="1">
      <alignment horizontal="right" vertical="center"/>
    </xf>
    <xf numFmtId="164" fontId="28" fillId="2" borderId="3" xfId="1" applyNumberFormat="1" applyFont="1" applyFill="1" applyBorder="1" applyAlignment="1">
      <alignment horizontal="center" vertical="center"/>
    </xf>
    <xf numFmtId="164" fontId="6" fillId="2" borderId="3" xfId="1" applyNumberFormat="1" applyFont="1" applyFill="1" applyBorder="1" applyAlignment="1" applyProtection="1">
      <alignment horizontal="left" vertical="center"/>
    </xf>
    <xf numFmtId="164" fontId="6" fillId="2" borderId="0" xfId="1" applyNumberFormat="1" applyFont="1" applyFill="1" applyBorder="1" applyAlignment="1" applyProtection="1">
      <alignment horizontal="left" vertical="center"/>
    </xf>
    <xf numFmtId="164" fontId="6" fillId="2" borderId="1" xfId="1" applyNumberFormat="1" applyFont="1" applyFill="1" applyBorder="1" applyAlignment="1" applyProtection="1">
      <alignment horizontal="left" vertical="center"/>
    </xf>
    <xf numFmtId="164" fontId="27" fillId="2" borderId="3" xfId="1" applyNumberFormat="1" applyFont="1" applyFill="1" applyBorder="1" applyAlignment="1">
      <alignment horizontal="right" vertical="center"/>
    </xf>
    <xf numFmtId="164" fontId="27" fillId="2" borderId="0" xfId="1" applyNumberFormat="1" applyFont="1" applyFill="1" applyBorder="1" applyAlignment="1">
      <alignment horizontal="right" vertical="center"/>
    </xf>
    <xf numFmtId="164" fontId="27" fillId="2" borderId="1" xfId="1" applyNumberFormat="1" applyFont="1" applyFill="1" applyBorder="1" applyAlignment="1">
      <alignment horizontal="right" vertical="center"/>
    </xf>
    <xf numFmtId="164" fontId="27" fillId="2" borderId="0" xfId="1" applyNumberFormat="1" applyFont="1" applyFill="1" applyAlignment="1">
      <alignment horizontal="center" vertical="center" wrapText="1"/>
    </xf>
    <xf numFmtId="164" fontId="6" fillId="2" borderId="0" xfId="1" applyNumberFormat="1" applyFont="1" applyFill="1" applyBorder="1" applyAlignment="1">
      <alignment horizontal="center" vertical="center"/>
    </xf>
    <xf numFmtId="164" fontId="33" fillId="2" borderId="0" xfId="1" applyNumberFormat="1" applyFont="1" applyFill="1" applyAlignment="1">
      <alignment horizontal="center" vertical="center"/>
    </xf>
    <xf numFmtId="164" fontId="6" fillId="2" borderId="0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vertical="center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12" xfId="1" applyNumberFormat="1" applyFont="1" applyFill="1" applyBorder="1" applyAlignment="1" applyProtection="1">
      <alignment horizontal="right" vertical="center"/>
      <protection locked="0"/>
    </xf>
    <xf numFmtId="164" fontId="6" fillId="2" borderId="13" xfId="1" applyNumberFormat="1" applyFont="1" applyFill="1" applyBorder="1" applyAlignment="1" applyProtection="1">
      <alignment horizontal="right" vertical="center"/>
      <protection locked="0"/>
    </xf>
    <xf numFmtId="164" fontId="6" fillId="2" borderId="14" xfId="1" applyNumberFormat="1" applyFont="1" applyFill="1" applyBorder="1" applyAlignment="1" applyProtection="1">
      <alignment horizontal="right" vertical="center"/>
      <protection locked="0"/>
    </xf>
    <xf numFmtId="0" fontId="10" fillId="2" borderId="13" xfId="2" applyFont="1" applyFill="1" applyBorder="1" applyAlignment="1">
      <alignment horizontal="center"/>
    </xf>
    <xf numFmtId="164" fontId="6" fillId="2" borderId="2" xfId="1" applyNumberFormat="1" applyFont="1" applyFill="1" applyBorder="1" applyAlignment="1" applyProtection="1">
      <alignment horizontal="right" vertical="center"/>
    </xf>
    <xf numFmtId="165" fontId="6" fillId="2" borderId="0" xfId="1" applyNumberFormat="1" applyFont="1" applyFill="1" applyBorder="1" applyAlignment="1" applyProtection="1">
      <alignment horizontal="right" vertical="center" indent="4"/>
    </xf>
    <xf numFmtId="165" fontId="11" fillId="2" borderId="0" xfId="1" applyNumberFormat="1" applyFont="1" applyFill="1" applyBorder="1" applyAlignment="1" applyProtection="1">
      <alignment horizontal="right" vertical="center" indent="4"/>
    </xf>
    <xf numFmtId="165" fontId="6" fillId="2" borderId="0" xfId="1" applyNumberFormat="1" applyFont="1" applyFill="1" applyBorder="1" applyAlignment="1" applyProtection="1">
      <alignment horizontal="right" vertical="center" indent="4"/>
      <protection locked="0"/>
    </xf>
    <xf numFmtId="165" fontId="6" fillId="2" borderId="0" xfId="1" applyNumberFormat="1" applyFont="1" applyFill="1" applyBorder="1" applyAlignment="1">
      <alignment vertical="center"/>
    </xf>
    <xf numFmtId="165" fontId="6" fillId="2" borderId="0" xfId="1" applyNumberFormat="1" applyFont="1" applyFill="1" applyBorder="1" applyAlignment="1">
      <alignment horizontal="right" vertical="center" indent="4"/>
    </xf>
    <xf numFmtId="165" fontId="11" fillId="2" borderId="0" xfId="1" applyNumberFormat="1" applyFont="1" applyFill="1" applyBorder="1" applyAlignment="1">
      <alignment vertical="center"/>
    </xf>
    <xf numFmtId="165" fontId="11" fillId="2" borderId="0" xfId="1" applyNumberFormat="1" applyFont="1" applyFill="1" applyBorder="1" applyAlignment="1">
      <alignment horizontal="right" vertical="center" indent="4"/>
    </xf>
    <xf numFmtId="165" fontId="12" fillId="2" borderId="0" xfId="1" applyNumberFormat="1" applyFont="1" applyFill="1" applyAlignment="1" applyProtection="1">
      <alignment horizontal="center" vertical="center"/>
    </xf>
    <xf numFmtId="164" fontId="34" fillId="2" borderId="0" xfId="1" applyNumberFormat="1" applyFont="1" applyFill="1" applyAlignment="1" applyProtection="1">
      <alignment horizontal="left" vertical="center"/>
    </xf>
    <xf numFmtId="164" fontId="35" fillId="2" borderId="0" xfId="1" applyNumberFormat="1" applyFont="1" applyFill="1" applyAlignment="1">
      <alignment horizontal="right" vertical="center"/>
    </xf>
    <xf numFmtId="164" fontId="11" fillId="2" borderId="0" xfId="1" applyNumberFormat="1" applyFont="1" applyFill="1" applyAlignment="1">
      <alignment horizontal="center" vertical="center"/>
    </xf>
    <xf numFmtId="169" fontId="36" fillId="2" borderId="0" xfId="12" applyNumberFormat="1" applyFont="1" applyFill="1" applyBorder="1" applyAlignment="1">
      <alignment vertical="center"/>
    </xf>
    <xf numFmtId="0" fontId="37" fillId="2" borderId="0" xfId="0" applyNumberFormat="1" applyFont="1" applyFill="1" applyBorder="1" applyAlignment="1" applyProtection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165" fontId="11" fillId="2" borderId="5" xfId="1" applyNumberFormat="1" applyFont="1" applyFill="1" applyBorder="1" applyAlignment="1">
      <alignment horizontal="right" vertical="center" indent="4"/>
    </xf>
  </cellXfs>
  <cellStyles count="16">
    <cellStyle name="Comma 2" xfId="6"/>
    <cellStyle name="Comma 3" xfId="7"/>
    <cellStyle name="Comma 4" xfId="3"/>
    <cellStyle name="Comma 4 2" xfId="14"/>
    <cellStyle name="Comma 5" xfId="12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3"/>
    <cellStyle name="Normal 3" xfId="11"/>
    <cellStyle name="Normal 4" xfId="8"/>
    <cellStyle name="Normal_13 Public Finance_done" xfId="1"/>
    <cellStyle name="Normal_X-5 (Electricity)" xfId="2"/>
    <cellStyle name="Percent 2" xfId="15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zoomScaleNormal="100" zoomScaleSheetLayoutView="80" workbookViewId="0">
      <selection activeCell="P21" sqref="P21"/>
    </sheetView>
  </sheetViews>
  <sheetFormatPr defaultRowHeight="12.75"/>
  <cols>
    <col min="1" max="1" width="41.140625" style="4" customWidth="1"/>
    <col min="2" max="4" width="8.42578125" style="21" hidden="1" customWidth="1"/>
    <col min="5" max="5" width="8.42578125" style="4" hidden="1" customWidth="1"/>
    <col min="6" max="16" width="11.5703125" style="4" customWidth="1"/>
    <col min="17" max="17" width="16.140625" style="21" customWidth="1"/>
    <col min="18" max="18" width="42.28515625" style="4" customWidth="1"/>
    <col min="19" max="19" width="1.5703125" style="4" customWidth="1"/>
    <col min="20" max="16384" width="9.140625" style="4"/>
  </cols>
  <sheetData>
    <row r="1" spans="1:20" ht="18.75">
      <c r="A1" s="60" t="s">
        <v>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20" s="21" customFormat="1" ht="18.75" customHeight="1">
      <c r="A2" s="61" t="s">
        <v>55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20" ht="14.25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spans="1:20" s="5" customFormat="1">
      <c r="A4" s="59" t="s">
        <v>35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</row>
    <row r="5" spans="1:20" s="5" customFormat="1" ht="13.5">
      <c r="A5" s="52" t="s">
        <v>1</v>
      </c>
      <c r="B5" s="62"/>
      <c r="C5" s="63"/>
      <c r="D5" s="63"/>
      <c r="E5" s="63"/>
      <c r="F5" s="6"/>
      <c r="G5" s="6"/>
      <c r="H5" s="6"/>
      <c r="I5" s="6"/>
      <c r="J5" s="6"/>
      <c r="K5" s="6"/>
      <c r="L5" s="6"/>
      <c r="M5" s="6"/>
      <c r="N5" s="33"/>
      <c r="O5" s="6"/>
      <c r="P5" s="34"/>
      <c r="Q5" s="51" t="s">
        <v>6</v>
      </c>
      <c r="R5" s="55" t="s">
        <v>2</v>
      </c>
    </row>
    <row r="6" spans="1:20" s="5" customFormat="1" ht="14.45" customHeight="1">
      <c r="A6" s="53"/>
      <c r="B6" s="2"/>
      <c r="C6" s="2"/>
      <c r="D6" s="2"/>
      <c r="E6" s="2"/>
      <c r="F6" s="2" t="s">
        <v>7</v>
      </c>
      <c r="G6" s="2" t="s">
        <v>7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36</v>
      </c>
      <c r="N6" s="64" t="s">
        <v>56</v>
      </c>
      <c r="O6" s="65" t="s">
        <v>56</v>
      </c>
      <c r="P6" s="66" t="s">
        <v>56</v>
      </c>
      <c r="Q6" s="67" t="s">
        <v>34</v>
      </c>
      <c r="R6" s="56"/>
    </row>
    <row r="7" spans="1:20" s="5" customFormat="1" ht="15.75" customHeight="1">
      <c r="A7" s="54"/>
      <c r="B7" s="68">
        <v>2008</v>
      </c>
      <c r="C7" s="3">
        <v>2009</v>
      </c>
      <c r="D7" s="3">
        <v>2010</v>
      </c>
      <c r="E7" s="3">
        <v>2011</v>
      </c>
      <c r="F7" s="3">
        <v>2012</v>
      </c>
      <c r="G7" s="3">
        <v>2013</v>
      </c>
      <c r="H7" s="3">
        <v>2014</v>
      </c>
      <c r="I7" s="3">
        <v>2015</v>
      </c>
      <c r="J7" s="3">
        <v>2016</v>
      </c>
      <c r="K7" s="3">
        <v>2017</v>
      </c>
      <c r="L7" s="3">
        <v>2018</v>
      </c>
      <c r="M7" s="3">
        <v>2019</v>
      </c>
      <c r="N7" s="35">
        <v>2020</v>
      </c>
      <c r="O7" s="3">
        <v>2021</v>
      </c>
      <c r="P7" s="36">
        <v>2022</v>
      </c>
      <c r="Q7" s="32" t="s">
        <v>49</v>
      </c>
      <c r="R7" s="57"/>
    </row>
    <row r="8" spans="1:20" ht="21" customHeight="1">
      <c r="A8" s="49" t="s">
        <v>8</v>
      </c>
      <c r="B8" s="7">
        <v>7456.54</v>
      </c>
      <c r="C8" s="7">
        <f>+C9+C12</f>
        <v>5734.8352960000002</v>
      </c>
      <c r="D8" s="7">
        <v>6546.9287702799966</v>
      </c>
      <c r="E8" s="7">
        <v>9904.5614829999995</v>
      </c>
      <c r="F8" s="7">
        <f>F9+F12</f>
        <v>10138.11294952</v>
      </c>
      <c r="G8" s="7">
        <f>G9+G12</f>
        <v>11900.748051730001</v>
      </c>
      <c r="H8" s="7">
        <f>H9+H12</f>
        <v>15164.227912</v>
      </c>
      <c r="I8" s="7">
        <f>I9+I12</f>
        <v>17306.201467370003</v>
      </c>
      <c r="J8" s="7">
        <v>18578.118781009995</v>
      </c>
      <c r="K8" s="7">
        <v>20258.636295000004</v>
      </c>
      <c r="L8" s="7">
        <v>22222.967435000002</v>
      </c>
      <c r="M8" s="7">
        <v>24070.242825000005</v>
      </c>
      <c r="N8" s="37">
        <v>29921.571628999998</v>
      </c>
      <c r="O8" s="7">
        <v>29675.249284999998</v>
      </c>
      <c r="P8" s="38">
        <v>31154.613430000005</v>
      </c>
      <c r="Q8" s="69">
        <f>+((M8/L8)-1)*100</f>
        <v>8.3124605001699372</v>
      </c>
      <c r="R8" s="50" t="s">
        <v>9</v>
      </c>
    </row>
    <row r="9" spans="1:20" ht="21" customHeight="1">
      <c r="A9" s="8" t="s">
        <v>10</v>
      </c>
      <c r="B9" s="7">
        <f>SUM(B10:B11)</f>
        <v>6939.54</v>
      </c>
      <c r="C9" s="7">
        <f>SUM(C10:C11)</f>
        <v>5313.319469</v>
      </c>
      <c r="D9" s="7">
        <f>SUM(D10:D11)</f>
        <v>6392.3855347199969</v>
      </c>
      <c r="E9" s="7">
        <v>9172.1262260000003</v>
      </c>
      <c r="F9" s="7">
        <f t="shared" ref="F9:P9" si="0">SUM(F10:F11)</f>
        <v>9771.4430765199995</v>
      </c>
      <c r="G9" s="7">
        <f t="shared" si="0"/>
        <v>11783.092824200001</v>
      </c>
      <c r="H9" s="7">
        <f t="shared" si="0"/>
        <v>14998.954087</v>
      </c>
      <c r="I9" s="7">
        <f t="shared" si="0"/>
        <v>16669.260271000003</v>
      </c>
      <c r="J9" s="7">
        <f t="shared" si="0"/>
        <v>18324.993013089996</v>
      </c>
      <c r="K9" s="7">
        <f t="shared" si="0"/>
        <v>19914.872814000002</v>
      </c>
      <c r="L9" s="7">
        <f>SUM(L10:L11)</f>
        <v>21403.159912000003</v>
      </c>
      <c r="M9" s="7">
        <f t="shared" si="0"/>
        <v>22001.851211000005</v>
      </c>
      <c r="N9" s="37">
        <f t="shared" si="0"/>
        <v>24706.678743</v>
      </c>
      <c r="O9" s="7">
        <f t="shared" si="0"/>
        <v>27529.706627</v>
      </c>
      <c r="P9" s="38">
        <f t="shared" si="0"/>
        <v>29018.616598000004</v>
      </c>
      <c r="Q9" s="69">
        <f>+((M9/L9)-1)*100</f>
        <v>2.7972098580842486</v>
      </c>
      <c r="R9" s="26" t="s">
        <v>11</v>
      </c>
    </row>
    <row r="10" spans="1:20" ht="21" customHeight="1">
      <c r="A10" s="9" t="s">
        <v>12</v>
      </c>
      <c r="B10" s="10">
        <v>6897.24</v>
      </c>
      <c r="C10" s="10">
        <v>5299.4316959999996</v>
      </c>
      <c r="D10" s="10">
        <v>6343.0314386499977</v>
      </c>
      <c r="E10" s="10">
        <v>8637.6616890000005</v>
      </c>
      <c r="F10" s="10">
        <v>9723.3702617999988</v>
      </c>
      <c r="G10" s="10">
        <v>11514.974798200001</v>
      </c>
      <c r="H10" s="10">
        <v>14874.843471</v>
      </c>
      <c r="I10" s="10">
        <v>16548.977957000003</v>
      </c>
      <c r="J10" s="10">
        <v>17455.631974769996</v>
      </c>
      <c r="K10" s="10">
        <v>19337.288926000001</v>
      </c>
      <c r="L10" s="10">
        <v>21037.005152000002</v>
      </c>
      <c r="M10" s="10">
        <v>21963.589120000004</v>
      </c>
      <c r="N10" s="39">
        <v>24382.226985000001</v>
      </c>
      <c r="O10" s="10">
        <v>27495.223096999998</v>
      </c>
      <c r="P10" s="40">
        <v>28984.742088000003</v>
      </c>
      <c r="Q10" s="70">
        <f t="shared" ref="Q10:Q19" si="1">+((M10/L10)-1)*100</f>
        <v>4.4045431434041937</v>
      </c>
      <c r="R10" s="27" t="s">
        <v>13</v>
      </c>
    </row>
    <row r="11" spans="1:20" ht="21" customHeight="1">
      <c r="A11" s="9" t="s">
        <v>37</v>
      </c>
      <c r="B11" s="10">
        <v>42.3</v>
      </c>
      <c r="C11" s="10">
        <v>13.887772999999999</v>
      </c>
      <c r="D11" s="10">
        <v>49.354096069998995</v>
      </c>
      <c r="E11" s="10">
        <v>534.46453699999995</v>
      </c>
      <c r="F11" s="10">
        <v>48.072814719999997</v>
      </c>
      <c r="G11" s="10">
        <v>268.11802599999999</v>
      </c>
      <c r="H11" s="10">
        <v>124.11061599999999</v>
      </c>
      <c r="I11" s="10">
        <v>120.282314</v>
      </c>
      <c r="J11" s="10">
        <v>869.36103832000015</v>
      </c>
      <c r="K11" s="10">
        <v>577.583888</v>
      </c>
      <c r="L11" s="10">
        <v>366.15476000000001</v>
      </c>
      <c r="M11" s="10">
        <v>38.262090999999998</v>
      </c>
      <c r="N11" s="39">
        <v>324.45175799999998</v>
      </c>
      <c r="O11" s="10">
        <v>34.483530000000002</v>
      </c>
      <c r="P11" s="40">
        <v>33.874510000000001</v>
      </c>
      <c r="Q11" s="70">
        <f t="shared" si="1"/>
        <v>-89.550295345061201</v>
      </c>
      <c r="R11" s="27" t="s">
        <v>44</v>
      </c>
    </row>
    <row r="12" spans="1:20" s="5" customFormat="1" ht="21" customHeight="1">
      <c r="A12" s="11" t="s">
        <v>38</v>
      </c>
      <c r="B12" s="7">
        <v>517</v>
      </c>
      <c r="C12" s="7">
        <v>421.515827</v>
      </c>
      <c r="D12" s="7">
        <v>154.54323556</v>
      </c>
      <c r="E12" s="7">
        <v>732.43525699999998</v>
      </c>
      <c r="F12" s="7">
        <v>366.669873</v>
      </c>
      <c r="G12" s="7">
        <v>117.65522753</v>
      </c>
      <c r="H12" s="7">
        <v>165.27382499999999</v>
      </c>
      <c r="I12" s="7">
        <v>636.94119636999983</v>
      </c>
      <c r="J12" s="7">
        <v>253.12576791999993</v>
      </c>
      <c r="K12" s="7">
        <v>343.76348099999996</v>
      </c>
      <c r="L12" s="7">
        <v>819.80752300000006</v>
      </c>
      <c r="M12" s="7">
        <v>2068.3916140000001</v>
      </c>
      <c r="N12" s="37">
        <v>5214.8928859999996</v>
      </c>
      <c r="O12" s="7">
        <v>2145.5426579999998</v>
      </c>
      <c r="P12" s="38">
        <v>2135.9968319999998</v>
      </c>
      <c r="Q12" s="69">
        <f t="shared" si="1"/>
        <v>152.30210213623522</v>
      </c>
      <c r="R12" s="26" t="s">
        <v>14</v>
      </c>
      <c r="T12" s="4"/>
    </row>
    <row r="13" spans="1:20" ht="21" customHeight="1">
      <c r="A13" s="11" t="s">
        <v>15</v>
      </c>
      <c r="B13" s="7">
        <v>10176.000000000002</v>
      </c>
      <c r="C13" s="7">
        <f>+C14+C17</f>
        <v>10953.434156000003</v>
      </c>
      <c r="D13" s="7">
        <v>10815.062102899999</v>
      </c>
      <c r="E13" s="7">
        <v>12264.726665999999</v>
      </c>
      <c r="F13" s="7">
        <f>F14+F17</f>
        <v>13110.002924999999</v>
      </c>
      <c r="G13" s="7">
        <f>G14+G17</f>
        <v>13530.771002489999</v>
      </c>
      <c r="H13" s="7">
        <f>H14+H17</f>
        <v>16417.211596000001</v>
      </c>
      <c r="I13" s="7">
        <f>I14+I17</f>
        <v>21336.878134909999</v>
      </c>
      <c r="J13" s="7">
        <v>25262.973192969996</v>
      </c>
      <c r="K13" s="7">
        <v>22420.18677</v>
      </c>
      <c r="L13" s="7">
        <v>26418.667526999998</v>
      </c>
      <c r="M13" s="7">
        <v>28856.879435000003</v>
      </c>
      <c r="N13" s="37">
        <v>35756.359809000001</v>
      </c>
      <c r="O13" s="7">
        <v>39396.908740000006</v>
      </c>
      <c r="P13" s="38">
        <v>36085.796196999996</v>
      </c>
      <c r="Q13" s="69">
        <f t="shared" si="1"/>
        <v>9.2291252218081876</v>
      </c>
      <c r="R13" s="26" t="s">
        <v>16</v>
      </c>
    </row>
    <row r="14" spans="1:20" ht="21" customHeight="1">
      <c r="A14" s="11" t="s">
        <v>17</v>
      </c>
      <c r="B14" s="7">
        <f>SUM(B15:B16)</f>
        <v>10342.400000000001</v>
      </c>
      <c r="C14" s="7">
        <f>SUM(C15:C16)</f>
        <v>11104.270489000002</v>
      </c>
      <c r="D14" s="7">
        <f>SUM(D15:D16)</f>
        <v>10996.362102899999</v>
      </c>
      <c r="E14" s="7">
        <v>12663.726665999999</v>
      </c>
      <c r="F14" s="7">
        <f>SUM(F15:F16)</f>
        <v>13200.234560999999</v>
      </c>
      <c r="G14" s="7">
        <f>SUM(G15:G16)</f>
        <v>13666.256009489998</v>
      </c>
      <c r="H14" s="7">
        <f>SUM(H15:H16)</f>
        <v>16539.373646</v>
      </c>
      <c r="I14" s="7">
        <f>SUM(I15:I16)</f>
        <v>21440.896380909999</v>
      </c>
      <c r="J14" s="7">
        <v>25306.509388119997</v>
      </c>
      <c r="K14" s="7">
        <f t="shared" ref="K14:P14" si="2">SUM(K15:K16)</f>
        <v>22497.557322000001</v>
      </c>
      <c r="L14" s="7">
        <f t="shared" si="2"/>
        <v>26522.292830999999</v>
      </c>
      <c r="M14" s="7">
        <f t="shared" si="2"/>
        <v>29062.578798000002</v>
      </c>
      <c r="N14" s="37">
        <f t="shared" si="2"/>
        <v>35966.371018999998</v>
      </c>
      <c r="O14" s="7">
        <f t="shared" si="2"/>
        <v>39710.519749000006</v>
      </c>
      <c r="P14" s="38">
        <f t="shared" si="2"/>
        <v>36472.412879999996</v>
      </c>
      <c r="Q14" s="69">
        <f t="shared" si="1"/>
        <v>9.577927455920566</v>
      </c>
      <c r="R14" s="26" t="s">
        <v>18</v>
      </c>
    </row>
    <row r="15" spans="1:20" ht="21" customHeight="1">
      <c r="A15" s="9" t="s">
        <v>19</v>
      </c>
      <c r="B15" s="10">
        <v>7463.2000000000007</v>
      </c>
      <c r="C15" s="10">
        <v>8764.9308290000008</v>
      </c>
      <c r="D15" s="10">
        <v>8428.0733739999996</v>
      </c>
      <c r="E15" s="10">
        <v>9075.7434510000003</v>
      </c>
      <c r="F15" s="10">
        <v>10316.485255</v>
      </c>
      <c r="G15" s="10">
        <v>11573.214585849999</v>
      </c>
      <c r="H15" s="10">
        <v>13959.968519999999</v>
      </c>
      <c r="I15" s="10">
        <v>16733.74419112</v>
      </c>
      <c r="J15" s="10">
        <v>16141.004692499997</v>
      </c>
      <c r="K15" s="10">
        <v>14955.176706</v>
      </c>
      <c r="L15" s="10">
        <v>18268.036271999998</v>
      </c>
      <c r="M15" s="10">
        <v>20833.803974000002</v>
      </c>
      <c r="N15" s="39">
        <v>22337.870621000002</v>
      </c>
      <c r="O15" s="10">
        <v>22780.239696000004</v>
      </c>
      <c r="P15" s="40">
        <v>23179.522129999998</v>
      </c>
      <c r="Q15" s="70">
        <f t="shared" si="1"/>
        <v>14.045120470516249</v>
      </c>
      <c r="R15" s="27" t="s">
        <v>20</v>
      </c>
    </row>
    <row r="16" spans="1:20" s="12" customFormat="1" ht="21" customHeight="1">
      <c r="A16" s="9" t="s">
        <v>21</v>
      </c>
      <c r="B16" s="10">
        <v>2879.2</v>
      </c>
      <c r="C16" s="10">
        <v>2339.3396600000005</v>
      </c>
      <c r="D16" s="10">
        <v>2568.2887288999996</v>
      </c>
      <c r="E16" s="10">
        <v>3587.9832149999993</v>
      </c>
      <c r="F16" s="10">
        <v>2883.7493059999997</v>
      </c>
      <c r="G16" s="10">
        <v>2093.0414236399993</v>
      </c>
      <c r="H16" s="10">
        <v>2579.4051260000006</v>
      </c>
      <c r="I16" s="10">
        <v>4707.1521897899993</v>
      </c>
      <c r="J16" s="10">
        <v>9165.5046956200003</v>
      </c>
      <c r="K16" s="10">
        <v>7542.3806160000004</v>
      </c>
      <c r="L16" s="10">
        <v>8254.2565589999995</v>
      </c>
      <c r="M16" s="10">
        <v>8228.7748240000001</v>
      </c>
      <c r="N16" s="39">
        <v>13628.500398</v>
      </c>
      <c r="O16" s="10">
        <v>16930.280053000002</v>
      </c>
      <c r="P16" s="40">
        <v>13292.890749999999</v>
      </c>
      <c r="Q16" s="70">
        <f t="shared" si="1"/>
        <v>-0.3087102371710948</v>
      </c>
      <c r="R16" s="27" t="s">
        <v>50</v>
      </c>
      <c r="T16" s="4"/>
    </row>
    <row r="17" spans="1:20" s="12" customFormat="1" ht="21" customHeight="1">
      <c r="A17" s="11" t="s">
        <v>22</v>
      </c>
      <c r="B17" s="1">
        <v>-166.4</v>
      </c>
      <c r="C17" s="1">
        <v>-150.836333</v>
      </c>
      <c r="D17" s="1">
        <v>-181.3</v>
      </c>
      <c r="E17" s="1">
        <v>-399</v>
      </c>
      <c r="F17" s="1">
        <v>-90.231635999999995</v>
      </c>
      <c r="G17" s="1">
        <v>-135.485007</v>
      </c>
      <c r="H17" s="1">
        <v>-122.16204999999999</v>
      </c>
      <c r="I17" s="1">
        <v>-104.018246</v>
      </c>
      <c r="J17" s="1">
        <v>-43.536195150000012</v>
      </c>
      <c r="K17" s="1">
        <v>-77.370552000000004</v>
      </c>
      <c r="L17" s="1">
        <v>-103.625304</v>
      </c>
      <c r="M17" s="1">
        <v>-205.69936299999998</v>
      </c>
      <c r="N17" s="41">
        <v>-210.01121000000001</v>
      </c>
      <c r="O17" s="1">
        <v>-313.61100900000002</v>
      </c>
      <c r="P17" s="42">
        <v>-386.61668300000002</v>
      </c>
      <c r="Q17" s="71">
        <f t="shared" si="1"/>
        <v>98.503024898242984</v>
      </c>
      <c r="R17" s="26" t="s">
        <v>23</v>
      </c>
      <c r="T17" s="4"/>
    </row>
    <row r="18" spans="1:20" s="14" customFormat="1" ht="26.25" customHeight="1">
      <c r="A18" s="13" t="s">
        <v>39</v>
      </c>
      <c r="B18" s="7">
        <f>+B8-B13</f>
        <v>-2719.4600000000019</v>
      </c>
      <c r="C18" s="7">
        <f>+C8-C13</f>
        <v>-5218.5988600000028</v>
      </c>
      <c r="D18" s="7">
        <v>-4268.1333326200029</v>
      </c>
      <c r="E18" s="7">
        <v>-2360.1651829999992</v>
      </c>
      <c r="F18" s="7">
        <f>F8-F13</f>
        <v>-2971.8899754799986</v>
      </c>
      <c r="G18" s="7">
        <f>G8-G14</f>
        <v>-1765.5079577599972</v>
      </c>
      <c r="H18" s="7">
        <f>H8-H14</f>
        <v>-1375.1457339999997</v>
      </c>
      <c r="I18" s="7">
        <f>I8-I14</f>
        <v>-4134.6949135399955</v>
      </c>
      <c r="J18" s="7">
        <v>-6728.3906071100027</v>
      </c>
      <c r="K18" s="7">
        <v>-2238.9210269999967</v>
      </c>
      <c r="L18" s="7">
        <v>-4299.3253959999965</v>
      </c>
      <c r="M18" s="7">
        <v>-4992.3359729999975</v>
      </c>
      <c r="N18" s="37">
        <v>-6044.7993900000001</v>
      </c>
      <c r="O18" s="7">
        <v>-10035.270464000008</v>
      </c>
      <c r="P18" s="38">
        <v>-5317.7994499999913</v>
      </c>
      <c r="Q18" s="69">
        <f t="shared" si="1"/>
        <v>16.119053878656487</v>
      </c>
      <c r="R18" s="28" t="s">
        <v>51</v>
      </c>
      <c r="T18" s="4"/>
    </row>
    <row r="19" spans="1:20" s="14" customFormat="1" ht="26.25" customHeight="1">
      <c r="A19" s="13" t="s">
        <v>40</v>
      </c>
      <c r="B19" s="7">
        <v>-2439.4600000000019</v>
      </c>
      <c r="C19" s="7">
        <v>-4600.7200820000025</v>
      </c>
      <c r="D19" s="7">
        <v>-3592.3513126200028</v>
      </c>
      <c r="E19" s="7">
        <v>-1634.3804499999992</v>
      </c>
      <c r="F19" s="7">
        <v>-1864.8087464799987</v>
      </c>
      <c r="G19" s="7">
        <v>-808.78176075999909</v>
      </c>
      <c r="H19" s="7">
        <v>-396.79836499999976</v>
      </c>
      <c r="I19" s="7">
        <v>-2787.0450525399956</v>
      </c>
      <c r="J19" s="7">
        <v>-5546.1014912900027</v>
      </c>
      <c r="K19" s="7">
        <v>-1141.9743679999967</v>
      </c>
      <c r="L19" s="7">
        <v>-2859.0684689999966</v>
      </c>
      <c r="M19" s="7">
        <v>-3345.5215889999972</v>
      </c>
      <c r="N19" s="37">
        <v>-4201.0576680000004</v>
      </c>
      <c r="O19" s="7">
        <v>-7902.5931390000078</v>
      </c>
      <c r="P19" s="38">
        <v>-3148.5808109999912</v>
      </c>
      <c r="Q19" s="69">
        <f t="shared" si="1"/>
        <v>17.014392109684074</v>
      </c>
      <c r="R19" s="28" t="s">
        <v>52</v>
      </c>
      <c r="T19" s="4"/>
    </row>
    <row r="20" spans="1:20" ht="6" customHeight="1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1"/>
      <c r="O20" s="1"/>
      <c r="P20" s="42"/>
      <c r="Q20" s="71"/>
      <c r="R20" s="26"/>
    </row>
    <row r="21" spans="1:20" s="14" customFormat="1" ht="21" customHeight="1">
      <c r="A21" s="11" t="s">
        <v>24</v>
      </c>
      <c r="B21" s="72">
        <f t="shared" ref="B21:J21" si="3">+B22+B25</f>
        <v>2719.4</v>
      </c>
      <c r="C21" s="72">
        <f t="shared" si="3"/>
        <v>5218.5418559999998</v>
      </c>
      <c r="D21" s="72">
        <f t="shared" si="3"/>
        <v>4268.1000000000004</v>
      </c>
      <c r="E21" s="72">
        <f t="shared" si="3"/>
        <v>2360.0889139999999</v>
      </c>
      <c r="F21" s="72">
        <f t="shared" si="3"/>
        <v>2971.889975</v>
      </c>
      <c r="G21" s="22">
        <f t="shared" si="3"/>
        <v>1765.5079579999997</v>
      </c>
      <c r="H21" s="22">
        <f t="shared" si="3"/>
        <v>1375.1457340000004</v>
      </c>
      <c r="I21" s="22">
        <f t="shared" si="3"/>
        <v>4134.6949133600001</v>
      </c>
      <c r="J21" s="22">
        <f t="shared" si="3"/>
        <v>6728.4460148500111</v>
      </c>
      <c r="K21" s="22">
        <v>2238.8918629999998</v>
      </c>
      <c r="L21" s="22">
        <v>4299.8753960000004</v>
      </c>
      <c r="M21" s="22">
        <v>4992.3359729999993</v>
      </c>
      <c r="N21" s="43">
        <v>6044.7993900000001</v>
      </c>
      <c r="O21" s="22">
        <v>10035.270464000001</v>
      </c>
      <c r="P21" s="44">
        <v>5317.7994499999995</v>
      </c>
      <c r="Q21" s="73">
        <f>+((M21/L21)-1)*100</f>
        <v>16.104201011130858</v>
      </c>
      <c r="R21" s="26" t="s">
        <v>25</v>
      </c>
      <c r="T21" s="4"/>
    </row>
    <row r="22" spans="1:20" s="14" customFormat="1" ht="21" customHeight="1">
      <c r="A22" s="11" t="s">
        <v>26</v>
      </c>
      <c r="B22" s="1">
        <f t="shared" ref="B22:J22" si="4">SUM(B23:B24)</f>
        <v>747.69999999999993</v>
      </c>
      <c r="C22" s="1">
        <f t="shared" si="4"/>
        <v>1006.141856</v>
      </c>
      <c r="D22" s="1">
        <f t="shared" si="4"/>
        <v>1228.3000000000002</v>
      </c>
      <c r="E22" s="1">
        <f t="shared" si="4"/>
        <v>967.96693600000003</v>
      </c>
      <c r="F22" s="1">
        <f t="shared" si="4"/>
        <v>772.15054499999997</v>
      </c>
      <c r="G22" s="1">
        <f t="shared" si="4"/>
        <v>472.55445400000008</v>
      </c>
      <c r="H22" s="1">
        <f t="shared" si="4"/>
        <v>-370.60431500000004</v>
      </c>
      <c r="I22" s="1">
        <f t="shared" si="4"/>
        <v>-297.77568000000008</v>
      </c>
      <c r="J22" s="1">
        <f t="shared" si="4"/>
        <v>1931.9270714199997</v>
      </c>
      <c r="K22" s="1">
        <v>3041.7776670000003</v>
      </c>
      <c r="L22" s="1">
        <v>5712.7696960000003</v>
      </c>
      <c r="M22" s="1">
        <v>1893.6285249999999</v>
      </c>
      <c r="N22" s="41">
        <v>6531.3529570000001</v>
      </c>
      <c r="O22" s="1">
        <v>7270.0615809999999</v>
      </c>
      <c r="P22" s="42">
        <v>-1100.8735839999999</v>
      </c>
      <c r="Q22" s="71">
        <f>+((M22/L22)-1)*100</f>
        <v>-66.852706729524016</v>
      </c>
      <c r="R22" s="27" t="s">
        <v>27</v>
      </c>
      <c r="T22" s="4"/>
    </row>
    <row r="23" spans="1:20" s="14" customFormat="1" ht="21" customHeight="1">
      <c r="A23" s="9" t="s">
        <v>28</v>
      </c>
      <c r="B23" s="74">
        <v>1137.5999999999999</v>
      </c>
      <c r="C23" s="74">
        <v>1416.341856</v>
      </c>
      <c r="D23" s="74">
        <v>1817.7</v>
      </c>
      <c r="E23" s="74">
        <v>1884.5</v>
      </c>
      <c r="F23" s="74">
        <v>1713.11293</v>
      </c>
      <c r="G23" s="23">
        <v>1187.19235</v>
      </c>
      <c r="H23" s="23">
        <v>641.742166</v>
      </c>
      <c r="I23" s="23">
        <v>648.39113899999995</v>
      </c>
      <c r="J23" s="23">
        <v>2987.2736873199997</v>
      </c>
      <c r="K23" s="23">
        <v>1562.315793</v>
      </c>
      <c r="L23" s="23">
        <v>3563.0462699999998</v>
      </c>
      <c r="M23" s="23">
        <v>2818.9177639999998</v>
      </c>
      <c r="N23" s="45">
        <v>3038.8759570000002</v>
      </c>
      <c r="O23" s="23">
        <v>4443.8828530000001</v>
      </c>
      <c r="P23" s="46">
        <v>4577.1469589999997</v>
      </c>
      <c r="Q23" s="75">
        <f>+((M23/L23)-1)*100</f>
        <v>-20.884615287356347</v>
      </c>
      <c r="R23" s="27" t="s">
        <v>29</v>
      </c>
      <c r="T23" s="4"/>
    </row>
    <row r="24" spans="1:20" s="14" customFormat="1" ht="21" customHeight="1">
      <c r="A24" s="9" t="s">
        <v>30</v>
      </c>
      <c r="B24" s="74">
        <v>-389.9</v>
      </c>
      <c r="C24" s="74">
        <v>-410.2</v>
      </c>
      <c r="D24" s="74">
        <v>-589.4</v>
      </c>
      <c r="E24" s="74">
        <v>-916.53306399999997</v>
      </c>
      <c r="F24" s="74">
        <v>-940.96238500000004</v>
      </c>
      <c r="G24" s="23">
        <v>-714.63789599999996</v>
      </c>
      <c r="H24" s="23">
        <v>-1012.346481</v>
      </c>
      <c r="I24" s="23">
        <v>-946.16681900000003</v>
      </c>
      <c r="J24" s="23">
        <v>-1055.3466159</v>
      </c>
      <c r="K24" s="23">
        <v>-1048.8313680000001</v>
      </c>
      <c r="L24" s="23">
        <v>-1106.247627</v>
      </c>
      <c r="M24" s="23">
        <v>-995.55700000000002</v>
      </c>
      <c r="N24" s="45">
        <v>-1133.5229999999999</v>
      </c>
      <c r="O24" s="23">
        <v>-1799.8212719999999</v>
      </c>
      <c r="P24" s="46">
        <v>-5678.0205429999996</v>
      </c>
      <c r="Q24" s="75">
        <f>+((M24/L24)-1)*100</f>
        <v>-10.005953847799754</v>
      </c>
      <c r="R24" s="27" t="s">
        <v>31</v>
      </c>
      <c r="T24" s="4"/>
    </row>
    <row r="25" spans="1:20" s="14" customFormat="1" ht="21" customHeight="1">
      <c r="A25" s="15" t="s">
        <v>41</v>
      </c>
      <c r="B25" s="16">
        <v>1971.7</v>
      </c>
      <c r="C25" s="16">
        <v>4212.3999999999996</v>
      </c>
      <c r="D25" s="16">
        <v>3039.8</v>
      </c>
      <c r="E25" s="16">
        <v>1392.1219779999999</v>
      </c>
      <c r="F25" s="16">
        <v>2199.7394300000001</v>
      </c>
      <c r="G25" s="16">
        <v>1292.9535039999996</v>
      </c>
      <c r="H25" s="16">
        <v>1745.7500490000004</v>
      </c>
      <c r="I25" s="16">
        <v>4432.4705933599998</v>
      </c>
      <c r="J25" s="16">
        <v>4796.5189434300109</v>
      </c>
      <c r="K25" s="16">
        <v>-802.88580400000023</v>
      </c>
      <c r="L25" s="16">
        <v>-1412.8942999999999</v>
      </c>
      <c r="M25" s="16">
        <v>3098.7074479999992</v>
      </c>
      <c r="N25" s="47">
        <v>-486.55356700000016</v>
      </c>
      <c r="O25" s="16">
        <v>2765.2088830000002</v>
      </c>
      <c r="P25" s="48">
        <v>6418.6730339999995</v>
      </c>
      <c r="Q25" s="83">
        <f>+((M25/L25)-1)*100</f>
        <v>-319.31629620135061</v>
      </c>
      <c r="R25" s="29" t="s">
        <v>53</v>
      </c>
      <c r="T25" s="4"/>
    </row>
    <row r="26" spans="1:20" s="14" customFormat="1" ht="14.25">
      <c r="A26" s="17" t="s">
        <v>32</v>
      </c>
      <c r="B26" s="76"/>
      <c r="C26" s="76"/>
      <c r="D26" s="76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30" t="s">
        <v>33</v>
      </c>
    </row>
    <row r="27" spans="1:20" s="14" customFormat="1" ht="17.25">
      <c r="A27" s="17" t="s">
        <v>48</v>
      </c>
      <c r="B27" s="76"/>
      <c r="C27" s="76"/>
      <c r="D27" s="76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25" t="s">
        <v>45</v>
      </c>
    </row>
    <row r="28" spans="1:20" s="14" customFormat="1" ht="17.25">
      <c r="A28" s="17" t="s">
        <v>47</v>
      </c>
      <c r="B28" s="76"/>
      <c r="C28" s="76"/>
      <c r="D28" s="76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9"/>
      <c r="R28" s="25" t="s">
        <v>46</v>
      </c>
    </row>
    <row r="29" spans="1:20" s="14" customFormat="1" ht="16.5" customHeight="1">
      <c r="A29" s="17" t="s">
        <v>42</v>
      </c>
      <c r="B29" s="76"/>
      <c r="C29" s="76"/>
      <c r="D29" s="7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30" t="s">
        <v>43</v>
      </c>
    </row>
    <row r="30" spans="1:20" s="14" customFormat="1" ht="14.25">
      <c r="A30" s="77" t="s">
        <v>57</v>
      </c>
      <c r="B30" s="18"/>
      <c r="C30" s="18"/>
      <c r="R30" s="78" t="s">
        <v>58</v>
      </c>
    </row>
    <row r="31" spans="1:20" ht="14.25">
      <c r="A31" s="17" t="s">
        <v>5</v>
      </c>
      <c r="B31" s="76"/>
      <c r="C31" s="76"/>
      <c r="D31" s="76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9"/>
      <c r="R31" s="31" t="s">
        <v>4</v>
      </c>
    </row>
    <row r="32" spans="1:20" ht="15">
      <c r="A32" s="20"/>
      <c r="B32" s="79"/>
      <c r="C32" s="79"/>
      <c r="D32" s="79"/>
      <c r="E32" s="2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</row>
    <row r="33" spans="6:18" ht="15"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R33" s="24"/>
    </row>
    <row r="34" spans="6:18" ht="15"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</row>
  </sheetData>
  <mergeCells count="6">
    <mergeCell ref="A5:A7"/>
    <mergeCell ref="A1:R1"/>
    <mergeCell ref="A2:R2"/>
    <mergeCell ref="A3:R3"/>
    <mergeCell ref="A4:R4"/>
    <mergeCell ref="R5:R7"/>
  </mergeCells>
  <pageMargins left="0.17" right="0.16" top="0.75" bottom="0.75" header="0.3" footer="0.3"/>
  <pageSetup paperSize="9" scale="6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13.2</vt:lpstr>
      <vt:lpstr>'13.2'!Print_Area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2020-08-27T07:12:41Z</cp:lastPrinted>
  <dcterms:created xsi:type="dcterms:W3CDTF">2014-03-06T08:38:12Z</dcterms:created>
  <dcterms:modified xsi:type="dcterms:W3CDTF">2020-08-27T07:15:21Z</dcterms:modified>
</cp:coreProperties>
</file>