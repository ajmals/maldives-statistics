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10" sheetId="29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'13.10'!$A$1:$K$38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J17" i="29" l="1"/>
  <c r="I17" i="29"/>
  <c r="H17" i="29"/>
  <c r="G17" i="29"/>
  <c r="F17" i="29"/>
  <c r="E17" i="29"/>
  <c r="D17" i="29"/>
  <c r="C17" i="29"/>
  <c r="B17" i="29"/>
  <c r="J14" i="29"/>
  <c r="I14" i="29"/>
  <c r="H14" i="29"/>
  <c r="G14" i="29"/>
  <c r="F14" i="29"/>
  <c r="E14" i="29"/>
  <c r="D14" i="29"/>
  <c r="C14" i="29"/>
  <c r="B14" i="29"/>
</calcChain>
</file>

<file path=xl/sharedStrings.xml><?xml version="1.0" encoding="utf-8"?>
<sst xmlns="http://schemas.openxmlformats.org/spreadsheetml/2006/main" count="55" uniqueCount="55">
  <si>
    <t>Actuals</t>
  </si>
  <si>
    <t>(މިލިޔަން ރުފިޔާއިން)</t>
  </si>
  <si>
    <t>Particular</t>
  </si>
  <si>
    <t>Forecasts</t>
  </si>
  <si>
    <t>ތަފްސީލު</t>
  </si>
  <si>
    <t xml:space="preserve"> 1_/IkWb uhwfcSwmuDek udwdwa ikcaedWrubwa iawgutog egclwpiscnircpcnudwdwA unugen cniaeretegunOl   </t>
  </si>
  <si>
    <t xml:space="preserve"> 2_/ cnugen cniaeretegunOl  </t>
  </si>
  <si>
    <t xml:space="preserve">3_/ ikcaed Wrubwa clwpiscnircpegunOl  </t>
  </si>
  <si>
    <t xml:space="preserve"> 4_/ utWfwt egudwdwa ikcaed Wrubwa iaWdwdwA unugen cniaeretegunOl iawgEret egurwhwa  </t>
  </si>
  <si>
    <t xml:space="preserve">5_/ ugwa egutwmudiK egunOl  </t>
  </si>
  <si>
    <t>Net transfers 6_/</t>
  </si>
  <si>
    <t xml:space="preserve">6_/ ikcaedcSwgwa egutwmudiK iaWmurukWdwaunOl  </t>
  </si>
  <si>
    <t>Total debt service (TDS) 7_/</t>
  </si>
  <si>
    <t xml:space="preserve">7_/ utWfwtegumuruk ctwmcdiK egunOl iaWdwdwA unugen cniaeretegunOl  </t>
  </si>
  <si>
    <t>Selected ratios</t>
  </si>
  <si>
    <t>ctwbcsin caeawb WviawfivelWvoh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</si>
  <si>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</si>
  <si>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</si>
  <si>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</si>
  <si>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</si>
  <si>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</si>
  <si>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</si>
  <si>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</si>
  <si>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</si>
  <si>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</si>
  <si>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</si>
  <si>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</si>
  <si>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</si>
  <si>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</si>
  <si>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</si>
  <si>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</si>
  <si>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</si>
  <si>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</si>
  <si>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Disbursements less total debt service</t>
  </si>
  <si>
    <t xml:space="preserve">wlcmuj egugwa egutwmudiK iaWrwvcnimWkcawd Wrubnwa clwpiscnircp egunOl 6_/  </t>
  </si>
  <si>
    <t>7_/ Sum of Principal repayments and interest</t>
  </si>
  <si>
    <t xml:space="preserve">uhwfcSwmurukinua urwvikcaed cSwgwa egutwmudiK iaWmurukWdwaunOl cnudwdwa unugen cniaeretegunOl 7_/  </t>
  </si>
  <si>
    <t xml:space="preserve">IrwRercT cDcnea cscnEnif cfoa IrcTcsinim :ctWrwf ivcaedutWmUluAwm    </t>
  </si>
  <si>
    <t>Additonal Notes:</t>
  </si>
  <si>
    <t>(In millions of Rufiyaa)</t>
  </si>
  <si>
    <t>Gross Domestic Product (GDP)</t>
  </si>
  <si>
    <t>DOD as a percentage of GDP</t>
  </si>
  <si>
    <t>2/ Data Sources within Ministry of Finance:</t>
  </si>
  <si>
    <t xml:space="preserve">     * Debt Numbers: Resource Mobilization and Debt Management Department</t>
  </si>
  <si>
    <t xml:space="preserve">     * GDP Numbers: Fiscal Affairs Department</t>
  </si>
  <si>
    <t>Source: Ministry of Finance</t>
  </si>
  <si>
    <t>1/2019-2022 numbers from CS-DRMS report 352, with cut-off date as of Jan 31, 2019; only includes explicitly guaranteed external debt</t>
  </si>
  <si>
    <r>
      <t xml:space="preserve">Debt outstanding disbursement. (DOD) 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</si>
  <si>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Disbursement </t>
    </r>
    <r>
      <rPr>
        <vertAlign val="superscript"/>
        <sz val="10"/>
        <color theme="1"/>
        <rFont val="Calibri"/>
        <family val="2"/>
        <scheme val="minor"/>
      </rPr>
      <t>2_/</t>
    </r>
  </si>
  <si>
    <r>
      <t xml:space="preserve">Principal Repayment </t>
    </r>
    <r>
      <rPr>
        <vertAlign val="superscript"/>
        <sz val="10"/>
        <color theme="1"/>
        <rFont val="Calibri"/>
        <family val="2"/>
        <scheme val="minor"/>
      </rPr>
      <t>3_/</t>
    </r>
  </si>
  <si>
    <r>
      <t xml:space="preserve">Net flows on Debt </t>
    </r>
    <r>
      <rPr>
        <vertAlign val="superscript"/>
        <sz val="10"/>
        <color theme="1"/>
        <rFont val="Calibri"/>
        <family val="2"/>
        <scheme val="minor"/>
      </rPr>
      <t>4_/</t>
    </r>
  </si>
  <si>
    <r>
      <t xml:space="preserve">Interest payments (INT) </t>
    </r>
    <r>
      <rPr>
        <vertAlign val="superscript"/>
        <sz val="10"/>
        <color theme="1"/>
        <rFont val="Calibri"/>
        <family val="2"/>
        <scheme val="minor"/>
      </rPr>
      <t>5_/</t>
    </r>
  </si>
  <si>
    <t>Table 13.10: SUMMARY OF PUBLICLY GUARANTEED EXTERNAL DEBT, 2014 - 2022</t>
  </si>
  <si>
    <r>
      <t>2022- 2014, (</t>
    </r>
    <r>
      <rPr>
        <b/>
        <sz val="12"/>
        <color theme="1"/>
        <rFont val="Faruma"/>
      </rPr>
      <t>ބަޖެޓަރީ ސެންޓްރަލް ގަވަރންމަންޓް)</t>
    </r>
    <r>
      <rPr>
        <b/>
        <sz val="12"/>
        <color theme="1"/>
        <rFont val="A_Faseyha"/>
      </rPr>
      <t xml:space="preserve"> inwrwd egurEb egEjcaWr :13.10 ulwvWt</t>
    </r>
  </si>
  <si>
    <t>ޤައުމީ އުފެއްދުންތެރިކަމުގެ މިންގަނޑު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</si>
</sst>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8" formatCode="0.0"/>
    <numFmt numFmtId="170" formatCode="_-* #,##0.00_-;\-* #,##0.00_-;_-* &quot;-&quot;??_-;_-@_-"/>
    <numFmt numFmtId="171" formatCode="#,##0.00\ ;&quot; (&quot;#,##0.00\);&quot; -&quot;#\ ;@\ "/>
    <numFmt numFmtId="172" formatCode="0.00;[Red]0.00"/>
    <numFmt numFmtId="176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_Faseyha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u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sz val="10"/>
      <color theme="1"/>
      <name val="A_Faseyha"/>
    </font>
    <font>
      <sz val="9"/>
      <color theme="1"/>
      <name val="A_Faseyha"/>
    </font>
    <font>
      <vertAlign val="superscript"/>
      <sz val="10"/>
      <color theme="1"/>
      <name val="Calibri"/>
      <family val="2"/>
      <scheme val="minor"/>
    </font>
    <font>
      <b/>
      <sz val="12"/>
      <color theme="1"/>
      <name val="Faruma"/>
    </font>
    <font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/>
      <top/>
      <bottom style="hair">
        <color theme="1" tint="0.34998626667073579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theme="1" tint="0.34998626667073579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5" fillId="0" borderId="0"/>
    <xf numFmtId="171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8" fontId="23" fillId="0" borderId="0"/>
    <xf numFmtId="4" fontId="2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7">
    <xf numFmtId="0" fontId="0" fillId="0" borderId="0" xfId="0"/>
    <xf numFmtId="164" fontId="12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>
      <alignment horizontal="right" vertical="center"/>
    </xf>
    <xf numFmtId="164" fontId="7" fillId="2" borderId="0" xfId="2" applyNumberFormat="1" applyFont="1" applyFill="1" applyBorder="1" applyAlignment="1">
      <alignment horizontal="right"/>
    </xf>
    <xf numFmtId="0" fontId="1" fillId="2" borderId="0" xfId="0" applyFont="1" applyFill="1"/>
    <xf numFmtId="0" fontId="20" fillId="2" borderId="0" xfId="12" applyFont="1" applyFill="1" applyAlignment="1"/>
    <xf numFmtId="164" fontId="7" fillId="2" borderId="0" xfId="2" applyNumberFormat="1" applyFont="1" applyFill="1" applyBorder="1" applyAlignment="1">
      <alignment horizontal="right" wrapText="1"/>
    </xf>
    <xf numFmtId="0" fontId="7" fillId="2" borderId="1" xfId="12" applyFont="1" applyFill="1" applyBorder="1" applyAlignment="1">
      <alignment horizontal="right" vertical="center"/>
    </xf>
    <xf numFmtId="0" fontId="9" fillId="2" borderId="0" xfId="12" applyFont="1" applyFill="1" applyBorder="1"/>
    <xf numFmtId="0" fontId="9" fillId="2" borderId="1" xfId="12" applyFont="1" applyFill="1" applyBorder="1"/>
    <xf numFmtId="2" fontId="14" fillId="2" borderId="0" xfId="11" applyNumberFormat="1" applyFont="1" applyFill="1" applyBorder="1" applyAlignment="1">
      <alignment horizontal="right" vertical="center"/>
    </xf>
    <xf numFmtId="168" fontId="14" fillId="2" borderId="0" xfId="11" applyNumberFormat="1" applyFont="1" applyFill="1" applyBorder="1" applyAlignment="1">
      <alignment horizontal="right" vertical="center"/>
    </xf>
    <xf numFmtId="0" fontId="11" fillId="2" borderId="0" xfId="12" applyFont="1" applyFill="1" applyAlignment="1">
      <alignment horizontal="left"/>
    </xf>
    <xf numFmtId="0" fontId="11" fillId="2" borderId="0" xfId="12" applyFont="1" applyFill="1"/>
    <xf numFmtId="0" fontId="21" fillId="2" borderId="0" xfId="12" applyFont="1" applyFill="1" applyBorder="1"/>
    <xf numFmtId="172" fontId="11" fillId="2" borderId="0" xfId="12" applyNumberFormat="1" applyFont="1" applyFill="1"/>
    <xf numFmtId="0" fontId="16" fillId="2" borderId="0" xfId="12" applyFont="1" applyFill="1"/>
    <xf numFmtId="0" fontId="22" fillId="2" borderId="0" xfId="12" applyFont="1" applyFill="1"/>
    <xf numFmtId="0" fontId="9" fillId="2" borderId="0" xfId="12" applyFont="1" applyFill="1"/>
    <xf numFmtId="0" fontId="9" fillId="2" borderId="1" xfId="12" applyNumberFormat="1" applyFont="1" applyFill="1" applyBorder="1"/>
    <xf numFmtId="0" fontId="1" fillId="2" borderId="0" xfId="0" applyNumberFormat="1" applyFont="1" applyFill="1"/>
    <xf numFmtId="164" fontId="7" fillId="2" borderId="3" xfId="2" applyNumberFormat="1" applyFont="1" applyFill="1" applyBorder="1" applyAlignment="1">
      <alignment horizontal="right"/>
    </xf>
    <xf numFmtId="176" fontId="14" fillId="2" borderId="0" xfId="1" applyNumberFormat="1" applyFont="1" applyFill="1" applyBorder="1" applyAlignment="1">
      <alignment horizontal="right" vertical="center"/>
    </xf>
    <xf numFmtId="176" fontId="1" fillId="2" borderId="0" xfId="0" applyNumberFormat="1" applyFont="1" applyFill="1"/>
    <xf numFmtId="164" fontId="25" fillId="2" borderId="0" xfId="2" applyNumberFormat="1" applyFont="1" applyFill="1" applyAlignment="1">
      <alignment horizontal="right" vertical="center"/>
    </xf>
    <xf numFmtId="164" fontId="26" fillId="2" borderId="0" xfId="2" applyNumberFormat="1" applyFont="1" applyFill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26" fillId="2" borderId="1" xfId="2" applyNumberFormat="1" applyFont="1" applyFill="1" applyBorder="1" applyAlignment="1">
      <alignment horizontal="right" vertical="center"/>
    </xf>
    <xf numFmtId="164" fontId="8" fillId="2" borderId="5" xfId="2" applyNumberFormat="1" applyFont="1" applyFill="1" applyBorder="1" applyAlignment="1">
      <alignment horizontal="center"/>
    </xf>
    <xf numFmtId="43" fontId="1" fillId="2" borderId="0" xfId="1" applyFont="1" applyFill="1"/>
    <xf numFmtId="0" fontId="1" fillId="2" borderId="7" xfId="0" applyFont="1" applyFill="1" applyBorder="1"/>
    <xf numFmtId="0" fontId="7" fillId="2" borderId="4" xfId="12" applyFont="1" applyFill="1" applyBorder="1" applyAlignment="1">
      <alignment horizontal="right" vertical="center"/>
    </xf>
    <xf numFmtId="0" fontId="9" fillId="2" borderId="0" xfId="12" applyFont="1" applyFill="1" applyAlignment="1">
      <alignment vertical="center"/>
    </xf>
    <xf numFmtId="176" fontId="9" fillId="2" borderId="0" xfId="1" applyNumberFormat="1" applyFont="1" applyFill="1" applyAlignment="1">
      <alignment horizontal="right" vertical="center"/>
    </xf>
    <xf numFmtId="176" fontId="9" fillId="2" borderId="0" xfId="1" applyNumberFormat="1" applyFont="1" applyFill="1" applyBorder="1" applyAlignment="1">
      <alignment horizontal="right" vertical="center"/>
    </xf>
    <xf numFmtId="176" fontId="9" fillId="2" borderId="3" xfId="1" applyNumberFormat="1" applyFont="1" applyFill="1" applyBorder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/>
    </xf>
    <xf numFmtId="0" fontId="9" fillId="2" borderId="8" xfId="12" applyFont="1" applyFill="1" applyBorder="1" applyAlignment="1">
      <alignment vertical="center"/>
    </xf>
    <xf numFmtId="176" fontId="9" fillId="2" borderId="8" xfId="1" applyNumberFormat="1" applyFont="1" applyFill="1" applyBorder="1" applyAlignment="1">
      <alignment horizontal="right" vertical="center"/>
    </xf>
    <xf numFmtId="176" fontId="9" fillId="2" borderId="10" xfId="1" applyNumberFormat="1" applyFont="1" applyFill="1" applyBorder="1" applyAlignment="1">
      <alignment horizontal="right" vertical="center"/>
    </xf>
    <xf numFmtId="176" fontId="14" fillId="2" borderId="3" xfId="1" applyNumberFormat="1" applyFont="1" applyFill="1" applyBorder="1" applyAlignment="1">
      <alignment horizontal="right" vertical="center"/>
    </xf>
    <xf numFmtId="9" fontId="14" fillId="2" borderId="1" xfId="11" applyFont="1" applyFill="1" applyBorder="1" applyAlignment="1">
      <alignment horizontal="right" vertical="center"/>
    </xf>
    <xf numFmtId="9" fontId="14" fillId="2" borderId="4" xfId="11" applyFont="1" applyFill="1" applyBorder="1" applyAlignment="1">
      <alignment horizontal="right" vertical="center"/>
    </xf>
    <xf numFmtId="168" fontId="14" fillId="2" borderId="0" xfId="11" applyNumberFormat="1" applyFont="1" applyFill="1" applyAlignment="1">
      <alignment horizontal="right" vertical="center"/>
    </xf>
    <xf numFmtId="0" fontId="11" fillId="2" borderId="0" xfId="12" applyFont="1" applyFill="1" applyBorder="1" applyAlignment="1">
      <alignment horizontal="left" vertical="center"/>
    </xf>
    <xf numFmtId="164" fontId="26" fillId="2" borderId="8" xfId="2" applyNumberFormat="1" applyFont="1" applyFill="1" applyBorder="1" applyAlignment="1">
      <alignment horizontal="right" vertical="center"/>
    </xf>
    <xf numFmtId="0" fontId="26" fillId="2" borderId="1" xfId="2" applyNumberFormat="1" applyFont="1" applyFill="1" applyBorder="1" applyAlignment="1">
      <alignment horizontal="right" vertical="center"/>
    </xf>
    <xf numFmtId="164" fontId="27" fillId="2" borderId="0" xfId="2" applyNumberFormat="1" applyFont="1" applyFill="1" applyAlignment="1">
      <alignment horizontal="right" vertical="center"/>
    </xf>
    <xf numFmtId="10" fontId="14" fillId="3" borderId="0" xfId="11" applyNumberFormat="1" applyFont="1" applyFill="1" applyBorder="1" applyAlignment="1">
      <alignment horizontal="right" vertical="center"/>
    </xf>
    <xf numFmtId="2" fontId="14" fillId="3" borderId="0" xfId="11" applyNumberFormat="1" applyFont="1" applyFill="1" applyBorder="1" applyAlignment="1">
      <alignment horizontal="right" vertical="center"/>
    </xf>
    <xf numFmtId="168" fontId="14" fillId="3" borderId="0" xfId="11" applyNumberFormat="1" applyFont="1" applyFill="1" applyBorder="1" applyAlignment="1">
      <alignment horizontal="right" vertical="center"/>
    </xf>
    <xf numFmtId="10" fontId="14" fillId="3" borderId="1" xfId="11" applyNumberFormat="1" applyFont="1" applyFill="1" applyBorder="1" applyAlignment="1">
      <alignment horizontal="right" vertical="center"/>
    </xf>
    <xf numFmtId="0" fontId="30" fillId="2" borderId="0" xfId="0" applyFont="1" applyFill="1"/>
    <xf numFmtId="164" fontId="17" fillId="2" borderId="0" xfId="2" applyNumberFormat="1" applyFont="1" applyFill="1" applyAlignment="1">
      <alignment horizontal="center" vertical="center"/>
    </xf>
    <xf numFmtId="0" fontId="18" fillId="2" borderId="0" xfId="12" applyFont="1" applyFill="1" applyAlignment="1">
      <alignment horizontal="center"/>
    </xf>
    <xf numFmtId="0" fontId="19" fillId="2" borderId="1" xfId="12" applyFont="1" applyFill="1" applyBorder="1" applyAlignment="1">
      <alignment horizontal="center"/>
    </xf>
    <xf numFmtId="0" fontId="7" fillId="2" borderId="2" xfId="12" applyFont="1" applyFill="1" applyBorder="1" applyAlignment="1">
      <alignment horizontal="left" vertical="center"/>
    </xf>
    <xf numFmtId="0" fontId="7" fillId="2" borderId="0" xfId="12" applyFont="1" applyFill="1" applyBorder="1" applyAlignment="1">
      <alignment horizontal="left" vertical="center"/>
    </xf>
    <xf numFmtId="0" fontId="7" fillId="2" borderId="1" xfId="12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center"/>
    </xf>
    <xf numFmtId="164" fontId="8" fillId="2" borderId="7" xfId="2" applyNumberFormat="1" applyFont="1" applyFill="1" applyBorder="1" applyAlignment="1">
      <alignment horizontal="center"/>
    </xf>
    <xf numFmtId="164" fontId="8" fillId="2" borderId="9" xfId="2" applyNumberFormat="1" applyFont="1" applyFill="1" applyBorder="1" applyAlignment="1">
      <alignment horizontal="center"/>
    </xf>
    <xf numFmtId="164" fontId="8" fillId="2" borderId="6" xfId="2" applyNumberFormat="1" applyFont="1" applyFill="1" applyBorder="1" applyAlignment="1">
      <alignment horizontal="center"/>
    </xf>
    <xf numFmtId="164" fontId="10" fillId="2" borderId="0" xfId="2" applyNumberFormat="1" applyFont="1" applyFill="1" applyAlignment="1">
      <alignment horizontal="center" vertical="center" wrapText="1"/>
    </xf>
    <xf numFmtId="0" fontId="10" fillId="2" borderId="2" xfId="12" applyFont="1" applyFill="1" applyBorder="1" applyAlignment="1">
      <alignment horizontal="right" vertical="center" indent="2"/>
    </xf>
    <xf numFmtId="0" fontId="10" fillId="2" borderId="0" xfId="12" applyFont="1" applyFill="1" applyBorder="1" applyAlignment="1">
      <alignment horizontal="right" vertical="center" indent="2"/>
    </xf>
    <xf numFmtId="0" fontId="10" fillId="2" borderId="1" xfId="12" applyFont="1" applyFill="1" applyBorder="1" applyAlignment="1">
      <alignment horizontal="right" vertical="center" indent="2"/>
    </xf>
  </cellXfs>
  <cellStyles count="18">
    <cellStyle name="Comma" xfId="1" builtinId="3"/>
    <cellStyle name="Comma 2" xfId="6"/>
    <cellStyle name="Comma 3" xfId="7"/>
    <cellStyle name="Comma 4" xfId="3"/>
    <cellStyle name="Comma 4 2" xfId="16"/>
    <cellStyle name="Comma 5" xfId="14"/>
    <cellStyle name="Comma 6" xfId="9"/>
    <cellStyle name="Excel Built-in Comma" xfId="5"/>
    <cellStyle name="Excel Built-in Normal" xfId="4"/>
    <cellStyle name="Normal" xfId="0" builtinId="0"/>
    <cellStyle name="Normal 2" xfId="10"/>
    <cellStyle name="Normal 2 2" xfId="15"/>
    <cellStyle name="Normal 3" xfId="13"/>
    <cellStyle name="Normal 4" xfId="8"/>
    <cellStyle name="Normal_13 Public Finance_done" xfId="2"/>
    <cellStyle name="Normal_EXDT-MPHRE (1)" xfId="12"/>
    <cellStyle name="Percent" xfId="11" builtinId="5"/>
    <cellStyle name="Percent 2" xfId="17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50"/>
  <sheetViews>
    <sheetView tabSelected="1" zoomScale="98" zoomScaleNormal="98" workbookViewId="0">
      <selection activeCell="A4" sqref="A4:K4"/>
    </sheetView>
  </sheetViews>
  <sheetFormatPr defaultColWidth="24.7109375" defaultRowHeight="15"/>
  <cols>
    <col min="1" max="1" width="38" style="4" customWidth="1"/>
    <col min="2" max="5" width="10.5703125" style="4" customWidth="1"/>
    <col min="6" max="6" width="10" style="4" bestFit="1" customWidth="1"/>
    <col min="7" max="8" width="10.5703125" style="4" customWidth="1"/>
    <col min="9" max="9" width="11" style="4" bestFit="1" customWidth="1"/>
    <col min="10" max="10" width="10.5703125" style="4" customWidth="1"/>
    <col min="11" max="11" width="66.85546875" style="4" customWidth="1"/>
    <col min="12" max="12" width="1.42578125" style="4" customWidth="1"/>
    <col min="13" max="16384" width="24.7109375" style="4"/>
  </cols>
  <sheetData>
    <row r="1" spans="1:13" ht="21.75">
      <c r="A1" s="53" t="s">
        <v>53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3">
      <c r="A2" s="54" t="s">
        <v>52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3" ht="17.25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3">
      <c r="A4" s="55" t="s">
        <v>39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"/>
      <c r="M4" s="5"/>
    </row>
    <row r="5" spans="1:13">
      <c r="A5" s="56" t="s">
        <v>2</v>
      </c>
      <c r="B5" s="59" t="s">
        <v>0</v>
      </c>
      <c r="C5" s="59"/>
      <c r="D5" s="59"/>
      <c r="E5" s="59"/>
      <c r="F5" s="28"/>
      <c r="G5" s="30"/>
      <c r="H5" s="60" t="s">
        <v>3</v>
      </c>
      <c r="I5" s="61"/>
      <c r="J5" s="62"/>
      <c r="K5" s="64" t="s">
        <v>4</v>
      </c>
      <c r="L5" s="5"/>
      <c r="M5" s="5"/>
    </row>
    <row r="6" spans="1:13" ht="9" customHeight="1">
      <c r="A6" s="57"/>
      <c r="B6" s="3"/>
      <c r="C6" s="6"/>
      <c r="D6" s="3"/>
      <c r="E6" s="3"/>
      <c r="F6" s="3"/>
      <c r="G6" s="21"/>
      <c r="H6" s="3"/>
      <c r="I6" s="3"/>
      <c r="J6" s="3"/>
      <c r="K6" s="65"/>
      <c r="L6" s="5"/>
      <c r="M6" s="5"/>
    </row>
    <row r="7" spans="1:13">
      <c r="A7" s="58"/>
      <c r="B7" s="7">
        <v>2014</v>
      </c>
      <c r="C7" s="7">
        <v>2015</v>
      </c>
      <c r="D7" s="7">
        <v>2016</v>
      </c>
      <c r="E7" s="7">
        <v>2017</v>
      </c>
      <c r="F7" s="7">
        <v>2018</v>
      </c>
      <c r="G7" s="31">
        <v>2019</v>
      </c>
      <c r="H7" s="7">
        <v>2020</v>
      </c>
      <c r="I7" s="7">
        <v>2021</v>
      </c>
      <c r="J7" s="7">
        <v>2022</v>
      </c>
      <c r="K7" s="66"/>
    </row>
    <row r="8" spans="1:13" ht="15.75">
      <c r="A8" s="32" t="s">
        <v>47</v>
      </c>
      <c r="B8" s="33">
        <v>589</v>
      </c>
      <c r="C8" s="33">
        <v>439.1</v>
      </c>
      <c r="D8" s="33">
        <v>2117.1</v>
      </c>
      <c r="E8" s="33">
        <v>669</v>
      </c>
      <c r="F8" s="34">
        <v>9956.9</v>
      </c>
      <c r="G8" s="35">
        <v>11825.4</v>
      </c>
      <c r="H8" s="34">
        <v>14385.8</v>
      </c>
      <c r="I8" s="34">
        <v>12713.3</v>
      </c>
      <c r="J8" s="34">
        <v>12456.8</v>
      </c>
      <c r="K8" s="25" t="s">
        <v>5</v>
      </c>
    </row>
    <row r="9" spans="1:13" ht="17.25">
      <c r="A9" s="32" t="s">
        <v>48</v>
      </c>
      <c r="B9" s="33">
        <v>0</v>
      </c>
      <c r="C9" s="33">
        <v>110.3</v>
      </c>
      <c r="D9" s="33">
        <v>1842.5</v>
      </c>
      <c r="E9" s="33">
        <v>604.4</v>
      </c>
      <c r="F9" s="34">
        <v>11993.3</v>
      </c>
      <c r="G9" s="35">
        <v>5888.6</v>
      </c>
      <c r="H9" s="34">
        <v>7268</v>
      </c>
      <c r="I9" s="34">
        <v>1694.1</v>
      </c>
      <c r="J9" s="34">
        <v>3070</v>
      </c>
      <c r="K9" s="25" t="s">
        <v>6</v>
      </c>
      <c r="M9" s="36"/>
    </row>
    <row r="10" spans="1:13" ht="15.75">
      <c r="A10" s="32" t="s">
        <v>49</v>
      </c>
      <c r="B10" s="33">
        <v>1410.9</v>
      </c>
      <c r="C10" s="33">
        <v>260.2</v>
      </c>
      <c r="D10" s="33">
        <v>163.30000000000001</v>
      </c>
      <c r="E10" s="33">
        <v>2057.1</v>
      </c>
      <c r="F10" s="34">
        <v>2711.5</v>
      </c>
      <c r="G10" s="35">
        <v>4003.7</v>
      </c>
      <c r="H10" s="34">
        <v>2787.1</v>
      </c>
      <c r="I10" s="34">
        <v>3366.5</v>
      </c>
      <c r="J10" s="34">
        <v>3326.6</v>
      </c>
      <c r="K10" s="25" t="s">
        <v>7</v>
      </c>
    </row>
    <row r="11" spans="1:13" ht="15.75">
      <c r="A11" s="32" t="s">
        <v>50</v>
      </c>
      <c r="B11" s="33">
        <v>-253.7</v>
      </c>
      <c r="C11" s="33">
        <v>-106.7</v>
      </c>
      <c r="D11" s="33">
        <v>1981.3</v>
      </c>
      <c r="E11" s="33">
        <v>4408.2</v>
      </c>
      <c r="F11" s="34">
        <v>3993.9</v>
      </c>
      <c r="G11" s="35">
        <v>1621.4</v>
      </c>
      <c r="H11" s="34">
        <v>1120.8999999999999</v>
      </c>
      <c r="I11" s="34">
        <v>1519.2</v>
      </c>
      <c r="J11" s="34">
        <v>-3795.6</v>
      </c>
      <c r="K11" s="25" t="s">
        <v>8</v>
      </c>
    </row>
    <row r="12" spans="1:13" ht="23.25">
      <c r="A12" s="32" t="s">
        <v>51</v>
      </c>
      <c r="B12" s="33">
        <v>0.2</v>
      </c>
      <c r="C12" s="33">
        <v>26</v>
      </c>
      <c r="D12" s="33">
        <v>33.799999999999997</v>
      </c>
      <c r="E12" s="33">
        <v>46</v>
      </c>
      <c r="F12" s="34">
        <v>248.2</v>
      </c>
      <c r="G12" s="35">
        <v>540.6</v>
      </c>
      <c r="H12" s="34">
        <v>567.9</v>
      </c>
      <c r="I12" s="34">
        <v>767.8</v>
      </c>
      <c r="J12" s="34">
        <v>684.1</v>
      </c>
      <c r="K12" s="25" t="s">
        <v>9</v>
      </c>
      <c r="M12" s="52"/>
    </row>
    <row r="13" spans="1:13" ht="15.75">
      <c r="A13" s="32" t="s">
        <v>10</v>
      </c>
      <c r="B13" s="33">
        <v>-448</v>
      </c>
      <c r="C13" s="33">
        <v>-262.2</v>
      </c>
      <c r="D13" s="33">
        <v>1810.5</v>
      </c>
      <c r="E13" s="33">
        <v>4092.5</v>
      </c>
      <c r="F13" s="34">
        <v>3467.1</v>
      </c>
      <c r="G13" s="35">
        <v>1004.5</v>
      </c>
      <c r="H13" s="34">
        <v>352.00000000000006</v>
      </c>
      <c r="I13" s="34">
        <v>676.3</v>
      </c>
      <c r="J13" s="34">
        <v>-4543.8</v>
      </c>
      <c r="K13" s="25" t="s">
        <v>11</v>
      </c>
    </row>
    <row r="14" spans="1:13" ht="15.75">
      <c r="A14" s="37" t="s">
        <v>12</v>
      </c>
      <c r="B14" s="38">
        <f>B12+B10</f>
        <v>1411.1000000000001</v>
      </c>
      <c r="C14" s="38">
        <f t="shared" ref="C14:J14" si="0">C12+C10</f>
        <v>286.2</v>
      </c>
      <c r="D14" s="38">
        <f t="shared" si="0"/>
        <v>197.10000000000002</v>
      </c>
      <c r="E14" s="38">
        <f t="shared" si="0"/>
        <v>2103.1</v>
      </c>
      <c r="F14" s="38">
        <f t="shared" si="0"/>
        <v>2959.7</v>
      </c>
      <c r="G14" s="39">
        <f>G12+G10</f>
        <v>4544.3</v>
      </c>
      <c r="H14" s="38">
        <f t="shared" si="0"/>
        <v>3355</v>
      </c>
      <c r="I14" s="38">
        <f t="shared" si="0"/>
        <v>4134.3</v>
      </c>
      <c r="J14" s="38">
        <f t="shared" si="0"/>
        <v>4010.7</v>
      </c>
      <c r="K14" s="45" t="s">
        <v>13</v>
      </c>
    </row>
    <row r="15" spans="1:13" ht="15.75">
      <c r="A15" s="17" t="s">
        <v>14</v>
      </c>
      <c r="B15" s="22"/>
      <c r="C15" s="22"/>
      <c r="D15" s="22"/>
      <c r="E15" s="22"/>
      <c r="F15" s="22"/>
      <c r="G15" s="40"/>
      <c r="H15" s="22"/>
      <c r="I15" s="22"/>
      <c r="J15" s="22"/>
      <c r="K15" s="24" t="s">
        <v>15</v>
      </c>
    </row>
    <row r="16" spans="1:13" ht="18.75">
      <c r="A16" s="18" t="s">
        <v>40</v>
      </c>
      <c r="B16" s="22">
        <v>56866.746459796515</v>
      </c>
      <c r="C16" s="22">
        <v>63147</v>
      </c>
      <c r="D16" s="22">
        <v>67300</v>
      </c>
      <c r="E16" s="22">
        <v>72873</v>
      </c>
      <c r="F16" s="22">
        <v>81994</v>
      </c>
      <c r="G16" s="40">
        <v>87836.616225602484</v>
      </c>
      <c r="H16" s="22">
        <v>97534.568482546616</v>
      </c>
      <c r="I16" s="22">
        <v>105992.15661490316</v>
      </c>
      <c r="J16" s="22">
        <v>115377.1117589288</v>
      </c>
      <c r="K16" s="1" t="s">
        <v>54</v>
      </c>
    </row>
    <row r="17" spans="1:11" s="20" customFormat="1" ht="15.75">
      <c r="A17" s="19" t="s">
        <v>41</v>
      </c>
      <c r="B17" s="41">
        <f>B8/B16</f>
        <v>1.0357547014165995E-2</v>
      </c>
      <c r="C17" s="41">
        <f t="shared" ref="C17:J17" si="1">C8/C16</f>
        <v>6.9536161654552078E-3</v>
      </c>
      <c r="D17" s="41">
        <f t="shared" si="1"/>
        <v>3.1457652303120358E-2</v>
      </c>
      <c r="E17" s="41">
        <f t="shared" si="1"/>
        <v>9.1803548639413767E-3</v>
      </c>
      <c r="F17" s="41">
        <f t="shared" si="1"/>
        <v>0.12143449520696636</v>
      </c>
      <c r="G17" s="42">
        <f t="shared" si="1"/>
        <v>0.13462950314054961</v>
      </c>
      <c r="H17" s="41">
        <f t="shared" si="1"/>
        <v>0.14749437275230551</v>
      </c>
      <c r="I17" s="41">
        <f t="shared" si="1"/>
        <v>0.11994566773644108</v>
      </c>
      <c r="J17" s="41">
        <f t="shared" si="1"/>
        <v>0.10796595451294951</v>
      </c>
      <c r="K17" s="46" t="s">
        <v>16</v>
      </c>
    </row>
    <row r="18" spans="1:11" ht="10.5" hidden="1" customHeight="1">
      <c r="A18" s="8"/>
      <c r="B18" s="43"/>
      <c r="C18" s="43"/>
      <c r="D18" s="43"/>
      <c r="E18" s="43"/>
      <c r="F18" s="11"/>
      <c r="G18" s="11"/>
      <c r="H18" s="11"/>
      <c r="I18" s="11"/>
      <c r="J18" s="11"/>
      <c r="K18" s="25"/>
    </row>
    <row r="19" spans="1:11" ht="15.75" hidden="1">
      <c r="A19" s="8" t="s">
        <v>17</v>
      </c>
      <c r="B19" s="48"/>
      <c r="C19" s="48"/>
      <c r="D19" s="48"/>
      <c r="E19" s="48"/>
      <c r="F19" s="48"/>
      <c r="G19" s="48"/>
      <c r="H19" s="48"/>
      <c r="I19" s="48"/>
      <c r="J19" s="48"/>
      <c r="K19" s="25" t="s">
        <v>18</v>
      </c>
    </row>
    <row r="20" spans="1:11" ht="6.75" hidden="1" customHeight="1">
      <c r="A20" s="8"/>
      <c r="B20" s="49"/>
      <c r="C20" s="50"/>
      <c r="D20" s="50"/>
      <c r="E20" s="50"/>
      <c r="F20" s="50"/>
      <c r="G20" s="50"/>
      <c r="H20" s="50"/>
      <c r="I20" s="50"/>
      <c r="J20" s="50"/>
      <c r="K20" s="25"/>
    </row>
    <row r="21" spans="1:11" ht="15.75" hidden="1">
      <c r="A21" s="9" t="s">
        <v>19</v>
      </c>
      <c r="B21" s="51"/>
      <c r="C21" s="51"/>
      <c r="D21" s="51"/>
      <c r="E21" s="51"/>
      <c r="F21" s="51"/>
      <c r="G21" s="51"/>
      <c r="H21" s="51"/>
      <c r="I21" s="51"/>
      <c r="J21" s="51"/>
      <c r="K21" s="27" t="s">
        <v>20</v>
      </c>
    </row>
    <row r="22" spans="1:11" ht="15.75">
      <c r="A22" s="8" t="s">
        <v>21</v>
      </c>
      <c r="B22" s="10"/>
      <c r="C22" s="11"/>
      <c r="D22" s="11"/>
      <c r="E22" s="11"/>
      <c r="F22" s="11"/>
      <c r="G22" s="11"/>
      <c r="H22" s="11"/>
      <c r="I22" s="11"/>
      <c r="J22" s="11"/>
      <c r="K22" s="26" t="s">
        <v>22</v>
      </c>
    </row>
    <row r="23" spans="1:11">
      <c r="A23" s="12" t="s">
        <v>23</v>
      </c>
      <c r="B23" s="13"/>
      <c r="C23" s="13"/>
      <c r="D23" s="13"/>
      <c r="E23" s="13"/>
      <c r="F23" s="13"/>
      <c r="G23" s="13"/>
      <c r="H23" s="13"/>
      <c r="I23" s="13"/>
      <c r="J23" s="13"/>
      <c r="K23" s="47" t="s">
        <v>24</v>
      </c>
    </row>
    <row r="24" spans="1:11">
      <c r="A24" s="12" t="s">
        <v>25</v>
      </c>
      <c r="B24" s="13"/>
      <c r="C24" s="13"/>
      <c r="D24" s="13"/>
      <c r="E24" s="13"/>
      <c r="F24" s="13"/>
      <c r="G24" s="13"/>
      <c r="H24" s="13"/>
      <c r="I24" s="13"/>
      <c r="J24" s="13"/>
      <c r="K24" s="47" t="s">
        <v>26</v>
      </c>
    </row>
    <row r="25" spans="1:11">
      <c r="A25" s="12" t="s">
        <v>27</v>
      </c>
      <c r="B25" s="13"/>
      <c r="C25" s="13"/>
      <c r="D25" s="13"/>
      <c r="E25" s="13"/>
      <c r="F25" s="13"/>
      <c r="G25" s="13"/>
      <c r="H25" s="13"/>
      <c r="I25" s="13"/>
      <c r="J25" s="13"/>
      <c r="K25" s="47" t="s">
        <v>28</v>
      </c>
    </row>
    <row r="26" spans="1:11">
      <c r="A26" s="12" t="s">
        <v>29</v>
      </c>
      <c r="B26" s="13"/>
      <c r="C26" s="13"/>
      <c r="D26" s="13"/>
      <c r="E26" s="13"/>
      <c r="F26" s="13"/>
      <c r="G26" s="13"/>
      <c r="H26" s="13"/>
      <c r="I26" s="13"/>
      <c r="J26" s="13"/>
      <c r="K26" s="47" t="s">
        <v>30</v>
      </c>
    </row>
    <row r="27" spans="1:11">
      <c r="A27" s="12" t="s">
        <v>31</v>
      </c>
      <c r="B27" s="13"/>
      <c r="C27" s="13"/>
      <c r="D27" s="13"/>
      <c r="E27" s="13"/>
      <c r="F27" s="13"/>
      <c r="G27" s="13"/>
      <c r="H27" s="13"/>
      <c r="I27" s="13"/>
      <c r="J27" s="13"/>
      <c r="K27" s="47" t="s">
        <v>32</v>
      </c>
    </row>
    <row r="28" spans="1:11">
      <c r="A28" s="12" t="s">
        <v>33</v>
      </c>
      <c r="B28" s="13"/>
      <c r="C28" s="13"/>
      <c r="D28" s="13"/>
      <c r="E28" s="13"/>
      <c r="F28" s="13"/>
      <c r="G28" s="13"/>
      <c r="H28" s="13"/>
      <c r="I28" s="13"/>
      <c r="J28" s="13"/>
      <c r="K28" s="47" t="s">
        <v>34</v>
      </c>
    </row>
    <row r="29" spans="1:11">
      <c r="A29" s="12" t="s">
        <v>35</v>
      </c>
      <c r="K29" s="47" t="s">
        <v>36</v>
      </c>
    </row>
    <row r="30" spans="1:11">
      <c r="K30" s="47" t="s">
        <v>37</v>
      </c>
    </row>
    <row r="31" spans="1:11">
      <c r="A31" s="14" t="s">
        <v>38</v>
      </c>
    </row>
    <row r="32" spans="1:11">
      <c r="A32" s="44" t="s">
        <v>46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1">
      <c r="A33" s="44" t="s">
        <v>42</v>
      </c>
    </row>
    <row r="34" spans="1:11">
      <c r="A34" s="44" t="s">
        <v>43</v>
      </c>
    </row>
    <row r="35" spans="1:11">
      <c r="A35" s="44" t="s">
        <v>44</v>
      </c>
    </row>
    <row r="36" spans="1:11">
      <c r="A36" s="13" t="s">
        <v>45</v>
      </c>
    </row>
    <row r="38" spans="1:11">
      <c r="A38" s="16"/>
      <c r="K38" s="29"/>
    </row>
    <row r="39" spans="1:11">
      <c r="A39" s="32"/>
      <c r="C39" s="23"/>
    </row>
    <row r="50" spans="11:11">
      <c r="K50" s="2"/>
    </row>
  </sheetData>
  <mergeCells count="8">
    <mergeCell ref="A1:K1"/>
    <mergeCell ref="A2:K2"/>
    <mergeCell ref="A3:K3"/>
    <mergeCell ref="A4:K4"/>
    <mergeCell ref="A5:A7"/>
    <mergeCell ref="B5:E5"/>
    <mergeCell ref="H5:J5"/>
    <mergeCell ref="K5:K7"/>
  </mergeCells>
  <pageMargins left="0.7" right="0.7" top="0.75" bottom="0.75" header="0.3" footer="0.3"/>
  <pageSetup scale="4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13.10</vt:lpstr>
      <vt:lpstr>'13.10'!Print_Area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2020-09-07T02:16:44Z</cp:lastPrinted>
  <dcterms:created xsi:type="dcterms:W3CDTF">2014-03-06T08:38:12Z</dcterms:created>
  <dcterms:modified xsi:type="dcterms:W3CDTF">2020-09-07T02:17:01Z</dcterms:modified>
</cp:coreProperties>
</file>