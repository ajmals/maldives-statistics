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3" sheetId="3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Titles" localSheetId="0">'13.3'!$5:$7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L43" i="3" l="1"/>
  <c r="K43" i="3"/>
  <c r="K24" i="3" s="1"/>
  <c r="J43" i="3"/>
  <c r="J24" i="3" s="1"/>
  <c r="J10" i="3" s="1"/>
  <c r="J9" i="3" s="1"/>
  <c r="J8" i="3" s="1"/>
  <c r="I43" i="3"/>
  <c r="I24" i="3" s="1"/>
  <c r="H43" i="3"/>
  <c r="G43" i="3"/>
  <c r="G24" i="3" s="1"/>
  <c r="F43" i="3"/>
  <c r="F24" i="3" s="1"/>
  <c r="F10" i="3" s="1"/>
  <c r="F9" i="3" s="1"/>
  <c r="F8" i="3" s="1"/>
  <c r="E43" i="3"/>
  <c r="E24" i="3" s="1"/>
  <c r="D43" i="3"/>
  <c r="C43" i="3"/>
  <c r="C24" i="3" s="1"/>
  <c r="B43" i="3"/>
  <c r="B24" i="3" s="1"/>
  <c r="B10" i="3" s="1"/>
  <c r="B9" i="3" s="1"/>
  <c r="B8" i="3" s="1"/>
  <c r="L24" i="3"/>
  <c r="H24" i="3"/>
  <c r="D24" i="3"/>
  <c r="L11" i="3"/>
  <c r="K11" i="3"/>
  <c r="J11" i="3"/>
  <c r="I11" i="3"/>
  <c r="H11" i="3"/>
  <c r="H10" i="3" s="1"/>
  <c r="H9" i="3" s="1"/>
  <c r="H8" i="3" s="1"/>
  <c r="G11" i="3"/>
  <c r="F11" i="3"/>
  <c r="E11" i="3"/>
  <c r="D11" i="3"/>
  <c r="D10" i="3" s="1"/>
  <c r="D9" i="3" s="1"/>
  <c r="D8" i="3" s="1"/>
  <c r="C11" i="3"/>
  <c r="B11" i="3"/>
  <c r="L10" i="3" l="1"/>
  <c r="L9" i="3" s="1"/>
  <c r="L8" i="3" s="1"/>
  <c r="E10" i="3"/>
  <c r="E9" i="3" s="1"/>
  <c r="E8" i="3" s="1"/>
  <c r="I10" i="3"/>
  <c r="I9" i="3" s="1"/>
  <c r="I8" i="3" s="1"/>
  <c r="C10" i="3"/>
  <c r="C9" i="3" s="1"/>
  <c r="C8" i="3" s="1"/>
  <c r="G10" i="3"/>
  <c r="G9" i="3" s="1"/>
  <c r="G8" i="3" s="1"/>
  <c r="K10" i="3"/>
  <c r="K9" i="3" s="1"/>
  <c r="K8" i="3" s="1"/>
</calcChain>
</file>

<file path=xl/sharedStrings.xml><?xml version="1.0" encoding="utf-8"?>
<sst xmlns="http://schemas.openxmlformats.org/spreadsheetml/2006/main" count="116" uniqueCount="101">
  <si>
    <t>(cniaWyifur cnwailim)</t>
  </si>
  <si>
    <t>Particulars</t>
  </si>
  <si>
    <t>clIBcfwt</t>
  </si>
  <si>
    <t>Actual</t>
  </si>
  <si>
    <t>Revised</t>
  </si>
  <si>
    <t>Total Revenue and grants</t>
  </si>
  <si>
    <t>Current Revenue</t>
  </si>
  <si>
    <t>InwdcmWA cTcnwrwk</t>
  </si>
  <si>
    <t>Capital Revenue</t>
  </si>
  <si>
    <t>Wsiawf unubiliawgutog egIhea egurEb iaWaInwdcmWA</t>
  </si>
  <si>
    <t>Total Revenue</t>
  </si>
  <si>
    <t>InwdcmWA</t>
  </si>
  <si>
    <t>Tax Revenue</t>
  </si>
  <si>
    <t xml:space="preserve"> InwdcmWA Ebil iawgutog egcsckeT</t>
  </si>
  <si>
    <t xml:space="preserve">              Import duty</t>
  </si>
  <si>
    <t xml:space="preserve">                                                           ITuaiD cTrOpcmia</t>
  </si>
  <si>
    <t xml:space="preserve">              Export duty</t>
  </si>
  <si>
    <t>އެކްސްޕޯޓް ޑިއުޓީ</t>
  </si>
  <si>
    <t xml:space="preserve">              Tourism Tax</t>
  </si>
  <si>
    <t xml:space="preserve">                                                           csckeT cmwzirUT</t>
  </si>
  <si>
    <t xml:space="preserve">              Bank profit tax</t>
  </si>
  <si>
    <t xml:space="preserve">                                                      csckeT egWdiawf ukcnEb</t>
  </si>
  <si>
    <t xml:space="preserve">              GST on Tourism </t>
  </si>
  <si>
    <t xml:space="preserve">ޓުއަރިޒަމް އިން ނެގޭ  ޓެކްސް        </t>
  </si>
  <si>
    <t xml:space="preserve">              Goods and Services Tax </t>
  </si>
  <si>
    <t xml:space="preserve">މުދަލާއި ޚިދުމަތުން ނެގޭ ޓެކްސް     </t>
  </si>
  <si>
    <t xml:space="preserve">              Airport Service Charge </t>
  </si>
  <si>
    <t>އެއަރޕޯރޓް ސަރވިސް ޗާރޖް</t>
  </si>
  <si>
    <t xml:space="preserve">              Business Profit Tax </t>
  </si>
  <si>
    <t>ބިޒްނަސް ޕްރޮފިޓް ޓެކްސް</t>
  </si>
  <si>
    <t xml:space="preserve">              Other  1/</t>
  </si>
  <si>
    <t xml:space="preserve">                                                            1_/ cnehinehea</t>
  </si>
  <si>
    <t>Nontax Revenue</t>
  </si>
  <si>
    <t>State Trading Organisation</t>
  </si>
  <si>
    <t>cnwxEziawnwgOa gcniDErcT cTETcs</t>
  </si>
  <si>
    <t>Dhivehi Raajjeyge Gulhun Pvt Ltd (DHIRAAGU)</t>
  </si>
  <si>
    <t>ދިވެހިރާއްޖޭގެ ގުޅުން ޕްރައިވެޓް ލިމިޓެޑް (ދިރާގު)</t>
  </si>
  <si>
    <t>Maldives Post Limited</t>
  </si>
  <si>
    <t>މޯޅްޑީވްސް ޕޯސްޓް ލިމިޓެޑް</t>
  </si>
  <si>
    <t>Maldives Monetary Authority</t>
  </si>
  <si>
    <t>މޯޅްޑިވްސް މަނިޓަރީ އޮތޯރިޓީ</t>
  </si>
  <si>
    <t>Maldives Industrial Fisheries Corporation</t>
  </si>
  <si>
    <t>މޯލްޑިވްސް އިންޑަސްޓްރިއަލް ފިޝަރީޒް ކޯޕަރޭޝަން</t>
  </si>
  <si>
    <t>Island Aviation Services Limited</t>
  </si>
  <si>
    <t>އައިލަންޑް އޭވިއޭޝަން ސާރވިސަސް ލިމިޓެޑް</t>
  </si>
  <si>
    <t xml:space="preserve">Building Construction and Machanical Workshop/ Public Works Services </t>
  </si>
  <si>
    <t>ބިލްޑީން ކޮންސްޓްރަކްޝަން އެންޑް މެކޭނިކަލް ވޯރކްޝޮޕް</t>
  </si>
  <si>
    <t>Maldives Transport &amp; Contracting Co.</t>
  </si>
  <si>
    <t>މޯލްޑީވްސް ޓްރާންސްޕޯރޓް އެންޑް ކޮންޓްރެކްޓިން ކޯ</t>
  </si>
  <si>
    <t>Maldives Ports Authority/ Maldives Ports Limited</t>
  </si>
  <si>
    <t xml:space="preserve">                                                    ITirOtoa cscTOp cscviDclOm</t>
  </si>
  <si>
    <t>Bank of Maldives</t>
  </si>
  <si>
    <t xml:space="preserve">                                                        cscviDclOm cfoa ckcnEb</t>
  </si>
  <si>
    <t>Maldives Airports Company Ltd</t>
  </si>
  <si>
    <t>މޯލްޑިވްސް އެއަރޕޯރޓްސް ކޮމްޕެނީ ލިމިޓެޑް</t>
  </si>
  <si>
    <t>Hulhumale Development Corperation</t>
  </si>
  <si>
    <t>ހުޅުމާލެ ޑިވެލޮޕްމަންޓް ކޯރޕަރޭޝަން</t>
  </si>
  <si>
    <t>Housing Development Corperation</t>
  </si>
  <si>
    <t>ހައުސިން ޑިވެލޮޕްމަންޓް  ކޯޕަރޭޝަން</t>
  </si>
  <si>
    <t>Government hotels</t>
  </si>
  <si>
    <t>ސަރުކާރުގެ ހޮޓެލްތައް</t>
  </si>
  <si>
    <t>Maldives Water &amp; Swerage Company</t>
  </si>
  <si>
    <t xml:space="preserve"> cDeTimil Inepcmok cjErwvcs cDcnea rwTOv cscviDclOm</t>
  </si>
  <si>
    <t xml:space="preserve">Housing Development Finance Corporation </t>
  </si>
  <si>
    <t>ހައުސިން ޑިވެލޮޕްމަންޓް ފައިނޭންސް ކޯޕަރޭޝަން</t>
  </si>
  <si>
    <t xml:space="preserve">Maldives Tourism Development Corporation </t>
  </si>
  <si>
    <t>Thilafushi Corperation Limited</t>
  </si>
  <si>
    <t>ތިލަފުށި ކޯޕަރޭޝަން ލިމިޓެޑް</t>
  </si>
  <si>
    <t>މޯލްޑިވްސް ޓޫރިޒަމް ޑިވެލޮޕްމަންޓް ކޯޕަރޭޝަން</t>
  </si>
  <si>
    <t xml:space="preserve">    Lease and rents of Government property</t>
  </si>
  <si>
    <t>iluk egunwtcnwt WkwtctWrWmiA WviawfWvcawrukUd cSwycauk cnurWkurws</t>
  </si>
  <si>
    <t xml:space="preserve">            Resort lease rent</t>
  </si>
  <si>
    <t xml:space="preserve">                         iluk egukwtcTOsir WviawfWvcawrukUd cSwycauk cnurWkurws</t>
  </si>
  <si>
    <t xml:space="preserve">            Lease and rents of other Government property</t>
  </si>
  <si>
    <t xml:space="preserve">           iluk egunwtcnwt cnehinehea iaWkwtctWrWmiA WviawfWvcawrukUd cSwycauk cnurWkurws</t>
  </si>
  <si>
    <t xml:space="preserve">    Others 2_/</t>
  </si>
  <si>
    <t xml:space="preserve">                                                             2_/ cnehinehea</t>
  </si>
  <si>
    <t xml:space="preserve">                                                             InwdcmWA clwTipek</t>
  </si>
  <si>
    <t>Grants 3_/</t>
  </si>
  <si>
    <t xml:space="preserve">                                                             3_/ IheaegurEb</t>
  </si>
  <si>
    <t>.eveaenemih iawgiawbim ITuaiD egcpcmETcs ,IfWkcawd cSwmuruk IrwTcsijwr inufcnuk -If cscnwsiawl 1_/</t>
  </si>
  <si>
    <t>3_/  Excludes grants for direct expenditure by donors.</t>
  </si>
  <si>
    <t>.eveaevuncaeawfinemihIhea EdiawfcSokudwrwKWdIs ctWrwf EdIhea  3_/</t>
  </si>
  <si>
    <t>Source:  Ministry of Finance and Treasury</t>
  </si>
  <si>
    <t>IrwRercT cDcnea cscnEnif cfoa IrcTcsinim :ctWrwf ivcaedutWmUluAwm</t>
  </si>
  <si>
    <t xml:space="preserve">ޓެކްސްގެ ގޮތުގައި ނުހިމެނޭ އާމްދަނީ </t>
  </si>
  <si>
    <t xml:space="preserve">   .eveawgutog egInwdcmWa Ebil iawgutog egcsckeT Inwviawfiveleb ITclwyOr cnegiSef cn 2012  4_/</t>
  </si>
  <si>
    <t xml:space="preserve">                                                            4_/ ITclwyOr</t>
  </si>
  <si>
    <t>(In million MVR)</t>
  </si>
  <si>
    <t>ގްރީން ޓެކްސް</t>
  </si>
  <si>
    <t>-</t>
  </si>
  <si>
    <t>1_/  Includes airport tax, business profit tax, GST, licence fees, company registration fees,remittence tax and stamp duties.</t>
  </si>
  <si>
    <t>2_/  Includes fines, confiscated properties, penalties and administrative charges. From 2017 onwards; includes Airport Development Fee</t>
  </si>
  <si>
    <t>4_/ from 2012 royalty is classified as a tax revenue</t>
  </si>
  <si>
    <t xml:space="preserve">                  Green Tax</t>
  </si>
  <si>
    <t xml:space="preserve">   Royalties  4_/</t>
  </si>
  <si>
    <t>Table  13.3:  GOVERNMENT REVENUE, 2013 - 2022</t>
  </si>
  <si>
    <t xml:space="preserve">   Income Tax</t>
  </si>
  <si>
    <t>2022 - 2013 އާމްދަނީ، egurWkurws  : 13.2 ulwvWt</t>
  </si>
  <si>
    <t xml:space="preserve">Approved </t>
  </si>
  <si>
    <r>
      <t xml:space="preserve">  </t>
    </r>
    <r>
      <rPr>
        <sz val="9.5"/>
        <color theme="1"/>
        <rFont val="Faruma"/>
      </rPr>
      <t>އަދި 2017 ވަނަ އަހަރުން ފެށިގެން ނަގަންފެށުނު އެއާޕޯޓް ޑިވެލޮޕްމަންޓް ފީ</t>
    </r>
    <r>
      <rPr>
        <sz val="9.5"/>
        <color theme="1"/>
        <rFont val="A_Faseyha"/>
      </rPr>
      <t>.Wsiawf Egen cnutog IrWdia iaWaITclenep ,itekwt WrukcTEkcsifcnok ,WnwmirUj  2_/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</si>
</sst>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  <numFmt numFmtId="168" formatCode="0.0"/>
    <numFmt numFmtId="169" formatCode="_-* #,##0.00_-;\-* #,##0.00_-;_-* &quot;-&quot;??_-;_-@_-"/>
    <numFmt numFmtId="170" formatCode="#,##0.00\ ;&quot; (&quot;#,##0.00\);&quot; -&quot;#\ ;@\ 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b/>
      <sz val="9.5"/>
      <color theme="1"/>
      <name val="Faruma"/>
    </font>
    <font>
      <sz val="8.5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9"/>
      <color theme="1"/>
      <name val="A_Faseyha"/>
    </font>
    <font>
      <b/>
      <sz val="9.5"/>
      <color theme="1"/>
      <name val="A_Faseyha"/>
    </font>
    <font>
      <sz val="9.5"/>
      <color theme="1"/>
      <name val="A_Faseyha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68" fontId="24" fillId="0" borderId="0"/>
    <xf numFmtId="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164" fontId="8" fillId="2" borderId="3" xfId="2" applyNumberFormat="1" applyFont="1" applyFill="1" applyBorder="1" applyAlignment="1">
      <alignment horizontal="center" vertical="center"/>
    </xf>
    <xf numFmtId="164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10" fillId="2" borderId="2" xfId="2" applyNumberFormat="1" applyFont="1" applyFill="1" applyBorder="1" applyAlignment="1">
      <alignment horizontal="right" vertical="center"/>
    </xf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1" xfId="2" applyNumberFormat="1" applyFont="1" applyFill="1" applyBorder="1" applyAlignment="1" applyProtection="1">
      <alignment horizontal="right" vertical="center"/>
    </xf>
    <xf numFmtId="165" fontId="12" fillId="2" borderId="0" xfId="2" applyNumberFormat="1" applyFont="1" applyFill="1" applyAlignment="1">
      <alignment horizontal="right" vertical="center"/>
    </xf>
    <xf numFmtId="164" fontId="14" fillId="2" borderId="0" xfId="2" applyNumberFormat="1" applyFont="1" applyFill="1" applyAlignment="1">
      <alignment vertical="center"/>
    </xf>
    <xf numFmtId="164" fontId="15" fillId="2" borderId="0" xfId="2" applyNumberFormat="1" applyFont="1" applyFill="1" applyAlignment="1">
      <alignment vertical="center"/>
    </xf>
    <xf numFmtId="164" fontId="9" fillId="2" borderId="0" xfId="2" applyNumberFormat="1" applyFont="1" applyFill="1" applyAlignment="1">
      <alignment vertical="center"/>
    </xf>
    <xf numFmtId="164" fontId="16" fillId="2" borderId="0" xfId="2" applyNumberFormat="1" applyFont="1" applyFill="1" applyAlignment="1">
      <alignment vertical="center"/>
    </xf>
    <xf numFmtId="164" fontId="9" fillId="2" borderId="0" xfId="2" applyNumberFormat="1" applyFont="1" applyFill="1" applyBorder="1" applyAlignment="1">
      <alignment vertical="center"/>
    </xf>
    <xf numFmtId="167" fontId="18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 applyProtection="1">
      <alignment horizontal="right" vertical="center"/>
      <protection locked="0"/>
    </xf>
    <xf numFmtId="41" fontId="17" fillId="2" borderId="0" xfId="3" applyNumberFormat="1" applyFont="1" applyFill="1" applyAlignment="1" applyProtection="1">
      <alignment horizontal="right" vertical="center"/>
      <protection locked="0"/>
    </xf>
    <xf numFmtId="167" fontId="17" fillId="2" borderId="0" xfId="3" applyNumberFormat="1" applyFont="1" applyFill="1" applyAlignment="1" applyProtection="1">
      <alignment horizontal="right" vertical="center"/>
      <protection locked="0"/>
    </xf>
    <xf numFmtId="166" fontId="17" fillId="2" borderId="0" xfId="3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Alignment="1"/>
    <xf numFmtId="167" fontId="18" fillId="2" borderId="0" xfId="1" applyNumberFormat="1" applyFont="1" applyFill="1" applyAlignment="1" applyProtection="1">
      <alignment horizontal="right"/>
    </xf>
    <xf numFmtId="165" fontId="20" fillId="2" borderId="0" xfId="2" applyNumberFormat="1" applyFont="1" applyFill="1" applyAlignment="1">
      <alignment horizontal="right" vertical="center"/>
    </xf>
    <xf numFmtId="167" fontId="19" fillId="2" borderId="0" xfId="1" applyNumberFormat="1" applyFont="1" applyFill="1" applyAlignment="1">
      <alignment horizontal="right"/>
    </xf>
    <xf numFmtId="164" fontId="12" fillId="2" borderId="0" xfId="2" applyNumberFormat="1" applyFont="1" applyFill="1" applyAlignment="1">
      <alignment vertical="center"/>
    </xf>
    <xf numFmtId="164" fontId="12" fillId="2" borderId="0" xfId="2" applyNumberFormat="1" applyFont="1" applyFill="1" applyAlignment="1">
      <alignment horizontal="right" vertical="center" readingOrder="1"/>
    </xf>
    <xf numFmtId="167" fontId="18" fillId="2" borderId="0" xfId="1" applyNumberFormat="1" applyFont="1" applyFill="1" applyAlignment="1" applyProtection="1">
      <alignment vertical="center"/>
      <protection locked="0"/>
    </xf>
    <xf numFmtId="167" fontId="18" fillId="2" borderId="2" xfId="1" applyNumberFormat="1" applyFont="1" applyFill="1" applyBorder="1" applyAlignment="1" applyProtection="1">
      <alignment vertical="center"/>
      <protection locked="0"/>
    </xf>
    <xf numFmtId="37" fontId="21" fillId="2" borderId="0" xfId="2" applyNumberFormat="1" applyFont="1" applyFill="1" applyAlignment="1" applyProtection="1">
      <alignment vertical="center"/>
    </xf>
    <xf numFmtId="0" fontId="13" fillId="2" borderId="0" xfId="0" applyFont="1" applyFill="1" applyBorder="1" applyAlignment="1">
      <alignment vertical="center"/>
    </xf>
    <xf numFmtId="167" fontId="14" fillId="2" borderId="0" xfId="1" applyNumberFormat="1" applyFont="1" applyFill="1" applyAlignment="1">
      <alignment vertical="center"/>
    </xf>
    <xf numFmtId="167" fontId="15" fillId="2" borderId="0" xfId="1" applyNumberFormat="1" applyFont="1" applyFill="1" applyAlignment="1">
      <alignment vertical="center"/>
    </xf>
    <xf numFmtId="167" fontId="9" fillId="2" borderId="0" xfId="1" applyNumberFormat="1" applyFont="1" applyFill="1" applyAlignment="1">
      <alignment vertical="center"/>
    </xf>
    <xf numFmtId="167" fontId="9" fillId="2" borderId="0" xfId="1" applyNumberFormat="1" applyFont="1" applyFill="1" applyBorder="1" applyAlignment="1">
      <alignment vertical="center"/>
    </xf>
    <xf numFmtId="167" fontId="16" fillId="2" borderId="0" xfId="1" applyNumberFormat="1" applyFont="1" applyFill="1" applyAlignment="1">
      <alignment vertical="center"/>
    </xf>
    <xf numFmtId="167" fontId="9" fillId="2" borderId="0" xfId="1" applyNumberFormat="1" applyFont="1" applyFill="1" applyAlignment="1"/>
    <xf numFmtId="0" fontId="5" fillId="2" borderId="1" xfId="1" applyNumberFormat="1" applyFont="1" applyFill="1" applyBorder="1" applyAlignment="1" applyProtection="1">
      <alignment horizontal="right" vertical="center"/>
    </xf>
    <xf numFmtId="167" fontId="17" fillId="2" borderId="0" xfId="1" applyNumberFormat="1" applyFont="1" applyFill="1" applyAlignment="1" applyProtection="1">
      <alignment horizontal="right" vertical="center"/>
      <protection locked="0"/>
    </xf>
    <xf numFmtId="167" fontId="19" fillId="2" borderId="0" xfId="1" applyNumberFormat="1" applyFont="1" applyFill="1" applyAlignment="1" applyProtection="1">
      <alignment vertical="center"/>
      <protection locked="0"/>
    </xf>
    <xf numFmtId="164" fontId="27" fillId="2" borderId="0" xfId="2" applyNumberFormat="1" applyFont="1" applyFill="1" applyAlignment="1">
      <alignment horizontal="right" vertical="center"/>
    </xf>
    <xf numFmtId="165" fontId="27" fillId="2" borderId="0" xfId="2" applyNumberFormat="1" applyFont="1" applyFill="1" applyAlignment="1">
      <alignment horizontal="right" vertical="center"/>
    </xf>
    <xf numFmtId="165" fontId="28" fillId="2" borderId="0" xfId="2" applyNumberFormat="1" applyFont="1" applyFill="1" applyAlignment="1">
      <alignment horizontal="right" vertical="center"/>
    </xf>
    <xf numFmtId="164" fontId="28" fillId="2" borderId="0" xfId="2" applyNumberFormat="1" applyFont="1" applyFill="1" applyAlignment="1">
      <alignment horizontal="right" vertical="center"/>
    </xf>
    <xf numFmtId="164" fontId="28" fillId="2" borderId="2" xfId="2" applyNumberFormat="1" applyFont="1" applyFill="1" applyBorder="1" applyAlignment="1">
      <alignment horizontal="right" vertical="center"/>
    </xf>
    <xf numFmtId="164" fontId="28" fillId="2" borderId="0" xfId="2" applyNumberFormat="1" applyFont="1" applyFill="1" applyAlignment="1">
      <alignment horizontal="right" vertical="center" readingOrder="1"/>
    </xf>
    <xf numFmtId="164" fontId="28" fillId="2" borderId="0" xfId="2" applyNumberFormat="1" applyFont="1" applyFill="1" applyAlignment="1">
      <alignment vertical="center"/>
    </xf>
    <xf numFmtId="164" fontId="23" fillId="2" borderId="0" xfId="2" applyNumberFormat="1" applyFont="1" applyFill="1" applyAlignment="1">
      <alignment horizontal="center" vertical="center"/>
    </xf>
    <xf numFmtId="164" fontId="11" fillId="2" borderId="0" xfId="2" applyNumberFormat="1" applyFont="1" applyFill="1" applyBorder="1" applyAlignment="1" applyProtection="1">
      <alignment horizontal="center" vertical="center"/>
    </xf>
    <xf numFmtId="164" fontId="23" fillId="2" borderId="0" xfId="2" applyNumberFormat="1" applyFont="1" applyFill="1" applyAlignment="1">
      <alignment horizontal="center" vertical="center" wrapText="1"/>
    </xf>
    <xf numFmtId="164" fontId="15" fillId="2" borderId="2" xfId="2" applyNumberFormat="1" applyFont="1" applyFill="1" applyBorder="1" applyAlignment="1" applyProtection="1">
      <alignment horizontal="center" vertical="center"/>
    </xf>
    <xf numFmtId="164" fontId="26" fillId="2" borderId="3" xfId="2" applyNumberFormat="1" applyFont="1" applyFill="1" applyBorder="1" applyAlignment="1">
      <alignment horizontal="righ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26" fillId="2" borderId="1" xfId="2" applyNumberFormat="1" applyFont="1" applyFill="1" applyBorder="1" applyAlignment="1">
      <alignment horizontal="right" vertical="center"/>
    </xf>
    <xf numFmtId="164" fontId="9" fillId="2" borderId="3" xfId="2" applyNumberFormat="1" applyFont="1" applyFill="1" applyBorder="1" applyAlignment="1">
      <alignment vertical="center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0" fillId="2" borderId="2" xfId="2" applyNumberFormat="1" applyFont="1" applyFill="1" applyBorder="1" applyAlignment="1" applyProtection="1">
      <alignment horizontal="left" vertical="center"/>
    </xf>
    <xf numFmtId="164" fontId="29" fillId="2" borderId="0" xfId="2" applyNumberFormat="1" applyFont="1" applyFill="1" applyAlignment="1" applyProtection="1">
      <alignment horizontal="left" vertical="center"/>
    </xf>
    <xf numFmtId="164" fontId="30" fillId="2" borderId="0" xfId="2" applyNumberFormat="1" applyFont="1" applyFill="1" applyAlignment="1" applyProtection="1">
      <alignment horizontal="left" vertical="center" indent="1"/>
    </xf>
    <xf numFmtId="164" fontId="30" fillId="2" borderId="0" xfId="2" applyNumberFormat="1" applyFont="1" applyFill="1" applyAlignment="1" applyProtection="1">
      <alignment horizontal="left" vertical="center"/>
    </xf>
    <xf numFmtId="164" fontId="30" fillId="2" borderId="0" xfId="2" applyNumberFormat="1" applyFont="1" applyFill="1" applyAlignment="1" applyProtection="1">
      <alignment horizontal="left" vertical="center" indent="4"/>
    </xf>
    <xf numFmtId="164" fontId="30" fillId="2" borderId="0" xfId="2" applyNumberFormat="1" applyFont="1" applyFill="1" applyAlignment="1">
      <alignment horizontal="left" vertical="center" indent="1"/>
    </xf>
    <xf numFmtId="164" fontId="30" fillId="2" borderId="0" xfId="2" applyNumberFormat="1" applyFont="1" applyFill="1" applyBorder="1" applyAlignment="1">
      <alignment horizontal="left" vertical="center" indent="1"/>
    </xf>
    <xf numFmtId="164" fontId="30" fillId="2" borderId="0" xfId="2" applyNumberFormat="1" applyFont="1" applyFill="1" applyBorder="1" applyAlignment="1" applyProtection="1">
      <alignment horizontal="left" vertical="center" indent="1"/>
    </xf>
    <xf numFmtId="167" fontId="18" fillId="2" borderId="0" xfId="1" applyNumberFormat="1" applyFont="1" applyFill="1" applyAlignment="1">
      <alignment horizontal="right"/>
    </xf>
    <xf numFmtId="164" fontId="29" fillId="2" borderId="2" xfId="2" applyNumberFormat="1" applyFont="1" applyFill="1" applyBorder="1" applyAlignment="1" applyProtection="1">
      <alignment horizontal="left" vertical="center"/>
    </xf>
    <xf numFmtId="164" fontId="31" fillId="2" borderId="0" xfId="2" applyNumberFormat="1" applyFont="1" applyFill="1" applyAlignment="1" applyProtection="1">
      <alignment horizontal="left" vertical="center"/>
    </xf>
    <xf numFmtId="164" fontId="14" fillId="2" borderId="0" xfId="2" applyNumberFormat="1" applyFont="1" applyFill="1" applyBorder="1" applyAlignment="1">
      <alignment vertical="center"/>
    </xf>
    <xf numFmtId="37" fontId="32" fillId="2" borderId="0" xfId="2" applyNumberFormat="1" applyFont="1" applyFill="1" applyBorder="1" applyAlignment="1" applyProtection="1">
      <alignment vertical="center"/>
    </xf>
    <xf numFmtId="164" fontId="10" fillId="2" borderId="0" xfId="2" applyNumberFormat="1" applyFont="1" applyFill="1" applyBorder="1" applyAlignment="1">
      <alignment horizontal="right" vertical="center"/>
    </xf>
    <xf numFmtId="164" fontId="5" fillId="2" borderId="0" xfId="2" applyNumberFormat="1" applyFont="1" applyFill="1" applyBorder="1" applyAlignment="1" applyProtection="1">
      <alignment horizontal="right" vertical="center"/>
    </xf>
    <xf numFmtId="0" fontId="5" fillId="2" borderId="0" xfId="1" applyNumberFormat="1" applyFont="1" applyFill="1" applyBorder="1" applyAlignment="1" applyProtection="1">
      <alignment horizontal="right" vertical="center"/>
    </xf>
    <xf numFmtId="164" fontId="29" fillId="2" borderId="0" xfId="2" applyNumberFormat="1" applyFont="1" applyFill="1" applyBorder="1" applyAlignment="1" applyProtection="1">
      <alignment horizontal="left" vertical="center"/>
    </xf>
    <xf numFmtId="0" fontId="33" fillId="2" borderId="0" xfId="0" applyFont="1" applyFill="1" applyBorder="1" applyAlignment="1">
      <alignment vertical="center"/>
    </xf>
  </cellXfs>
  <cellStyles count="17">
    <cellStyle name="Comma" xfId="1" builtinId="3"/>
    <cellStyle name="Comma 2" xfId="7"/>
    <cellStyle name="Comma 3" xfId="8"/>
    <cellStyle name="Comma 4" xfId="4"/>
    <cellStyle name="Comma 4 2" xfId="15"/>
    <cellStyle name="Comma 5" xfId="13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2 2" xfId="14"/>
    <cellStyle name="Normal 3" xfId="12"/>
    <cellStyle name="Normal 4" xfId="9"/>
    <cellStyle name="Normal_13 Public Finance_done" xfId="2"/>
    <cellStyle name="Percent 2" xfId="16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9"/>
  <sheetViews>
    <sheetView tabSelected="1" zoomScale="90" zoomScaleNormal="90" zoomScaleSheetLayoutView="102" workbookViewId="0">
      <pane ySplit="7" topLeftCell="A8" activePane="bottomLeft" state="frozen"/>
      <selection pane="bottomLeft" activeCell="C6" sqref="C6"/>
    </sheetView>
  </sheetViews>
  <sheetFormatPr defaultColWidth="13.28515625" defaultRowHeight="12.75"/>
  <cols>
    <col min="1" max="1" width="41.28515625" style="7" customWidth="1"/>
    <col min="2" max="2" width="0.140625" style="7" customWidth="1"/>
    <col min="3" max="12" width="12.28515625" style="7" customWidth="1"/>
    <col min="13" max="13" width="52.5703125" style="7" customWidth="1"/>
    <col min="14" max="14" width="1.28515625" style="27" customWidth="1"/>
    <col min="15" max="18" width="13.28515625" style="27"/>
    <col min="19" max="16384" width="13.28515625" style="7"/>
  </cols>
  <sheetData>
    <row r="1" spans="1:18" ht="18.75">
      <c r="A1" s="43" t="s">
        <v>98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8" ht="15">
      <c r="A2" s="44" t="s">
        <v>96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8" s="8" customFormat="1" ht="18.75">
      <c r="A3" s="45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28"/>
      <c r="O3" s="28"/>
      <c r="P3" s="28"/>
      <c r="Q3" s="28"/>
      <c r="R3" s="28"/>
    </row>
    <row r="4" spans="1:18" s="8" customFormat="1">
      <c r="A4" s="46" t="s">
        <v>88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28"/>
      <c r="O4" s="28"/>
      <c r="P4" s="28"/>
      <c r="Q4" s="28"/>
      <c r="R4" s="28"/>
    </row>
    <row r="5" spans="1:18" s="9" customFormat="1" ht="12">
      <c r="A5" s="50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47" t="s">
        <v>2</v>
      </c>
      <c r="N5" s="29"/>
      <c r="O5" s="29"/>
      <c r="P5" s="29"/>
      <c r="Q5" s="29"/>
      <c r="R5" s="29"/>
    </row>
    <row r="6" spans="1:18" s="9" customFormat="1">
      <c r="A6" s="51" t="s">
        <v>1</v>
      </c>
      <c r="B6" s="2" t="s">
        <v>3</v>
      </c>
      <c r="C6" s="2" t="s">
        <v>3</v>
      </c>
      <c r="D6" s="2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4</v>
      </c>
      <c r="J6" s="4" t="s">
        <v>99</v>
      </c>
      <c r="K6" s="4" t="s">
        <v>99</v>
      </c>
      <c r="L6" s="4" t="s">
        <v>99</v>
      </c>
      <c r="M6" s="48"/>
      <c r="N6" s="29"/>
      <c r="O6" s="29"/>
      <c r="P6" s="29"/>
      <c r="Q6" s="29"/>
      <c r="R6" s="29"/>
    </row>
    <row r="7" spans="1:18" s="11" customFormat="1">
      <c r="A7" s="52"/>
      <c r="B7" s="3">
        <v>2012</v>
      </c>
      <c r="C7" s="3">
        <v>2013</v>
      </c>
      <c r="D7" s="3">
        <v>2014</v>
      </c>
      <c r="E7" s="5">
        <v>2015</v>
      </c>
      <c r="F7" s="33">
        <v>2016</v>
      </c>
      <c r="G7" s="33">
        <v>2017</v>
      </c>
      <c r="H7" s="33">
        <v>2018</v>
      </c>
      <c r="I7" s="33">
        <v>2019</v>
      </c>
      <c r="J7" s="33">
        <v>2020</v>
      </c>
      <c r="K7" s="33">
        <v>2021</v>
      </c>
      <c r="L7" s="33">
        <v>2022</v>
      </c>
      <c r="M7" s="49"/>
      <c r="N7" s="30"/>
      <c r="O7" s="30"/>
      <c r="P7" s="30"/>
      <c r="Q7" s="30"/>
      <c r="R7" s="30"/>
    </row>
    <row r="8" spans="1:18" s="9" customFormat="1" ht="21.75" customHeight="1">
      <c r="A8" s="53" t="s">
        <v>5</v>
      </c>
      <c r="B8" s="12">
        <f t="shared" ref="B8:L8" si="0">SUM(B9,B48)</f>
        <v>10138.11294952</v>
      </c>
      <c r="C8" s="12">
        <f t="shared" si="0"/>
        <v>11900.748051729997</v>
      </c>
      <c r="D8" s="12">
        <f t="shared" si="0"/>
        <v>15164.227912</v>
      </c>
      <c r="E8" s="12">
        <f t="shared" si="0"/>
        <v>17306.201467370003</v>
      </c>
      <c r="F8" s="12">
        <f t="shared" si="0"/>
        <v>18578.088404259994</v>
      </c>
      <c r="G8" s="12">
        <f t="shared" si="0"/>
        <v>20258.636295000004</v>
      </c>
      <c r="H8" s="12">
        <f t="shared" si="0"/>
        <v>22222.967435000002</v>
      </c>
      <c r="I8" s="12">
        <f t="shared" si="0"/>
        <v>24070.242825000005</v>
      </c>
      <c r="J8" s="12">
        <f t="shared" si="0"/>
        <v>29921.571628999998</v>
      </c>
      <c r="K8" s="12">
        <f t="shared" si="0"/>
        <v>29675.249284999998</v>
      </c>
      <c r="L8" s="12">
        <f t="shared" si="0"/>
        <v>31154.613430000005</v>
      </c>
      <c r="M8" s="36" t="s">
        <v>9</v>
      </c>
      <c r="N8" s="29"/>
      <c r="O8" s="29"/>
      <c r="P8" s="29"/>
      <c r="Q8" s="29"/>
      <c r="R8" s="29"/>
    </row>
    <row r="9" spans="1:18" s="9" customFormat="1" ht="21.75" customHeight="1">
      <c r="A9" s="53" t="s">
        <v>10</v>
      </c>
      <c r="B9" s="12">
        <f t="shared" ref="B9:L9" si="1">SUM(B10,B47)</f>
        <v>9771.4430765199995</v>
      </c>
      <c r="C9" s="12">
        <f t="shared" si="1"/>
        <v>11783.092824199997</v>
      </c>
      <c r="D9" s="12">
        <f t="shared" si="1"/>
        <v>14998.954087</v>
      </c>
      <c r="E9" s="12">
        <f t="shared" si="1"/>
        <v>16669.260271000003</v>
      </c>
      <c r="F9" s="12">
        <f t="shared" si="1"/>
        <v>18324.962636339995</v>
      </c>
      <c r="G9" s="12">
        <f t="shared" si="1"/>
        <v>19914.872814000002</v>
      </c>
      <c r="H9" s="12">
        <f t="shared" si="1"/>
        <v>21403.159912000003</v>
      </c>
      <c r="I9" s="12">
        <f t="shared" si="1"/>
        <v>22001.851211000005</v>
      </c>
      <c r="J9" s="12">
        <f t="shared" si="1"/>
        <v>24706.678743</v>
      </c>
      <c r="K9" s="12">
        <f t="shared" si="1"/>
        <v>27529.706627</v>
      </c>
      <c r="L9" s="12">
        <f t="shared" si="1"/>
        <v>29018.616598000004</v>
      </c>
      <c r="M9" s="37" t="s">
        <v>11</v>
      </c>
      <c r="N9" s="29"/>
      <c r="O9" s="29"/>
      <c r="P9" s="29"/>
      <c r="Q9" s="29"/>
      <c r="R9" s="29"/>
    </row>
    <row r="10" spans="1:18" s="9" customFormat="1" ht="21.75" customHeight="1">
      <c r="A10" s="53" t="s">
        <v>6</v>
      </c>
      <c r="B10" s="12">
        <f t="shared" ref="B10:L10" si="2">SUM(B11,B24)</f>
        <v>9723.3702617999988</v>
      </c>
      <c r="C10" s="12">
        <f t="shared" si="2"/>
        <v>11514.974798199997</v>
      </c>
      <c r="D10" s="12">
        <f t="shared" si="2"/>
        <v>14874.843471</v>
      </c>
      <c r="E10" s="12">
        <f t="shared" si="2"/>
        <v>16548.977957000003</v>
      </c>
      <c r="F10" s="12">
        <f t="shared" si="2"/>
        <v>17455.601598019995</v>
      </c>
      <c r="G10" s="12">
        <f t="shared" si="2"/>
        <v>19337.288926000001</v>
      </c>
      <c r="H10" s="12">
        <f t="shared" si="2"/>
        <v>21037.005152000002</v>
      </c>
      <c r="I10" s="12">
        <f t="shared" si="2"/>
        <v>21963.589120000004</v>
      </c>
      <c r="J10" s="12">
        <f t="shared" si="2"/>
        <v>24382.226985000001</v>
      </c>
      <c r="K10" s="12">
        <f t="shared" si="2"/>
        <v>27495.223096999998</v>
      </c>
      <c r="L10" s="12">
        <f t="shared" si="2"/>
        <v>28984.742088000003</v>
      </c>
      <c r="M10" s="37" t="s">
        <v>7</v>
      </c>
      <c r="N10" s="29"/>
      <c r="O10" s="29"/>
      <c r="P10" s="29"/>
      <c r="Q10" s="29"/>
      <c r="R10" s="29"/>
    </row>
    <row r="11" spans="1:18" s="10" customFormat="1" ht="21.75" customHeight="1">
      <c r="A11" s="53" t="s">
        <v>12</v>
      </c>
      <c r="B11" s="12">
        <f t="shared" ref="B11:J11" si="3">SUM(B12:B23)</f>
        <v>6880.0618489999988</v>
      </c>
      <c r="C11" s="12">
        <f t="shared" si="3"/>
        <v>8872.8437029999986</v>
      </c>
      <c r="D11" s="12">
        <f t="shared" si="3"/>
        <v>10837.855577</v>
      </c>
      <c r="E11" s="12">
        <f t="shared" si="3"/>
        <v>12270.646260000001</v>
      </c>
      <c r="F11" s="12">
        <f t="shared" si="3"/>
        <v>13293.027889009998</v>
      </c>
      <c r="G11" s="12">
        <f t="shared" si="3"/>
        <v>14742.425677000001</v>
      </c>
      <c r="H11" s="12">
        <f t="shared" si="3"/>
        <v>15833.907292</v>
      </c>
      <c r="I11" s="12">
        <f t="shared" si="3"/>
        <v>16164.927801000002</v>
      </c>
      <c r="J11" s="12">
        <f t="shared" si="3"/>
        <v>17852.253861000001</v>
      </c>
      <c r="K11" s="12">
        <f>SUM(K12:K23)</f>
        <v>20612.572680999998</v>
      </c>
      <c r="L11" s="12">
        <f>SUM(L12:L23)</f>
        <v>21903.853213000002</v>
      </c>
      <c r="M11" s="37" t="s">
        <v>13</v>
      </c>
      <c r="N11" s="31"/>
      <c r="O11" s="31"/>
      <c r="P11" s="31"/>
      <c r="Q11" s="31"/>
      <c r="R11" s="31"/>
    </row>
    <row r="12" spans="1:18" s="10" customFormat="1" ht="18" customHeight="1">
      <c r="A12" s="54" t="s">
        <v>14</v>
      </c>
      <c r="B12" s="13">
        <v>1369.0409910000001</v>
      </c>
      <c r="C12" s="13">
        <v>1575.877761</v>
      </c>
      <c r="D12" s="13">
        <v>1975.2379679999999</v>
      </c>
      <c r="E12" s="13">
        <v>2346.4173430000001</v>
      </c>
      <c r="F12" s="13">
        <v>2487.3604338699997</v>
      </c>
      <c r="G12" s="13">
        <v>2799.421425</v>
      </c>
      <c r="H12" s="13">
        <v>3148.8461160000002</v>
      </c>
      <c r="I12" s="13">
        <v>3222.8361410000002</v>
      </c>
      <c r="J12" s="13">
        <v>3580.630404</v>
      </c>
      <c r="K12" s="13">
        <v>3688.0376879999999</v>
      </c>
      <c r="L12" s="13">
        <v>3872.3921310000001</v>
      </c>
      <c r="M12" s="38" t="s">
        <v>15</v>
      </c>
      <c r="N12" s="31"/>
      <c r="O12" s="31"/>
      <c r="P12" s="31"/>
      <c r="Q12" s="31"/>
      <c r="R12" s="31"/>
    </row>
    <row r="13" spans="1:18" s="10" customFormat="1" ht="18" customHeight="1">
      <c r="A13" s="54" t="s">
        <v>16</v>
      </c>
      <c r="B13" s="14">
        <v>0</v>
      </c>
      <c r="C13" s="13" t="s">
        <v>90</v>
      </c>
      <c r="D13" s="13" t="s">
        <v>90</v>
      </c>
      <c r="E13" s="13" t="s">
        <v>90</v>
      </c>
      <c r="F13" s="13" t="s">
        <v>90</v>
      </c>
      <c r="G13" s="13" t="s">
        <v>90</v>
      </c>
      <c r="H13" s="13" t="s">
        <v>90</v>
      </c>
      <c r="I13" s="13">
        <v>0</v>
      </c>
      <c r="J13" s="13">
        <v>39.667304000000001</v>
      </c>
      <c r="K13" s="13">
        <v>39.865640999999997</v>
      </c>
      <c r="L13" s="13">
        <v>40.064968999999998</v>
      </c>
      <c r="M13" s="6" t="s">
        <v>17</v>
      </c>
      <c r="N13" s="31"/>
      <c r="O13" s="31"/>
      <c r="P13" s="31"/>
      <c r="Q13" s="31"/>
      <c r="R13" s="31"/>
    </row>
    <row r="14" spans="1:18" s="10" customFormat="1" ht="18" customHeight="1">
      <c r="A14" s="54" t="s">
        <v>18</v>
      </c>
      <c r="B14" s="13">
        <v>804.72110199999997</v>
      </c>
      <c r="C14" s="13">
        <v>861.64270799999997</v>
      </c>
      <c r="D14" s="13">
        <v>804.82832599999995</v>
      </c>
      <c r="E14" s="13">
        <v>0.64350200000000002</v>
      </c>
      <c r="F14" s="13">
        <v>0.15296662</v>
      </c>
      <c r="G14" s="13">
        <v>3.0720000000000001E-3</v>
      </c>
      <c r="H14" s="13">
        <v>3.5609999999999999E-3</v>
      </c>
      <c r="I14" s="13">
        <v>0</v>
      </c>
      <c r="J14" s="13">
        <v>0</v>
      </c>
      <c r="K14" s="13">
        <v>0</v>
      </c>
      <c r="L14" s="13">
        <v>0</v>
      </c>
      <c r="M14" s="38" t="s">
        <v>19</v>
      </c>
      <c r="N14" s="31"/>
      <c r="O14" s="31"/>
      <c r="P14" s="31"/>
      <c r="Q14" s="31"/>
      <c r="R14" s="31"/>
    </row>
    <row r="15" spans="1:18" s="10" customFormat="1" ht="18" customHeight="1">
      <c r="A15" s="54" t="s">
        <v>20</v>
      </c>
      <c r="B15" s="13">
        <v>313.15251699999999</v>
      </c>
      <c r="C15" s="13">
        <v>355.03669400000001</v>
      </c>
      <c r="D15" s="13">
        <v>482.38556</v>
      </c>
      <c r="E15" s="13">
        <v>512.72516800000005</v>
      </c>
      <c r="F15" s="13">
        <v>491.6696116</v>
      </c>
      <c r="G15" s="13">
        <v>649.89482699999996</v>
      </c>
      <c r="H15" s="13">
        <v>564.10207700000001</v>
      </c>
      <c r="I15" s="13">
        <v>615.86822199999995</v>
      </c>
      <c r="J15" s="13">
        <v>923.74182299999995</v>
      </c>
      <c r="K15" s="13">
        <v>628.18651199999999</v>
      </c>
      <c r="L15" s="13">
        <v>650.94479699999999</v>
      </c>
      <c r="M15" s="38" t="s">
        <v>21</v>
      </c>
      <c r="N15" s="31"/>
      <c r="O15" s="31"/>
      <c r="P15" s="31"/>
      <c r="Q15" s="31"/>
      <c r="R15" s="31"/>
    </row>
    <row r="16" spans="1:18" s="10" customFormat="1" ht="18" customHeight="1">
      <c r="A16" s="54" t="s">
        <v>22</v>
      </c>
      <c r="B16" s="13">
        <v>1553.5654959999999</v>
      </c>
      <c r="C16" s="13">
        <v>2154.68813</v>
      </c>
      <c r="D16" s="13">
        <v>3001.8213529999998</v>
      </c>
      <c r="E16" s="13">
        <v>4150.3114690000002</v>
      </c>
      <c r="F16" s="13">
        <v>3920.6999466000007</v>
      </c>
      <c r="G16" s="13">
        <v>4198.5125120000002</v>
      </c>
      <c r="H16" s="13">
        <v>4783.3383210000002</v>
      </c>
      <c r="I16" s="13">
        <v>4847.4769749999996</v>
      </c>
      <c r="J16" s="13">
        <v>5053.5397940000003</v>
      </c>
      <c r="K16" s="13">
        <v>6491.4042259999997</v>
      </c>
      <c r="L16" s="13">
        <v>7042.215999</v>
      </c>
      <c r="M16" s="6" t="s">
        <v>23</v>
      </c>
      <c r="N16" s="31"/>
      <c r="O16" s="31"/>
      <c r="P16" s="31"/>
      <c r="Q16" s="31"/>
      <c r="R16" s="31"/>
    </row>
    <row r="17" spans="1:18" s="10" customFormat="1" ht="18" customHeight="1">
      <c r="A17" s="54" t="s">
        <v>24</v>
      </c>
      <c r="B17" s="13">
        <v>1005.650731</v>
      </c>
      <c r="C17" s="13">
        <v>1538.4096460000001</v>
      </c>
      <c r="D17" s="13">
        <v>1512.8577889999999</v>
      </c>
      <c r="E17" s="13">
        <v>1904.154755</v>
      </c>
      <c r="F17" s="13">
        <v>2328.10044896</v>
      </c>
      <c r="G17" s="13">
        <v>2683.0182340000001</v>
      </c>
      <c r="H17" s="13">
        <v>2906.0735089999998</v>
      </c>
      <c r="I17" s="13">
        <v>2821.1732339999999</v>
      </c>
      <c r="J17" s="13">
        <v>2900.960055</v>
      </c>
      <c r="K17" s="13">
        <v>4378.0875779999997</v>
      </c>
      <c r="L17" s="13">
        <v>4768.1654630000003</v>
      </c>
      <c r="M17" s="6" t="s">
        <v>25</v>
      </c>
      <c r="N17" s="31"/>
      <c r="O17" s="31"/>
      <c r="P17" s="31"/>
      <c r="Q17" s="31"/>
      <c r="R17" s="31"/>
    </row>
    <row r="18" spans="1:18" s="10" customFormat="1" ht="18" customHeight="1">
      <c r="A18" s="54" t="s">
        <v>26</v>
      </c>
      <c r="B18" s="13">
        <v>299.92006099999998</v>
      </c>
      <c r="C18" s="13">
        <v>350.25651399999998</v>
      </c>
      <c r="D18" s="13">
        <v>431.97786300000001</v>
      </c>
      <c r="E18" s="13">
        <v>496.70397500000001</v>
      </c>
      <c r="F18" s="13">
        <v>537.50240712999914</v>
      </c>
      <c r="G18" s="13">
        <v>706.19776899999999</v>
      </c>
      <c r="H18" s="13">
        <v>644.818039</v>
      </c>
      <c r="I18" s="13">
        <v>715.36296000000004</v>
      </c>
      <c r="J18" s="13">
        <v>877.12999000000002</v>
      </c>
      <c r="K18" s="13">
        <v>1024.692806</v>
      </c>
      <c r="L18" s="13">
        <v>1095.6002269999999</v>
      </c>
      <c r="M18" s="6" t="s">
        <v>27</v>
      </c>
      <c r="N18" s="31"/>
      <c r="O18" s="31"/>
      <c r="P18" s="31"/>
      <c r="Q18" s="31"/>
      <c r="R18" s="31"/>
    </row>
    <row r="19" spans="1:18" s="10" customFormat="1" ht="18" customHeight="1">
      <c r="A19" s="54" t="s">
        <v>28</v>
      </c>
      <c r="B19" s="13">
        <v>1401.2985719999999</v>
      </c>
      <c r="C19" s="13">
        <v>1880.9622440000001</v>
      </c>
      <c r="D19" s="13">
        <v>2471.3657050000002</v>
      </c>
      <c r="E19" s="13">
        <v>2673.6295089999999</v>
      </c>
      <c r="F19" s="13">
        <v>2747.9680953399993</v>
      </c>
      <c r="G19" s="13">
        <v>2677.0735960000002</v>
      </c>
      <c r="H19" s="13">
        <v>2710.441777</v>
      </c>
      <c r="I19" s="13">
        <v>2825.402779</v>
      </c>
      <c r="J19" s="13">
        <v>2755.1590230000002</v>
      </c>
      <c r="K19" s="13">
        <v>2555.3772760000002</v>
      </c>
      <c r="L19" s="13">
        <v>2526.9285380000001</v>
      </c>
      <c r="M19" s="6" t="s">
        <v>29</v>
      </c>
      <c r="N19" s="31"/>
      <c r="O19" s="31"/>
      <c r="P19" s="31"/>
      <c r="Q19" s="31"/>
      <c r="R19" s="31"/>
    </row>
    <row r="20" spans="1:18" s="10" customFormat="1" ht="18" customHeight="1">
      <c r="A20" s="55" t="s">
        <v>94</v>
      </c>
      <c r="B20" s="14">
        <v>0</v>
      </c>
      <c r="C20" s="14">
        <v>0</v>
      </c>
      <c r="D20" s="15">
        <v>0</v>
      </c>
      <c r="E20" s="15">
        <v>36.715299999999999</v>
      </c>
      <c r="F20" s="34">
        <v>623.07052577000002</v>
      </c>
      <c r="G20" s="13">
        <v>696.18541600000003</v>
      </c>
      <c r="H20" s="13">
        <v>810.52581799999996</v>
      </c>
      <c r="I20" s="13">
        <v>861.29036299999996</v>
      </c>
      <c r="J20" s="13">
        <v>970.25382400000001</v>
      </c>
      <c r="K20" s="13">
        <v>1053.6191220000001</v>
      </c>
      <c r="L20" s="13">
        <v>1145.8751259999999</v>
      </c>
      <c r="M20" s="6" t="s">
        <v>89</v>
      </c>
      <c r="N20" s="31"/>
      <c r="O20" s="31"/>
      <c r="P20" s="31"/>
      <c r="Q20" s="31"/>
      <c r="R20" s="31"/>
    </row>
    <row r="21" spans="1:18" s="10" customFormat="1" ht="18" customHeight="1">
      <c r="A21" s="56" t="s">
        <v>95</v>
      </c>
      <c r="B21" s="16">
        <v>76.585507000000007</v>
      </c>
      <c r="C21" s="16">
        <v>101.369692</v>
      </c>
      <c r="D21" s="15">
        <v>89.108745999999996</v>
      </c>
      <c r="E21" s="15">
        <v>78.572284999999994</v>
      </c>
      <c r="F21" s="34">
        <v>74.137837039999923</v>
      </c>
      <c r="G21" s="13">
        <v>77.076858999999999</v>
      </c>
      <c r="H21" s="13">
        <v>76.455186999999995</v>
      </c>
      <c r="I21" s="13">
        <v>92.748678999999996</v>
      </c>
      <c r="J21" s="13">
        <v>144.16994500000001</v>
      </c>
      <c r="K21" s="13">
        <v>145.03605099999999</v>
      </c>
      <c r="L21" s="13">
        <v>152.13028</v>
      </c>
      <c r="M21" s="38" t="s">
        <v>87</v>
      </c>
      <c r="N21" s="31"/>
      <c r="O21" s="31"/>
      <c r="P21" s="31"/>
      <c r="Q21" s="31"/>
      <c r="R21" s="31"/>
    </row>
    <row r="22" spans="1:18" s="10" customFormat="1" ht="18" customHeight="1">
      <c r="A22" s="56" t="s">
        <v>97</v>
      </c>
      <c r="B22" s="16"/>
      <c r="C22" s="16">
        <v>0</v>
      </c>
      <c r="D22" s="16">
        <v>0</v>
      </c>
      <c r="E22" s="16">
        <v>0</v>
      </c>
      <c r="F22" s="16">
        <v>0</v>
      </c>
      <c r="G22" s="13" t="s">
        <v>90</v>
      </c>
      <c r="H22" s="13">
        <v>0</v>
      </c>
      <c r="I22" s="13">
        <v>0</v>
      </c>
      <c r="J22" s="13">
        <v>348.47866900000002</v>
      </c>
      <c r="K22" s="13">
        <v>348.47866900000002</v>
      </c>
      <c r="L22" s="13">
        <v>348.47866900000002</v>
      </c>
      <c r="M22" s="38"/>
      <c r="N22" s="31"/>
      <c r="O22" s="31"/>
      <c r="P22" s="31"/>
      <c r="Q22" s="31"/>
      <c r="R22" s="31"/>
    </row>
    <row r="23" spans="1:18" s="17" customFormat="1" ht="18" customHeight="1">
      <c r="A23" s="54" t="s">
        <v>30</v>
      </c>
      <c r="B23" s="13">
        <v>56.126871999999999</v>
      </c>
      <c r="C23" s="13">
        <v>54.600313999999997</v>
      </c>
      <c r="D23" s="13">
        <v>68.272266999999999</v>
      </c>
      <c r="E23" s="13">
        <v>70.772953999999999</v>
      </c>
      <c r="F23" s="13">
        <v>82.36561607999991</v>
      </c>
      <c r="G23" s="13">
        <v>255.041967</v>
      </c>
      <c r="H23" s="13">
        <v>189.302887</v>
      </c>
      <c r="I23" s="13">
        <v>162.76844800000001</v>
      </c>
      <c r="J23" s="13">
        <v>258.52303000000001</v>
      </c>
      <c r="K23" s="13">
        <v>259.78711199999998</v>
      </c>
      <c r="L23" s="13">
        <v>261.05701399999998</v>
      </c>
      <c r="M23" s="38" t="s">
        <v>31</v>
      </c>
      <c r="N23" s="32"/>
      <c r="O23" s="32"/>
      <c r="P23" s="32"/>
      <c r="Q23" s="32"/>
      <c r="R23" s="32"/>
    </row>
    <row r="24" spans="1:18" s="9" customFormat="1" ht="18" customHeight="1">
      <c r="A24" s="53" t="s">
        <v>32</v>
      </c>
      <c r="B24" s="18">
        <f t="shared" ref="B24:L24" si="4">SUM(B25:B43,B46)</f>
        <v>2843.3084128</v>
      </c>
      <c r="C24" s="18">
        <f t="shared" si="4"/>
        <v>2642.1310951999994</v>
      </c>
      <c r="D24" s="18">
        <f t="shared" si="4"/>
        <v>4036.9878939999999</v>
      </c>
      <c r="E24" s="18">
        <f t="shared" si="4"/>
        <v>4278.3316970000014</v>
      </c>
      <c r="F24" s="18">
        <f t="shared" si="4"/>
        <v>4162.5737090099956</v>
      </c>
      <c r="G24" s="18">
        <f>SUM(G25:G43,G46)</f>
        <v>4594.863249</v>
      </c>
      <c r="H24" s="18">
        <f t="shared" si="4"/>
        <v>5203.0978600000008</v>
      </c>
      <c r="I24" s="18">
        <f t="shared" si="4"/>
        <v>5798.6613190000007</v>
      </c>
      <c r="J24" s="18">
        <f t="shared" si="4"/>
        <v>6529.9731239999992</v>
      </c>
      <c r="K24" s="18">
        <f t="shared" si="4"/>
        <v>6882.6504159999995</v>
      </c>
      <c r="L24" s="18">
        <f t="shared" si="4"/>
        <v>7080.8888750000006</v>
      </c>
      <c r="M24" s="19" t="s">
        <v>85</v>
      </c>
      <c r="N24" s="29"/>
      <c r="O24" s="29"/>
      <c r="P24" s="29"/>
      <c r="Q24" s="29"/>
      <c r="R24" s="29"/>
    </row>
    <row r="25" spans="1:18" s="10" customFormat="1" ht="18" customHeight="1">
      <c r="A25" s="54" t="s">
        <v>33</v>
      </c>
      <c r="B25" s="14">
        <v>0</v>
      </c>
      <c r="C25" s="14">
        <v>0</v>
      </c>
      <c r="D25" s="15">
        <v>0</v>
      </c>
      <c r="E25" s="15" t="s">
        <v>90</v>
      </c>
      <c r="F25" s="34">
        <v>0</v>
      </c>
      <c r="G25" s="34">
        <v>0.76500000000000001</v>
      </c>
      <c r="H25" s="34">
        <v>0</v>
      </c>
      <c r="I25" s="34">
        <v>56.647973999999998</v>
      </c>
      <c r="J25" s="34">
        <v>56.900438999999999</v>
      </c>
      <c r="K25" s="34">
        <v>57.847904</v>
      </c>
      <c r="L25" s="34">
        <v>58.895369000000002</v>
      </c>
      <c r="M25" s="38" t="s">
        <v>34</v>
      </c>
      <c r="N25" s="31"/>
      <c r="O25" s="31"/>
      <c r="P25" s="31"/>
      <c r="Q25" s="31"/>
      <c r="R25" s="31"/>
    </row>
    <row r="26" spans="1:18" s="10" customFormat="1" ht="18" customHeight="1">
      <c r="A26" s="54" t="s">
        <v>35</v>
      </c>
      <c r="B26" s="20">
        <v>254.47890200000001</v>
      </c>
      <c r="C26" s="20">
        <v>156.94454099999999</v>
      </c>
      <c r="D26" s="20">
        <v>325.00863500000003</v>
      </c>
      <c r="E26" s="20">
        <v>303.72263400000003</v>
      </c>
      <c r="F26" s="20">
        <v>337.08129150000002</v>
      </c>
      <c r="G26" s="20">
        <v>458.16811200000001</v>
      </c>
      <c r="H26" s="34">
        <v>375.500722</v>
      </c>
      <c r="I26" s="34">
        <v>378.62412399999999</v>
      </c>
      <c r="J26" s="34">
        <v>340.79123700000002</v>
      </c>
      <c r="K26" s="34">
        <v>357.816036</v>
      </c>
      <c r="L26" s="34">
        <v>375.69207499999999</v>
      </c>
      <c r="M26" s="21" t="s">
        <v>36</v>
      </c>
      <c r="N26" s="31"/>
      <c r="O26" s="31"/>
      <c r="P26" s="31"/>
      <c r="Q26" s="31"/>
      <c r="R26" s="31"/>
    </row>
    <row r="27" spans="1:18" s="10" customFormat="1" ht="18" customHeight="1">
      <c r="A27" s="54" t="s">
        <v>37</v>
      </c>
      <c r="B27" s="20">
        <v>0</v>
      </c>
      <c r="C27" s="14">
        <v>0</v>
      </c>
      <c r="D27" s="20">
        <v>0</v>
      </c>
      <c r="E27" s="20">
        <v>0.185081</v>
      </c>
      <c r="F27" s="20">
        <v>1.37016128</v>
      </c>
      <c r="G27" s="20">
        <v>24.504308999999999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21" t="s">
        <v>38</v>
      </c>
      <c r="N27" s="31"/>
      <c r="O27" s="31"/>
      <c r="P27" s="31"/>
      <c r="Q27" s="31"/>
      <c r="R27" s="31"/>
    </row>
    <row r="28" spans="1:18" s="10" customFormat="1" ht="18" customHeight="1">
      <c r="A28" s="54" t="s">
        <v>39</v>
      </c>
      <c r="B28" s="20">
        <v>205.310123</v>
      </c>
      <c r="C28" s="20">
        <v>188.03864400000001</v>
      </c>
      <c r="D28" s="20">
        <v>266.40812199999999</v>
      </c>
      <c r="E28" s="20">
        <v>24.317045</v>
      </c>
      <c r="F28" s="20">
        <v>82.029877819999896</v>
      </c>
      <c r="G28" s="20">
        <v>67.189931000000001</v>
      </c>
      <c r="H28" s="34">
        <v>93.740700000000004</v>
      </c>
      <c r="I28" s="34">
        <v>150</v>
      </c>
      <c r="J28" s="34">
        <v>132.744258</v>
      </c>
      <c r="K28" s="34">
        <v>139.381471</v>
      </c>
      <c r="L28" s="34">
        <v>146.35054500000001</v>
      </c>
      <c r="M28" s="21" t="s">
        <v>40</v>
      </c>
      <c r="N28" s="31"/>
      <c r="O28" s="31"/>
      <c r="P28" s="31"/>
      <c r="Q28" s="31"/>
      <c r="R28" s="31"/>
    </row>
    <row r="29" spans="1:18" s="10" customFormat="1" ht="18" hidden="1" customHeight="1">
      <c r="A29" s="54" t="s">
        <v>41</v>
      </c>
      <c r="B29" s="14">
        <v>0</v>
      </c>
      <c r="C29" s="14">
        <v>0</v>
      </c>
      <c r="D29" s="15">
        <v>0</v>
      </c>
      <c r="E29" s="15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21" t="s">
        <v>42</v>
      </c>
      <c r="N29" s="31"/>
      <c r="O29" s="31"/>
      <c r="P29" s="31"/>
      <c r="Q29" s="31"/>
      <c r="R29" s="31"/>
    </row>
    <row r="30" spans="1:18" s="10" customFormat="1" ht="18" customHeight="1">
      <c r="A30" s="54" t="s">
        <v>43</v>
      </c>
      <c r="B30" s="20">
        <v>9.0000009999999993</v>
      </c>
      <c r="C30" s="14">
        <v>0</v>
      </c>
      <c r="D30" s="20">
        <v>0</v>
      </c>
      <c r="E30" s="20">
        <v>0</v>
      </c>
      <c r="F30" s="20">
        <v>10</v>
      </c>
      <c r="G30" s="20">
        <v>0</v>
      </c>
      <c r="H30" s="34">
        <v>27.564230999999999</v>
      </c>
      <c r="I30" s="34">
        <v>30.320654000000001</v>
      </c>
      <c r="J30" s="34">
        <v>30.927067000000001</v>
      </c>
      <c r="K30" s="34">
        <v>30.927067000000001</v>
      </c>
      <c r="L30" s="34">
        <v>31.545608999999999</v>
      </c>
      <c r="M30" s="21" t="s">
        <v>44</v>
      </c>
      <c r="N30" s="31"/>
      <c r="O30" s="31"/>
      <c r="P30" s="31"/>
      <c r="Q30" s="31"/>
      <c r="R30" s="31"/>
    </row>
    <row r="31" spans="1:18" s="10" customFormat="1" ht="18" hidden="1" customHeight="1">
      <c r="A31" s="54" t="s">
        <v>45</v>
      </c>
      <c r="B31" s="14">
        <v>0</v>
      </c>
      <c r="C31" s="14">
        <v>0</v>
      </c>
      <c r="D31" s="15">
        <v>0</v>
      </c>
      <c r="E31" s="15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21" t="s">
        <v>46</v>
      </c>
      <c r="N31" s="31"/>
      <c r="O31" s="31"/>
      <c r="P31" s="31"/>
      <c r="Q31" s="31"/>
      <c r="R31" s="31"/>
    </row>
    <row r="32" spans="1:18" s="10" customFormat="1" ht="18" customHeight="1">
      <c r="A32" s="57" t="s">
        <v>47</v>
      </c>
      <c r="B32" s="14">
        <v>0</v>
      </c>
      <c r="C32" s="14">
        <v>0</v>
      </c>
      <c r="D32" s="15">
        <v>0</v>
      </c>
      <c r="E32" s="15">
        <v>0</v>
      </c>
      <c r="F32" s="34">
        <v>0</v>
      </c>
      <c r="G32" s="34">
        <v>23.443383000000001</v>
      </c>
      <c r="H32" s="34">
        <v>0</v>
      </c>
      <c r="I32" s="34">
        <v>0</v>
      </c>
      <c r="J32" s="34">
        <v>22.715015000000001</v>
      </c>
      <c r="K32" s="34">
        <v>23.964341000000001</v>
      </c>
      <c r="L32" s="34">
        <v>25.282378999999999</v>
      </c>
      <c r="M32" s="21" t="s">
        <v>48</v>
      </c>
      <c r="N32" s="31"/>
      <c r="O32" s="31"/>
      <c r="P32" s="31"/>
      <c r="Q32" s="31"/>
      <c r="R32" s="31"/>
    </row>
    <row r="33" spans="1:18" s="10" customFormat="1" ht="18" customHeight="1">
      <c r="A33" s="58" t="s">
        <v>49</v>
      </c>
      <c r="B33" s="20">
        <v>39.405994</v>
      </c>
      <c r="C33" s="20">
        <v>76.2</v>
      </c>
      <c r="D33" s="20">
        <v>33.799999999999997</v>
      </c>
      <c r="E33" s="20">
        <v>60</v>
      </c>
      <c r="F33" s="20">
        <v>60</v>
      </c>
      <c r="G33" s="20">
        <v>55.2</v>
      </c>
      <c r="H33" s="34">
        <v>0</v>
      </c>
      <c r="I33" s="34">
        <v>137.251891</v>
      </c>
      <c r="J33" s="34">
        <v>139.99692899999999</v>
      </c>
      <c r="K33" s="34">
        <v>153.996622</v>
      </c>
      <c r="L33" s="34">
        <v>169.39628400000001</v>
      </c>
      <c r="M33" s="38" t="s">
        <v>50</v>
      </c>
      <c r="N33" s="31"/>
      <c r="O33" s="31"/>
      <c r="P33" s="31"/>
      <c r="Q33" s="31"/>
      <c r="R33" s="31"/>
    </row>
    <row r="34" spans="1:18" s="10" customFormat="1" ht="18" customHeight="1">
      <c r="A34" s="59" t="s">
        <v>51</v>
      </c>
      <c r="B34" s="14">
        <v>0</v>
      </c>
      <c r="C34" s="16">
        <v>3.837278</v>
      </c>
      <c r="D34" s="15">
        <v>17.862296000000001</v>
      </c>
      <c r="E34" s="15">
        <v>50.051968000000002</v>
      </c>
      <c r="F34" s="34">
        <v>53.180216000000001</v>
      </c>
      <c r="G34" s="34">
        <v>62.564959999999999</v>
      </c>
      <c r="H34" s="34">
        <v>68.821455999999998</v>
      </c>
      <c r="I34" s="34">
        <v>65.612831999999997</v>
      </c>
      <c r="J34" s="34">
        <v>68.893473999999998</v>
      </c>
      <c r="K34" s="34">
        <v>72.338147000000006</v>
      </c>
      <c r="L34" s="34">
        <v>71.099999999999994</v>
      </c>
      <c r="M34" s="38" t="s">
        <v>52</v>
      </c>
      <c r="N34" s="31"/>
      <c r="O34" s="31"/>
      <c r="P34" s="31"/>
      <c r="Q34" s="31"/>
      <c r="R34" s="31"/>
    </row>
    <row r="35" spans="1:18" s="10" customFormat="1" ht="18" customHeight="1">
      <c r="A35" s="59" t="s">
        <v>53</v>
      </c>
      <c r="B35" s="14">
        <v>0</v>
      </c>
      <c r="C35" s="14">
        <v>0</v>
      </c>
      <c r="D35" s="15">
        <v>120</v>
      </c>
      <c r="E35" s="15">
        <v>0</v>
      </c>
      <c r="F35" s="34">
        <v>0</v>
      </c>
      <c r="G35" s="34">
        <v>0</v>
      </c>
      <c r="H35" s="34">
        <v>0</v>
      </c>
      <c r="I35" s="34">
        <v>406.31203799999997</v>
      </c>
      <c r="J35" s="34">
        <v>414.43827900000002</v>
      </c>
      <c r="K35" s="34">
        <v>422.72704499999998</v>
      </c>
      <c r="L35" s="34">
        <v>431.18158599999998</v>
      </c>
      <c r="M35" s="6" t="s">
        <v>54</v>
      </c>
      <c r="N35" s="31"/>
      <c r="O35" s="31"/>
      <c r="P35" s="31"/>
      <c r="Q35" s="31"/>
      <c r="R35" s="31"/>
    </row>
    <row r="36" spans="1:18" s="10" customFormat="1" ht="18" hidden="1" customHeight="1">
      <c r="A36" s="59" t="s">
        <v>55</v>
      </c>
      <c r="B36" s="14">
        <v>0</v>
      </c>
      <c r="C36" s="14">
        <v>0</v>
      </c>
      <c r="D36" s="15">
        <v>0</v>
      </c>
      <c r="E36" s="15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6" t="s">
        <v>56</v>
      </c>
      <c r="N36" s="31"/>
      <c r="O36" s="31"/>
      <c r="P36" s="31"/>
      <c r="Q36" s="31"/>
      <c r="R36" s="31"/>
    </row>
    <row r="37" spans="1:18" s="10" customFormat="1" ht="18" customHeight="1">
      <c r="A37" s="59" t="s">
        <v>57</v>
      </c>
      <c r="B37" s="20">
        <v>11.05</v>
      </c>
      <c r="C37" s="14">
        <v>0</v>
      </c>
      <c r="D37" s="20">
        <v>11.05</v>
      </c>
      <c r="E37" s="20">
        <v>0</v>
      </c>
      <c r="F37" s="20">
        <v>0</v>
      </c>
      <c r="G37" s="20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22" t="s">
        <v>58</v>
      </c>
      <c r="N37" s="31"/>
      <c r="O37" s="31"/>
      <c r="P37" s="31"/>
      <c r="Q37" s="31"/>
      <c r="R37" s="31"/>
    </row>
    <row r="38" spans="1:18" s="10" customFormat="1" ht="18" hidden="1" customHeight="1">
      <c r="A38" s="59" t="s">
        <v>59</v>
      </c>
      <c r="B38" s="20">
        <v>0</v>
      </c>
      <c r="C38" s="14">
        <v>0</v>
      </c>
      <c r="D38" s="14">
        <v>0</v>
      </c>
      <c r="E38" s="20">
        <v>0</v>
      </c>
      <c r="F38" s="20">
        <v>0</v>
      </c>
      <c r="G38" s="20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6" t="s">
        <v>60</v>
      </c>
      <c r="N38" s="31"/>
      <c r="O38" s="31"/>
      <c r="P38" s="31"/>
      <c r="Q38" s="31"/>
      <c r="R38" s="31"/>
    </row>
    <row r="39" spans="1:18" s="10" customFormat="1" ht="18" customHeight="1">
      <c r="A39" s="59" t="s">
        <v>61</v>
      </c>
      <c r="B39" s="20">
        <v>95.199361999999994</v>
      </c>
      <c r="C39" s="20">
        <v>43.042678000000002</v>
      </c>
      <c r="D39" s="34">
        <v>0</v>
      </c>
      <c r="E39" s="20">
        <v>30.877223999999998</v>
      </c>
      <c r="F39" s="20">
        <v>57.542190240000004</v>
      </c>
      <c r="G39" s="20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8" t="s">
        <v>62</v>
      </c>
      <c r="N39" s="31"/>
      <c r="O39" s="31"/>
      <c r="P39" s="31"/>
      <c r="Q39" s="31"/>
      <c r="R39" s="31"/>
    </row>
    <row r="40" spans="1:18" s="10" customFormat="1" ht="18" customHeight="1">
      <c r="A40" s="59" t="s">
        <v>63</v>
      </c>
      <c r="B40" s="20">
        <v>18.859279999999998</v>
      </c>
      <c r="C40" s="20">
        <v>7.8092800000000002</v>
      </c>
      <c r="D40" s="20">
        <v>7.8092800000000002</v>
      </c>
      <c r="E40" s="20">
        <v>19.523199999999999</v>
      </c>
      <c r="F40" s="20">
        <v>26.666239999999998</v>
      </c>
      <c r="G40" s="20">
        <v>15.61856</v>
      </c>
      <c r="H40" s="34">
        <v>20.780415999999999</v>
      </c>
      <c r="I40" s="34">
        <v>19.523199999999999</v>
      </c>
      <c r="J40" s="34">
        <v>19.913664000000001</v>
      </c>
      <c r="K40" s="34">
        <v>20.909347</v>
      </c>
      <c r="L40" s="34">
        <v>21.954815</v>
      </c>
      <c r="M40" s="21" t="s">
        <v>64</v>
      </c>
      <c r="N40" s="31"/>
      <c r="O40" s="31"/>
      <c r="P40" s="31"/>
      <c r="Q40" s="31"/>
      <c r="R40" s="31"/>
    </row>
    <row r="41" spans="1:18" s="10" customFormat="1" ht="18" hidden="1" customHeight="1">
      <c r="A41" s="57" t="s">
        <v>65</v>
      </c>
      <c r="B41" s="20">
        <v>0</v>
      </c>
      <c r="C41" s="14">
        <v>0</v>
      </c>
      <c r="D41" s="14">
        <v>0</v>
      </c>
      <c r="E41" s="1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6" t="s">
        <v>68</v>
      </c>
      <c r="N41" s="31"/>
      <c r="O41" s="31"/>
      <c r="P41" s="31"/>
      <c r="Q41" s="31"/>
      <c r="R41" s="31"/>
    </row>
    <row r="42" spans="1:18" s="10" customFormat="1" ht="18" customHeight="1">
      <c r="A42" s="54" t="s">
        <v>66</v>
      </c>
      <c r="B42" s="20">
        <v>0</v>
      </c>
      <c r="C42" s="14">
        <v>0</v>
      </c>
      <c r="D42" s="14">
        <v>0</v>
      </c>
      <c r="E42" s="14">
        <v>0</v>
      </c>
      <c r="F42" s="34">
        <v>0</v>
      </c>
      <c r="G42" s="34">
        <v>0</v>
      </c>
      <c r="H42" s="34">
        <v>272.83352100000002</v>
      </c>
      <c r="I42" s="34">
        <v>16.706164999999999</v>
      </c>
      <c r="J42" s="34">
        <v>17.541473</v>
      </c>
      <c r="K42" s="34">
        <v>18.418547</v>
      </c>
      <c r="L42" s="34">
        <v>19.339473999999999</v>
      </c>
      <c r="M42" s="22" t="s">
        <v>67</v>
      </c>
      <c r="N42" s="31"/>
      <c r="O42" s="31"/>
      <c r="P42" s="31"/>
      <c r="Q42" s="31"/>
      <c r="R42" s="31"/>
    </row>
    <row r="43" spans="1:18" s="10" customFormat="1" ht="18" customHeight="1">
      <c r="A43" s="55" t="s">
        <v>69</v>
      </c>
      <c r="B43" s="60">
        <f t="shared" ref="B43:I43" si="5">SUM(B44:B45)</f>
        <v>1131.3926084999998</v>
      </c>
      <c r="C43" s="20">
        <f t="shared" si="5"/>
        <v>1209.1183469999999</v>
      </c>
      <c r="D43" s="20">
        <f>SUM(D44:D45)</f>
        <v>1641.4926660000001</v>
      </c>
      <c r="E43" s="20">
        <f t="shared" si="5"/>
        <v>1336.944409</v>
      </c>
      <c r="F43" s="20">
        <f>SUM(F44:F45)</f>
        <v>1494.81354106</v>
      </c>
      <c r="G43" s="20">
        <f>SUM(G44:G45)</f>
        <v>1614.012074</v>
      </c>
      <c r="H43" s="20">
        <f t="shared" si="5"/>
        <v>1640.0619220000001</v>
      </c>
      <c r="I43" s="20">
        <f t="shared" si="5"/>
        <v>1647.035212</v>
      </c>
      <c r="J43" s="20">
        <f>SUM(J44:J45)</f>
        <v>1834.2965469999999</v>
      </c>
      <c r="K43" s="20">
        <f>SUM(K44:K45)</f>
        <v>1900.35708</v>
      </c>
      <c r="L43" s="20">
        <f>SUM(L44:L45)</f>
        <v>3586.2391339999999</v>
      </c>
      <c r="M43" s="38" t="s">
        <v>70</v>
      </c>
      <c r="N43" s="31"/>
      <c r="O43" s="31"/>
      <c r="P43" s="31"/>
      <c r="Q43" s="31"/>
      <c r="R43" s="31"/>
    </row>
    <row r="44" spans="1:18" s="10" customFormat="1" ht="18" customHeight="1">
      <c r="A44" s="55" t="s">
        <v>71</v>
      </c>
      <c r="B44" s="20">
        <v>1031.2231979999999</v>
      </c>
      <c r="C44" s="20">
        <v>1106.3326259999999</v>
      </c>
      <c r="D44" s="20">
        <v>1534.5484730000001</v>
      </c>
      <c r="E44" s="20">
        <v>1247.016365</v>
      </c>
      <c r="F44" s="20">
        <v>1357.4135410599999</v>
      </c>
      <c r="G44" s="20">
        <v>1488.6055819999999</v>
      </c>
      <c r="H44" s="20">
        <v>1525.985637</v>
      </c>
      <c r="I44" s="20">
        <v>1541.6221109999999</v>
      </c>
      <c r="J44" s="20">
        <v>1726.551062</v>
      </c>
      <c r="K44" s="20">
        <v>1793.119567</v>
      </c>
      <c r="L44" s="20">
        <v>1793.119567</v>
      </c>
      <c r="M44" s="39" t="s">
        <v>72</v>
      </c>
      <c r="N44" s="31"/>
      <c r="O44" s="31"/>
      <c r="P44" s="31"/>
      <c r="Q44" s="31"/>
      <c r="R44" s="31"/>
    </row>
    <row r="45" spans="1:18" s="10" customFormat="1" ht="18" customHeight="1">
      <c r="A45" s="55" t="s">
        <v>73</v>
      </c>
      <c r="B45" s="20">
        <v>100.1694105</v>
      </c>
      <c r="C45" s="20">
        <v>102.785721</v>
      </c>
      <c r="D45" s="20">
        <v>106.944193</v>
      </c>
      <c r="E45" s="20">
        <v>89.928044</v>
      </c>
      <c r="F45" s="20">
        <v>137.4</v>
      </c>
      <c r="G45" s="20">
        <v>125.406492</v>
      </c>
      <c r="H45" s="20">
        <v>114.076285</v>
      </c>
      <c r="I45" s="20">
        <v>105.413101</v>
      </c>
      <c r="J45" s="20">
        <v>107.745485</v>
      </c>
      <c r="K45" s="20">
        <v>107.23751300000001</v>
      </c>
      <c r="L45" s="20">
        <v>1793.119567</v>
      </c>
      <c r="M45" s="39" t="s">
        <v>74</v>
      </c>
      <c r="N45" s="31"/>
      <c r="O45" s="31"/>
      <c r="P45" s="31"/>
      <c r="Q45" s="31"/>
      <c r="R45" s="31"/>
    </row>
    <row r="46" spans="1:18" s="10" customFormat="1" ht="18" customHeight="1">
      <c r="A46" s="55" t="s">
        <v>75</v>
      </c>
      <c r="B46" s="20">
        <v>1078.6121423</v>
      </c>
      <c r="C46" s="20">
        <v>957.14032719999977</v>
      </c>
      <c r="D46" s="20">
        <v>1613.5568949999999</v>
      </c>
      <c r="E46" s="20">
        <v>2452.7101360000015</v>
      </c>
      <c r="F46" s="35">
        <v>2039.8901911099961</v>
      </c>
      <c r="G46" s="35">
        <v>2273.3969200000001</v>
      </c>
      <c r="H46" s="35">
        <v>2703.7948920000008</v>
      </c>
      <c r="I46" s="35">
        <v>2890.6272290000006</v>
      </c>
      <c r="J46" s="35">
        <v>3450.8147419999996</v>
      </c>
      <c r="K46" s="35">
        <v>3683.9668089999996</v>
      </c>
      <c r="L46" s="35">
        <v>2143.9116050000002</v>
      </c>
      <c r="M46" s="39" t="s">
        <v>76</v>
      </c>
      <c r="N46" s="31"/>
      <c r="O46" s="31"/>
      <c r="P46" s="31"/>
      <c r="Q46" s="31"/>
      <c r="R46" s="31"/>
    </row>
    <row r="47" spans="1:18" s="10" customFormat="1" ht="18" customHeight="1">
      <c r="A47" s="53" t="s">
        <v>8</v>
      </c>
      <c r="B47" s="23">
        <v>48.072814719999997</v>
      </c>
      <c r="C47" s="23">
        <v>268.11802599999999</v>
      </c>
      <c r="D47" s="23">
        <v>124.11061599999999</v>
      </c>
      <c r="E47" s="23">
        <v>120.282314</v>
      </c>
      <c r="F47" s="23">
        <v>869.36103832000015</v>
      </c>
      <c r="G47" s="23">
        <v>577.583888</v>
      </c>
      <c r="H47" s="23">
        <v>366.15476000000001</v>
      </c>
      <c r="I47" s="23">
        <v>38.262090999999998</v>
      </c>
      <c r="J47" s="23">
        <v>324.45175799999998</v>
      </c>
      <c r="K47" s="23">
        <v>34.483530000000002</v>
      </c>
      <c r="L47" s="23">
        <v>33.874510000000001</v>
      </c>
      <c r="M47" s="39" t="s">
        <v>77</v>
      </c>
      <c r="N47" s="31"/>
      <c r="O47" s="31"/>
      <c r="P47" s="31"/>
      <c r="Q47" s="31"/>
      <c r="R47" s="31"/>
    </row>
    <row r="48" spans="1:18" s="10" customFormat="1" ht="18" customHeight="1">
      <c r="A48" s="61" t="s">
        <v>78</v>
      </c>
      <c r="B48" s="24">
        <v>366.669873</v>
      </c>
      <c r="C48" s="24">
        <v>117.65522752999999</v>
      </c>
      <c r="D48" s="24">
        <v>165.27382499999999</v>
      </c>
      <c r="E48" s="24">
        <v>636.94119636999983</v>
      </c>
      <c r="F48" s="24">
        <v>253.12576791999993</v>
      </c>
      <c r="G48" s="24">
        <v>343.76348099999996</v>
      </c>
      <c r="H48" s="24">
        <v>819.80752300000006</v>
      </c>
      <c r="I48" s="24">
        <v>2068.3916140000001</v>
      </c>
      <c r="J48" s="24">
        <v>5214.8928859999996</v>
      </c>
      <c r="K48" s="24">
        <v>2145.5426579999998</v>
      </c>
      <c r="L48" s="24">
        <v>2135.9968319999998</v>
      </c>
      <c r="M48" s="40" t="s">
        <v>79</v>
      </c>
      <c r="N48" s="31"/>
      <c r="O48" s="31"/>
      <c r="P48" s="31"/>
      <c r="Q48" s="31"/>
      <c r="R48" s="31"/>
    </row>
    <row r="49" spans="1:18" s="10" customFormat="1" ht="15.75">
      <c r="A49" s="62" t="s">
        <v>91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39" t="s">
        <v>80</v>
      </c>
      <c r="N49" s="31"/>
      <c r="O49" s="31"/>
      <c r="P49" s="31"/>
      <c r="Q49" s="31"/>
      <c r="R49" s="31"/>
    </row>
    <row r="50" spans="1:18" s="10" customFormat="1" ht="18.75">
      <c r="A50" s="62" t="s">
        <v>92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41" t="s">
        <v>100</v>
      </c>
      <c r="N50" s="31"/>
      <c r="O50" s="31"/>
      <c r="P50" s="31"/>
      <c r="Q50" s="31"/>
      <c r="R50" s="31"/>
    </row>
    <row r="51" spans="1:18" s="10" customFormat="1" ht="15.75">
      <c r="A51" s="62" t="s">
        <v>81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39" t="s">
        <v>82</v>
      </c>
      <c r="N51" s="31"/>
      <c r="O51" s="31"/>
      <c r="P51" s="31"/>
      <c r="Q51" s="31"/>
      <c r="R51" s="31"/>
    </row>
    <row r="52" spans="1:18" s="10" customFormat="1" ht="15.75">
      <c r="A52" s="62" t="s">
        <v>93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39" t="s">
        <v>86</v>
      </c>
      <c r="N52" s="31"/>
      <c r="O52" s="31"/>
      <c r="P52" s="31"/>
      <c r="Q52" s="31"/>
      <c r="R52" s="31"/>
    </row>
    <row r="53" spans="1:18" ht="15.75">
      <c r="A53" s="62" t="s">
        <v>83</v>
      </c>
      <c r="M53" s="39" t="s">
        <v>84</v>
      </c>
    </row>
    <row r="54" spans="1:18" s="10" customFormat="1" ht="15.75">
      <c r="A54" s="26"/>
      <c r="M54" s="42"/>
      <c r="N54" s="31"/>
      <c r="O54" s="31"/>
      <c r="P54" s="31"/>
      <c r="Q54" s="31"/>
      <c r="R54" s="31"/>
    </row>
    <row r="55" spans="1:18" s="10" customFormat="1" ht="15" customHeight="1">
      <c r="A55" s="26"/>
      <c r="N55" s="31"/>
      <c r="O55" s="31"/>
      <c r="P55" s="31"/>
      <c r="Q55" s="31"/>
      <c r="R55" s="31"/>
    </row>
    <row r="56" spans="1:18" ht="15" customHeight="1">
      <c r="A56" s="26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</row>
    <row r="57" spans="1:18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spans="1:18" s="9" customFormat="1">
      <c r="A58" s="11"/>
      <c r="B58" s="64"/>
      <c r="C58" s="65"/>
      <c r="D58" s="65"/>
      <c r="E58" s="66"/>
      <c r="F58" s="67"/>
      <c r="G58" s="67"/>
      <c r="H58" s="65"/>
      <c r="I58" s="65"/>
      <c r="J58" s="66"/>
      <c r="K58" s="67"/>
      <c r="L58" s="67"/>
      <c r="M58" s="11"/>
      <c r="N58" s="29"/>
      <c r="O58" s="29"/>
      <c r="P58" s="29"/>
      <c r="Q58" s="29"/>
      <c r="R58" s="29"/>
    </row>
    <row r="59" spans="1:18">
      <c r="A59" s="68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spans="1:18">
      <c r="A60" s="68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 spans="1:18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</row>
    <row r="62" spans="1:18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</row>
    <row r="63" spans="1:18">
      <c r="A63" s="6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</row>
    <row r="64" spans="1:18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</row>
    <row r="65" spans="1:13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</row>
    <row r="66" spans="1:13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</row>
    <row r="67" spans="1:13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</row>
    <row r="68" spans="1:13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</row>
    <row r="69" spans="1:13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</row>
    <row r="70" spans="1:13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</row>
    <row r="71" spans="1:13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</row>
    <row r="72" spans="1:13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 spans="1:1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</row>
    <row r="74" spans="1:13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</row>
    <row r="75" spans="1:13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</row>
    <row r="76" spans="1:13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</row>
    <row r="77" spans="1:13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</row>
    <row r="78" spans="1:13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</row>
    <row r="79" spans="1:13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</row>
    <row r="80" spans="1:13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</row>
    <row r="81" spans="1:13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</row>
    <row r="82" spans="1:13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</row>
    <row r="83" spans="1:1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</row>
    <row r="84" spans="1:13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</row>
    <row r="85" spans="1:13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</row>
    <row r="86" spans="1:13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</row>
    <row r="87" spans="1:13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</row>
    <row r="88" spans="1:13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</row>
    <row r="89" spans="1:13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</row>
    <row r="90" spans="1:13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</row>
    <row r="91" spans="1:13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</row>
    <row r="92" spans="1:13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</row>
    <row r="93" spans="1:1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</row>
    <row r="94" spans="1:13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</row>
    <row r="95" spans="1:13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</row>
    <row r="96" spans="1:13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</row>
    <row r="97" spans="1:13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</row>
    <row r="98" spans="1:13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</row>
    <row r="99" spans="1:13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</row>
    <row r="100" spans="1:13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</row>
    <row r="101" spans="1:13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</row>
    <row r="102" spans="1:13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</row>
    <row r="103" spans="1:1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</row>
    <row r="104" spans="1:13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</row>
    <row r="105" spans="1:13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</row>
    <row r="106" spans="1:13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</row>
    <row r="107" spans="1:13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</row>
    <row r="108" spans="1:13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</row>
    <row r="109" spans="1:13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</row>
    <row r="110" spans="1:13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</row>
    <row r="111" spans="1:13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</row>
    <row r="112" spans="1:13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</row>
    <row r="113" spans="1: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</row>
    <row r="114" spans="1:13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</row>
    <row r="115" spans="1:13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</row>
    <row r="116" spans="1:13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</row>
    <row r="117" spans="1:13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</row>
    <row r="118" spans="1:13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</row>
    <row r="119" spans="1:13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</row>
    <row r="120" spans="1:13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</row>
    <row r="121" spans="1:13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</row>
    <row r="122" spans="1:13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</row>
    <row r="123" spans="1:1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</row>
    <row r="124" spans="1:13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</row>
    <row r="125" spans="1:13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</row>
    <row r="126" spans="1:13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</row>
    <row r="127" spans="1:13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</row>
    <row r="128" spans="1:13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</row>
    <row r="129" spans="1:13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</row>
    <row r="130" spans="1:13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</row>
    <row r="131" spans="1:13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</row>
    <row r="132" spans="1:13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</row>
    <row r="133" spans="1:1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</row>
    <row r="134" spans="1:13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</row>
    <row r="135" spans="1:13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</row>
    <row r="136" spans="1:13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</row>
    <row r="137" spans="1:13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</row>
    <row r="138" spans="1:13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</row>
    <row r="139" spans="1:13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</row>
    <row r="140" spans="1:13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</row>
    <row r="141" spans="1:13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</row>
    <row r="142" spans="1:13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</row>
    <row r="143" spans="1:1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</row>
    <row r="144" spans="1:13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</row>
    <row r="145" spans="1:13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</row>
    <row r="146" spans="1:13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</row>
    <row r="147" spans="1:13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</row>
    <row r="148" spans="1:13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</row>
    <row r="149" spans="1:13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</row>
    <row r="150" spans="1:13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</row>
    <row r="151" spans="1:13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</row>
    <row r="152" spans="1:13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</row>
    <row r="153" spans="1:1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</row>
    <row r="154" spans="1:13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</row>
    <row r="155" spans="1:13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</row>
    <row r="156" spans="1:13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</row>
    <row r="157" spans="1:13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</row>
    <row r="158" spans="1:13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</row>
    <row r="159" spans="1:13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</row>
    <row r="160" spans="1:13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</row>
    <row r="161" spans="1:13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</row>
    <row r="162" spans="1:13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</row>
    <row r="163" spans="1:1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</row>
    <row r="164" spans="1:13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</row>
    <row r="165" spans="1:13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</row>
    <row r="166" spans="1:13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</row>
    <row r="167" spans="1:13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</row>
    <row r="168" spans="1:13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</row>
    <row r="169" spans="1:13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</row>
  </sheetData>
  <mergeCells count="5">
    <mergeCell ref="A1:M1"/>
    <mergeCell ref="A2:M2"/>
    <mergeCell ref="A3:M3"/>
    <mergeCell ref="A4:M4"/>
    <mergeCell ref="M5:M7"/>
  </mergeCells>
  <pageMargins left="0.17" right="0.16" top="0.41" bottom="0.36" header="0.3" footer="0.3"/>
  <pageSetup paperSize="9" scale="5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13.3</vt:lpstr>
      <vt:lpstr>'13.3'!Print_Titles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2020-08-27T07:19:04Z</cp:lastPrinted>
  <dcterms:created xsi:type="dcterms:W3CDTF">2014-03-06T08:38:12Z</dcterms:created>
  <dcterms:modified xsi:type="dcterms:W3CDTF">2020-08-27T07:19:12Z</dcterms:modified>
</cp:coreProperties>
</file>