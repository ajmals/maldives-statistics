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3. PUBLIC FINANCE\"/>
    </mc:Choice>
  </mc:AlternateContent>
  <bookViews>
    <workbookView xWindow="0" yWindow="0" windowWidth="28740" windowHeight="11730" tabRatio="738"/>
  </bookViews>
  <sheets>
    <sheet name="13.1" sheetId="1" r:id="rId1"/>
  </sheets>
  <externalReferences>
    <externalReference r:id="rId2"/>
    <externalReference r:id="rId3"/>
    <externalReference r:id="rId4"/>
  </externalReferences>
  <definedNames>
    <definedName name="aas">'[1]Expenditure Codes'!$B$86:$B$127</definedName>
    <definedName name="BACODE">#REF!</definedName>
    <definedName name="BAList">'[2]Business areas'!$A$1:$A$1000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'[3]Expenditure Codes'!$B$86:$B$127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'13.1'!$A$1:$R$28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52511"/>
</workbook>
</file>

<file path=xl/calcChain.xml><?xml version="1.0" encoding="utf-8"?>
<calcChain xmlns="http://schemas.openxmlformats.org/spreadsheetml/2006/main">
  <c r="P18" i="1" l="1"/>
  <c r="P17" i="1" s="1"/>
  <c r="O18" i="1"/>
  <c r="O17" i="1" s="1"/>
  <c r="N18" i="1"/>
  <c r="N17" i="1" s="1"/>
  <c r="M18" i="1"/>
  <c r="M17" i="1" s="1"/>
  <c r="L18" i="1"/>
  <c r="K18" i="1"/>
  <c r="K17" i="1" s="1"/>
  <c r="J18" i="1"/>
  <c r="J17" i="1" s="1"/>
  <c r="I18" i="1"/>
  <c r="I17" i="1" s="1"/>
  <c r="H18" i="1"/>
  <c r="H17" i="1" s="1"/>
  <c r="G18" i="1"/>
  <c r="G17" i="1" s="1"/>
  <c r="F18" i="1"/>
  <c r="F17" i="1" s="1"/>
  <c r="E18" i="1"/>
  <c r="E17" i="1" s="1"/>
  <c r="D18" i="1"/>
  <c r="D17" i="1" s="1"/>
  <c r="C18" i="1"/>
  <c r="B18" i="1"/>
  <c r="L17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C15" i="1" s="1"/>
  <c r="B8" i="1"/>
  <c r="B15" i="1" s="1"/>
  <c r="E15" i="1" l="1"/>
  <c r="I15" i="1"/>
  <c r="M15" i="1"/>
  <c r="D15" i="1"/>
  <c r="H15" i="1"/>
  <c r="L15" i="1"/>
  <c r="P15" i="1"/>
  <c r="F15" i="1"/>
  <c r="J15" i="1"/>
  <c r="N15" i="1"/>
  <c r="G15" i="1"/>
  <c r="O15" i="1"/>
  <c r="K15" i="1"/>
</calcChain>
</file>

<file path=xl/sharedStrings.xml><?xml version="1.0" encoding="utf-8"?>
<sst xmlns="http://schemas.openxmlformats.org/spreadsheetml/2006/main" count="63" uniqueCount="54">
  <si>
    <t>(cniaWyifur cnwailim)</t>
  </si>
  <si>
    <t>Particulars</t>
  </si>
  <si>
    <t>(iawfiverukuhWlcsia)</t>
  </si>
  <si>
    <t>clIBcfwt</t>
  </si>
  <si>
    <t>Actual</t>
  </si>
  <si>
    <t>Revised</t>
  </si>
  <si>
    <t>Total Revenue 1_/</t>
  </si>
  <si>
    <t>1_/ InwdcmWa wlcmuj</t>
  </si>
  <si>
    <t>Revenue</t>
  </si>
  <si>
    <t xml:space="preserve">                                                Wsiawf Ebiliawgutog egInwdcmWA   </t>
  </si>
  <si>
    <t xml:space="preserve">Fund accounts </t>
  </si>
  <si>
    <t xml:space="preserve">                             Ebil cSwkwtuTcnuawkea uDcnwf wncnuh iawgukwtcsIfoa ikeaikea   </t>
  </si>
  <si>
    <t>Monetary grants</t>
  </si>
  <si>
    <t xml:space="preserve">                                        cniaWsiawf Ebil iawgutog egIheaElih egurEb   </t>
  </si>
  <si>
    <t>Foreign Budget Support Loan</t>
  </si>
  <si>
    <t>ބޭރުގެ ލޯނުއެހީ</t>
  </si>
  <si>
    <t>Grants for development projects</t>
  </si>
  <si>
    <t xml:space="preserve">                                       Ebiliawgutog egIhea Elih cSwkwtuTejorcp egIqcawrwt   </t>
  </si>
  <si>
    <t>Foreign Loan disbursement for development projects</t>
  </si>
  <si>
    <t xml:space="preserve"> ތަރައްޤީގެ މަޝްރޫޢުތަކަށް ބޭރުގެ ލޯނު އެހީގެ ގޮތުގައި ލިބޭ ފައިސާ</t>
  </si>
  <si>
    <t>Overall Surplus / deficit (-) 2_/</t>
  </si>
  <si>
    <t>2_/ (-) urwvcnim ivurutia udwrwK eruvcSwaInwdcmWA iawguTejwbiLum</t>
  </si>
  <si>
    <t xml:space="preserve">                                            (iawfinemih Ihea unOl iaWaIhea Elih egurEb)     </t>
  </si>
  <si>
    <t>Total Expenditure 3_/</t>
  </si>
  <si>
    <t>3_/ udwrwK wlcmuj</t>
  </si>
  <si>
    <t xml:space="preserve"> Total Budget</t>
  </si>
  <si>
    <t>wlcmuj eguTejwb</t>
  </si>
  <si>
    <t>General budget</t>
  </si>
  <si>
    <t xml:space="preserve">                                                       uTejwb umcaWA egukwtcsIfoa   </t>
  </si>
  <si>
    <t>Expenditure from fund accounts</t>
  </si>
  <si>
    <t xml:space="preserve">                           udwrwK Everuk cnukwtcTcnuawkeauDcnwf wncnuh iawgukwtcsIfoa ikeaikea   </t>
  </si>
  <si>
    <t xml:space="preserve">                                           udwrwK Everuk cniaWsiawf egIheaElih egurEb   </t>
  </si>
  <si>
    <t xml:space="preserve">Development expenditure of projects financed from foreign grants </t>
  </si>
  <si>
    <t xml:space="preserve">                                udwrwK Everuk cnIhea Elih Ebil cSwkwtuTckejorcp egIqcawrwt   </t>
  </si>
  <si>
    <t xml:space="preserve">Development expenditure of projects financed from foreign loans </t>
  </si>
  <si>
    <t xml:space="preserve">                                udwrwK Everuk cnIhea unOl Ebil cSwkwtuTckejorcp egIqcawrwt   </t>
  </si>
  <si>
    <t xml:space="preserve">     Gov. Contribution to Political Parties</t>
  </si>
  <si>
    <t xml:space="preserve">Wsiawf Ed cnurWkurws cSwkwtITWpIsWyis  </t>
  </si>
  <si>
    <t xml:space="preserve">ޖުމްލަ އާމްދަނީ: ހިލޭ އެހީއާއި ޕްރޮޖެކްޓްތަކަށް ނެގުނު ލޯނުގެ ބައި ހިމަނައިގެންނެވެ. </t>
  </si>
  <si>
    <t xml:space="preserve">  1_/</t>
  </si>
  <si>
    <t xml:space="preserve">ޖުމްލަ އަރަނި / ދަރަނި މިބައިގައި ހިމެނެނީ (ޖުމްލަ އާމްދަނީ އާއި ޖުމްލަ ޚަރަދު ތަފާތު) ހިލޭއެހީއާއި ލޯނަށް ނެގުނު ފައިސާ ހިމަނައިގެންނެވެ. </t>
  </si>
  <si>
    <t xml:space="preserve">  2_/</t>
  </si>
  <si>
    <t xml:space="preserve">ޖުމްލަ ޚަރަދުގެ ތެރޭގައި ލޯނު އަނބުރާ ދެއްކި ޚަރަދުތައް ހިމެނެއެވެ. </t>
  </si>
  <si>
    <t xml:space="preserve">  3_/</t>
  </si>
  <si>
    <t>3_/  Total expenditure in this table include loan repayments</t>
  </si>
  <si>
    <t>IrwRercT cDcnea cscnEnif cfoa IrcTcsinim :ctWrwfivcaed utWmUluAwm</t>
  </si>
  <si>
    <t>Source:  Ministry of Finance and Treasury.</t>
  </si>
  <si>
    <t>(In million MVR)</t>
  </si>
  <si>
    <t>1_/  Revenue includes New revenue Measures approved by the parliament</t>
  </si>
  <si>
    <r>
      <t xml:space="preserve">       </t>
    </r>
    <r>
      <rPr>
        <sz val="10"/>
        <color theme="1"/>
        <rFont val="Calibri"/>
        <family val="2"/>
      </rPr>
      <t>(Including grants &amp; loans)</t>
    </r>
  </si>
  <si>
    <t>2_/  Overall deficit/surplus in this table is difference of Government total Income and Expenditure   (including grants) plus loan disbursements</t>
  </si>
  <si>
    <t>2022 - 2013,ctogEverukudwrwK iaWtogEbilWsiawf cSwTejwb egutwluawd : 13.1 ulwvWt</t>
  </si>
  <si>
    <t>Table 13.1 :   TOTAL REVENUE AND EXPENDITURE OF  GOVERNMENT BUDGET BY SOURCE, 2013- 2022</t>
  </si>
  <si>
    <t xml:space="preserve">Approved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</si>
</sst>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67" formatCode="0.0"/>
    <numFmt numFmtId="168" formatCode="_-* #,##0.00_-;\-* #,##0.00_-;_-* &quot;-&quot;??_-;_-@_-"/>
    <numFmt numFmtId="169" formatCode="#,##0.00\ ;&quot; (&quot;#,##0.00\);&quot; -&quot;#\ ;@\ "/>
    <numFmt numFmtId="170" formatCode="_(* #,##0.0_);_(* \(#,##0.0\);_(* &quot;-&quot;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Faruma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_Randhoo"/>
    </font>
    <font>
      <sz val="10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A_Randhoo"/>
    </font>
    <font>
      <i/>
      <sz val="9.5"/>
      <color theme="1"/>
      <name val="Calibri"/>
      <family val="2"/>
      <scheme val="minor"/>
    </font>
    <font>
      <sz val="7"/>
      <color theme="1"/>
      <name val="A_Randhoo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b/>
      <sz val="8"/>
      <color theme="1"/>
      <name val="A_Faseyha"/>
    </font>
    <font>
      <sz val="10"/>
      <color theme="1"/>
      <name val="A_Faseyha"/>
    </font>
    <font>
      <sz val="8"/>
      <color theme="1"/>
      <name val="A_Faseyha"/>
    </font>
    <font>
      <b/>
      <sz val="10"/>
      <color theme="1"/>
      <name val="A_Randhoo"/>
    </font>
    <font>
      <sz val="9.300000000000000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theme="1" tint="4.9989318521683403E-2"/>
      </left>
      <right/>
      <top style="thin">
        <color theme="1" tint="4.9989318521683403E-2"/>
      </top>
      <bottom/>
      <diagonal/>
    </border>
    <border>
      <left style="hair">
        <color theme="1" tint="4.9989318521683403E-2"/>
      </left>
      <right/>
      <top/>
      <bottom/>
      <diagonal/>
    </border>
    <border>
      <left style="hair">
        <color theme="1" tint="4.9989318521683403E-2"/>
      </left>
      <right/>
      <top/>
      <bottom style="thin">
        <color theme="1" tint="4.9989318521683403E-2"/>
      </bottom>
      <diagonal/>
    </border>
    <border>
      <left style="hair">
        <color theme="1" tint="4.9989318521683403E-2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8" fontId="1" fillId="0" borderId="0" applyFont="0" applyFill="0" applyBorder="0" applyAlignment="0" applyProtection="0"/>
    <xf numFmtId="0" fontId="6" fillId="0" borderId="0"/>
    <xf numFmtId="169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167" fontId="23" fillId="0" borderId="0"/>
    <xf numFmtId="4" fontId="2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0" fontId="3" fillId="0" borderId="0" applyFont="0" applyFill="0" applyBorder="0" applyAlignment="0" applyProtection="0"/>
  </cellStyleXfs>
  <cellXfs count="79">
    <xf numFmtId="0" fontId="0" fillId="0" borderId="0" xfId="0"/>
    <xf numFmtId="164" fontId="8" fillId="2" borderId="4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 applyProtection="1">
      <alignment horizontal="right" vertical="center"/>
      <protection locked="0"/>
    </xf>
    <xf numFmtId="164" fontId="5" fillId="2" borderId="2" xfId="2" applyNumberFormat="1" applyFont="1" applyFill="1" applyBorder="1" applyAlignment="1" applyProtection="1">
      <alignment horizontal="right" vertical="center"/>
    </xf>
    <xf numFmtId="164" fontId="13" fillId="2" borderId="0" xfId="2" applyNumberFormat="1" applyFont="1" applyFill="1" applyAlignment="1">
      <alignment vertical="center"/>
    </xf>
    <xf numFmtId="164" fontId="14" fillId="2" borderId="0" xfId="2" applyNumberFormat="1" applyFont="1" applyFill="1" applyAlignment="1">
      <alignment vertical="center"/>
    </xf>
    <xf numFmtId="164" fontId="5" fillId="2" borderId="0" xfId="2" applyNumberFormat="1" applyFont="1" applyFill="1" applyAlignment="1" applyProtection="1">
      <alignment horizontal="left" vertical="center"/>
    </xf>
    <xf numFmtId="164" fontId="8" fillId="2" borderId="0" xfId="2" applyNumberFormat="1" applyFont="1" applyFill="1" applyAlignment="1">
      <alignment vertical="center"/>
    </xf>
    <xf numFmtId="164" fontId="17" fillId="2" borderId="0" xfId="2" applyNumberFormat="1" applyFont="1" applyFill="1" applyAlignment="1">
      <alignment vertical="center"/>
    </xf>
    <xf numFmtId="164" fontId="14" fillId="2" borderId="0" xfId="2" applyNumberFormat="1" applyFont="1" applyFill="1" applyBorder="1" applyAlignment="1">
      <alignment vertical="center"/>
    </xf>
    <xf numFmtId="164" fontId="14" fillId="2" borderId="1" xfId="2" applyNumberFormat="1" applyFont="1" applyFill="1" applyBorder="1" applyAlignment="1">
      <alignment vertical="center"/>
    </xf>
    <xf numFmtId="164" fontId="8" fillId="2" borderId="0" xfId="2" applyNumberFormat="1" applyFont="1" applyFill="1" applyAlignment="1">
      <alignment horizontal="center" vertical="center"/>
    </xf>
    <xf numFmtId="164" fontId="17" fillId="2" borderId="0" xfId="2" applyNumberFormat="1" applyFont="1" applyFill="1" applyBorder="1" applyAlignment="1">
      <alignment vertical="center"/>
    </xf>
    <xf numFmtId="164" fontId="10" fillId="2" borderId="0" xfId="2" applyNumberFormat="1" applyFont="1" applyFill="1" applyAlignment="1" applyProtection="1">
      <alignment horizontal="left" vertical="center" indent="2"/>
    </xf>
    <xf numFmtId="164" fontId="18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>
      <alignment horizontal="right" vertical="center"/>
    </xf>
    <xf numFmtId="164" fontId="12" fillId="2" borderId="0" xfId="2" applyNumberFormat="1" applyFont="1" applyFill="1" applyAlignment="1">
      <alignment horizontal="right" vertical="center" indent="1"/>
    </xf>
    <xf numFmtId="164" fontId="17" fillId="2" borderId="0" xfId="2" applyNumberFormat="1" applyFont="1" applyFill="1" applyAlignment="1" applyProtection="1">
      <alignment horizontal="left" vertical="center"/>
    </xf>
    <xf numFmtId="166" fontId="10" fillId="2" borderId="0" xfId="1" applyNumberFormat="1" applyFont="1" applyFill="1" applyAlignment="1" applyProtection="1">
      <alignment horizontal="right" vertical="center"/>
      <protection locked="0"/>
    </xf>
    <xf numFmtId="166" fontId="10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2" applyNumberFormat="1" applyFont="1" applyFill="1" applyBorder="1" applyAlignment="1" applyProtection="1">
      <alignment horizontal="left" vertical="center" indent="2"/>
    </xf>
    <xf numFmtId="166" fontId="10" fillId="2" borderId="3" xfId="1" applyNumberFormat="1" applyFont="1" applyFill="1" applyBorder="1" applyAlignment="1" applyProtection="1">
      <alignment horizontal="right" vertical="center"/>
      <protection locked="0"/>
    </xf>
    <xf numFmtId="164" fontId="11" fillId="2" borderId="3" xfId="2" applyNumberFormat="1" applyFont="1" applyFill="1" applyBorder="1" applyAlignment="1" applyProtection="1">
      <alignment horizontal="left" vertical="center"/>
    </xf>
    <xf numFmtId="164" fontId="19" fillId="2" borderId="0" xfId="2" applyNumberFormat="1" applyFont="1" applyFill="1" applyAlignment="1" applyProtection="1">
      <alignment horizontal="left" vertical="center"/>
    </xf>
    <xf numFmtId="164" fontId="20" fillId="2" borderId="0" xfId="2" applyNumberFormat="1" applyFont="1" applyFill="1" applyAlignment="1">
      <alignment horizontal="right" vertical="center"/>
    </xf>
    <xf numFmtId="164" fontId="15" fillId="2" borderId="0" xfId="2" applyNumberFormat="1" applyFont="1" applyFill="1" applyAlignment="1">
      <alignment vertical="center"/>
    </xf>
    <xf numFmtId="164" fontId="13" fillId="2" borderId="0" xfId="2" applyNumberFormat="1" applyFont="1" applyFill="1" applyBorder="1" applyAlignment="1">
      <alignment vertical="center"/>
    </xf>
    <xf numFmtId="166" fontId="5" fillId="2" borderId="0" xfId="1" applyNumberFormat="1" applyFont="1" applyFill="1" applyAlignment="1" applyProtection="1">
      <alignment horizontal="right" vertical="center"/>
    </xf>
    <xf numFmtId="166" fontId="5" fillId="2" borderId="0" xfId="1" applyNumberFormat="1" applyFont="1" applyFill="1" applyAlignment="1" applyProtection="1">
      <alignment horizontal="right" vertical="center"/>
      <protection locked="0"/>
    </xf>
    <xf numFmtId="0" fontId="1" fillId="2" borderId="0" xfId="0" applyFont="1" applyFill="1" applyBorder="1" applyAlignment="1">
      <alignment vertical="center"/>
    </xf>
    <xf numFmtId="164" fontId="22" fillId="2" borderId="0" xfId="2" applyNumberFormat="1" applyFont="1" applyFill="1" applyAlignment="1">
      <alignment vertical="center"/>
    </xf>
    <xf numFmtId="164" fontId="25" fillId="2" borderId="0" xfId="2" applyNumberFormat="1" applyFont="1" applyFill="1" applyAlignment="1">
      <alignment vertical="center"/>
    </xf>
    <xf numFmtId="164" fontId="25" fillId="2" borderId="0" xfId="2" applyNumberFormat="1" applyFont="1" applyFill="1" applyBorder="1" applyAlignment="1">
      <alignment vertical="center"/>
    </xf>
    <xf numFmtId="164" fontId="25" fillId="2" borderId="3" xfId="2" applyNumberFormat="1" applyFont="1" applyFill="1" applyBorder="1" applyAlignment="1">
      <alignment vertical="center"/>
    </xf>
    <xf numFmtId="164" fontId="27" fillId="2" borderId="4" xfId="2" applyNumberFormat="1" applyFont="1" applyFill="1" applyBorder="1" applyAlignment="1">
      <alignment horizontal="right" vertical="center"/>
    </xf>
    <xf numFmtId="166" fontId="10" fillId="2" borderId="0" xfId="1" applyNumberFormat="1" applyFont="1" applyFill="1" applyAlignment="1">
      <alignment vertical="center"/>
    </xf>
    <xf numFmtId="164" fontId="26" fillId="2" borderId="0" xfId="2" applyNumberFormat="1" applyFont="1" applyFill="1" applyAlignment="1">
      <alignment horizontal="right" vertical="center"/>
    </xf>
    <xf numFmtId="164" fontId="28" fillId="2" borderId="0" xfId="2" applyNumberFormat="1" applyFont="1" applyFill="1" applyAlignment="1">
      <alignment horizontal="righ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28" fillId="2" borderId="3" xfId="2" applyNumberFormat="1" applyFont="1" applyFill="1" applyBorder="1" applyAlignment="1">
      <alignment horizontal="right" vertical="center"/>
    </xf>
    <xf numFmtId="165" fontId="29" fillId="2" borderId="0" xfId="2" applyNumberFormat="1" applyFont="1" applyFill="1" applyBorder="1" applyAlignment="1">
      <alignment horizontal="right" vertical="center"/>
    </xf>
    <xf numFmtId="164" fontId="14" fillId="2" borderId="5" xfId="2" applyNumberFormat="1" applyFont="1" applyFill="1" applyBorder="1" applyAlignment="1">
      <alignment vertical="center"/>
    </xf>
    <xf numFmtId="164" fontId="5" fillId="2" borderId="7" xfId="2" applyNumberFormat="1" applyFont="1" applyFill="1" applyBorder="1" applyAlignment="1" applyProtection="1">
      <alignment horizontal="right" vertical="center"/>
    </xf>
    <xf numFmtId="166" fontId="5" fillId="2" borderId="6" xfId="1" applyNumberFormat="1" applyFont="1" applyFill="1" applyBorder="1" applyAlignment="1" applyProtection="1">
      <alignment horizontal="right" vertical="center"/>
    </xf>
    <xf numFmtId="166" fontId="5" fillId="2" borderId="0" xfId="1" applyNumberFormat="1" applyFont="1" applyFill="1" applyBorder="1" applyAlignment="1" applyProtection="1">
      <alignment horizontal="right" vertical="center"/>
    </xf>
    <xf numFmtId="166" fontId="10" fillId="2" borderId="6" xfId="1" applyNumberFormat="1" applyFont="1" applyFill="1" applyBorder="1" applyAlignment="1">
      <alignment vertical="center"/>
    </xf>
    <xf numFmtId="166" fontId="10" fillId="2" borderId="0" xfId="1" applyNumberFormat="1" applyFont="1" applyFill="1" applyBorder="1" applyAlignment="1">
      <alignment vertical="center"/>
    </xf>
    <xf numFmtId="166" fontId="10" fillId="2" borderId="6" xfId="1" applyNumberFormat="1" applyFont="1" applyFill="1" applyBorder="1" applyAlignment="1" applyProtection="1">
      <alignment horizontal="right" vertical="center"/>
      <protection locked="0"/>
    </xf>
    <xf numFmtId="166" fontId="5" fillId="2" borderId="6" xfId="1" applyNumberFormat="1" applyFont="1" applyFill="1" applyBorder="1" applyAlignment="1" applyProtection="1">
      <alignment horizontal="right" vertical="center"/>
      <protection locked="0"/>
    </xf>
    <xf numFmtId="166" fontId="5" fillId="2" borderId="0" xfId="1" applyNumberFormat="1" applyFont="1" applyFill="1" applyBorder="1" applyAlignment="1" applyProtection="1">
      <alignment horizontal="right" vertical="center"/>
      <protection locked="0"/>
    </xf>
    <xf numFmtId="166" fontId="10" fillId="2" borderId="8" xfId="1" applyNumberFormat="1" applyFont="1" applyFill="1" applyBorder="1" applyAlignment="1" applyProtection="1">
      <alignment horizontal="right" vertical="center"/>
      <protection locked="0"/>
    </xf>
    <xf numFmtId="164" fontId="9" fillId="2" borderId="0" xfId="2" applyNumberFormat="1" applyFont="1" applyFill="1" applyBorder="1" applyAlignment="1" applyProtection="1">
      <alignment horizontal="center" vertical="center"/>
    </xf>
    <xf numFmtId="164" fontId="8" fillId="2" borderId="0" xfId="2" applyNumberFormat="1" applyFont="1" applyFill="1" applyBorder="1" applyAlignment="1" applyProtection="1">
      <alignment horizontal="center" vertical="center"/>
    </xf>
    <xf numFmtId="164" fontId="5" fillId="2" borderId="1" xfId="2" applyNumberFormat="1" applyFont="1" applyFill="1" applyBorder="1" applyAlignment="1" applyProtection="1">
      <alignment horizontal="left" vertical="center"/>
    </xf>
    <xf numFmtId="164" fontId="5" fillId="2" borderId="0" xfId="2" applyNumberFormat="1" applyFont="1" applyFill="1" applyBorder="1" applyAlignment="1" applyProtection="1">
      <alignment horizontal="left" vertical="center"/>
    </xf>
    <xf numFmtId="164" fontId="5" fillId="2" borderId="2" xfId="2" applyNumberFormat="1" applyFont="1" applyFill="1" applyBorder="1" applyAlignment="1" applyProtection="1">
      <alignment horizontal="left" vertical="center"/>
    </xf>
    <xf numFmtId="164" fontId="22" fillId="2" borderId="1" xfId="2" applyNumberFormat="1" applyFont="1" applyFill="1" applyBorder="1" applyAlignment="1">
      <alignment horizontal="right" vertical="center"/>
    </xf>
    <xf numFmtId="164" fontId="22" fillId="2" borderId="0" xfId="2" applyNumberFormat="1" applyFont="1" applyFill="1" applyBorder="1" applyAlignment="1">
      <alignment horizontal="right" vertical="center"/>
    </xf>
    <xf numFmtId="164" fontId="22" fillId="2" borderId="2" xfId="2" applyNumberFormat="1" applyFont="1" applyFill="1" applyBorder="1" applyAlignment="1">
      <alignment horizontal="right" vertical="center"/>
    </xf>
    <xf numFmtId="164" fontId="22" fillId="2" borderId="0" xfId="2" applyNumberFormat="1" applyFont="1" applyFill="1" applyAlignment="1">
      <alignment horizontal="center" vertical="center"/>
    </xf>
    <xf numFmtId="164" fontId="26" fillId="2" borderId="0" xfId="2" applyNumberFormat="1" applyFont="1" applyFill="1" applyAlignment="1">
      <alignment horizontal="center" vertical="center" wrapText="1"/>
    </xf>
    <xf numFmtId="164" fontId="30" fillId="2" borderId="1" xfId="2" applyNumberFormat="1" applyFont="1" applyFill="1" applyBorder="1" applyAlignment="1">
      <alignment horizontal="right" vertical="center"/>
    </xf>
    <xf numFmtId="164" fontId="30" fillId="2" borderId="1" xfId="2" applyNumberFormat="1" applyFont="1" applyFill="1" applyBorder="1" applyAlignment="1">
      <alignment vertical="center"/>
    </xf>
    <xf numFmtId="164" fontId="26" fillId="2" borderId="1" xfId="2" applyNumberFormat="1" applyFont="1" applyFill="1" applyBorder="1" applyAlignment="1">
      <alignment vertical="center"/>
    </xf>
    <xf numFmtId="164" fontId="5" fillId="2" borderId="0" xfId="2" applyNumberFormat="1" applyFont="1" applyFill="1" applyBorder="1" applyAlignment="1" applyProtection="1">
      <alignment horizontal="center" vertical="center"/>
      <protection locked="0"/>
    </xf>
    <xf numFmtId="164" fontId="5" fillId="2" borderId="9" xfId="2" applyNumberFormat="1" applyFont="1" applyFill="1" applyBorder="1" applyAlignment="1" applyProtection="1">
      <alignment horizontal="right" vertical="center"/>
      <protection locked="0"/>
    </xf>
    <xf numFmtId="165" fontId="5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Alignment="1" applyProtection="1">
      <alignment horizontal="right" vertical="center"/>
      <protection locked="0"/>
    </xf>
    <xf numFmtId="43" fontId="10" fillId="2" borderId="0" xfId="1" applyFont="1" applyFill="1" applyAlignment="1" applyProtection="1">
      <alignment horizontal="right" vertical="center"/>
      <protection locked="0"/>
    </xf>
    <xf numFmtId="41" fontId="10" fillId="2" borderId="0" xfId="16" applyNumberFormat="1" applyFont="1" applyFill="1" applyAlignment="1" applyProtection="1">
      <alignment horizontal="right" vertical="center"/>
      <protection locked="0"/>
    </xf>
    <xf numFmtId="170" fontId="10" fillId="2" borderId="0" xfId="16" applyNumberFormat="1" applyFont="1" applyFill="1" applyAlignment="1" applyProtection="1">
      <alignment horizontal="right" vertical="center"/>
      <protection locked="0"/>
    </xf>
    <xf numFmtId="165" fontId="10" fillId="2" borderId="0" xfId="2" applyNumberFormat="1" applyFont="1" applyFill="1" applyBorder="1" applyAlignment="1" applyProtection="1">
      <alignment horizontal="right" vertical="center"/>
      <protection locked="0"/>
    </xf>
    <xf numFmtId="165" fontId="5" fillId="2" borderId="0" xfId="2" applyNumberFormat="1" applyFont="1" applyFill="1" applyAlignment="1" applyProtection="1">
      <alignment horizontal="right" vertical="center"/>
      <protection locked="0"/>
    </xf>
    <xf numFmtId="165" fontId="10" fillId="2" borderId="0" xfId="2" applyNumberFormat="1" applyFont="1" applyFill="1" applyAlignment="1" applyProtection="1">
      <alignment horizontal="right" vertical="center"/>
    </xf>
    <xf numFmtId="165" fontId="10" fillId="2" borderId="0" xfId="2" applyNumberFormat="1" applyFont="1" applyFill="1" applyBorder="1" applyAlignment="1" applyProtection="1">
      <alignment horizontal="right" vertical="center"/>
    </xf>
    <xf numFmtId="165" fontId="5" fillId="2" borderId="0" xfId="2" applyNumberFormat="1" applyFont="1" applyFill="1" applyBorder="1" applyAlignment="1" applyProtection="1">
      <alignment horizontal="right" vertical="center"/>
    </xf>
    <xf numFmtId="41" fontId="31" fillId="2" borderId="3" xfId="16" applyNumberFormat="1" applyFont="1" applyFill="1" applyBorder="1" applyAlignment="1" applyProtection="1">
      <alignment horizontal="right" vertical="center"/>
      <protection locked="0"/>
    </xf>
    <xf numFmtId="170" fontId="31" fillId="2" borderId="3" xfId="16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Alignment="1">
      <alignment vertical="center"/>
    </xf>
  </cellXfs>
  <cellStyles count="17">
    <cellStyle name="Comma" xfId="1" builtinId="3"/>
    <cellStyle name="Comma 2" xfId="6"/>
    <cellStyle name="Comma 3" xfId="7"/>
    <cellStyle name="Comma 4" xfId="3"/>
    <cellStyle name="Comma 4 2" xfId="14"/>
    <cellStyle name="Comma 5" xfId="12"/>
    <cellStyle name="Comma 6" xfId="9"/>
    <cellStyle name="Comma_13 Public Finance_done" xfId="16"/>
    <cellStyle name="Excel Built-in Comma" xfId="5"/>
    <cellStyle name="Excel Built-in Normal" xfId="4"/>
    <cellStyle name="Normal" xfId="0" builtinId="0"/>
    <cellStyle name="Normal 2" xfId="10"/>
    <cellStyle name="Normal 2 2" xfId="13"/>
    <cellStyle name="Normal 3" xfId="11"/>
    <cellStyle name="Normal 4" xfId="8"/>
    <cellStyle name="Normal_13 Public Finance_done" xfId="2"/>
    <cellStyle name="Percent 2" xfId="15"/>
  </cellStyles>
  <dxfs count="0"/>
  <tableStyles count="0" defaultTableStyle="TableStyleMedium9" defaultPivotStyle="PivotStyleLight16"/>
  <colors>
    <mruColors>
      <color rgb="FF7DDFDD"/>
      <color rgb="FFFAC090"/>
      <color rgb="FFCC6600"/>
      <color rgb="FF953735"/>
      <color rgb="FFFCD5B5"/>
      <color rgb="FFFDEADA"/>
      <color rgb="FFFFCC00"/>
      <color rgb="FFFDEADB"/>
      <color rgb="FF00A8A4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27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9525" y="729615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9525" y="6781800"/>
          <a:ext cx="361950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27</xdr:row>
      <xdr:rowOff>0</xdr:rowOff>
    </xdr:from>
    <xdr:to>
      <xdr:col>1</xdr:col>
      <xdr:colOff>0</xdr:colOff>
      <xdr:row>27</xdr:row>
      <xdr:rowOff>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9525" y="6086475"/>
          <a:ext cx="37528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9525</xdr:colOff>
      <xdr:row>26</xdr:row>
      <xdr:rowOff>0</xdr:rowOff>
    </xdr:from>
    <xdr:to>
      <xdr:col>1</xdr:col>
      <xdr:colOff>0</xdr:colOff>
      <xdr:row>26</xdr:row>
      <xdr:rowOff>0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9525" y="5848350"/>
          <a:ext cx="375285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faisal.JUVENILE/AppData/Local/Microsoft/Windows/Temporary%20Internet%20Files/Content.Outlook/425EP8R6/Ha.%20Vashafaru%20Magistrate%20Court%20Budg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Users/ismail.riza/Desktop/budget/Budget%20Insert%20Shee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ofmv-my.sharepoint.com/National%20Budget/Budget%202012/PSIP/2012%20budget/C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Revenue Codes"/>
      <sheetName val="Business Area"/>
      <sheetName val="Coding Structure"/>
      <sheetName val="Program, policies, strategies "/>
      <sheetName val="Policy.Strategy"/>
      <sheetName val="Form 1"/>
      <sheetName val="Form 2"/>
      <sheetName val="Form2a "/>
      <sheetName val="6.01.01.01.001"/>
      <sheetName val="Form 4"/>
      <sheetName val="Form 5 P1(Capital)"/>
      <sheetName val="Form 5 P2(Recurrent)"/>
      <sheetName val="Form 6"/>
      <sheetName val="Form 7"/>
      <sheetName val="Form 8"/>
      <sheetName val="Form 9"/>
    </sheetNames>
    <sheetDataSet>
      <sheetData sheetId="0" refreshError="1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11">
          <cell r="N11">
            <v>0</v>
          </cell>
        </row>
      </sheetData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oding Instructions"/>
      <sheetName val="vlucodelist"/>
      <sheetName val="policies"/>
      <sheetName val="strats"/>
      <sheetName val="Business areas"/>
      <sheetName val="statlookup"/>
      <sheetName val="Policy.Strategy"/>
      <sheetName val="Sheet1"/>
      <sheetName val="Form 1"/>
      <sheetName val="Form 2"/>
      <sheetName val="Form2a "/>
      <sheetName val="Form 4"/>
      <sheetName val="Form4B"/>
      <sheetName val="Form 5"/>
      <sheetName val="Form 7"/>
      <sheetName val="Form 8"/>
      <sheetName val="Form 9"/>
      <sheetName val="Form 10"/>
      <sheetName val="Codelist"/>
      <sheetName val="Expenditure Codes"/>
      <sheetName val="Revenue Codes"/>
      <sheetName val="Budget"/>
      <sheetName val="Programs"/>
      <sheetName val="Salaries &amp; Wages"/>
      <sheetName val="Capital Details"/>
      <sheetName val="Exp Codes"/>
      <sheetName val="Rev Codes"/>
      <sheetName val="Mauloomath (2)"/>
    </sheetNames>
    <sheetDataSet>
      <sheetData sheetId="0" refreshError="1"/>
      <sheetData sheetId="1" refreshError="1"/>
      <sheetData sheetId="2"/>
      <sheetData sheetId="3"/>
      <sheetData sheetId="4" refreshError="1"/>
      <sheetData sheetId="5">
        <row r="1">
          <cell r="A1">
            <v>1001</v>
          </cell>
        </row>
        <row r="2">
          <cell r="A2">
            <v>1003</v>
          </cell>
        </row>
        <row r="3">
          <cell r="A3">
            <v>1005</v>
          </cell>
        </row>
        <row r="4">
          <cell r="A4">
            <v>1242</v>
          </cell>
        </row>
        <row r="5">
          <cell r="A5">
            <v>1247</v>
          </cell>
        </row>
        <row r="6">
          <cell r="A6">
            <v>1264</v>
          </cell>
        </row>
        <row r="7">
          <cell r="A7">
            <v>1248</v>
          </cell>
        </row>
        <row r="8">
          <cell r="A8">
            <v>1249</v>
          </cell>
        </row>
        <row r="9">
          <cell r="A9">
            <v>1251</v>
          </cell>
        </row>
        <row r="10">
          <cell r="A10">
            <v>1252</v>
          </cell>
        </row>
        <row r="11">
          <cell r="A11">
            <v>1253</v>
          </cell>
        </row>
        <row r="12">
          <cell r="A12">
            <v>1254</v>
          </cell>
        </row>
        <row r="13">
          <cell r="A13">
            <v>1255</v>
          </cell>
        </row>
        <row r="14">
          <cell r="A14">
            <v>1244</v>
          </cell>
        </row>
        <row r="15">
          <cell r="A15">
            <v>1256</v>
          </cell>
        </row>
        <row r="16">
          <cell r="A16">
            <v>1246</v>
          </cell>
        </row>
        <row r="17">
          <cell r="A17">
            <v>1245</v>
          </cell>
        </row>
        <row r="18">
          <cell r="A18">
            <v>1243</v>
          </cell>
        </row>
        <row r="19">
          <cell r="A19">
            <v>1257</v>
          </cell>
        </row>
        <row r="20">
          <cell r="A20">
            <v>1258</v>
          </cell>
        </row>
        <row r="21">
          <cell r="A21">
            <v>1009</v>
          </cell>
        </row>
        <row r="22">
          <cell r="A22">
            <v>1262</v>
          </cell>
        </row>
        <row r="23">
          <cell r="A23">
            <v>1222</v>
          </cell>
        </row>
        <row r="24">
          <cell r="A24">
            <v>1275</v>
          </cell>
        </row>
        <row r="25">
          <cell r="A25">
            <v>1272</v>
          </cell>
        </row>
        <row r="26">
          <cell r="A26">
            <v>1478</v>
          </cell>
        </row>
        <row r="27">
          <cell r="A27">
            <v>1270</v>
          </cell>
        </row>
        <row r="28">
          <cell r="A28">
            <v>1006</v>
          </cell>
        </row>
        <row r="29">
          <cell r="A29">
            <v>1265</v>
          </cell>
        </row>
        <row r="30">
          <cell r="A30">
            <v>1007</v>
          </cell>
        </row>
        <row r="31">
          <cell r="A31">
            <v>1273</v>
          </cell>
        </row>
        <row r="32">
          <cell r="A32">
            <v>1008</v>
          </cell>
        </row>
        <row r="33">
          <cell r="A33">
            <v>1010</v>
          </cell>
        </row>
        <row r="34">
          <cell r="A34">
            <v>1011</v>
          </cell>
        </row>
        <row r="35">
          <cell r="A35">
            <v>1012</v>
          </cell>
        </row>
        <row r="36">
          <cell r="A36">
            <v>1013</v>
          </cell>
        </row>
        <row r="37">
          <cell r="A37">
            <v>1015</v>
          </cell>
        </row>
        <row r="38">
          <cell r="A38">
            <v>1016</v>
          </cell>
        </row>
        <row r="39">
          <cell r="A39">
            <v>1017</v>
          </cell>
        </row>
        <row r="40">
          <cell r="A40">
            <v>1018</v>
          </cell>
        </row>
        <row r="41">
          <cell r="A41">
            <v>1019</v>
          </cell>
        </row>
        <row r="42">
          <cell r="A42">
            <v>1020</v>
          </cell>
        </row>
        <row r="43">
          <cell r="A43">
            <v>1021</v>
          </cell>
        </row>
        <row r="44">
          <cell r="A44">
            <v>1022</v>
          </cell>
        </row>
        <row r="45">
          <cell r="A45">
            <v>1023</v>
          </cell>
        </row>
        <row r="46">
          <cell r="A46">
            <v>1024</v>
          </cell>
        </row>
        <row r="47">
          <cell r="A47">
            <v>1026</v>
          </cell>
        </row>
        <row r="48">
          <cell r="A48">
            <v>1027</v>
          </cell>
        </row>
        <row r="49">
          <cell r="A49">
            <v>1029</v>
          </cell>
        </row>
        <row r="50">
          <cell r="A50">
            <v>1030</v>
          </cell>
        </row>
        <row r="51">
          <cell r="A51">
            <v>1031</v>
          </cell>
        </row>
        <row r="52">
          <cell r="A52">
            <v>1032</v>
          </cell>
        </row>
        <row r="53">
          <cell r="A53">
            <v>1025</v>
          </cell>
        </row>
        <row r="54">
          <cell r="A54">
            <v>1259</v>
          </cell>
        </row>
        <row r="55">
          <cell r="A55">
            <v>1033</v>
          </cell>
        </row>
        <row r="56">
          <cell r="A56">
            <v>1034</v>
          </cell>
        </row>
        <row r="57">
          <cell r="A57">
            <v>1035</v>
          </cell>
        </row>
        <row r="58">
          <cell r="A58">
            <v>1028</v>
          </cell>
        </row>
        <row r="59">
          <cell r="A59">
            <v>1036</v>
          </cell>
        </row>
        <row r="60">
          <cell r="A60">
            <v>1037</v>
          </cell>
        </row>
        <row r="61">
          <cell r="A61">
            <v>1038</v>
          </cell>
        </row>
        <row r="62">
          <cell r="A62">
            <v>1039</v>
          </cell>
        </row>
        <row r="63">
          <cell r="A63">
            <v>1143</v>
          </cell>
        </row>
        <row r="64">
          <cell r="A64">
            <v>1040</v>
          </cell>
        </row>
        <row r="65">
          <cell r="A65">
            <v>1041</v>
          </cell>
        </row>
        <row r="66">
          <cell r="A66">
            <v>1042</v>
          </cell>
        </row>
        <row r="67">
          <cell r="A67">
            <v>1043</v>
          </cell>
        </row>
        <row r="68">
          <cell r="A68">
            <v>1193</v>
          </cell>
        </row>
        <row r="69">
          <cell r="A69">
            <v>1044</v>
          </cell>
        </row>
        <row r="70">
          <cell r="A70">
            <v>1045</v>
          </cell>
        </row>
        <row r="71">
          <cell r="A71">
            <v>1046</v>
          </cell>
        </row>
        <row r="72">
          <cell r="A72">
            <v>1223</v>
          </cell>
        </row>
        <row r="73">
          <cell r="A73">
            <v>1047</v>
          </cell>
        </row>
        <row r="74">
          <cell r="A74">
            <v>1048</v>
          </cell>
        </row>
        <row r="75">
          <cell r="A75">
            <v>1225</v>
          </cell>
        </row>
        <row r="76">
          <cell r="A76">
            <v>1049</v>
          </cell>
        </row>
        <row r="77">
          <cell r="A77">
            <v>1050</v>
          </cell>
        </row>
        <row r="78">
          <cell r="A78">
            <v>1260</v>
          </cell>
        </row>
        <row r="79">
          <cell r="A79">
            <v>1051</v>
          </cell>
        </row>
        <row r="80">
          <cell r="A80">
            <v>1052</v>
          </cell>
        </row>
        <row r="81">
          <cell r="A81">
            <v>1053</v>
          </cell>
        </row>
        <row r="82">
          <cell r="A82">
            <v>1055</v>
          </cell>
        </row>
        <row r="83">
          <cell r="A83">
            <v>1056</v>
          </cell>
        </row>
        <row r="84">
          <cell r="A84">
            <v>1058</v>
          </cell>
        </row>
        <row r="85">
          <cell r="A85">
            <v>1059</v>
          </cell>
        </row>
        <row r="86">
          <cell r="A86">
            <v>1060</v>
          </cell>
        </row>
        <row r="87">
          <cell r="A87">
            <v>1061</v>
          </cell>
        </row>
        <row r="88">
          <cell r="A88">
            <v>1062</v>
          </cell>
        </row>
        <row r="89">
          <cell r="A89">
            <v>1063</v>
          </cell>
        </row>
        <row r="90">
          <cell r="A90">
            <v>1064</v>
          </cell>
        </row>
        <row r="91">
          <cell r="A91">
            <v>1065</v>
          </cell>
        </row>
        <row r="92">
          <cell r="A92">
            <v>1066</v>
          </cell>
        </row>
        <row r="93">
          <cell r="A93">
            <v>1067</v>
          </cell>
        </row>
        <row r="94">
          <cell r="A94">
            <v>1261</v>
          </cell>
        </row>
        <row r="95">
          <cell r="A95">
            <v>1068</v>
          </cell>
        </row>
        <row r="96">
          <cell r="A96">
            <v>1069</v>
          </cell>
        </row>
        <row r="97">
          <cell r="A97">
            <v>1070</v>
          </cell>
        </row>
        <row r="98">
          <cell r="A98">
            <v>1071</v>
          </cell>
        </row>
        <row r="99">
          <cell r="A99">
            <v>1072</v>
          </cell>
        </row>
        <row r="100">
          <cell r="A100">
            <v>1073</v>
          </cell>
        </row>
        <row r="101">
          <cell r="A101">
            <v>1074</v>
          </cell>
        </row>
        <row r="102">
          <cell r="A102">
            <v>1075</v>
          </cell>
        </row>
        <row r="103">
          <cell r="A103">
            <v>1076</v>
          </cell>
        </row>
        <row r="104">
          <cell r="A104">
            <v>1077</v>
          </cell>
        </row>
        <row r="105">
          <cell r="A105">
            <v>1078</v>
          </cell>
        </row>
        <row r="106">
          <cell r="A106">
            <v>1079</v>
          </cell>
        </row>
        <row r="107">
          <cell r="A107">
            <v>1080</v>
          </cell>
        </row>
        <row r="108">
          <cell r="A108">
            <v>1081</v>
          </cell>
        </row>
        <row r="109">
          <cell r="A109">
            <v>1082</v>
          </cell>
        </row>
        <row r="110">
          <cell r="A110">
            <v>1083</v>
          </cell>
        </row>
        <row r="111">
          <cell r="A111">
            <v>1084</v>
          </cell>
        </row>
        <row r="112">
          <cell r="A112">
            <v>1085</v>
          </cell>
        </row>
        <row r="113">
          <cell r="A113">
            <v>1086</v>
          </cell>
        </row>
        <row r="114">
          <cell r="A114">
            <v>1087</v>
          </cell>
        </row>
        <row r="115">
          <cell r="A115">
            <v>1088</v>
          </cell>
        </row>
        <row r="116">
          <cell r="A116">
            <v>1089</v>
          </cell>
        </row>
        <row r="117">
          <cell r="A117">
            <v>1090</v>
          </cell>
        </row>
        <row r="118">
          <cell r="A118">
            <v>1091</v>
          </cell>
        </row>
        <row r="119">
          <cell r="A119">
            <v>1092</v>
          </cell>
        </row>
        <row r="120">
          <cell r="A120">
            <v>1093</v>
          </cell>
        </row>
        <row r="121">
          <cell r="A121">
            <v>1094</v>
          </cell>
        </row>
        <row r="122">
          <cell r="A122">
            <v>1095</v>
          </cell>
        </row>
        <row r="123">
          <cell r="A123">
            <v>1096</v>
          </cell>
        </row>
        <row r="124">
          <cell r="A124">
            <v>1097</v>
          </cell>
        </row>
        <row r="125">
          <cell r="A125">
            <v>1098</v>
          </cell>
        </row>
        <row r="126">
          <cell r="A126">
            <v>1099</v>
          </cell>
        </row>
        <row r="127">
          <cell r="A127">
            <v>1100</v>
          </cell>
        </row>
        <row r="128">
          <cell r="A128">
            <v>1101</v>
          </cell>
        </row>
        <row r="129">
          <cell r="A129">
            <v>1102</v>
          </cell>
        </row>
        <row r="130">
          <cell r="A130">
            <v>1103</v>
          </cell>
        </row>
        <row r="131">
          <cell r="A131">
            <v>1104</v>
          </cell>
        </row>
        <row r="132">
          <cell r="A132">
            <v>1105</v>
          </cell>
        </row>
        <row r="133">
          <cell r="A133">
            <v>1106</v>
          </cell>
        </row>
        <row r="134">
          <cell r="A134">
            <v>1107</v>
          </cell>
        </row>
        <row r="135">
          <cell r="A135">
            <v>1108</v>
          </cell>
        </row>
        <row r="136">
          <cell r="A136">
            <v>1109</v>
          </cell>
        </row>
        <row r="137">
          <cell r="A137">
            <v>1110</v>
          </cell>
        </row>
        <row r="138">
          <cell r="A138">
            <v>1111</v>
          </cell>
        </row>
        <row r="139">
          <cell r="A139">
            <v>1112</v>
          </cell>
        </row>
        <row r="140">
          <cell r="A140">
            <v>1113</v>
          </cell>
        </row>
        <row r="141">
          <cell r="A141">
            <v>1114</v>
          </cell>
        </row>
        <row r="142">
          <cell r="A142">
            <v>1115</v>
          </cell>
        </row>
        <row r="143">
          <cell r="A143">
            <v>1116</v>
          </cell>
        </row>
        <row r="144">
          <cell r="A144">
            <v>1117</v>
          </cell>
        </row>
        <row r="145">
          <cell r="A145">
            <v>1118</v>
          </cell>
        </row>
        <row r="146">
          <cell r="A146">
            <v>1119</v>
          </cell>
        </row>
        <row r="147">
          <cell r="A147">
            <v>1120</v>
          </cell>
        </row>
        <row r="148">
          <cell r="A148">
            <v>1121</v>
          </cell>
        </row>
        <row r="149">
          <cell r="A149">
            <v>1122</v>
          </cell>
        </row>
        <row r="150">
          <cell r="A150">
            <v>1123</v>
          </cell>
        </row>
        <row r="151">
          <cell r="A151">
            <v>1124</v>
          </cell>
        </row>
        <row r="152">
          <cell r="A152">
            <v>1125</v>
          </cell>
        </row>
        <row r="153">
          <cell r="A153">
            <v>1126</v>
          </cell>
        </row>
        <row r="154">
          <cell r="A154">
            <v>1268</v>
          </cell>
        </row>
        <row r="155">
          <cell r="A155">
            <v>1002</v>
          </cell>
        </row>
        <row r="156">
          <cell r="A156">
            <v>1127</v>
          </cell>
        </row>
        <row r="157">
          <cell r="A157">
            <v>1128</v>
          </cell>
        </row>
        <row r="158">
          <cell r="A158">
            <v>1129</v>
          </cell>
        </row>
        <row r="159">
          <cell r="A159">
            <v>1266</v>
          </cell>
        </row>
        <row r="160">
          <cell r="A160">
            <v>1130</v>
          </cell>
        </row>
        <row r="161">
          <cell r="A161">
            <v>1131</v>
          </cell>
        </row>
        <row r="162">
          <cell r="A162">
            <v>1132</v>
          </cell>
        </row>
        <row r="163">
          <cell r="A163">
            <v>1133</v>
          </cell>
        </row>
        <row r="164">
          <cell r="A164">
            <v>1134</v>
          </cell>
        </row>
        <row r="165">
          <cell r="A165">
            <v>1135</v>
          </cell>
        </row>
        <row r="166">
          <cell r="A166">
            <v>1136</v>
          </cell>
        </row>
        <row r="167">
          <cell r="A167">
            <v>1137</v>
          </cell>
        </row>
        <row r="168">
          <cell r="A168">
            <v>1138</v>
          </cell>
        </row>
        <row r="169">
          <cell r="A169">
            <v>1139</v>
          </cell>
        </row>
        <row r="170">
          <cell r="A170">
            <v>1140</v>
          </cell>
        </row>
        <row r="171">
          <cell r="A171">
            <v>1141</v>
          </cell>
        </row>
        <row r="172">
          <cell r="A172">
            <v>1142</v>
          </cell>
        </row>
        <row r="173">
          <cell r="A173">
            <v>1263</v>
          </cell>
        </row>
        <row r="174">
          <cell r="A174">
            <v>1267</v>
          </cell>
        </row>
        <row r="175">
          <cell r="A175">
            <v>1144</v>
          </cell>
        </row>
        <row r="176">
          <cell r="A176">
            <v>1145</v>
          </cell>
        </row>
        <row r="177">
          <cell r="A177">
            <v>1147</v>
          </cell>
        </row>
        <row r="178">
          <cell r="A178">
            <v>1148</v>
          </cell>
        </row>
        <row r="179">
          <cell r="A179">
            <v>1149</v>
          </cell>
        </row>
        <row r="180">
          <cell r="A180">
            <v>1150</v>
          </cell>
        </row>
        <row r="181">
          <cell r="A181">
            <v>1151</v>
          </cell>
        </row>
        <row r="182">
          <cell r="A182">
            <v>1152</v>
          </cell>
        </row>
        <row r="183">
          <cell r="A183">
            <v>1153</v>
          </cell>
        </row>
        <row r="184">
          <cell r="A184">
            <v>1154</v>
          </cell>
        </row>
        <row r="185">
          <cell r="A185">
            <v>1155</v>
          </cell>
        </row>
        <row r="186">
          <cell r="A186">
            <v>1157</v>
          </cell>
        </row>
        <row r="187">
          <cell r="A187">
            <v>1158</v>
          </cell>
        </row>
        <row r="188">
          <cell r="A188">
            <v>1159</v>
          </cell>
        </row>
        <row r="189">
          <cell r="A189">
            <v>1160</v>
          </cell>
        </row>
        <row r="190">
          <cell r="A190">
            <v>1161</v>
          </cell>
        </row>
        <row r="191">
          <cell r="A191">
            <v>1162</v>
          </cell>
        </row>
        <row r="192">
          <cell r="A192">
            <v>1163</v>
          </cell>
        </row>
        <row r="193">
          <cell r="A193">
            <v>1164</v>
          </cell>
        </row>
        <row r="194">
          <cell r="A194">
            <v>1167</v>
          </cell>
        </row>
        <row r="195">
          <cell r="A195">
            <v>1168</v>
          </cell>
        </row>
        <row r="196">
          <cell r="A196">
            <v>1169</v>
          </cell>
        </row>
        <row r="197">
          <cell r="A197">
            <v>1170</v>
          </cell>
        </row>
        <row r="198">
          <cell r="A198">
            <v>1171</v>
          </cell>
        </row>
        <row r="199">
          <cell r="A199">
            <v>1172</v>
          </cell>
        </row>
        <row r="200">
          <cell r="A200">
            <v>1173</v>
          </cell>
        </row>
        <row r="201">
          <cell r="A201">
            <v>1174</v>
          </cell>
        </row>
        <row r="202">
          <cell r="A202">
            <v>1175</v>
          </cell>
        </row>
        <row r="203">
          <cell r="A203">
            <v>1176</v>
          </cell>
        </row>
        <row r="204">
          <cell r="A204">
            <v>1177</v>
          </cell>
        </row>
        <row r="205">
          <cell r="A205">
            <v>1178</v>
          </cell>
        </row>
        <row r="206">
          <cell r="A206">
            <v>1179</v>
          </cell>
        </row>
        <row r="207">
          <cell r="A207">
            <v>1180</v>
          </cell>
        </row>
        <row r="208">
          <cell r="A208">
            <v>1181</v>
          </cell>
        </row>
        <row r="209">
          <cell r="A209">
            <v>1182</v>
          </cell>
        </row>
        <row r="210">
          <cell r="A210">
            <v>1183</v>
          </cell>
        </row>
        <row r="211">
          <cell r="A211">
            <v>1184</v>
          </cell>
        </row>
        <row r="212">
          <cell r="A212">
            <v>1185</v>
          </cell>
        </row>
        <row r="213">
          <cell r="A213">
            <v>1189</v>
          </cell>
        </row>
        <row r="214">
          <cell r="A214">
            <v>1190</v>
          </cell>
        </row>
        <row r="215">
          <cell r="A215">
            <v>1191</v>
          </cell>
        </row>
        <row r="216">
          <cell r="A216">
            <v>1192</v>
          </cell>
        </row>
        <row r="217">
          <cell r="A217">
            <v>1194</v>
          </cell>
        </row>
        <row r="218">
          <cell r="A218">
            <v>1195</v>
          </cell>
        </row>
        <row r="219">
          <cell r="A219">
            <v>1196</v>
          </cell>
        </row>
        <row r="220">
          <cell r="A220">
            <v>1197</v>
          </cell>
        </row>
        <row r="221">
          <cell r="A221">
            <v>1198</v>
          </cell>
        </row>
        <row r="222">
          <cell r="A222">
            <v>1199</v>
          </cell>
        </row>
        <row r="223">
          <cell r="A223">
            <v>1201</v>
          </cell>
        </row>
        <row r="224">
          <cell r="A224">
            <v>1202</v>
          </cell>
        </row>
        <row r="225">
          <cell r="A225">
            <v>1204</v>
          </cell>
        </row>
        <row r="226">
          <cell r="A226">
            <v>1205</v>
          </cell>
        </row>
        <row r="227">
          <cell r="A227">
            <v>1206</v>
          </cell>
        </row>
        <row r="228">
          <cell r="A228">
            <v>1207</v>
          </cell>
        </row>
        <row r="229">
          <cell r="A229">
            <v>1210</v>
          </cell>
        </row>
        <row r="230">
          <cell r="A230">
            <v>1211</v>
          </cell>
        </row>
        <row r="231">
          <cell r="A231">
            <v>1212</v>
          </cell>
        </row>
        <row r="232">
          <cell r="A232">
            <v>1213</v>
          </cell>
        </row>
        <row r="233">
          <cell r="A233">
            <v>1271</v>
          </cell>
        </row>
        <row r="234">
          <cell r="A234">
            <v>1215</v>
          </cell>
        </row>
        <row r="235">
          <cell r="A235">
            <v>1216</v>
          </cell>
        </row>
        <row r="236">
          <cell r="A236">
            <v>1218</v>
          </cell>
        </row>
        <row r="237">
          <cell r="A237">
            <v>1220</v>
          </cell>
        </row>
        <row r="238">
          <cell r="A238">
            <v>1004</v>
          </cell>
        </row>
        <row r="239">
          <cell r="A239">
            <v>1224</v>
          </cell>
        </row>
        <row r="240">
          <cell r="A240">
            <v>1227</v>
          </cell>
        </row>
        <row r="241">
          <cell r="A241">
            <v>1228</v>
          </cell>
        </row>
        <row r="242">
          <cell r="A242">
            <v>1229</v>
          </cell>
        </row>
        <row r="243">
          <cell r="A243">
            <v>1230</v>
          </cell>
        </row>
        <row r="244">
          <cell r="A244">
            <v>1231</v>
          </cell>
        </row>
        <row r="245">
          <cell r="A245">
            <v>1014</v>
          </cell>
        </row>
        <row r="246">
          <cell r="A246">
            <v>1233</v>
          </cell>
        </row>
        <row r="247">
          <cell r="A247">
            <v>1236</v>
          </cell>
        </row>
        <row r="248">
          <cell r="A248">
            <v>1237</v>
          </cell>
        </row>
        <row r="249">
          <cell r="A249">
            <v>1238</v>
          </cell>
        </row>
        <row r="250">
          <cell r="A250">
            <v>1239</v>
          </cell>
        </row>
        <row r="251">
          <cell r="A251">
            <v>1226</v>
          </cell>
        </row>
        <row r="252">
          <cell r="A252">
            <v>1232</v>
          </cell>
        </row>
        <row r="253">
          <cell r="A253">
            <v>1240</v>
          </cell>
        </row>
        <row r="254">
          <cell r="A254">
            <v>1250</v>
          </cell>
        </row>
        <row r="255">
          <cell r="A255">
            <v>1241</v>
          </cell>
        </row>
        <row r="256">
          <cell r="A256">
            <v>1276</v>
          </cell>
        </row>
        <row r="257">
          <cell r="A257">
            <v>1274</v>
          </cell>
        </row>
        <row r="258">
          <cell r="A258">
            <v>1269</v>
          </cell>
        </row>
        <row r="259">
          <cell r="A259">
            <v>1477</v>
          </cell>
        </row>
        <row r="260">
          <cell r="A260">
            <v>1277</v>
          </cell>
        </row>
        <row r="261">
          <cell r="A261">
            <v>1281</v>
          </cell>
        </row>
        <row r="262">
          <cell r="A262">
            <v>1280</v>
          </cell>
        </row>
        <row r="263">
          <cell r="A263">
            <v>1282</v>
          </cell>
        </row>
        <row r="264">
          <cell r="A264">
            <v>1283</v>
          </cell>
        </row>
        <row r="265">
          <cell r="A265">
            <v>1284</v>
          </cell>
        </row>
        <row r="266">
          <cell r="A266">
            <v>1285</v>
          </cell>
        </row>
        <row r="267">
          <cell r="A267">
            <v>1286</v>
          </cell>
        </row>
        <row r="268">
          <cell r="A268">
            <v>1287</v>
          </cell>
        </row>
        <row r="269">
          <cell r="A269">
            <v>1288</v>
          </cell>
        </row>
        <row r="270">
          <cell r="A270">
            <v>1289</v>
          </cell>
        </row>
        <row r="271">
          <cell r="A271">
            <v>1290</v>
          </cell>
        </row>
        <row r="272">
          <cell r="A272">
            <v>1291</v>
          </cell>
        </row>
        <row r="273">
          <cell r="A273">
            <v>1292</v>
          </cell>
        </row>
        <row r="274">
          <cell r="A274">
            <v>1293</v>
          </cell>
        </row>
        <row r="275">
          <cell r="A275">
            <v>1294</v>
          </cell>
        </row>
        <row r="276">
          <cell r="A276">
            <v>1295</v>
          </cell>
        </row>
        <row r="277">
          <cell r="A277">
            <v>1296</v>
          </cell>
        </row>
        <row r="278">
          <cell r="A278">
            <v>1297</v>
          </cell>
        </row>
        <row r="279">
          <cell r="A279">
            <v>1298</v>
          </cell>
        </row>
        <row r="280">
          <cell r="A280">
            <v>1299</v>
          </cell>
        </row>
        <row r="281">
          <cell r="A281">
            <v>1300</v>
          </cell>
        </row>
        <row r="282">
          <cell r="A282">
            <v>1301</v>
          </cell>
        </row>
        <row r="283">
          <cell r="A283">
            <v>1302</v>
          </cell>
        </row>
        <row r="284">
          <cell r="A284">
            <v>1303</v>
          </cell>
        </row>
        <row r="285">
          <cell r="A285">
            <v>1304</v>
          </cell>
        </row>
        <row r="286">
          <cell r="A286">
            <v>1305</v>
          </cell>
        </row>
        <row r="287">
          <cell r="A287">
            <v>1306</v>
          </cell>
        </row>
        <row r="288">
          <cell r="A288">
            <v>1307</v>
          </cell>
        </row>
        <row r="289">
          <cell r="A289">
            <v>1308</v>
          </cell>
        </row>
        <row r="290">
          <cell r="A290">
            <v>1309</v>
          </cell>
        </row>
        <row r="291">
          <cell r="A291">
            <v>1310</v>
          </cell>
        </row>
        <row r="292">
          <cell r="A292">
            <v>1311</v>
          </cell>
        </row>
        <row r="293">
          <cell r="A293">
            <v>1312</v>
          </cell>
        </row>
        <row r="294">
          <cell r="A294">
            <v>1313</v>
          </cell>
        </row>
        <row r="295">
          <cell r="A295">
            <v>1314</v>
          </cell>
        </row>
        <row r="296">
          <cell r="A296">
            <v>1315</v>
          </cell>
        </row>
        <row r="297">
          <cell r="A297">
            <v>1316</v>
          </cell>
        </row>
        <row r="298">
          <cell r="A298">
            <v>1317</v>
          </cell>
        </row>
        <row r="299">
          <cell r="A299">
            <v>1318</v>
          </cell>
        </row>
        <row r="300">
          <cell r="A300">
            <v>1319</v>
          </cell>
        </row>
        <row r="301">
          <cell r="A301">
            <v>1320</v>
          </cell>
        </row>
        <row r="302">
          <cell r="A302">
            <v>1321</v>
          </cell>
        </row>
        <row r="303">
          <cell r="A303">
            <v>1322</v>
          </cell>
        </row>
        <row r="304">
          <cell r="A304">
            <v>1323</v>
          </cell>
        </row>
        <row r="305">
          <cell r="A305">
            <v>1324</v>
          </cell>
        </row>
        <row r="306">
          <cell r="A306">
            <v>1325</v>
          </cell>
        </row>
        <row r="307">
          <cell r="A307">
            <v>1326</v>
          </cell>
        </row>
        <row r="308">
          <cell r="A308">
            <v>1327</v>
          </cell>
        </row>
        <row r="309">
          <cell r="A309">
            <v>1328</v>
          </cell>
        </row>
        <row r="310">
          <cell r="A310">
            <v>1329</v>
          </cell>
        </row>
        <row r="311">
          <cell r="A311">
            <v>1330</v>
          </cell>
        </row>
        <row r="312">
          <cell r="A312">
            <v>1331</v>
          </cell>
        </row>
        <row r="313">
          <cell r="A313">
            <v>1332</v>
          </cell>
        </row>
        <row r="314">
          <cell r="A314">
            <v>1333</v>
          </cell>
        </row>
        <row r="315">
          <cell r="A315">
            <v>1334</v>
          </cell>
        </row>
        <row r="316">
          <cell r="A316">
            <v>1335</v>
          </cell>
        </row>
        <row r="317">
          <cell r="A317">
            <v>1336</v>
          </cell>
        </row>
        <row r="318">
          <cell r="A318">
            <v>1337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 Instructions"/>
      <sheetName val="Expenditure Codes"/>
      <sheetName val="Business Area"/>
      <sheetName val="Coding Structure"/>
      <sheetName val="Program, policies, strategies "/>
      <sheetName val="Policy.Strategy "/>
      <sheetName val="Form 1"/>
      <sheetName val="1.02.01.01.001"/>
      <sheetName val="1.02.01.01.002"/>
      <sheetName val="1.02.01.01.003"/>
      <sheetName val="1.02.07.01.001"/>
      <sheetName val="1.02.07.02.001"/>
      <sheetName val="1.02.07.03.001"/>
      <sheetName val="1.02.07.03.002"/>
      <sheetName val="1.02.07.03.003"/>
      <sheetName val="1.02.07.03.004"/>
      <sheetName val="1.02.07.03.005"/>
      <sheetName val="4.06.03.04.001"/>
      <sheetName val="4.06.03.04.002"/>
      <sheetName val="4.06.03.04.003"/>
      <sheetName val="4.06.03.04.004"/>
      <sheetName val="4.06.03.04.005"/>
      <sheetName val="4.06.03.04.006"/>
      <sheetName val="4.06.03.04.007"/>
      <sheetName val="4.06.03.04.008"/>
      <sheetName val="4.06.03.04.009"/>
      <sheetName val="4.06.03.04.010"/>
      <sheetName val="4.06.03.04.011"/>
      <sheetName val="4.06.03.04.012"/>
      <sheetName val="4.07.01.03.001"/>
      <sheetName val="4.08.01.02.001"/>
      <sheetName val="4.08.03.03.001"/>
      <sheetName val="Form 4"/>
      <sheetName val="Form 5 P1(Capital)1.02.01.01.1"/>
      <sheetName val="Form 5 P1(Capital)1.02.01.01.2"/>
      <sheetName val="Form 5 P1(Capital)1.02.01.01.5"/>
      <sheetName val="Form 5 P1(Capital)4.07.01.03.1"/>
      <sheetName val="Form 9"/>
      <sheetName val="Form 5 P2(Recurrent)"/>
      <sheetName val="Form 2"/>
      <sheetName val="Form2a "/>
      <sheetName val="Form 6"/>
      <sheetName val="Form 7"/>
      <sheetName val="Form 8"/>
      <sheetName val="Revenue Codes"/>
      <sheetName val="Business areas"/>
    </sheetNames>
    <sheetDataSet>
      <sheetData sheetId="0"/>
      <sheetData sheetId="1">
        <row r="86">
          <cell r="B86" t="str">
            <v>224 022</v>
          </cell>
        </row>
        <row r="87">
          <cell r="B87" t="str">
            <v>224 999</v>
          </cell>
        </row>
        <row r="88">
          <cell r="B88" t="str">
            <v>225 001</v>
          </cell>
        </row>
        <row r="89">
          <cell r="B89" t="str">
            <v>225 002</v>
          </cell>
        </row>
        <row r="90">
          <cell r="B90" t="str">
            <v>225 003</v>
          </cell>
        </row>
        <row r="91">
          <cell r="B91" t="str">
            <v>225 004</v>
          </cell>
        </row>
        <row r="92">
          <cell r="B92" t="str">
            <v>225 005</v>
          </cell>
        </row>
        <row r="93">
          <cell r="B93" t="str">
            <v>225 006</v>
          </cell>
        </row>
        <row r="94">
          <cell r="B94" t="str">
            <v>226 001</v>
          </cell>
        </row>
        <row r="95">
          <cell r="B95" t="str">
            <v>226 002</v>
          </cell>
        </row>
        <row r="96">
          <cell r="B96" t="str">
            <v>226 003</v>
          </cell>
        </row>
        <row r="97">
          <cell r="B97" t="str">
            <v>226 004</v>
          </cell>
        </row>
        <row r="98">
          <cell r="B98" t="str">
            <v>226 005</v>
          </cell>
        </row>
        <row r="99">
          <cell r="B99" t="str">
            <v>226 006</v>
          </cell>
        </row>
        <row r="100">
          <cell r="B100" t="str">
            <v>226 007</v>
          </cell>
        </row>
        <row r="101">
          <cell r="B101" t="str">
            <v>226 008</v>
          </cell>
        </row>
        <row r="102">
          <cell r="B102" t="str">
            <v>226 009</v>
          </cell>
        </row>
        <row r="103">
          <cell r="B103" t="str">
            <v>226 010</v>
          </cell>
        </row>
        <row r="104">
          <cell r="B104" t="str">
            <v>226 011</v>
          </cell>
        </row>
        <row r="105">
          <cell r="B105" t="str">
            <v>226 012</v>
          </cell>
        </row>
        <row r="106">
          <cell r="B106" t="str">
            <v>226 013</v>
          </cell>
        </row>
        <row r="107">
          <cell r="B107" t="str">
            <v>226 014</v>
          </cell>
        </row>
        <row r="108">
          <cell r="B108" t="str">
            <v>226 015</v>
          </cell>
        </row>
        <row r="109">
          <cell r="B109" t="str">
            <v>226 016</v>
          </cell>
        </row>
        <row r="110">
          <cell r="B110" t="str">
            <v>226 017</v>
          </cell>
        </row>
        <row r="111">
          <cell r="B111" t="str">
            <v>226 018</v>
          </cell>
        </row>
        <row r="112">
          <cell r="B112" t="str">
            <v>227 001</v>
          </cell>
        </row>
        <row r="113">
          <cell r="B113" t="str">
            <v>227 002</v>
          </cell>
        </row>
        <row r="114">
          <cell r="B114" t="str">
            <v>227 003</v>
          </cell>
        </row>
        <row r="115">
          <cell r="B115" t="str">
            <v>228 001</v>
          </cell>
        </row>
        <row r="116">
          <cell r="B116" t="str">
            <v>228 002</v>
          </cell>
        </row>
        <row r="117">
          <cell r="B117" t="str">
            <v>228 003</v>
          </cell>
        </row>
        <row r="118">
          <cell r="B118" t="str">
            <v>228 004</v>
          </cell>
        </row>
        <row r="119">
          <cell r="B119" t="str">
            <v>228 005</v>
          </cell>
        </row>
        <row r="120">
          <cell r="B120" t="str">
            <v>228 006</v>
          </cell>
        </row>
        <row r="121">
          <cell r="B121" t="str">
            <v>228 007</v>
          </cell>
        </row>
        <row r="122">
          <cell r="B122" t="str">
            <v>228 008</v>
          </cell>
        </row>
        <row r="123">
          <cell r="B123" t="str">
            <v>228 009</v>
          </cell>
        </row>
        <row r="124">
          <cell r="B124" t="str">
            <v>228 010</v>
          </cell>
        </row>
        <row r="125">
          <cell r="B125" t="str">
            <v>228 999</v>
          </cell>
        </row>
        <row r="126">
          <cell r="B126" t="str">
            <v>281 001</v>
          </cell>
        </row>
        <row r="127">
          <cell r="B127" t="str">
            <v>281 002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35"/>
  <sheetViews>
    <sheetView tabSelected="1" zoomScale="112" zoomScaleNormal="112" zoomScaleSheetLayoutView="100" workbookViewId="0">
      <selection activeCell="K15" sqref="K15"/>
    </sheetView>
  </sheetViews>
  <sheetFormatPr defaultColWidth="9.140625" defaultRowHeight="12.75"/>
  <cols>
    <col min="1" max="1" width="56.42578125" style="4" customWidth="1"/>
    <col min="2" max="2" width="7.85546875" style="4" hidden="1" customWidth="1"/>
    <col min="3" max="4" width="10.42578125" style="4" hidden="1" customWidth="1"/>
    <col min="5" max="5" width="11" style="4" hidden="1" customWidth="1"/>
    <col min="6" max="6" width="10.140625" style="4" hidden="1" customWidth="1"/>
    <col min="7" max="16" width="10.5703125" style="4" customWidth="1"/>
    <col min="17" max="17" width="55.28515625" style="4" customWidth="1"/>
    <col min="18" max="18" width="2.5703125" style="4" customWidth="1"/>
    <col min="19" max="16384" width="9.140625" style="4"/>
  </cols>
  <sheetData>
    <row r="1" spans="1:257" ht="18.75">
      <c r="A1" s="59" t="s">
        <v>51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</row>
    <row r="2" spans="1:257" s="5" customFormat="1" ht="15">
      <c r="A2" s="51" t="s">
        <v>52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</row>
    <row r="3" spans="1:257" s="5" customFormat="1" ht="15.75">
      <c r="A3" s="60" t="s">
        <v>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</row>
    <row r="4" spans="1:257" s="5" customFormat="1">
      <c r="A4" s="52" t="s">
        <v>47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9"/>
    </row>
    <row r="5" spans="1:257" s="7" customFormat="1" ht="15.75">
      <c r="A5" s="53" t="s">
        <v>1</v>
      </c>
      <c r="B5" s="61"/>
      <c r="C5" s="61"/>
      <c r="D5" s="61"/>
      <c r="E5" s="62"/>
      <c r="F5" s="62"/>
      <c r="G5" s="1"/>
      <c r="H5" s="10"/>
      <c r="I5" s="10"/>
      <c r="J5" s="10"/>
      <c r="K5" s="10"/>
      <c r="L5" s="63"/>
      <c r="M5" s="34" t="s">
        <v>2</v>
      </c>
      <c r="N5" s="41"/>
      <c r="O5" s="10"/>
      <c r="P5" s="10"/>
      <c r="Q5" s="56" t="s">
        <v>3</v>
      </c>
      <c r="R5" s="56"/>
    </row>
    <row r="6" spans="1:257" s="11" customFormat="1" ht="15" customHeight="1">
      <c r="A6" s="54"/>
      <c r="B6" s="64"/>
      <c r="C6" s="2"/>
      <c r="D6" s="2"/>
      <c r="E6" s="2"/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65" t="s">
        <v>5</v>
      </c>
      <c r="N6" s="2" t="s">
        <v>53</v>
      </c>
      <c r="O6" s="2" t="s">
        <v>53</v>
      </c>
      <c r="P6" s="2" t="s">
        <v>53</v>
      </c>
      <c r="Q6" s="57"/>
      <c r="R6" s="57"/>
    </row>
    <row r="7" spans="1:257" s="12" customFormat="1" ht="15" customHeight="1">
      <c r="A7" s="55"/>
      <c r="B7" s="3">
        <v>2008</v>
      </c>
      <c r="C7" s="3">
        <v>2009</v>
      </c>
      <c r="D7" s="3">
        <v>2010</v>
      </c>
      <c r="E7" s="3">
        <v>2011</v>
      </c>
      <c r="F7" s="3">
        <v>2012</v>
      </c>
      <c r="G7" s="3">
        <v>2013</v>
      </c>
      <c r="H7" s="3">
        <v>2014</v>
      </c>
      <c r="I7" s="3">
        <v>2015</v>
      </c>
      <c r="J7" s="3">
        <v>2016</v>
      </c>
      <c r="K7" s="3">
        <v>2017</v>
      </c>
      <c r="L7" s="3">
        <v>2018</v>
      </c>
      <c r="M7" s="3">
        <v>2019</v>
      </c>
      <c r="N7" s="42">
        <v>2020</v>
      </c>
      <c r="O7" s="3">
        <v>2021</v>
      </c>
      <c r="P7" s="3">
        <v>2022</v>
      </c>
      <c r="Q7" s="58"/>
      <c r="R7" s="58"/>
    </row>
    <row r="8" spans="1:257" s="7" customFormat="1" ht="18.75">
      <c r="A8" s="6" t="s">
        <v>6</v>
      </c>
      <c r="B8" s="66">
        <f>SUM(B9:B14)</f>
        <v>8790.2084219999997</v>
      </c>
      <c r="C8" s="66">
        <f>SUM(C9:C14)</f>
        <v>7305.775549</v>
      </c>
      <c r="D8" s="66">
        <f>SUM(D9:D14)</f>
        <v>8545.8999690000001</v>
      </c>
      <c r="E8" s="66">
        <f>SUM(E9:E14)</f>
        <v>12196.840858</v>
      </c>
      <c r="F8" s="66">
        <f>SUM(F9:F14)</f>
        <v>11987.820168999997</v>
      </c>
      <c r="G8" s="27">
        <f>SUM(G9:G14)</f>
        <v>13223.42540853</v>
      </c>
      <c r="H8" s="27">
        <f>SUM(H9:H14)</f>
        <v>15933.704056</v>
      </c>
      <c r="I8" s="27">
        <f>SUM(I9:I14)</f>
        <v>18113.699796549998</v>
      </c>
      <c r="J8" s="27">
        <f>SUM(J9:J14)</f>
        <v>21722.635160589998</v>
      </c>
      <c r="K8" s="27">
        <f>SUM(K9:K14)</f>
        <v>23098.146908999999</v>
      </c>
      <c r="L8" s="27">
        <f>SUM(L9:L14)</f>
        <v>22336.859532999999</v>
      </c>
      <c r="M8" s="27">
        <f>SUM(M9:M14)</f>
        <v>24297.562871999999</v>
      </c>
      <c r="N8" s="43">
        <f>SUM(N9:N14)</f>
        <v>30152.855691000001</v>
      </c>
      <c r="O8" s="44">
        <f>SUM(O9:O14)</f>
        <v>30010.133146</v>
      </c>
      <c r="P8" s="44">
        <f>SUM(P9:P14)</f>
        <v>31562.502965</v>
      </c>
      <c r="Q8" s="36" t="s">
        <v>7</v>
      </c>
      <c r="R8" s="30"/>
    </row>
    <row r="9" spans="1:257" s="8" customFormat="1" ht="18.75">
      <c r="A9" s="13" t="s">
        <v>8</v>
      </c>
      <c r="B9" s="67">
        <v>7054.4330769999997</v>
      </c>
      <c r="C9" s="67">
        <v>5467.9178659999998</v>
      </c>
      <c r="D9" s="67">
        <v>6573.7138210000003</v>
      </c>
      <c r="E9" s="67">
        <v>9508.1181149999993</v>
      </c>
      <c r="F9" s="67">
        <v>9817.0309849999994</v>
      </c>
      <c r="G9" s="18">
        <v>11799.703769</v>
      </c>
      <c r="H9" s="18">
        <v>14962.192276</v>
      </c>
      <c r="I9" s="18">
        <v>16655.965295999998</v>
      </c>
      <c r="J9" s="35">
        <v>18312.886023589996</v>
      </c>
      <c r="K9" s="35">
        <v>19841.171066999999</v>
      </c>
      <c r="L9" s="35">
        <v>21333.795754999999</v>
      </c>
      <c r="M9" s="35">
        <v>21161.33726</v>
      </c>
      <c r="N9" s="45">
        <v>23802.034044</v>
      </c>
      <c r="O9" s="46">
        <v>26641.435775999998</v>
      </c>
      <c r="P9" s="46">
        <v>28107.034288999999</v>
      </c>
      <c r="Q9" s="37" t="s">
        <v>9</v>
      </c>
      <c r="R9" s="31"/>
      <c r="T9" s="11"/>
      <c r="U9" s="11"/>
      <c r="V9" s="11"/>
      <c r="W9" s="11"/>
      <c r="X9" s="11"/>
      <c r="Y9" s="11"/>
      <c r="Z9" s="11"/>
    </row>
    <row r="10" spans="1:257" s="8" customFormat="1" ht="18.75">
      <c r="A10" s="13" t="s">
        <v>10</v>
      </c>
      <c r="B10" s="67">
        <v>81.193549000000004</v>
      </c>
      <c r="C10" s="68">
        <v>0</v>
      </c>
      <c r="D10" s="69">
        <v>0</v>
      </c>
      <c r="E10" s="67">
        <v>71.725728000000004</v>
      </c>
      <c r="F10" s="67">
        <v>91.006381000000005</v>
      </c>
      <c r="G10" s="18">
        <v>118.874062</v>
      </c>
      <c r="H10" s="18">
        <v>164.495789</v>
      </c>
      <c r="I10" s="18">
        <v>172.402165</v>
      </c>
      <c r="J10" s="35">
        <v>169.34968175999998</v>
      </c>
      <c r="K10" s="35">
        <v>178.55735300000001</v>
      </c>
      <c r="L10" s="35">
        <v>169.49121700000001</v>
      </c>
      <c r="M10" s="35">
        <v>1010.371836</v>
      </c>
      <c r="N10" s="45">
        <v>1122.2387610000001</v>
      </c>
      <c r="O10" s="46">
        <v>1209.464712</v>
      </c>
      <c r="P10" s="46">
        <v>1305.7818440000001</v>
      </c>
      <c r="Q10" s="37" t="s">
        <v>11</v>
      </c>
      <c r="R10" s="31"/>
      <c r="T10" s="12"/>
      <c r="U10" s="12"/>
      <c r="V10" s="12"/>
      <c r="W10" s="12"/>
      <c r="X10" s="12"/>
      <c r="Y10" s="12"/>
      <c r="Z10" s="12"/>
    </row>
    <row r="11" spans="1:257" s="8" customFormat="1" ht="18.75">
      <c r="A11" s="13" t="s">
        <v>12</v>
      </c>
      <c r="B11" s="67">
        <v>55.550635999999997</v>
      </c>
      <c r="C11" s="67">
        <v>52.923622000000002</v>
      </c>
      <c r="D11" s="67">
        <v>47.642878000000003</v>
      </c>
      <c r="E11" s="67">
        <v>318.363</v>
      </c>
      <c r="F11" s="67">
        <v>144.28058300000001</v>
      </c>
      <c r="G11" s="18">
        <v>43.25014952999998</v>
      </c>
      <c r="H11" s="18">
        <v>63.872695</v>
      </c>
      <c r="I11" s="18">
        <v>486.44234219999981</v>
      </c>
      <c r="J11" s="35">
        <v>79.936230210000005</v>
      </c>
      <c r="K11" s="18">
        <v>105.920444</v>
      </c>
      <c r="L11" s="18">
        <v>465.42606899999998</v>
      </c>
      <c r="M11" s="18">
        <v>1647.990337</v>
      </c>
      <c r="N11" s="47">
        <v>4719.03</v>
      </c>
      <c r="O11" s="19">
        <v>1627.345</v>
      </c>
      <c r="P11" s="19">
        <v>1558.18</v>
      </c>
      <c r="Q11" s="37" t="s">
        <v>13</v>
      </c>
      <c r="R11" s="31"/>
      <c r="T11" s="11"/>
      <c r="U11" s="11"/>
      <c r="V11" s="11"/>
      <c r="W11" s="11"/>
      <c r="X11" s="11"/>
      <c r="Y11" s="11"/>
      <c r="Z11" s="11"/>
    </row>
    <row r="12" spans="1:257" s="8" customFormat="1" ht="18.75">
      <c r="A12" s="13" t="s">
        <v>14</v>
      </c>
      <c r="B12" s="70">
        <v>382.49900000000002</v>
      </c>
      <c r="C12" s="67">
        <v>637.5</v>
      </c>
      <c r="D12" s="70">
        <v>534.62186399999996</v>
      </c>
      <c r="E12" s="67">
        <v>486.14478600000001</v>
      </c>
      <c r="F12" s="67">
        <v>567.25472300000001</v>
      </c>
      <c r="G12" s="18">
        <v>0</v>
      </c>
      <c r="H12" s="18">
        <v>453.34800000000001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47">
        <v>0</v>
      </c>
      <c r="O12" s="19">
        <v>0</v>
      </c>
      <c r="P12" s="19">
        <v>0</v>
      </c>
      <c r="Q12" s="16" t="s">
        <v>15</v>
      </c>
      <c r="R12" s="31"/>
      <c r="T12" s="7"/>
      <c r="U12" s="7"/>
      <c r="V12" s="7"/>
      <c r="W12" s="7"/>
      <c r="X12" s="7"/>
      <c r="Y12" s="7"/>
      <c r="Z12" s="7"/>
    </row>
    <row r="13" spans="1:257" s="8" customFormat="1" ht="18.75">
      <c r="A13" s="13" t="s">
        <v>16</v>
      </c>
      <c r="B13" s="67">
        <v>461.42420499999997</v>
      </c>
      <c r="C13" s="71">
        <v>368.59220499999998</v>
      </c>
      <c r="D13" s="67">
        <v>106.900358</v>
      </c>
      <c r="E13" s="67">
        <v>414.07133499999998</v>
      </c>
      <c r="F13" s="67">
        <v>222.38928999999999</v>
      </c>
      <c r="G13" s="18">
        <v>74.405078000000003</v>
      </c>
      <c r="H13" s="18">
        <v>101.40112999999999</v>
      </c>
      <c r="I13" s="18">
        <v>150.49885417000002</v>
      </c>
      <c r="J13" s="35">
        <v>173.18953770999997</v>
      </c>
      <c r="K13" s="35">
        <v>259.56114000000002</v>
      </c>
      <c r="L13" s="35">
        <v>368.14649200000002</v>
      </c>
      <c r="M13" s="35">
        <v>477.86343900000003</v>
      </c>
      <c r="N13" s="45">
        <v>509.552886</v>
      </c>
      <c r="O13" s="46">
        <v>531.88765799999999</v>
      </c>
      <c r="P13" s="46">
        <v>591.50683200000003</v>
      </c>
      <c r="Q13" s="37" t="s">
        <v>17</v>
      </c>
      <c r="R13" s="31"/>
      <c r="S13" s="17"/>
      <c r="T13" s="7"/>
      <c r="U13" s="7"/>
      <c r="V13" s="7"/>
      <c r="W13" s="7"/>
      <c r="X13" s="7"/>
      <c r="Y13" s="7"/>
      <c r="Z13" s="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</row>
    <row r="14" spans="1:257" s="8" customFormat="1" ht="21" customHeight="1">
      <c r="A14" s="13" t="s">
        <v>18</v>
      </c>
      <c r="B14" s="67">
        <v>755.10795499999995</v>
      </c>
      <c r="C14" s="71">
        <v>778.84185600000001</v>
      </c>
      <c r="D14" s="67">
        <v>1283.0210480000001</v>
      </c>
      <c r="E14" s="67">
        <v>1398.4178939999999</v>
      </c>
      <c r="F14" s="67">
        <v>1145.858207</v>
      </c>
      <c r="G14" s="18">
        <v>1187.19235</v>
      </c>
      <c r="H14" s="18">
        <v>188.39416600000001</v>
      </c>
      <c r="I14" s="18">
        <v>648.39113917999998</v>
      </c>
      <c r="J14" s="35">
        <v>2987.2736873199997</v>
      </c>
      <c r="K14" s="35">
        <v>2712.936905</v>
      </c>
      <c r="L14" s="35">
        <v>0</v>
      </c>
      <c r="M14" s="35">
        <v>0</v>
      </c>
      <c r="N14" s="45">
        <v>0</v>
      </c>
      <c r="O14" s="46">
        <v>0</v>
      </c>
      <c r="P14" s="46">
        <v>0</v>
      </c>
      <c r="Q14" s="16" t="s">
        <v>19</v>
      </c>
      <c r="R14" s="31"/>
      <c r="S14" s="17"/>
      <c r="T14" s="11"/>
      <c r="U14" s="11"/>
      <c r="V14" s="11"/>
      <c r="W14" s="11"/>
      <c r="X14" s="11"/>
      <c r="Y14" s="11"/>
      <c r="Z14" s="11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</row>
    <row r="15" spans="1:257" s="7" customFormat="1" ht="18.75">
      <c r="A15" s="6" t="s">
        <v>20</v>
      </c>
      <c r="B15" s="72">
        <f>+B8-B17</f>
        <v>-1950.5953330000011</v>
      </c>
      <c r="C15" s="72">
        <f>+C8-C17</f>
        <v>-4409.1787139999997</v>
      </c>
      <c r="D15" s="72">
        <f>+D8-D17</f>
        <v>-3327.6067700000021</v>
      </c>
      <c r="E15" s="72">
        <f>+E8-E17</f>
        <v>-1463.2154230000015</v>
      </c>
      <c r="F15" s="72">
        <f>+F8-F17</f>
        <v>-3064.8567550000025</v>
      </c>
      <c r="G15" s="28">
        <f>+G8-G17</f>
        <v>-2075.0381229599971</v>
      </c>
      <c r="H15" s="28">
        <f>+H8-H17</f>
        <v>-2024.5829999999969</v>
      </c>
      <c r="I15" s="28">
        <f>+I8-I17</f>
        <v>-4554.1666823600026</v>
      </c>
      <c r="J15" s="28">
        <f>+J8-J17</f>
        <v>-5080.0184621300032</v>
      </c>
      <c r="K15" s="28">
        <f>+K8-K17</f>
        <v>-1852.938603999999</v>
      </c>
      <c r="L15" s="28">
        <f>+L8-L17</f>
        <v>-5828.4720679999991</v>
      </c>
      <c r="M15" s="28">
        <f>+M8-M17</f>
        <v>-6162.2654280000024</v>
      </c>
      <c r="N15" s="48">
        <f>+N8-N17</f>
        <v>-7318.5770009999942</v>
      </c>
      <c r="O15" s="49">
        <f>+O8-O17</f>
        <v>-12267.033432000004</v>
      </c>
      <c r="P15" s="49">
        <f>+P8-P17</f>
        <v>-10919.949587000003</v>
      </c>
      <c r="Q15" s="36" t="s">
        <v>21</v>
      </c>
      <c r="R15" s="30"/>
      <c r="T15" s="11"/>
      <c r="U15" s="11"/>
      <c r="V15" s="11"/>
      <c r="W15" s="11"/>
      <c r="X15" s="11"/>
      <c r="Y15" s="11"/>
      <c r="Z15" s="11"/>
    </row>
    <row r="16" spans="1:257" s="7" customFormat="1" ht="18.75">
      <c r="A16" s="6" t="s">
        <v>49</v>
      </c>
      <c r="B16" s="73"/>
      <c r="C16" s="74"/>
      <c r="D16" s="73"/>
      <c r="E16" s="73"/>
      <c r="F16" s="67"/>
      <c r="G16" s="18"/>
      <c r="H16" s="18"/>
      <c r="I16" s="18"/>
      <c r="J16" s="18"/>
      <c r="K16" s="18"/>
      <c r="L16" s="18"/>
      <c r="M16" s="18"/>
      <c r="N16" s="47"/>
      <c r="O16" s="19"/>
      <c r="P16" s="19"/>
      <c r="Q16" s="37" t="s">
        <v>22</v>
      </c>
      <c r="R16" s="30"/>
      <c r="T16" s="12"/>
      <c r="U16" s="12"/>
      <c r="V16" s="12"/>
      <c r="W16" s="12"/>
      <c r="X16" s="12"/>
      <c r="Y16" s="12"/>
      <c r="Z16" s="12"/>
    </row>
    <row r="17" spans="1:26" s="7" customFormat="1" ht="18.75">
      <c r="A17" s="6" t="s">
        <v>23</v>
      </c>
      <c r="B17" s="66">
        <v>10740.803755000001</v>
      </c>
      <c r="C17" s="75">
        <v>11714.954263</v>
      </c>
      <c r="D17" s="66">
        <f t="shared" ref="D17:M17" si="0">D18</f>
        <v>11873.506739000002</v>
      </c>
      <c r="E17" s="66">
        <f t="shared" si="0"/>
        <v>13660.056281000001</v>
      </c>
      <c r="F17" s="72">
        <f t="shared" si="0"/>
        <v>15052.676923999999</v>
      </c>
      <c r="G17" s="28">
        <f t="shared" si="0"/>
        <v>15298.463531489997</v>
      </c>
      <c r="H17" s="28">
        <f t="shared" si="0"/>
        <v>17958.287055999997</v>
      </c>
      <c r="I17" s="28">
        <f t="shared" si="0"/>
        <v>22667.86647891</v>
      </c>
      <c r="J17" s="28">
        <f t="shared" si="0"/>
        <v>26802.653622720001</v>
      </c>
      <c r="K17" s="28">
        <f t="shared" si="0"/>
        <v>24951.085512999998</v>
      </c>
      <c r="L17" s="28">
        <f t="shared" si="0"/>
        <v>28165.331600999998</v>
      </c>
      <c r="M17" s="28">
        <f t="shared" si="0"/>
        <v>30459.828300000001</v>
      </c>
      <c r="N17" s="48">
        <f>N18-N24</f>
        <v>37471.432691999995</v>
      </c>
      <c r="O17" s="49">
        <f>O18-O24</f>
        <v>42277.166578000004</v>
      </c>
      <c r="P17" s="49">
        <f>P18-P24</f>
        <v>42482.452552000002</v>
      </c>
      <c r="Q17" s="36" t="s">
        <v>24</v>
      </c>
      <c r="R17" s="30"/>
    </row>
    <row r="18" spans="1:26" s="7" customFormat="1" ht="18.75">
      <c r="A18" s="6" t="s">
        <v>25</v>
      </c>
      <c r="B18" s="66">
        <f>SUM(B19:B23)</f>
        <v>10350.404519999998</v>
      </c>
      <c r="C18" s="66">
        <f>SUM(C19:C23)</f>
        <v>11689.924531000001</v>
      </c>
      <c r="D18" s="66">
        <f>SUM(D19:D23)</f>
        <v>11873.506739000002</v>
      </c>
      <c r="E18" s="66">
        <f>SUM(E19:E23)</f>
        <v>13660.056281000001</v>
      </c>
      <c r="F18" s="72">
        <f>SUM(F19:F23)</f>
        <v>15052.676923999999</v>
      </c>
      <c r="G18" s="28">
        <f>SUM(G19:G23)</f>
        <v>15298.463531489997</v>
      </c>
      <c r="H18" s="28">
        <f>SUM(H19:H23)</f>
        <v>17958.287055999997</v>
      </c>
      <c r="I18" s="28">
        <f>SUM(I19:I23)</f>
        <v>22667.86647891</v>
      </c>
      <c r="J18" s="28">
        <f>SUM(J19:J23)</f>
        <v>26802.653622720001</v>
      </c>
      <c r="K18" s="28">
        <f>SUM(K19:K24)</f>
        <v>24951.085512999998</v>
      </c>
      <c r="L18" s="28">
        <f>SUM(L19:L24)</f>
        <v>28165.331600999998</v>
      </c>
      <c r="M18" s="28">
        <f>SUM(M19:M24)</f>
        <v>30459.828300000001</v>
      </c>
      <c r="N18" s="48">
        <f>SUM(N19:N24)</f>
        <v>37504.493679999992</v>
      </c>
      <c r="O18" s="49">
        <f>SUM(O19:O24)</f>
        <v>42312.919404000007</v>
      </c>
      <c r="P18" s="49">
        <f>SUM(P19:P24)</f>
        <v>42519.120958</v>
      </c>
      <c r="Q18" s="36" t="s">
        <v>26</v>
      </c>
      <c r="R18" s="30"/>
      <c r="T18" s="11"/>
      <c r="U18" s="11"/>
      <c r="V18" s="11"/>
      <c r="W18" s="11"/>
      <c r="X18" s="11"/>
      <c r="Y18" s="11"/>
      <c r="Z18" s="11"/>
    </row>
    <row r="19" spans="1:26" s="8" customFormat="1" ht="18.75">
      <c r="A19" s="13" t="s">
        <v>27</v>
      </c>
      <c r="B19" s="18">
        <v>9028.3429649999998</v>
      </c>
      <c r="C19" s="19">
        <v>10432.388282</v>
      </c>
      <c r="D19" s="18">
        <v>10483.585333000001</v>
      </c>
      <c r="E19" s="18">
        <v>11488.839484</v>
      </c>
      <c r="F19" s="18">
        <v>13526.464507000001</v>
      </c>
      <c r="G19" s="18">
        <v>13892.434722999998</v>
      </c>
      <c r="H19" s="18">
        <v>17516.209221000001</v>
      </c>
      <c r="I19" s="18">
        <v>21623.477435000001</v>
      </c>
      <c r="J19" s="35">
        <v>23423.828703160001</v>
      </c>
      <c r="K19" s="35">
        <v>21767.820162</v>
      </c>
      <c r="L19" s="35">
        <v>23332.167303999999</v>
      </c>
      <c r="M19" s="35">
        <v>26461.722364000001</v>
      </c>
      <c r="N19" s="45">
        <v>33060.987700999998</v>
      </c>
      <c r="O19" s="46">
        <v>35752.825547</v>
      </c>
      <c r="P19" s="46">
        <v>36668.406467000001</v>
      </c>
      <c r="Q19" s="37" t="s">
        <v>28</v>
      </c>
      <c r="R19" s="31"/>
      <c r="T19" s="12"/>
      <c r="U19" s="12"/>
      <c r="V19" s="12"/>
      <c r="W19" s="12"/>
      <c r="X19" s="12"/>
      <c r="Y19" s="12"/>
      <c r="Z19" s="12"/>
    </row>
    <row r="20" spans="1:26" s="8" customFormat="1" ht="18.75">
      <c r="A20" s="13" t="s">
        <v>29</v>
      </c>
      <c r="B20" s="18">
        <v>58.229534999999998</v>
      </c>
      <c r="C20" s="19">
        <v>57.178566000000004</v>
      </c>
      <c r="D20" s="18">
        <v>0</v>
      </c>
      <c r="E20" s="18">
        <v>60.209864000000003</v>
      </c>
      <c r="F20" s="18">
        <v>89.611200999999994</v>
      </c>
      <c r="G20" s="18">
        <v>103.50774728999973</v>
      </c>
      <c r="H20" s="18">
        <v>98.288548000000006</v>
      </c>
      <c r="I20" s="18">
        <v>144.219314</v>
      </c>
      <c r="J20" s="35">
        <v>156.773833</v>
      </c>
      <c r="K20" s="35">
        <v>175.165954</v>
      </c>
      <c r="L20" s="35">
        <v>210.90738200000001</v>
      </c>
      <c r="M20" s="35">
        <v>1029.234737</v>
      </c>
      <c r="N20" s="45">
        <v>930.56531600000005</v>
      </c>
      <c r="O20" s="46">
        <v>1516.3715420000001</v>
      </c>
      <c r="P20" s="46">
        <v>618.57097399999998</v>
      </c>
      <c r="Q20" s="37" t="s">
        <v>30</v>
      </c>
      <c r="R20" s="31"/>
      <c r="T20" s="7"/>
      <c r="U20" s="7"/>
      <c r="V20" s="7"/>
      <c r="W20" s="7"/>
      <c r="X20" s="7"/>
      <c r="Y20" s="7"/>
      <c r="Z20" s="7"/>
    </row>
    <row r="21" spans="1:26" s="8" customFormat="1" ht="18.75">
      <c r="A21" s="13" t="s">
        <v>12</v>
      </c>
      <c r="B21" s="18">
        <v>47.299860000000002</v>
      </c>
      <c r="C21" s="19">
        <v>52.923622000000002</v>
      </c>
      <c r="D21" s="18">
        <v>0</v>
      </c>
      <c r="E21" s="18">
        <v>298.51770399999998</v>
      </c>
      <c r="F21" s="18">
        <v>68.353718999999998</v>
      </c>
      <c r="G21" s="18">
        <v>40.923633199999962</v>
      </c>
      <c r="H21" s="18">
        <v>53.993991000000001</v>
      </c>
      <c r="I21" s="18">
        <v>101.27973655999992</v>
      </c>
      <c r="J21" s="35">
        <v>61.587861529999991</v>
      </c>
      <c r="K21" s="35">
        <v>28.152531</v>
      </c>
      <c r="L21" s="35">
        <v>21.601106000000001</v>
      </c>
      <c r="M21" s="35">
        <v>37.911591999999999</v>
      </c>
      <c r="N21" s="45">
        <v>16.608098999999999</v>
      </c>
      <c r="O21" s="46">
        <v>13.509899000000001</v>
      </c>
      <c r="P21" s="46">
        <v>13.410899000000001</v>
      </c>
      <c r="Q21" s="37" t="s">
        <v>31</v>
      </c>
      <c r="R21" s="32"/>
      <c r="T21" s="12"/>
      <c r="U21" s="12"/>
      <c r="V21" s="12"/>
      <c r="W21" s="12"/>
      <c r="X21" s="12"/>
      <c r="Y21" s="12"/>
      <c r="Z21" s="12"/>
    </row>
    <row r="22" spans="1:26" s="12" customFormat="1" ht="18.75">
      <c r="A22" s="20" t="s">
        <v>32</v>
      </c>
      <c r="B22" s="19">
        <v>461.42420499999997</v>
      </c>
      <c r="C22" s="19">
        <v>368.59220499999998</v>
      </c>
      <c r="D22" s="19">
        <v>106.900358</v>
      </c>
      <c r="E22" s="19">
        <v>414.07133499999998</v>
      </c>
      <c r="F22" s="18">
        <v>222.38928999999999</v>
      </c>
      <c r="G22" s="18">
        <v>74.405078000000003</v>
      </c>
      <c r="H22" s="18">
        <v>101.40112999999999</v>
      </c>
      <c r="I22" s="18">
        <v>150.49885417000002</v>
      </c>
      <c r="J22" s="35">
        <v>173.18953770999997</v>
      </c>
      <c r="K22" s="35">
        <v>267.00996099999998</v>
      </c>
      <c r="L22" s="35">
        <v>326.26511499999998</v>
      </c>
      <c r="M22" s="35">
        <v>425.77408200000002</v>
      </c>
      <c r="N22" s="45">
        <v>578.09911899999997</v>
      </c>
      <c r="O22" s="46">
        <v>550.57673699999998</v>
      </c>
      <c r="P22" s="46">
        <v>604.91725299999996</v>
      </c>
      <c r="Q22" s="38" t="s">
        <v>33</v>
      </c>
      <c r="R22" s="32"/>
      <c r="T22" s="11"/>
      <c r="U22" s="11"/>
      <c r="V22" s="11"/>
      <c r="W22" s="11"/>
      <c r="X22" s="11"/>
      <c r="Y22" s="11"/>
      <c r="Z22" s="11"/>
    </row>
    <row r="23" spans="1:26" s="8" customFormat="1" ht="18.75">
      <c r="A23" s="20" t="s">
        <v>34</v>
      </c>
      <c r="B23" s="19">
        <v>755.10795499999995</v>
      </c>
      <c r="C23" s="19">
        <v>778.84185600000001</v>
      </c>
      <c r="D23" s="19">
        <v>1283.0210480000001</v>
      </c>
      <c r="E23" s="19">
        <v>1398.4178939999999</v>
      </c>
      <c r="F23" s="19">
        <v>1145.858207</v>
      </c>
      <c r="G23" s="19">
        <v>1187.19235</v>
      </c>
      <c r="H23" s="19">
        <v>188.39416600000001</v>
      </c>
      <c r="I23" s="19">
        <v>648.39113917999998</v>
      </c>
      <c r="J23" s="35">
        <v>2987.2736873199997</v>
      </c>
      <c r="K23" s="35">
        <v>2712.936905</v>
      </c>
      <c r="L23" s="35">
        <v>4274.3906939999997</v>
      </c>
      <c r="M23" s="35">
        <v>2505.1855249999999</v>
      </c>
      <c r="N23" s="45">
        <v>2885.1724570000001</v>
      </c>
      <c r="O23" s="46">
        <v>4443.8828530000001</v>
      </c>
      <c r="P23" s="46">
        <v>4577.1469589999997</v>
      </c>
      <c r="Q23" s="37" t="s">
        <v>35</v>
      </c>
      <c r="R23" s="32"/>
      <c r="T23" s="12"/>
      <c r="U23" s="12"/>
      <c r="V23" s="12"/>
      <c r="W23" s="12"/>
      <c r="X23" s="12"/>
      <c r="Y23" s="12"/>
      <c r="Z23" s="12"/>
    </row>
    <row r="24" spans="1:26" s="12" customFormat="1" ht="18.75">
      <c r="A24" s="22" t="s">
        <v>36</v>
      </c>
      <c r="B24" s="76">
        <v>0</v>
      </c>
      <c r="C24" s="76">
        <v>0</v>
      </c>
      <c r="D24" s="77">
        <v>0</v>
      </c>
      <c r="E24" s="77">
        <v>0</v>
      </c>
      <c r="F24" s="21">
        <v>0</v>
      </c>
      <c r="G24" s="21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50">
        <v>33.060988000000002</v>
      </c>
      <c r="O24" s="21">
        <v>35.752825999999999</v>
      </c>
      <c r="P24" s="21">
        <v>36.668405999999997</v>
      </c>
      <c r="Q24" s="39" t="s">
        <v>37</v>
      </c>
      <c r="R24" s="33"/>
    </row>
    <row r="25" spans="1:26" s="8" customFormat="1" ht="18.75">
      <c r="A25" s="23" t="s">
        <v>48</v>
      </c>
      <c r="B25" s="78"/>
      <c r="C25" s="78"/>
      <c r="Q25" s="15" t="s">
        <v>38</v>
      </c>
      <c r="R25" s="24" t="s">
        <v>39</v>
      </c>
    </row>
    <row r="26" spans="1:26" s="8" customFormat="1" ht="18.75">
      <c r="A26" s="23" t="s">
        <v>50</v>
      </c>
      <c r="B26" s="78"/>
      <c r="C26" s="78"/>
      <c r="Q26" s="15" t="s">
        <v>40</v>
      </c>
      <c r="R26" s="24" t="s">
        <v>41</v>
      </c>
    </row>
    <row r="27" spans="1:26" s="8" customFormat="1" ht="18.75">
      <c r="A27" s="23" t="s">
        <v>44</v>
      </c>
      <c r="B27" s="78"/>
      <c r="C27" s="78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15" t="s">
        <v>42</v>
      </c>
      <c r="R27" s="24" t="s">
        <v>43</v>
      </c>
    </row>
    <row r="28" spans="1:26" s="8" customFormat="1" ht="13.5">
      <c r="A28" s="23" t="s">
        <v>46</v>
      </c>
      <c r="B28" s="78"/>
      <c r="C28" s="78"/>
      <c r="Q28" s="14"/>
      <c r="R28" s="40" t="s">
        <v>45</v>
      </c>
    </row>
    <row r="29" spans="1:26" s="8" customFormat="1">
      <c r="Q29" s="4"/>
    </row>
    <row r="32" spans="1:26" ht="36.75" customHeight="1"/>
    <row r="33" spans="8:17" ht="15">
      <c r="H33" s="29"/>
      <c r="I33" s="26"/>
      <c r="J33" s="26"/>
      <c r="K33" s="26"/>
      <c r="L33" s="26"/>
      <c r="M33" s="26"/>
      <c r="N33" s="26"/>
      <c r="O33" s="26"/>
      <c r="P33" s="26"/>
      <c r="Q33" s="26"/>
    </row>
    <row r="34" spans="8:17" ht="15">
      <c r="H34" s="29"/>
      <c r="I34" s="26"/>
      <c r="J34" s="26"/>
      <c r="K34" s="26"/>
      <c r="L34" s="26"/>
      <c r="M34" s="26"/>
      <c r="N34" s="26"/>
      <c r="O34" s="26"/>
      <c r="P34" s="26"/>
      <c r="Q34" s="26"/>
    </row>
    <row r="35" spans="8:17">
      <c r="H35" s="26"/>
      <c r="I35" s="26"/>
      <c r="J35" s="26"/>
      <c r="K35" s="26"/>
      <c r="L35" s="26"/>
      <c r="M35" s="26"/>
      <c r="N35" s="26"/>
      <c r="O35" s="26"/>
      <c r="P35" s="26"/>
      <c r="Q35" s="26"/>
    </row>
  </sheetData>
  <mergeCells count="6">
    <mergeCell ref="A5:A7"/>
    <mergeCell ref="A1:R1"/>
    <mergeCell ref="A2:R2"/>
    <mergeCell ref="A3:Q3"/>
    <mergeCell ref="A4:Q4"/>
    <mergeCell ref="Q5:R7"/>
  </mergeCells>
  <pageMargins left="0.18" right="0.16" top="0.75" bottom="0.75" header="0.3" footer="0.3"/>
  <pageSetup paperSize="9" scale="62" orientation="landscape" horizontalDpi="4294967295" verticalDpi="4294967295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13.1</vt:lpstr>
      <vt:lpstr>'13.1'!Print_Area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2020-08-27T07:10:00Z</cp:lastPrinted>
  <dcterms:created xsi:type="dcterms:W3CDTF">2014-03-06T08:38:12Z</dcterms:created>
  <dcterms:modified xsi:type="dcterms:W3CDTF">2020-08-27T07:10:13Z</dcterms:modified>
</cp:coreProperties>
</file>