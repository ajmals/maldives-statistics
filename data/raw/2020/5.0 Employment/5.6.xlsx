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5. EMPLOYMENT\"/>
    </mc:Choice>
  </mc:AlternateContent>
  <bookViews>
    <workbookView xWindow="0" yWindow="0" windowWidth="28800" windowHeight="12435" tabRatio="692"/>
  </bookViews>
  <sheets>
    <sheet name="5.6" sheetId="5" r:id="rId1"/>
  </sheets>
  <externalReferences>
    <externalReference r:id="rId2"/>
  </externalReferences>
  <definedNames>
    <definedName name="_xlnm.Print_Area" localSheetId="0">'5.6'!$A$1:$N$49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5" l="1"/>
  <c r="F13" i="5"/>
  <c r="D13" i="5"/>
  <c r="C13" i="5"/>
  <c r="J12" i="5"/>
  <c r="F12" i="5"/>
  <c r="D12" i="5"/>
  <c r="C12" i="5"/>
  <c r="J11" i="5"/>
  <c r="F11" i="5"/>
  <c r="D11" i="5"/>
  <c r="C11" i="5"/>
  <c r="J10" i="5"/>
  <c r="F10" i="5"/>
  <c r="D10" i="5"/>
  <c r="C10" i="5"/>
  <c r="L9" i="5"/>
  <c r="K9" i="5"/>
  <c r="H9" i="5"/>
  <c r="G9" i="5"/>
  <c r="F9" i="5" s="1"/>
  <c r="B10" i="5" l="1"/>
  <c r="J9" i="5"/>
  <c r="B9" i="5" s="1"/>
  <c r="B11" i="5"/>
  <c r="B13" i="5"/>
  <c r="AJ24" i="5" s="1"/>
  <c r="B12" i="5"/>
  <c r="D9" i="5"/>
  <c r="C9" i="5"/>
  <c r="AJ21" i="5" l="1"/>
  <c r="AJ22" i="5"/>
  <c r="AJ23" i="5"/>
</calcChain>
</file>

<file path=xl/sharedStrings.xml><?xml version="1.0" encoding="utf-8"?>
<sst xmlns="http://schemas.openxmlformats.org/spreadsheetml/2006/main" count="44" uniqueCount="28">
  <si>
    <t>Republic</t>
  </si>
  <si>
    <t>Male'</t>
  </si>
  <si>
    <t>ދެޖިންސް</t>
  </si>
  <si>
    <t>ފިރިހެން</t>
  </si>
  <si>
    <t>އަންހެން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</si>
  <si>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</si>
  <si>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</si>
  <si>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</si>
  <si>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</si>
  <si>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</si>
  <si>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 xml:space="preserve"> މުޅިރާއްޖެ</t>
  </si>
  <si>
    <t>މާލެ</t>
  </si>
  <si>
    <t>އަތޮޅުތައް</t>
  </si>
  <si>
    <t>Atolls</t>
  </si>
  <si>
    <t>Both sexes</t>
  </si>
  <si>
    <t>ޖުމްލަ</t>
  </si>
  <si>
    <t>އަސާސީ މުސާރަ (ރުފިޔާއިން)</t>
  </si>
  <si>
    <t>Basic Salary Range (in MVR)</t>
  </si>
  <si>
    <t>Less than 5,000</t>
  </si>
  <si>
    <t xml:space="preserve">5،000އަށް ވުރެ ދަށް  </t>
  </si>
  <si>
    <t>5,000 - 9,999</t>
  </si>
  <si>
    <t>9,999 - 5,000</t>
  </si>
  <si>
    <t>10,000 - 14,999</t>
  </si>
  <si>
    <t>14,999 - 10,000</t>
  </si>
  <si>
    <t>15,000 and above</t>
  </si>
  <si>
    <t xml:space="preserve">15،000އާއި އެއަށްވުރެ މަތި </t>
  </si>
  <si>
    <t>ތާވަލު 5.6: ސިވިލް ސަރވަންޓުންގެ މަގާމުތައް އަސާސީ މުސާރަ އަދި ޖިންސްއިން ކްލެސިފައިކުރެވިފައިވާ ގޮތް ، 2019</t>
  </si>
  <si>
    <t>Table 5.6: CIVIL SERVANTS CLASSIFIED BY  BASIC SALARY, SEX AND LOCALITY, 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</si>
</sst>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Faruma"/>
    </font>
    <font>
      <b/>
      <sz val="11"/>
      <color theme="1"/>
      <name val="Faruma"/>
    </font>
    <font>
      <sz val="11"/>
      <color theme="1"/>
      <name val="Faruma"/>
    </font>
    <font>
      <sz val="11"/>
      <color theme="1"/>
      <name val="Wingdings"/>
      <charset val="2"/>
    </font>
    <font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43" fontId="4" fillId="0" borderId="0" applyFont="0" applyFill="0" applyBorder="0" applyAlignment="0" applyProtection="0"/>
    <xf numFmtId="0" fontId="17" fillId="0" borderId="0"/>
  </cellStyleXfs>
  <cellXfs count="63">
    <xf numFmtId="0" fontId="0" fillId="0" borderId="0" xfId="0"/>
    <xf numFmtId="0" fontId="0" fillId="2" borderId="0" xfId="0" applyFill="1"/>
    <xf numFmtId="0" fontId="6" fillId="2" borderId="0" xfId="0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0" fillId="2" borderId="0" xfId="0" applyFill="1" applyBorder="1"/>
    <xf numFmtId="3" fontId="10" fillId="2" borderId="0" xfId="4" applyNumberFormat="1" applyFont="1" applyFill="1" applyBorder="1" applyAlignment="1" applyProtection="1">
      <alignment horizontal="right" vertical="center"/>
    </xf>
    <xf numFmtId="0" fontId="11" fillId="2" borderId="1" xfId="4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readingOrder="2"/>
    </xf>
    <xf numFmtId="1" fontId="0" fillId="2" borderId="0" xfId="0" applyNumberFormat="1" applyFill="1"/>
    <xf numFmtId="0" fontId="2" fillId="2" borderId="0" xfId="0" applyFont="1" applyFill="1"/>
    <xf numFmtId="0" fontId="3" fillId="2" borderId="0" xfId="0" applyFont="1" applyFill="1"/>
    <xf numFmtId="0" fontId="9" fillId="2" borderId="5" xfId="3" applyFont="1" applyFill="1" applyBorder="1"/>
    <xf numFmtId="0" fontId="0" fillId="2" borderId="1" xfId="0" applyFill="1" applyBorder="1"/>
    <xf numFmtId="0" fontId="11" fillId="2" borderId="7" xfId="4" applyFont="1" applyFill="1" applyBorder="1" applyAlignment="1">
      <alignment horizontal="center" vertical="center"/>
    </xf>
    <xf numFmtId="0" fontId="3" fillId="2" borderId="0" xfId="0" applyFont="1" applyFill="1" applyBorder="1"/>
    <xf numFmtId="0" fontId="6" fillId="2" borderId="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right" vertical="center"/>
    </xf>
    <xf numFmtId="0" fontId="0" fillId="2" borderId="2" xfId="0" applyFill="1" applyBorder="1"/>
    <xf numFmtId="0" fontId="6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readingOrder="2"/>
    </xf>
    <xf numFmtId="167" fontId="0" fillId="2" borderId="0" xfId="0" applyNumberFormat="1" applyFill="1"/>
    <xf numFmtId="3" fontId="3" fillId="2" borderId="0" xfId="0" applyNumberFormat="1" applyFont="1" applyFill="1" applyBorder="1" applyAlignment="1">
      <alignment horizontal="right" readingOrder="2"/>
    </xf>
    <xf numFmtId="3" fontId="3" fillId="2" borderId="3" xfId="0" applyNumberFormat="1" applyFont="1" applyFill="1" applyBorder="1" applyAlignment="1">
      <alignment horizontal="right" readingOrder="2"/>
    </xf>
    <xf numFmtId="3" fontId="5" fillId="2" borderId="0" xfId="0" applyNumberFormat="1" applyFont="1" applyFill="1" applyBorder="1" applyAlignment="1">
      <alignment horizontal="right" vertical="center" readingOrder="2"/>
    </xf>
    <xf numFmtId="3" fontId="3" fillId="2" borderId="8" xfId="0" applyNumberFormat="1" applyFont="1" applyFill="1" applyBorder="1" applyAlignment="1">
      <alignment horizontal="right" readingOrder="2"/>
    </xf>
    <xf numFmtId="0" fontId="12" fillId="2" borderId="1" xfId="0" applyFont="1" applyFill="1" applyBorder="1" applyAlignment="1">
      <alignment horizontal="right" indent="1"/>
    </xf>
    <xf numFmtId="3" fontId="0" fillId="2" borderId="0" xfId="0" applyNumberFormat="1" applyFont="1" applyFill="1" applyBorder="1" applyAlignment="1">
      <alignment horizontal="right" readingOrder="2"/>
    </xf>
    <xf numFmtId="0" fontId="0" fillId="2" borderId="3" xfId="0" applyFont="1" applyFill="1" applyBorder="1" applyAlignment="1"/>
    <xf numFmtId="3" fontId="0" fillId="2" borderId="0" xfId="0" applyNumberFormat="1" applyFont="1" applyFill="1" applyBorder="1" applyAlignment="1"/>
    <xf numFmtId="3" fontId="13" fillId="2" borderId="0" xfId="0" applyNumberFormat="1" applyFont="1" applyFill="1" applyBorder="1" applyAlignment="1">
      <alignment horizontal="right"/>
    </xf>
    <xf numFmtId="0" fontId="13" fillId="2" borderId="0" xfId="0" applyFont="1" applyFill="1" applyBorder="1" applyAlignment="1">
      <alignment horizontal="right" indent="1"/>
    </xf>
    <xf numFmtId="0" fontId="0" fillId="2" borderId="0" xfId="0" applyFont="1" applyFill="1" applyBorder="1" applyAlignment="1"/>
    <xf numFmtId="3" fontId="3" fillId="2" borderId="2" xfId="0" applyNumberFormat="1" applyFont="1" applyFill="1" applyBorder="1" applyAlignment="1">
      <alignment horizontal="right" readingOrder="2"/>
    </xf>
    <xf numFmtId="3" fontId="0" fillId="2" borderId="2" xfId="0" applyNumberFormat="1" applyFont="1" applyFill="1" applyBorder="1" applyAlignment="1">
      <alignment horizontal="right" readingOrder="2"/>
    </xf>
    <xf numFmtId="0" fontId="0" fillId="2" borderId="11" xfId="0" applyFont="1" applyFill="1" applyBorder="1" applyAlignment="1"/>
    <xf numFmtId="3" fontId="5" fillId="2" borderId="2" xfId="0" applyNumberFormat="1" applyFont="1" applyFill="1" applyBorder="1" applyAlignment="1">
      <alignment horizontal="right" vertical="center" readingOrder="2"/>
    </xf>
    <xf numFmtId="0" fontId="0" fillId="2" borderId="2" xfId="0" applyFont="1" applyFill="1" applyBorder="1" applyAlignment="1"/>
    <xf numFmtId="3" fontId="13" fillId="2" borderId="2" xfId="0" applyNumberFormat="1" applyFont="1" applyFill="1" applyBorder="1" applyAlignment="1">
      <alignment horizontal="right"/>
    </xf>
    <xf numFmtId="9" fontId="0" fillId="2" borderId="0" xfId="2" applyFont="1" applyFill="1"/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 vertical="center"/>
    </xf>
    <xf numFmtId="3" fontId="15" fillId="3" borderId="0" xfId="0" applyNumberFormat="1" applyFont="1" applyFill="1" applyBorder="1"/>
    <xf numFmtId="3" fontId="15" fillId="3" borderId="13" xfId="0" applyNumberFormat="1" applyFont="1" applyFill="1" applyBorder="1"/>
    <xf numFmtId="0" fontId="15" fillId="3" borderId="0" xfId="0" applyFont="1" applyFill="1" applyBorder="1"/>
    <xf numFmtId="0" fontId="15" fillId="3" borderId="13" xfId="0" applyFont="1" applyFill="1" applyBorder="1"/>
    <xf numFmtId="0" fontId="15" fillId="3" borderId="14" xfId="0" applyFont="1" applyFill="1" applyBorder="1"/>
    <xf numFmtId="0" fontId="15" fillId="3" borderId="15" xfId="0" applyFont="1" applyFill="1" applyBorder="1"/>
    <xf numFmtId="3" fontId="15" fillId="3" borderId="14" xfId="0" applyNumberFormat="1" applyFont="1" applyFill="1" applyBorder="1"/>
    <xf numFmtId="0" fontId="11" fillId="2" borderId="1" xfId="4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1" fillId="2" borderId="8" xfId="4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</cellXfs>
  <cellStyles count="10">
    <cellStyle name="Comma" xfId="1" builtinId="3"/>
    <cellStyle name="Comma 3" xfId="8"/>
    <cellStyle name="Normal" xfId="0" builtinId="0"/>
    <cellStyle name="Normal 11" xfId="9"/>
    <cellStyle name="Normal 2" xfId="5"/>
    <cellStyle name="Normal 4" xfId="6"/>
    <cellStyle name="Normal 5" xfId="7"/>
    <cellStyle name="Normal_II-16(Populaion)" xfId="4"/>
    <cellStyle name="Normal_po" xfId="3"/>
    <cellStyle name="Percent" xfId="2" builtinId="5"/>
  </cellStyles>
  <dxfs count="0"/>
  <tableStyles count="0" defaultTableStyle="TableStyleMedium2" defaultPivotStyle="PivotStyleLight16"/>
  <colors>
    <mruColors>
      <color rgb="FF976431"/>
      <color rgb="FFD0A172"/>
      <color rgb="FFF9F2EB"/>
      <color rgb="FFE5CBB1"/>
      <color rgb="FF964B00"/>
      <color rgb="FFF5EADF"/>
      <color rgb="FFEBD7C3"/>
      <color rgb="FFFFEFC1"/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812023316606"/>
          <c:y val="0.17529608567447594"/>
          <c:w val="0.86116296537145964"/>
          <c:h val="0.64113444152814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'5.6'!$C$7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64B00"/>
            </a:solidFill>
          </c:spPr>
          <c:invertIfNegative val="0"/>
          <c:cat>
            <c:strRef>
              <c:f>'5.6'!$A$10:$A$13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'5.6'!$C$10:$C$13</c:f>
              <c:numCache>
                <c:formatCode>#,##0</c:formatCode>
                <c:ptCount val="4"/>
                <c:pt idx="0">
                  <c:v>4487</c:v>
                </c:pt>
                <c:pt idx="1">
                  <c:v>4562</c:v>
                </c:pt>
                <c:pt idx="2">
                  <c:v>321</c:v>
                </c:pt>
                <c:pt idx="3">
                  <c:v>203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F3-413B-A3F3-2403A9099481}"/>
            </c:ext>
          </c:extLst>
        </c:ser>
        <c:ser>
          <c:idx val="1"/>
          <c:order val="1"/>
          <c:tx>
            <c:strRef>
              <c:f>'5.6'!$D$7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D0A172"/>
            </a:solidFill>
          </c:spPr>
          <c:invertIfNegative val="0"/>
          <c:cat>
            <c:strRef>
              <c:f>'5.6'!$A$10:$A$13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'5.6'!$D$10:$D$13</c:f>
              <c:numCache>
                <c:formatCode>#,##0</c:formatCode>
                <c:ptCount val="4"/>
                <c:pt idx="0">
                  <c:v>5861</c:v>
                </c:pt>
                <c:pt idx="1">
                  <c:v>9562</c:v>
                </c:pt>
                <c:pt idx="2">
                  <c:v>454</c:v>
                </c:pt>
                <c:pt idx="3">
                  <c:v>202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8F3-413B-A3F3-2403A9099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173728"/>
        <c:axId val="131175296"/>
      </c:barChart>
      <c:catAx>
        <c:axId val="13117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</a:t>
                </a:r>
                <a:r>
                  <a:rPr lang="en-US" baseline="0"/>
                  <a:t> Range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0259825586317852"/>
              <c:y val="0.9217847769028872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131175296"/>
        <c:crosses val="autoZero"/>
        <c:auto val="1"/>
        <c:lblAlgn val="ctr"/>
        <c:lblOffset val="100"/>
        <c:noMultiLvlLbl val="0"/>
      </c:catAx>
      <c:valAx>
        <c:axId val="13117529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8.7625480814335285E-3"/>
              <c:y val="0.1960496927451877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31173728"/>
        <c:crosses val="autoZero"/>
        <c:crossBetween val="between"/>
      </c:valAx>
      <c:spPr>
        <a:solidFill>
          <a:srgbClr val="F9F2EB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6808973452387177"/>
          <c:y val="0.26383820129786312"/>
          <c:w val="0.15220277655879211"/>
          <c:h val="9.1651900442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5.8: Percentage share of civil servants by salary range,</a:t>
            </a:r>
            <a:r>
              <a:rPr lang="en-US" sz="1200" b="1" baseline="0"/>
              <a:t> 2019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369566965689178E-2"/>
          <c:y val="0.15024290833760831"/>
          <c:w val="0.93339212598425192"/>
          <c:h val="0.759579207829875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4B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'5.6'!$AI$21:$AI$24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'5.6'!$AJ$21:$AJ$24</c:f>
              <c:numCache>
                <c:formatCode>0</c:formatCode>
                <c:ptCount val="4"/>
                <c:pt idx="0">
                  <c:v>40.339934508030559</c:v>
                </c:pt>
                <c:pt idx="1">
                  <c:v>55.06003430531733</c:v>
                </c:pt>
                <c:pt idx="2">
                  <c:v>3.0212069234367691</c:v>
                </c:pt>
                <c:pt idx="3">
                  <c:v>1.5788242632153437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991-41E6-B13F-B2DA63F82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74904"/>
        <c:axId val="131169808"/>
      </c:barChart>
      <c:catAx>
        <c:axId val="13117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9808"/>
        <c:crosses val="autoZero"/>
        <c:auto val="1"/>
        <c:lblAlgn val="ctr"/>
        <c:lblOffset val="100"/>
        <c:noMultiLvlLbl val="0"/>
      </c:catAx>
      <c:valAx>
        <c:axId val="131169808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4904"/>
        <c:crosses val="autoZero"/>
        <c:crossBetween val="between"/>
        <c:majorUnit val="10"/>
      </c:valAx>
      <c:spPr>
        <a:solidFill>
          <a:srgbClr val="F9F2EB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16</xdr:row>
      <xdr:rowOff>30480</xdr:rowOff>
    </xdr:from>
    <xdr:to>
      <xdr:col>12</xdr:col>
      <xdr:colOff>1276350</xdr:colOff>
      <xdr:row>29</xdr:row>
      <xdr:rowOff>53340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447674</xdr:colOff>
      <xdr:row>16</xdr:row>
      <xdr:rowOff>78104</xdr:rowOff>
    </xdr:from>
    <xdr:to>
      <xdr:col>12</xdr:col>
      <xdr:colOff>657224</xdr:colOff>
      <xdr:row>17</xdr:row>
      <xdr:rowOff>133349</xdr:rowOff>
    </xdr:to>
    <xdr:sp macro="" textlink="">
      <xdr:nvSpPr>
        <xdr:cNvPr id="3" name="TextBox 2"/>
        <xdr:cNvSpPr txBox="1"/>
      </xdr:nvSpPr>
      <xdr:spPr>
        <a:xfrm>
          <a:off x="2809874" y="3611879"/>
          <a:ext cx="5038725" cy="2457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5.7: Number of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civil servants by salary range and sex, 2019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104775</xdr:colOff>
      <xdr:row>30</xdr:row>
      <xdr:rowOff>104774</xdr:rowOff>
    </xdr:from>
    <xdr:to>
      <xdr:col>12</xdr:col>
      <xdr:colOff>1352550</xdr:colOff>
      <xdr:row>46</xdr:row>
      <xdr:rowOff>95250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0.45543</cdr:x>
      <cdr:y>0.26531</cdr:y>
    </cdr:from>
    <cdr:to>
      <cdr:x>0.89415</cdr:x>
      <cdr:y>0.65889</cdr:y>
    </cdr:to>
    <cdr:sp macro="" textlink="">
      <cdr:nvSpPr>
        <cdr:cNvPr id="3" name="Oval 2"/>
        <cdr:cNvSpPr/>
      </cdr:nvSpPr>
      <cdr:spPr>
        <a:xfrm xmlns:a="http://schemas.openxmlformats.org/drawingml/2006/main">
          <a:off x="3114689" y="866788"/>
          <a:ext cx="3000384" cy="1285856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DF7"/>
        </a:solidFill>
        <a:ln xmlns:a="http://schemas.openxmlformats.org/drawingml/2006/main" w="19050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sz="1300" b="1" i="1">
              <a:solidFill>
                <a:srgbClr val="976431"/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95</a:t>
          </a:r>
          <a:r>
            <a:rPr lang="en-US" sz="1300" b="1" i="1" baseline="0">
              <a:solidFill>
                <a:srgbClr val="976431"/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 </a:t>
          </a:r>
          <a:r>
            <a:rPr lang="en-US" sz="1300" b="1" i="1" baseline="0">
              <a:solidFill>
                <a:schemeClr val="accent4">
                  <a:lumMod val="75000"/>
                </a:schemeClr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percent of the civil servants get a  salary less than </a:t>
          </a:r>
          <a:r>
            <a:rPr lang="en-US" sz="1300" b="1" i="1" baseline="0">
              <a:solidFill>
                <a:srgbClr val="976431"/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10,000 MVR </a:t>
          </a:r>
          <a:r>
            <a:rPr lang="en-US" sz="1300" b="1" i="1" baseline="0">
              <a:solidFill>
                <a:schemeClr val="accent4">
                  <a:lumMod val="75000"/>
                </a:schemeClr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per month.</a:t>
          </a:r>
          <a:endParaRPr lang="en-US" sz="1300" i="1">
            <a:solidFill>
              <a:schemeClr val="accent4">
                <a:lumMod val="75000"/>
              </a:schemeClr>
            </a:solidFill>
            <a:effectLst/>
            <a:latin typeface="Ink Free" panose="03080402000500000000" pitchFamily="66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Checking/5.%20EMPLOYMENT_%20CSC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new table"/>
      <sheetName val="5.4"/>
      <sheetName val="5.5"/>
      <sheetName val="5.6"/>
      <sheetName val="5.7"/>
      <sheetName val="5.8"/>
    </sheetNames>
    <sheetDataSet>
      <sheetData sheetId="0"/>
      <sheetData sheetId="1"/>
      <sheetData sheetId="2"/>
      <sheetData sheetId="3">
        <row r="73">
          <cell r="A73" t="str">
            <v>Alifushi</v>
          </cell>
          <cell r="C73">
            <v>39</v>
          </cell>
          <cell r="D73">
            <v>72</v>
          </cell>
        </row>
        <row r="74">
          <cell r="A74" t="str">
            <v>Angolhitheemu</v>
          </cell>
          <cell r="C74">
            <v>18</v>
          </cell>
          <cell r="D74">
            <v>15</v>
          </cell>
        </row>
        <row r="75">
          <cell r="A75" t="str">
            <v>Dhuvaafaru</v>
          </cell>
          <cell r="C75">
            <v>35</v>
          </cell>
          <cell r="D75">
            <v>64</v>
          </cell>
        </row>
        <row r="76">
          <cell r="A76" t="str">
            <v>Fainu</v>
          </cell>
          <cell r="C76">
            <v>29</v>
          </cell>
          <cell r="D76">
            <v>14</v>
          </cell>
        </row>
        <row r="77">
          <cell r="A77" t="str">
            <v>Hulhudhuffaaru</v>
          </cell>
          <cell r="C77">
            <v>48</v>
          </cell>
          <cell r="D77">
            <v>53</v>
          </cell>
        </row>
        <row r="78">
          <cell r="A78" t="str">
            <v>Inguraidhoo</v>
          </cell>
          <cell r="C78">
            <v>24</v>
          </cell>
          <cell r="D78">
            <v>61</v>
          </cell>
        </row>
        <row r="79">
          <cell r="A79" t="str">
            <v>Innamaadhoo</v>
          </cell>
          <cell r="C79">
            <v>21</v>
          </cell>
          <cell r="D79">
            <v>37</v>
          </cell>
        </row>
        <row r="80">
          <cell r="A80" t="str">
            <v>Kinolhas</v>
          </cell>
          <cell r="C80">
            <v>25</v>
          </cell>
          <cell r="D80">
            <v>24</v>
          </cell>
        </row>
        <row r="81">
          <cell r="A81" t="str">
            <v>Maakurathu</v>
          </cell>
          <cell r="C81">
            <v>17</v>
          </cell>
          <cell r="D81">
            <v>45</v>
          </cell>
        </row>
        <row r="82">
          <cell r="A82" t="str">
            <v>Maduvvari</v>
          </cell>
          <cell r="C82">
            <v>33</v>
          </cell>
          <cell r="D82">
            <v>67</v>
          </cell>
        </row>
        <row r="83">
          <cell r="A83" t="str">
            <v>Meedhoo</v>
          </cell>
          <cell r="C83">
            <v>25</v>
          </cell>
          <cell r="D83">
            <v>24</v>
          </cell>
        </row>
        <row r="84">
          <cell r="A84" t="str">
            <v>Rasgetheemu</v>
          </cell>
          <cell r="C84">
            <v>22</v>
          </cell>
          <cell r="D84">
            <v>28</v>
          </cell>
        </row>
        <row r="85">
          <cell r="A85" t="str">
            <v>Rasmaadhoo</v>
          </cell>
          <cell r="C85">
            <v>23</v>
          </cell>
          <cell r="D85">
            <v>33</v>
          </cell>
        </row>
        <row r="86">
          <cell r="A86" t="str">
            <v>Ungoofaaru</v>
          </cell>
          <cell r="C86">
            <v>166</v>
          </cell>
          <cell r="D86">
            <v>207</v>
          </cell>
        </row>
        <row r="87">
          <cell r="A87" t="str">
            <v>Vaadhoo</v>
          </cell>
          <cell r="C87">
            <v>25</v>
          </cell>
          <cell r="D87">
            <v>15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48"/>
  <sheetViews>
    <sheetView tabSelected="1" zoomScaleNormal="100" workbookViewId="0">
      <selection activeCell="X15" sqref="X15"/>
    </sheetView>
  </sheetViews>
  <sheetFormatPr defaultRowHeight="15" x14ac:dyDescent="0.25"/>
  <cols>
    <col min="1" max="1" width="24.85546875" style="1" customWidth="1"/>
    <col min="2" max="4" width="9.140625" style="1"/>
    <col min="5" max="5" width="0.5703125" style="1" customWidth="1"/>
    <col min="6" max="8" width="9.140625" style="1"/>
    <col min="9" max="9" width="1" style="1" customWidth="1"/>
    <col min="10" max="12" width="9.140625" style="1"/>
    <col min="13" max="13" width="29.28515625" style="1" customWidth="1"/>
    <col min="14" max="14" width="3.85546875" style="1" customWidth="1"/>
    <col min="15" max="16384" width="9.140625" style="1"/>
  </cols>
  <sheetData>
    <row r="2" spans="1:14" ht="21" x14ac:dyDescent="0.55000000000000004">
      <c r="A2" s="57" t="s">
        <v>26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4" x14ac:dyDescent="0.25">
      <c r="A3" s="59" t="s">
        <v>27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10"/>
    </row>
    <row r="4" spans="1:14" ht="7.5" customHeight="1" x14ac:dyDescent="0.25"/>
    <row r="5" spans="1:14" ht="18.75" customHeight="1" x14ac:dyDescent="0.25">
      <c r="A5" s="13"/>
      <c r="B5" s="53" t="s">
        <v>10</v>
      </c>
      <c r="C5" s="53"/>
      <c r="D5" s="53"/>
      <c r="E5" s="14"/>
      <c r="F5" s="53" t="s">
        <v>11</v>
      </c>
      <c r="G5" s="53"/>
      <c r="H5" s="58"/>
      <c r="I5" s="7"/>
      <c r="J5" s="53" t="s">
        <v>12</v>
      </c>
      <c r="K5" s="53"/>
      <c r="L5" s="53"/>
      <c r="M5" s="60" t="s">
        <v>16</v>
      </c>
    </row>
    <row r="6" spans="1:14" ht="15" customHeight="1" x14ac:dyDescent="0.25">
      <c r="A6" s="15" t="s">
        <v>17</v>
      </c>
      <c r="B6" s="54" t="s">
        <v>0</v>
      </c>
      <c r="C6" s="54"/>
      <c r="D6" s="54"/>
      <c r="E6" s="16"/>
      <c r="F6" s="55" t="s">
        <v>1</v>
      </c>
      <c r="G6" s="55"/>
      <c r="H6" s="56"/>
      <c r="I6" s="44"/>
      <c r="J6" s="55" t="s">
        <v>13</v>
      </c>
      <c r="K6" s="55"/>
      <c r="L6" s="55"/>
      <c r="M6" s="61"/>
    </row>
    <row r="7" spans="1:14" ht="15" customHeight="1" x14ac:dyDescent="0.25">
      <c r="A7" s="5"/>
      <c r="B7" s="2" t="s">
        <v>14</v>
      </c>
      <c r="C7" s="2" t="s">
        <v>5</v>
      </c>
      <c r="D7" s="2" t="s">
        <v>6</v>
      </c>
      <c r="E7" s="17"/>
      <c r="F7" s="2" t="s">
        <v>14</v>
      </c>
      <c r="G7" s="2" t="s">
        <v>5</v>
      </c>
      <c r="H7" s="18" t="s">
        <v>6</v>
      </c>
      <c r="I7" s="42"/>
      <c r="J7" s="2" t="s">
        <v>14</v>
      </c>
      <c r="K7" s="2" t="s">
        <v>5</v>
      </c>
      <c r="L7" s="2" t="s">
        <v>6</v>
      </c>
      <c r="M7" s="61"/>
    </row>
    <row r="8" spans="1:14" ht="18.75" customHeight="1" x14ac:dyDescent="0.5">
      <c r="A8" s="19"/>
      <c r="B8" s="8" t="s">
        <v>2</v>
      </c>
      <c r="C8" s="8" t="s">
        <v>3</v>
      </c>
      <c r="D8" s="8" t="s">
        <v>4</v>
      </c>
      <c r="E8" s="20"/>
      <c r="F8" s="8" t="s">
        <v>2</v>
      </c>
      <c r="G8" s="8" t="s">
        <v>3</v>
      </c>
      <c r="H8" s="21" t="s">
        <v>4</v>
      </c>
      <c r="I8" s="43"/>
      <c r="J8" s="8" t="s">
        <v>2</v>
      </c>
      <c r="K8" s="8" t="s">
        <v>3</v>
      </c>
      <c r="L8" s="8" t="s">
        <v>4</v>
      </c>
      <c r="M8" s="62"/>
    </row>
    <row r="9" spans="1:14" ht="21" x14ac:dyDescent="0.55000000000000004">
      <c r="A9" s="45" t="s">
        <v>7</v>
      </c>
      <c r="B9" s="23">
        <f>F9+J9</f>
        <v>25652</v>
      </c>
      <c r="C9" s="23">
        <f t="shared" ref="C9:D13" si="0">G9+K9</f>
        <v>9573</v>
      </c>
      <c r="D9" s="23">
        <f t="shared" si="0"/>
        <v>16079</v>
      </c>
      <c r="E9" s="24"/>
      <c r="F9" s="25">
        <f>G9+H9</f>
        <v>9280</v>
      </c>
      <c r="G9" s="23">
        <f>SUM(G10:G13)</f>
        <v>3678</v>
      </c>
      <c r="H9" s="26">
        <f>SUM(H10:H13)</f>
        <v>5602</v>
      </c>
      <c r="I9" s="23"/>
      <c r="J9" s="25">
        <f>K9+L9</f>
        <v>16372</v>
      </c>
      <c r="K9" s="23">
        <f>SUM(K10:K13)</f>
        <v>5895</v>
      </c>
      <c r="L9" s="23">
        <f>SUM(L10:L13)</f>
        <v>10477</v>
      </c>
      <c r="M9" s="27" t="s">
        <v>15</v>
      </c>
    </row>
    <row r="10" spans="1:14" ht="21" x14ac:dyDescent="0.55000000000000004">
      <c r="A10" s="5" t="s">
        <v>18</v>
      </c>
      <c r="B10" s="23">
        <f>F10+J10</f>
        <v>10348</v>
      </c>
      <c r="C10" s="28">
        <f t="shared" si="0"/>
        <v>4487</v>
      </c>
      <c r="D10" s="28">
        <f t="shared" si="0"/>
        <v>5861</v>
      </c>
      <c r="E10" s="29"/>
      <c r="F10" s="25">
        <f t="shared" ref="F10:F13" si="1">G10+H10</f>
        <v>2872</v>
      </c>
      <c r="G10" s="46">
        <v>1311</v>
      </c>
      <c r="H10" s="47">
        <v>1561</v>
      </c>
      <c r="I10" s="30"/>
      <c r="J10" s="25">
        <f t="shared" ref="J10:J13" si="2">K10+L10</f>
        <v>7476</v>
      </c>
      <c r="K10" s="46">
        <v>3176</v>
      </c>
      <c r="L10" s="46">
        <v>4300</v>
      </c>
      <c r="M10" s="31" t="s">
        <v>19</v>
      </c>
    </row>
    <row r="11" spans="1:14" ht="21" x14ac:dyDescent="0.55000000000000004">
      <c r="A11" s="5" t="s">
        <v>20</v>
      </c>
      <c r="B11" s="23">
        <f t="shared" ref="B11:B13" si="3">F11+J11</f>
        <v>14124</v>
      </c>
      <c r="C11" s="28">
        <f t="shared" si="0"/>
        <v>4562</v>
      </c>
      <c r="D11" s="28">
        <f t="shared" si="0"/>
        <v>9562</v>
      </c>
      <c r="E11" s="29"/>
      <c r="F11" s="25">
        <f t="shared" si="1"/>
        <v>5515</v>
      </c>
      <c r="G11" s="46">
        <v>1985</v>
      </c>
      <c r="H11" s="47">
        <v>3530</v>
      </c>
      <c r="I11" s="30"/>
      <c r="J11" s="25">
        <f t="shared" si="2"/>
        <v>8609</v>
      </c>
      <c r="K11" s="46">
        <v>2577</v>
      </c>
      <c r="L11" s="46">
        <v>6032</v>
      </c>
      <c r="M11" s="32" t="s">
        <v>21</v>
      </c>
    </row>
    <row r="12" spans="1:14" ht="21" x14ac:dyDescent="0.55000000000000004">
      <c r="A12" s="5" t="s">
        <v>22</v>
      </c>
      <c r="B12" s="23">
        <f t="shared" si="3"/>
        <v>775</v>
      </c>
      <c r="C12" s="28">
        <f t="shared" si="0"/>
        <v>321</v>
      </c>
      <c r="D12" s="28">
        <f t="shared" si="0"/>
        <v>454</v>
      </c>
      <c r="E12" s="29"/>
      <c r="F12" s="25">
        <f t="shared" si="1"/>
        <v>566</v>
      </c>
      <c r="G12" s="48">
        <v>232</v>
      </c>
      <c r="H12" s="49">
        <v>334</v>
      </c>
      <c r="I12" s="33"/>
      <c r="J12" s="25">
        <f t="shared" si="2"/>
        <v>209</v>
      </c>
      <c r="K12" s="46">
        <v>89</v>
      </c>
      <c r="L12" s="46">
        <v>120</v>
      </c>
      <c r="M12" s="32" t="s">
        <v>23</v>
      </c>
    </row>
    <row r="13" spans="1:14" ht="21" x14ac:dyDescent="0.55000000000000004">
      <c r="A13" s="19" t="s">
        <v>24</v>
      </c>
      <c r="B13" s="34">
        <f t="shared" si="3"/>
        <v>405</v>
      </c>
      <c r="C13" s="35">
        <f t="shared" si="0"/>
        <v>203</v>
      </c>
      <c r="D13" s="35">
        <f t="shared" si="0"/>
        <v>202</v>
      </c>
      <c r="E13" s="36"/>
      <c r="F13" s="37">
        <f t="shared" si="1"/>
        <v>327</v>
      </c>
      <c r="G13" s="50">
        <v>150</v>
      </c>
      <c r="H13" s="51">
        <v>177</v>
      </c>
      <c r="I13" s="38"/>
      <c r="J13" s="37">
        <f t="shared" si="2"/>
        <v>78</v>
      </c>
      <c r="K13" s="52">
        <v>53</v>
      </c>
      <c r="L13" s="52">
        <v>25</v>
      </c>
      <c r="M13" s="39" t="s">
        <v>25</v>
      </c>
    </row>
    <row r="14" spans="1:14" ht="17.25" x14ac:dyDescent="0.25">
      <c r="A14" s="12" t="s">
        <v>8</v>
      </c>
      <c r="B14" s="4"/>
      <c r="C14" s="3"/>
      <c r="D14" s="4"/>
      <c r="E14" s="4"/>
      <c r="F14" s="4"/>
      <c r="G14" s="3"/>
      <c r="J14" s="15"/>
      <c r="K14" s="5"/>
      <c r="M14" s="6" t="s">
        <v>9</v>
      </c>
    </row>
    <row r="15" spans="1:14" x14ac:dyDescent="0.25">
      <c r="F15" s="11"/>
    </row>
    <row r="21" spans="16:38" x14ac:dyDescent="0.25">
      <c r="AI21" s="5" t="s">
        <v>18</v>
      </c>
      <c r="AJ21" s="9">
        <f>B10/B9*100</f>
        <v>40.339934508030559</v>
      </c>
    </row>
    <row r="22" spans="16:38" x14ac:dyDescent="0.25">
      <c r="AI22" s="5" t="s">
        <v>20</v>
      </c>
      <c r="AJ22" s="9">
        <f>B11/B9*100</f>
        <v>55.06003430531733</v>
      </c>
    </row>
    <row r="23" spans="16:38" x14ac:dyDescent="0.25">
      <c r="AI23" s="5" t="s">
        <v>22</v>
      </c>
      <c r="AJ23" s="9">
        <f>B12/B9*100</f>
        <v>3.0212069234367691</v>
      </c>
      <c r="AL23" s="22"/>
    </row>
    <row r="24" spans="16:38" x14ac:dyDescent="0.25">
      <c r="AI24" s="19" t="s">
        <v>24</v>
      </c>
      <c r="AJ24" s="9">
        <f>B13/B9*100</f>
        <v>1.5788242632153437</v>
      </c>
    </row>
    <row r="29" spans="16:38" ht="19.899999999999999" customHeight="1" x14ac:dyDescent="0.25"/>
    <row r="30" spans="16:38" ht="19.899999999999999" customHeight="1" x14ac:dyDescent="0.25"/>
    <row r="31" spans="16:38" ht="19.899999999999999" customHeight="1" x14ac:dyDescent="0.25"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</row>
    <row r="32" spans="16:38" ht="19.899999999999999" customHeight="1" x14ac:dyDescent="0.25"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</row>
    <row r="33" spans="7:33" ht="19.899999999999999" customHeight="1" x14ac:dyDescent="0.25"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</row>
    <row r="34" spans="7:33" ht="19.899999999999999" customHeight="1" x14ac:dyDescent="0.25"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</row>
    <row r="48" spans="7:33" x14ac:dyDescent="0.25">
      <c r="G48" s="41"/>
    </row>
  </sheetData>
  <mergeCells count="9">
    <mergeCell ref="A2:M2"/>
    <mergeCell ref="A3:M3"/>
    <mergeCell ref="B5:D5"/>
    <mergeCell ref="F5:H5"/>
    <mergeCell ref="J5:L5"/>
    <mergeCell ref="M5:M8"/>
    <mergeCell ref="B6:D6"/>
    <mergeCell ref="F6:H6"/>
    <mergeCell ref="J6:L6"/>
  </mergeCells>
  <pageMargins left="0.7" right="0.7" top="0.75" bottom="0.75" header="0.3" footer="0.3"/>
  <pageSetup scale="61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5.6</vt:lpstr>
      <vt:lpstr>'5.6'!Print_Area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2020-06-26T17:18:35Z</cp:lastPrinted>
  <dcterms:created xsi:type="dcterms:W3CDTF">2019-06-03T04:17:39Z</dcterms:created>
  <dcterms:modified xsi:type="dcterms:W3CDTF">2020-06-26T17:18:41Z</dcterms:modified>
</cp:coreProperties>
</file>