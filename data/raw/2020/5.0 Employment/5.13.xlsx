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ohamed\Desktop\yearbook 2020 =update\SYB 2020_Final\web\5. EMPLOYMENT\"/>
    </mc:Choice>
  </mc:AlternateContent>
  <bookViews>
    <workbookView xWindow="0" yWindow="0" windowWidth="28800" windowHeight="12435" tabRatio="692"/>
  </bookViews>
  <sheets>
    <sheet name="5.13" sheetId="13" r:id="rId1"/>
  </sheets>
  <definedNames>
    <definedName name="_xlnm.Print_Area" localSheetId="0">'5.13'!$A$1:$G$66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13" l="1"/>
  <c r="B10" i="13" l="1"/>
  <c r="B11" i="13"/>
  <c r="B12" i="13"/>
  <c r="B13" i="13"/>
  <c r="B14" i="13"/>
  <c r="B15" i="13"/>
  <c r="B16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9" i="13" l="1"/>
  <c r="D9" i="13"/>
  <c r="D5" i="13" s="1"/>
  <c r="C9" i="13"/>
  <c r="C5" i="13"/>
  <c r="B5" i="13" l="1"/>
  <c r="E22" i="13" s="1"/>
  <c r="E13" i="13"/>
  <c r="E14" i="13"/>
  <c r="E15" i="13"/>
  <c r="E10" i="13"/>
  <c r="E8" i="13"/>
  <c r="E7" i="13"/>
  <c r="E27" i="13"/>
  <c r="E23" i="13"/>
  <c r="E19" i="13"/>
  <c r="E6" i="13"/>
  <c r="E5" i="13"/>
  <c r="E25" i="13"/>
  <c r="E21" i="13"/>
  <c r="E17" i="13"/>
  <c r="E29" i="13"/>
  <c r="E16" i="13"/>
  <c r="E18" i="13"/>
  <c r="E9" i="13"/>
  <c r="E20" i="13"/>
  <c r="E28" i="13"/>
  <c r="E24" i="13"/>
  <c r="E26" i="13"/>
  <c r="E12" i="13"/>
  <c r="E11" i="13"/>
</calcChain>
</file>

<file path=xl/sharedStrings.xml><?xml version="1.0" encoding="utf-8"?>
<sst xmlns="http://schemas.openxmlformats.org/spreadsheetml/2006/main" count="80" uniqueCount="80">
  <si>
    <t>Republic</t>
  </si>
  <si>
    <t>Male'</t>
  </si>
  <si>
    <t>Male</t>
  </si>
  <si>
    <t>މާލެ</t>
  </si>
  <si>
    <t>އަތޮޅުތައް</t>
  </si>
  <si>
    <t>Atolls</t>
  </si>
  <si>
    <t>Locality</t>
  </si>
  <si>
    <t>ތަން</t>
  </si>
  <si>
    <t>މުޅި ރާއްޖެ</t>
  </si>
  <si>
    <t xml:space="preserve">       (ah)  iruburutua Itwmcnudwlit</t>
  </si>
  <si>
    <t>HA</t>
  </si>
  <si>
    <t>(dh) irubunuked Itwmcnudwlit</t>
  </si>
  <si>
    <t>HDh</t>
  </si>
  <si>
    <t>(S) iruburutua uluDwmcnudwlim</t>
  </si>
  <si>
    <t>Sh</t>
  </si>
  <si>
    <t>(n) irubunuked uluDwmcnudwlim</t>
  </si>
  <si>
    <t>N</t>
  </si>
  <si>
    <t>(r) iruburutuauluDwmcsoLWm</t>
  </si>
  <si>
    <t>R</t>
  </si>
  <si>
    <t>(b) irubunukeduluDwcsoLWm</t>
  </si>
  <si>
    <t>B</t>
  </si>
  <si>
    <t>(L) uLopcaidWf</t>
  </si>
  <si>
    <t>Lh</t>
  </si>
  <si>
    <t>(k) uLotwa elWm</t>
  </si>
  <si>
    <t>K</t>
  </si>
  <si>
    <t>(aa) iruburutuauLotwairwa</t>
  </si>
  <si>
    <t>AA</t>
  </si>
  <si>
    <t>(da) iruburutuauLotwairwa</t>
  </si>
  <si>
    <t>ADh</t>
  </si>
  <si>
    <t>(v) uLotwa udilef</t>
  </si>
  <si>
    <t>V</t>
  </si>
  <si>
    <t>(m) uLotwkwlum</t>
  </si>
  <si>
    <t>M</t>
  </si>
  <si>
    <t>(f) iruburutua uLotwaedcnwlin</t>
  </si>
  <si>
    <t>F</t>
  </si>
  <si>
    <t>(d) irubunuked uLotwaedcnwlin</t>
  </si>
  <si>
    <t>(t) uluDwmuLok</t>
  </si>
  <si>
    <t>(l) itwmcnudcawh</t>
  </si>
  <si>
    <t>L</t>
  </si>
  <si>
    <t>(ag) iruburutua uLotwaudwvuh</t>
  </si>
  <si>
    <t>GA</t>
  </si>
  <si>
    <t xml:space="preserve"> (dg) irubunuked uLotwaudwvuh</t>
  </si>
  <si>
    <t>GDh</t>
  </si>
  <si>
    <t>(N)cawlumcawvuf</t>
  </si>
  <si>
    <t>Gn</t>
  </si>
  <si>
    <t>(s) uLotwauDcawa</t>
  </si>
  <si>
    <t>S</t>
  </si>
  <si>
    <t xml:space="preserve">Total </t>
  </si>
  <si>
    <t xml:space="preserve">Female </t>
  </si>
  <si>
    <t>% share</t>
  </si>
  <si>
    <t>DH</t>
  </si>
  <si>
    <t>TH</t>
  </si>
  <si>
    <t>Hulhumale'</t>
  </si>
  <si>
    <t>ހުޅުމާލެ</t>
  </si>
  <si>
    <t>North Thiladhunmathi (HA)</t>
  </si>
  <si>
    <t>South Thiladhunmathi (HDh)</t>
  </si>
  <si>
    <t>North Miladhunmadulu (Sh)</t>
  </si>
  <si>
    <t>South Miladhunmadulu (N)</t>
  </si>
  <si>
    <t>North Maalhosmadulu (R)</t>
  </si>
  <si>
    <t>South Maalhosamadulu (B)</t>
  </si>
  <si>
    <t>Faadhhippolhu (Lh)</t>
  </si>
  <si>
    <t>Kaafu Atoll (K)</t>
  </si>
  <si>
    <t>North Ari Atoll (AA)</t>
  </si>
  <si>
    <t>South Ari Atoll (ADh)</t>
  </si>
  <si>
    <t>Felidhu Atoll (V)</t>
  </si>
  <si>
    <t>Mulakatholhu (M)</t>
  </si>
  <si>
    <t xml:space="preserve">North Nilandhe Atoll (F) </t>
  </si>
  <si>
    <t>South Nilandhe Atoll (Dh)</t>
  </si>
  <si>
    <t>Kolhumadulu (Th)</t>
  </si>
  <si>
    <t>Hadhdhunmathi (L)</t>
  </si>
  <si>
    <t>North Huvadhu Atoll (GA)</t>
  </si>
  <si>
    <t>South Huvadhu Atoll (GDh)</t>
  </si>
  <si>
    <t>Fuvahmulah (Gn)</t>
  </si>
  <si>
    <t>Addu Atoll (S)</t>
  </si>
  <si>
    <t>Vilimale'</t>
  </si>
  <si>
    <t>ވިލިމާލެ</t>
  </si>
  <si>
    <t>Table 5.13: Expatriate employment by locality, 2019</t>
  </si>
  <si>
    <t xml:space="preserve">ތާވަލު 5.13: މާލެއާއި އަތޮޅުތަކުގައި މަސައްކަތްކުރާ ބިދޭސީ މަސައްކަތްތެރިންގެ އަދަދު އަދި ޖިންސް،  2019 </t>
  </si>
  <si>
    <t>Source: Ministry of Economic Development</t>
  </si>
  <si>
    <t>މަޢުލޫމާތު ފޯރުކޯށްދެއްވީ: މިނިސްޓްރީ އޮފް އިކޮނޮމިކް ޑިވެލޮޕްމަންޓް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</si>
</sst>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General_)"/>
    <numFmt numFmtId="167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9"/>
      <name val="Faruma"/>
    </font>
    <font>
      <sz val="10"/>
      <name val="Calibri"/>
      <family val="2"/>
    </font>
    <font>
      <sz val="11"/>
      <name val="Calibri"/>
      <family val="2"/>
      <scheme val="minor"/>
    </font>
    <font>
      <b/>
      <sz val="11"/>
      <name val="Faruma"/>
    </font>
    <font>
      <sz val="10"/>
      <name val="MS Sans Serif"/>
      <family val="2"/>
    </font>
    <font>
      <i/>
      <sz val="9"/>
      <color theme="1"/>
      <name val="Calibri"/>
      <family val="2"/>
      <scheme val="minor"/>
    </font>
    <font>
      <b/>
      <sz val="12"/>
      <name val="Faruma"/>
    </font>
    <font>
      <sz val="11"/>
      <name val="Faruma"/>
    </font>
    <font>
      <sz val="11"/>
      <color theme="1"/>
      <name val="Calibri"/>
      <family val="2"/>
      <charset val="1"/>
      <scheme val="minor"/>
    </font>
    <font>
      <i/>
      <sz val="9"/>
      <color theme="1"/>
      <name val="Calibri"/>
      <family val="2"/>
    </font>
    <font>
      <sz val="10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43" fontId="2" fillId="0" borderId="0" applyFont="0" applyFill="0" applyBorder="0" applyAlignment="0" applyProtection="0"/>
    <xf numFmtId="0" fontId="14" fillId="0" borderId="0"/>
  </cellStyleXfs>
  <cellXfs count="38">
    <xf numFmtId="0" fontId="0" fillId="0" borderId="0" xfId="0"/>
    <xf numFmtId="0" fontId="0" fillId="2" borderId="0" xfId="0" applyFill="1"/>
    <xf numFmtId="3" fontId="6" fillId="2" borderId="0" xfId="2" applyNumberFormat="1" applyFont="1" applyFill="1" applyBorder="1" applyAlignment="1" applyProtection="1">
      <alignment horizontal="right" vertical="center"/>
    </xf>
    <xf numFmtId="3" fontId="0" fillId="2" borderId="0" xfId="0" applyNumberFormat="1" applyFill="1"/>
    <xf numFmtId="3" fontId="0" fillId="2" borderId="0" xfId="0" applyNumberFormat="1" applyFill="1" applyBorder="1"/>
    <xf numFmtId="3" fontId="0" fillId="2" borderId="1" xfId="0" applyNumberFormat="1" applyFill="1" applyBorder="1"/>
    <xf numFmtId="0" fontId="8" fillId="2" borderId="0" xfId="0" applyFont="1" applyFill="1"/>
    <xf numFmtId="0" fontId="8" fillId="2" borderId="0" xfId="0" applyFont="1" applyFill="1" applyBorder="1"/>
    <xf numFmtId="0" fontId="4" fillId="2" borderId="0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left" vertical="center" indent="1"/>
    </xf>
    <xf numFmtId="0" fontId="11" fillId="2" borderId="0" xfId="0" applyFont="1" applyFill="1" applyAlignment="1">
      <alignment vertical="center"/>
    </xf>
    <xf numFmtId="0" fontId="0" fillId="2" borderId="0" xfId="0" applyFill="1" applyAlignment="1">
      <alignment horizontal="left" vertical="center" indent="1"/>
    </xf>
    <xf numFmtId="0" fontId="4" fillId="2" borderId="2" xfId="0" applyFont="1" applyFill="1" applyBorder="1" applyAlignment="1">
      <alignment horizontal="right" vertical="center"/>
    </xf>
    <xf numFmtId="0" fontId="4" fillId="2" borderId="0" xfId="0" applyFont="1" applyFill="1" applyBorder="1"/>
    <xf numFmtId="0" fontId="4" fillId="2" borderId="2" xfId="0" applyFont="1" applyFill="1" applyBorder="1"/>
    <xf numFmtId="3" fontId="4" fillId="2" borderId="0" xfId="0" applyNumberFormat="1" applyFont="1" applyFill="1" applyBorder="1" applyAlignment="1">
      <alignment vertical="center"/>
    </xf>
    <xf numFmtId="167" fontId="4" fillId="2" borderId="0" xfId="0" applyNumberFormat="1" applyFont="1" applyFill="1" applyBorder="1" applyAlignment="1">
      <alignment vertical="center"/>
    </xf>
    <xf numFmtId="3" fontId="9" fillId="2" borderId="0" xfId="3" applyNumberFormat="1" applyFont="1" applyFill="1" applyBorder="1" applyAlignment="1" applyProtection="1">
      <alignment horizontal="right" vertical="center"/>
    </xf>
    <xf numFmtId="0" fontId="1" fillId="2" borderId="0" xfId="0" applyFont="1" applyFill="1" applyAlignment="1">
      <alignment horizontal="left" vertical="center"/>
    </xf>
    <xf numFmtId="3" fontId="8" fillId="2" borderId="0" xfId="0" applyNumberFormat="1" applyFont="1" applyFill="1" applyBorder="1" applyAlignment="1">
      <alignment vertical="center"/>
    </xf>
    <xf numFmtId="167" fontId="8" fillId="2" borderId="0" xfId="0" applyNumberFormat="1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3" fontId="8" fillId="2" borderId="1" xfId="0" applyNumberFormat="1" applyFont="1" applyFill="1" applyBorder="1" applyAlignment="1">
      <alignment vertical="center"/>
    </xf>
    <xf numFmtId="167" fontId="8" fillId="2" borderId="1" xfId="0" applyNumberFormat="1" applyFont="1" applyFill="1" applyBorder="1" applyAlignment="1">
      <alignment vertical="center"/>
    </xf>
    <xf numFmtId="0" fontId="0" fillId="2" borderId="0" xfId="0" applyFill="1" applyBorder="1" applyAlignment="1">
      <alignment horizontal="left" vertical="center" indent="1"/>
    </xf>
    <xf numFmtId="0" fontId="0" fillId="2" borderId="1" xfId="0" applyFill="1" applyBorder="1" applyAlignment="1">
      <alignment horizontal="left" vertical="center" indent="1"/>
    </xf>
    <xf numFmtId="3" fontId="13" fillId="2" borderId="0" xfId="3" applyNumberFormat="1" applyFont="1" applyFill="1" applyBorder="1" applyAlignment="1" applyProtection="1">
      <alignment horizontal="right" vertical="center" indent="1"/>
    </xf>
    <xf numFmtId="49" fontId="7" fillId="2" borderId="0" xfId="0" applyNumberFormat="1" applyFont="1" applyFill="1" applyBorder="1" applyAlignment="1">
      <alignment vertical="center"/>
    </xf>
    <xf numFmtId="49" fontId="7" fillId="2" borderId="0" xfId="0" applyNumberFormat="1" applyFont="1" applyFill="1" applyBorder="1" applyAlignment="1">
      <alignment horizontal="left" vertical="center" indent="1"/>
    </xf>
    <xf numFmtId="49" fontId="7" fillId="2" borderId="1" xfId="0" applyNumberFormat="1" applyFont="1" applyFill="1" applyBorder="1" applyAlignment="1">
      <alignment horizontal="left" vertical="center" indent="1"/>
    </xf>
    <xf numFmtId="3" fontId="16" fillId="2" borderId="0" xfId="3" applyNumberFormat="1" applyFont="1" applyFill="1" applyBorder="1" applyAlignment="1" applyProtection="1">
      <alignment horizontal="right" vertical="center" indent="1"/>
    </xf>
    <xf numFmtId="3" fontId="16" fillId="2" borderId="1" xfId="3" applyNumberFormat="1" applyFont="1" applyFill="1" applyBorder="1" applyAlignment="1" applyProtection="1">
      <alignment horizontal="right" vertical="center" indent="1"/>
    </xf>
    <xf numFmtId="0" fontId="15" fillId="2" borderId="0" xfId="0" applyFont="1" applyFill="1" applyBorder="1" applyAlignment="1">
      <alignment vertical="center"/>
    </xf>
    <xf numFmtId="164" fontId="12" fillId="2" borderId="0" xfId="1" applyNumberFormat="1" applyFont="1" applyFill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right" vertical="center"/>
    </xf>
  </cellXfs>
  <cellStyles count="9">
    <cellStyle name="Comma 3" xfId="7"/>
    <cellStyle name="Normal" xfId="0" builtinId="0"/>
    <cellStyle name="Normal 11" xfId="8"/>
    <cellStyle name="Normal 2" xfId="4"/>
    <cellStyle name="Normal 4" xfId="5"/>
    <cellStyle name="Normal 5" xfId="6"/>
    <cellStyle name="Normal_II-15(Population) 2" xfId="3"/>
    <cellStyle name="Normal_II-16(Populaion)" xfId="2"/>
    <cellStyle name="Normal_Population - II 2" xfId="1"/>
  </cellStyles>
  <dxfs count="11"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E5CBB1"/>
      <color rgb="FFF3E6D9"/>
      <color rgb="FFEBD7C3"/>
      <color rgb="FFFFFAEB"/>
      <color rgb="FF976431"/>
      <color rgb="FFD0A172"/>
      <color rgb="FFF9F2EB"/>
      <color rgb="FF964B00"/>
      <color rgb="FFF5EADF"/>
      <color rgb="FFFFE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5.15:  Number of Expatriate employees by Atolls, 2019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28717691537883394"/>
          <c:y val="2.65891000043268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215056340103554E-2"/>
          <c:y val="0.12912097476066145"/>
          <c:w val="0.90639311995528338"/>
          <c:h val="0.7287157312074420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76431"/>
            </a:solidFill>
            <a:ln>
              <a:noFill/>
            </a:ln>
            <a:effectLst/>
          </c:spPr>
          <c:invertIfNegative val="0"/>
          <c:cat>
            <c:strRef>
              <c:f>'5.13'!$R$8:$R$27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'5.13'!$B$10:$B$29</c:f>
              <c:numCache>
                <c:formatCode>#,##0</c:formatCode>
                <c:ptCount val="20"/>
                <c:pt idx="0">
                  <c:v>4145</c:v>
                </c:pt>
                <c:pt idx="1">
                  <c:v>3256</c:v>
                </c:pt>
                <c:pt idx="2">
                  <c:v>2126</c:v>
                </c:pt>
                <c:pt idx="3">
                  <c:v>4546</c:v>
                </c:pt>
                <c:pt idx="4">
                  <c:v>9679</c:v>
                </c:pt>
                <c:pt idx="5">
                  <c:v>6249</c:v>
                </c:pt>
                <c:pt idx="6">
                  <c:v>4237</c:v>
                </c:pt>
                <c:pt idx="7">
                  <c:v>21112</c:v>
                </c:pt>
                <c:pt idx="8">
                  <c:v>2815</c:v>
                </c:pt>
                <c:pt idx="9">
                  <c:v>3731</c:v>
                </c:pt>
                <c:pt idx="10">
                  <c:v>1404</c:v>
                </c:pt>
                <c:pt idx="11">
                  <c:v>1357</c:v>
                </c:pt>
                <c:pt idx="12">
                  <c:v>519</c:v>
                </c:pt>
                <c:pt idx="13">
                  <c:v>2936</c:v>
                </c:pt>
                <c:pt idx="14">
                  <c:v>1639</c:v>
                </c:pt>
                <c:pt idx="15">
                  <c:v>3523</c:v>
                </c:pt>
                <c:pt idx="16">
                  <c:v>4637</c:v>
                </c:pt>
                <c:pt idx="17">
                  <c:v>2615</c:v>
                </c:pt>
                <c:pt idx="18">
                  <c:v>1297</c:v>
                </c:pt>
                <c:pt idx="19">
                  <c:v>6701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DA-4D3B-813C-9B9C23C78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"/>
        <c:axId val="378673616"/>
        <c:axId val="378667736"/>
      </c:barChart>
      <c:catAx>
        <c:axId val="37867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667736"/>
        <c:crosses val="autoZero"/>
        <c:auto val="1"/>
        <c:lblAlgn val="ctr"/>
        <c:lblOffset val="100"/>
        <c:noMultiLvlLbl val="0"/>
      </c:catAx>
      <c:valAx>
        <c:axId val="378667736"/>
        <c:scaling>
          <c:orientation val="minMax"/>
          <c:max val="22000"/>
          <c:min val="0"/>
        </c:scaling>
        <c:delete val="0"/>
        <c:axPos val="l"/>
        <c:majorGridlines>
          <c:spPr>
            <a:ln w="9525" cap="flat" cmpd="sng" algn="ctr">
              <a:solidFill>
                <a:srgbClr val="EBD7C3"/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solidFill>
              <a:schemeClr val="accent4">
                <a:lumMod val="20000"/>
                <a:lumOff val="8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673616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61145633075776"/>
          <c:y val="0.14109502363988499"/>
          <c:w val="0.83773022085034587"/>
          <c:h val="0.7821797560786141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76431"/>
            </a:solidFill>
            <a:ln w="6350">
              <a:solidFill>
                <a:schemeClr val="accent4">
                  <a:lumMod val="20000"/>
                  <a:lumOff val="80000"/>
                </a:schemeClr>
              </a:solidFill>
            </a:ln>
            <a:effectLst/>
            <a:scene3d>
              <a:camera prst="orthographicFront"/>
              <a:lightRig rig="brightRoom" dir="t"/>
            </a:scene3d>
            <a:sp3d prstMaterial="flat">
              <a:bevelT w="50800" h="101600" prst="angle"/>
              <a:contourClr>
                <a:srgbClr val="000000"/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976431"/>
              </a:solidFill>
              <a:ln w="6350">
                <a:solidFill>
                  <a:schemeClr val="accent4">
                    <a:lumMod val="20000"/>
                    <a:lumOff val="80000"/>
                  </a:schemeClr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E9FE-4BA9-8364-CFF9EDF2B996}"/>
              </c:ext>
            </c:extLst>
          </c:dPt>
          <c:dPt>
            <c:idx val="1"/>
            <c:invertIfNegative val="0"/>
            <c:bubble3D val="0"/>
            <c:explosion val="6"/>
            <c:spPr>
              <a:solidFill>
                <a:srgbClr val="976431"/>
              </a:solidFill>
              <a:ln w="6350">
                <a:solidFill>
                  <a:schemeClr val="accent4">
                    <a:lumMod val="20000"/>
                    <a:lumOff val="80000"/>
                  </a:schemeClr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E9FE-4BA9-8364-CFF9EDF2B996}"/>
              </c:ext>
            </c:extLst>
          </c:dPt>
          <c:dPt>
            <c:idx val="2"/>
            <c:invertIfNegative val="0"/>
            <c:bubble3D val="0"/>
            <c:explosion val="8"/>
            <c:spPr>
              <a:solidFill>
                <a:srgbClr val="976431"/>
              </a:solidFill>
              <a:ln w="6350">
                <a:solidFill>
                  <a:schemeClr val="accent4">
                    <a:lumMod val="20000"/>
                    <a:lumOff val="80000"/>
                  </a:schemeClr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E9FE-4BA9-8364-CFF9EDF2B996}"/>
              </c:ext>
            </c:extLst>
          </c:dPt>
          <c:dPt>
            <c:idx val="3"/>
            <c:invertIfNegative val="0"/>
            <c:bubble3D val="0"/>
            <c:spPr>
              <a:solidFill>
                <a:srgbClr val="976431"/>
              </a:solidFill>
              <a:ln w="6350">
                <a:solidFill>
                  <a:schemeClr val="accent4">
                    <a:lumMod val="20000"/>
                    <a:lumOff val="80000"/>
                  </a:schemeClr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E9FE-4BA9-8364-CFF9EDF2B996}"/>
              </c:ext>
            </c:extLst>
          </c:dPt>
          <c:dPt>
            <c:idx val="4"/>
            <c:invertIfNegative val="0"/>
            <c:bubble3D val="0"/>
            <c:explosion val="5"/>
            <c:spPr>
              <a:solidFill>
                <a:srgbClr val="976431"/>
              </a:solidFill>
              <a:ln w="0">
                <a:solidFill>
                  <a:schemeClr val="accent4">
                    <a:lumMod val="20000"/>
                    <a:lumOff val="80000"/>
                  </a:schemeClr>
                </a:solidFill>
                <a:miter lim="800000"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E9FE-4BA9-8364-CFF9EDF2B996}"/>
              </c:ext>
            </c:extLst>
          </c:dPt>
          <c:dLbls>
            <c:dLbl>
              <c:idx val="0"/>
              <c:layout>
                <c:manualLayout>
                  <c:x val="1.8902814328625799E-3"/>
                  <c:y val="9.061502209952454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E9FE-4BA9-8364-CFF9EDF2B99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1.8024903670199413E-3"/>
                  <c:y val="8.778129006513990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E9FE-4BA9-8364-CFF9EDF2B996}"/>
                </c:ext>
                <c:ext xmlns:c15="http://schemas.microsoft.com/office/drawing/2012/chart" uri="{CE6537A1-D6FC-4f65-9D91-7224C49458BB}">
                  <c15:layout>
                    <c:manualLayout>
                      <c:w val="0.13069533695193808"/>
                      <c:h val="5.1896226090949696E-2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2.4696363839166388E-3"/>
                  <c:y val="-7.195469974081154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E9FE-4BA9-8364-CFF9EDF2B99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2.3492800466955381E-3"/>
                  <c:y val="9.611417523326169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'5.13'!$A$5:$A$9</c:f>
              <c:strCache>
                <c:ptCount val="5"/>
                <c:pt idx="0">
                  <c:v>Republic</c:v>
                </c:pt>
                <c:pt idx="1">
                  <c:v>Male'</c:v>
                </c:pt>
                <c:pt idx="2">
                  <c:v>Hulhumale'</c:v>
                </c:pt>
                <c:pt idx="3">
                  <c:v>Vilimale'</c:v>
                </c:pt>
                <c:pt idx="4">
                  <c:v>Atolls</c:v>
                </c:pt>
              </c:strCache>
            </c:strRef>
          </c:cat>
          <c:val>
            <c:numRef>
              <c:f>'5.13'!$B$5:$B$9</c:f>
              <c:numCache>
                <c:formatCode>#,##0</c:formatCode>
                <c:ptCount val="5"/>
                <c:pt idx="0">
                  <c:v>157560</c:v>
                </c:pt>
                <c:pt idx="1">
                  <c:v>46619</c:v>
                </c:pt>
                <c:pt idx="2">
                  <c:v>5001</c:v>
                </c:pt>
                <c:pt idx="3">
                  <c:v>247</c:v>
                </c:pt>
                <c:pt idx="4">
                  <c:v>88524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E9FE-4BA9-8364-CFF9EDF2B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378666168"/>
        <c:axId val="378673224"/>
      </c:barChart>
      <c:catAx>
        <c:axId val="378666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673224"/>
        <c:crosses val="autoZero"/>
        <c:auto val="1"/>
        <c:lblAlgn val="ctr"/>
        <c:lblOffset val="100"/>
        <c:noMultiLvlLbl val="0"/>
      </c:catAx>
      <c:valAx>
        <c:axId val="378673224"/>
        <c:scaling>
          <c:orientation val="minMax"/>
          <c:max val="160000"/>
        </c:scaling>
        <c:delete val="0"/>
        <c:axPos val="l"/>
        <c:majorGridlines>
          <c:spPr>
            <a:ln w="9525" cap="flat" cmpd="sng" algn="ctr">
              <a:solidFill>
                <a:srgbClr val="EBD7C3"/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666168"/>
        <c:crosses val="autoZero"/>
        <c:crossBetween val="between"/>
      </c:valAx>
      <c:spPr>
        <a:solidFill>
          <a:schemeClr val="bg1"/>
        </a:solidFill>
        <a:ln>
          <a:solidFill>
            <a:srgbClr val="EBD7C3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146050</xdr:colOff>
      <xdr:row>32</xdr:row>
      <xdr:rowOff>19446</xdr:rowOff>
    </xdr:from>
    <xdr:to>
      <xdr:col>5</xdr:col>
      <xdr:colOff>1289842</xdr:colOff>
      <xdr:row>47</xdr:row>
      <xdr:rowOff>57547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145255</xdr:colOff>
      <xdr:row>48</xdr:row>
      <xdr:rowOff>142874</xdr:rowOff>
    </xdr:from>
    <xdr:to>
      <xdr:col>5</xdr:col>
      <xdr:colOff>1240233</xdr:colOff>
      <xdr:row>64</xdr:row>
      <xdr:rowOff>138906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367110</xdr:colOff>
      <xdr:row>49</xdr:row>
      <xdr:rowOff>29765</xdr:rowOff>
    </xdr:from>
    <xdr:to>
      <xdr:col>4</xdr:col>
      <xdr:colOff>436562</xdr:colOff>
      <xdr:row>50</xdr:row>
      <xdr:rowOff>109140</xdr:rowOff>
    </xdr:to>
    <xdr:sp macro="" textlink="">
      <xdr:nvSpPr>
        <xdr:cNvPr id="4" name="TextBox 3"/>
        <xdr:cNvSpPr txBox="1"/>
      </xdr:nvSpPr>
      <xdr:spPr>
        <a:xfrm>
          <a:off x="1428751" y="9078515"/>
          <a:ext cx="3254374" cy="2678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5.16: Expatriate employees by locality, 2019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2"/>
  <sheetViews>
    <sheetView tabSelected="1" zoomScale="96" zoomScaleNormal="96" workbookViewId="0">
      <selection activeCell="L23" sqref="L23"/>
    </sheetView>
  </sheetViews>
  <sheetFormatPr defaultColWidth="15.85546875" defaultRowHeight="15" x14ac:dyDescent="0.25"/>
  <cols>
    <col min="1" max="1" width="27.140625" style="6" customWidth="1"/>
    <col min="2" max="5" width="17.28515625" style="6" customWidth="1"/>
    <col min="6" max="6" width="45.42578125" style="6" bestFit="1" customWidth="1"/>
    <col min="7" max="7" width="5.5703125" style="6" customWidth="1"/>
    <col min="8" max="16384" width="15.85546875" style="6"/>
  </cols>
  <sheetData>
    <row r="1" spans="1:18" s="7" customFormat="1" ht="21.75" x14ac:dyDescent="0.25">
      <c r="A1" s="35" t="s">
        <v>77</v>
      </c>
      <c r="B1" s="35"/>
      <c r="C1" s="35"/>
      <c r="D1" s="35"/>
      <c r="E1" s="35"/>
      <c r="F1" s="35"/>
    </row>
    <row r="2" spans="1:18" s="7" customFormat="1" ht="15.75" x14ac:dyDescent="0.25">
      <c r="A2" s="36" t="s">
        <v>76</v>
      </c>
      <c r="B2" s="36"/>
      <c r="C2" s="36"/>
      <c r="D2" s="36"/>
      <c r="E2" s="36"/>
      <c r="F2" s="36"/>
    </row>
    <row r="3" spans="1:18" s="7" customFormat="1" x14ac:dyDescent="0.25"/>
    <row r="4" spans="1:18" s="7" customFormat="1" ht="17.25" customHeight="1" x14ac:dyDescent="0.25">
      <c r="A4" s="15" t="s">
        <v>6</v>
      </c>
      <c r="B4" s="13" t="s">
        <v>47</v>
      </c>
      <c r="C4" s="13" t="s">
        <v>2</v>
      </c>
      <c r="D4" s="13" t="s">
        <v>48</v>
      </c>
      <c r="E4" s="9" t="s">
        <v>49</v>
      </c>
      <c r="F4" s="37" t="s">
        <v>7</v>
      </c>
    </row>
    <row r="5" spans="1:18" s="8" customFormat="1" ht="16.5" customHeight="1" x14ac:dyDescent="0.25">
      <c r="A5" s="8" t="s">
        <v>0</v>
      </c>
      <c r="B5" s="16">
        <f>SUM(C5:D5)</f>
        <v>157560</v>
      </c>
      <c r="C5" s="16">
        <f>SUM(C6:C9)</f>
        <v>147671</v>
      </c>
      <c r="D5" s="16">
        <f>SUM(D6:D9)</f>
        <v>9889</v>
      </c>
      <c r="E5" s="17">
        <f>B5/$B$5*100</f>
        <v>100</v>
      </c>
      <c r="F5" s="18" t="s">
        <v>8</v>
      </c>
    </row>
    <row r="6" spans="1:18" s="8" customFormat="1" ht="16.5" customHeight="1" x14ac:dyDescent="0.25">
      <c r="A6" s="10" t="s">
        <v>1</v>
      </c>
      <c r="B6" s="16">
        <v>46619</v>
      </c>
      <c r="C6" s="16">
        <v>57393</v>
      </c>
      <c r="D6" s="16">
        <v>4240</v>
      </c>
      <c r="E6" s="17">
        <f>B6/$B$5*100</f>
        <v>29.588093424727084</v>
      </c>
      <c r="F6" s="18" t="s">
        <v>3</v>
      </c>
    </row>
    <row r="7" spans="1:18" s="8" customFormat="1" ht="16.5" customHeight="1" x14ac:dyDescent="0.25">
      <c r="A7" s="12" t="s">
        <v>52</v>
      </c>
      <c r="B7" s="20">
        <v>5001</v>
      </c>
      <c r="C7" s="16">
        <v>6807</v>
      </c>
      <c r="D7" s="16">
        <v>310</v>
      </c>
      <c r="E7" s="21">
        <f t="shared" ref="E7:E29" si="0">B7/$B$5*100</f>
        <v>3.1740289413556741</v>
      </c>
      <c r="F7" s="28" t="s">
        <v>53</v>
      </c>
      <c r="O7" s="29"/>
    </row>
    <row r="8" spans="1:18" s="8" customFormat="1" ht="16.5" customHeight="1" x14ac:dyDescent="0.25">
      <c r="A8" s="12" t="s">
        <v>74</v>
      </c>
      <c r="B8" s="20">
        <v>247</v>
      </c>
      <c r="C8" s="16">
        <v>266</v>
      </c>
      <c r="D8" s="16">
        <v>20</v>
      </c>
      <c r="E8" s="21">
        <f t="shared" si="0"/>
        <v>0.15676567656765678</v>
      </c>
      <c r="F8" s="28" t="s">
        <v>75</v>
      </c>
      <c r="O8" s="29"/>
      <c r="R8" s="12" t="s">
        <v>10</v>
      </c>
    </row>
    <row r="9" spans="1:18" s="8" customFormat="1" ht="16.5" customHeight="1" x14ac:dyDescent="0.25">
      <c r="A9" s="19" t="s">
        <v>5</v>
      </c>
      <c r="B9" s="16">
        <f>SUM(B10:B29)</f>
        <v>88524</v>
      </c>
      <c r="C9" s="16">
        <f t="shared" ref="C9:D9" si="1">SUM(C10:C29)</f>
        <v>83205</v>
      </c>
      <c r="D9" s="16">
        <f t="shared" si="1"/>
        <v>5319</v>
      </c>
      <c r="E9" s="17">
        <f>B9/$B$5*100</f>
        <v>56.184310738766186</v>
      </c>
      <c r="F9" s="18" t="s">
        <v>4</v>
      </c>
      <c r="O9" s="29"/>
      <c r="R9" s="26" t="s">
        <v>12</v>
      </c>
    </row>
    <row r="10" spans="1:18" s="22" customFormat="1" ht="16.5" customHeight="1" x14ac:dyDescent="0.25">
      <c r="A10" s="30" t="s">
        <v>54</v>
      </c>
      <c r="B10" s="20">
        <f t="shared" ref="B10:B17" si="2">SUM(C10:D10)</f>
        <v>4145</v>
      </c>
      <c r="C10" s="3">
        <v>4026</v>
      </c>
      <c r="D10" s="3">
        <v>119</v>
      </c>
      <c r="E10" s="21">
        <f t="shared" si="0"/>
        <v>2.6307438436151309</v>
      </c>
      <c r="F10" s="32" t="s">
        <v>9</v>
      </c>
      <c r="O10" s="29"/>
      <c r="R10" s="26" t="s">
        <v>14</v>
      </c>
    </row>
    <row r="11" spans="1:18" s="22" customFormat="1" ht="16.5" customHeight="1" x14ac:dyDescent="0.25">
      <c r="A11" s="30" t="s">
        <v>55</v>
      </c>
      <c r="B11" s="20">
        <f t="shared" si="2"/>
        <v>3256</v>
      </c>
      <c r="C11" s="3">
        <v>3164</v>
      </c>
      <c r="D11" s="3">
        <v>92</v>
      </c>
      <c r="E11" s="21">
        <f t="shared" si="0"/>
        <v>2.0665143437420666</v>
      </c>
      <c r="F11" s="32" t="s">
        <v>11</v>
      </c>
      <c r="O11" s="29"/>
      <c r="R11" s="26" t="s">
        <v>16</v>
      </c>
    </row>
    <row r="12" spans="1:18" s="23" customFormat="1" ht="16.5" customHeight="1" x14ac:dyDescent="0.25">
      <c r="A12" s="30" t="s">
        <v>56</v>
      </c>
      <c r="B12" s="20">
        <f t="shared" si="2"/>
        <v>2126</v>
      </c>
      <c r="C12" s="3">
        <v>2014</v>
      </c>
      <c r="D12" s="3">
        <v>112</v>
      </c>
      <c r="E12" s="21">
        <f t="shared" si="0"/>
        <v>1.3493272404163492</v>
      </c>
      <c r="F12" s="32" t="s">
        <v>13</v>
      </c>
      <c r="O12" s="29"/>
      <c r="R12" s="26" t="s">
        <v>18</v>
      </c>
    </row>
    <row r="13" spans="1:18" s="22" customFormat="1" ht="16.5" customHeight="1" x14ac:dyDescent="0.25">
      <c r="A13" s="30" t="s">
        <v>57</v>
      </c>
      <c r="B13" s="20">
        <f t="shared" si="2"/>
        <v>4546</v>
      </c>
      <c r="C13" s="3">
        <v>4295</v>
      </c>
      <c r="D13" s="3">
        <v>251</v>
      </c>
      <c r="E13" s="21">
        <f t="shared" si="0"/>
        <v>2.8852500634678853</v>
      </c>
      <c r="F13" s="32" t="s">
        <v>15</v>
      </c>
      <c r="O13" s="29"/>
      <c r="R13" s="26" t="s">
        <v>20</v>
      </c>
    </row>
    <row r="14" spans="1:18" s="22" customFormat="1" ht="16.5" customHeight="1" x14ac:dyDescent="0.25">
      <c r="A14" s="30" t="s">
        <v>58</v>
      </c>
      <c r="B14" s="20">
        <f t="shared" si="2"/>
        <v>9679</v>
      </c>
      <c r="C14" s="3">
        <v>9307</v>
      </c>
      <c r="D14" s="3">
        <v>372</v>
      </c>
      <c r="E14" s="21">
        <f t="shared" si="0"/>
        <v>6.1430566133536431</v>
      </c>
      <c r="F14" s="32" t="s">
        <v>17</v>
      </c>
      <c r="O14" s="29"/>
      <c r="R14" s="26" t="s">
        <v>22</v>
      </c>
    </row>
    <row r="15" spans="1:18" s="22" customFormat="1" ht="16.5" customHeight="1" x14ac:dyDescent="0.25">
      <c r="A15" s="30" t="s">
        <v>59</v>
      </c>
      <c r="B15" s="20">
        <f t="shared" si="2"/>
        <v>6249</v>
      </c>
      <c r="C15" s="3">
        <v>5755</v>
      </c>
      <c r="D15" s="3">
        <v>494</v>
      </c>
      <c r="E15" s="21">
        <f t="shared" si="0"/>
        <v>3.9661081492764665</v>
      </c>
      <c r="F15" s="32" t="s">
        <v>19</v>
      </c>
      <c r="O15" s="29"/>
      <c r="R15" s="26" t="s">
        <v>24</v>
      </c>
    </row>
    <row r="16" spans="1:18" s="22" customFormat="1" ht="16.5" customHeight="1" x14ac:dyDescent="0.25">
      <c r="A16" s="30" t="s">
        <v>60</v>
      </c>
      <c r="B16" s="20">
        <f t="shared" si="2"/>
        <v>4237</v>
      </c>
      <c r="C16" s="3">
        <v>3710</v>
      </c>
      <c r="D16" s="3">
        <v>527</v>
      </c>
      <c r="E16" s="21">
        <f t="shared" si="0"/>
        <v>2.6891342980451891</v>
      </c>
      <c r="F16" s="32" t="s">
        <v>21</v>
      </c>
      <c r="O16" s="29"/>
      <c r="R16" s="26" t="s">
        <v>26</v>
      </c>
    </row>
    <row r="17" spans="1:18" s="22" customFormat="1" ht="16.5" customHeight="1" x14ac:dyDescent="0.25">
      <c r="A17" s="30" t="s">
        <v>61</v>
      </c>
      <c r="B17" s="20">
        <f t="shared" si="2"/>
        <v>21112</v>
      </c>
      <c r="C17" s="3">
        <v>19770</v>
      </c>
      <c r="D17" s="3">
        <v>1342</v>
      </c>
      <c r="E17" s="21">
        <f t="shared" si="0"/>
        <v>13.399339933993398</v>
      </c>
      <c r="F17" s="32" t="s">
        <v>23</v>
      </c>
      <c r="O17" s="29"/>
      <c r="R17" s="26" t="s">
        <v>28</v>
      </c>
    </row>
    <row r="18" spans="1:18" s="22" customFormat="1" ht="16.5" customHeight="1" x14ac:dyDescent="0.25">
      <c r="A18" s="30" t="s">
        <v>62</v>
      </c>
      <c r="B18" s="20">
        <f t="shared" ref="B18:B25" si="3">SUM(C18:D18)</f>
        <v>2815</v>
      </c>
      <c r="C18" s="3">
        <v>2503</v>
      </c>
      <c r="D18" s="3">
        <v>312</v>
      </c>
      <c r="E18" s="21">
        <f t="shared" si="0"/>
        <v>1.7866209697892865</v>
      </c>
      <c r="F18" s="32" t="s">
        <v>25</v>
      </c>
      <c r="O18" s="29"/>
      <c r="R18" s="26" t="s">
        <v>30</v>
      </c>
    </row>
    <row r="19" spans="1:18" s="22" customFormat="1" ht="16.5" customHeight="1" x14ac:dyDescent="0.25">
      <c r="A19" s="30" t="s">
        <v>63</v>
      </c>
      <c r="B19" s="20">
        <f t="shared" si="3"/>
        <v>3731</v>
      </c>
      <c r="C19" s="3">
        <v>3390</v>
      </c>
      <c r="D19" s="3">
        <v>341</v>
      </c>
      <c r="E19" s="21">
        <f t="shared" si="0"/>
        <v>2.3679867986798682</v>
      </c>
      <c r="F19" s="32" t="s">
        <v>27</v>
      </c>
      <c r="O19" s="29"/>
      <c r="R19" s="26" t="s">
        <v>32</v>
      </c>
    </row>
    <row r="20" spans="1:18" s="22" customFormat="1" ht="16.5" customHeight="1" x14ac:dyDescent="0.25">
      <c r="A20" s="30" t="s">
        <v>64</v>
      </c>
      <c r="B20" s="20">
        <f t="shared" si="3"/>
        <v>1404</v>
      </c>
      <c r="C20" s="3">
        <v>1337</v>
      </c>
      <c r="D20" s="3">
        <v>67</v>
      </c>
      <c r="E20" s="21">
        <f t="shared" si="0"/>
        <v>0.89108910891089099</v>
      </c>
      <c r="F20" s="32" t="s">
        <v>29</v>
      </c>
      <c r="O20" s="29"/>
      <c r="R20" s="26" t="s">
        <v>34</v>
      </c>
    </row>
    <row r="21" spans="1:18" s="22" customFormat="1" ht="16.5" customHeight="1" x14ac:dyDescent="0.25">
      <c r="A21" s="30" t="s">
        <v>65</v>
      </c>
      <c r="B21" s="20">
        <f t="shared" si="3"/>
        <v>1357</v>
      </c>
      <c r="C21" s="3">
        <v>1313</v>
      </c>
      <c r="D21" s="3">
        <v>44</v>
      </c>
      <c r="E21" s="21">
        <f t="shared" si="0"/>
        <v>0.86125920284336122</v>
      </c>
      <c r="F21" s="32" t="s">
        <v>31</v>
      </c>
      <c r="O21" s="29"/>
      <c r="R21" s="26" t="s">
        <v>50</v>
      </c>
    </row>
    <row r="22" spans="1:18" s="22" customFormat="1" ht="16.5" customHeight="1" x14ac:dyDescent="0.25">
      <c r="A22" s="30" t="s">
        <v>66</v>
      </c>
      <c r="B22" s="20">
        <f t="shared" si="3"/>
        <v>519</v>
      </c>
      <c r="C22" s="3">
        <v>489</v>
      </c>
      <c r="D22" s="3">
        <v>30</v>
      </c>
      <c r="E22" s="21">
        <f t="shared" si="0"/>
        <v>0.3293983244478294</v>
      </c>
      <c r="F22" s="32" t="s">
        <v>33</v>
      </c>
      <c r="O22" s="29"/>
      <c r="R22" s="26" t="s">
        <v>51</v>
      </c>
    </row>
    <row r="23" spans="1:18" s="22" customFormat="1" ht="16.5" customHeight="1" x14ac:dyDescent="0.25">
      <c r="A23" s="30" t="s">
        <v>67</v>
      </c>
      <c r="B23" s="20">
        <f t="shared" si="3"/>
        <v>2936</v>
      </c>
      <c r="C23" s="3">
        <v>2701</v>
      </c>
      <c r="D23" s="3">
        <v>235</v>
      </c>
      <c r="E23" s="21">
        <f t="shared" si="0"/>
        <v>1.8634171109418636</v>
      </c>
      <c r="F23" s="32" t="s">
        <v>35</v>
      </c>
      <c r="O23" s="29"/>
      <c r="R23" s="26" t="s">
        <v>38</v>
      </c>
    </row>
    <row r="24" spans="1:18" s="22" customFormat="1" ht="16.5" customHeight="1" x14ac:dyDescent="0.25">
      <c r="A24" s="30" t="s">
        <v>68</v>
      </c>
      <c r="B24" s="20">
        <f t="shared" si="3"/>
        <v>1639</v>
      </c>
      <c r="C24" s="3">
        <v>1563</v>
      </c>
      <c r="D24" s="3">
        <v>76</v>
      </c>
      <c r="E24" s="21">
        <f t="shared" si="0"/>
        <v>1.0402386392485403</v>
      </c>
      <c r="F24" s="32" t="s">
        <v>36</v>
      </c>
      <c r="O24" s="29"/>
      <c r="R24" s="26" t="s">
        <v>40</v>
      </c>
    </row>
    <row r="25" spans="1:18" s="8" customFormat="1" ht="16.5" customHeight="1" x14ac:dyDescent="0.25">
      <c r="A25" s="30" t="s">
        <v>69</v>
      </c>
      <c r="B25" s="20">
        <f t="shared" si="3"/>
        <v>3523</v>
      </c>
      <c r="C25" s="3">
        <v>3287</v>
      </c>
      <c r="D25" s="3">
        <v>236</v>
      </c>
      <c r="E25" s="21">
        <f t="shared" si="0"/>
        <v>2.2359735973597363</v>
      </c>
      <c r="F25" s="32" t="s">
        <v>37</v>
      </c>
      <c r="O25" s="29"/>
      <c r="R25" s="26" t="s">
        <v>42</v>
      </c>
    </row>
    <row r="26" spans="1:18" s="22" customFormat="1" ht="16.5" customHeight="1" x14ac:dyDescent="0.25">
      <c r="A26" s="30" t="s">
        <v>70</v>
      </c>
      <c r="B26" s="20">
        <f t="shared" ref="B26:B29" si="4">SUM(C26:D26)</f>
        <v>4637</v>
      </c>
      <c r="C26" s="3">
        <v>4446</v>
      </c>
      <c r="D26" s="3">
        <v>191</v>
      </c>
      <c r="E26" s="21">
        <f t="shared" si="0"/>
        <v>2.9430058390454432</v>
      </c>
      <c r="F26" s="32" t="s">
        <v>39</v>
      </c>
      <c r="O26" s="29"/>
      <c r="R26" s="26" t="s">
        <v>44</v>
      </c>
    </row>
    <row r="27" spans="1:18" s="22" customFormat="1" ht="16.5" customHeight="1" x14ac:dyDescent="0.25">
      <c r="A27" s="30" t="s">
        <v>71</v>
      </c>
      <c r="B27" s="20">
        <f t="shared" si="4"/>
        <v>2615</v>
      </c>
      <c r="C27" s="3">
        <v>2449</v>
      </c>
      <c r="D27" s="3">
        <v>166</v>
      </c>
      <c r="E27" s="21">
        <f t="shared" si="0"/>
        <v>1.6596851992891599</v>
      </c>
      <c r="F27" s="32" t="s">
        <v>41</v>
      </c>
      <c r="O27" s="29"/>
      <c r="R27" s="27" t="s">
        <v>46</v>
      </c>
    </row>
    <row r="28" spans="1:18" s="22" customFormat="1" ht="16.5" customHeight="1" x14ac:dyDescent="0.25">
      <c r="A28" s="30" t="s">
        <v>72</v>
      </c>
      <c r="B28" s="20">
        <f t="shared" si="4"/>
        <v>1297</v>
      </c>
      <c r="C28" s="4">
        <v>1243</v>
      </c>
      <c r="D28" s="4">
        <v>54</v>
      </c>
      <c r="E28" s="21">
        <f t="shared" si="0"/>
        <v>0.82317847169332325</v>
      </c>
      <c r="F28" s="32" t="s">
        <v>43</v>
      </c>
      <c r="O28" s="29"/>
    </row>
    <row r="29" spans="1:18" s="22" customFormat="1" ht="16.5" customHeight="1" x14ac:dyDescent="0.25">
      <c r="A29" s="31" t="s">
        <v>73</v>
      </c>
      <c r="B29" s="24">
        <f t="shared" si="4"/>
        <v>6701</v>
      </c>
      <c r="C29" s="5">
        <v>6443</v>
      </c>
      <c r="D29" s="5">
        <v>258</v>
      </c>
      <c r="E29" s="25">
        <f t="shared" si="0"/>
        <v>4.2529829906067533</v>
      </c>
      <c r="F29" s="33" t="s">
        <v>45</v>
      </c>
      <c r="O29" s="29"/>
    </row>
    <row r="30" spans="1:18" s="7" customFormat="1" ht="17.25" x14ac:dyDescent="0.25">
      <c r="A30" s="34" t="s">
        <v>78</v>
      </c>
      <c r="B30" s="1"/>
      <c r="C30" s="1"/>
      <c r="D30" s="1"/>
      <c r="E30" s="1"/>
      <c r="F30" s="2" t="s">
        <v>79</v>
      </c>
      <c r="O30" s="29"/>
    </row>
    <row r="31" spans="1:18" s="7" customFormat="1" ht="17.25" x14ac:dyDescent="0.25">
      <c r="A31" s="11"/>
      <c r="F31" s="2"/>
    </row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14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  <row r="48" s="7" customFormat="1" x14ac:dyDescent="0.25"/>
    <row r="49" s="7" customFormat="1" x14ac:dyDescent="0.25"/>
    <row r="50" s="7" customFormat="1" x14ac:dyDescent="0.25"/>
    <row r="51" s="7" customFormat="1" x14ac:dyDescent="0.25"/>
    <row r="52" s="7" customFormat="1" x14ac:dyDescent="0.25"/>
    <row r="53" s="7" customFormat="1" x14ac:dyDescent="0.25"/>
    <row r="54" s="7" customFormat="1" x14ac:dyDescent="0.25"/>
    <row r="55" s="7" customFormat="1" x14ac:dyDescent="0.25"/>
    <row r="56" s="7" customFormat="1" x14ac:dyDescent="0.25"/>
    <row r="57" s="7" customFormat="1" x14ac:dyDescent="0.25"/>
    <row r="58" s="7" customFormat="1" x14ac:dyDescent="0.25"/>
    <row r="59" s="7" customFormat="1" x14ac:dyDescent="0.25"/>
    <row r="60" s="7" customFormat="1" x14ac:dyDescent="0.25"/>
    <row r="61" s="7" customFormat="1" x14ac:dyDescent="0.25"/>
    <row r="62" s="7" customFormat="1" x14ac:dyDescent="0.25"/>
    <row r="63" s="7" customFormat="1" x14ac:dyDescent="0.25"/>
    <row r="64" s="7" customFormat="1" x14ac:dyDescent="0.25"/>
    <row r="65" spans="1:1" s="7" customFormat="1" x14ac:dyDescent="0.25"/>
    <row r="66" spans="1:1" s="7" customFormat="1" x14ac:dyDescent="0.25"/>
    <row r="67" spans="1:1" s="7" customFormat="1" x14ac:dyDescent="0.25"/>
    <row r="68" spans="1:1" s="7" customFormat="1" x14ac:dyDescent="0.25"/>
    <row r="69" spans="1:1" s="7" customFormat="1" x14ac:dyDescent="0.25">
      <c r="A69" s="14"/>
    </row>
    <row r="70" spans="1:1" s="7" customFormat="1" x14ac:dyDescent="0.25"/>
    <row r="71" spans="1:1" s="7" customFormat="1" x14ac:dyDescent="0.25"/>
    <row r="72" spans="1:1" s="7" customFormat="1" x14ac:dyDescent="0.25"/>
    <row r="73" spans="1:1" s="14" customFormat="1" x14ac:dyDescent="0.25">
      <c r="A73" s="7"/>
    </row>
    <row r="74" spans="1:1" s="7" customFormat="1" x14ac:dyDescent="0.25"/>
    <row r="75" spans="1:1" s="7" customFormat="1" x14ac:dyDescent="0.25"/>
    <row r="76" spans="1:1" s="7" customFormat="1" x14ac:dyDescent="0.25"/>
    <row r="77" spans="1:1" s="7" customFormat="1" x14ac:dyDescent="0.25"/>
    <row r="78" spans="1:1" s="7" customFormat="1" x14ac:dyDescent="0.25"/>
    <row r="79" spans="1:1" s="7" customFormat="1" x14ac:dyDescent="0.25"/>
    <row r="80" spans="1:1" s="7" customFormat="1" x14ac:dyDescent="0.25"/>
    <row r="81" s="7" customFormat="1" x14ac:dyDescent="0.25"/>
    <row r="82" s="7" customFormat="1" x14ac:dyDescent="0.25"/>
    <row r="83" s="7" customFormat="1" x14ac:dyDescent="0.25"/>
    <row r="84" s="7" customFormat="1" x14ac:dyDescent="0.25"/>
    <row r="85" s="7" customFormat="1" x14ac:dyDescent="0.25"/>
    <row r="86" s="7" customFormat="1" x14ac:dyDescent="0.25"/>
    <row r="87" s="7" customFormat="1" x14ac:dyDescent="0.25"/>
    <row r="88" s="7" customFormat="1" x14ac:dyDescent="0.25"/>
    <row r="89" s="7" customFormat="1" x14ac:dyDescent="0.25"/>
    <row r="90" s="7" customFormat="1" x14ac:dyDescent="0.25"/>
    <row r="91" s="7" customFormat="1" x14ac:dyDescent="0.25"/>
    <row r="92" s="7" customFormat="1" x14ac:dyDescent="0.25"/>
    <row r="93" s="7" customFormat="1" x14ac:dyDescent="0.25"/>
    <row r="94" s="7" customFormat="1" x14ac:dyDescent="0.25"/>
    <row r="95" s="7" customFormat="1" x14ac:dyDescent="0.25"/>
    <row r="96" s="7" customFormat="1" x14ac:dyDescent="0.25"/>
    <row r="97" s="7" customFormat="1" x14ac:dyDescent="0.25"/>
    <row r="98" s="7" customFormat="1" x14ac:dyDescent="0.25"/>
    <row r="99" s="7" customFormat="1" x14ac:dyDescent="0.25"/>
    <row r="100" s="7" customFormat="1" x14ac:dyDescent="0.25"/>
    <row r="101" s="7" customFormat="1" x14ac:dyDescent="0.25"/>
    <row r="102" s="7" customFormat="1" x14ac:dyDescent="0.25"/>
    <row r="103" s="7" customFormat="1" x14ac:dyDescent="0.25"/>
    <row r="104" s="7" customFormat="1" x14ac:dyDescent="0.25"/>
    <row r="105" s="7" customFormat="1" x14ac:dyDescent="0.25"/>
    <row r="106" s="7" customFormat="1" x14ac:dyDescent="0.25"/>
    <row r="107" s="7" customFormat="1" x14ac:dyDescent="0.25"/>
    <row r="108" s="7" customFormat="1" x14ac:dyDescent="0.25"/>
    <row r="109" s="7" customFormat="1" x14ac:dyDescent="0.25"/>
    <row r="110" s="7" customFormat="1" x14ac:dyDescent="0.25"/>
    <row r="111" s="7" customFormat="1" x14ac:dyDescent="0.25"/>
    <row r="112" s="7" customFormat="1" x14ac:dyDescent="0.25"/>
    <row r="113" s="7" customFormat="1" x14ac:dyDescent="0.25"/>
    <row r="114" s="7" customFormat="1" x14ac:dyDescent="0.25"/>
    <row r="115" s="7" customFormat="1" x14ac:dyDescent="0.25"/>
    <row r="116" s="7" customFormat="1" x14ac:dyDescent="0.25"/>
    <row r="117" s="7" customFormat="1" x14ac:dyDescent="0.25"/>
    <row r="118" s="7" customFormat="1" x14ac:dyDescent="0.25"/>
    <row r="119" s="7" customFormat="1" x14ac:dyDescent="0.25"/>
    <row r="120" s="7" customFormat="1" x14ac:dyDescent="0.25"/>
    <row r="121" s="7" customFormat="1" x14ac:dyDescent="0.25"/>
    <row r="122" s="7" customFormat="1" x14ac:dyDescent="0.25"/>
    <row r="123" s="7" customFormat="1" x14ac:dyDescent="0.25"/>
    <row r="124" s="7" customFormat="1" x14ac:dyDescent="0.25"/>
    <row r="125" s="7" customFormat="1" x14ac:dyDescent="0.25"/>
    <row r="126" s="7" customFormat="1" x14ac:dyDescent="0.25"/>
    <row r="127" s="7" customFormat="1" x14ac:dyDescent="0.25"/>
    <row r="128" s="7" customFormat="1" x14ac:dyDescent="0.25"/>
    <row r="129" s="7" customFormat="1" x14ac:dyDescent="0.25"/>
    <row r="130" s="14" customFormat="1" x14ac:dyDescent="0.25"/>
    <row r="131" s="7" customFormat="1" x14ac:dyDescent="0.25"/>
    <row r="132" s="7" customFormat="1" x14ac:dyDescent="0.25"/>
    <row r="133" s="7" customFormat="1" x14ac:dyDescent="0.25"/>
    <row r="134" s="7" customFormat="1" x14ac:dyDescent="0.25"/>
    <row r="135" s="7" customFormat="1" x14ac:dyDescent="0.25"/>
    <row r="136" s="7" customFormat="1" x14ac:dyDescent="0.25"/>
    <row r="137" s="7" customFormat="1" x14ac:dyDescent="0.25"/>
    <row r="138" s="7" customFormat="1" x14ac:dyDescent="0.25"/>
    <row r="139" s="7" customFormat="1" x14ac:dyDescent="0.25"/>
    <row r="140" s="7" customFormat="1" x14ac:dyDescent="0.25"/>
    <row r="141" s="7" customFormat="1" x14ac:dyDescent="0.25"/>
    <row r="142" s="7" customFormat="1" x14ac:dyDescent="0.25"/>
    <row r="143" s="7" customFormat="1" x14ac:dyDescent="0.25"/>
    <row r="144" s="7" customFormat="1" x14ac:dyDescent="0.25"/>
    <row r="145" s="7" customFormat="1" x14ac:dyDescent="0.25"/>
    <row r="146" s="7" customFormat="1" x14ac:dyDescent="0.25"/>
    <row r="147" s="7" customFormat="1" x14ac:dyDescent="0.25"/>
    <row r="148" s="7" customFormat="1" x14ac:dyDescent="0.25"/>
    <row r="149" s="14" customFormat="1" x14ac:dyDescent="0.25"/>
    <row r="150" s="7" customFormat="1" x14ac:dyDescent="0.25"/>
    <row r="151" s="7" customFormat="1" x14ac:dyDescent="0.25"/>
    <row r="152" s="7" customFormat="1" x14ac:dyDescent="0.25"/>
    <row r="153" s="7" customFormat="1" x14ac:dyDescent="0.25"/>
    <row r="154" s="7" customFormat="1" x14ac:dyDescent="0.25"/>
    <row r="155" s="7" customFormat="1" x14ac:dyDescent="0.25"/>
    <row r="156" s="7" customFormat="1" x14ac:dyDescent="0.25"/>
    <row r="157" s="7" customFormat="1" x14ac:dyDescent="0.25"/>
    <row r="158" s="7" customFormat="1" x14ac:dyDescent="0.25"/>
    <row r="159" s="7" customFormat="1" x14ac:dyDescent="0.25"/>
    <row r="160" s="7" customFormat="1" x14ac:dyDescent="0.25"/>
    <row r="161" s="7" customFormat="1" x14ac:dyDescent="0.25"/>
    <row r="162" s="7" customFormat="1" x14ac:dyDescent="0.25"/>
    <row r="163" s="7" customFormat="1" x14ac:dyDescent="0.25"/>
    <row r="164" s="7" customFormat="1" x14ac:dyDescent="0.25"/>
    <row r="165" s="7" customFormat="1" x14ac:dyDescent="0.25"/>
    <row r="166" s="7" customFormat="1" x14ac:dyDescent="0.25"/>
    <row r="167" s="7" customFormat="1" x14ac:dyDescent="0.25"/>
    <row r="168" s="7" customFormat="1" x14ac:dyDescent="0.25"/>
    <row r="169" s="7" customFormat="1" x14ac:dyDescent="0.25"/>
    <row r="170" s="7" customFormat="1" x14ac:dyDescent="0.25"/>
    <row r="171" s="7" customFormat="1" x14ac:dyDescent="0.25"/>
    <row r="172" s="14" customFormat="1" x14ac:dyDescent="0.25"/>
    <row r="173" s="7" customFormat="1" x14ac:dyDescent="0.25"/>
    <row r="174" s="7" customFormat="1" x14ac:dyDescent="0.25"/>
    <row r="175" s="7" customFormat="1" x14ac:dyDescent="0.25"/>
    <row r="176" s="7" customFormat="1" x14ac:dyDescent="0.25"/>
    <row r="177" s="7" customFormat="1" x14ac:dyDescent="0.25"/>
    <row r="178" s="7" customFormat="1" x14ac:dyDescent="0.25"/>
    <row r="179" s="7" customFormat="1" x14ac:dyDescent="0.25"/>
    <row r="180" s="7" customFormat="1" x14ac:dyDescent="0.25"/>
    <row r="181" s="7" customFormat="1" x14ac:dyDescent="0.25"/>
    <row r="182" s="7" customFormat="1" x14ac:dyDescent="0.25"/>
    <row r="183" s="7" customFormat="1" x14ac:dyDescent="0.25"/>
    <row r="184" s="14" customFormat="1" x14ac:dyDescent="0.25"/>
    <row r="185" s="7" customFormat="1" x14ac:dyDescent="0.25"/>
    <row r="186" s="7" customFormat="1" x14ac:dyDescent="0.25"/>
    <row r="187" s="7" customFormat="1" x14ac:dyDescent="0.25"/>
    <row r="188" s="7" customFormat="1" x14ac:dyDescent="0.25"/>
    <row r="189" s="7" customFormat="1" x14ac:dyDescent="0.25"/>
    <row r="190" s="7" customFormat="1" x14ac:dyDescent="0.25"/>
    <row r="191" s="7" customFormat="1" x14ac:dyDescent="0.25"/>
    <row r="192" s="7" customFormat="1" x14ac:dyDescent="0.25"/>
    <row r="193" s="7" customFormat="1" x14ac:dyDescent="0.25"/>
    <row r="194" s="7" customFormat="1" x14ac:dyDescent="0.25"/>
    <row r="195" s="7" customFormat="1" x14ac:dyDescent="0.25"/>
    <row r="196" s="7" customFormat="1" x14ac:dyDescent="0.25"/>
    <row r="197" s="7" customFormat="1" x14ac:dyDescent="0.25"/>
    <row r="198" s="7" customFormat="1" x14ac:dyDescent="0.25"/>
    <row r="199" s="7" customFormat="1" x14ac:dyDescent="0.25"/>
    <row r="200" s="7" customFormat="1" x14ac:dyDescent="0.25"/>
    <row r="201" s="7" customFormat="1" x14ac:dyDescent="0.25"/>
    <row r="202" s="7" customFormat="1" x14ac:dyDescent="0.25"/>
    <row r="203" s="7" customFormat="1" x14ac:dyDescent="0.25"/>
    <row r="204" s="7" customFormat="1" x14ac:dyDescent="0.25"/>
    <row r="205" s="7" customFormat="1" x14ac:dyDescent="0.25"/>
    <row r="206" s="7" customFormat="1" x14ac:dyDescent="0.25"/>
    <row r="207" s="7" customFormat="1" x14ac:dyDescent="0.25"/>
    <row r="208" s="7" customFormat="1" x14ac:dyDescent="0.25"/>
    <row r="209" s="7" customFormat="1" x14ac:dyDescent="0.25"/>
    <row r="210" s="7" customFormat="1" x14ac:dyDescent="0.25"/>
    <row r="211" s="7" customFormat="1" x14ac:dyDescent="0.25"/>
    <row r="212" s="7" customFormat="1" x14ac:dyDescent="0.25"/>
    <row r="213" s="14" customFormat="1" x14ac:dyDescent="0.25"/>
    <row r="214" s="7" customFormat="1" x14ac:dyDescent="0.25"/>
    <row r="215" s="7" customFormat="1" x14ac:dyDescent="0.25"/>
    <row r="216" s="7" customFormat="1" x14ac:dyDescent="0.25"/>
    <row r="217" s="7" customFormat="1" x14ac:dyDescent="0.25"/>
    <row r="218" s="7" customFormat="1" x14ac:dyDescent="0.25"/>
    <row r="219" s="7" customFormat="1" x14ac:dyDescent="0.25"/>
    <row r="220" s="7" customFormat="1" x14ac:dyDescent="0.25"/>
    <row r="221" s="7" customFormat="1" x14ac:dyDescent="0.25"/>
    <row r="222" s="7" customFormat="1" x14ac:dyDescent="0.25"/>
    <row r="223" s="7" customFormat="1" x14ac:dyDescent="0.25"/>
    <row r="224" s="7" customFormat="1" x14ac:dyDescent="0.25"/>
    <row r="225" s="7" customFormat="1" x14ac:dyDescent="0.25"/>
    <row r="226" s="7" customFormat="1" x14ac:dyDescent="0.25"/>
    <row r="227" s="7" customFormat="1" x14ac:dyDescent="0.25"/>
    <row r="228" s="7" customFormat="1" x14ac:dyDescent="0.25"/>
    <row r="229" s="7" customFormat="1" x14ac:dyDescent="0.25"/>
    <row r="230" s="7" customFormat="1" x14ac:dyDescent="0.25"/>
    <row r="231" s="7" customFormat="1" x14ac:dyDescent="0.25"/>
    <row r="232" s="7" customFormat="1" x14ac:dyDescent="0.25"/>
    <row r="233" s="7" customFormat="1" x14ac:dyDescent="0.25"/>
    <row r="234" s="7" customFormat="1" x14ac:dyDescent="0.25"/>
    <row r="235" s="7" customFormat="1" x14ac:dyDescent="0.25"/>
    <row r="236" s="7" customFormat="1" x14ac:dyDescent="0.25"/>
    <row r="237" s="7" customFormat="1" x14ac:dyDescent="0.25"/>
    <row r="238" s="7" customFormat="1" x14ac:dyDescent="0.25"/>
    <row r="239" s="7" customFormat="1" x14ac:dyDescent="0.25"/>
    <row r="240" s="7" customFormat="1" x14ac:dyDescent="0.25"/>
    <row r="241" s="7" customFormat="1" x14ac:dyDescent="0.25"/>
    <row r="242" s="7" customFormat="1" x14ac:dyDescent="0.25"/>
    <row r="243" s="7" customFormat="1" x14ac:dyDescent="0.25"/>
    <row r="244" s="7" customFormat="1" x14ac:dyDescent="0.25"/>
    <row r="245" s="7" customFormat="1" x14ac:dyDescent="0.25"/>
    <row r="246" s="7" customFormat="1" x14ac:dyDescent="0.25"/>
    <row r="247" s="7" customFormat="1" x14ac:dyDescent="0.25"/>
    <row r="248" s="7" customFormat="1" x14ac:dyDescent="0.25"/>
    <row r="249" s="7" customFormat="1" x14ac:dyDescent="0.25"/>
    <row r="250" s="14" customFormat="1" x14ac:dyDescent="0.25"/>
    <row r="251" s="7" customFormat="1" x14ac:dyDescent="0.25"/>
    <row r="252" s="7" customFormat="1" x14ac:dyDescent="0.25"/>
    <row r="253" s="7" customFormat="1" x14ac:dyDescent="0.25"/>
    <row r="254" s="7" customFormat="1" x14ac:dyDescent="0.25"/>
    <row r="255" s="7" customFormat="1" x14ac:dyDescent="0.25"/>
    <row r="256" s="7" customFormat="1" x14ac:dyDescent="0.25"/>
    <row r="257" s="7" customFormat="1" x14ac:dyDescent="0.25"/>
    <row r="258" s="7" customFormat="1" x14ac:dyDescent="0.25"/>
    <row r="259" s="7" customFormat="1" x14ac:dyDescent="0.25"/>
    <row r="260" s="7" customFormat="1" x14ac:dyDescent="0.25"/>
    <row r="261" s="7" customFormat="1" x14ac:dyDescent="0.25"/>
    <row r="262" s="7" customFormat="1" x14ac:dyDescent="0.25"/>
    <row r="263" s="14" customFormat="1" x14ac:dyDescent="0.25"/>
    <row r="264" s="7" customFormat="1" x14ac:dyDescent="0.25"/>
    <row r="265" s="7" customFormat="1" x14ac:dyDescent="0.25"/>
    <row r="266" s="7" customFormat="1" x14ac:dyDescent="0.25"/>
    <row r="267" s="7" customFormat="1" x14ac:dyDescent="0.25"/>
    <row r="268" s="7" customFormat="1" x14ac:dyDescent="0.25"/>
    <row r="269" s="7" customFormat="1" x14ac:dyDescent="0.25"/>
    <row r="270" s="7" customFormat="1" x14ac:dyDescent="0.25"/>
    <row r="271" s="7" customFormat="1" x14ac:dyDescent="0.25"/>
    <row r="272" s="7" customFormat="1" x14ac:dyDescent="0.25"/>
    <row r="273" s="7" customFormat="1" x14ac:dyDescent="0.25"/>
    <row r="274" s="7" customFormat="1" x14ac:dyDescent="0.25"/>
    <row r="275" s="7" customFormat="1" x14ac:dyDescent="0.25"/>
    <row r="276" s="7" customFormat="1" x14ac:dyDescent="0.25"/>
    <row r="277" s="7" customFormat="1" x14ac:dyDescent="0.25"/>
    <row r="278" s="7" customFormat="1" x14ac:dyDescent="0.25"/>
    <row r="279" s="7" customFormat="1" x14ac:dyDescent="0.25"/>
    <row r="280" s="7" customFormat="1" x14ac:dyDescent="0.25"/>
    <row r="281" s="7" customFormat="1" x14ac:dyDescent="0.25"/>
    <row r="282" s="7" customFormat="1" x14ac:dyDescent="0.25"/>
    <row r="283" s="7" customFormat="1" x14ac:dyDescent="0.25"/>
    <row r="284" s="7" customFormat="1" x14ac:dyDescent="0.25"/>
    <row r="285" s="7" customFormat="1" x14ac:dyDescent="0.25"/>
    <row r="286" s="7" customFormat="1" x14ac:dyDescent="0.25"/>
    <row r="287" s="7" customFormat="1" x14ac:dyDescent="0.25"/>
    <row r="288" s="14" customFormat="1" x14ac:dyDescent="0.25"/>
    <row r="289" s="7" customFormat="1" x14ac:dyDescent="0.25"/>
    <row r="290" s="7" customFormat="1" x14ac:dyDescent="0.25"/>
    <row r="291" s="7" customFormat="1" x14ac:dyDescent="0.25"/>
    <row r="292" s="7" customFormat="1" x14ac:dyDescent="0.25"/>
    <row r="293" s="7" customFormat="1" x14ac:dyDescent="0.25"/>
    <row r="294" s="7" customFormat="1" x14ac:dyDescent="0.25"/>
    <row r="295" s="7" customFormat="1" x14ac:dyDescent="0.25"/>
    <row r="296" s="7" customFormat="1" x14ac:dyDescent="0.25"/>
    <row r="297" s="7" customFormat="1" x14ac:dyDescent="0.25"/>
    <row r="298" s="7" customFormat="1" x14ac:dyDescent="0.25"/>
    <row r="299" s="7" customFormat="1" x14ac:dyDescent="0.25"/>
    <row r="300" s="7" customFormat="1" x14ac:dyDescent="0.25"/>
    <row r="301" s="7" customFormat="1" x14ac:dyDescent="0.25"/>
    <row r="302" s="7" customFormat="1" x14ac:dyDescent="0.25"/>
    <row r="303" s="7" customFormat="1" x14ac:dyDescent="0.25"/>
    <row r="304" s="14" customFormat="1" x14ac:dyDescent="0.25"/>
    <row r="305" s="7" customFormat="1" x14ac:dyDescent="0.25"/>
    <row r="306" s="7" customFormat="1" x14ac:dyDescent="0.25"/>
    <row r="307" s="7" customFormat="1" x14ac:dyDescent="0.25"/>
    <row r="308" s="7" customFormat="1" x14ac:dyDescent="0.25"/>
    <row r="309" s="7" customFormat="1" x14ac:dyDescent="0.25"/>
    <row r="310" s="7" customFormat="1" x14ac:dyDescent="0.25"/>
    <row r="311" s="7" customFormat="1" x14ac:dyDescent="0.25"/>
    <row r="312" s="7" customFormat="1" x14ac:dyDescent="0.25"/>
  </sheetData>
  <mergeCells count="2">
    <mergeCell ref="A1:F1"/>
    <mergeCell ref="A2:F2"/>
  </mergeCells>
  <pageMargins left="0.7" right="0.7" top="0.75" bottom="0.75" header="0.3" footer="0.3"/>
  <pageSetup paperSize="9" scale="5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5.13</vt:lpstr>
      <vt:lpstr>'5.13'!Print_Area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2020-07-10T18:04:38Z</cp:lastPrinted>
  <dcterms:created xsi:type="dcterms:W3CDTF">2019-06-03T04:17:39Z</dcterms:created>
  <dcterms:modified xsi:type="dcterms:W3CDTF">2020-07-10T18:04:56Z</dcterms:modified>
</cp:coreProperties>
</file>