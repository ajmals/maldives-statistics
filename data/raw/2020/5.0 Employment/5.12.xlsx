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5. EMPLOYMENT\"/>
    </mc:Choice>
  </mc:AlternateContent>
  <bookViews>
    <workbookView xWindow="0" yWindow="0" windowWidth="28800" windowHeight="12435" tabRatio="692"/>
  </bookViews>
  <sheets>
    <sheet name="5.12" sheetId="17" r:id="rId1"/>
  </sheets>
  <definedNames>
    <definedName name="_xlnm.Print_Area" localSheetId="0">'5.12'!$A$1:$F$56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" i="17" l="1"/>
  <c r="P35" i="17"/>
  <c r="O36" i="17"/>
  <c r="P36" i="17"/>
  <c r="O37" i="17"/>
  <c r="P37" i="17"/>
  <c r="O38" i="17"/>
  <c r="P38" i="17"/>
  <c r="O39" i="17"/>
  <c r="P39" i="17"/>
  <c r="O40" i="17"/>
  <c r="P40" i="17"/>
  <c r="O41" i="17"/>
  <c r="P41" i="17"/>
  <c r="O42" i="17"/>
  <c r="P42" i="17"/>
  <c r="O43" i="17"/>
  <c r="P43" i="17"/>
  <c r="O44" i="17"/>
  <c r="P44" i="17"/>
  <c r="O45" i="17"/>
  <c r="P45" i="17"/>
  <c r="O46" i="17"/>
  <c r="P46" i="17"/>
  <c r="O47" i="17"/>
  <c r="P47" i="17"/>
  <c r="O48" i="17"/>
  <c r="P48" i="17"/>
  <c r="O49" i="17"/>
  <c r="P49" i="17"/>
  <c r="O50" i="17"/>
  <c r="P50" i="17"/>
  <c r="O51" i="17"/>
  <c r="P51" i="17"/>
  <c r="O52" i="17"/>
  <c r="P52" i="17"/>
  <c r="O53" i="17"/>
  <c r="P53" i="17"/>
  <c r="P34" i="17"/>
  <c r="O34" i="17"/>
  <c r="B6" i="17"/>
  <c r="B7" i="17"/>
  <c r="B8" i="17"/>
  <c r="C5" i="17"/>
  <c r="D5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5" i="17" l="1"/>
  <c r="E7" i="17" s="1"/>
  <c r="E6" i="17" l="1"/>
  <c r="E8" i="17"/>
  <c r="E24" i="17"/>
  <c r="E21" i="17"/>
  <c r="E18" i="17"/>
  <c r="E15" i="17"/>
  <c r="E12" i="17"/>
  <c r="E9" i="17"/>
  <c r="E22" i="17"/>
  <c r="E19" i="17"/>
  <c r="E16" i="17"/>
  <c r="E13" i="17"/>
  <c r="E10" i="17"/>
  <c r="E23" i="17"/>
  <c r="E20" i="17"/>
  <c r="E17" i="17"/>
  <c r="E14" i="17"/>
  <c r="E11" i="17"/>
  <c r="E5" i="17"/>
</calcChain>
</file>

<file path=xl/sharedStrings.xml><?xml version="1.0" encoding="utf-8"?>
<sst xmlns="http://schemas.openxmlformats.org/spreadsheetml/2006/main" count="91" uniqueCount="54">
  <si>
    <t>Male</t>
  </si>
  <si>
    <t>Female</t>
  </si>
  <si>
    <t>Total</t>
  </si>
  <si>
    <t>ޖުމްލަ</t>
  </si>
  <si>
    <t xml:space="preserve">Total </t>
  </si>
  <si>
    <t xml:space="preserve">Female </t>
  </si>
  <si>
    <t>% share</t>
  </si>
  <si>
    <t>Grand Total</t>
  </si>
  <si>
    <t>Others</t>
  </si>
  <si>
    <t xml:space="preserve"> Industry</t>
  </si>
  <si>
    <t>Agriculture</t>
  </si>
  <si>
    <t>Construction</t>
  </si>
  <si>
    <t>Education</t>
  </si>
  <si>
    <t>Electricity, gas &amp; water supply</t>
  </si>
  <si>
    <t>Financial intermediation</t>
  </si>
  <si>
    <t>Fishery</t>
  </si>
  <si>
    <t>Health &amp; Social Work</t>
  </si>
  <si>
    <t>Hotels &amp; Restaurants</t>
  </si>
  <si>
    <t>Manufacturing</t>
  </si>
  <si>
    <t>Other Community, Social and Personal Services</t>
  </si>
  <si>
    <t>Real Estate, Renting &amp; Business Activities</t>
  </si>
  <si>
    <t>Recycling</t>
  </si>
  <si>
    <t>Tourism</t>
  </si>
  <si>
    <t>Transport, Storage &amp; Communication</t>
  </si>
  <si>
    <t>Whole sale &amp; retail trade; repair of motor vehicles, motor cycles &amp; personal  household goods</t>
  </si>
  <si>
    <t>cnwkirevuDnwd</t>
  </si>
  <si>
    <t>cnwkirevcswm</t>
  </si>
  <si>
    <t>cnudcaefuaitekwt</t>
  </si>
  <si>
    <t>cnef idwa csEgiaWTcnwrwk</t>
  </si>
  <si>
    <t>cnurukctWrWmiA</t>
  </si>
  <si>
    <t>WriaWd ImIluAwt</t>
  </si>
  <si>
    <t>cTcnerOTcser idwa WToh</t>
  </si>
  <si>
    <t>cnwkirevurutwf</t>
  </si>
  <si>
    <t>utWlwsWvum idwa cnuTcaeheleb cSokWkcawrWdum ,iaWrutwfurutwd</t>
  </si>
  <si>
    <t>ސިއްޚި އަދި އިޖްތިމާޢީ</t>
  </si>
  <si>
    <t>irWfwyiv egutWrWmia iaWrodegitOg</t>
  </si>
  <si>
    <t>ޕްރޮފެޝަނަލް، ސައިންޓިފިކް އަދި ޓެކްނިކަލް ޚިދުމަތްތައް</t>
  </si>
  <si>
    <t>ދާއިރާ</t>
  </si>
  <si>
    <t>ރީސައިކަލްކުރުން</t>
  </si>
  <si>
    <t xml:space="preserve">ގަނޑުކޮށް އަދި ވަކިން މުދާޒިއްކުން؛ އިންޖީނުލީ އެއްގަމު އުޅަދުފަހަރާއި ގޭގައި ހިފާގެންގުޅޭ ސާމާނު މަރާމާތުގެ ޚިދްމަތް  </t>
  </si>
  <si>
    <t>ފައިނޭންޝަލް ޚިދުމަތްތައް</t>
  </si>
  <si>
    <t>Table 5.12: Expatriate Employment by Industry and Sex, 2019</t>
  </si>
  <si>
    <t>ތާވަލު 5.12: ރާއްޖޭގައި ބިދޭސީ މަސައްކަތްތެރިން މަސައްކަތްކުރާ ދާއިރާއާއި ޖިންސު، 2019</t>
  </si>
  <si>
    <t>Company Operators</t>
  </si>
  <si>
    <t>Domestic</t>
  </si>
  <si>
    <t>Government</t>
  </si>
  <si>
    <t>Top five industry - Expatriate Employment by Nationality</t>
  </si>
  <si>
    <t xml:space="preserve">އެހެނިހެން </t>
  </si>
  <si>
    <t xml:space="preserve">ctwmcdiK ItWz idwa IaWmitcjia އެހެނިހެން </t>
  </si>
  <si>
    <t>ސަރުކާރު</t>
  </si>
  <si>
    <t>ޑޮމެސްޓިކް</t>
  </si>
  <si>
    <t>ކޮމްޕެނީ އޮޕަރޭޓަރސް</t>
  </si>
  <si>
    <t>Source: Ministry of Economic Development</t>
  </si>
  <si>
    <t>މަޢުލޫމާތު ފޯރުކޯށްދެއްވީ: މިނިސްޓްރީ އޮފް އިކޮނޮމިކް ޑިވެލޮޕްމަންޓް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</si>
</sst>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8" formatCode="0.0%"/>
    <numFmt numFmtId="169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sz val="9"/>
      <color theme="1"/>
      <name val="Faruma"/>
    </font>
    <font>
      <sz val="10"/>
      <name val="A_Faseyha"/>
    </font>
    <font>
      <sz val="9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9" fillId="0" borderId="0"/>
    <xf numFmtId="0" fontId="4" fillId="0" borderId="0"/>
    <xf numFmtId="164" fontId="4" fillId="0" borderId="0"/>
    <xf numFmtId="0" fontId="3" fillId="0" borderId="0"/>
    <xf numFmtId="43" fontId="3" fillId="0" borderId="0" applyFont="0" applyFill="0" applyBorder="0" applyAlignment="0" applyProtection="0"/>
    <xf numFmtId="0" fontId="11" fillId="0" borderId="0"/>
  </cellStyleXfs>
  <cellXfs count="44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3" fontId="6" fillId="2" borderId="0" xfId="4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0" fillId="2" borderId="1" xfId="0" applyFill="1" applyBorder="1" applyAlignment="1">
      <alignment vertical="center"/>
    </xf>
    <xf numFmtId="9" fontId="0" fillId="2" borderId="0" xfId="2" applyFont="1" applyFill="1"/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168" fontId="7" fillId="2" borderId="0" xfId="2" applyNumberFormat="1" applyFont="1" applyFill="1" applyBorder="1" applyAlignment="1"/>
    <xf numFmtId="3" fontId="0" fillId="2" borderId="1" xfId="0" applyNumberForma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164" fontId="8" fillId="2" borderId="0" xfId="3" applyNumberFormat="1" applyFont="1" applyFill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168" fontId="0" fillId="2" borderId="0" xfId="2" applyNumberFormat="1" applyFont="1" applyFill="1"/>
    <xf numFmtId="169" fontId="0" fillId="2" borderId="0" xfId="1" applyNumberFormat="1" applyFont="1" applyFill="1" applyAlignment="1">
      <alignment horizontal="left"/>
    </xf>
    <xf numFmtId="169" fontId="0" fillId="2" borderId="0" xfId="1" applyNumberFormat="1" applyFont="1" applyFill="1"/>
    <xf numFmtId="0" fontId="5" fillId="2" borderId="0" xfId="0" applyFont="1" applyFill="1" applyAlignment="1">
      <alignment horizontal="center" vertical="center"/>
    </xf>
    <xf numFmtId="37" fontId="2" fillId="2" borderId="0" xfId="1" applyNumberFormat="1" applyFont="1" applyFill="1" applyBorder="1" applyAlignment="1">
      <alignment horizontal="right" vertical="center"/>
    </xf>
    <xf numFmtId="168" fontId="0" fillId="2" borderId="0" xfId="2" applyNumberFormat="1" applyFont="1" applyFill="1" applyAlignment="1">
      <alignment vertical="center"/>
    </xf>
    <xf numFmtId="168" fontId="0" fillId="2" borderId="1" xfId="2" applyNumberFormat="1" applyFont="1" applyFill="1" applyBorder="1" applyAlignment="1">
      <alignment vertical="center"/>
    </xf>
    <xf numFmtId="3" fontId="0" fillId="2" borderId="0" xfId="0" applyNumberFormat="1" applyFill="1" applyBorder="1" applyAlignment="1">
      <alignment vertical="center"/>
    </xf>
    <xf numFmtId="168" fontId="0" fillId="2" borderId="0" xfId="2" applyNumberFormat="1" applyFont="1" applyFill="1" applyBorder="1" applyAlignment="1">
      <alignment vertical="center"/>
    </xf>
    <xf numFmtId="164" fontId="14" fillId="2" borderId="0" xfId="8" applyFont="1" applyFill="1" applyBorder="1" applyAlignment="1">
      <alignment horizontal="right" vertical="center" indent="3"/>
    </xf>
    <xf numFmtId="0" fontId="0" fillId="2" borderId="0" xfId="0" applyFill="1" applyBorder="1" applyAlignment="1">
      <alignment vertical="center" wrapText="1"/>
    </xf>
    <xf numFmtId="164" fontId="13" fillId="2" borderId="0" xfId="7" applyNumberFormat="1" applyFont="1" applyFill="1" applyBorder="1" applyAlignment="1" applyProtection="1">
      <alignment horizontal="right" vertical="center" indent="3"/>
    </xf>
    <xf numFmtId="164" fontId="15" fillId="2" borderId="0" xfId="3" applyNumberFormat="1" applyFont="1" applyFill="1" applyBorder="1" applyAlignment="1" applyProtection="1">
      <alignment horizontal="right" vertical="center" indent="3"/>
    </xf>
    <xf numFmtId="168" fontId="16" fillId="2" borderId="0" xfId="2" applyNumberFormat="1" applyFont="1" applyFill="1" applyBorder="1" applyAlignment="1">
      <alignment vertical="center"/>
    </xf>
    <xf numFmtId="164" fontId="15" fillId="2" borderId="0" xfId="8" applyFont="1" applyFill="1" applyBorder="1" applyAlignment="1">
      <alignment horizontal="right" vertical="center" indent="3"/>
    </xf>
    <xf numFmtId="164" fontId="13" fillId="2" borderId="0" xfId="3" applyNumberFormat="1" applyFont="1" applyFill="1" applyBorder="1" applyAlignment="1" applyProtection="1">
      <alignment horizontal="right" vertical="center" indent="3"/>
    </xf>
    <xf numFmtId="168" fontId="13" fillId="2" borderId="0" xfId="2" applyNumberFormat="1" applyFont="1" applyFill="1" applyBorder="1" applyAlignment="1">
      <alignment horizontal="right" vertical="center" indent="3"/>
    </xf>
    <xf numFmtId="168" fontId="13" fillId="2" borderId="1" xfId="2" applyNumberFormat="1" applyFont="1" applyFill="1" applyBorder="1" applyAlignment="1">
      <alignment horizontal="right" vertical="center" indent="3"/>
    </xf>
    <xf numFmtId="0" fontId="13" fillId="2" borderId="0" xfId="0" applyFont="1" applyFill="1" applyBorder="1" applyAlignment="1">
      <alignment horizontal="right" vertical="center" wrapText="1" indent="3"/>
    </xf>
    <xf numFmtId="10" fontId="0" fillId="2" borderId="0" xfId="0" applyNumberFormat="1" applyFill="1"/>
    <xf numFmtId="0" fontId="12" fillId="2" borderId="0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164" fontId="8" fillId="2" borderId="0" xfId="3" applyNumberFormat="1" applyFont="1" applyFill="1" applyAlignment="1">
      <alignment horizontal="center" vertical="center"/>
    </xf>
  </cellXfs>
  <cellStyles count="12">
    <cellStyle name="Comma" xfId="1" builtinId="3"/>
    <cellStyle name="Comma 3" xfId="10"/>
    <cellStyle name="Normal" xfId="0" builtinId="0"/>
    <cellStyle name="Normal 11" xfId="11"/>
    <cellStyle name="Normal 2" xfId="5"/>
    <cellStyle name="Normal 4" xfId="6"/>
    <cellStyle name="Normal 5" xfId="9"/>
    <cellStyle name="Normal_II-16(Populaion)" xfId="4"/>
    <cellStyle name="Normal_Population - II 2" xfId="3"/>
    <cellStyle name="Normal_Population - II 4" xfId="7"/>
    <cellStyle name="Normal_XII-1 (Commerce)" xfId="8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5CBB1"/>
      <color rgb="FFF3E6D9"/>
      <color rgb="FFEBD7C3"/>
      <color rgb="FFFFFAEB"/>
      <color rgb="FF976431"/>
      <color rgb="FFD0A172"/>
      <color rgb="FFF9F2EB"/>
      <color rgb="FF964B00"/>
      <color rgb="FFF5EADF"/>
      <color rgb="FFFFE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5.14: Percentage</a:t>
            </a:r>
            <a:r>
              <a:rPr lang="dv-MV" sz="1100" b="1" i="0" baseline="0">
                <a:effectLst/>
              </a:rPr>
              <a:t> </a:t>
            </a:r>
            <a:r>
              <a:rPr lang="en-US" sz="1100" b="1" i="0" baseline="0">
                <a:effectLst/>
              </a:rPr>
              <a:t>share  of Expatriate emplyment by industry and sex,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4438339570851663"/>
          <c:y val="5.7219873639982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636635934077813E-2"/>
          <c:y val="0.16708333333333336"/>
          <c:w val="0.91280784482645927"/>
          <c:h val="0.33849154272382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'5.12'!$O$33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'5.12'!$J$35:$J$53</c:f>
              <c:strCache>
                <c:ptCount val="19"/>
                <c:pt idx="0">
                  <c:v>Construction</c:v>
                </c:pt>
                <c:pt idx="1">
                  <c:v>Tourism</c:v>
                </c:pt>
                <c:pt idx="2">
                  <c:v>Hotels &amp; Restaurants</c:v>
                </c:pt>
                <c:pt idx="3">
                  <c:v>Whole sale &amp; retail trade; repair of motor vehicles, motor cycles &amp; personal  household goods</c:v>
                </c:pt>
                <c:pt idx="4">
                  <c:v>Manufacturing</c:v>
                </c:pt>
                <c:pt idx="5">
                  <c:v>Other Community, Social and Personal Services</c:v>
                </c:pt>
                <c:pt idx="6">
                  <c:v>Domestic</c:v>
                </c:pt>
                <c:pt idx="7">
                  <c:v>Government</c:v>
                </c:pt>
                <c:pt idx="8">
                  <c:v>Transport, Storage &amp; Communication</c:v>
                </c:pt>
                <c:pt idx="9">
                  <c:v>Health &amp; Social Work</c:v>
                </c:pt>
                <c:pt idx="10">
                  <c:v>Agriculture</c:v>
                </c:pt>
                <c:pt idx="11">
                  <c:v>Real Estate, Renting &amp; Business Activities</c:v>
                </c:pt>
                <c:pt idx="12">
                  <c:v>Education</c:v>
                </c:pt>
                <c:pt idx="13">
                  <c:v>Electricity, gas &amp; water supply</c:v>
                </c:pt>
                <c:pt idx="14">
                  <c:v>Fishery</c:v>
                </c:pt>
                <c:pt idx="15">
                  <c:v>Financial intermediation</c:v>
                </c:pt>
                <c:pt idx="16">
                  <c:v>Company Operators</c:v>
                </c:pt>
                <c:pt idx="17">
                  <c:v>Recycling</c:v>
                </c:pt>
                <c:pt idx="18">
                  <c:v>Others</c:v>
                </c:pt>
              </c:strCache>
            </c:strRef>
          </c:cat>
          <c:val>
            <c:numRef>
              <c:f>'5.12'!$O$35:$O$53</c:f>
              <c:numCache>
                <c:formatCode>General</c:formatCode>
                <c:ptCount val="19"/>
                <c:pt idx="0">
                  <c:v>99.595912271968615</c:v>
                </c:pt>
                <c:pt idx="1">
                  <c:v>86.122039341629858</c:v>
                </c:pt>
                <c:pt idx="2">
                  <c:v>96.627529352985263</c:v>
                </c:pt>
                <c:pt idx="3">
                  <c:v>96.885813148788927</c:v>
                </c:pt>
                <c:pt idx="4">
                  <c:v>95.580060964676349</c:v>
                </c:pt>
                <c:pt idx="5">
                  <c:v>92.894211576846303</c:v>
                </c:pt>
                <c:pt idx="6">
                  <c:v>63.581640331075995</c:v>
                </c:pt>
                <c:pt idx="7">
                  <c:v>75.339185953711095</c:v>
                </c:pt>
                <c:pt idx="8">
                  <c:v>93.252318516149671</c:v>
                </c:pt>
                <c:pt idx="9">
                  <c:v>67.877215737137917</c:v>
                </c:pt>
                <c:pt idx="10">
                  <c:v>98.099762470308789</c:v>
                </c:pt>
                <c:pt idx="11">
                  <c:v>96.448303078137329</c:v>
                </c:pt>
                <c:pt idx="12">
                  <c:v>71.231155778894475</c:v>
                </c:pt>
                <c:pt idx="13">
                  <c:v>98.857868020304579</c:v>
                </c:pt>
                <c:pt idx="14">
                  <c:v>95.416666666666671</c:v>
                </c:pt>
                <c:pt idx="15">
                  <c:v>94.897959183673478</c:v>
                </c:pt>
                <c:pt idx="16">
                  <c:v>63.888888888888886</c:v>
                </c:pt>
                <c:pt idx="17">
                  <c:v>100</c:v>
                </c:pt>
                <c:pt idx="18">
                  <c:v>91.525423728813564</c:v>
                </c:pt>
              </c:numCache>
            </c:numRef>
          </c:val>
        </c:ser>
        <c:ser>
          <c:idx val="1"/>
          <c:order val="1"/>
          <c:tx>
            <c:strRef>
              <c:f>'5.12'!$P$33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0A172"/>
            </a:solidFill>
            <a:ln>
              <a:noFill/>
            </a:ln>
            <a:effectLst/>
          </c:spPr>
          <c:invertIfNegative val="0"/>
          <c:cat>
            <c:strRef>
              <c:f>'5.12'!$J$35:$J$53</c:f>
              <c:strCache>
                <c:ptCount val="19"/>
                <c:pt idx="0">
                  <c:v>Construction</c:v>
                </c:pt>
                <c:pt idx="1">
                  <c:v>Tourism</c:v>
                </c:pt>
                <c:pt idx="2">
                  <c:v>Hotels &amp; Restaurants</c:v>
                </c:pt>
                <c:pt idx="3">
                  <c:v>Whole sale &amp; retail trade; repair of motor vehicles, motor cycles &amp; personal  household goods</c:v>
                </c:pt>
                <c:pt idx="4">
                  <c:v>Manufacturing</c:v>
                </c:pt>
                <c:pt idx="5">
                  <c:v>Other Community, Social and Personal Services</c:v>
                </c:pt>
                <c:pt idx="6">
                  <c:v>Domestic</c:v>
                </c:pt>
                <c:pt idx="7">
                  <c:v>Government</c:v>
                </c:pt>
                <c:pt idx="8">
                  <c:v>Transport, Storage &amp; Communication</c:v>
                </c:pt>
                <c:pt idx="9">
                  <c:v>Health &amp; Social Work</c:v>
                </c:pt>
                <c:pt idx="10">
                  <c:v>Agriculture</c:v>
                </c:pt>
                <c:pt idx="11">
                  <c:v>Real Estate, Renting &amp; Business Activities</c:v>
                </c:pt>
                <c:pt idx="12">
                  <c:v>Education</c:v>
                </c:pt>
                <c:pt idx="13">
                  <c:v>Electricity, gas &amp; water supply</c:v>
                </c:pt>
                <c:pt idx="14">
                  <c:v>Fishery</c:v>
                </c:pt>
                <c:pt idx="15">
                  <c:v>Financial intermediation</c:v>
                </c:pt>
                <c:pt idx="16">
                  <c:v>Company Operators</c:v>
                </c:pt>
                <c:pt idx="17">
                  <c:v>Recycling</c:v>
                </c:pt>
                <c:pt idx="18">
                  <c:v>Others</c:v>
                </c:pt>
              </c:strCache>
            </c:strRef>
          </c:cat>
          <c:val>
            <c:numRef>
              <c:f>'5.12'!$P$35:$P$53</c:f>
              <c:numCache>
                <c:formatCode>General</c:formatCode>
                <c:ptCount val="19"/>
                <c:pt idx="0">
                  <c:v>0.40408772803138998</c:v>
                </c:pt>
                <c:pt idx="1">
                  <c:v>13.877960658370133</c:v>
                </c:pt>
                <c:pt idx="2">
                  <c:v>3.3724706470147385</c:v>
                </c:pt>
                <c:pt idx="3">
                  <c:v>3.1141868512110724</c:v>
                </c:pt>
                <c:pt idx="4">
                  <c:v>4.419939035323651</c:v>
                </c:pt>
                <c:pt idx="5">
                  <c:v>7.105788423153693</c:v>
                </c:pt>
                <c:pt idx="6">
                  <c:v>36.418359668924005</c:v>
                </c:pt>
                <c:pt idx="7">
                  <c:v>24.660814046288905</c:v>
                </c:pt>
                <c:pt idx="8">
                  <c:v>6.7476814838503358</c:v>
                </c:pt>
                <c:pt idx="9">
                  <c:v>32.122784262862083</c:v>
                </c:pt>
                <c:pt idx="10">
                  <c:v>1.9002375296912115</c:v>
                </c:pt>
                <c:pt idx="11">
                  <c:v>3.5516969218626673</c:v>
                </c:pt>
                <c:pt idx="12">
                  <c:v>28.768844221105528</c:v>
                </c:pt>
                <c:pt idx="13">
                  <c:v>1.1421319796954315</c:v>
                </c:pt>
                <c:pt idx="14">
                  <c:v>4.583333333333333</c:v>
                </c:pt>
                <c:pt idx="15">
                  <c:v>5.1020408163265305</c:v>
                </c:pt>
                <c:pt idx="16">
                  <c:v>36.111111111111107</c:v>
                </c:pt>
                <c:pt idx="17">
                  <c:v>0</c:v>
                </c:pt>
                <c:pt idx="18">
                  <c:v>8.4745762711864394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7158264"/>
        <c:axId val="387155520"/>
      </c:barChart>
      <c:catAx>
        <c:axId val="38715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5520"/>
        <c:crosses val="autoZero"/>
        <c:auto val="1"/>
        <c:lblAlgn val="ctr"/>
        <c:lblOffset val="100"/>
        <c:noMultiLvlLbl val="0"/>
      </c:catAx>
      <c:valAx>
        <c:axId val="3871555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8264"/>
        <c:crosses val="autoZero"/>
        <c:crossBetween val="between"/>
      </c:valAx>
      <c:spPr>
        <a:solidFill>
          <a:srgbClr val="F9F2EB"/>
        </a:solidFill>
        <a:ln>
          <a:solidFill>
            <a:srgbClr val="EBD7C3"/>
          </a:solidFill>
        </a:ln>
        <a:effectLst/>
      </c:spPr>
    </c:plotArea>
    <c:legend>
      <c:legendPos val="b"/>
      <c:layout>
        <c:manualLayout>
          <c:xMode val="edge"/>
          <c:yMode val="edge"/>
          <c:x val="0.3737101396800242"/>
          <c:y val="0.90437561353298213"/>
          <c:w val="0.15564699390531495"/>
          <c:h val="7.407814509104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Figure 5.15: Top five industry</a:t>
            </a:r>
            <a:r>
              <a:rPr lang="en-US" sz="1100" b="1" baseline="0"/>
              <a:t> - </a:t>
            </a:r>
            <a:r>
              <a:rPr lang="en-US" sz="1100" b="1"/>
              <a:t>Expatriate Employment,</a:t>
            </a:r>
            <a:r>
              <a:rPr lang="en-US" sz="1100" b="1" baseline="0"/>
              <a:t>  2019</a:t>
            </a:r>
            <a:r>
              <a:rPr lang="en-US" sz="1100" b="1"/>
              <a:t> </a:t>
            </a:r>
          </a:p>
        </c:rich>
      </c:tx>
      <c:layout>
        <c:manualLayout>
          <c:xMode val="edge"/>
          <c:yMode val="edge"/>
          <c:x val="0.2958680816805742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69264912048483"/>
          <c:y val="0.14856481481481484"/>
          <c:w val="0.62730473134596143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'5.12'!$J$63:$J$67</c:f>
              <c:strCache>
                <c:ptCount val="5"/>
                <c:pt idx="0">
                  <c:v>Manufacturing</c:v>
                </c:pt>
                <c:pt idx="1">
                  <c:v>Whole sale &amp; retail trade; repair of motor vehicles, motor cycles &amp; personal  household goods</c:v>
                </c:pt>
                <c:pt idx="2">
                  <c:v>Hotels &amp; Restaurants</c:v>
                </c:pt>
                <c:pt idx="3">
                  <c:v>Tourism</c:v>
                </c:pt>
                <c:pt idx="4">
                  <c:v>Construction</c:v>
                </c:pt>
              </c:strCache>
            </c:strRef>
          </c:cat>
          <c:val>
            <c:numRef>
              <c:f>'5.12'!$K$63:$K$67</c:f>
              <c:numCache>
                <c:formatCode>General</c:formatCode>
                <c:ptCount val="5"/>
                <c:pt idx="0">
                  <c:v>11154</c:v>
                </c:pt>
                <c:pt idx="1">
                  <c:v>11271</c:v>
                </c:pt>
                <c:pt idx="2">
                  <c:v>12009</c:v>
                </c:pt>
                <c:pt idx="3">
                  <c:v>24910</c:v>
                </c:pt>
                <c:pt idx="4">
                  <c:v>68302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154344"/>
        <c:axId val="387159832"/>
      </c:barChart>
      <c:valAx>
        <c:axId val="387159832"/>
        <c:scaling>
          <c:orientation val="minMax"/>
          <c:max val="70000"/>
        </c:scaling>
        <c:delete val="0"/>
        <c:axPos val="b"/>
        <c:majorGridlines>
          <c:spPr>
            <a:ln w="9525" cap="flat" cmpd="sng" algn="ctr">
              <a:solidFill>
                <a:srgbClr val="EBD7C3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4344"/>
        <c:crosses val="autoZero"/>
        <c:crossBetween val="between"/>
      </c:valAx>
      <c:catAx>
        <c:axId val="387154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9832"/>
        <c:crosses val="autoZero"/>
        <c:auto val="1"/>
        <c:lblAlgn val="ctr"/>
        <c:lblOffset val="100"/>
        <c:noMultiLvlLbl val="0"/>
      </c:catAx>
      <c:spPr>
        <a:solidFill>
          <a:srgbClr val="F9F2EB"/>
        </a:solidFill>
        <a:ln>
          <a:solidFill>
            <a:srgbClr val="EBD7C3">
              <a:alpha val="99000"/>
            </a:srgb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869785</xdr:colOff>
      <xdr:row>26</xdr:row>
      <xdr:rowOff>165314</xdr:rowOff>
    </xdr:from>
    <xdr:to>
      <xdr:col>5</xdr:col>
      <xdr:colOff>1000932</xdr:colOff>
      <xdr:row>39</xdr:row>
      <xdr:rowOff>152462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849985</xdr:colOff>
      <xdr:row>40</xdr:row>
      <xdr:rowOff>77329</xdr:rowOff>
    </xdr:from>
    <xdr:to>
      <xdr:col>5</xdr:col>
      <xdr:colOff>314809</xdr:colOff>
      <xdr:row>54</xdr:row>
      <xdr:rowOff>108326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abSelected="1" zoomScale="118" zoomScaleNormal="118" workbookViewId="0">
      <selection activeCell="G15" sqref="G15"/>
    </sheetView>
  </sheetViews>
  <sheetFormatPr defaultRowHeight="15" x14ac:dyDescent="0.25"/>
  <cols>
    <col min="1" max="1" width="50.85546875" style="1" customWidth="1"/>
    <col min="2" max="4" width="11.140625" style="1" customWidth="1"/>
    <col min="5" max="5" width="9.140625" style="1" customWidth="1"/>
    <col min="6" max="7" width="49.140625" style="1" customWidth="1"/>
    <col min="8" max="8" width="46.85546875" style="1" customWidth="1"/>
    <col min="9" max="9" width="9.140625" style="1"/>
    <col min="10" max="10" width="46.140625" style="20" customWidth="1"/>
    <col min="11" max="11" width="10.140625" style="1" bestFit="1" customWidth="1"/>
    <col min="12" max="13" width="11.140625" style="1" bestFit="1" customWidth="1"/>
    <col min="14" max="16384" width="9.140625" style="1"/>
  </cols>
  <sheetData>
    <row r="1" spans="1:14" ht="21" x14ac:dyDescent="0.25">
      <c r="A1" s="43" t="s">
        <v>42</v>
      </c>
      <c r="B1" s="43"/>
      <c r="C1" s="43"/>
      <c r="D1" s="43"/>
      <c r="E1" s="43"/>
      <c r="F1" s="43"/>
      <c r="G1" s="17"/>
      <c r="H1" s="24"/>
    </row>
    <row r="2" spans="1:14" ht="15.75" x14ac:dyDescent="0.25">
      <c r="A2" s="42" t="s">
        <v>41</v>
      </c>
      <c r="B2" s="42"/>
      <c r="C2" s="42"/>
      <c r="D2" s="42"/>
      <c r="E2" s="42"/>
      <c r="F2" s="42"/>
      <c r="G2" s="24"/>
    </row>
    <row r="3" spans="1:14" ht="21" x14ac:dyDescent="0.25">
      <c r="H3" s="15"/>
      <c r="J3" s="6" t="s">
        <v>46</v>
      </c>
    </row>
    <row r="4" spans="1:14" ht="21" x14ac:dyDescent="0.55000000000000004">
      <c r="A4" s="18" t="s">
        <v>9</v>
      </c>
      <c r="B4" s="9" t="s">
        <v>4</v>
      </c>
      <c r="C4" s="9" t="s">
        <v>0</v>
      </c>
      <c r="D4" s="9" t="s">
        <v>5</v>
      </c>
      <c r="E4" s="10" t="s">
        <v>6</v>
      </c>
      <c r="F4" s="12" t="s">
        <v>37</v>
      </c>
      <c r="G4" s="16"/>
      <c r="H4" s="13"/>
      <c r="K4" s="9" t="s">
        <v>5</v>
      </c>
      <c r="L4" s="9" t="s">
        <v>0</v>
      </c>
      <c r="M4" s="9" t="s">
        <v>4</v>
      </c>
      <c r="N4" s="10" t="s">
        <v>6</v>
      </c>
    </row>
    <row r="5" spans="1:14" ht="21" x14ac:dyDescent="0.55000000000000004">
      <c r="A5" s="19" t="s">
        <v>7</v>
      </c>
      <c r="B5" s="25">
        <f>SUM(B6:B24)</f>
        <v>157560</v>
      </c>
      <c r="C5" s="25">
        <f t="shared" ref="C5:D5" si="0">SUM(C6:C24)</f>
        <v>147671</v>
      </c>
      <c r="D5" s="25">
        <f t="shared" si="0"/>
        <v>9889</v>
      </c>
      <c r="E5" s="26">
        <f>B5/$B$5</f>
        <v>1</v>
      </c>
      <c r="F5" s="13" t="s">
        <v>3</v>
      </c>
      <c r="G5" s="13"/>
      <c r="H5" s="33"/>
      <c r="J5" s="22" t="s">
        <v>11</v>
      </c>
      <c r="K5" s="23">
        <v>276</v>
      </c>
      <c r="L5" s="23">
        <v>68026</v>
      </c>
      <c r="M5" s="23">
        <v>68302</v>
      </c>
      <c r="N5" s="8">
        <v>0.43349834983498348</v>
      </c>
    </row>
    <row r="6" spans="1:14" x14ac:dyDescent="0.25">
      <c r="A6" s="2" t="s">
        <v>11</v>
      </c>
      <c r="B6" s="28">
        <f>SUM(C6:D6)</f>
        <v>68302</v>
      </c>
      <c r="C6" s="28">
        <v>68026</v>
      </c>
      <c r="D6" s="28">
        <v>276</v>
      </c>
      <c r="E6" s="29">
        <f t="shared" ref="E6:E24" si="1">B6/$B$5</f>
        <v>0.43349834983498348</v>
      </c>
      <c r="F6" s="33" t="s">
        <v>29</v>
      </c>
      <c r="G6" s="33"/>
      <c r="H6" s="33"/>
      <c r="J6" s="22" t="s">
        <v>22</v>
      </c>
      <c r="K6" s="23">
        <v>3457</v>
      </c>
      <c r="L6" s="23">
        <v>21453</v>
      </c>
      <c r="M6" s="23">
        <v>24910</v>
      </c>
      <c r="N6" s="8">
        <v>0.15809850215790811</v>
      </c>
    </row>
    <row r="7" spans="1:14" x14ac:dyDescent="0.25">
      <c r="A7" s="2" t="s">
        <v>22</v>
      </c>
      <c r="B7" s="28">
        <f t="shared" ref="B7:B23" si="2">SUM(C7:D7)</f>
        <v>24910</v>
      </c>
      <c r="C7" s="28">
        <v>21453</v>
      </c>
      <c r="D7" s="28">
        <v>3457</v>
      </c>
      <c r="E7" s="29">
        <f t="shared" si="1"/>
        <v>0.15809850215790811</v>
      </c>
      <c r="F7" s="33" t="s">
        <v>32</v>
      </c>
      <c r="G7" s="33"/>
      <c r="H7" s="33"/>
      <c r="J7" s="22" t="s">
        <v>17</v>
      </c>
      <c r="K7" s="23">
        <v>405</v>
      </c>
      <c r="L7" s="23">
        <v>11604</v>
      </c>
      <c r="M7" s="23">
        <v>12009</v>
      </c>
      <c r="N7" s="8">
        <v>7.6218583396801223E-2</v>
      </c>
    </row>
    <row r="8" spans="1:14" ht="19.5" customHeight="1" x14ac:dyDescent="0.25">
      <c r="A8" s="2" t="s">
        <v>17</v>
      </c>
      <c r="B8" s="28">
        <f t="shared" si="2"/>
        <v>12009</v>
      </c>
      <c r="C8" s="28">
        <v>11604</v>
      </c>
      <c r="D8" s="28">
        <v>405</v>
      </c>
      <c r="E8" s="29">
        <f t="shared" si="1"/>
        <v>7.6218583396801223E-2</v>
      </c>
      <c r="F8" s="33" t="s">
        <v>31</v>
      </c>
      <c r="G8" s="33"/>
      <c r="H8" s="39"/>
      <c r="J8" s="22" t="s">
        <v>24</v>
      </c>
      <c r="K8" s="23">
        <v>351</v>
      </c>
      <c r="L8" s="23">
        <v>10920</v>
      </c>
      <c r="M8" s="23">
        <v>11271</v>
      </c>
      <c r="N8" s="8">
        <v>7.1534653465346529E-2</v>
      </c>
    </row>
    <row r="9" spans="1:14" ht="34.5" x14ac:dyDescent="0.25">
      <c r="A9" s="31" t="s">
        <v>24</v>
      </c>
      <c r="B9" s="28">
        <f t="shared" si="2"/>
        <v>11271</v>
      </c>
      <c r="C9" s="28">
        <v>10920</v>
      </c>
      <c r="D9" s="28">
        <v>351</v>
      </c>
      <c r="E9" s="29">
        <f t="shared" si="1"/>
        <v>7.1534653465346529E-2</v>
      </c>
      <c r="F9" s="39" t="s">
        <v>39</v>
      </c>
      <c r="G9" s="39"/>
      <c r="H9" s="33"/>
      <c r="J9" s="22" t="s">
        <v>18</v>
      </c>
      <c r="K9" s="23">
        <v>493</v>
      </c>
      <c r="L9" s="23">
        <v>10661</v>
      </c>
      <c r="M9" s="23">
        <v>11154</v>
      </c>
      <c r="N9" s="8">
        <v>7.0792079207920786E-2</v>
      </c>
    </row>
    <row r="10" spans="1:14" x14ac:dyDescent="0.25">
      <c r="A10" s="2" t="s">
        <v>18</v>
      </c>
      <c r="B10" s="28">
        <f t="shared" si="2"/>
        <v>11154</v>
      </c>
      <c r="C10" s="28">
        <v>10661</v>
      </c>
      <c r="D10" s="28">
        <v>493</v>
      </c>
      <c r="E10" s="29">
        <f t="shared" si="1"/>
        <v>7.0792079207920786E-2</v>
      </c>
      <c r="F10" s="33" t="s">
        <v>27</v>
      </c>
      <c r="G10" s="33"/>
      <c r="H10" s="33"/>
    </row>
    <row r="11" spans="1:14" ht="17.25" x14ac:dyDescent="0.25">
      <c r="A11" s="2" t="s">
        <v>19</v>
      </c>
      <c r="B11" s="28">
        <f t="shared" si="2"/>
        <v>10020</v>
      </c>
      <c r="C11" s="28">
        <v>9308</v>
      </c>
      <c r="D11" s="28">
        <v>712</v>
      </c>
      <c r="E11" s="29">
        <f t="shared" si="1"/>
        <v>6.3594821020563588E-2</v>
      </c>
      <c r="F11" s="33" t="s">
        <v>48</v>
      </c>
      <c r="G11" s="33"/>
      <c r="H11" s="36"/>
    </row>
    <row r="12" spans="1:14" ht="17.25" x14ac:dyDescent="0.25">
      <c r="A12" s="2" t="s">
        <v>44</v>
      </c>
      <c r="B12" s="28">
        <f t="shared" si="2"/>
        <v>5316</v>
      </c>
      <c r="C12" s="28">
        <v>3380</v>
      </c>
      <c r="D12" s="28">
        <v>1936</v>
      </c>
      <c r="E12" s="29">
        <f t="shared" si="1"/>
        <v>3.3739527798933737E-2</v>
      </c>
      <c r="F12" s="36" t="s">
        <v>50</v>
      </c>
      <c r="G12" s="36"/>
      <c r="H12" s="36"/>
    </row>
    <row r="13" spans="1:14" ht="17.25" x14ac:dyDescent="0.25">
      <c r="A13" s="2" t="s">
        <v>45</v>
      </c>
      <c r="B13" s="28">
        <f t="shared" si="2"/>
        <v>3759</v>
      </c>
      <c r="C13" s="28">
        <v>2832</v>
      </c>
      <c r="D13" s="28">
        <v>927</v>
      </c>
      <c r="E13" s="29">
        <f t="shared" si="1"/>
        <v>2.3857578065498857E-2</v>
      </c>
      <c r="F13" s="36" t="s">
        <v>49</v>
      </c>
      <c r="G13" s="36"/>
      <c r="H13" s="33"/>
      <c r="J13" s="3"/>
      <c r="K13" s="4"/>
      <c r="L13" s="4"/>
      <c r="M13" s="4"/>
      <c r="N13" s="21"/>
    </row>
    <row r="14" spans="1:14" ht="17.25" x14ac:dyDescent="0.25">
      <c r="A14" s="2" t="s">
        <v>23</v>
      </c>
      <c r="B14" s="28">
        <f t="shared" si="2"/>
        <v>3127</v>
      </c>
      <c r="C14" s="28">
        <v>2916</v>
      </c>
      <c r="D14" s="28">
        <v>211</v>
      </c>
      <c r="E14" s="29">
        <f t="shared" si="1"/>
        <v>1.9846407717694848E-2</v>
      </c>
      <c r="F14" s="33" t="s">
        <v>33</v>
      </c>
      <c r="G14" s="33"/>
      <c r="H14" s="32"/>
      <c r="J14" s="20">
        <v>9889</v>
      </c>
      <c r="K14" s="1">
        <v>147671</v>
      </c>
      <c r="L14" s="1">
        <v>157560</v>
      </c>
    </row>
    <row r="15" spans="1:14" ht="17.25" x14ac:dyDescent="0.25">
      <c r="A15" s="2" t="s">
        <v>16</v>
      </c>
      <c r="B15" s="28">
        <f t="shared" si="2"/>
        <v>2313</v>
      </c>
      <c r="C15" s="28">
        <v>1570</v>
      </c>
      <c r="D15" s="28">
        <v>743</v>
      </c>
      <c r="E15" s="29">
        <f t="shared" si="1"/>
        <v>1.468012185833968E-2</v>
      </c>
      <c r="F15" s="32" t="s">
        <v>34</v>
      </c>
      <c r="G15" s="32"/>
      <c r="H15" s="33"/>
    </row>
    <row r="16" spans="1:14" x14ac:dyDescent="0.25">
      <c r="A16" s="2" t="s">
        <v>10</v>
      </c>
      <c r="B16" s="28">
        <f t="shared" si="2"/>
        <v>1684</v>
      </c>
      <c r="C16" s="28">
        <v>1652</v>
      </c>
      <c r="D16" s="28">
        <v>32</v>
      </c>
      <c r="E16" s="29">
        <f t="shared" si="1"/>
        <v>1.0687991876110688E-2</v>
      </c>
      <c r="F16" s="33" t="s">
        <v>25</v>
      </c>
      <c r="G16" s="33"/>
      <c r="H16" s="35"/>
    </row>
    <row r="17" spans="1:10" x14ac:dyDescent="0.25">
      <c r="A17" s="2" t="s">
        <v>20</v>
      </c>
      <c r="B17" s="28">
        <f t="shared" si="2"/>
        <v>1267</v>
      </c>
      <c r="C17" s="28">
        <v>1222</v>
      </c>
      <c r="D17" s="28">
        <v>45</v>
      </c>
      <c r="E17" s="29">
        <f t="shared" si="1"/>
        <v>8.0413810611830415E-3</v>
      </c>
      <c r="F17" s="35" t="s">
        <v>35</v>
      </c>
      <c r="G17" s="35"/>
      <c r="H17" s="33"/>
    </row>
    <row r="18" spans="1:10" x14ac:dyDescent="0.25">
      <c r="A18" s="2" t="s">
        <v>12</v>
      </c>
      <c r="B18" s="28">
        <f t="shared" si="2"/>
        <v>796</v>
      </c>
      <c r="C18" s="28">
        <v>567</v>
      </c>
      <c r="D18" s="28">
        <v>229</v>
      </c>
      <c r="E18" s="29">
        <f t="shared" si="1"/>
        <v>5.0520436659050524E-3</v>
      </c>
      <c r="F18" s="33" t="s">
        <v>30</v>
      </c>
      <c r="G18" s="33"/>
      <c r="H18" s="33"/>
    </row>
    <row r="19" spans="1:10" x14ac:dyDescent="0.25">
      <c r="A19" s="2" t="s">
        <v>13</v>
      </c>
      <c r="B19" s="28">
        <f t="shared" si="2"/>
        <v>788</v>
      </c>
      <c r="C19" s="28">
        <v>779</v>
      </c>
      <c r="D19" s="28">
        <v>9</v>
      </c>
      <c r="E19" s="29">
        <f t="shared" si="1"/>
        <v>5.0012693577050011E-3</v>
      </c>
      <c r="F19" s="33" t="s">
        <v>28</v>
      </c>
      <c r="G19" s="33"/>
      <c r="H19" s="33"/>
    </row>
    <row r="20" spans="1:10" ht="17.25" x14ac:dyDescent="0.25">
      <c r="A20" s="2" t="s">
        <v>15</v>
      </c>
      <c r="B20" s="28">
        <f t="shared" si="2"/>
        <v>480</v>
      </c>
      <c r="C20" s="28">
        <v>458</v>
      </c>
      <c r="D20" s="28">
        <v>22</v>
      </c>
      <c r="E20" s="29">
        <f t="shared" si="1"/>
        <v>3.0464584920030465E-3</v>
      </c>
      <c r="F20" s="33" t="s">
        <v>26</v>
      </c>
      <c r="G20" s="33"/>
      <c r="H20" s="36"/>
    </row>
    <row r="21" spans="1:10" ht="21" customHeight="1" x14ac:dyDescent="0.25">
      <c r="A21" s="2" t="s">
        <v>14</v>
      </c>
      <c r="B21" s="28">
        <f t="shared" si="2"/>
        <v>196</v>
      </c>
      <c r="C21" s="28">
        <v>186</v>
      </c>
      <c r="D21" s="28">
        <v>10</v>
      </c>
      <c r="E21" s="29">
        <f t="shared" si="1"/>
        <v>1.243970550901244E-3</v>
      </c>
      <c r="F21" s="36" t="s">
        <v>40</v>
      </c>
      <c r="G21" s="36"/>
      <c r="H21" s="34"/>
    </row>
    <row r="22" spans="1:10" ht="17.25" x14ac:dyDescent="0.25">
      <c r="A22" s="2" t="s">
        <v>43</v>
      </c>
      <c r="B22" s="28">
        <f t="shared" si="2"/>
        <v>72</v>
      </c>
      <c r="C22" s="28">
        <v>46</v>
      </c>
      <c r="D22" s="28">
        <v>26</v>
      </c>
      <c r="E22" s="29">
        <f t="shared" si="1"/>
        <v>4.5696877380045696E-4</v>
      </c>
      <c r="F22" s="37" t="s">
        <v>51</v>
      </c>
      <c r="G22" s="37"/>
      <c r="H22" s="37"/>
    </row>
    <row r="23" spans="1:10" ht="17.25" x14ac:dyDescent="0.25">
      <c r="A23" s="2" t="s">
        <v>21</v>
      </c>
      <c r="B23" s="28">
        <f t="shared" si="2"/>
        <v>37</v>
      </c>
      <c r="C23" s="28">
        <v>37</v>
      </c>
      <c r="D23" s="28">
        <v>0</v>
      </c>
      <c r="E23" s="29">
        <f t="shared" si="1"/>
        <v>2.3483117542523482E-4</v>
      </c>
      <c r="F23" s="37" t="s">
        <v>38</v>
      </c>
      <c r="G23" s="37"/>
      <c r="H23" s="37"/>
    </row>
    <row r="24" spans="1:10" ht="17.25" x14ac:dyDescent="0.25">
      <c r="A24" s="7" t="s">
        <v>8</v>
      </c>
      <c r="B24" s="14">
        <v>59</v>
      </c>
      <c r="C24" s="14">
        <v>54</v>
      </c>
      <c r="D24" s="14">
        <v>5</v>
      </c>
      <c r="E24" s="27">
        <f t="shared" si="1"/>
        <v>3.7446052297537445E-4</v>
      </c>
      <c r="F24" s="38" t="s">
        <v>47</v>
      </c>
      <c r="G24" s="37"/>
      <c r="H24" s="5"/>
    </row>
    <row r="25" spans="1:10" ht="17.25" x14ac:dyDescent="0.25">
      <c r="A25" s="41" t="s">
        <v>52</v>
      </c>
      <c r="F25" s="5" t="s">
        <v>53</v>
      </c>
      <c r="G25" s="5"/>
      <c r="H25" s="5"/>
    </row>
    <row r="26" spans="1:10" x14ac:dyDescent="0.25">
      <c r="A26" s="11"/>
    </row>
    <row r="27" spans="1:10" ht="15.75" x14ac:dyDescent="0.25">
      <c r="A27" s="20"/>
      <c r="B27" s="20"/>
      <c r="C27" s="20"/>
      <c r="J27" s="30" t="s">
        <v>36</v>
      </c>
    </row>
    <row r="28" spans="1:10" x14ac:dyDescent="0.25">
      <c r="A28" s="20"/>
      <c r="B28" s="20"/>
      <c r="C28" s="20"/>
    </row>
    <row r="29" spans="1:10" x14ac:dyDescent="0.25">
      <c r="A29" s="20"/>
      <c r="B29" s="20"/>
      <c r="C29" s="20"/>
    </row>
    <row r="30" spans="1:10" x14ac:dyDescent="0.25">
      <c r="A30" s="20"/>
      <c r="B30" s="20"/>
      <c r="C30" s="20"/>
    </row>
    <row r="31" spans="1:10" x14ac:dyDescent="0.25">
      <c r="A31" s="20"/>
      <c r="B31" s="20"/>
      <c r="C31" s="20"/>
    </row>
    <row r="32" spans="1:10" x14ac:dyDescent="0.25">
      <c r="A32" s="20"/>
      <c r="B32" s="20"/>
      <c r="C32" s="20"/>
    </row>
    <row r="33" spans="1:16" x14ac:dyDescent="0.25">
      <c r="A33" s="20"/>
      <c r="B33" s="20"/>
      <c r="C33" s="20"/>
      <c r="K33" s="1" t="s">
        <v>2</v>
      </c>
      <c r="L33" s="1" t="s">
        <v>0</v>
      </c>
      <c r="M33" s="1" t="s">
        <v>1</v>
      </c>
      <c r="O33" s="1" t="s">
        <v>0</v>
      </c>
      <c r="P33" s="1" t="s">
        <v>1</v>
      </c>
    </row>
    <row r="34" spans="1:16" x14ac:dyDescent="0.25">
      <c r="A34" s="20"/>
      <c r="B34" s="20"/>
      <c r="C34" s="20"/>
      <c r="J34" s="20" t="s">
        <v>7</v>
      </c>
      <c r="K34" s="1">
        <v>157560</v>
      </c>
      <c r="L34" s="1">
        <v>147671</v>
      </c>
      <c r="M34" s="1">
        <v>9889</v>
      </c>
      <c r="O34" s="1">
        <f>L34/K34*100</f>
        <v>93.723660827621231</v>
      </c>
      <c r="P34" s="1">
        <f>M34/K34*100</f>
        <v>6.2763391723787771</v>
      </c>
    </row>
    <row r="35" spans="1:16" x14ac:dyDescent="0.25">
      <c r="A35" s="20"/>
      <c r="B35" s="20"/>
      <c r="C35" s="20"/>
      <c r="J35" s="20" t="s">
        <v>11</v>
      </c>
      <c r="K35" s="1">
        <v>68302</v>
      </c>
      <c r="L35" s="1">
        <v>68026</v>
      </c>
      <c r="M35" s="1">
        <v>276</v>
      </c>
      <c r="O35" s="1">
        <f t="shared" ref="O35:O53" si="3">L35/K35*100</f>
        <v>99.595912271968615</v>
      </c>
      <c r="P35" s="1">
        <f t="shared" ref="P35:P53" si="4">M35/K35*100</f>
        <v>0.40408772803138998</v>
      </c>
    </row>
    <row r="36" spans="1:16" x14ac:dyDescent="0.25">
      <c r="A36" s="20"/>
      <c r="B36" s="20"/>
      <c r="C36" s="20"/>
      <c r="J36" s="20" t="s">
        <v>22</v>
      </c>
      <c r="K36" s="1">
        <v>24910</v>
      </c>
      <c r="L36" s="1">
        <v>21453</v>
      </c>
      <c r="M36" s="1">
        <v>3457</v>
      </c>
      <c r="O36" s="1">
        <f t="shared" si="3"/>
        <v>86.122039341629858</v>
      </c>
      <c r="P36" s="1">
        <f t="shared" si="4"/>
        <v>13.877960658370133</v>
      </c>
    </row>
    <row r="37" spans="1:16" x14ac:dyDescent="0.25">
      <c r="J37" s="20" t="s">
        <v>17</v>
      </c>
      <c r="K37" s="1">
        <v>12009</v>
      </c>
      <c r="L37" s="1">
        <v>11604</v>
      </c>
      <c r="M37" s="1">
        <v>405</v>
      </c>
      <c r="O37" s="1">
        <f t="shared" si="3"/>
        <v>96.627529352985263</v>
      </c>
      <c r="P37" s="1">
        <f t="shared" si="4"/>
        <v>3.3724706470147385</v>
      </c>
    </row>
    <row r="38" spans="1:16" ht="45" x14ac:dyDescent="0.25">
      <c r="J38" s="20" t="s">
        <v>24</v>
      </c>
      <c r="K38" s="1">
        <v>11271</v>
      </c>
      <c r="L38" s="1">
        <v>10920</v>
      </c>
      <c r="M38" s="1">
        <v>351</v>
      </c>
      <c r="O38" s="1">
        <f t="shared" si="3"/>
        <v>96.885813148788927</v>
      </c>
      <c r="P38" s="1">
        <f t="shared" si="4"/>
        <v>3.1141868512110724</v>
      </c>
    </row>
    <row r="39" spans="1:16" x14ac:dyDescent="0.25">
      <c r="J39" s="20" t="s">
        <v>18</v>
      </c>
      <c r="K39" s="1">
        <v>11154</v>
      </c>
      <c r="L39" s="1">
        <v>10661</v>
      </c>
      <c r="M39" s="1">
        <v>493</v>
      </c>
      <c r="O39" s="1">
        <f t="shared" si="3"/>
        <v>95.580060964676349</v>
      </c>
      <c r="P39" s="1">
        <f t="shared" si="4"/>
        <v>4.419939035323651</v>
      </c>
    </row>
    <row r="40" spans="1:16" x14ac:dyDescent="0.25">
      <c r="J40" s="20" t="s">
        <v>19</v>
      </c>
      <c r="K40" s="1">
        <v>10020</v>
      </c>
      <c r="L40" s="1">
        <v>9308</v>
      </c>
      <c r="M40" s="1">
        <v>712</v>
      </c>
      <c r="O40" s="1">
        <f t="shared" si="3"/>
        <v>92.894211576846303</v>
      </c>
      <c r="P40" s="1">
        <f t="shared" si="4"/>
        <v>7.105788423153693</v>
      </c>
    </row>
    <row r="41" spans="1:16" x14ac:dyDescent="0.25">
      <c r="J41" s="20" t="s">
        <v>44</v>
      </c>
      <c r="K41" s="1">
        <v>5316</v>
      </c>
      <c r="L41" s="1">
        <v>3380</v>
      </c>
      <c r="M41" s="1">
        <v>1936</v>
      </c>
      <c r="O41" s="1">
        <f t="shared" si="3"/>
        <v>63.581640331075995</v>
      </c>
      <c r="P41" s="1">
        <f t="shared" si="4"/>
        <v>36.418359668924005</v>
      </c>
    </row>
    <row r="42" spans="1:16" x14ac:dyDescent="0.25">
      <c r="J42" s="20" t="s">
        <v>45</v>
      </c>
      <c r="K42" s="1">
        <v>3759</v>
      </c>
      <c r="L42" s="1">
        <v>2832</v>
      </c>
      <c r="M42" s="1">
        <v>927</v>
      </c>
      <c r="O42" s="1">
        <f t="shared" si="3"/>
        <v>75.339185953711095</v>
      </c>
      <c r="P42" s="1">
        <f t="shared" si="4"/>
        <v>24.660814046288905</v>
      </c>
    </row>
    <row r="43" spans="1:16" x14ac:dyDescent="0.25">
      <c r="J43" s="20" t="s">
        <v>23</v>
      </c>
      <c r="K43" s="1">
        <v>3127</v>
      </c>
      <c r="L43" s="1">
        <v>2916</v>
      </c>
      <c r="M43" s="1">
        <v>211</v>
      </c>
      <c r="O43" s="1">
        <f t="shared" si="3"/>
        <v>93.252318516149671</v>
      </c>
      <c r="P43" s="1">
        <f t="shared" si="4"/>
        <v>6.7476814838503358</v>
      </c>
    </row>
    <row r="44" spans="1:16" x14ac:dyDescent="0.25">
      <c r="J44" s="20" t="s">
        <v>16</v>
      </c>
      <c r="K44" s="1">
        <v>2313</v>
      </c>
      <c r="L44" s="1">
        <v>1570</v>
      </c>
      <c r="M44" s="1">
        <v>743</v>
      </c>
      <c r="O44" s="1">
        <f t="shared" si="3"/>
        <v>67.877215737137917</v>
      </c>
      <c r="P44" s="1">
        <f t="shared" si="4"/>
        <v>32.122784262862083</v>
      </c>
    </row>
    <row r="45" spans="1:16" x14ac:dyDescent="0.25">
      <c r="J45" s="20" t="s">
        <v>10</v>
      </c>
      <c r="K45" s="1">
        <v>1684</v>
      </c>
      <c r="L45" s="1">
        <v>1652</v>
      </c>
      <c r="M45" s="1">
        <v>32</v>
      </c>
      <c r="O45" s="1">
        <f t="shared" si="3"/>
        <v>98.099762470308789</v>
      </c>
      <c r="P45" s="1">
        <f t="shared" si="4"/>
        <v>1.9002375296912115</v>
      </c>
    </row>
    <row r="46" spans="1:16" x14ac:dyDescent="0.25">
      <c r="J46" s="20" t="s">
        <v>20</v>
      </c>
      <c r="K46" s="1">
        <v>1267</v>
      </c>
      <c r="L46" s="1">
        <v>1222</v>
      </c>
      <c r="M46" s="1">
        <v>45</v>
      </c>
      <c r="O46" s="1">
        <f t="shared" si="3"/>
        <v>96.448303078137329</v>
      </c>
      <c r="P46" s="1">
        <f t="shared" si="4"/>
        <v>3.5516969218626673</v>
      </c>
    </row>
    <row r="47" spans="1:16" x14ac:dyDescent="0.25">
      <c r="J47" s="20" t="s">
        <v>12</v>
      </c>
      <c r="K47" s="1">
        <v>796</v>
      </c>
      <c r="L47" s="1">
        <v>567</v>
      </c>
      <c r="M47" s="1">
        <v>229</v>
      </c>
      <c r="O47" s="1">
        <f t="shared" si="3"/>
        <v>71.231155778894475</v>
      </c>
      <c r="P47" s="1">
        <f t="shared" si="4"/>
        <v>28.768844221105528</v>
      </c>
    </row>
    <row r="48" spans="1:16" x14ac:dyDescent="0.25">
      <c r="J48" s="20" t="s">
        <v>13</v>
      </c>
      <c r="K48" s="1">
        <v>788</v>
      </c>
      <c r="L48" s="1">
        <v>779</v>
      </c>
      <c r="M48" s="1">
        <v>9</v>
      </c>
      <c r="O48" s="1">
        <f t="shared" si="3"/>
        <v>98.857868020304579</v>
      </c>
      <c r="P48" s="1">
        <f t="shared" si="4"/>
        <v>1.1421319796954315</v>
      </c>
    </row>
    <row r="49" spans="10:16" x14ac:dyDescent="0.25">
      <c r="J49" s="20" t="s">
        <v>15</v>
      </c>
      <c r="K49" s="1">
        <v>480</v>
      </c>
      <c r="L49" s="1">
        <v>458</v>
      </c>
      <c r="M49" s="1">
        <v>22</v>
      </c>
      <c r="O49" s="1">
        <f t="shared" si="3"/>
        <v>95.416666666666671</v>
      </c>
      <c r="P49" s="1">
        <f t="shared" si="4"/>
        <v>4.583333333333333</v>
      </c>
    </row>
    <row r="50" spans="10:16" x14ac:dyDescent="0.25">
      <c r="J50" s="20" t="s">
        <v>14</v>
      </c>
      <c r="K50" s="1">
        <v>196</v>
      </c>
      <c r="L50" s="1">
        <v>186</v>
      </c>
      <c r="M50" s="1">
        <v>10</v>
      </c>
      <c r="O50" s="1">
        <f t="shared" si="3"/>
        <v>94.897959183673478</v>
      </c>
      <c r="P50" s="1">
        <f t="shared" si="4"/>
        <v>5.1020408163265305</v>
      </c>
    </row>
    <row r="51" spans="10:16" x14ac:dyDescent="0.25">
      <c r="J51" s="20" t="s">
        <v>43</v>
      </c>
      <c r="K51" s="1">
        <v>72</v>
      </c>
      <c r="L51" s="1">
        <v>46</v>
      </c>
      <c r="M51" s="1">
        <v>26</v>
      </c>
      <c r="O51" s="1">
        <f t="shared" si="3"/>
        <v>63.888888888888886</v>
      </c>
      <c r="P51" s="1">
        <f t="shared" si="4"/>
        <v>36.111111111111107</v>
      </c>
    </row>
    <row r="52" spans="10:16" x14ac:dyDescent="0.25">
      <c r="J52" s="20" t="s">
        <v>21</v>
      </c>
      <c r="K52" s="1">
        <v>37</v>
      </c>
      <c r="L52" s="1">
        <v>37</v>
      </c>
      <c r="M52" s="1">
        <v>0</v>
      </c>
      <c r="O52" s="1">
        <f t="shared" si="3"/>
        <v>100</v>
      </c>
      <c r="P52" s="1">
        <f t="shared" si="4"/>
        <v>0</v>
      </c>
    </row>
    <row r="53" spans="10:16" x14ac:dyDescent="0.25">
      <c r="J53" s="20" t="s">
        <v>8</v>
      </c>
      <c r="K53" s="1">
        <v>59</v>
      </c>
      <c r="L53" s="1">
        <v>54</v>
      </c>
      <c r="M53" s="1">
        <v>5</v>
      </c>
      <c r="O53" s="1">
        <f t="shared" si="3"/>
        <v>91.525423728813564</v>
      </c>
      <c r="P53" s="1">
        <f t="shared" si="4"/>
        <v>8.4745762711864394</v>
      </c>
    </row>
    <row r="63" spans="10:16" x14ac:dyDescent="0.25">
      <c r="J63" s="20" t="s">
        <v>18</v>
      </c>
      <c r="K63" s="1">
        <v>11154</v>
      </c>
      <c r="L63" s="40">
        <v>7.0792079207920786E-2</v>
      </c>
    </row>
    <row r="64" spans="10:16" ht="45" x14ac:dyDescent="0.25">
      <c r="J64" s="20" t="s">
        <v>24</v>
      </c>
      <c r="K64" s="1">
        <v>11271</v>
      </c>
      <c r="L64" s="40">
        <v>7.1534653465346529E-2</v>
      </c>
    </row>
    <row r="65" spans="10:12" x14ac:dyDescent="0.25">
      <c r="J65" s="20" t="s">
        <v>17</v>
      </c>
      <c r="K65" s="1">
        <v>12009</v>
      </c>
      <c r="L65" s="40">
        <v>7.6218583396801223E-2</v>
      </c>
    </row>
    <row r="66" spans="10:12" x14ac:dyDescent="0.25">
      <c r="J66" s="20" t="s">
        <v>22</v>
      </c>
      <c r="K66" s="1">
        <v>24910</v>
      </c>
      <c r="L66" s="40">
        <v>0.15809850215790811</v>
      </c>
    </row>
    <row r="67" spans="10:12" x14ac:dyDescent="0.25">
      <c r="J67" s="20" t="s">
        <v>11</v>
      </c>
      <c r="K67" s="1">
        <v>68302</v>
      </c>
      <c r="L67" s="40">
        <v>0.43349834983498348</v>
      </c>
    </row>
  </sheetData>
  <sortState ref="A5:D33">
    <sortCondition descending="1" ref="B10:B38"/>
  </sortState>
  <mergeCells count="2">
    <mergeCell ref="A2:F2"/>
    <mergeCell ref="A1:F1"/>
  </mergeCells>
  <pageMargins left="0.7" right="0.7" top="0.75" bottom="0.75" header="0.3" footer="0.3"/>
  <pageSetup scale="6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5.12</vt:lpstr>
      <vt:lpstr>'5.12'!Print_Area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2020-07-10T18:00:57Z</cp:lastPrinted>
  <dcterms:created xsi:type="dcterms:W3CDTF">2019-06-03T04:17:39Z</dcterms:created>
  <dcterms:modified xsi:type="dcterms:W3CDTF">2020-07-10T18:01:21Z</dcterms:modified>
</cp:coreProperties>
</file>