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5. EMPLOYMENT\"/>
    </mc:Choice>
  </mc:AlternateContent>
  <bookViews>
    <workbookView xWindow="0" yWindow="0" windowWidth="28800" windowHeight="12435" tabRatio="692"/>
  </bookViews>
  <sheets>
    <sheet name="5.11" sheetId="20" r:id="rId1"/>
  </sheets>
  <definedNames>
    <definedName name="_xlnm.Print_Area" localSheetId="0">'5.11'!$A$1:$F$105</definedName>
    <definedName name="_xlnm.Print_Titles" localSheetId="0">'5.11'!$5:$5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20" l="1"/>
  <c r="C7" i="20" l="1"/>
  <c r="D7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28" i="20"/>
  <c r="C27" i="20"/>
  <c r="D27" i="20"/>
  <c r="B9" i="20"/>
  <c r="B10" i="20"/>
  <c r="B11" i="20"/>
  <c r="B12" i="20"/>
  <c r="B13" i="20"/>
  <c r="B14" i="20"/>
  <c r="B15" i="20"/>
  <c r="B16" i="20"/>
  <c r="B17" i="20"/>
  <c r="B8" i="20"/>
  <c r="B21" i="20"/>
  <c r="B22" i="20"/>
  <c r="B23" i="20"/>
  <c r="B24" i="20"/>
  <c r="B25" i="20"/>
  <c r="B20" i="20"/>
  <c r="C19" i="20"/>
  <c r="D19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54" i="20"/>
  <c r="C53" i="20"/>
  <c r="D53" i="20"/>
  <c r="B70" i="20"/>
  <c r="B71" i="20"/>
  <c r="B72" i="20"/>
  <c r="B69" i="20"/>
  <c r="C68" i="20"/>
  <c r="D68" i="20"/>
  <c r="B7" i="20" l="1"/>
  <c r="C6" i="20"/>
  <c r="D6" i="20"/>
  <c r="B19" i="20"/>
  <c r="B68" i="20"/>
  <c r="B53" i="20"/>
  <c r="B27" i="20" l="1"/>
  <c r="B6" i="20" l="1"/>
  <c r="E52" i="20" l="1"/>
  <c r="E67" i="20"/>
  <c r="E18" i="20"/>
  <c r="E26" i="20"/>
  <c r="E69" i="20"/>
  <c r="E10" i="20"/>
  <c r="E14" i="20"/>
  <c r="E29" i="20"/>
  <c r="E33" i="20"/>
  <c r="E37" i="20"/>
  <c r="E41" i="20"/>
  <c r="E45" i="20"/>
  <c r="E49" i="20"/>
  <c r="E55" i="20"/>
  <c r="E59" i="20"/>
  <c r="E63" i="20"/>
  <c r="E6" i="20"/>
  <c r="E62" i="20"/>
  <c r="E36" i="20"/>
  <c r="E66" i="20"/>
  <c r="E21" i="20"/>
  <c r="E39" i="20"/>
  <c r="E46" i="20"/>
  <c r="E30" i="20"/>
  <c r="E70" i="20"/>
  <c r="E57" i="20"/>
  <c r="E20" i="20"/>
  <c r="E50" i="20"/>
  <c r="E48" i="20"/>
  <c r="E32" i="20"/>
  <c r="E61" i="20"/>
  <c r="E28" i="20"/>
  <c r="E51" i="20"/>
  <c r="E35" i="20"/>
  <c r="E17" i="20"/>
  <c r="E42" i="20"/>
  <c r="E8" i="20"/>
  <c r="E13" i="20"/>
  <c r="E40" i="20"/>
  <c r="E25" i="20"/>
  <c r="E43" i="20"/>
  <c r="E71" i="20"/>
  <c r="E58" i="20"/>
  <c r="E56" i="20"/>
  <c r="E11" i="20"/>
  <c r="E44" i="20"/>
  <c r="E54" i="20"/>
  <c r="E15" i="20"/>
  <c r="E47" i="20"/>
  <c r="E31" i="20"/>
  <c r="E64" i="20"/>
  <c r="E9" i="20"/>
  <c r="E38" i="20"/>
  <c r="E60" i="20"/>
  <c r="E24" i="20"/>
  <c r="E72" i="20"/>
  <c r="E23" i="20"/>
  <c r="E16" i="20"/>
  <c r="E22" i="20"/>
  <c r="E34" i="20"/>
  <c r="E65" i="20"/>
  <c r="E12" i="20"/>
  <c r="E19" i="20"/>
  <c r="E53" i="20"/>
  <c r="E68" i="20"/>
  <c r="E7" i="20"/>
</calcChain>
</file>

<file path=xl/sharedStrings.xml><?xml version="1.0" encoding="utf-8"?>
<sst xmlns="http://schemas.openxmlformats.org/spreadsheetml/2006/main" count="84" uniqueCount="75">
  <si>
    <t>Male</t>
  </si>
  <si>
    <t>Female</t>
  </si>
  <si>
    <t>Total</t>
  </si>
  <si>
    <t>Count of Nationality</t>
  </si>
  <si>
    <t xml:space="preserve">Total </t>
  </si>
  <si>
    <t xml:space="preserve">Female </t>
  </si>
  <si>
    <t>% share</t>
  </si>
  <si>
    <t>Grand Total</t>
  </si>
  <si>
    <t>Mauritius</t>
  </si>
  <si>
    <t>South Africa</t>
  </si>
  <si>
    <t>Morocco</t>
  </si>
  <si>
    <t>Kenya</t>
  </si>
  <si>
    <t>Nigeria</t>
  </si>
  <si>
    <t>Tunisia</t>
  </si>
  <si>
    <t>Sudan</t>
  </si>
  <si>
    <t>Zimbabwe</t>
  </si>
  <si>
    <t>Tanzania</t>
  </si>
  <si>
    <t>Canada</t>
  </si>
  <si>
    <t>United States of America</t>
  </si>
  <si>
    <t>Mexico</t>
  </si>
  <si>
    <t>Brazil</t>
  </si>
  <si>
    <t>Argentina</t>
  </si>
  <si>
    <t>Cuba</t>
  </si>
  <si>
    <t>Bangladesh</t>
  </si>
  <si>
    <t>India</t>
  </si>
  <si>
    <t>Sri Lanka</t>
  </si>
  <si>
    <t>China</t>
  </si>
  <si>
    <t>Nepal</t>
  </si>
  <si>
    <t>Philippines</t>
  </si>
  <si>
    <t>Indonesia</t>
  </si>
  <si>
    <t>Thailand</t>
  </si>
  <si>
    <t>Malaysia</t>
  </si>
  <si>
    <t>Pakistan</t>
  </si>
  <si>
    <t>Myanmar</t>
  </si>
  <si>
    <t>Russia</t>
  </si>
  <si>
    <t>Japan</t>
  </si>
  <si>
    <t>Italy</t>
  </si>
  <si>
    <t>Germany</t>
  </si>
  <si>
    <t>United Kingdom</t>
  </si>
  <si>
    <t>France</t>
  </si>
  <si>
    <t>Ukraine</t>
  </si>
  <si>
    <t>Spain</t>
  </si>
  <si>
    <t>Switzerland</t>
  </si>
  <si>
    <t>Netherlands</t>
  </si>
  <si>
    <t>Czech Republic</t>
  </si>
  <si>
    <t>Austria</t>
  </si>
  <si>
    <t>Egypt</t>
  </si>
  <si>
    <t>Turkey</t>
  </si>
  <si>
    <t>Jordan</t>
  </si>
  <si>
    <t>Australia</t>
  </si>
  <si>
    <t>New Zealand</t>
  </si>
  <si>
    <t>Greece</t>
  </si>
  <si>
    <t>Others</t>
  </si>
  <si>
    <t>Top five countries - Expatriate Employment by Nationality</t>
  </si>
  <si>
    <t>Table 5.11: Expatriate Employment by  Nationality and Sex, 2019</t>
  </si>
  <si>
    <t xml:space="preserve">ތާވަލު 5.11: ރާއްޖޭގައި މަސައްކަތްކުރާ ބިދޭސީ މަސައްކަތްތެރިންގެ ޤައުމިއްޔަތާއި ޖިންސް، 2019 </t>
  </si>
  <si>
    <t>Africa</t>
  </si>
  <si>
    <t>America</t>
  </si>
  <si>
    <t>Asia</t>
  </si>
  <si>
    <t>Kazakhstan</t>
  </si>
  <si>
    <t>Kyrgyzstan</t>
  </si>
  <si>
    <t>Singapore</t>
  </si>
  <si>
    <t>Taiwan</t>
  </si>
  <si>
    <t>Tajikistan</t>
  </si>
  <si>
    <t>Uzbekistan</t>
  </si>
  <si>
    <t>Vietnam</t>
  </si>
  <si>
    <t>Bhutan</t>
  </si>
  <si>
    <t>Europe</t>
  </si>
  <si>
    <t>Belarus</t>
  </si>
  <si>
    <t>Belgium</t>
  </si>
  <si>
    <t>Serbia</t>
  </si>
  <si>
    <t>Oceania</t>
  </si>
  <si>
    <t>Fiji</t>
  </si>
  <si>
    <t>Korea</t>
  </si>
  <si>
    <t>Source: Ministry of Economic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</si>
</sst>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8" formatCode="0.0%"/>
    <numFmt numFmtId="169" formatCode="_-* #,##0_-;\-* #,##0_-;_-* &quot;-&quot;??_-;_-@_-"/>
    <numFmt numFmtId="170" formatCode="#,##0;[Red]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b/>
      <sz val="12"/>
      <name val="Faruma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3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</cellStyleXfs>
  <cellXfs count="25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4" borderId="0" xfId="0" applyFont="1" applyFill="1" applyAlignment="1">
      <alignment horizontal="right"/>
    </xf>
    <xf numFmtId="9" fontId="0" fillId="3" borderId="0" xfId="2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/>
    </xf>
    <xf numFmtId="170" fontId="6" fillId="2" borderId="0" xfId="1" applyNumberFormat="1" applyFont="1" applyFill="1" applyBorder="1"/>
    <xf numFmtId="170" fontId="2" fillId="2" borderId="2" xfId="1" applyNumberFormat="1" applyFont="1" applyFill="1" applyBorder="1" applyAlignment="1">
      <alignment horizontal="right" vertical="center"/>
    </xf>
    <xf numFmtId="170" fontId="7" fillId="2" borderId="0" xfId="1" applyNumberFormat="1" applyFont="1" applyFill="1" applyBorder="1"/>
    <xf numFmtId="168" fontId="6" fillId="2" borderId="0" xfId="2" applyNumberFormat="1" applyFont="1" applyFill="1" applyBorder="1" applyAlignment="1">
      <alignment horizontal="right" vertical="center" indent="2"/>
    </xf>
    <xf numFmtId="0" fontId="6" fillId="2" borderId="1" xfId="0" applyFont="1" applyFill="1" applyBorder="1" applyAlignment="1">
      <alignment horizontal="left" indent="1"/>
    </xf>
    <xf numFmtId="170" fontId="6" fillId="2" borderId="1" xfId="1" applyNumberFormat="1" applyFont="1" applyFill="1" applyBorder="1"/>
    <xf numFmtId="168" fontId="6" fillId="2" borderId="1" xfId="2" applyNumberFormat="1" applyFont="1" applyFill="1" applyBorder="1" applyAlignment="1">
      <alignment horizontal="right" vertical="center" indent="2"/>
    </xf>
    <xf numFmtId="168" fontId="7" fillId="2" borderId="0" xfId="2" applyNumberFormat="1" applyFont="1" applyFill="1" applyBorder="1" applyAlignment="1">
      <alignment horizontal="right" vertical="center" indent="2"/>
    </xf>
    <xf numFmtId="169" fontId="0" fillId="3" borderId="0" xfId="1" applyNumberFormat="1" applyFont="1" applyFill="1"/>
    <xf numFmtId="0" fontId="11" fillId="2" borderId="0" xfId="0" applyFont="1" applyFill="1" applyBorder="1" applyAlignment="1">
      <alignment vertical="center"/>
    </xf>
    <xf numFmtId="164" fontId="9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9">
    <cellStyle name="Comma" xfId="1" builtinId="3"/>
    <cellStyle name="Comma 3" xfId="7"/>
    <cellStyle name="Normal" xfId="0" builtinId="0"/>
    <cellStyle name="Normal 11" xfId="8"/>
    <cellStyle name="Normal 2" xfId="4"/>
    <cellStyle name="Normal 4" xfId="5"/>
    <cellStyle name="Normal 5" xfId="6"/>
    <cellStyle name="Normal_Population - II 2" xfId="3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5CBB1"/>
      <color rgb="FFF3E6D9"/>
      <color rgb="FFEBD7C3"/>
      <color rgb="FFFFFAEB"/>
      <color rgb="FF976431"/>
      <color rgb="FFD0A172"/>
      <color rgb="FFF9F2EB"/>
      <color rgb="FF964B00"/>
      <color rgb="FFF5EADF"/>
      <color rgb="FFFFE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5.13: T</a:t>
            </a:r>
            <a:r>
              <a:rPr lang="en-US" sz="1200" b="1"/>
              <a:t>op five countries - Expatriate Employment by Nationality, 2019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f>'5.11'!$AF$78:$AF$82</c:f>
              <c:strCache>
                <c:ptCount val="5"/>
                <c:pt idx="0">
                  <c:v>Bangladesh</c:v>
                </c:pt>
                <c:pt idx="1">
                  <c:v>India</c:v>
                </c:pt>
                <c:pt idx="2">
                  <c:v>Sri Lanka</c:v>
                </c:pt>
                <c:pt idx="3">
                  <c:v>Nepal</c:v>
                </c:pt>
                <c:pt idx="4">
                  <c:v>Philippines</c:v>
                </c:pt>
              </c:strCache>
            </c:strRef>
          </c:cat>
          <c:val>
            <c:numRef>
              <c:f>'5.11'!$AI$78:$AI$82</c:f>
              <c:numCache>
                <c:formatCode>_-* #,##0_-;\-* #,##0_-;_-* "-"??_-;_-@_-</c:formatCode>
                <c:ptCount val="5"/>
                <c:pt idx="0">
                  <c:v>110084</c:v>
                </c:pt>
                <c:pt idx="1">
                  <c:v>20283</c:v>
                </c:pt>
                <c:pt idx="2">
                  <c:v>11266</c:v>
                </c:pt>
                <c:pt idx="3">
                  <c:v>4342</c:v>
                </c:pt>
                <c:pt idx="4">
                  <c:v>2134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67408"/>
        <c:axId val="162468192"/>
      </c:barChart>
      <c:catAx>
        <c:axId val="1624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8192"/>
        <c:crosses val="autoZero"/>
        <c:auto val="1"/>
        <c:lblAlgn val="ctr"/>
        <c:lblOffset val="100"/>
        <c:noMultiLvlLbl val="0"/>
      </c:catAx>
      <c:valAx>
        <c:axId val="162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5CBB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7408"/>
        <c:crosses val="autoZero"/>
        <c:crossBetween val="between"/>
      </c:valAx>
      <c:spPr>
        <a:solidFill>
          <a:srgbClr val="F3E6D9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5.14: Expatriate Employee's by sex, 2019</a:t>
            </a:r>
            <a:endParaRPr lang="en-US" sz="105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76431"/>
            </a:solidFill>
          </c:spPr>
          <c:dPt>
            <c:idx val="0"/>
            <c:bubble3D val="0"/>
            <c:spPr>
              <a:solidFill>
                <a:srgbClr val="97643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0A17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4.9132983377077867E-2"/>
                  <c:y val="-0.242037037037037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'5.11'!$C$5:$D$5</c:f>
              <c:strCache>
                <c:ptCount val="2"/>
                <c:pt idx="0">
                  <c:v>Male</c:v>
                </c:pt>
                <c:pt idx="1">
                  <c:v>Female </c:v>
                </c:pt>
              </c:strCache>
            </c:strRef>
          </c:cat>
          <c:val>
            <c:numRef>
              <c:f>'5.11'!$C$6:$D$6</c:f>
              <c:numCache>
                <c:formatCode>#,##0;[Red]#,##0</c:formatCode>
                <c:ptCount val="2"/>
                <c:pt idx="0">
                  <c:v>147671</c:v>
                </c:pt>
                <c:pt idx="1">
                  <c:v>9889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74</xdr:row>
      <xdr:rowOff>147637</xdr:rowOff>
    </xdr:from>
    <xdr:to>
      <xdr:col>4</xdr:col>
      <xdr:colOff>609600</xdr:colOff>
      <xdr:row>89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423862</xdr:colOff>
      <xdr:row>90</xdr:row>
      <xdr:rowOff>80962</xdr:rowOff>
    </xdr:from>
    <xdr:to>
      <xdr:col>4</xdr:col>
      <xdr:colOff>661987</xdr:colOff>
      <xdr:row>104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90"/>
  <sheetViews>
    <sheetView tabSelected="1" zoomScaleNormal="100" workbookViewId="0">
      <selection activeCell="E28" sqref="E28"/>
    </sheetView>
  </sheetViews>
  <sheetFormatPr defaultRowHeight="15" x14ac:dyDescent="0.25"/>
  <cols>
    <col min="1" max="1" width="31.140625" style="8" customWidth="1"/>
    <col min="2" max="4" width="11.28515625" style="13" customWidth="1"/>
    <col min="5" max="5" width="14.7109375" style="8" customWidth="1"/>
    <col min="6" max="16384" width="9.140625" style="8"/>
  </cols>
  <sheetData>
    <row r="2" spans="1:5" ht="21.75" x14ac:dyDescent="0.25">
      <c r="A2" s="23" t="s">
        <v>55</v>
      </c>
      <c r="B2" s="23"/>
      <c r="C2" s="23"/>
      <c r="D2" s="23"/>
      <c r="E2" s="23"/>
    </row>
    <row r="3" spans="1:5" ht="15.75" x14ac:dyDescent="0.25">
      <c r="A3" s="24" t="s">
        <v>54</v>
      </c>
      <c r="B3" s="24"/>
      <c r="C3" s="24"/>
      <c r="D3" s="24"/>
      <c r="E3" s="24"/>
    </row>
    <row r="4" spans="1:5" ht="15.75" x14ac:dyDescent="0.25">
      <c r="A4" s="7"/>
      <c r="B4" s="7"/>
      <c r="C4" s="7"/>
      <c r="D4" s="7"/>
      <c r="E4" s="7"/>
    </row>
    <row r="5" spans="1:5" x14ac:dyDescent="0.25">
      <c r="A5" s="1" t="s">
        <v>3</v>
      </c>
      <c r="B5" s="14" t="s">
        <v>4</v>
      </c>
      <c r="C5" s="14" t="s">
        <v>0</v>
      </c>
      <c r="D5" s="14" t="s">
        <v>5</v>
      </c>
      <c r="E5" s="2" t="s">
        <v>6</v>
      </c>
    </row>
    <row r="6" spans="1:5" x14ac:dyDescent="0.25">
      <c r="A6" s="9" t="s">
        <v>7</v>
      </c>
      <c r="B6" s="15">
        <f>B7+B19+B27+B53+B68</f>
        <v>157560</v>
      </c>
      <c r="C6" s="15">
        <f>C7+C19+C27+C53+C68</f>
        <v>147671</v>
      </c>
      <c r="D6" s="15">
        <f>D7+D19+D27+D53+D68</f>
        <v>9889</v>
      </c>
      <c r="E6" s="20">
        <f t="shared" ref="E6:E37" si="0">B6/$B$6</f>
        <v>1</v>
      </c>
    </row>
    <row r="7" spans="1:5" s="10" customFormat="1" x14ac:dyDescent="0.25">
      <c r="A7" s="9" t="s">
        <v>56</v>
      </c>
      <c r="B7" s="15">
        <f>SUM(B8:B18)</f>
        <v>978</v>
      </c>
      <c r="C7" s="15">
        <f t="shared" ref="C7:D7" si="1">SUM(C8:C18)</f>
        <v>747</v>
      </c>
      <c r="D7" s="15">
        <f t="shared" si="1"/>
        <v>231</v>
      </c>
      <c r="E7" s="16">
        <f t="shared" si="0"/>
        <v>6.2071591774562071E-3</v>
      </c>
    </row>
    <row r="8" spans="1:5" x14ac:dyDescent="0.25">
      <c r="A8" s="11" t="s">
        <v>46</v>
      </c>
      <c r="B8" s="13">
        <f>SUM(C8:D8)</f>
        <v>550</v>
      </c>
      <c r="C8" s="13">
        <v>491</v>
      </c>
      <c r="D8" s="13">
        <v>59</v>
      </c>
      <c r="E8" s="16">
        <f t="shared" si="0"/>
        <v>3.4907336887534906E-3</v>
      </c>
    </row>
    <row r="9" spans="1:5" x14ac:dyDescent="0.25">
      <c r="A9" s="11" t="s">
        <v>8</v>
      </c>
      <c r="B9" s="13">
        <f t="shared" ref="B9:B17" si="2">SUM(C9:D9)</f>
        <v>73</v>
      </c>
      <c r="C9" s="13">
        <v>50</v>
      </c>
      <c r="D9" s="13">
        <v>23</v>
      </c>
      <c r="E9" s="16">
        <f t="shared" si="0"/>
        <v>4.6331556232546333E-4</v>
      </c>
    </row>
    <row r="10" spans="1:5" x14ac:dyDescent="0.25">
      <c r="A10" s="11" t="s">
        <v>9</v>
      </c>
      <c r="B10" s="13">
        <f t="shared" si="2"/>
        <v>70</v>
      </c>
      <c r="C10" s="13">
        <v>42</v>
      </c>
      <c r="D10" s="13">
        <v>28</v>
      </c>
      <c r="E10" s="16">
        <f t="shared" si="0"/>
        <v>4.4427519675044428E-4</v>
      </c>
    </row>
    <row r="11" spans="1:5" x14ac:dyDescent="0.25">
      <c r="A11" s="11" t="s">
        <v>10</v>
      </c>
      <c r="B11" s="13">
        <f t="shared" si="2"/>
        <v>69</v>
      </c>
      <c r="C11" s="13">
        <v>29</v>
      </c>
      <c r="D11" s="13">
        <v>40</v>
      </c>
      <c r="E11" s="16">
        <f t="shared" si="0"/>
        <v>4.3792840822543791E-4</v>
      </c>
    </row>
    <row r="12" spans="1:5" x14ac:dyDescent="0.25">
      <c r="A12" s="11" t="s">
        <v>11</v>
      </c>
      <c r="B12" s="13">
        <f t="shared" si="2"/>
        <v>66</v>
      </c>
      <c r="C12" s="13">
        <v>30</v>
      </c>
      <c r="D12" s="13">
        <v>36</v>
      </c>
      <c r="E12" s="16">
        <f t="shared" si="0"/>
        <v>4.1888804265041891E-4</v>
      </c>
    </row>
    <row r="13" spans="1:5" x14ac:dyDescent="0.25">
      <c r="A13" s="11" t="s">
        <v>12</v>
      </c>
      <c r="B13" s="13">
        <f t="shared" si="2"/>
        <v>32</v>
      </c>
      <c r="C13" s="13">
        <v>29</v>
      </c>
      <c r="D13" s="13">
        <v>3</v>
      </c>
      <c r="E13" s="16">
        <f t="shared" si="0"/>
        <v>2.0309723280020309E-4</v>
      </c>
    </row>
    <row r="14" spans="1:5" x14ac:dyDescent="0.25">
      <c r="A14" s="11" t="s">
        <v>13</v>
      </c>
      <c r="B14" s="13">
        <f t="shared" si="2"/>
        <v>24</v>
      </c>
      <c r="C14" s="13">
        <v>11</v>
      </c>
      <c r="D14" s="13">
        <v>13</v>
      </c>
      <c r="E14" s="16">
        <f t="shared" si="0"/>
        <v>1.5232292460015231E-4</v>
      </c>
    </row>
    <row r="15" spans="1:5" x14ac:dyDescent="0.25">
      <c r="A15" s="11" t="s">
        <v>15</v>
      </c>
      <c r="B15" s="13">
        <f t="shared" si="2"/>
        <v>16</v>
      </c>
      <c r="C15" s="13">
        <v>10</v>
      </c>
      <c r="D15" s="13">
        <v>6</v>
      </c>
      <c r="E15" s="16">
        <f t="shared" si="0"/>
        <v>1.0154861640010154E-4</v>
      </c>
    </row>
    <row r="16" spans="1:5" x14ac:dyDescent="0.25">
      <c r="A16" s="11" t="s">
        <v>14</v>
      </c>
      <c r="B16" s="13">
        <f t="shared" si="2"/>
        <v>15</v>
      </c>
      <c r="C16" s="13">
        <v>14</v>
      </c>
      <c r="D16" s="13">
        <v>1</v>
      </c>
      <c r="E16" s="16">
        <f t="shared" si="0"/>
        <v>9.5201827875095204E-5</v>
      </c>
    </row>
    <row r="17" spans="1:5" x14ac:dyDescent="0.25">
      <c r="A17" s="11" t="s">
        <v>16</v>
      </c>
      <c r="B17" s="13">
        <f t="shared" si="2"/>
        <v>15</v>
      </c>
      <c r="C17" s="13">
        <v>13</v>
      </c>
      <c r="D17" s="13">
        <v>2</v>
      </c>
      <c r="E17" s="16">
        <f t="shared" si="0"/>
        <v>9.5201827875095204E-5</v>
      </c>
    </row>
    <row r="18" spans="1:5" x14ac:dyDescent="0.25">
      <c r="A18" s="11" t="s">
        <v>52</v>
      </c>
      <c r="B18" s="13">
        <v>48</v>
      </c>
      <c r="C18" s="13">
        <v>28</v>
      </c>
      <c r="D18" s="13">
        <v>20</v>
      </c>
      <c r="E18" s="16">
        <f t="shared" si="0"/>
        <v>3.0464584920030462E-4</v>
      </c>
    </row>
    <row r="19" spans="1:5" s="10" customFormat="1" x14ac:dyDescent="0.25">
      <c r="A19" s="9" t="s">
        <v>57</v>
      </c>
      <c r="B19" s="15">
        <f>SUM(B20:B26)</f>
        <v>178</v>
      </c>
      <c r="C19" s="15">
        <f>SUM(C20:C26)</f>
        <v>120</v>
      </c>
      <c r="D19" s="15">
        <f>SUM(D20:D26)</f>
        <v>58</v>
      </c>
      <c r="E19" s="16">
        <f t="shared" si="0"/>
        <v>1.1297283574511297E-3</v>
      </c>
    </row>
    <row r="20" spans="1:5" x14ac:dyDescent="0.25">
      <c r="A20" s="11" t="s">
        <v>17</v>
      </c>
      <c r="B20" s="13">
        <f>SUM(C20:D20)</f>
        <v>53</v>
      </c>
      <c r="C20" s="13">
        <v>43</v>
      </c>
      <c r="D20" s="13">
        <v>10</v>
      </c>
      <c r="E20" s="16">
        <f t="shared" si="0"/>
        <v>3.363797918253364E-4</v>
      </c>
    </row>
    <row r="21" spans="1:5" x14ac:dyDescent="0.25">
      <c r="A21" s="11" t="s">
        <v>18</v>
      </c>
      <c r="B21" s="13">
        <f t="shared" ref="B21:B25" si="3">SUM(C21:D21)</f>
        <v>50</v>
      </c>
      <c r="C21" s="13">
        <v>29</v>
      </c>
      <c r="D21" s="13">
        <v>21</v>
      </c>
      <c r="E21" s="16">
        <f t="shared" si="0"/>
        <v>3.1733942625031736E-4</v>
      </c>
    </row>
    <row r="22" spans="1:5" x14ac:dyDescent="0.25">
      <c r="A22" s="11" t="s">
        <v>20</v>
      </c>
      <c r="B22" s="13">
        <f t="shared" si="3"/>
        <v>14</v>
      </c>
      <c r="C22" s="13">
        <v>6</v>
      </c>
      <c r="D22" s="13">
        <v>8</v>
      </c>
      <c r="E22" s="16">
        <f t="shared" si="0"/>
        <v>8.885503935008885E-5</v>
      </c>
    </row>
    <row r="23" spans="1:5" x14ac:dyDescent="0.25">
      <c r="A23" s="11" t="s">
        <v>19</v>
      </c>
      <c r="B23" s="13">
        <f t="shared" si="3"/>
        <v>13</v>
      </c>
      <c r="C23" s="13">
        <v>9</v>
      </c>
      <c r="D23" s="13">
        <v>4</v>
      </c>
      <c r="E23" s="16">
        <f t="shared" si="0"/>
        <v>8.2508250825082509E-5</v>
      </c>
    </row>
    <row r="24" spans="1:5" x14ac:dyDescent="0.25">
      <c r="A24" s="11" t="s">
        <v>22</v>
      </c>
      <c r="B24" s="13">
        <f t="shared" si="3"/>
        <v>11</v>
      </c>
      <c r="C24" s="13">
        <v>6</v>
      </c>
      <c r="D24" s="13">
        <v>5</v>
      </c>
      <c r="E24" s="16">
        <f t="shared" si="0"/>
        <v>6.9814673775069814E-5</v>
      </c>
    </row>
    <row r="25" spans="1:5" x14ac:dyDescent="0.25">
      <c r="A25" s="11" t="s">
        <v>21</v>
      </c>
      <c r="B25" s="13">
        <f t="shared" si="3"/>
        <v>11</v>
      </c>
      <c r="C25" s="13">
        <v>7</v>
      </c>
      <c r="D25" s="13">
        <v>4</v>
      </c>
      <c r="E25" s="16">
        <f t="shared" si="0"/>
        <v>6.9814673775069814E-5</v>
      </c>
    </row>
    <row r="26" spans="1:5" x14ac:dyDescent="0.25">
      <c r="A26" s="11" t="s">
        <v>52</v>
      </c>
      <c r="B26" s="13">
        <v>26</v>
      </c>
      <c r="C26" s="13">
        <v>20</v>
      </c>
      <c r="D26" s="13">
        <v>6</v>
      </c>
      <c r="E26" s="16">
        <f t="shared" si="0"/>
        <v>1.6501650165016502E-4</v>
      </c>
    </row>
    <row r="27" spans="1:5" s="10" customFormat="1" x14ac:dyDescent="0.25">
      <c r="A27" s="9" t="s">
        <v>58</v>
      </c>
      <c r="B27" s="15">
        <f>SUM(B28:B52)</f>
        <v>155218</v>
      </c>
      <c r="C27" s="15">
        <f>SUM(C28:C52)</f>
        <v>146159</v>
      </c>
      <c r="D27" s="15">
        <f>SUM(D28:D52)</f>
        <v>9059</v>
      </c>
      <c r="E27" s="16">
        <f>B27/$B$6</f>
        <v>0.98513582127443511</v>
      </c>
    </row>
    <row r="28" spans="1:5" x14ac:dyDescent="0.25">
      <c r="A28" s="11" t="s">
        <v>23</v>
      </c>
      <c r="B28" s="13">
        <f>SUM(C28:D28)</f>
        <v>110084</v>
      </c>
      <c r="C28" s="13">
        <v>109685</v>
      </c>
      <c r="D28" s="13">
        <v>399</v>
      </c>
      <c r="E28" s="16">
        <f t="shared" si="0"/>
        <v>0.69867986798679871</v>
      </c>
    </row>
    <row r="29" spans="1:5" x14ac:dyDescent="0.25">
      <c r="A29" s="11" t="s">
        <v>24</v>
      </c>
      <c r="B29" s="13">
        <f t="shared" ref="B29:B51" si="4">SUM(C29:D29)</f>
        <v>20283</v>
      </c>
      <c r="C29" s="13">
        <v>17448</v>
      </c>
      <c r="D29" s="13">
        <v>2835</v>
      </c>
      <c r="E29" s="16">
        <f t="shared" si="0"/>
        <v>0.12873191165270373</v>
      </c>
    </row>
    <row r="30" spans="1:5" x14ac:dyDescent="0.25">
      <c r="A30" s="11" t="s">
        <v>25</v>
      </c>
      <c r="B30" s="13">
        <f t="shared" si="4"/>
        <v>11266</v>
      </c>
      <c r="C30" s="13">
        <v>10295</v>
      </c>
      <c r="D30" s="13">
        <v>971</v>
      </c>
      <c r="E30" s="16">
        <f t="shared" si="0"/>
        <v>7.1502919522721503E-2</v>
      </c>
    </row>
    <row r="31" spans="1:5" x14ac:dyDescent="0.25">
      <c r="A31" s="11" t="s">
        <v>27</v>
      </c>
      <c r="B31" s="13">
        <f t="shared" si="4"/>
        <v>4342</v>
      </c>
      <c r="C31" s="13">
        <v>3075</v>
      </c>
      <c r="D31" s="13">
        <v>1267</v>
      </c>
      <c r="E31" s="16">
        <f t="shared" si="0"/>
        <v>2.7557755775577557E-2</v>
      </c>
    </row>
    <row r="32" spans="1:5" x14ac:dyDescent="0.25">
      <c r="A32" s="11" t="s">
        <v>26</v>
      </c>
      <c r="B32" s="13">
        <f t="shared" si="4"/>
        <v>3144</v>
      </c>
      <c r="C32" s="13">
        <v>2747</v>
      </c>
      <c r="D32" s="13">
        <v>397</v>
      </c>
      <c r="E32" s="16">
        <f t="shared" si="0"/>
        <v>1.9954303122619955E-2</v>
      </c>
    </row>
    <row r="33" spans="1:5" x14ac:dyDescent="0.25">
      <c r="A33" s="11" t="s">
        <v>28</v>
      </c>
      <c r="B33" s="13">
        <f t="shared" si="4"/>
        <v>2134</v>
      </c>
      <c r="C33" s="13">
        <v>807</v>
      </c>
      <c r="D33" s="13">
        <v>1327</v>
      </c>
      <c r="E33" s="16">
        <f t="shared" si="0"/>
        <v>1.3544046712363544E-2</v>
      </c>
    </row>
    <row r="34" spans="1:5" x14ac:dyDescent="0.25">
      <c r="A34" s="11" t="s">
        <v>29</v>
      </c>
      <c r="B34" s="13">
        <f t="shared" si="4"/>
        <v>1821</v>
      </c>
      <c r="C34" s="13">
        <v>909</v>
      </c>
      <c r="D34" s="13">
        <v>912</v>
      </c>
      <c r="E34" s="16">
        <f t="shared" si="0"/>
        <v>1.1557501904036557E-2</v>
      </c>
    </row>
    <row r="35" spans="1:5" x14ac:dyDescent="0.25">
      <c r="A35" s="11" t="s">
        <v>30</v>
      </c>
      <c r="B35" s="13">
        <f t="shared" si="4"/>
        <v>563</v>
      </c>
      <c r="C35" s="13">
        <v>181</v>
      </c>
      <c r="D35" s="13">
        <v>382</v>
      </c>
      <c r="E35" s="16">
        <f t="shared" si="0"/>
        <v>3.5732419395785734E-3</v>
      </c>
    </row>
    <row r="36" spans="1:5" x14ac:dyDescent="0.25">
      <c r="A36" s="11" t="s">
        <v>32</v>
      </c>
      <c r="B36" s="13">
        <f t="shared" si="4"/>
        <v>317</v>
      </c>
      <c r="C36" s="13">
        <v>279</v>
      </c>
      <c r="D36" s="13">
        <v>38</v>
      </c>
      <c r="E36" s="16">
        <f t="shared" si="0"/>
        <v>2.011931962427012E-3</v>
      </c>
    </row>
    <row r="37" spans="1:5" x14ac:dyDescent="0.25">
      <c r="A37" s="11" t="s">
        <v>31</v>
      </c>
      <c r="B37" s="13">
        <f t="shared" si="4"/>
        <v>246</v>
      </c>
      <c r="C37" s="13">
        <v>168</v>
      </c>
      <c r="D37" s="13">
        <v>78</v>
      </c>
      <c r="E37" s="16">
        <f t="shared" si="0"/>
        <v>1.5613099771515614E-3</v>
      </c>
    </row>
    <row r="38" spans="1:5" x14ac:dyDescent="0.25">
      <c r="A38" s="11" t="s">
        <v>47</v>
      </c>
      <c r="B38" s="13">
        <f t="shared" si="4"/>
        <v>188</v>
      </c>
      <c r="C38" s="13">
        <v>180</v>
      </c>
      <c r="D38" s="13">
        <v>8</v>
      </c>
      <c r="E38" s="16">
        <f t="shared" ref="E38:E72" si="5">B38/$B$6</f>
        <v>1.1931962427011932E-3</v>
      </c>
    </row>
    <row r="39" spans="1:5" x14ac:dyDescent="0.25">
      <c r="A39" s="11" t="s">
        <v>33</v>
      </c>
      <c r="B39" s="13">
        <f t="shared" si="4"/>
        <v>120</v>
      </c>
      <c r="C39" s="13">
        <v>102</v>
      </c>
      <c r="D39" s="13">
        <v>18</v>
      </c>
      <c r="E39" s="16">
        <f t="shared" si="5"/>
        <v>7.6161462300076163E-4</v>
      </c>
    </row>
    <row r="40" spans="1:5" x14ac:dyDescent="0.25">
      <c r="A40" s="11" t="s">
        <v>34</v>
      </c>
      <c r="B40" s="13">
        <f t="shared" si="4"/>
        <v>119</v>
      </c>
      <c r="C40" s="13">
        <v>31</v>
      </c>
      <c r="D40" s="13">
        <v>88</v>
      </c>
      <c r="E40" s="16">
        <f t="shared" si="5"/>
        <v>7.5526783447575532E-4</v>
      </c>
    </row>
    <row r="41" spans="1:5" x14ac:dyDescent="0.25">
      <c r="A41" s="11" t="s">
        <v>66</v>
      </c>
      <c r="B41" s="13">
        <f t="shared" si="4"/>
        <v>105</v>
      </c>
      <c r="C41" s="13">
        <v>17</v>
      </c>
      <c r="D41" s="13">
        <v>88</v>
      </c>
      <c r="E41" s="16">
        <f t="shared" si="5"/>
        <v>6.6641279512566639E-4</v>
      </c>
    </row>
    <row r="42" spans="1:5" x14ac:dyDescent="0.25">
      <c r="A42" s="11" t="s">
        <v>35</v>
      </c>
      <c r="B42" s="13">
        <f t="shared" si="4"/>
        <v>82</v>
      </c>
      <c r="C42" s="13">
        <v>16</v>
      </c>
      <c r="D42" s="13">
        <v>66</v>
      </c>
      <c r="E42" s="16">
        <f t="shared" si="5"/>
        <v>5.2043665905052042E-4</v>
      </c>
    </row>
    <row r="43" spans="1:5" x14ac:dyDescent="0.25">
      <c r="A43" s="11" t="s">
        <v>65</v>
      </c>
      <c r="B43" s="13">
        <f t="shared" si="4"/>
        <v>78</v>
      </c>
      <c r="C43" s="13">
        <v>54</v>
      </c>
      <c r="D43" s="13">
        <v>24</v>
      </c>
      <c r="E43" s="16">
        <f t="shared" si="5"/>
        <v>4.9504950495049506E-4</v>
      </c>
    </row>
    <row r="44" spans="1:5" x14ac:dyDescent="0.25">
      <c r="A44" s="11" t="s">
        <v>62</v>
      </c>
      <c r="B44" s="13">
        <f t="shared" si="4"/>
        <v>54</v>
      </c>
      <c r="C44" s="13">
        <v>15</v>
      </c>
      <c r="D44" s="13">
        <v>39</v>
      </c>
      <c r="E44" s="16">
        <f t="shared" si="5"/>
        <v>3.4272658035034272E-4</v>
      </c>
    </row>
    <row r="45" spans="1:5" x14ac:dyDescent="0.25">
      <c r="A45" s="11" t="s">
        <v>64</v>
      </c>
      <c r="B45" s="13">
        <f t="shared" si="4"/>
        <v>49</v>
      </c>
      <c r="C45" s="15">
        <v>37</v>
      </c>
      <c r="D45" s="15">
        <v>12</v>
      </c>
      <c r="E45" s="16">
        <f t="shared" si="5"/>
        <v>3.1099263772531099E-4</v>
      </c>
    </row>
    <row r="46" spans="1:5" x14ac:dyDescent="0.25">
      <c r="A46" s="11" t="s">
        <v>73</v>
      </c>
      <c r="B46" s="13">
        <f t="shared" si="4"/>
        <v>38</v>
      </c>
      <c r="C46" s="13">
        <v>12</v>
      </c>
      <c r="D46" s="13">
        <v>26</v>
      </c>
      <c r="E46" s="16">
        <f t="shared" si="5"/>
        <v>2.4117796395024119E-4</v>
      </c>
    </row>
    <row r="47" spans="1:5" x14ac:dyDescent="0.25">
      <c r="A47" s="11" t="s">
        <v>59</v>
      </c>
      <c r="B47" s="13">
        <f t="shared" si="4"/>
        <v>35</v>
      </c>
      <c r="C47" s="13">
        <v>4</v>
      </c>
      <c r="D47" s="13">
        <v>31</v>
      </c>
      <c r="E47" s="16">
        <f t="shared" si="5"/>
        <v>2.2213759837522214E-4</v>
      </c>
    </row>
    <row r="48" spans="1:5" x14ac:dyDescent="0.25">
      <c r="A48" s="11" t="s">
        <v>61</v>
      </c>
      <c r="B48" s="13">
        <f t="shared" si="4"/>
        <v>35</v>
      </c>
      <c r="C48" s="13">
        <v>23</v>
      </c>
      <c r="D48" s="13">
        <v>12</v>
      </c>
      <c r="E48" s="16">
        <f t="shared" si="5"/>
        <v>2.2213759837522214E-4</v>
      </c>
    </row>
    <row r="49" spans="1:5" x14ac:dyDescent="0.25">
      <c r="A49" s="11" t="s">
        <v>60</v>
      </c>
      <c r="B49" s="13">
        <f t="shared" si="4"/>
        <v>17</v>
      </c>
      <c r="C49" s="13">
        <v>3</v>
      </c>
      <c r="D49" s="13">
        <v>14</v>
      </c>
      <c r="E49" s="16">
        <f t="shared" si="5"/>
        <v>1.078954049251079E-4</v>
      </c>
    </row>
    <row r="50" spans="1:5" x14ac:dyDescent="0.25">
      <c r="A50" s="11" t="s">
        <v>48</v>
      </c>
      <c r="B50" s="13">
        <f t="shared" si="4"/>
        <v>15</v>
      </c>
      <c r="C50" s="13">
        <v>14</v>
      </c>
      <c r="D50" s="13">
        <v>1</v>
      </c>
      <c r="E50" s="16">
        <f t="shared" si="5"/>
        <v>9.5201827875095204E-5</v>
      </c>
    </row>
    <row r="51" spans="1:5" x14ac:dyDescent="0.25">
      <c r="A51" s="11" t="s">
        <v>63</v>
      </c>
      <c r="B51" s="13">
        <f t="shared" si="4"/>
        <v>15</v>
      </c>
      <c r="C51" s="13">
        <v>3</v>
      </c>
      <c r="D51" s="13">
        <v>12</v>
      </c>
      <c r="E51" s="16">
        <f t="shared" si="5"/>
        <v>9.5201827875095204E-5</v>
      </c>
    </row>
    <row r="52" spans="1:5" x14ac:dyDescent="0.25">
      <c r="A52" s="11" t="s">
        <v>52</v>
      </c>
      <c r="B52" s="13">
        <v>68</v>
      </c>
      <c r="C52" s="13">
        <v>54</v>
      </c>
      <c r="D52" s="13">
        <v>14</v>
      </c>
      <c r="E52" s="16">
        <f t="shared" si="5"/>
        <v>4.315816197004316E-4</v>
      </c>
    </row>
    <row r="53" spans="1:5" s="10" customFormat="1" x14ac:dyDescent="0.25">
      <c r="A53" s="9" t="s">
        <v>67</v>
      </c>
      <c r="B53" s="15">
        <f>SUM(B54:B67)</f>
        <v>1125</v>
      </c>
      <c r="C53" s="15">
        <f>SUM(C54:C67)</f>
        <v>601</v>
      </c>
      <c r="D53" s="15">
        <f>SUM(D54:D67)</f>
        <v>524</v>
      </c>
      <c r="E53" s="16">
        <f t="shared" si="5"/>
        <v>7.1401370906321402E-3</v>
      </c>
    </row>
    <row r="54" spans="1:5" x14ac:dyDescent="0.25">
      <c r="A54" s="11" t="s">
        <v>36</v>
      </c>
      <c r="B54" s="13">
        <f>SUM(C54:D54)</f>
        <v>277</v>
      </c>
      <c r="C54" s="13">
        <v>171</v>
      </c>
      <c r="D54" s="13">
        <v>106</v>
      </c>
      <c r="E54" s="16">
        <f t="shared" si="5"/>
        <v>1.7580604214267582E-3</v>
      </c>
    </row>
    <row r="55" spans="1:5" x14ac:dyDescent="0.25">
      <c r="A55" s="11" t="s">
        <v>37</v>
      </c>
      <c r="B55" s="13">
        <f t="shared" ref="B55:B66" si="6">SUM(C55:D55)</f>
        <v>139</v>
      </c>
      <c r="C55" s="13">
        <v>66</v>
      </c>
      <c r="D55" s="13">
        <v>73</v>
      </c>
      <c r="E55" s="16">
        <f t="shared" si="5"/>
        <v>8.8220360497588224E-4</v>
      </c>
    </row>
    <row r="56" spans="1:5" x14ac:dyDescent="0.25">
      <c r="A56" s="11" t="s">
        <v>38</v>
      </c>
      <c r="B56" s="13">
        <f t="shared" si="6"/>
        <v>120</v>
      </c>
      <c r="C56" s="13">
        <v>72</v>
      </c>
      <c r="D56" s="13">
        <v>48</v>
      </c>
      <c r="E56" s="16">
        <f t="shared" si="5"/>
        <v>7.6161462300076163E-4</v>
      </c>
    </row>
    <row r="57" spans="1:5" x14ac:dyDescent="0.25">
      <c r="A57" s="11" t="s">
        <v>39</v>
      </c>
      <c r="B57" s="13">
        <f t="shared" si="6"/>
        <v>112</v>
      </c>
      <c r="C57" s="13">
        <v>68</v>
      </c>
      <c r="D57" s="13">
        <v>44</v>
      </c>
      <c r="E57" s="16">
        <f t="shared" si="5"/>
        <v>7.108403148007108E-4</v>
      </c>
    </row>
    <row r="58" spans="1:5" x14ac:dyDescent="0.25">
      <c r="A58" s="11" t="s">
        <v>40</v>
      </c>
      <c r="B58" s="13">
        <f t="shared" si="6"/>
        <v>110</v>
      </c>
      <c r="C58" s="13">
        <v>37</v>
      </c>
      <c r="D58" s="13">
        <v>73</v>
      </c>
      <c r="E58" s="16">
        <f t="shared" si="5"/>
        <v>6.9814673775069817E-4</v>
      </c>
    </row>
    <row r="59" spans="1:5" x14ac:dyDescent="0.25">
      <c r="A59" s="11" t="s">
        <v>41</v>
      </c>
      <c r="B59" s="13">
        <f t="shared" si="6"/>
        <v>52</v>
      </c>
      <c r="C59" s="13">
        <v>25</v>
      </c>
      <c r="D59" s="13">
        <v>27</v>
      </c>
      <c r="E59" s="16">
        <f t="shared" si="5"/>
        <v>3.3003300330033004E-4</v>
      </c>
    </row>
    <row r="60" spans="1:5" x14ac:dyDescent="0.25">
      <c r="A60" s="11" t="s">
        <v>42</v>
      </c>
      <c r="B60" s="13">
        <f t="shared" si="6"/>
        <v>44</v>
      </c>
      <c r="C60" s="13">
        <v>23</v>
      </c>
      <c r="D60" s="13">
        <v>21</v>
      </c>
      <c r="E60" s="16">
        <f t="shared" si="5"/>
        <v>2.7925869510027926E-4</v>
      </c>
    </row>
    <row r="61" spans="1:5" x14ac:dyDescent="0.25">
      <c r="A61" s="11" t="s">
        <v>43</v>
      </c>
      <c r="B61" s="13">
        <f t="shared" si="6"/>
        <v>34</v>
      </c>
      <c r="C61" s="13">
        <v>21</v>
      </c>
      <c r="D61" s="13">
        <v>13</v>
      </c>
      <c r="E61" s="16">
        <f t="shared" si="5"/>
        <v>2.157908098502158E-4</v>
      </c>
    </row>
    <row r="62" spans="1:5" x14ac:dyDescent="0.25">
      <c r="A62" s="11" t="s">
        <v>45</v>
      </c>
      <c r="B62" s="13">
        <f t="shared" si="6"/>
        <v>32</v>
      </c>
      <c r="C62" s="13">
        <v>13</v>
      </c>
      <c r="D62" s="13">
        <v>19</v>
      </c>
      <c r="E62" s="16">
        <f t="shared" si="5"/>
        <v>2.0309723280020309E-4</v>
      </c>
    </row>
    <row r="63" spans="1:5" x14ac:dyDescent="0.25">
      <c r="A63" s="11" t="s">
        <v>44</v>
      </c>
      <c r="B63" s="13">
        <f t="shared" si="6"/>
        <v>20</v>
      </c>
      <c r="C63" s="13">
        <v>14</v>
      </c>
      <c r="D63" s="13">
        <v>6</v>
      </c>
      <c r="E63" s="16">
        <f t="shared" si="5"/>
        <v>1.2693577050012695E-4</v>
      </c>
    </row>
    <row r="64" spans="1:5" x14ac:dyDescent="0.25">
      <c r="A64" s="11" t="s">
        <v>69</v>
      </c>
      <c r="B64" s="13">
        <f t="shared" si="6"/>
        <v>16</v>
      </c>
      <c r="C64" s="13">
        <v>10</v>
      </c>
      <c r="D64" s="13">
        <v>6</v>
      </c>
      <c r="E64" s="16">
        <f t="shared" si="5"/>
        <v>1.0154861640010154E-4</v>
      </c>
    </row>
    <row r="65" spans="1:36" x14ac:dyDescent="0.25">
      <c r="A65" s="11" t="s">
        <v>68</v>
      </c>
      <c r="B65" s="13">
        <f t="shared" si="6"/>
        <v>15</v>
      </c>
      <c r="C65" s="13">
        <v>3</v>
      </c>
      <c r="D65" s="13">
        <v>12</v>
      </c>
      <c r="E65" s="16">
        <f t="shared" si="5"/>
        <v>9.5201827875095204E-5</v>
      </c>
    </row>
    <row r="66" spans="1:36" x14ac:dyDescent="0.25">
      <c r="A66" s="11" t="s">
        <v>70</v>
      </c>
      <c r="B66" s="13">
        <f t="shared" si="6"/>
        <v>15</v>
      </c>
      <c r="C66" s="13">
        <v>11</v>
      </c>
      <c r="D66" s="13">
        <v>4</v>
      </c>
      <c r="E66" s="16">
        <f t="shared" si="5"/>
        <v>9.5201827875095204E-5</v>
      </c>
    </row>
    <row r="67" spans="1:36" x14ac:dyDescent="0.25">
      <c r="A67" s="11" t="s">
        <v>52</v>
      </c>
      <c r="B67" s="13">
        <v>139</v>
      </c>
      <c r="C67" s="13">
        <v>67</v>
      </c>
      <c r="D67" s="13">
        <v>72</v>
      </c>
      <c r="E67" s="16">
        <f t="shared" si="5"/>
        <v>8.8220360497588224E-4</v>
      </c>
    </row>
    <row r="68" spans="1:36" s="10" customFormat="1" x14ac:dyDescent="0.25">
      <c r="A68" s="9" t="s">
        <v>71</v>
      </c>
      <c r="B68" s="15">
        <f>SUM(B69:B72)</f>
        <v>61</v>
      </c>
      <c r="C68" s="15">
        <f t="shared" ref="C68:D68" si="7">SUM(C69:C72)</f>
        <v>44</v>
      </c>
      <c r="D68" s="15">
        <f t="shared" si="7"/>
        <v>17</v>
      </c>
      <c r="E68" s="16">
        <f t="shared" si="5"/>
        <v>3.8715410002538713E-4</v>
      </c>
    </row>
    <row r="69" spans="1:36" x14ac:dyDescent="0.25">
      <c r="A69" s="11" t="s">
        <v>49</v>
      </c>
      <c r="B69" s="13">
        <f>SUM(C69:D69)</f>
        <v>41</v>
      </c>
      <c r="C69" s="13">
        <v>29</v>
      </c>
      <c r="D69" s="13">
        <v>12</v>
      </c>
      <c r="E69" s="16">
        <f t="shared" si="5"/>
        <v>2.6021832952526021E-4</v>
      </c>
    </row>
    <row r="70" spans="1:36" x14ac:dyDescent="0.25">
      <c r="A70" s="11" t="s">
        <v>51</v>
      </c>
      <c r="B70" s="13">
        <f t="shared" ref="B70:B72" si="8">SUM(C70:D70)</f>
        <v>9</v>
      </c>
      <c r="C70" s="13">
        <v>5</v>
      </c>
      <c r="D70" s="13">
        <v>4</v>
      </c>
      <c r="E70" s="16">
        <f t="shared" si="5"/>
        <v>5.712109672505712E-5</v>
      </c>
    </row>
    <row r="71" spans="1:36" x14ac:dyDescent="0.25">
      <c r="A71" s="11" t="s">
        <v>50</v>
      </c>
      <c r="B71" s="13">
        <f t="shared" si="8"/>
        <v>9</v>
      </c>
      <c r="C71" s="13">
        <v>8</v>
      </c>
      <c r="D71" s="13">
        <v>1</v>
      </c>
      <c r="E71" s="16">
        <f t="shared" si="5"/>
        <v>5.712109672505712E-5</v>
      </c>
    </row>
    <row r="72" spans="1:36" x14ac:dyDescent="0.25">
      <c r="A72" s="17" t="s">
        <v>72</v>
      </c>
      <c r="B72" s="18">
        <f t="shared" si="8"/>
        <v>2</v>
      </c>
      <c r="C72" s="18">
        <v>2</v>
      </c>
      <c r="D72" s="18">
        <v>0</v>
      </c>
      <c r="E72" s="19">
        <f t="shared" si="5"/>
        <v>1.2693577050012693E-5</v>
      </c>
    </row>
    <row r="73" spans="1:36" x14ac:dyDescent="0.25">
      <c r="A73" s="22" t="s">
        <v>74</v>
      </c>
    </row>
    <row r="76" spans="1:36" x14ac:dyDescent="0.25">
      <c r="AE76" s="3" t="s">
        <v>53</v>
      </c>
      <c r="AF76" s="3"/>
      <c r="AG76" s="3"/>
      <c r="AH76" s="3"/>
      <c r="AI76" s="3"/>
      <c r="AJ76" s="3"/>
    </row>
    <row r="77" spans="1:36" x14ac:dyDescent="0.25">
      <c r="AE77" s="4"/>
      <c r="AF77" s="4"/>
      <c r="AG77" s="5" t="s">
        <v>1</v>
      </c>
      <c r="AH77" s="5" t="s">
        <v>0</v>
      </c>
      <c r="AI77" s="5" t="s">
        <v>2</v>
      </c>
      <c r="AJ77" s="4"/>
    </row>
    <row r="78" spans="1:36" x14ac:dyDescent="0.25">
      <c r="AE78" s="3">
        <v>1</v>
      </c>
      <c r="AF78" s="21" t="s">
        <v>23</v>
      </c>
      <c r="AG78" s="21">
        <v>399</v>
      </c>
      <c r="AH78" s="21">
        <v>109685</v>
      </c>
      <c r="AI78" s="21">
        <v>110084</v>
      </c>
      <c r="AJ78" s="6">
        <v>0.69867986798679871</v>
      </c>
    </row>
    <row r="79" spans="1:36" x14ac:dyDescent="0.25">
      <c r="AE79" s="3">
        <v>2</v>
      </c>
      <c r="AF79" s="21" t="s">
        <v>24</v>
      </c>
      <c r="AG79" s="21">
        <v>2835</v>
      </c>
      <c r="AH79" s="21">
        <v>17448</v>
      </c>
      <c r="AI79" s="21">
        <v>20283</v>
      </c>
      <c r="AJ79" s="6">
        <v>0.12873191165270373</v>
      </c>
    </row>
    <row r="80" spans="1:36" x14ac:dyDescent="0.25">
      <c r="AE80" s="3">
        <v>3</v>
      </c>
      <c r="AF80" s="21" t="s">
        <v>25</v>
      </c>
      <c r="AG80" s="21">
        <v>971</v>
      </c>
      <c r="AH80" s="21">
        <v>10295</v>
      </c>
      <c r="AI80" s="21">
        <v>11266</v>
      </c>
      <c r="AJ80" s="6">
        <v>7.1502919522721503E-2</v>
      </c>
    </row>
    <row r="81" spans="1:36" x14ac:dyDescent="0.25">
      <c r="AE81" s="3">
        <v>4</v>
      </c>
      <c r="AF81" s="21" t="s">
        <v>27</v>
      </c>
      <c r="AG81" s="21">
        <v>1267</v>
      </c>
      <c r="AH81" s="21">
        <v>3075</v>
      </c>
      <c r="AI81" s="21">
        <v>4342</v>
      </c>
      <c r="AJ81" s="6">
        <v>2.7557755775577557E-2</v>
      </c>
    </row>
    <row r="82" spans="1:36" s="10" customFormat="1" x14ac:dyDescent="0.25">
      <c r="B82" s="15"/>
      <c r="C82" s="15"/>
      <c r="D82" s="15"/>
      <c r="AE82" s="3">
        <v>5</v>
      </c>
      <c r="AF82" s="21" t="s">
        <v>28</v>
      </c>
      <c r="AG82" s="21">
        <v>1327</v>
      </c>
      <c r="AH82" s="21">
        <v>807</v>
      </c>
      <c r="AI82" s="21">
        <v>2134</v>
      </c>
      <c r="AJ82" s="6">
        <v>1.3544046712363544E-2</v>
      </c>
    </row>
    <row r="90" spans="1:36" x14ac:dyDescent="0.25">
      <c r="A90" s="12"/>
    </row>
  </sheetData>
  <sortState ref="A30:D45">
    <sortCondition descending="1" ref="B30:B45"/>
  </sortState>
  <mergeCells count="2">
    <mergeCell ref="A2:E2"/>
    <mergeCell ref="A3:E3"/>
  </mergeCells>
  <pageMargins left="0.7" right="0.7" top="0.75" bottom="0.75" header="0.3" footer="0.3"/>
  <pageSetup scale="79" orientation="portrait" horizontalDpi="0" verticalDpi="0" r:id="rId1"/>
  <rowBreaks count="1" manualBreakCount="1">
    <brk id="46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5.11</vt:lpstr>
      <vt:lpstr>'5.11'!Print_Area</vt:lpstr>
      <vt:lpstr>'5.11'!Print_Titles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2020-07-10T17:58:00Z</cp:lastPrinted>
  <dcterms:created xsi:type="dcterms:W3CDTF">2019-06-03T04:17:39Z</dcterms:created>
  <dcterms:modified xsi:type="dcterms:W3CDTF">2020-07-10T17:58:39Z</dcterms:modified>
</cp:coreProperties>
</file>