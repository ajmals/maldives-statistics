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5. EMPLOYMENT\"/>
    </mc:Choice>
  </mc:AlternateContent>
  <bookViews>
    <workbookView xWindow="0" yWindow="0" windowWidth="28800" windowHeight="12435" tabRatio="692"/>
  </bookViews>
  <sheets>
    <sheet name="5.1" sheetId="1" r:id="rId1"/>
  </sheets>
  <externalReferences>
    <externalReference r:id="rId2"/>
  </externalReferences>
  <definedNames>
    <definedName name="_xlnm.Print_Area" localSheetId="0">'5.1'!$A$1:$N$129</definedName>
    <definedName name="_xlnm.Print_Titles" localSheetId="0">'5.1'!$6:$7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  <c r="L9" i="1"/>
  <c r="I9" i="1"/>
  <c r="H9" i="1"/>
  <c r="K108" i="1"/>
  <c r="K109" i="1"/>
  <c r="K110" i="1"/>
  <c r="G108" i="1"/>
  <c r="G109" i="1"/>
  <c r="G110" i="1"/>
  <c r="D108" i="1"/>
  <c r="E108" i="1"/>
  <c r="D109" i="1"/>
  <c r="E109" i="1"/>
  <c r="D110" i="1"/>
  <c r="E110" i="1"/>
  <c r="C108" i="1" l="1"/>
  <c r="C109" i="1"/>
  <c r="C110" i="1"/>
  <c r="D10" i="1" l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C104" i="1" l="1"/>
  <c r="C100" i="1"/>
  <c r="C103" i="1"/>
  <c r="C16" i="1"/>
  <c r="C28" i="1"/>
  <c r="C36" i="1"/>
  <c r="C44" i="1"/>
  <c r="C52" i="1"/>
  <c r="C60" i="1"/>
  <c r="C72" i="1"/>
  <c r="C96" i="1"/>
  <c r="C99" i="1"/>
  <c r="C12" i="1"/>
  <c r="C20" i="1"/>
  <c r="C24" i="1"/>
  <c r="C32" i="1"/>
  <c r="C40" i="1"/>
  <c r="C48" i="1"/>
  <c r="C56" i="1"/>
  <c r="C64" i="1"/>
  <c r="C68" i="1"/>
  <c r="C76" i="1"/>
  <c r="C80" i="1"/>
  <c r="C84" i="1"/>
  <c r="C88" i="1"/>
  <c r="C92" i="1"/>
  <c r="C106" i="1"/>
  <c r="K9" i="1"/>
  <c r="C107" i="1"/>
  <c r="E9" i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D9" i="1"/>
  <c r="C10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1" i="1"/>
  <c r="C15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G9" i="1"/>
  <c r="C9" i="1" l="1"/>
</calcChain>
</file>

<file path=xl/sharedStrings.xml><?xml version="1.0" encoding="utf-8"?>
<sst xmlns="http://schemas.openxmlformats.org/spreadsheetml/2006/main" count="238" uniqueCount="222">
  <si>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</si>
  <si>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</si>
  <si>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</si>
  <si>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</si>
  <si>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</si>
  <si>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</si>
  <si>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</si>
  <si>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</si>
  <si>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</si>
  <si>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</si>
  <si>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</si>
  <si>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</si>
  <si>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</si>
  <si>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</si>
  <si>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</si>
  <si>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</si>
  <si>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</si>
  <si>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</si>
  <si>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</si>
  <si>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</si>
  <si>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</si>
  <si>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</si>
  <si>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</si>
  <si>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</si>
  <si>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</si>
  <si>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</si>
  <si>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12-4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</si>
  <si>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</si>
  <si>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</si>
  <si>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</si>
  <si>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</si>
  <si>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</si>
  <si>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</si>
  <si>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</t>
  </si>
  <si>
    <t>CIVIL SERVICE 14-1</t>
  </si>
  <si>
    <t>CIVIL SERVICE 14-2</t>
  </si>
  <si>
    <t>CIVIL SERVICE 14-3</t>
  </si>
  <si>
    <t>CIVIL SERVICE 14-4</t>
  </si>
  <si>
    <t>CIVIL SERVICE 14-5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</si>
  <si>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</si>
  <si>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</si>
  <si>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</si>
  <si>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</si>
  <si>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</si>
  <si>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</si>
  <si>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</si>
  <si>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16-1</t>
  </si>
  <si>
    <t>CIVIL SERVICE 16-2</t>
  </si>
  <si>
    <t>CIVIL SERVICE 16-3</t>
  </si>
  <si>
    <t>CIVIL SERVICE 16-4</t>
  </si>
  <si>
    <t>CIVIL SERVICE 16-5</t>
  </si>
  <si>
    <t>CIVIL SERVICE 17</t>
  </si>
  <si>
    <t>CIVIL SERVICE 17-2</t>
  </si>
  <si>
    <t>CIVIL SERVICE 17-3</t>
  </si>
  <si>
    <t>CIVIL SERVICE 17-4</t>
  </si>
  <si>
    <t>CIVIL SERVICE 17-6</t>
  </si>
  <si>
    <t>CIVIL SERVICE 18</t>
  </si>
  <si>
    <t>CIVIL SERVICE 18-1</t>
  </si>
  <si>
    <t>CIVIL SERVICE 18-2</t>
  </si>
  <si>
    <t>CIVIL SERVICE 18-3</t>
  </si>
  <si>
    <t>CIVIL SERVICE 18-4</t>
  </si>
  <si>
    <t>CIVIL SERVICE 2</t>
  </si>
  <si>
    <t>CIVIL SERVICE 2-1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</si>
  <si>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</si>
  <si>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</si>
  <si>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</si>
  <si>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</si>
  <si>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</si>
  <si>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</si>
  <si>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</si>
  <si>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</si>
  <si>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</si>
  <si>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</si>
  <si>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</si>
  <si>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</si>
  <si>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</si>
  <si>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</si>
  <si>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</si>
  <si>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</si>
  <si>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</si>
  <si>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</si>
  <si>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</si>
  <si>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</si>
  <si>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</si>
  <si>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7-5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</si>
  <si>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</si>
  <si>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</si>
  <si>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</si>
  <si>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</si>
  <si>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</si>
  <si>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</si>
  <si>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</si>
  <si>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</si>
  <si>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</si>
  <si>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</si>
  <si>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</si>
  <si>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</si>
  <si>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</si>
  <si>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</si>
  <si>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</si>
  <si>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</si>
  <si>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</si>
  <si>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</si>
  <si>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</si>
  <si>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</si>
  <si>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</si>
  <si>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</si>
  <si>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</si>
  <si>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</si>
  <si>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</si>
  <si>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</si>
  <si>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</si>
  <si>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</si>
  <si>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</si>
  <si>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CS10 (Grade: 1)</t>
  </si>
  <si>
    <t>CS10 (Grade: 2)</t>
  </si>
  <si>
    <t>CS10 (Grade: 3)</t>
  </si>
  <si>
    <t>CS10 (Grade: 5)</t>
  </si>
  <si>
    <t>CS11 (Grade: 1)</t>
  </si>
  <si>
    <t>CS11 (Grade: 2)</t>
  </si>
  <si>
    <t>CS11 (Grade: 3)</t>
  </si>
  <si>
    <t>CS11 (Grade: 4)</t>
  </si>
  <si>
    <t>CS11 (Grade: 5)</t>
  </si>
  <si>
    <t>CS12 (Grade: 1)</t>
  </si>
  <si>
    <t>CS12 (Grade: 2)</t>
  </si>
  <si>
    <t>CS12 (Grade: 3)</t>
  </si>
  <si>
    <t>CS12 (Grade: 4)</t>
  </si>
  <si>
    <t>CS12 (Grade: 5)</t>
  </si>
  <si>
    <t>CS13 (Grade: 1)</t>
  </si>
  <si>
    <t>CS13 (Grade: 2)</t>
  </si>
  <si>
    <t>CS13 (Grade: 3)</t>
  </si>
  <si>
    <t>CS13 (Grade: 4)</t>
  </si>
  <si>
    <t>CS13 (Grade: 5)</t>
  </si>
  <si>
    <t>CS14</t>
  </si>
  <si>
    <t>CS14 (Grade: 1)</t>
  </si>
  <si>
    <t>CS14 (Grade: 2)</t>
  </si>
  <si>
    <t>CS14 (Grade: 3)</t>
  </si>
  <si>
    <t>CS14 (Grade: 4)</t>
  </si>
  <si>
    <t>CS14 (Grade: 5)</t>
  </si>
  <si>
    <t>CS15</t>
  </si>
  <si>
    <t>CS15 (Grade: 1)</t>
  </si>
  <si>
    <t>CS15 (Grade: 2)</t>
  </si>
  <si>
    <t>CS15 (Grade: 3)</t>
  </si>
  <si>
    <t>CS15 (Grade: 4)</t>
  </si>
  <si>
    <t>CS15 (Grade: 5)</t>
  </si>
  <si>
    <t>CS16</t>
  </si>
  <si>
    <t>CS16 (Grade: 1)</t>
  </si>
  <si>
    <t>CS16 (Grade: 2)</t>
  </si>
  <si>
    <t>CS16 (Grade: 3)</t>
  </si>
  <si>
    <t>CS16 (Grade: 4)</t>
  </si>
  <si>
    <t>CS16 (Grade: 5)</t>
  </si>
  <si>
    <t>CS17</t>
  </si>
  <si>
    <t>CS17 (Grade: 2)</t>
  </si>
  <si>
    <t>CS17 (Grade: 3)</t>
  </si>
  <si>
    <t>CS17 (Grade: 4)</t>
  </si>
  <si>
    <t>CS17 (Grade: 6)</t>
  </si>
  <si>
    <t>CS18</t>
  </si>
  <si>
    <t>CS18 (Grade: 1)</t>
  </si>
  <si>
    <t>CS18 (Grade: 3)</t>
  </si>
  <si>
    <t>CS18 (Grade: 4)</t>
  </si>
  <si>
    <t>CS2</t>
  </si>
  <si>
    <t>CS2 (Grade: 1)</t>
  </si>
  <si>
    <t>CS3 (Grade: 1)</t>
  </si>
  <si>
    <t>CS3 (Grade: 2)</t>
  </si>
  <si>
    <t>CS3 (Grade: 3)</t>
  </si>
  <si>
    <t>CS3 (Grade: 4)</t>
  </si>
  <si>
    <t>CS3 (Grade: 5)</t>
  </si>
  <si>
    <t>CS4 (Grade: 2)</t>
  </si>
  <si>
    <t>CS4 (Grade: 3)</t>
  </si>
  <si>
    <t>CS4 (Grade: 4)</t>
  </si>
  <si>
    <t>CS4 (Grade: 5)</t>
  </si>
  <si>
    <t>CS5 (Grade: 1)</t>
  </si>
  <si>
    <t>CS5 (Grade: 2)</t>
  </si>
  <si>
    <t>CS5 (Grade: 3)</t>
  </si>
  <si>
    <t>CS6 (Grade: 1)</t>
  </si>
  <si>
    <t>CS6 (Grade: 2)</t>
  </si>
  <si>
    <t>CS6 (Grade: 3)</t>
  </si>
  <si>
    <t>CS6 (Grade: 4)</t>
  </si>
  <si>
    <t>CS6 (Grade: 5)</t>
  </si>
  <si>
    <t>CS7 (Grade: 1)</t>
  </si>
  <si>
    <t>CS7 (Grade: 2)</t>
  </si>
  <si>
    <t>CS7 (Grade: 3)</t>
  </si>
  <si>
    <t>CS7 (Grade: 4)</t>
  </si>
  <si>
    <t>CS7 (Grade: 5)</t>
  </si>
  <si>
    <t>CS8 (Grade: 1)</t>
  </si>
  <si>
    <t>CS8 (Grade: 2)</t>
  </si>
  <si>
    <t>CS8 (Grade: 3)</t>
  </si>
  <si>
    <t>CS9 (Grade: 1)</t>
  </si>
  <si>
    <t>CS9 (Grade: 2)</t>
  </si>
  <si>
    <t>CS9 (Grade: 3)</t>
  </si>
  <si>
    <t>CS9 (Grade: 4)</t>
  </si>
  <si>
    <t>CS9 (Grade: 5)</t>
  </si>
  <si>
    <t>EX1</t>
  </si>
  <si>
    <t>EX2</t>
  </si>
  <si>
    <t>EX3</t>
  </si>
  <si>
    <t>EX4</t>
  </si>
  <si>
    <t>EX5</t>
  </si>
  <si>
    <t>EX6</t>
  </si>
  <si>
    <t>EX7</t>
  </si>
  <si>
    <t>GS1</t>
  </si>
  <si>
    <t>GS2</t>
  </si>
  <si>
    <t>GS3</t>
  </si>
  <si>
    <t>GS4</t>
  </si>
  <si>
    <t>MS1</t>
  </si>
  <si>
    <t>MS2</t>
  </si>
  <si>
    <t>MS3</t>
  </si>
  <si>
    <t>MS4</t>
  </si>
  <si>
    <t>SS1</t>
  </si>
  <si>
    <t>SS2</t>
  </si>
  <si>
    <t>SS3</t>
  </si>
  <si>
    <t>SS4</t>
  </si>
  <si>
    <t>ZV7</t>
  </si>
  <si>
    <t>Table 5.1 :  CIVIL SERVANTS CLASSIFIED BY JOB RANK AND SEX, 2019</t>
  </si>
  <si>
    <t>ތާވަލް 5.1: ސިވިލް ސަރވިސްގައި ވަޒީފާއަދާކުރާ މުވައްޒަފުން އަދި ރޭންކު، 2019</t>
  </si>
  <si>
    <t>CIVIL SERVICE 17-5</t>
  </si>
  <si>
    <t>CIVIL SERVICE 1</t>
  </si>
  <si>
    <t>Civil Service</t>
  </si>
  <si>
    <t xml:space="preserve">EXECUTIVE </t>
  </si>
  <si>
    <t xml:space="preserve">GENERAL SERVICE </t>
  </si>
  <si>
    <t xml:space="preserve">MANAGERIAL SERVICE </t>
  </si>
  <si>
    <t xml:space="preserve">SUPPORT SERVICE </t>
  </si>
  <si>
    <t xml:space="preserve">ZIMMAADHAARU VERIYAA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</si>
</sst>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1"/>
      <color rgb="FF000000"/>
      <name val="Calibri"/>
    </font>
    <font>
      <i/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8" fillId="0" borderId="0"/>
    <xf numFmtId="0" fontId="3" fillId="0" borderId="0"/>
    <xf numFmtId="43" fontId="3" fillId="0" borderId="0" applyFont="0" applyFill="0" applyBorder="0" applyAlignment="0" applyProtection="0"/>
    <xf numFmtId="0" fontId="19" fillId="0" borderId="0"/>
  </cellStyleXfs>
  <cellXfs count="75">
    <xf numFmtId="0" fontId="0" fillId="0" borderId="0" xfId="0"/>
    <xf numFmtId="0" fontId="4" fillId="2" borderId="0" xfId="2" applyFont="1" applyFill="1" applyBorder="1" applyAlignment="1"/>
    <xf numFmtId="0" fontId="0" fillId="2" borderId="0" xfId="0" applyFill="1"/>
    <xf numFmtId="0" fontId="0" fillId="2" borderId="0" xfId="0" applyFill="1" applyBorder="1" applyAlignment="1">
      <alignment vertical="center"/>
    </xf>
    <xf numFmtId="164" fontId="7" fillId="2" borderId="0" xfId="3" applyNumberFormat="1" applyFont="1" applyFill="1" applyBorder="1" applyAlignment="1" applyProtection="1">
      <alignment vertical="center"/>
    </xf>
    <xf numFmtId="0" fontId="9" fillId="2" borderId="2" xfId="0" applyFont="1" applyFill="1" applyBorder="1" applyAlignment="1">
      <alignment horizontal="center" vertical="center" readingOrder="2"/>
    </xf>
    <xf numFmtId="0" fontId="10" fillId="2" borderId="0" xfId="0" applyFont="1" applyFill="1"/>
    <xf numFmtId="0" fontId="9" fillId="2" borderId="0" xfId="0" applyFont="1" applyFill="1" applyBorder="1" applyAlignment="1">
      <alignment horizontal="right" vertical="center" readingOrder="2"/>
    </xf>
    <xf numFmtId="0" fontId="9" fillId="2" borderId="0" xfId="0" applyFont="1" applyFill="1" applyBorder="1" applyAlignment="1">
      <alignment horizontal="center" vertical="center" readingOrder="2"/>
    </xf>
    <xf numFmtId="165" fontId="8" fillId="2" borderId="5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0" fontId="8" fillId="2" borderId="10" xfId="0" applyFont="1" applyFill="1" applyBorder="1" applyAlignment="1">
      <alignment horizontal="right" vertical="center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1" fillId="2" borderId="0" xfId="0" applyFont="1" applyFill="1" applyBorder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3" fontId="0" fillId="2" borderId="0" xfId="0" applyNumberFormat="1" applyFont="1" applyFill="1"/>
    <xf numFmtId="166" fontId="0" fillId="2" borderId="0" xfId="1" applyNumberFormat="1" applyFont="1" applyFill="1" applyBorder="1" applyAlignment="1">
      <alignment horizontal="right"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/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ont="1" applyFill="1" applyAlignment="1">
      <alignment horizontal="left"/>
    </xf>
    <xf numFmtId="3" fontId="15" fillId="3" borderId="0" xfId="0" applyNumberFormat="1" applyFont="1" applyFill="1" applyBorder="1" applyAlignment="1">
      <alignment horizontal="right" vertical="center"/>
    </xf>
    <xf numFmtId="3" fontId="16" fillId="3" borderId="0" xfId="0" applyNumberFormat="1" applyFont="1" applyFill="1" applyAlignment="1">
      <alignment horizontal="left"/>
    </xf>
    <xf numFmtId="3" fontId="16" fillId="2" borderId="0" xfId="0" applyNumberFormat="1" applyFont="1" applyFill="1" applyAlignment="1">
      <alignment horizontal="left"/>
    </xf>
    <xf numFmtId="0" fontId="17" fillId="3" borderId="0" xfId="0" applyFont="1" applyFill="1" applyBorder="1" applyAlignment="1">
      <alignment horizontal="center" vertical="center"/>
    </xf>
    <xf numFmtId="3" fontId="16" fillId="2" borderId="10" xfId="0" applyNumberFormat="1" applyFont="1" applyFill="1" applyBorder="1" applyAlignment="1">
      <alignment horizontal="left"/>
    </xf>
    <xf numFmtId="3" fontId="17" fillId="3" borderId="0" xfId="0" applyNumberFormat="1" applyFont="1" applyFill="1" applyBorder="1" applyAlignment="1">
      <alignment horizontal="right" vertical="center"/>
    </xf>
    <xf numFmtId="3" fontId="17" fillId="3" borderId="14" xfId="0" applyNumberFormat="1" applyFont="1" applyFill="1" applyBorder="1" applyAlignment="1">
      <alignment horizontal="right" vertical="center"/>
    </xf>
    <xf numFmtId="3" fontId="17" fillId="3" borderId="15" xfId="0" applyNumberFormat="1" applyFont="1" applyFill="1" applyBorder="1" applyAlignment="1">
      <alignment horizontal="right" vertical="center"/>
    </xf>
    <xf numFmtId="3" fontId="16" fillId="3" borderId="0" xfId="0" applyNumberFormat="1" applyFont="1" applyFill="1" applyBorder="1" applyAlignment="1">
      <alignment horizontal="right" vertical="center"/>
    </xf>
    <xf numFmtId="3" fontId="17" fillId="3" borderId="10" xfId="0" applyNumberFormat="1" applyFont="1" applyFill="1" applyBorder="1" applyAlignment="1">
      <alignment horizontal="right" vertical="center"/>
    </xf>
    <xf numFmtId="3" fontId="16" fillId="3" borderId="10" xfId="0" applyNumberFormat="1" applyFont="1" applyFill="1" applyBorder="1" applyAlignment="1">
      <alignment horizontal="right" vertical="center"/>
    </xf>
    <xf numFmtId="3" fontId="17" fillId="3" borderId="16" xfId="0" applyNumberFormat="1" applyFont="1" applyFill="1" applyBorder="1" applyAlignment="1">
      <alignment horizontal="right" vertical="center"/>
    </xf>
    <xf numFmtId="3" fontId="16" fillId="3" borderId="15" xfId="0" applyNumberFormat="1" applyFont="1" applyFill="1" applyBorder="1" applyAlignment="1">
      <alignment horizontal="right" vertical="center"/>
    </xf>
    <xf numFmtId="3" fontId="16" fillId="3" borderId="17" xfId="0" applyNumberFormat="1" applyFont="1" applyFill="1" applyBorder="1" applyAlignment="1">
      <alignment horizontal="right" vertical="center"/>
    </xf>
    <xf numFmtId="3" fontId="20" fillId="4" borderId="0" xfId="0" applyNumberFormat="1" applyFont="1" applyFill="1" applyBorder="1" applyAlignment="1">
      <alignment horizontal="right" vertical="center"/>
    </xf>
    <xf numFmtId="3" fontId="20" fillId="4" borderId="10" xfId="0" applyNumberFormat="1" applyFont="1" applyFill="1" applyBorder="1" applyAlignment="1">
      <alignment horizontal="right" vertical="center"/>
    </xf>
    <xf numFmtId="0" fontId="20" fillId="5" borderId="0" xfId="0" applyFont="1" applyFill="1" applyBorder="1" applyAlignment="1">
      <alignment horizontal="left" vertical="center" indent="1"/>
    </xf>
    <xf numFmtId="0" fontId="21" fillId="5" borderId="0" xfId="0" applyFont="1" applyFill="1" applyBorder="1" applyAlignment="1">
      <alignment horizontal="left" vertical="center" indent="1"/>
    </xf>
    <xf numFmtId="0" fontId="20" fillId="5" borderId="18" xfId="0" applyFont="1" applyFill="1" applyBorder="1" applyAlignment="1">
      <alignment horizontal="left" vertical="center" indent="1"/>
    </xf>
    <xf numFmtId="0" fontId="22" fillId="5" borderId="13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Border="1" applyAlignment="1">
      <alignment horizontal="center" vertical="center" readingOrder="2"/>
    </xf>
    <xf numFmtId="0" fontId="13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</cellXfs>
  <cellStyles count="9">
    <cellStyle name="Comma" xfId="1" builtinId="3"/>
    <cellStyle name="Comma 3" xfId="7"/>
    <cellStyle name="Normal" xfId="0" builtinId="0"/>
    <cellStyle name="Normal 11" xfId="8"/>
    <cellStyle name="Normal 2" xfId="4"/>
    <cellStyle name="Normal 4" xfId="5"/>
    <cellStyle name="Normal 5" xfId="6"/>
    <cellStyle name="Normal_5 Employment_done" xfId="2"/>
    <cellStyle name="Normal_Population - II 2" xfId="3"/>
  </cellStyles>
  <dxfs count="0"/>
  <tableStyles count="0" defaultTableStyle="TableStyleMedium2" defaultPivotStyle="PivotStyleLight16"/>
  <colors>
    <mruColors>
      <color rgb="FF976431"/>
      <color rgb="FFD0A172"/>
      <color rgb="FFF9F2EB"/>
      <color rgb="FFE5CBB1"/>
      <color rgb="FF964B00"/>
      <color rgb="FFF5EADF"/>
      <color rgb="FFEBD7C3"/>
      <color rgb="FFFFEFC1"/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sex and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job ranks, 2019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5354943472532859"/>
          <c:y val="3.4934492477928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4396892511181789"/>
          <c:w val="0.8795518653553519"/>
          <c:h val="0.7427528502328049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'5.1'!$AH$123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6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'5.1'!$AF$124:$AF$129</c:f>
              <c:strCache>
                <c:ptCount val="6"/>
                <c:pt idx="0">
                  <c:v>Civil Service</c:v>
                </c:pt>
                <c:pt idx="1">
                  <c:v>EXECUTIVE </c:v>
                </c:pt>
                <c:pt idx="2">
                  <c:v>GENERAL SERVICE </c:v>
                </c:pt>
                <c:pt idx="3">
                  <c:v>MANAGERIAL SERVICE </c:v>
                </c:pt>
                <c:pt idx="4">
                  <c:v>SUPPORT SERVICE </c:v>
                </c:pt>
                <c:pt idx="5">
                  <c:v>ZIMMAADHAARU VERIYAA </c:v>
                </c:pt>
              </c:strCache>
            </c:strRef>
          </c:cat>
          <c:val>
            <c:numRef>
              <c:f>'5.1'!$AH$124:$AH$129</c:f>
              <c:numCache>
                <c:formatCode>_(* #,##0_);_(* \(#,##0\);_(* "-"??_);_(@_)</c:formatCode>
                <c:ptCount val="6"/>
                <c:pt idx="0">
                  <c:v>2301</c:v>
                </c:pt>
                <c:pt idx="1">
                  <c:v>364</c:v>
                </c:pt>
                <c:pt idx="2">
                  <c:v>2311</c:v>
                </c:pt>
                <c:pt idx="3">
                  <c:v>1593</c:v>
                </c:pt>
                <c:pt idx="4">
                  <c:v>2988</c:v>
                </c:pt>
                <c:pt idx="5">
                  <c:v>16</c:v>
                </c:pt>
              </c:numCache>
            </c:numRef>
          </c:val>
        </c:ser>
        <c:ser>
          <c:idx val="2"/>
          <c:order val="1"/>
          <c:tx>
            <c:strRef>
              <c:f>'5.1'!$AI$123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1513815781832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'5.1'!$AF$124:$AF$129</c:f>
              <c:strCache>
                <c:ptCount val="6"/>
                <c:pt idx="0">
                  <c:v>Civil Service</c:v>
                </c:pt>
                <c:pt idx="1">
                  <c:v>EXECUTIVE </c:v>
                </c:pt>
                <c:pt idx="2">
                  <c:v>GENERAL SERVICE </c:v>
                </c:pt>
                <c:pt idx="3">
                  <c:v>MANAGERIAL SERVICE </c:v>
                </c:pt>
                <c:pt idx="4">
                  <c:v>SUPPORT SERVICE </c:v>
                </c:pt>
                <c:pt idx="5">
                  <c:v>ZIMMAADHAARU VERIYAA </c:v>
                </c:pt>
              </c:strCache>
            </c:strRef>
          </c:cat>
          <c:val>
            <c:numRef>
              <c:f>'5.1'!$AI$124:$AI$129</c:f>
              <c:numCache>
                <c:formatCode>_(* #,##0_);_(* \(#,##0\);_(* "-"??_);_(@_)</c:formatCode>
                <c:ptCount val="6"/>
                <c:pt idx="0">
                  <c:v>6976</c:v>
                </c:pt>
                <c:pt idx="1">
                  <c:v>239</c:v>
                </c:pt>
                <c:pt idx="2">
                  <c:v>3950</c:v>
                </c:pt>
                <c:pt idx="3">
                  <c:v>1636</c:v>
                </c:pt>
                <c:pt idx="4">
                  <c:v>3272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342083360"/>
        <c:axId val="342084536"/>
      </c:barChart>
      <c:catAx>
        <c:axId val="3420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4536"/>
        <c:crosses val="autoZero"/>
        <c:auto val="1"/>
        <c:lblAlgn val="ctr"/>
        <c:lblOffset val="100"/>
        <c:noMultiLvlLbl val="0"/>
      </c:catAx>
      <c:valAx>
        <c:axId val="342084536"/>
        <c:scaling>
          <c:orientation val="minMax"/>
          <c:max val="7000"/>
        </c:scaling>
        <c:delete val="0"/>
        <c:axPos val="l"/>
        <c:majorGridlines>
          <c:spPr>
            <a:ln w="9525" cap="flat" cmpd="sng" algn="ctr">
              <a:solidFill>
                <a:srgbClr val="E5CBB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83360"/>
        <c:crosses val="autoZero"/>
        <c:crossBetween val="between"/>
      </c:valAx>
      <c:spPr>
        <a:solidFill>
          <a:srgbClr val="F9F2EB"/>
        </a:solidFill>
        <a:ln>
          <a:solidFill>
            <a:srgbClr val="E5CBB1"/>
          </a:solidFill>
        </a:ln>
        <a:effectLst/>
      </c:spPr>
    </c:plotArea>
    <c:legend>
      <c:legendPos val="b"/>
      <c:layout>
        <c:manualLayout>
          <c:xMode val="edge"/>
          <c:yMode val="edge"/>
          <c:x val="0.73366545135165484"/>
          <c:y val="0.26297879051468931"/>
          <c:w val="0.19597264349738383"/>
          <c:h val="7.48982681905399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112</xdr:row>
      <xdr:rowOff>71437</xdr:rowOff>
    </xdr:from>
    <xdr:to>
      <xdr:col>12</xdr:col>
      <xdr:colOff>438149</xdr:colOff>
      <xdr:row>128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247115</xdr:colOff>
      <xdr:row>115</xdr:row>
      <xdr:rowOff>187269</xdr:rowOff>
    </xdr:from>
    <xdr:to>
      <xdr:col>0</xdr:col>
      <xdr:colOff>523340</xdr:colOff>
      <xdr:row>123</xdr:row>
      <xdr:rowOff>142517</xdr:rowOff>
    </xdr:to>
    <xdr:sp macro="" textlink="">
      <xdr:nvSpPr>
        <xdr:cNvPr id="3" name="TextBox 2"/>
        <xdr:cNvSpPr txBox="1"/>
      </xdr:nvSpPr>
      <xdr:spPr>
        <a:xfrm rot="16200000">
          <a:off x="-430596" y="24172655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Checking/5.%20EMPLOYMENT_%20CSC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new table"/>
      <sheetName val="5.4"/>
      <sheetName val="5.5"/>
      <sheetName val="5.6"/>
      <sheetName val="5.7"/>
      <sheetName val="5.8"/>
    </sheetNames>
    <sheetDataSet>
      <sheetData sheetId="0"/>
      <sheetData sheetId="1"/>
      <sheetData sheetId="2"/>
      <sheetData sheetId="3">
        <row r="73">
          <cell r="A73" t="str">
            <v>Alifushi</v>
          </cell>
          <cell r="C73">
            <v>39</v>
          </cell>
          <cell r="D73">
            <v>72</v>
          </cell>
        </row>
        <row r="74">
          <cell r="A74" t="str">
            <v>Angolhitheemu</v>
          </cell>
          <cell r="C74">
            <v>18</v>
          </cell>
          <cell r="D74">
            <v>15</v>
          </cell>
        </row>
        <row r="75">
          <cell r="A75" t="str">
            <v>Dhuvaafaru</v>
          </cell>
          <cell r="C75">
            <v>35</v>
          </cell>
          <cell r="D75">
            <v>64</v>
          </cell>
        </row>
        <row r="76">
          <cell r="A76" t="str">
            <v>Fainu</v>
          </cell>
          <cell r="C76">
            <v>29</v>
          </cell>
          <cell r="D76">
            <v>14</v>
          </cell>
        </row>
        <row r="77">
          <cell r="A77" t="str">
            <v>Hulhudhuffaaru</v>
          </cell>
          <cell r="C77">
            <v>48</v>
          </cell>
          <cell r="D77">
            <v>53</v>
          </cell>
        </row>
        <row r="78">
          <cell r="A78" t="str">
            <v>Inguraidhoo</v>
          </cell>
          <cell r="C78">
            <v>24</v>
          </cell>
          <cell r="D78">
            <v>61</v>
          </cell>
        </row>
        <row r="79">
          <cell r="A79" t="str">
            <v>Innamaadhoo</v>
          </cell>
          <cell r="C79">
            <v>21</v>
          </cell>
          <cell r="D79">
            <v>37</v>
          </cell>
        </row>
        <row r="80">
          <cell r="A80" t="str">
            <v>Kinolhas</v>
          </cell>
          <cell r="C80">
            <v>25</v>
          </cell>
          <cell r="D80">
            <v>24</v>
          </cell>
        </row>
        <row r="81">
          <cell r="A81" t="str">
            <v>Maakurathu</v>
          </cell>
          <cell r="C81">
            <v>17</v>
          </cell>
          <cell r="D81">
            <v>45</v>
          </cell>
        </row>
        <row r="82">
          <cell r="A82" t="str">
            <v>Maduvvari</v>
          </cell>
          <cell r="C82">
            <v>33</v>
          </cell>
          <cell r="D82">
            <v>67</v>
          </cell>
        </row>
        <row r="83">
          <cell r="A83" t="str">
            <v>Meedhoo</v>
          </cell>
          <cell r="C83">
            <v>25</v>
          </cell>
          <cell r="D83">
            <v>24</v>
          </cell>
        </row>
        <row r="84">
          <cell r="A84" t="str">
            <v>Rasgetheemu</v>
          </cell>
          <cell r="C84">
            <v>22</v>
          </cell>
          <cell r="D84">
            <v>28</v>
          </cell>
        </row>
        <row r="85">
          <cell r="A85" t="str">
            <v>Rasmaadhoo</v>
          </cell>
          <cell r="C85">
            <v>23</v>
          </cell>
          <cell r="D85">
            <v>33</v>
          </cell>
        </row>
        <row r="86">
          <cell r="A86" t="str">
            <v>Ungoofaaru</v>
          </cell>
          <cell r="C86">
            <v>166</v>
          </cell>
          <cell r="D86">
            <v>207</v>
          </cell>
        </row>
        <row r="87">
          <cell r="A87" t="str">
            <v>Vaadhoo</v>
          </cell>
          <cell r="C87">
            <v>25</v>
          </cell>
          <cell r="D87">
            <v>15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0"/>
  <sheetViews>
    <sheetView tabSelected="1" zoomScaleNormal="100" workbookViewId="0">
      <selection activeCell="N21" sqref="N21"/>
    </sheetView>
  </sheetViews>
  <sheetFormatPr defaultRowHeight="15"/>
  <cols>
    <col min="1" max="1" width="25.28515625" style="37" customWidth="1"/>
    <col min="2" max="2" width="7.5703125" style="3" hidden="1" customWidth="1"/>
    <col min="3" max="3" width="10.7109375" style="38" customWidth="1"/>
    <col min="4" max="5" width="9.140625" style="28" customWidth="1"/>
    <col min="6" max="6" width="2.140625" style="28" customWidth="1"/>
    <col min="7" max="7" width="11.28515625" style="28" customWidth="1"/>
    <col min="8" max="8" width="9.28515625" style="28" customWidth="1"/>
    <col min="9" max="9" width="9.140625" style="28" customWidth="1"/>
    <col min="10" max="10" width="0.85546875" style="28" customWidth="1"/>
    <col min="11" max="11" width="10.7109375" style="28" customWidth="1"/>
    <col min="12" max="13" width="9.140625" style="28" customWidth="1"/>
    <col min="14" max="14" width="1.42578125" style="3" customWidth="1"/>
    <col min="15" max="15" width="9.140625" style="3"/>
    <col min="16" max="17" width="9.28515625" style="3" customWidth="1"/>
    <col min="18" max="18" width="24.28515625" style="3" customWidth="1"/>
    <col min="19" max="19" width="10.5703125" style="3" bestFit="1" customWidth="1"/>
    <col min="20" max="20" width="9.28515625" style="3" customWidth="1"/>
    <col min="21" max="21" width="10.5703125" style="3" bestFit="1" customWidth="1"/>
    <col min="22" max="16384" width="9.140625" style="3"/>
  </cols>
  <sheetData>
    <row r="1" spans="1:25" ht="21">
      <c r="A1" s="65" t="s">
        <v>213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>
      <c r="A2" s="66" t="s">
        <v>212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4.5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6" customFormat="1" ht="18.600000000000001" customHeight="1">
      <c r="A4" s="68" t="s">
        <v>0</v>
      </c>
      <c r="B4" s="5"/>
      <c r="C4" s="70" t="s">
        <v>1</v>
      </c>
      <c r="D4" s="70"/>
      <c r="E4" s="70"/>
      <c r="F4" s="70"/>
      <c r="G4" s="70"/>
      <c r="H4" s="71" t="s">
        <v>2</v>
      </c>
      <c r="I4" s="71"/>
      <c r="J4" s="71"/>
      <c r="K4" s="71"/>
      <c r="L4" s="71"/>
      <c r="M4" s="71"/>
      <c r="Q4" s="7"/>
      <c r="R4" s="7"/>
      <c r="S4" s="7"/>
      <c r="T4" s="7"/>
      <c r="U4" s="7"/>
      <c r="V4" s="7"/>
      <c r="W4" s="7"/>
      <c r="X4" s="7"/>
      <c r="Y4" s="7"/>
    </row>
    <row r="5" spans="1:25" s="10" customFormat="1" ht="15" customHeight="1">
      <c r="A5" s="69"/>
      <c r="B5" s="8"/>
      <c r="C5" s="72" t="s">
        <v>3</v>
      </c>
      <c r="D5" s="72"/>
      <c r="E5" s="72"/>
      <c r="F5" s="9"/>
      <c r="G5" s="73" t="s">
        <v>4</v>
      </c>
      <c r="H5" s="74"/>
      <c r="I5" s="74"/>
      <c r="J5" s="41"/>
      <c r="K5" s="72" t="s">
        <v>5</v>
      </c>
      <c r="L5" s="72"/>
      <c r="M5" s="72"/>
    </row>
    <row r="6" spans="1:25" s="10" customFormat="1" ht="18.75">
      <c r="A6" s="63" t="s">
        <v>6</v>
      </c>
      <c r="B6" s="11"/>
      <c r="C6" s="7" t="s">
        <v>7</v>
      </c>
      <c r="D6" s="7" t="s">
        <v>8</v>
      </c>
      <c r="E6" s="7" t="s">
        <v>9</v>
      </c>
      <c r="F6" s="7"/>
      <c r="G6" s="12" t="s">
        <v>7</v>
      </c>
      <c r="H6" s="7" t="s">
        <v>8</v>
      </c>
      <c r="I6" s="7" t="s">
        <v>9</v>
      </c>
      <c r="J6" s="13"/>
      <c r="K6" s="7" t="s">
        <v>7</v>
      </c>
      <c r="L6" s="7" t="s">
        <v>8</v>
      </c>
      <c r="M6" s="7" t="s">
        <v>9</v>
      </c>
    </row>
    <row r="7" spans="1:25" s="18" customFormat="1" ht="12.75">
      <c r="A7" s="64"/>
      <c r="B7" s="14"/>
      <c r="C7" s="15" t="s">
        <v>10</v>
      </c>
      <c r="D7" s="15" t="s">
        <v>11</v>
      </c>
      <c r="E7" s="15" t="s">
        <v>12</v>
      </c>
      <c r="F7" s="15"/>
      <c r="G7" s="16" t="s">
        <v>10</v>
      </c>
      <c r="H7" s="15" t="s">
        <v>11</v>
      </c>
      <c r="I7" s="15" t="s">
        <v>12</v>
      </c>
      <c r="J7" s="17"/>
      <c r="K7" s="15" t="s">
        <v>10</v>
      </c>
      <c r="L7" s="15" t="s">
        <v>11</v>
      </c>
      <c r="M7" s="15" t="s">
        <v>12</v>
      </c>
    </row>
    <row r="8" spans="1:25" s="18" customFormat="1" ht="12" customHeight="1">
      <c r="A8" s="19"/>
      <c r="B8" s="11"/>
      <c r="C8" s="20"/>
      <c r="D8" s="20"/>
      <c r="E8" s="20"/>
      <c r="F8" s="20"/>
      <c r="G8" s="21"/>
      <c r="H8" s="20"/>
      <c r="I8" s="20"/>
      <c r="J8" s="22"/>
      <c r="K8" s="20"/>
      <c r="L8" s="20"/>
      <c r="M8" s="20"/>
    </row>
    <row r="9" spans="1:25" s="24" customFormat="1" ht="16.899999999999999" customHeight="1">
      <c r="A9" s="46" t="s">
        <v>13</v>
      </c>
      <c r="B9" s="43"/>
      <c r="C9" s="48">
        <f>G9+K9</f>
        <v>25652</v>
      </c>
      <c r="D9" s="48">
        <f t="shared" ref="D9:E9" si="0">H9+L9</f>
        <v>9573</v>
      </c>
      <c r="E9" s="48">
        <f t="shared" si="0"/>
        <v>16079</v>
      </c>
      <c r="F9" s="48"/>
      <c r="G9" s="49">
        <f>SUM(H9:I9)</f>
        <v>9280</v>
      </c>
      <c r="H9" s="48">
        <f>SUM(H10:H110)</f>
        <v>3678</v>
      </c>
      <c r="I9" s="48">
        <f>SUM(I10:I110)</f>
        <v>5602</v>
      </c>
      <c r="J9" s="50"/>
      <c r="K9" s="49">
        <f>SUM(L9:M9)</f>
        <v>16372</v>
      </c>
      <c r="L9" s="48">
        <f>SUM(L10:L110)</f>
        <v>5895</v>
      </c>
      <c r="M9" s="48">
        <f>SUM(M10:M110)</f>
        <v>10477</v>
      </c>
    </row>
    <row r="10" spans="1:25" ht="16.899999999999999" customHeight="1">
      <c r="A10" s="59" t="s">
        <v>14</v>
      </c>
      <c r="B10" s="44" t="s">
        <v>114</v>
      </c>
      <c r="C10" s="48">
        <f t="shared" ref="C10:C73" si="1">G10+K10</f>
        <v>164</v>
      </c>
      <c r="D10" s="48">
        <f t="shared" ref="D10:D73" si="2">H10+L10</f>
        <v>3</v>
      </c>
      <c r="E10" s="48">
        <f t="shared" ref="E10:E73" si="3">I10+M10</f>
        <v>161</v>
      </c>
      <c r="F10" s="51"/>
      <c r="G10" s="49">
        <f t="shared" ref="G10:G73" si="4">SUM(H10:I10)</f>
        <v>71</v>
      </c>
      <c r="H10" s="57">
        <v>3</v>
      </c>
      <c r="I10" s="57">
        <v>68</v>
      </c>
      <c r="J10" s="55"/>
      <c r="K10" s="49">
        <f t="shared" ref="K10:K73" si="5">SUM(L10:M10)</f>
        <v>93</v>
      </c>
      <c r="L10" s="57">
        <v>0</v>
      </c>
      <c r="M10" s="57">
        <v>93</v>
      </c>
      <c r="N10" s="2"/>
      <c r="O10" s="25"/>
      <c r="P10" s="26"/>
      <c r="Q10" s="2"/>
      <c r="R10" s="2"/>
      <c r="S10" s="2"/>
      <c r="T10" s="2"/>
      <c r="U10" s="2"/>
      <c r="V10" s="2"/>
      <c r="W10" s="2"/>
      <c r="X10" s="2"/>
      <c r="Y10" s="2"/>
    </row>
    <row r="11" spans="1:25" ht="16.899999999999999" customHeight="1">
      <c r="A11" s="59" t="s">
        <v>15</v>
      </c>
      <c r="B11" s="44" t="s">
        <v>115</v>
      </c>
      <c r="C11" s="48">
        <f t="shared" si="1"/>
        <v>14</v>
      </c>
      <c r="D11" s="48">
        <f t="shared" si="2"/>
        <v>6</v>
      </c>
      <c r="E11" s="48">
        <f t="shared" si="3"/>
        <v>8</v>
      </c>
      <c r="F11" s="51"/>
      <c r="G11" s="49">
        <f t="shared" si="4"/>
        <v>10</v>
      </c>
      <c r="H11" s="57">
        <v>6</v>
      </c>
      <c r="I11" s="57">
        <v>4</v>
      </c>
      <c r="J11" s="55"/>
      <c r="K11" s="49">
        <f t="shared" si="5"/>
        <v>4</v>
      </c>
      <c r="L11" s="57">
        <v>0</v>
      </c>
      <c r="M11" s="57">
        <v>4</v>
      </c>
      <c r="N11" s="2"/>
      <c r="O11" s="2"/>
      <c r="P11" s="26"/>
      <c r="Q11" s="2"/>
      <c r="R11" s="2"/>
      <c r="S11" s="2"/>
      <c r="T11" s="2"/>
      <c r="U11" s="2"/>
      <c r="V11" s="2"/>
      <c r="W11" s="2"/>
      <c r="X11" s="2"/>
      <c r="Y11" s="2"/>
    </row>
    <row r="12" spans="1:25" ht="16.899999999999999" customHeight="1">
      <c r="A12" s="59" t="s">
        <v>16</v>
      </c>
      <c r="B12" s="44" t="s">
        <v>116</v>
      </c>
      <c r="C12" s="48">
        <f t="shared" si="1"/>
        <v>8</v>
      </c>
      <c r="D12" s="48">
        <f t="shared" si="2"/>
        <v>4</v>
      </c>
      <c r="E12" s="48">
        <f t="shared" si="3"/>
        <v>4</v>
      </c>
      <c r="F12" s="51"/>
      <c r="G12" s="49">
        <f t="shared" si="4"/>
        <v>5</v>
      </c>
      <c r="H12" s="57">
        <v>4</v>
      </c>
      <c r="I12" s="57">
        <v>1</v>
      </c>
      <c r="J12" s="55"/>
      <c r="K12" s="49">
        <f t="shared" si="5"/>
        <v>3</v>
      </c>
      <c r="L12" s="57">
        <v>0</v>
      </c>
      <c r="M12" s="57">
        <v>3</v>
      </c>
      <c r="N12" s="2"/>
      <c r="O12" s="2"/>
      <c r="P12" s="26"/>
      <c r="Q12" s="2"/>
      <c r="R12" s="2"/>
      <c r="S12" s="2"/>
      <c r="T12" s="2"/>
      <c r="U12" s="2"/>
      <c r="V12" s="2"/>
      <c r="W12" s="2"/>
      <c r="X12" s="2"/>
      <c r="Y12" s="2"/>
    </row>
    <row r="13" spans="1:25" ht="16.899999999999999" customHeight="1">
      <c r="A13" s="59" t="s">
        <v>17</v>
      </c>
      <c r="B13" s="44" t="s">
        <v>117</v>
      </c>
      <c r="C13" s="48">
        <f t="shared" si="1"/>
        <v>5</v>
      </c>
      <c r="D13" s="48">
        <f t="shared" si="2"/>
        <v>3</v>
      </c>
      <c r="E13" s="48">
        <f t="shared" si="3"/>
        <v>2</v>
      </c>
      <c r="F13" s="51"/>
      <c r="G13" s="49">
        <f t="shared" si="4"/>
        <v>5</v>
      </c>
      <c r="H13" s="57">
        <v>3</v>
      </c>
      <c r="I13" s="57">
        <v>2</v>
      </c>
      <c r="J13" s="55"/>
      <c r="K13" s="49">
        <f t="shared" si="5"/>
        <v>0</v>
      </c>
      <c r="L13" s="57">
        <v>0</v>
      </c>
      <c r="M13" s="57">
        <v>0</v>
      </c>
      <c r="N13" s="2"/>
      <c r="O13" s="2"/>
      <c r="P13" s="26"/>
      <c r="Q13" s="2"/>
      <c r="R13" s="2"/>
      <c r="S13" s="2"/>
      <c r="T13" s="2"/>
      <c r="U13" s="2"/>
      <c r="V13" s="2"/>
      <c r="W13" s="2"/>
      <c r="X13" s="2"/>
      <c r="Y13" s="2"/>
    </row>
    <row r="14" spans="1:25" ht="16.899999999999999" customHeight="1">
      <c r="A14" s="59" t="s">
        <v>18</v>
      </c>
      <c r="B14" s="44" t="s">
        <v>118</v>
      </c>
      <c r="C14" s="48">
        <f t="shared" si="1"/>
        <v>9</v>
      </c>
      <c r="D14" s="48">
        <f t="shared" si="2"/>
        <v>0</v>
      </c>
      <c r="E14" s="48">
        <f t="shared" si="3"/>
        <v>9</v>
      </c>
      <c r="F14" s="51"/>
      <c r="G14" s="49">
        <f t="shared" si="4"/>
        <v>4</v>
      </c>
      <c r="H14" s="57">
        <v>0</v>
      </c>
      <c r="I14" s="57">
        <v>4</v>
      </c>
      <c r="J14" s="55"/>
      <c r="K14" s="49">
        <f t="shared" si="5"/>
        <v>5</v>
      </c>
      <c r="L14" s="57">
        <v>0</v>
      </c>
      <c r="M14" s="57">
        <v>5</v>
      </c>
      <c r="N14" s="2"/>
      <c r="O14" s="25"/>
      <c r="P14" s="26"/>
      <c r="Q14" s="2"/>
      <c r="R14" s="2"/>
      <c r="S14" s="2"/>
      <c r="T14" s="2"/>
      <c r="U14" s="2"/>
      <c r="V14" s="2"/>
      <c r="W14" s="2"/>
      <c r="X14" s="2"/>
      <c r="Y14" s="2"/>
    </row>
    <row r="15" spans="1:25" ht="16.899999999999999" customHeight="1">
      <c r="A15" s="59" t="s">
        <v>19</v>
      </c>
      <c r="B15" s="45" t="s">
        <v>119</v>
      </c>
      <c r="C15" s="48">
        <f t="shared" si="1"/>
        <v>1308</v>
      </c>
      <c r="D15" s="48">
        <f t="shared" si="2"/>
        <v>168</v>
      </c>
      <c r="E15" s="48">
        <f t="shared" si="3"/>
        <v>1140</v>
      </c>
      <c r="F15" s="51"/>
      <c r="G15" s="49">
        <f t="shared" si="4"/>
        <v>154</v>
      </c>
      <c r="H15" s="57">
        <v>18</v>
      </c>
      <c r="I15" s="57">
        <v>136</v>
      </c>
      <c r="J15" s="55"/>
      <c r="K15" s="49">
        <f t="shared" si="5"/>
        <v>1154</v>
      </c>
      <c r="L15" s="57">
        <v>150</v>
      </c>
      <c r="M15" s="57">
        <v>1004</v>
      </c>
      <c r="N15" s="2"/>
      <c r="O15" s="2"/>
      <c r="P15" s="26"/>
      <c r="Q15" s="2"/>
      <c r="R15" s="2"/>
      <c r="S15" s="2"/>
      <c r="T15" s="2"/>
      <c r="U15" s="2"/>
      <c r="V15" s="2"/>
      <c r="W15" s="2"/>
      <c r="X15" s="2"/>
      <c r="Y15" s="2"/>
    </row>
    <row r="16" spans="1:25" ht="16.899999999999999" customHeight="1">
      <c r="A16" s="59" t="s">
        <v>20</v>
      </c>
      <c r="B16" s="45" t="s">
        <v>120</v>
      </c>
      <c r="C16" s="48">
        <f t="shared" si="1"/>
        <v>607</v>
      </c>
      <c r="D16" s="48">
        <f t="shared" si="2"/>
        <v>171</v>
      </c>
      <c r="E16" s="48">
        <f t="shared" si="3"/>
        <v>436</v>
      </c>
      <c r="F16" s="51"/>
      <c r="G16" s="49">
        <f t="shared" si="4"/>
        <v>72</v>
      </c>
      <c r="H16" s="57">
        <v>4</v>
      </c>
      <c r="I16" s="57">
        <v>68</v>
      </c>
      <c r="J16" s="55"/>
      <c r="K16" s="49">
        <f t="shared" si="5"/>
        <v>535</v>
      </c>
      <c r="L16" s="57">
        <v>167</v>
      </c>
      <c r="M16" s="57">
        <v>368</v>
      </c>
      <c r="N16" s="2"/>
      <c r="O16" s="2"/>
      <c r="P16" s="26"/>
      <c r="Q16" s="2"/>
      <c r="R16" s="2"/>
      <c r="S16" s="2"/>
      <c r="T16" s="2"/>
      <c r="U16" s="2"/>
      <c r="V16" s="2"/>
      <c r="W16" s="2"/>
      <c r="X16" s="2"/>
      <c r="Y16" s="2"/>
    </row>
    <row r="17" spans="1:16" ht="16.899999999999999" customHeight="1">
      <c r="A17" s="59" t="s">
        <v>21</v>
      </c>
      <c r="B17" s="45" t="s">
        <v>121</v>
      </c>
      <c r="C17" s="48">
        <f t="shared" si="1"/>
        <v>313</v>
      </c>
      <c r="D17" s="48">
        <f t="shared" si="2"/>
        <v>75</v>
      </c>
      <c r="E17" s="48">
        <f t="shared" si="3"/>
        <v>238</v>
      </c>
      <c r="F17" s="51"/>
      <c r="G17" s="49">
        <f t="shared" si="4"/>
        <v>46</v>
      </c>
      <c r="H17" s="57">
        <v>3</v>
      </c>
      <c r="I17" s="57">
        <v>43</v>
      </c>
      <c r="J17" s="55"/>
      <c r="K17" s="49">
        <f t="shared" si="5"/>
        <v>267</v>
      </c>
      <c r="L17" s="57">
        <v>72</v>
      </c>
      <c r="M17" s="57">
        <v>195</v>
      </c>
      <c r="N17" s="2"/>
      <c r="O17" s="2"/>
      <c r="P17" s="26"/>
    </row>
    <row r="18" spans="1:16" ht="16.899999999999999" customHeight="1">
      <c r="A18" s="59" t="s">
        <v>22</v>
      </c>
      <c r="B18" s="45" t="s">
        <v>122</v>
      </c>
      <c r="C18" s="48">
        <f t="shared" si="1"/>
        <v>102</v>
      </c>
      <c r="D18" s="48">
        <f t="shared" si="2"/>
        <v>36</v>
      </c>
      <c r="E18" s="48">
        <f t="shared" si="3"/>
        <v>66</v>
      </c>
      <c r="F18" s="51"/>
      <c r="G18" s="49">
        <f t="shared" si="4"/>
        <v>13</v>
      </c>
      <c r="H18" s="57">
        <v>3</v>
      </c>
      <c r="I18" s="57">
        <v>10</v>
      </c>
      <c r="J18" s="55"/>
      <c r="K18" s="49">
        <f t="shared" si="5"/>
        <v>89</v>
      </c>
      <c r="L18" s="57">
        <v>33</v>
      </c>
      <c r="M18" s="57">
        <v>56</v>
      </c>
      <c r="N18" s="2"/>
      <c r="O18" s="2"/>
      <c r="P18" s="26"/>
    </row>
    <row r="19" spans="1:16" ht="16.899999999999999" customHeight="1">
      <c r="A19" s="59" t="s">
        <v>23</v>
      </c>
      <c r="B19" s="45" t="s">
        <v>123</v>
      </c>
      <c r="C19" s="48">
        <f t="shared" si="1"/>
        <v>292</v>
      </c>
      <c r="D19" s="48">
        <f t="shared" si="2"/>
        <v>76</v>
      </c>
      <c r="E19" s="48">
        <f t="shared" si="3"/>
        <v>216</v>
      </c>
      <c r="F19" s="51"/>
      <c r="G19" s="49">
        <f t="shared" si="4"/>
        <v>206</v>
      </c>
      <c r="H19" s="57">
        <v>40</v>
      </c>
      <c r="I19" s="57">
        <v>166</v>
      </c>
      <c r="J19" s="55"/>
      <c r="K19" s="49">
        <f t="shared" si="5"/>
        <v>86</v>
      </c>
      <c r="L19" s="57">
        <v>36</v>
      </c>
      <c r="M19" s="57">
        <v>50</v>
      </c>
      <c r="N19" s="2"/>
      <c r="O19" s="2"/>
      <c r="P19" s="26"/>
    </row>
    <row r="20" spans="1:16" ht="16.899999999999999" customHeight="1">
      <c r="A20" s="59" t="s">
        <v>24</v>
      </c>
      <c r="B20" s="45" t="s">
        <v>124</v>
      </c>
      <c r="C20" s="48">
        <f t="shared" si="1"/>
        <v>19</v>
      </c>
      <c r="D20" s="48">
        <f t="shared" si="2"/>
        <v>9</v>
      </c>
      <c r="E20" s="48">
        <f t="shared" si="3"/>
        <v>10</v>
      </c>
      <c r="F20" s="51"/>
      <c r="G20" s="49">
        <f t="shared" si="4"/>
        <v>16</v>
      </c>
      <c r="H20" s="57">
        <v>8</v>
      </c>
      <c r="I20" s="57">
        <v>8</v>
      </c>
      <c r="J20" s="55"/>
      <c r="K20" s="49">
        <f t="shared" si="5"/>
        <v>3</v>
      </c>
      <c r="L20" s="57">
        <v>1</v>
      </c>
      <c r="M20" s="57">
        <v>2</v>
      </c>
      <c r="N20" s="2"/>
      <c r="O20" s="2"/>
      <c r="P20" s="26"/>
    </row>
    <row r="21" spans="1:16" ht="16.899999999999999" customHeight="1">
      <c r="A21" s="59" t="s">
        <v>25</v>
      </c>
      <c r="B21" s="45" t="s">
        <v>125</v>
      </c>
      <c r="C21" s="48">
        <f t="shared" si="1"/>
        <v>18</v>
      </c>
      <c r="D21" s="48">
        <f t="shared" si="2"/>
        <v>6</v>
      </c>
      <c r="E21" s="48">
        <f t="shared" si="3"/>
        <v>12</v>
      </c>
      <c r="F21" s="51"/>
      <c r="G21" s="49">
        <f t="shared" si="4"/>
        <v>18</v>
      </c>
      <c r="H21" s="57">
        <v>6</v>
      </c>
      <c r="I21" s="57">
        <v>12</v>
      </c>
      <c r="J21" s="55"/>
      <c r="K21" s="49">
        <f t="shared" si="5"/>
        <v>0</v>
      </c>
      <c r="L21" s="57">
        <v>0</v>
      </c>
      <c r="M21" s="57">
        <v>0</v>
      </c>
      <c r="N21" s="2"/>
      <c r="O21" s="2"/>
      <c r="P21" s="26"/>
    </row>
    <row r="22" spans="1:16" ht="16.899999999999999" customHeight="1">
      <c r="A22" s="59" t="s">
        <v>26</v>
      </c>
      <c r="B22" s="45" t="s">
        <v>126</v>
      </c>
      <c r="C22" s="48">
        <f t="shared" si="1"/>
        <v>1</v>
      </c>
      <c r="D22" s="48">
        <f t="shared" si="2"/>
        <v>0</v>
      </c>
      <c r="E22" s="48">
        <f t="shared" si="3"/>
        <v>1</v>
      </c>
      <c r="F22" s="51"/>
      <c r="G22" s="49">
        <f t="shared" si="4"/>
        <v>1</v>
      </c>
      <c r="H22" s="57">
        <v>0</v>
      </c>
      <c r="I22" s="57">
        <v>1</v>
      </c>
      <c r="J22" s="55"/>
      <c r="K22" s="49">
        <f t="shared" si="5"/>
        <v>0</v>
      </c>
      <c r="L22" s="57">
        <v>0</v>
      </c>
      <c r="M22" s="57">
        <v>0</v>
      </c>
      <c r="N22" s="2"/>
      <c r="O22" s="25"/>
      <c r="P22" s="26"/>
    </row>
    <row r="23" spans="1:16" ht="16.899999999999999" customHeight="1">
      <c r="A23" s="59" t="s">
        <v>27</v>
      </c>
      <c r="B23" s="45" t="s">
        <v>127</v>
      </c>
      <c r="C23" s="48">
        <f t="shared" si="1"/>
        <v>3</v>
      </c>
      <c r="D23" s="48">
        <f t="shared" si="2"/>
        <v>3</v>
      </c>
      <c r="E23" s="48">
        <f t="shared" si="3"/>
        <v>0</v>
      </c>
      <c r="F23" s="51"/>
      <c r="G23" s="49">
        <f t="shared" si="4"/>
        <v>3</v>
      </c>
      <c r="H23" s="57">
        <v>3</v>
      </c>
      <c r="I23" s="57">
        <v>0</v>
      </c>
      <c r="J23" s="55"/>
      <c r="K23" s="49">
        <f t="shared" si="5"/>
        <v>0</v>
      </c>
      <c r="L23" s="57">
        <v>0</v>
      </c>
      <c r="M23" s="57">
        <v>0</v>
      </c>
      <c r="N23" s="2"/>
      <c r="O23" s="2"/>
      <c r="P23" s="26"/>
    </row>
    <row r="24" spans="1:16" ht="16.899999999999999" customHeight="1">
      <c r="A24" s="59" t="s">
        <v>28</v>
      </c>
      <c r="B24" s="45" t="s">
        <v>128</v>
      </c>
      <c r="C24" s="48">
        <f t="shared" si="1"/>
        <v>4</v>
      </c>
      <c r="D24" s="48">
        <f t="shared" si="2"/>
        <v>2</v>
      </c>
      <c r="E24" s="48">
        <f t="shared" si="3"/>
        <v>2</v>
      </c>
      <c r="F24" s="51"/>
      <c r="G24" s="49">
        <f t="shared" si="4"/>
        <v>4</v>
      </c>
      <c r="H24" s="57">
        <v>2</v>
      </c>
      <c r="I24" s="57">
        <v>2</v>
      </c>
      <c r="J24" s="55"/>
      <c r="K24" s="49">
        <f t="shared" si="5"/>
        <v>0</v>
      </c>
      <c r="L24" s="57">
        <v>0</v>
      </c>
      <c r="M24" s="57">
        <v>0</v>
      </c>
      <c r="N24" s="2"/>
      <c r="O24" s="2"/>
      <c r="P24" s="26"/>
    </row>
    <row r="25" spans="1:16" ht="16.899999999999999" customHeight="1">
      <c r="A25" s="59" t="s">
        <v>29</v>
      </c>
      <c r="B25" s="45" t="s">
        <v>129</v>
      </c>
      <c r="C25" s="48">
        <f t="shared" si="1"/>
        <v>2020</v>
      </c>
      <c r="D25" s="48">
        <f t="shared" si="2"/>
        <v>502</v>
      </c>
      <c r="E25" s="48">
        <f t="shared" si="3"/>
        <v>1518</v>
      </c>
      <c r="F25" s="51"/>
      <c r="G25" s="49">
        <f t="shared" si="4"/>
        <v>351</v>
      </c>
      <c r="H25" s="57">
        <v>40</v>
      </c>
      <c r="I25" s="57">
        <v>311</v>
      </c>
      <c r="J25" s="55"/>
      <c r="K25" s="49">
        <f t="shared" si="5"/>
        <v>1669</v>
      </c>
      <c r="L25" s="57">
        <v>462</v>
      </c>
      <c r="M25" s="57">
        <v>1207</v>
      </c>
      <c r="N25" s="2"/>
      <c r="O25" s="2"/>
      <c r="P25" s="26"/>
    </row>
    <row r="26" spans="1:16" ht="16.899999999999999" customHeight="1">
      <c r="A26" s="59" t="s">
        <v>30</v>
      </c>
      <c r="B26" s="45" t="s">
        <v>130</v>
      </c>
      <c r="C26" s="48">
        <f t="shared" si="1"/>
        <v>566</v>
      </c>
      <c r="D26" s="48">
        <f t="shared" si="2"/>
        <v>139</v>
      </c>
      <c r="E26" s="48">
        <f t="shared" si="3"/>
        <v>427</v>
      </c>
      <c r="F26" s="51"/>
      <c r="G26" s="49">
        <f t="shared" si="4"/>
        <v>189</v>
      </c>
      <c r="H26" s="57">
        <v>31</v>
      </c>
      <c r="I26" s="57">
        <v>158</v>
      </c>
      <c r="J26" s="55"/>
      <c r="K26" s="49">
        <f t="shared" si="5"/>
        <v>377</v>
      </c>
      <c r="L26" s="57">
        <v>108</v>
      </c>
      <c r="M26" s="57">
        <v>269</v>
      </c>
      <c r="N26" s="2"/>
      <c r="O26" s="2"/>
      <c r="P26" s="26"/>
    </row>
    <row r="27" spans="1:16" ht="16.899999999999999" customHeight="1">
      <c r="A27" s="59" t="s">
        <v>31</v>
      </c>
      <c r="B27" s="45" t="s">
        <v>131</v>
      </c>
      <c r="C27" s="48">
        <f t="shared" si="1"/>
        <v>190</v>
      </c>
      <c r="D27" s="48">
        <f t="shared" si="2"/>
        <v>55</v>
      </c>
      <c r="E27" s="48">
        <f t="shared" si="3"/>
        <v>135</v>
      </c>
      <c r="F27" s="51"/>
      <c r="G27" s="49">
        <f t="shared" si="4"/>
        <v>56</v>
      </c>
      <c r="H27" s="57">
        <v>10</v>
      </c>
      <c r="I27" s="57">
        <v>46</v>
      </c>
      <c r="J27" s="55"/>
      <c r="K27" s="49">
        <f t="shared" si="5"/>
        <v>134</v>
      </c>
      <c r="L27" s="57">
        <v>45</v>
      </c>
      <c r="M27" s="57">
        <v>89</v>
      </c>
      <c r="N27" s="2"/>
      <c r="O27" s="2"/>
      <c r="P27" s="26"/>
    </row>
    <row r="28" spans="1:16" ht="16.899999999999999" customHeight="1">
      <c r="A28" s="59" t="s">
        <v>32</v>
      </c>
      <c r="B28" s="45" t="s">
        <v>132</v>
      </c>
      <c r="C28" s="48">
        <f t="shared" si="1"/>
        <v>124</v>
      </c>
      <c r="D28" s="48">
        <f t="shared" si="2"/>
        <v>48</v>
      </c>
      <c r="E28" s="48">
        <f t="shared" si="3"/>
        <v>76</v>
      </c>
      <c r="F28" s="51"/>
      <c r="G28" s="49">
        <f t="shared" si="4"/>
        <v>51</v>
      </c>
      <c r="H28" s="57">
        <v>18</v>
      </c>
      <c r="I28" s="57">
        <v>33</v>
      </c>
      <c r="J28" s="55"/>
      <c r="K28" s="49">
        <f t="shared" si="5"/>
        <v>73</v>
      </c>
      <c r="L28" s="57">
        <v>30</v>
      </c>
      <c r="M28" s="57">
        <v>43</v>
      </c>
      <c r="N28" s="2"/>
      <c r="O28" s="2"/>
      <c r="P28" s="26"/>
    </row>
    <row r="29" spans="1:16" ht="16.899999999999999" customHeight="1">
      <c r="A29" s="59" t="s">
        <v>33</v>
      </c>
      <c r="B29" s="45" t="s">
        <v>133</v>
      </c>
      <c r="C29" s="48">
        <f t="shared" si="1"/>
        <v>0</v>
      </c>
      <c r="D29" s="48">
        <f t="shared" si="2"/>
        <v>0</v>
      </c>
      <c r="E29" s="48">
        <f t="shared" si="3"/>
        <v>0</v>
      </c>
      <c r="F29" s="51"/>
      <c r="G29" s="49">
        <f t="shared" si="4"/>
        <v>0</v>
      </c>
      <c r="H29" s="57">
        <v>0</v>
      </c>
      <c r="I29" s="57">
        <v>0</v>
      </c>
      <c r="J29" s="55"/>
      <c r="K29" s="49">
        <f t="shared" si="5"/>
        <v>0</v>
      </c>
      <c r="L29" s="57">
        <v>0</v>
      </c>
      <c r="M29" s="57">
        <v>0</v>
      </c>
      <c r="N29" s="2"/>
      <c r="O29" s="2"/>
      <c r="P29" s="26"/>
    </row>
    <row r="30" spans="1:16" ht="16.899999999999999" customHeight="1">
      <c r="A30" s="59" t="s">
        <v>34</v>
      </c>
      <c r="B30" s="45" t="s">
        <v>134</v>
      </c>
      <c r="C30" s="48">
        <f t="shared" si="1"/>
        <v>3</v>
      </c>
      <c r="D30" s="48">
        <f t="shared" si="2"/>
        <v>3</v>
      </c>
      <c r="E30" s="48">
        <f t="shared" si="3"/>
        <v>0</v>
      </c>
      <c r="F30" s="51"/>
      <c r="G30" s="49">
        <f t="shared" si="4"/>
        <v>3</v>
      </c>
      <c r="H30" s="57">
        <v>3</v>
      </c>
      <c r="I30" s="57">
        <v>0</v>
      </c>
      <c r="J30" s="55"/>
      <c r="K30" s="49">
        <f t="shared" si="5"/>
        <v>0</v>
      </c>
      <c r="L30" s="57">
        <v>0</v>
      </c>
      <c r="M30" s="57">
        <v>0</v>
      </c>
      <c r="N30" s="2"/>
      <c r="O30" s="2"/>
      <c r="P30" s="26"/>
    </row>
    <row r="31" spans="1:16" ht="16.899999999999999" customHeight="1">
      <c r="A31" s="59" t="s">
        <v>35</v>
      </c>
      <c r="B31" s="45" t="s">
        <v>135</v>
      </c>
      <c r="C31" s="48">
        <f t="shared" si="1"/>
        <v>5</v>
      </c>
      <c r="D31" s="48">
        <f t="shared" si="2"/>
        <v>3</v>
      </c>
      <c r="E31" s="48">
        <f t="shared" si="3"/>
        <v>2</v>
      </c>
      <c r="F31" s="51"/>
      <c r="G31" s="49">
        <f t="shared" si="4"/>
        <v>4</v>
      </c>
      <c r="H31" s="57">
        <v>2</v>
      </c>
      <c r="I31" s="57">
        <v>2</v>
      </c>
      <c r="J31" s="55"/>
      <c r="K31" s="49">
        <f t="shared" si="5"/>
        <v>1</v>
      </c>
      <c r="L31" s="57">
        <v>1</v>
      </c>
      <c r="M31" s="57">
        <v>0</v>
      </c>
      <c r="N31" s="2"/>
      <c r="O31" s="2"/>
      <c r="P31" s="26"/>
    </row>
    <row r="32" spans="1:16" ht="16.899999999999999" customHeight="1">
      <c r="A32" s="59" t="s">
        <v>36</v>
      </c>
      <c r="B32" s="45" t="s">
        <v>136</v>
      </c>
      <c r="C32" s="48">
        <f t="shared" si="1"/>
        <v>6</v>
      </c>
      <c r="D32" s="48">
        <f t="shared" si="2"/>
        <v>4</v>
      </c>
      <c r="E32" s="48">
        <f t="shared" si="3"/>
        <v>2</v>
      </c>
      <c r="F32" s="51"/>
      <c r="G32" s="49">
        <f t="shared" si="4"/>
        <v>6</v>
      </c>
      <c r="H32" s="57">
        <v>4</v>
      </c>
      <c r="I32" s="57">
        <v>2</v>
      </c>
      <c r="J32" s="55"/>
      <c r="K32" s="49">
        <f t="shared" si="5"/>
        <v>0</v>
      </c>
      <c r="L32" s="57">
        <v>0</v>
      </c>
      <c r="M32" s="57">
        <v>0</v>
      </c>
      <c r="N32" s="2"/>
      <c r="O32" s="2"/>
      <c r="P32" s="26"/>
    </row>
    <row r="33" spans="1:19" ht="16.899999999999999" customHeight="1">
      <c r="A33" s="59" t="s">
        <v>37</v>
      </c>
      <c r="B33" s="45" t="s">
        <v>137</v>
      </c>
      <c r="C33" s="48">
        <f t="shared" si="1"/>
        <v>1</v>
      </c>
      <c r="D33" s="48">
        <f t="shared" si="2"/>
        <v>1</v>
      </c>
      <c r="E33" s="48">
        <f t="shared" si="3"/>
        <v>0</v>
      </c>
      <c r="F33" s="51"/>
      <c r="G33" s="49">
        <f t="shared" si="4"/>
        <v>1</v>
      </c>
      <c r="H33" s="57">
        <v>1</v>
      </c>
      <c r="I33" s="57">
        <v>0</v>
      </c>
      <c r="J33" s="55"/>
      <c r="K33" s="49">
        <f t="shared" si="5"/>
        <v>0</v>
      </c>
      <c r="L33" s="57">
        <v>0</v>
      </c>
      <c r="M33" s="57">
        <v>0</v>
      </c>
      <c r="N33" s="2"/>
      <c r="O33" s="2"/>
      <c r="P33" s="26"/>
    </row>
    <row r="34" spans="1:19" ht="16.899999999999999" customHeight="1">
      <c r="A34" s="59" t="s">
        <v>38</v>
      </c>
      <c r="B34" s="45" t="s">
        <v>138</v>
      </c>
      <c r="C34" s="48">
        <f t="shared" si="1"/>
        <v>0</v>
      </c>
      <c r="D34" s="48">
        <f t="shared" si="2"/>
        <v>0</v>
      </c>
      <c r="E34" s="48">
        <f t="shared" si="3"/>
        <v>0</v>
      </c>
      <c r="F34" s="51"/>
      <c r="G34" s="49">
        <f t="shared" si="4"/>
        <v>0</v>
      </c>
      <c r="H34" s="57">
        <v>0</v>
      </c>
      <c r="I34" s="57">
        <v>0</v>
      </c>
      <c r="J34" s="55"/>
      <c r="K34" s="49">
        <f t="shared" si="5"/>
        <v>0</v>
      </c>
      <c r="L34" s="57">
        <v>0</v>
      </c>
      <c r="M34" s="57">
        <v>0</v>
      </c>
      <c r="N34" s="2"/>
      <c r="O34" s="2"/>
      <c r="P34" s="26"/>
    </row>
    <row r="35" spans="1:19" ht="16.899999999999999" customHeight="1">
      <c r="A35" s="59" t="s">
        <v>39</v>
      </c>
      <c r="B35" s="45" t="s">
        <v>139</v>
      </c>
      <c r="C35" s="48">
        <f t="shared" si="1"/>
        <v>1</v>
      </c>
      <c r="D35" s="48">
        <f t="shared" si="2"/>
        <v>1</v>
      </c>
      <c r="E35" s="48">
        <f t="shared" si="3"/>
        <v>0</v>
      </c>
      <c r="F35" s="51"/>
      <c r="G35" s="49">
        <f t="shared" si="4"/>
        <v>1</v>
      </c>
      <c r="H35" s="57">
        <v>1</v>
      </c>
      <c r="I35" s="57">
        <v>0</v>
      </c>
      <c r="J35" s="55"/>
      <c r="K35" s="49">
        <f t="shared" si="5"/>
        <v>0</v>
      </c>
      <c r="L35" s="57">
        <v>0</v>
      </c>
      <c r="M35" s="57">
        <v>0</v>
      </c>
      <c r="N35" s="2"/>
      <c r="O35" s="2"/>
      <c r="P35" s="26"/>
    </row>
    <row r="36" spans="1:19" ht="16.899999999999999" customHeight="1">
      <c r="A36" s="59" t="s">
        <v>40</v>
      </c>
      <c r="B36" s="45" t="s">
        <v>140</v>
      </c>
      <c r="C36" s="48">
        <f t="shared" si="1"/>
        <v>71</v>
      </c>
      <c r="D36" s="48">
        <f t="shared" si="2"/>
        <v>42</v>
      </c>
      <c r="E36" s="48">
        <f t="shared" si="3"/>
        <v>29</v>
      </c>
      <c r="F36" s="51"/>
      <c r="G36" s="49">
        <f t="shared" si="4"/>
        <v>54</v>
      </c>
      <c r="H36" s="57">
        <v>29</v>
      </c>
      <c r="I36" s="57">
        <v>25</v>
      </c>
      <c r="J36" s="55"/>
      <c r="K36" s="49">
        <f t="shared" si="5"/>
        <v>17</v>
      </c>
      <c r="L36" s="57">
        <v>13</v>
      </c>
      <c r="M36" s="57">
        <v>4</v>
      </c>
      <c r="N36" s="2"/>
      <c r="O36" s="2"/>
      <c r="P36" s="26"/>
    </row>
    <row r="37" spans="1:19" ht="16.899999999999999" customHeight="1">
      <c r="A37" s="59" t="s">
        <v>41</v>
      </c>
      <c r="B37" s="45" t="s">
        <v>141</v>
      </c>
      <c r="C37" s="48">
        <f t="shared" si="1"/>
        <v>817</v>
      </c>
      <c r="D37" s="48">
        <f t="shared" si="2"/>
        <v>186</v>
      </c>
      <c r="E37" s="48">
        <f t="shared" si="3"/>
        <v>631</v>
      </c>
      <c r="F37" s="51"/>
      <c r="G37" s="49">
        <f t="shared" si="4"/>
        <v>268</v>
      </c>
      <c r="H37" s="57">
        <v>35</v>
      </c>
      <c r="I37" s="57">
        <v>233</v>
      </c>
      <c r="J37" s="55"/>
      <c r="K37" s="49">
        <f t="shared" si="5"/>
        <v>549</v>
      </c>
      <c r="L37" s="57">
        <v>151</v>
      </c>
      <c r="M37" s="57">
        <v>398</v>
      </c>
      <c r="N37" s="2"/>
      <c r="O37" s="2"/>
      <c r="P37" s="26"/>
    </row>
    <row r="38" spans="1:19" ht="16.899999999999999" customHeight="1">
      <c r="A38" s="59" t="s">
        <v>42</v>
      </c>
      <c r="B38" s="45" t="s">
        <v>142</v>
      </c>
      <c r="C38" s="48">
        <f t="shared" si="1"/>
        <v>177</v>
      </c>
      <c r="D38" s="48">
        <f t="shared" si="2"/>
        <v>38</v>
      </c>
      <c r="E38" s="48">
        <f t="shared" si="3"/>
        <v>139</v>
      </c>
      <c r="F38" s="51"/>
      <c r="G38" s="49">
        <f t="shared" si="4"/>
        <v>107</v>
      </c>
      <c r="H38" s="57">
        <v>13</v>
      </c>
      <c r="I38" s="57">
        <v>94</v>
      </c>
      <c r="J38" s="55"/>
      <c r="K38" s="49">
        <f t="shared" si="5"/>
        <v>70</v>
      </c>
      <c r="L38" s="57">
        <v>25</v>
      </c>
      <c r="M38" s="57">
        <v>45</v>
      </c>
      <c r="N38" s="2"/>
      <c r="O38" s="2"/>
      <c r="P38" s="26"/>
    </row>
    <row r="39" spans="1:19" ht="16.899999999999999" customHeight="1">
      <c r="A39" s="59" t="s">
        <v>43</v>
      </c>
      <c r="B39" s="45" t="s">
        <v>143</v>
      </c>
      <c r="C39" s="48">
        <f t="shared" si="1"/>
        <v>64</v>
      </c>
      <c r="D39" s="48">
        <f t="shared" si="2"/>
        <v>19</v>
      </c>
      <c r="E39" s="48">
        <f t="shared" si="3"/>
        <v>45</v>
      </c>
      <c r="F39" s="51"/>
      <c r="G39" s="49">
        <f t="shared" si="4"/>
        <v>38</v>
      </c>
      <c r="H39" s="57">
        <v>15</v>
      </c>
      <c r="I39" s="57">
        <v>23</v>
      </c>
      <c r="J39" s="55"/>
      <c r="K39" s="49">
        <f t="shared" si="5"/>
        <v>26</v>
      </c>
      <c r="L39" s="57">
        <v>4</v>
      </c>
      <c r="M39" s="57">
        <v>22</v>
      </c>
      <c r="N39" s="2"/>
      <c r="O39" s="2"/>
      <c r="P39" s="26"/>
    </row>
    <row r="40" spans="1:19" ht="16.899999999999999" customHeight="1">
      <c r="A40" s="59" t="s">
        <v>44</v>
      </c>
      <c r="B40" s="45" t="s">
        <v>144</v>
      </c>
      <c r="C40" s="48">
        <f t="shared" si="1"/>
        <v>13</v>
      </c>
      <c r="D40" s="48">
        <f t="shared" si="2"/>
        <v>4</v>
      </c>
      <c r="E40" s="48">
        <f t="shared" si="3"/>
        <v>9</v>
      </c>
      <c r="F40" s="51"/>
      <c r="G40" s="49">
        <f t="shared" si="4"/>
        <v>11</v>
      </c>
      <c r="H40" s="57">
        <v>3</v>
      </c>
      <c r="I40" s="57">
        <v>8</v>
      </c>
      <c r="J40" s="55"/>
      <c r="K40" s="49">
        <f t="shared" si="5"/>
        <v>2</v>
      </c>
      <c r="L40" s="57">
        <v>1</v>
      </c>
      <c r="M40" s="57">
        <v>1</v>
      </c>
      <c r="N40" s="2"/>
      <c r="O40" s="2"/>
      <c r="P40" s="26"/>
      <c r="Q40" s="2"/>
      <c r="R40" s="2"/>
      <c r="S40" s="2"/>
    </row>
    <row r="41" spans="1:19" ht="16.899999999999999" customHeight="1">
      <c r="A41" s="59" t="s">
        <v>45</v>
      </c>
      <c r="B41" s="45" t="s">
        <v>145</v>
      </c>
      <c r="C41" s="48">
        <f t="shared" si="1"/>
        <v>3</v>
      </c>
      <c r="D41" s="48">
        <f t="shared" si="2"/>
        <v>0</v>
      </c>
      <c r="E41" s="48">
        <f t="shared" si="3"/>
        <v>3</v>
      </c>
      <c r="F41" s="51"/>
      <c r="G41" s="49">
        <f t="shared" si="4"/>
        <v>3</v>
      </c>
      <c r="H41" s="57">
        <v>0</v>
      </c>
      <c r="I41" s="57">
        <v>3</v>
      </c>
      <c r="J41" s="55"/>
      <c r="K41" s="49">
        <f t="shared" si="5"/>
        <v>0</v>
      </c>
      <c r="L41" s="57">
        <v>0</v>
      </c>
      <c r="M41" s="57">
        <v>0</v>
      </c>
      <c r="N41" s="2"/>
      <c r="O41" s="2"/>
      <c r="P41" s="26"/>
      <c r="Q41" s="2"/>
      <c r="R41" s="2"/>
      <c r="S41" s="2"/>
    </row>
    <row r="42" spans="1:19" ht="16.899999999999999" customHeight="1">
      <c r="A42" s="59" t="s">
        <v>46</v>
      </c>
      <c r="B42" s="45" t="s">
        <v>146</v>
      </c>
      <c r="C42" s="48">
        <f t="shared" si="1"/>
        <v>4</v>
      </c>
      <c r="D42" s="48">
        <f t="shared" si="2"/>
        <v>1</v>
      </c>
      <c r="E42" s="48">
        <f t="shared" si="3"/>
        <v>3</v>
      </c>
      <c r="F42" s="51"/>
      <c r="G42" s="49">
        <f t="shared" si="4"/>
        <v>4</v>
      </c>
      <c r="H42" s="57">
        <v>1</v>
      </c>
      <c r="I42" s="57">
        <v>3</v>
      </c>
      <c r="J42" s="55"/>
      <c r="K42" s="49">
        <f t="shared" si="5"/>
        <v>0</v>
      </c>
      <c r="L42" s="57">
        <v>0</v>
      </c>
      <c r="M42" s="57">
        <v>0</v>
      </c>
      <c r="N42" s="2"/>
      <c r="O42" s="2"/>
      <c r="P42" s="26"/>
      <c r="Q42" s="2"/>
      <c r="R42" s="2"/>
      <c r="S42" s="2"/>
    </row>
    <row r="43" spans="1:19" ht="16.899999999999999" customHeight="1">
      <c r="A43" s="59" t="s">
        <v>47</v>
      </c>
      <c r="B43" s="45" t="s">
        <v>147</v>
      </c>
      <c r="C43" s="48">
        <f t="shared" si="1"/>
        <v>1</v>
      </c>
      <c r="D43" s="48">
        <f t="shared" si="2"/>
        <v>1</v>
      </c>
      <c r="E43" s="48">
        <f t="shared" si="3"/>
        <v>0</v>
      </c>
      <c r="F43" s="51"/>
      <c r="G43" s="49">
        <f t="shared" si="4"/>
        <v>1</v>
      </c>
      <c r="H43" s="57">
        <v>1</v>
      </c>
      <c r="I43" s="57">
        <v>0</v>
      </c>
      <c r="J43" s="55"/>
      <c r="K43" s="49">
        <f t="shared" si="5"/>
        <v>0</v>
      </c>
      <c r="L43" s="57">
        <v>0</v>
      </c>
      <c r="M43" s="57">
        <v>0</v>
      </c>
      <c r="N43" s="2"/>
      <c r="O43" s="2"/>
      <c r="P43" s="26"/>
      <c r="Q43" s="2"/>
      <c r="R43" s="2"/>
      <c r="S43" s="2"/>
    </row>
    <row r="44" spans="1:19" ht="16.899999999999999" customHeight="1">
      <c r="A44" s="59" t="s">
        <v>48</v>
      </c>
      <c r="B44" s="45" t="s">
        <v>148</v>
      </c>
      <c r="C44" s="48">
        <f t="shared" si="1"/>
        <v>1</v>
      </c>
      <c r="D44" s="48">
        <f t="shared" si="2"/>
        <v>1</v>
      </c>
      <c r="E44" s="48">
        <f t="shared" si="3"/>
        <v>0</v>
      </c>
      <c r="F44" s="51"/>
      <c r="G44" s="49">
        <f t="shared" si="4"/>
        <v>1</v>
      </c>
      <c r="H44" s="57">
        <v>1</v>
      </c>
      <c r="I44" s="57">
        <v>0</v>
      </c>
      <c r="J44" s="55"/>
      <c r="K44" s="49">
        <f t="shared" si="5"/>
        <v>0</v>
      </c>
      <c r="L44" s="57">
        <v>0</v>
      </c>
      <c r="M44" s="57">
        <v>0</v>
      </c>
      <c r="N44" s="2"/>
      <c r="O44" s="2"/>
      <c r="P44" s="26"/>
      <c r="Q44" s="27"/>
      <c r="R44" s="27"/>
      <c r="S44" s="27"/>
    </row>
    <row r="45" spans="1:19" ht="16.899999999999999" customHeight="1">
      <c r="A45" s="59" t="s">
        <v>49</v>
      </c>
      <c r="B45" s="45" t="s">
        <v>149</v>
      </c>
      <c r="C45" s="48">
        <f t="shared" si="1"/>
        <v>0</v>
      </c>
      <c r="D45" s="48">
        <f t="shared" si="2"/>
        <v>0</v>
      </c>
      <c r="E45" s="48">
        <f t="shared" si="3"/>
        <v>0</v>
      </c>
      <c r="F45" s="51"/>
      <c r="G45" s="49">
        <f t="shared" si="4"/>
        <v>0</v>
      </c>
      <c r="H45" s="57">
        <v>0</v>
      </c>
      <c r="I45" s="57">
        <v>0</v>
      </c>
      <c r="J45" s="55"/>
      <c r="K45" s="49">
        <f t="shared" si="5"/>
        <v>0</v>
      </c>
      <c r="L45" s="57">
        <v>0</v>
      </c>
      <c r="M45" s="57">
        <v>0</v>
      </c>
      <c r="N45" s="2"/>
      <c r="O45" s="2"/>
      <c r="P45" s="26"/>
      <c r="Q45" s="2"/>
      <c r="R45" s="2"/>
      <c r="S45" s="2"/>
    </row>
    <row r="46" spans="1:19" ht="16.899999999999999" customHeight="1">
      <c r="A46" s="59" t="s">
        <v>50</v>
      </c>
      <c r="B46" s="45" t="s">
        <v>150</v>
      </c>
      <c r="C46" s="48">
        <f t="shared" si="1"/>
        <v>1</v>
      </c>
      <c r="D46" s="48">
        <f t="shared" si="2"/>
        <v>1</v>
      </c>
      <c r="E46" s="48">
        <f t="shared" si="3"/>
        <v>0</v>
      </c>
      <c r="F46" s="51"/>
      <c r="G46" s="49">
        <f t="shared" si="4"/>
        <v>1</v>
      </c>
      <c r="H46" s="57">
        <v>1</v>
      </c>
      <c r="I46" s="57">
        <v>0</v>
      </c>
      <c r="J46" s="55"/>
      <c r="K46" s="49">
        <f t="shared" si="5"/>
        <v>0</v>
      </c>
      <c r="L46" s="57">
        <v>0</v>
      </c>
      <c r="M46" s="57">
        <v>0</v>
      </c>
      <c r="N46" s="2"/>
      <c r="O46" s="2"/>
      <c r="P46" s="26"/>
    </row>
    <row r="47" spans="1:19" ht="16.899999999999999" customHeight="1">
      <c r="A47" s="59" t="s">
        <v>51</v>
      </c>
      <c r="B47" s="45" t="s">
        <v>151</v>
      </c>
      <c r="C47" s="48">
        <f t="shared" si="1"/>
        <v>2</v>
      </c>
      <c r="D47" s="48">
        <f t="shared" si="2"/>
        <v>0</v>
      </c>
      <c r="E47" s="48">
        <f t="shared" si="3"/>
        <v>2</v>
      </c>
      <c r="F47" s="51"/>
      <c r="G47" s="49">
        <f t="shared" si="4"/>
        <v>2</v>
      </c>
      <c r="H47" s="57">
        <v>0</v>
      </c>
      <c r="I47" s="57">
        <v>2</v>
      </c>
      <c r="J47" s="55"/>
      <c r="K47" s="49">
        <f t="shared" si="5"/>
        <v>0</v>
      </c>
      <c r="L47" s="57">
        <v>0</v>
      </c>
      <c r="M47" s="57">
        <v>0</v>
      </c>
      <c r="N47" s="2"/>
      <c r="O47" s="2"/>
      <c r="P47" s="26"/>
    </row>
    <row r="48" spans="1:19" ht="16.899999999999999" customHeight="1">
      <c r="A48" s="59" t="s">
        <v>52</v>
      </c>
      <c r="B48" s="45" t="s">
        <v>152</v>
      </c>
      <c r="C48" s="48">
        <f t="shared" si="1"/>
        <v>3</v>
      </c>
      <c r="D48" s="48">
        <f t="shared" si="2"/>
        <v>2</v>
      </c>
      <c r="E48" s="48">
        <f t="shared" si="3"/>
        <v>1</v>
      </c>
      <c r="F48" s="51"/>
      <c r="G48" s="49">
        <f t="shared" si="4"/>
        <v>3</v>
      </c>
      <c r="H48" s="57">
        <v>2</v>
      </c>
      <c r="I48" s="57">
        <v>1</v>
      </c>
      <c r="J48" s="55"/>
      <c r="K48" s="49">
        <f t="shared" si="5"/>
        <v>0</v>
      </c>
      <c r="L48" s="57">
        <v>0</v>
      </c>
      <c r="M48" s="57">
        <v>0</v>
      </c>
      <c r="N48" s="2"/>
      <c r="O48" s="2"/>
      <c r="P48" s="26"/>
      <c r="Q48" s="2"/>
      <c r="R48" s="2"/>
      <c r="S48" s="2"/>
    </row>
    <row r="49" spans="1:19" ht="16.899999999999999" customHeight="1">
      <c r="A49" s="59" t="s">
        <v>53</v>
      </c>
      <c r="B49" s="45" t="s">
        <v>153</v>
      </c>
      <c r="C49" s="48">
        <f t="shared" si="1"/>
        <v>3</v>
      </c>
      <c r="D49" s="48">
        <f t="shared" si="2"/>
        <v>2</v>
      </c>
      <c r="E49" s="48">
        <f t="shared" si="3"/>
        <v>1</v>
      </c>
      <c r="F49" s="51"/>
      <c r="G49" s="49">
        <f t="shared" si="4"/>
        <v>3</v>
      </c>
      <c r="H49" s="57">
        <v>2</v>
      </c>
      <c r="I49" s="57">
        <v>1</v>
      </c>
      <c r="J49" s="55"/>
      <c r="K49" s="49">
        <f t="shared" si="5"/>
        <v>0</v>
      </c>
      <c r="L49" s="57">
        <v>0</v>
      </c>
      <c r="M49" s="57">
        <v>0</v>
      </c>
      <c r="N49" s="2"/>
      <c r="O49" s="2"/>
      <c r="P49" s="26"/>
    </row>
    <row r="50" spans="1:19" ht="16.899999999999999" customHeight="1">
      <c r="A50" s="59" t="s">
        <v>54</v>
      </c>
      <c r="B50" s="45" t="s">
        <v>154</v>
      </c>
      <c r="C50" s="48">
        <f t="shared" si="1"/>
        <v>3</v>
      </c>
      <c r="D50" s="48">
        <f t="shared" si="2"/>
        <v>3</v>
      </c>
      <c r="E50" s="48">
        <f t="shared" si="3"/>
        <v>0</v>
      </c>
      <c r="F50" s="51"/>
      <c r="G50" s="49">
        <f t="shared" si="4"/>
        <v>3</v>
      </c>
      <c r="H50" s="57">
        <v>3</v>
      </c>
      <c r="I50" s="57">
        <v>0</v>
      </c>
      <c r="J50" s="55"/>
      <c r="K50" s="49">
        <f t="shared" si="5"/>
        <v>0</v>
      </c>
      <c r="L50" s="57">
        <v>0</v>
      </c>
      <c r="M50" s="57">
        <v>0</v>
      </c>
      <c r="N50" s="2"/>
      <c r="O50" s="2"/>
      <c r="P50" s="26"/>
      <c r="Q50" s="2"/>
      <c r="R50" s="2"/>
      <c r="S50" s="2"/>
    </row>
    <row r="51" spans="1:19" ht="16.899999999999999" customHeight="1">
      <c r="A51" s="60" t="s">
        <v>214</v>
      </c>
      <c r="B51" s="45" t="s">
        <v>155</v>
      </c>
      <c r="C51" s="48">
        <f t="shared" si="1"/>
        <v>1</v>
      </c>
      <c r="D51" s="48">
        <f t="shared" si="2"/>
        <v>0</v>
      </c>
      <c r="E51" s="48">
        <f t="shared" si="3"/>
        <v>1</v>
      </c>
      <c r="F51" s="51"/>
      <c r="G51" s="49">
        <f t="shared" si="4"/>
        <v>1</v>
      </c>
      <c r="H51" s="57">
        <v>0</v>
      </c>
      <c r="I51" s="57">
        <v>1</v>
      </c>
      <c r="J51" s="55"/>
      <c r="K51" s="49">
        <f t="shared" si="5"/>
        <v>0</v>
      </c>
      <c r="L51" s="57">
        <v>0</v>
      </c>
      <c r="M51" s="57">
        <v>0</v>
      </c>
      <c r="N51" s="2"/>
      <c r="O51" s="25"/>
      <c r="P51" s="26"/>
    </row>
    <row r="52" spans="1:19" ht="16.899999999999999" customHeight="1">
      <c r="A52" s="59" t="s">
        <v>55</v>
      </c>
      <c r="B52" s="45" t="s">
        <v>156</v>
      </c>
      <c r="C52" s="48">
        <f t="shared" si="1"/>
        <v>1</v>
      </c>
      <c r="D52" s="48">
        <f t="shared" si="2"/>
        <v>0</v>
      </c>
      <c r="E52" s="48">
        <f t="shared" si="3"/>
        <v>1</v>
      </c>
      <c r="F52" s="51"/>
      <c r="G52" s="49">
        <f t="shared" si="4"/>
        <v>1</v>
      </c>
      <c r="H52" s="57">
        <v>0</v>
      </c>
      <c r="I52" s="57">
        <v>1</v>
      </c>
      <c r="J52" s="55"/>
      <c r="K52" s="49">
        <f t="shared" si="5"/>
        <v>0</v>
      </c>
      <c r="L52" s="57">
        <v>0</v>
      </c>
      <c r="M52" s="57">
        <v>0</v>
      </c>
      <c r="N52" s="2"/>
      <c r="O52" s="25"/>
      <c r="P52" s="26"/>
    </row>
    <row r="53" spans="1:19" ht="16.899999999999999" customHeight="1">
      <c r="A53" s="59" t="s">
        <v>56</v>
      </c>
      <c r="B53" s="42" t="s">
        <v>157</v>
      </c>
      <c r="C53" s="48">
        <f t="shared" si="1"/>
        <v>2</v>
      </c>
      <c r="D53" s="48">
        <f t="shared" si="2"/>
        <v>0</v>
      </c>
      <c r="E53" s="48">
        <f t="shared" si="3"/>
        <v>2</v>
      </c>
      <c r="F53" s="51"/>
      <c r="G53" s="49">
        <f t="shared" si="4"/>
        <v>2</v>
      </c>
      <c r="H53" s="57">
        <v>0</v>
      </c>
      <c r="I53" s="57">
        <v>2</v>
      </c>
      <c r="J53" s="55"/>
      <c r="K53" s="49">
        <f t="shared" si="5"/>
        <v>0</v>
      </c>
      <c r="L53" s="57">
        <v>0</v>
      </c>
      <c r="M53" s="57">
        <v>0</v>
      </c>
      <c r="N53" s="2"/>
      <c r="O53" s="2"/>
      <c r="P53" s="26"/>
      <c r="Q53" s="2"/>
      <c r="R53" s="2"/>
      <c r="S53" s="2"/>
    </row>
    <row r="54" spans="1:19" ht="16.899999999999999" customHeight="1">
      <c r="A54" s="59" t="s">
        <v>57</v>
      </c>
      <c r="B54" s="42" t="s">
        <v>157</v>
      </c>
      <c r="C54" s="48">
        <f t="shared" si="1"/>
        <v>0</v>
      </c>
      <c r="D54" s="48">
        <f t="shared" si="2"/>
        <v>0</v>
      </c>
      <c r="E54" s="48">
        <f t="shared" si="3"/>
        <v>0</v>
      </c>
      <c r="F54" s="51"/>
      <c r="G54" s="49">
        <f t="shared" si="4"/>
        <v>0</v>
      </c>
      <c r="H54" s="57">
        <v>0</v>
      </c>
      <c r="I54" s="57">
        <v>0</v>
      </c>
      <c r="J54" s="55"/>
      <c r="K54" s="49">
        <f t="shared" si="5"/>
        <v>0</v>
      </c>
      <c r="L54" s="57">
        <v>0</v>
      </c>
      <c r="M54" s="57">
        <v>0</v>
      </c>
      <c r="N54" s="2"/>
      <c r="O54" s="25"/>
      <c r="P54" s="26"/>
    </row>
    <row r="55" spans="1:19" ht="16.899999999999999" customHeight="1">
      <c r="A55" s="59" t="s">
        <v>58</v>
      </c>
      <c r="B55" s="45" t="s">
        <v>158</v>
      </c>
      <c r="C55" s="48">
        <f t="shared" si="1"/>
        <v>0</v>
      </c>
      <c r="D55" s="48">
        <f t="shared" si="2"/>
        <v>0</v>
      </c>
      <c r="E55" s="48">
        <f t="shared" si="3"/>
        <v>0</v>
      </c>
      <c r="F55" s="51"/>
      <c r="G55" s="49">
        <f t="shared" si="4"/>
        <v>0</v>
      </c>
      <c r="H55" s="57">
        <v>0</v>
      </c>
      <c r="I55" s="57">
        <v>0</v>
      </c>
      <c r="J55" s="55"/>
      <c r="K55" s="49">
        <f t="shared" si="5"/>
        <v>0</v>
      </c>
      <c r="L55" s="57">
        <v>0</v>
      </c>
      <c r="M55" s="57">
        <v>0</v>
      </c>
      <c r="N55" s="2"/>
      <c r="O55" s="25"/>
      <c r="P55" s="26"/>
    </row>
    <row r="56" spans="1:19" ht="16.899999999999999" customHeight="1">
      <c r="A56" s="59" t="s">
        <v>59</v>
      </c>
      <c r="B56" s="45" t="s">
        <v>159</v>
      </c>
      <c r="C56" s="48">
        <f t="shared" si="1"/>
        <v>1</v>
      </c>
      <c r="D56" s="48">
        <f t="shared" si="2"/>
        <v>1</v>
      </c>
      <c r="E56" s="48">
        <f t="shared" si="3"/>
        <v>0</v>
      </c>
      <c r="F56" s="51"/>
      <c r="G56" s="49">
        <f t="shared" si="4"/>
        <v>1</v>
      </c>
      <c r="H56" s="57">
        <v>1</v>
      </c>
      <c r="I56" s="57">
        <v>0</v>
      </c>
      <c r="J56" s="55"/>
      <c r="K56" s="49">
        <f t="shared" si="5"/>
        <v>0</v>
      </c>
      <c r="L56" s="57">
        <v>0</v>
      </c>
      <c r="M56" s="57">
        <v>0</v>
      </c>
      <c r="N56" s="2"/>
      <c r="O56" s="25"/>
      <c r="P56" s="26"/>
    </row>
    <row r="57" spans="1:19" ht="16.899999999999999" customHeight="1">
      <c r="A57" s="59" t="s">
        <v>60</v>
      </c>
      <c r="B57" s="45" t="s">
        <v>160</v>
      </c>
      <c r="C57" s="48">
        <f t="shared" si="1"/>
        <v>1</v>
      </c>
      <c r="D57" s="48">
        <f t="shared" si="2"/>
        <v>1</v>
      </c>
      <c r="E57" s="48">
        <f t="shared" si="3"/>
        <v>0</v>
      </c>
      <c r="F57" s="51"/>
      <c r="G57" s="49">
        <f t="shared" si="4"/>
        <v>1</v>
      </c>
      <c r="H57" s="57">
        <v>1</v>
      </c>
      <c r="I57" s="57">
        <v>0</v>
      </c>
      <c r="J57" s="55"/>
      <c r="K57" s="49">
        <f t="shared" si="5"/>
        <v>0</v>
      </c>
      <c r="L57" s="57">
        <v>0</v>
      </c>
      <c r="M57" s="57">
        <v>0</v>
      </c>
      <c r="N57" s="2"/>
      <c r="O57" s="2"/>
      <c r="P57" s="26"/>
      <c r="Q57" s="2"/>
      <c r="R57" s="2"/>
      <c r="S57" s="2"/>
    </row>
    <row r="58" spans="1:19" ht="16.899999999999999" customHeight="1">
      <c r="A58" s="59" t="s">
        <v>215</v>
      </c>
      <c r="B58" s="45" t="s">
        <v>161</v>
      </c>
      <c r="C58" s="48">
        <f t="shared" si="1"/>
        <v>3</v>
      </c>
      <c r="D58" s="48">
        <f t="shared" si="2"/>
        <v>2</v>
      </c>
      <c r="E58" s="48">
        <f t="shared" si="3"/>
        <v>1</v>
      </c>
      <c r="F58" s="51"/>
      <c r="G58" s="49">
        <f t="shared" si="4"/>
        <v>3</v>
      </c>
      <c r="H58" s="57">
        <v>2</v>
      </c>
      <c r="I58" s="57">
        <v>1</v>
      </c>
      <c r="J58" s="55"/>
      <c r="K58" s="49">
        <f t="shared" si="5"/>
        <v>0</v>
      </c>
      <c r="L58" s="57">
        <v>0</v>
      </c>
      <c r="M58" s="57">
        <v>0</v>
      </c>
      <c r="N58" s="2"/>
      <c r="O58" s="2"/>
      <c r="P58" s="26"/>
      <c r="Q58" s="2"/>
      <c r="R58" s="2"/>
      <c r="S58" s="2"/>
    </row>
    <row r="59" spans="1:19" ht="16.899999999999999" customHeight="1">
      <c r="A59" s="59" t="s">
        <v>61</v>
      </c>
      <c r="B59" s="45" t="s">
        <v>162</v>
      </c>
      <c r="C59" s="48">
        <f t="shared" si="1"/>
        <v>107</v>
      </c>
      <c r="D59" s="48">
        <f t="shared" si="2"/>
        <v>48</v>
      </c>
      <c r="E59" s="48">
        <f t="shared" si="3"/>
        <v>59</v>
      </c>
      <c r="F59" s="51"/>
      <c r="G59" s="49">
        <f t="shared" si="4"/>
        <v>107</v>
      </c>
      <c r="H59" s="57">
        <v>48</v>
      </c>
      <c r="I59" s="57">
        <v>59</v>
      </c>
      <c r="J59" s="55"/>
      <c r="K59" s="49">
        <f t="shared" si="5"/>
        <v>0</v>
      </c>
      <c r="L59" s="57">
        <v>0</v>
      </c>
      <c r="M59" s="57">
        <v>0</v>
      </c>
      <c r="N59" s="2"/>
      <c r="O59" s="25"/>
      <c r="P59" s="26"/>
    </row>
    <row r="60" spans="1:19" ht="16.899999999999999" customHeight="1">
      <c r="A60" s="59" t="s">
        <v>62</v>
      </c>
      <c r="B60" s="45" t="s">
        <v>163</v>
      </c>
      <c r="C60" s="48">
        <f t="shared" si="1"/>
        <v>0</v>
      </c>
      <c r="D60" s="48">
        <f t="shared" si="2"/>
        <v>0</v>
      </c>
      <c r="E60" s="48">
        <f t="shared" si="3"/>
        <v>0</v>
      </c>
      <c r="F60" s="51"/>
      <c r="G60" s="49">
        <f t="shared" si="4"/>
        <v>0</v>
      </c>
      <c r="H60" s="57">
        <v>0</v>
      </c>
      <c r="I60" s="57">
        <v>0</v>
      </c>
      <c r="J60" s="55"/>
      <c r="K60" s="49">
        <f t="shared" si="5"/>
        <v>0</v>
      </c>
      <c r="L60" s="57">
        <v>0</v>
      </c>
      <c r="M60" s="57">
        <v>0</v>
      </c>
      <c r="N60" s="2"/>
      <c r="O60" s="25"/>
      <c r="P60" s="26"/>
      <c r="Q60" s="2"/>
      <c r="R60" s="2"/>
      <c r="S60" s="2"/>
    </row>
    <row r="61" spans="1:19" ht="16.899999999999999" customHeight="1">
      <c r="A61" s="59" t="s">
        <v>63</v>
      </c>
      <c r="B61" s="45" t="s">
        <v>164</v>
      </c>
      <c r="C61" s="48">
        <f t="shared" si="1"/>
        <v>120</v>
      </c>
      <c r="D61" s="48">
        <f t="shared" si="2"/>
        <v>75</v>
      </c>
      <c r="E61" s="48">
        <f t="shared" si="3"/>
        <v>45</v>
      </c>
      <c r="F61" s="51"/>
      <c r="G61" s="49">
        <f t="shared" si="4"/>
        <v>120</v>
      </c>
      <c r="H61" s="57">
        <v>75</v>
      </c>
      <c r="I61" s="57">
        <v>45</v>
      </c>
      <c r="J61" s="55"/>
      <c r="K61" s="49">
        <f t="shared" si="5"/>
        <v>0</v>
      </c>
      <c r="L61" s="57">
        <v>0</v>
      </c>
      <c r="M61" s="57">
        <v>0</v>
      </c>
      <c r="N61" s="2"/>
      <c r="O61" s="25"/>
      <c r="P61" s="26"/>
      <c r="Q61" s="2"/>
      <c r="R61" s="2"/>
      <c r="S61" s="2"/>
    </row>
    <row r="62" spans="1:19" ht="16.899999999999999" customHeight="1">
      <c r="A62" s="59" t="s">
        <v>64</v>
      </c>
      <c r="B62" s="45" t="s">
        <v>165</v>
      </c>
      <c r="C62" s="48">
        <f t="shared" si="1"/>
        <v>80</v>
      </c>
      <c r="D62" s="48">
        <f t="shared" si="2"/>
        <v>59</v>
      </c>
      <c r="E62" s="48">
        <f t="shared" si="3"/>
        <v>21</v>
      </c>
      <c r="F62" s="51"/>
      <c r="G62" s="49">
        <f t="shared" si="4"/>
        <v>80</v>
      </c>
      <c r="H62" s="57">
        <v>59</v>
      </c>
      <c r="I62" s="57">
        <v>21</v>
      </c>
      <c r="J62" s="55"/>
      <c r="K62" s="49">
        <f t="shared" si="5"/>
        <v>0</v>
      </c>
      <c r="L62" s="57">
        <v>0</v>
      </c>
      <c r="M62" s="57">
        <v>0</v>
      </c>
      <c r="N62" s="2"/>
      <c r="O62" s="25"/>
      <c r="P62" s="26"/>
      <c r="Q62" s="2"/>
      <c r="R62" s="2"/>
      <c r="S62" s="2"/>
    </row>
    <row r="63" spans="1:19" ht="16.899999999999999" customHeight="1">
      <c r="A63" s="59" t="s">
        <v>65</v>
      </c>
      <c r="B63" s="45" t="s">
        <v>166</v>
      </c>
      <c r="C63" s="48">
        <f t="shared" si="1"/>
        <v>92</v>
      </c>
      <c r="D63" s="48">
        <f t="shared" si="2"/>
        <v>62</v>
      </c>
      <c r="E63" s="48">
        <f t="shared" si="3"/>
        <v>30</v>
      </c>
      <c r="F63" s="51"/>
      <c r="G63" s="49">
        <f t="shared" si="4"/>
        <v>92</v>
      </c>
      <c r="H63" s="57">
        <v>62</v>
      </c>
      <c r="I63" s="57">
        <v>30</v>
      </c>
      <c r="J63" s="55"/>
      <c r="K63" s="49">
        <f t="shared" si="5"/>
        <v>0</v>
      </c>
      <c r="L63" s="57">
        <v>0</v>
      </c>
      <c r="M63" s="57">
        <v>0</v>
      </c>
      <c r="N63" s="2"/>
      <c r="O63" s="25"/>
      <c r="P63" s="26"/>
      <c r="Q63" s="2"/>
      <c r="R63" s="2"/>
      <c r="S63" s="2"/>
    </row>
    <row r="64" spans="1:19" ht="16.899999999999999" customHeight="1">
      <c r="A64" s="59" t="s">
        <v>66</v>
      </c>
      <c r="B64" s="45" t="s">
        <v>167</v>
      </c>
      <c r="C64" s="48">
        <f t="shared" si="1"/>
        <v>40</v>
      </c>
      <c r="D64" s="48">
        <f t="shared" si="2"/>
        <v>26</v>
      </c>
      <c r="E64" s="48">
        <f t="shared" si="3"/>
        <v>14</v>
      </c>
      <c r="F64" s="51"/>
      <c r="G64" s="49">
        <f t="shared" si="4"/>
        <v>40</v>
      </c>
      <c r="H64" s="57">
        <v>26</v>
      </c>
      <c r="I64" s="57">
        <v>14</v>
      </c>
      <c r="J64" s="55"/>
      <c r="K64" s="49">
        <f t="shared" si="5"/>
        <v>0</v>
      </c>
      <c r="L64" s="57">
        <v>0</v>
      </c>
      <c r="M64" s="57">
        <v>0</v>
      </c>
      <c r="N64" s="2"/>
      <c r="O64" s="25"/>
      <c r="P64" s="26"/>
      <c r="Q64" s="2"/>
      <c r="R64" s="2"/>
      <c r="S64" s="2"/>
    </row>
    <row r="65" spans="1:19" ht="16.899999999999999" customHeight="1">
      <c r="A65" s="59" t="s">
        <v>67</v>
      </c>
      <c r="B65" s="45" t="s">
        <v>168</v>
      </c>
      <c r="C65" s="48">
        <f t="shared" si="1"/>
        <v>39</v>
      </c>
      <c r="D65" s="48">
        <f t="shared" si="2"/>
        <v>36</v>
      </c>
      <c r="E65" s="48">
        <f t="shared" si="3"/>
        <v>3</v>
      </c>
      <c r="F65" s="51"/>
      <c r="G65" s="49">
        <f t="shared" si="4"/>
        <v>39</v>
      </c>
      <c r="H65" s="57">
        <v>36</v>
      </c>
      <c r="I65" s="57">
        <v>3</v>
      </c>
      <c r="J65" s="55"/>
      <c r="K65" s="49">
        <f t="shared" si="5"/>
        <v>0</v>
      </c>
      <c r="L65" s="57">
        <v>0</v>
      </c>
      <c r="M65" s="57">
        <v>0</v>
      </c>
      <c r="N65" s="2"/>
      <c r="O65" s="25"/>
      <c r="P65" s="26"/>
    </row>
    <row r="66" spans="1:19" ht="16.899999999999999" customHeight="1">
      <c r="A66" s="59" t="s">
        <v>68</v>
      </c>
      <c r="B66" s="45" t="s">
        <v>169</v>
      </c>
      <c r="C66" s="48">
        <f t="shared" si="1"/>
        <v>9</v>
      </c>
      <c r="D66" s="48">
        <f t="shared" si="2"/>
        <v>9</v>
      </c>
      <c r="E66" s="48">
        <f t="shared" si="3"/>
        <v>0</v>
      </c>
      <c r="F66" s="51"/>
      <c r="G66" s="49">
        <f t="shared" si="4"/>
        <v>9</v>
      </c>
      <c r="H66" s="57">
        <v>9</v>
      </c>
      <c r="I66" s="57">
        <v>0</v>
      </c>
      <c r="J66" s="55"/>
      <c r="K66" s="49">
        <f t="shared" si="5"/>
        <v>0</v>
      </c>
      <c r="L66" s="57">
        <v>0</v>
      </c>
      <c r="M66" s="57">
        <v>0</v>
      </c>
      <c r="N66" s="2"/>
      <c r="O66" s="25"/>
      <c r="P66" s="26"/>
      <c r="Q66" s="2"/>
      <c r="R66" s="2"/>
      <c r="S66" s="2"/>
    </row>
    <row r="67" spans="1:19" ht="16.899999999999999" customHeight="1">
      <c r="A67" s="59" t="s">
        <v>69</v>
      </c>
      <c r="B67" s="45" t="s">
        <v>170</v>
      </c>
      <c r="C67" s="48">
        <f t="shared" si="1"/>
        <v>3</v>
      </c>
      <c r="D67" s="48">
        <f t="shared" si="2"/>
        <v>2</v>
      </c>
      <c r="E67" s="48">
        <f t="shared" si="3"/>
        <v>1</v>
      </c>
      <c r="F67" s="51"/>
      <c r="G67" s="49">
        <f t="shared" si="4"/>
        <v>3</v>
      </c>
      <c r="H67" s="57">
        <v>2</v>
      </c>
      <c r="I67" s="57">
        <v>1</v>
      </c>
      <c r="J67" s="55"/>
      <c r="K67" s="49">
        <f t="shared" si="5"/>
        <v>0</v>
      </c>
      <c r="L67" s="57">
        <v>0</v>
      </c>
      <c r="M67" s="57">
        <v>0</v>
      </c>
      <c r="N67" s="2"/>
      <c r="O67" s="25"/>
      <c r="P67" s="26"/>
    </row>
    <row r="68" spans="1:19" ht="16.899999999999999" customHeight="1">
      <c r="A68" s="59" t="s">
        <v>70</v>
      </c>
      <c r="B68" s="45" t="s">
        <v>171</v>
      </c>
      <c r="C68" s="48">
        <f t="shared" si="1"/>
        <v>1</v>
      </c>
      <c r="D68" s="48">
        <f t="shared" si="2"/>
        <v>0</v>
      </c>
      <c r="E68" s="48">
        <f t="shared" si="3"/>
        <v>1</v>
      </c>
      <c r="F68" s="51"/>
      <c r="G68" s="49">
        <f t="shared" si="4"/>
        <v>1</v>
      </c>
      <c r="H68" s="57">
        <v>0</v>
      </c>
      <c r="I68" s="57">
        <v>1</v>
      </c>
      <c r="J68" s="55"/>
      <c r="K68" s="49">
        <f t="shared" si="5"/>
        <v>0</v>
      </c>
      <c r="L68" s="57">
        <v>0</v>
      </c>
      <c r="M68" s="57">
        <v>0</v>
      </c>
      <c r="N68" s="2"/>
      <c r="O68" s="25"/>
      <c r="P68" s="26"/>
      <c r="Q68" s="2"/>
      <c r="R68" s="2"/>
      <c r="S68" s="2"/>
    </row>
    <row r="69" spans="1:19" ht="16.899999999999999" customHeight="1">
      <c r="A69" s="59" t="s">
        <v>71</v>
      </c>
      <c r="B69" s="45" t="s">
        <v>172</v>
      </c>
      <c r="C69" s="48">
        <f t="shared" si="1"/>
        <v>12</v>
      </c>
      <c r="D69" s="48">
        <f t="shared" si="2"/>
        <v>8</v>
      </c>
      <c r="E69" s="48">
        <f t="shared" si="3"/>
        <v>4</v>
      </c>
      <c r="F69" s="51"/>
      <c r="G69" s="49">
        <f t="shared" si="4"/>
        <v>12</v>
      </c>
      <c r="H69" s="57">
        <v>8</v>
      </c>
      <c r="I69" s="57">
        <v>4</v>
      </c>
      <c r="J69" s="55"/>
      <c r="K69" s="49">
        <f t="shared" si="5"/>
        <v>0</v>
      </c>
      <c r="L69" s="57">
        <v>0</v>
      </c>
      <c r="M69" s="57">
        <v>0</v>
      </c>
      <c r="N69" s="2"/>
      <c r="O69" s="25"/>
      <c r="P69" s="26"/>
      <c r="Q69" s="2"/>
      <c r="R69" s="2"/>
      <c r="S69" s="2"/>
    </row>
    <row r="70" spans="1:19" ht="16.899999999999999" customHeight="1">
      <c r="A70" s="59" t="s">
        <v>72</v>
      </c>
      <c r="B70" s="45" t="s">
        <v>173</v>
      </c>
      <c r="C70" s="48">
        <f t="shared" si="1"/>
        <v>58</v>
      </c>
      <c r="D70" s="48">
        <f t="shared" si="2"/>
        <v>53</v>
      </c>
      <c r="E70" s="48">
        <f t="shared" si="3"/>
        <v>5</v>
      </c>
      <c r="F70" s="51"/>
      <c r="G70" s="49">
        <f t="shared" si="4"/>
        <v>58</v>
      </c>
      <c r="H70" s="57">
        <v>53</v>
      </c>
      <c r="I70" s="57">
        <v>5</v>
      </c>
      <c r="J70" s="55"/>
      <c r="K70" s="49">
        <f t="shared" si="5"/>
        <v>0</v>
      </c>
      <c r="L70" s="57">
        <v>0</v>
      </c>
      <c r="M70" s="57">
        <v>0</v>
      </c>
      <c r="N70" s="2"/>
      <c r="O70" s="25"/>
      <c r="P70" s="26"/>
    </row>
    <row r="71" spans="1:19" ht="16.899999999999999" customHeight="1">
      <c r="A71" s="59" t="s">
        <v>73</v>
      </c>
      <c r="B71" s="45" t="s">
        <v>174</v>
      </c>
      <c r="C71" s="48">
        <f t="shared" si="1"/>
        <v>58</v>
      </c>
      <c r="D71" s="48">
        <f t="shared" si="2"/>
        <v>45</v>
      </c>
      <c r="E71" s="48">
        <f t="shared" si="3"/>
        <v>13</v>
      </c>
      <c r="F71" s="51"/>
      <c r="G71" s="49">
        <f t="shared" si="4"/>
        <v>58</v>
      </c>
      <c r="H71" s="57">
        <v>45</v>
      </c>
      <c r="I71" s="57">
        <v>13</v>
      </c>
      <c r="J71" s="55"/>
      <c r="K71" s="49">
        <f t="shared" si="5"/>
        <v>0</v>
      </c>
      <c r="L71" s="57">
        <v>0</v>
      </c>
      <c r="M71" s="57">
        <v>0</v>
      </c>
      <c r="N71" s="2"/>
      <c r="O71" s="25"/>
      <c r="P71" s="26"/>
    </row>
    <row r="72" spans="1:19" ht="16.899999999999999" customHeight="1">
      <c r="A72" s="59" t="s">
        <v>74</v>
      </c>
      <c r="B72" s="45" t="s">
        <v>175</v>
      </c>
      <c r="C72" s="48">
        <f t="shared" si="1"/>
        <v>70</v>
      </c>
      <c r="D72" s="48">
        <f t="shared" si="2"/>
        <v>50</v>
      </c>
      <c r="E72" s="48">
        <f t="shared" si="3"/>
        <v>20</v>
      </c>
      <c r="F72" s="51"/>
      <c r="G72" s="49">
        <f t="shared" si="4"/>
        <v>70</v>
      </c>
      <c r="H72" s="57">
        <v>50</v>
      </c>
      <c r="I72" s="57">
        <v>20</v>
      </c>
      <c r="J72" s="55"/>
      <c r="K72" s="49">
        <f t="shared" si="5"/>
        <v>0</v>
      </c>
      <c r="L72" s="57">
        <v>0</v>
      </c>
      <c r="M72" s="57">
        <v>0</v>
      </c>
      <c r="N72" s="2"/>
      <c r="O72" s="25"/>
      <c r="P72" s="26"/>
      <c r="Q72" s="2"/>
      <c r="R72" s="2"/>
      <c r="S72" s="2"/>
    </row>
    <row r="73" spans="1:19" ht="16.899999999999999" customHeight="1">
      <c r="A73" s="59" t="s">
        <v>75</v>
      </c>
      <c r="B73" s="45" t="s">
        <v>176</v>
      </c>
      <c r="C73" s="48">
        <f t="shared" si="1"/>
        <v>102</v>
      </c>
      <c r="D73" s="48">
        <f t="shared" si="2"/>
        <v>36</v>
      </c>
      <c r="E73" s="48">
        <f t="shared" si="3"/>
        <v>66</v>
      </c>
      <c r="F73" s="51"/>
      <c r="G73" s="49">
        <f t="shared" si="4"/>
        <v>48</v>
      </c>
      <c r="H73" s="57">
        <v>35</v>
      </c>
      <c r="I73" s="57">
        <v>13</v>
      </c>
      <c r="J73" s="55"/>
      <c r="K73" s="49">
        <f t="shared" si="5"/>
        <v>54</v>
      </c>
      <c r="L73" s="57">
        <v>1</v>
      </c>
      <c r="M73" s="57">
        <v>53</v>
      </c>
      <c r="N73" s="2"/>
      <c r="O73" s="25"/>
      <c r="P73" s="26"/>
    </row>
    <row r="74" spans="1:19" ht="16.899999999999999" customHeight="1">
      <c r="A74" s="59" t="s">
        <v>76</v>
      </c>
      <c r="B74" s="45" t="s">
        <v>177</v>
      </c>
      <c r="C74" s="48">
        <f t="shared" ref="C74:C110" si="6">G74+K74</f>
        <v>93</v>
      </c>
      <c r="D74" s="48">
        <f t="shared" ref="D74:D107" si="7">H74+L74</f>
        <v>16</v>
      </c>
      <c r="E74" s="48">
        <f t="shared" ref="E74:E107" si="8">I74+M74</f>
        <v>77</v>
      </c>
      <c r="F74" s="51"/>
      <c r="G74" s="49">
        <f t="shared" ref="G74:G110" si="9">SUM(H74:I74)</f>
        <v>26</v>
      </c>
      <c r="H74" s="57">
        <v>15</v>
      </c>
      <c r="I74" s="57">
        <v>11</v>
      </c>
      <c r="J74" s="55"/>
      <c r="K74" s="49">
        <f t="shared" ref="K74:K110" si="10">SUM(L74:M74)</f>
        <v>67</v>
      </c>
      <c r="L74" s="57">
        <v>1</v>
      </c>
      <c r="M74" s="57">
        <v>66</v>
      </c>
      <c r="N74" s="2"/>
      <c r="O74" s="25"/>
      <c r="P74" s="26"/>
      <c r="Q74" s="2"/>
      <c r="R74" s="2"/>
      <c r="S74" s="2"/>
    </row>
    <row r="75" spans="1:19" ht="16.899999999999999" customHeight="1">
      <c r="A75" s="59" t="s">
        <v>77</v>
      </c>
      <c r="B75" s="45" t="s">
        <v>178</v>
      </c>
      <c r="C75" s="48">
        <f t="shared" si="6"/>
        <v>371</v>
      </c>
      <c r="D75" s="48">
        <f t="shared" si="7"/>
        <v>18</v>
      </c>
      <c r="E75" s="48">
        <f t="shared" si="8"/>
        <v>353</v>
      </c>
      <c r="F75" s="51"/>
      <c r="G75" s="49">
        <f t="shared" si="9"/>
        <v>77</v>
      </c>
      <c r="H75" s="57">
        <v>17</v>
      </c>
      <c r="I75" s="57">
        <v>60</v>
      </c>
      <c r="J75" s="55"/>
      <c r="K75" s="49">
        <f t="shared" si="10"/>
        <v>294</v>
      </c>
      <c r="L75" s="57">
        <v>1</v>
      </c>
      <c r="M75" s="57">
        <v>293</v>
      </c>
      <c r="N75" s="2"/>
      <c r="O75" s="25"/>
      <c r="P75" s="26"/>
    </row>
    <row r="76" spans="1:19" ht="16.899999999999999" customHeight="1">
      <c r="A76" s="59" t="s">
        <v>78</v>
      </c>
      <c r="B76" s="45" t="s">
        <v>179</v>
      </c>
      <c r="C76" s="48">
        <f t="shared" si="6"/>
        <v>5</v>
      </c>
      <c r="D76" s="48">
        <f t="shared" si="7"/>
        <v>2</v>
      </c>
      <c r="E76" s="48">
        <f t="shared" si="8"/>
        <v>3</v>
      </c>
      <c r="F76" s="51"/>
      <c r="G76" s="49">
        <f t="shared" si="9"/>
        <v>5</v>
      </c>
      <c r="H76" s="57">
        <v>2</v>
      </c>
      <c r="I76" s="57">
        <v>3</v>
      </c>
      <c r="J76" s="55"/>
      <c r="K76" s="49">
        <f t="shared" si="10"/>
        <v>0</v>
      </c>
      <c r="L76" s="57">
        <v>0</v>
      </c>
      <c r="M76" s="57">
        <v>0</v>
      </c>
      <c r="N76" s="2"/>
      <c r="O76" s="25"/>
      <c r="P76" s="26"/>
      <c r="Q76" s="2"/>
      <c r="R76" s="2"/>
      <c r="S76" s="2"/>
    </row>
    <row r="77" spans="1:19" ht="16.899999999999999" customHeight="1">
      <c r="A77" s="59" t="s">
        <v>79</v>
      </c>
      <c r="B77" s="45" t="s">
        <v>180</v>
      </c>
      <c r="C77" s="48">
        <f t="shared" si="6"/>
        <v>26</v>
      </c>
      <c r="D77" s="48">
        <f t="shared" si="7"/>
        <v>18</v>
      </c>
      <c r="E77" s="48">
        <f t="shared" si="8"/>
        <v>8</v>
      </c>
      <c r="F77" s="51"/>
      <c r="G77" s="49">
        <f t="shared" si="9"/>
        <v>26</v>
      </c>
      <c r="H77" s="57">
        <v>18</v>
      </c>
      <c r="I77" s="57">
        <v>8</v>
      </c>
      <c r="J77" s="55"/>
      <c r="K77" s="49">
        <f t="shared" si="10"/>
        <v>0</v>
      </c>
      <c r="L77" s="57">
        <v>0</v>
      </c>
      <c r="M77" s="57">
        <v>0</v>
      </c>
      <c r="N77" s="2"/>
      <c r="O77" s="25"/>
      <c r="P77" s="26"/>
    </row>
    <row r="78" spans="1:19" ht="16.899999999999999" customHeight="1">
      <c r="A78" s="59" t="s">
        <v>80</v>
      </c>
      <c r="B78" s="45" t="s">
        <v>181</v>
      </c>
      <c r="C78" s="48">
        <f t="shared" si="6"/>
        <v>21</v>
      </c>
      <c r="D78" s="48">
        <f t="shared" si="7"/>
        <v>8</v>
      </c>
      <c r="E78" s="48">
        <f t="shared" si="8"/>
        <v>13</v>
      </c>
      <c r="F78" s="51"/>
      <c r="G78" s="49">
        <f t="shared" si="9"/>
        <v>21</v>
      </c>
      <c r="H78" s="57">
        <v>8</v>
      </c>
      <c r="I78" s="57">
        <v>13</v>
      </c>
      <c r="J78" s="55"/>
      <c r="K78" s="49">
        <f t="shared" si="10"/>
        <v>0</v>
      </c>
      <c r="L78" s="57">
        <v>0</v>
      </c>
      <c r="M78" s="57">
        <v>0</v>
      </c>
      <c r="N78" s="2"/>
      <c r="O78" s="25"/>
      <c r="P78" s="26"/>
    </row>
    <row r="79" spans="1:19" s="2" customFormat="1">
      <c r="A79" s="59" t="s">
        <v>81</v>
      </c>
      <c r="B79" s="45" t="s">
        <v>182</v>
      </c>
      <c r="C79" s="48">
        <f t="shared" si="6"/>
        <v>14</v>
      </c>
      <c r="D79" s="48">
        <f t="shared" si="7"/>
        <v>8</v>
      </c>
      <c r="E79" s="48">
        <f t="shared" si="8"/>
        <v>6</v>
      </c>
      <c r="F79" s="51"/>
      <c r="G79" s="49">
        <f t="shared" si="9"/>
        <v>13</v>
      </c>
      <c r="H79" s="57">
        <v>7</v>
      </c>
      <c r="I79" s="57">
        <v>6</v>
      </c>
      <c r="J79" s="55"/>
      <c r="K79" s="49">
        <f t="shared" si="10"/>
        <v>1</v>
      </c>
      <c r="L79" s="57">
        <v>1</v>
      </c>
      <c r="M79" s="57">
        <v>0</v>
      </c>
      <c r="O79" s="25"/>
      <c r="P79" s="26"/>
    </row>
    <row r="80" spans="1:19">
      <c r="A80" s="59" t="s">
        <v>82</v>
      </c>
      <c r="B80" s="45" t="s">
        <v>183</v>
      </c>
      <c r="C80" s="48">
        <f t="shared" si="6"/>
        <v>5</v>
      </c>
      <c r="D80" s="48">
        <f t="shared" si="7"/>
        <v>3</v>
      </c>
      <c r="E80" s="48">
        <f t="shared" si="8"/>
        <v>2</v>
      </c>
      <c r="F80" s="51"/>
      <c r="G80" s="49">
        <f t="shared" si="9"/>
        <v>5</v>
      </c>
      <c r="H80" s="57">
        <v>3</v>
      </c>
      <c r="I80" s="57">
        <v>2</v>
      </c>
      <c r="J80" s="55"/>
      <c r="K80" s="49">
        <f t="shared" si="10"/>
        <v>0</v>
      </c>
      <c r="L80" s="57">
        <v>0</v>
      </c>
      <c r="M80" s="57">
        <v>0</v>
      </c>
      <c r="N80" s="2"/>
      <c r="O80" s="25"/>
      <c r="P80" s="26"/>
      <c r="Q80" s="2"/>
      <c r="R80" s="2"/>
      <c r="S80" s="2"/>
    </row>
    <row r="81" spans="1:25">
      <c r="A81" s="59" t="s">
        <v>83</v>
      </c>
      <c r="B81" s="45" t="s">
        <v>184</v>
      </c>
      <c r="C81" s="48">
        <f t="shared" si="6"/>
        <v>2</v>
      </c>
      <c r="D81" s="48">
        <f t="shared" si="7"/>
        <v>1</v>
      </c>
      <c r="E81" s="48">
        <f t="shared" si="8"/>
        <v>1</v>
      </c>
      <c r="F81" s="51"/>
      <c r="G81" s="49">
        <f t="shared" si="9"/>
        <v>2</v>
      </c>
      <c r="H81" s="57">
        <v>1</v>
      </c>
      <c r="I81" s="57">
        <v>1</v>
      </c>
      <c r="J81" s="55"/>
      <c r="K81" s="49">
        <f t="shared" si="10"/>
        <v>0</v>
      </c>
      <c r="L81" s="57">
        <v>0</v>
      </c>
      <c r="M81" s="57">
        <v>0</v>
      </c>
      <c r="N81" s="2"/>
      <c r="O81" s="25"/>
      <c r="P81" s="26"/>
    </row>
    <row r="82" spans="1:25">
      <c r="A82" s="59" t="s">
        <v>84</v>
      </c>
      <c r="B82" s="45" t="s">
        <v>185</v>
      </c>
      <c r="C82" s="48">
        <f t="shared" si="6"/>
        <v>1</v>
      </c>
      <c r="D82" s="48">
        <f t="shared" si="7"/>
        <v>0</v>
      </c>
      <c r="E82" s="48">
        <f t="shared" si="8"/>
        <v>1</v>
      </c>
      <c r="F82" s="51"/>
      <c r="G82" s="49">
        <f t="shared" si="9"/>
        <v>1</v>
      </c>
      <c r="H82" s="57">
        <v>0</v>
      </c>
      <c r="I82" s="57">
        <v>1</v>
      </c>
      <c r="J82" s="55"/>
      <c r="K82" s="49">
        <f t="shared" si="10"/>
        <v>0</v>
      </c>
      <c r="L82" s="57">
        <v>0</v>
      </c>
      <c r="M82" s="57">
        <v>0</v>
      </c>
      <c r="N82" s="2"/>
      <c r="O82" s="25"/>
      <c r="P82" s="26"/>
    </row>
    <row r="83" spans="1:25">
      <c r="A83" s="59" t="s">
        <v>85</v>
      </c>
      <c r="B83" s="45" t="s">
        <v>186</v>
      </c>
      <c r="C83" s="48">
        <f t="shared" si="6"/>
        <v>467</v>
      </c>
      <c r="D83" s="48">
        <f t="shared" si="7"/>
        <v>42</v>
      </c>
      <c r="E83" s="48">
        <f t="shared" si="8"/>
        <v>425</v>
      </c>
      <c r="F83" s="51"/>
      <c r="G83" s="49">
        <f t="shared" si="9"/>
        <v>224</v>
      </c>
      <c r="H83" s="57">
        <v>28</v>
      </c>
      <c r="I83" s="57">
        <v>196</v>
      </c>
      <c r="J83" s="55"/>
      <c r="K83" s="49">
        <f t="shared" si="10"/>
        <v>243</v>
      </c>
      <c r="L83" s="57">
        <v>14</v>
      </c>
      <c r="M83" s="57">
        <v>229</v>
      </c>
      <c r="N83" s="2"/>
      <c r="O83" s="25"/>
      <c r="P83" s="26"/>
    </row>
    <row r="84" spans="1:25">
      <c r="A84" s="59" t="s">
        <v>86</v>
      </c>
      <c r="B84" s="45" t="s">
        <v>187</v>
      </c>
      <c r="C84" s="48">
        <f t="shared" si="6"/>
        <v>333</v>
      </c>
      <c r="D84" s="48">
        <f t="shared" si="7"/>
        <v>9</v>
      </c>
      <c r="E84" s="48">
        <f t="shared" si="8"/>
        <v>324</v>
      </c>
      <c r="F84" s="51"/>
      <c r="G84" s="49">
        <f t="shared" si="9"/>
        <v>102</v>
      </c>
      <c r="H84" s="57">
        <v>8</v>
      </c>
      <c r="I84" s="57">
        <v>94</v>
      </c>
      <c r="J84" s="55"/>
      <c r="K84" s="49">
        <f t="shared" si="10"/>
        <v>231</v>
      </c>
      <c r="L84" s="57">
        <v>1</v>
      </c>
      <c r="M84" s="57">
        <v>230</v>
      </c>
      <c r="N84" s="2"/>
      <c r="O84" s="25"/>
      <c r="P84" s="26"/>
      <c r="T84" s="2"/>
      <c r="U84" s="2"/>
      <c r="V84" s="2"/>
      <c r="W84" s="2"/>
      <c r="X84" s="2"/>
      <c r="Y84" s="2"/>
    </row>
    <row r="85" spans="1:25">
      <c r="A85" s="59" t="s">
        <v>87</v>
      </c>
      <c r="B85" s="45" t="s">
        <v>188</v>
      </c>
      <c r="C85" s="48">
        <f t="shared" si="6"/>
        <v>67</v>
      </c>
      <c r="D85" s="48">
        <f t="shared" si="7"/>
        <v>12</v>
      </c>
      <c r="E85" s="48">
        <f t="shared" si="8"/>
        <v>55</v>
      </c>
      <c r="F85" s="51"/>
      <c r="G85" s="49">
        <f t="shared" si="9"/>
        <v>45</v>
      </c>
      <c r="H85" s="57">
        <v>11</v>
      </c>
      <c r="I85" s="57">
        <v>34</v>
      </c>
      <c r="J85" s="55"/>
      <c r="K85" s="49">
        <f t="shared" si="10"/>
        <v>22</v>
      </c>
      <c r="L85" s="57">
        <v>1</v>
      </c>
      <c r="M85" s="57">
        <v>21</v>
      </c>
      <c r="N85" s="2"/>
      <c r="O85" s="25"/>
      <c r="P85" s="26"/>
      <c r="T85" s="2"/>
      <c r="U85" s="2"/>
      <c r="V85" s="2"/>
      <c r="W85" s="2"/>
      <c r="X85" s="2"/>
      <c r="Y85" s="2"/>
    </row>
    <row r="86" spans="1:25">
      <c r="A86" s="59" t="s">
        <v>88</v>
      </c>
      <c r="B86" s="45" t="s">
        <v>189</v>
      </c>
      <c r="C86" s="48">
        <f t="shared" si="6"/>
        <v>34</v>
      </c>
      <c r="D86" s="48">
        <f t="shared" si="7"/>
        <v>4</v>
      </c>
      <c r="E86" s="48">
        <f t="shared" si="8"/>
        <v>30</v>
      </c>
      <c r="F86" s="51"/>
      <c r="G86" s="49">
        <f t="shared" si="9"/>
        <v>29</v>
      </c>
      <c r="H86" s="57">
        <v>4</v>
      </c>
      <c r="I86" s="57">
        <v>25</v>
      </c>
      <c r="J86" s="55"/>
      <c r="K86" s="49">
        <f t="shared" si="10"/>
        <v>5</v>
      </c>
      <c r="L86" s="57">
        <v>0</v>
      </c>
      <c r="M86" s="57">
        <v>5</v>
      </c>
      <c r="N86" s="2"/>
      <c r="O86" s="2"/>
      <c r="P86" s="26"/>
      <c r="T86" s="2"/>
      <c r="U86" s="2"/>
      <c r="V86" s="2"/>
      <c r="W86" s="2"/>
      <c r="X86" s="2"/>
      <c r="Y86" s="2"/>
    </row>
    <row r="87" spans="1:25">
      <c r="A87" s="59" t="s">
        <v>89</v>
      </c>
      <c r="B87" s="45" t="s">
        <v>190</v>
      </c>
      <c r="C87" s="48">
        <f t="shared" si="6"/>
        <v>78</v>
      </c>
      <c r="D87" s="48">
        <f t="shared" si="7"/>
        <v>22</v>
      </c>
      <c r="E87" s="48">
        <f t="shared" si="8"/>
        <v>56</v>
      </c>
      <c r="F87" s="51"/>
      <c r="G87" s="49">
        <f t="shared" si="9"/>
        <v>59</v>
      </c>
      <c r="H87" s="57">
        <v>21</v>
      </c>
      <c r="I87" s="57">
        <v>38</v>
      </c>
      <c r="J87" s="55"/>
      <c r="K87" s="49">
        <f t="shared" si="10"/>
        <v>19</v>
      </c>
      <c r="L87" s="57">
        <v>1</v>
      </c>
      <c r="M87" s="57">
        <v>18</v>
      </c>
      <c r="N87" s="2"/>
      <c r="O87" s="2"/>
      <c r="P87" s="26"/>
      <c r="T87" s="2"/>
      <c r="U87" s="2"/>
      <c r="V87" s="2"/>
      <c r="W87" s="2"/>
      <c r="X87" s="2"/>
      <c r="Y87" s="2"/>
    </row>
    <row r="88" spans="1:25">
      <c r="A88" s="59" t="s">
        <v>90</v>
      </c>
      <c r="B88" s="45" t="s">
        <v>191</v>
      </c>
      <c r="C88" s="48">
        <f t="shared" si="6"/>
        <v>7</v>
      </c>
      <c r="D88" s="48">
        <f t="shared" si="7"/>
        <v>3</v>
      </c>
      <c r="E88" s="48">
        <f t="shared" si="8"/>
        <v>4</v>
      </c>
      <c r="F88" s="51"/>
      <c r="G88" s="49">
        <f t="shared" si="9"/>
        <v>4</v>
      </c>
      <c r="H88" s="57">
        <v>2</v>
      </c>
      <c r="I88" s="57">
        <v>2</v>
      </c>
      <c r="J88" s="55"/>
      <c r="K88" s="49">
        <f t="shared" si="10"/>
        <v>3</v>
      </c>
      <c r="L88" s="57">
        <v>1</v>
      </c>
      <c r="M88" s="57">
        <v>2</v>
      </c>
      <c r="N88" s="2"/>
      <c r="O88" s="2"/>
      <c r="P88" s="26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59" t="s">
        <v>91</v>
      </c>
      <c r="B89" s="45" t="s">
        <v>192</v>
      </c>
      <c r="C89" s="48">
        <f t="shared" si="6"/>
        <v>3</v>
      </c>
      <c r="D89" s="48">
        <f t="shared" si="7"/>
        <v>3</v>
      </c>
      <c r="E89" s="48">
        <f t="shared" si="8"/>
        <v>0</v>
      </c>
      <c r="F89" s="51"/>
      <c r="G89" s="49">
        <f t="shared" si="9"/>
        <v>0</v>
      </c>
      <c r="H89" s="57">
        <v>0</v>
      </c>
      <c r="I89" s="57">
        <v>0</v>
      </c>
      <c r="J89" s="55"/>
      <c r="K89" s="49">
        <f t="shared" si="10"/>
        <v>3</v>
      </c>
      <c r="L89" s="57">
        <v>3</v>
      </c>
      <c r="M89" s="57">
        <v>0</v>
      </c>
      <c r="N89" s="2"/>
      <c r="O89" s="2"/>
      <c r="P89" s="26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59" t="s">
        <v>92</v>
      </c>
      <c r="B90" s="45" t="s">
        <v>193</v>
      </c>
      <c r="C90" s="48">
        <f t="shared" si="6"/>
        <v>4</v>
      </c>
      <c r="D90" s="48">
        <f t="shared" si="7"/>
        <v>1</v>
      </c>
      <c r="E90" s="48">
        <f t="shared" si="8"/>
        <v>3</v>
      </c>
      <c r="F90" s="51"/>
      <c r="G90" s="49">
        <f t="shared" si="9"/>
        <v>1</v>
      </c>
      <c r="H90" s="57">
        <v>1</v>
      </c>
      <c r="I90" s="57">
        <v>0</v>
      </c>
      <c r="J90" s="55"/>
      <c r="K90" s="49">
        <f t="shared" si="10"/>
        <v>3</v>
      </c>
      <c r="L90" s="57">
        <v>0</v>
      </c>
      <c r="M90" s="57">
        <v>3</v>
      </c>
      <c r="N90" s="2"/>
      <c r="O90" s="25"/>
      <c r="P90" s="26"/>
      <c r="T90" s="2"/>
      <c r="U90" s="2"/>
      <c r="V90" s="2"/>
      <c r="W90" s="2"/>
      <c r="X90" s="2"/>
      <c r="Y90" s="2"/>
    </row>
    <row r="91" spans="1:25">
      <c r="A91" s="59" t="s">
        <v>93</v>
      </c>
      <c r="B91" s="45" t="s">
        <v>194</v>
      </c>
      <c r="C91" s="48">
        <f t="shared" si="6"/>
        <v>432</v>
      </c>
      <c r="D91" s="48">
        <f t="shared" si="7"/>
        <v>251</v>
      </c>
      <c r="E91" s="48">
        <f t="shared" si="8"/>
        <v>181</v>
      </c>
      <c r="F91" s="51"/>
      <c r="G91" s="49">
        <f t="shared" si="9"/>
        <v>251</v>
      </c>
      <c r="H91" s="57">
        <v>99</v>
      </c>
      <c r="I91" s="57">
        <v>152</v>
      </c>
      <c r="J91" s="55"/>
      <c r="K91" s="49">
        <f t="shared" si="10"/>
        <v>181</v>
      </c>
      <c r="L91" s="57">
        <v>152</v>
      </c>
      <c r="M91" s="57">
        <v>29</v>
      </c>
      <c r="N91" s="2"/>
      <c r="O91" s="25"/>
      <c r="P91" s="26"/>
      <c r="T91" s="2"/>
      <c r="U91" s="2"/>
      <c r="V91" s="2"/>
      <c r="W91" s="2"/>
      <c r="X91" s="2"/>
      <c r="Y91" s="2"/>
    </row>
    <row r="92" spans="1:25">
      <c r="A92" s="59" t="s">
        <v>94</v>
      </c>
      <c r="B92" s="45" t="s">
        <v>195</v>
      </c>
      <c r="C92" s="48">
        <f t="shared" si="6"/>
        <v>40</v>
      </c>
      <c r="D92" s="48">
        <f t="shared" si="7"/>
        <v>22</v>
      </c>
      <c r="E92" s="48">
        <f t="shared" si="8"/>
        <v>18</v>
      </c>
      <c r="F92" s="51"/>
      <c r="G92" s="49">
        <f t="shared" si="9"/>
        <v>24</v>
      </c>
      <c r="H92" s="57">
        <v>11</v>
      </c>
      <c r="I92" s="57">
        <v>13</v>
      </c>
      <c r="J92" s="55"/>
      <c r="K92" s="49">
        <f t="shared" si="10"/>
        <v>16</v>
      </c>
      <c r="L92" s="57">
        <v>11</v>
      </c>
      <c r="M92" s="57">
        <v>5</v>
      </c>
      <c r="N92" s="2"/>
      <c r="O92" s="25"/>
      <c r="P92" s="26"/>
      <c r="T92" s="2"/>
      <c r="U92" s="2"/>
      <c r="V92" s="2"/>
      <c r="W92" s="2"/>
      <c r="X92" s="2"/>
      <c r="Y92" s="2"/>
    </row>
    <row r="93" spans="1:25">
      <c r="A93" s="59" t="s">
        <v>95</v>
      </c>
      <c r="B93" s="45" t="s">
        <v>196</v>
      </c>
      <c r="C93" s="48">
        <f t="shared" si="6"/>
        <v>50</v>
      </c>
      <c r="D93" s="48">
        <f t="shared" si="7"/>
        <v>30</v>
      </c>
      <c r="E93" s="48">
        <f t="shared" si="8"/>
        <v>20</v>
      </c>
      <c r="F93" s="51"/>
      <c r="G93" s="49">
        <f t="shared" si="9"/>
        <v>41</v>
      </c>
      <c r="H93" s="57">
        <v>25</v>
      </c>
      <c r="I93" s="57">
        <v>16</v>
      </c>
      <c r="J93" s="55"/>
      <c r="K93" s="49">
        <f t="shared" si="10"/>
        <v>9</v>
      </c>
      <c r="L93" s="57">
        <v>5</v>
      </c>
      <c r="M93" s="57">
        <v>4</v>
      </c>
      <c r="N93" s="2"/>
      <c r="O93" s="25"/>
      <c r="P93" s="26"/>
      <c r="T93" s="2"/>
      <c r="U93" s="2"/>
      <c r="V93" s="2"/>
      <c r="W93" s="2"/>
      <c r="X93" s="2"/>
      <c r="Y93" s="2"/>
    </row>
    <row r="94" spans="1:25">
      <c r="A94" s="59" t="s">
        <v>96</v>
      </c>
      <c r="B94" s="45" t="s">
        <v>197</v>
      </c>
      <c r="C94" s="48">
        <f t="shared" si="6"/>
        <v>5</v>
      </c>
      <c r="D94" s="48">
        <f t="shared" si="7"/>
        <v>4</v>
      </c>
      <c r="E94" s="48">
        <f t="shared" si="8"/>
        <v>1</v>
      </c>
      <c r="F94" s="51"/>
      <c r="G94" s="49">
        <f t="shared" si="9"/>
        <v>5</v>
      </c>
      <c r="H94" s="57">
        <v>4</v>
      </c>
      <c r="I94" s="57">
        <v>1</v>
      </c>
      <c r="J94" s="55"/>
      <c r="K94" s="49">
        <f t="shared" si="10"/>
        <v>0</v>
      </c>
      <c r="L94" s="57">
        <v>0</v>
      </c>
      <c r="M94" s="57">
        <v>0</v>
      </c>
      <c r="N94" s="2"/>
      <c r="O94" s="25"/>
      <c r="P94" s="26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59" t="s">
        <v>97</v>
      </c>
      <c r="B95" s="45" t="s">
        <v>198</v>
      </c>
      <c r="C95" s="48">
        <f t="shared" si="6"/>
        <v>69</v>
      </c>
      <c r="D95" s="48">
        <f t="shared" si="7"/>
        <v>51</v>
      </c>
      <c r="E95" s="48">
        <f t="shared" si="8"/>
        <v>18</v>
      </c>
      <c r="F95" s="51"/>
      <c r="G95" s="49">
        <f t="shared" si="9"/>
        <v>52</v>
      </c>
      <c r="H95" s="57">
        <v>36</v>
      </c>
      <c r="I95" s="57">
        <v>16</v>
      </c>
      <c r="J95" s="55"/>
      <c r="K95" s="49">
        <f t="shared" si="10"/>
        <v>17</v>
      </c>
      <c r="L95" s="57">
        <v>15</v>
      </c>
      <c r="M95" s="57">
        <v>2</v>
      </c>
      <c r="N95" s="2"/>
      <c r="O95" s="25"/>
      <c r="P95" s="26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59" t="s">
        <v>98</v>
      </c>
      <c r="B96" s="45" t="s">
        <v>199</v>
      </c>
      <c r="C96" s="48">
        <f t="shared" si="6"/>
        <v>6</v>
      </c>
      <c r="D96" s="48">
        <f t="shared" si="7"/>
        <v>5</v>
      </c>
      <c r="E96" s="48">
        <f t="shared" si="8"/>
        <v>1</v>
      </c>
      <c r="F96" s="51"/>
      <c r="G96" s="49">
        <f t="shared" si="9"/>
        <v>6</v>
      </c>
      <c r="H96" s="57">
        <v>5</v>
      </c>
      <c r="I96" s="57">
        <v>1</v>
      </c>
      <c r="J96" s="55"/>
      <c r="K96" s="49">
        <f t="shared" si="10"/>
        <v>0</v>
      </c>
      <c r="L96" s="57">
        <v>0</v>
      </c>
      <c r="M96" s="57">
        <v>0</v>
      </c>
      <c r="N96" s="2"/>
      <c r="O96" s="25"/>
      <c r="P96" s="26"/>
      <c r="Q96" s="2"/>
      <c r="R96" s="2"/>
      <c r="S96" s="2"/>
      <c r="T96" s="2"/>
      <c r="U96" s="2"/>
      <c r="V96" s="2"/>
      <c r="W96" s="2"/>
      <c r="X96" s="2"/>
      <c r="Y96" s="2"/>
    </row>
    <row r="97" spans="1:26">
      <c r="A97" s="59" t="s">
        <v>99</v>
      </c>
      <c r="B97" s="45" t="s">
        <v>200</v>
      </c>
      <c r="C97" s="48">
        <f t="shared" si="6"/>
        <v>1</v>
      </c>
      <c r="D97" s="48">
        <f t="shared" si="7"/>
        <v>1</v>
      </c>
      <c r="E97" s="48">
        <f t="shared" si="8"/>
        <v>0</v>
      </c>
      <c r="F97" s="51"/>
      <c r="G97" s="49">
        <f t="shared" si="9"/>
        <v>1</v>
      </c>
      <c r="H97" s="57">
        <v>1</v>
      </c>
      <c r="I97" s="57">
        <v>0</v>
      </c>
      <c r="J97" s="55"/>
      <c r="K97" s="49">
        <f t="shared" si="10"/>
        <v>0</v>
      </c>
      <c r="L97" s="57">
        <v>0</v>
      </c>
      <c r="M97" s="57">
        <v>0</v>
      </c>
      <c r="N97" s="2"/>
      <c r="O97" s="25"/>
      <c r="P97" s="26"/>
      <c r="T97" s="2"/>
      <c r="U97" s="2"/>
      <c r="V97" s="2"/>
      <c r="W97" s="2"/>
      <c r="X97" s="2"/>
      <c r="Y97" s="2"/>
    </row>
    <row r="98" spans="1:26">
      <c r="A98" s="59" t="s">
        <v>100</v>
      </c>
      <c r="B98" s="45" t="s">
        <v>201</v>
      </c>
      <c r="C98" s="48">
        <f t="shared" si="6"/>
        <v>351</v>
      </c>
      <c r="D98" s="48">
        <f t="shared" si="7"/>
        <v>147</v>
      </c>
      <c r="E98" s="48">
        <f t="shared" si="8"/>
        <v>204</v>
      </c>
      <c r="F98" s="51"/>
      <c r="G98" s="49">
        <f t="shared" si="9"/>
        <v>145</v>
      </c>
      <c r="H98" s="57">
        <v>81</v>
      </c>
      <c r="I98" s="57">
        <v>64</v>
      </c>
      <c r="J98" s="55"/>
      <c r="K98" s="49">
        <f t="shared" si="10"/>
        <v>206</v>
      </c>
      <c r="L98" s="57">
        <v>66</v>
      </c>
      <c r="M98" s="57">
        <v>140</v>
      </c>
      <c r="N98" s="2"/>
      <c r="O98" s="25"/>
      <c r="P98" s="26"/>
      <c r="T98" s="2"/>
      <c r="U98" s="2"/>
      <c r="V98" s="2"/>
      <c r="W98" s="2"/>
      <c r="X98" s="2"/>
      <c r="Y98" s="2"/>
    </row>
    <row r="99" spans="1:26">
      <c r="A99" s="59" t="s">
        <v>101</v>
      </c>
      <c r="B99" s="45" t="s">
        <v>202</v>
      </c>
      <c r="C99" s="48">
        <f t="shared" si="6"/>
        <v>746</v>
      </c>
      <c r="D99" s="48">
        <f t="shared" si="7"/>
        <v>228</v>
      </c>
      <c r="E99" s="48">
        <f t="shared" si="8"/>
        <v>518</v>
      </c>
      <c r="F99" s="51"/>
      <c r="G99" s="49">
        <f t="shared" si="9"/>
        <v>204</v>
      </c>
      <c r="H99" s="57">
        <v>60</v>
      </c>
      <c r="I99" s="57">
        <v>144</v>
      </c>
      <c r="J99" s="55"/>
      <c r="K99" s="49">
        <f t="shared" si="10"/>
        <v>542</v>
      </c>
      <c r="L99" s="57">
        <v>168</v>
      </c>
      <c r="M99" s="57">
        <v>374</v>
      </c>
      <c r="N99" s="2"/>
      <c r="O99" s="25"/>
      <c r="P99" s="26"/>
      <c r="Q99" s="2"/>
      <c r="R99" s="2"/>
      <c r="S99" s="2"/>
      <c r="T99" s="2"/>
      <c r="U99" s="2"/>
      <c r="V99" s="2"/>
      <c r="W99" s="2"/>
      <c r="X99" s="2"/>
      <c r="Y99" s="2"/>
    </row>
    <row r="100" spans="1:26">
      <c r="A100" s="59" t="s">
        <v>102</v>
      </c>
      <c r="B100" s="45" t="s">
        <v>203</v>
      </c>
      <c r="C100" s="48">
        <f t="shared" si="6"/>
        <v>3785</v>
      </c>
      <c r="D100" s="48">
        <f t="shared" si="7"/>
        <v>1410</v>
      </c>
      <c r="E100" s="48">
        <f t="shared" si="8"/>
        <v>2375</v>
      </c>
      <c r="F100" s="51"/>
      <c r="G100" s="49">
        <f t="shared" si="9"/>
        <v>1367</v>
      </c>
      <c r="H100" s="57">
        <v>563</v>
      </c>
      <c r="I100" s="57">
        <v>804</v>
      </c>
      <c r="J100" s="55"/>
      <c r="K100" s="49">
        <f t="shared" si="10"/>
        <v>2418</v>
      </c>
      <c r="L100" s="57">
        <v>847</v>
      </c>
      <c r="M100" s="57">
        <v>1571</v>
      </c>
      <c r="N100" s="2"/>
      <c r="O100" s="25"/>
      <c r="P100" s="26"/>
      <c r="T100" s="2"/>
      <c r="U100" s="2"/>
      <c r="V100" s="2"/>
      <c r="W100" s="2"/>
      <c r="X100" s="2"/>
      <c r="Y100" s="2"/>
    </row>
    <row r="101" spans="1:26">
      <c r="A101" s="59" t="s">
        <v>103</v>
      </c>
      <c r="B101" s="45" t="s">
        <v>204</v>
      </c>
      <c r="C101" s="48">
        <f t="shared" si="6"/>
        <v>1379</v>
      </c>
      <c r="D101" s="48">
        <f t="shared" si="7"/>
        <v>526</v>
      </c>
      <c r="E101" s="48">
        <f t="shared" si="8"/>
        <v>853</v>
      </c>
      <c r="F101" s="51"/>
      <c r="G101" s="49">
        <f t="shared" si="9"/>
        <v>645</v>
      </c>
      <c r="H101" s="57">
        <v>278</v>
      </c>
      <c r="I101" s="57">
        <v>367</v>
      </c>
      <c r="J101" s="55"/>
      <c r="K101" s="49">
        <f t="shared" si="10"/>
        <v>734</v>
      </c>
      <c r="L101" s="57">
        <v>248</v>
      </c>
      <c r="M101" s="57">
        <v>486</v>
      </c>
      <c r="N101" s="2"/>
      <c r="O101" s="25"/>
      <c r="P101" s="26"/>
      <c r="T101" s="2"/>
      <c r="U101" s="2"/>
      <c r="V101" s="2"/>
      <c r="W101" s="2"/>
      <c r="X101" s="2"/>
      <c r="Y101" s="2"/>
    </row>
    <row r="102" spans="1:26">
      <c r="A102" s="59" t="s">
        <v>104</v>
      </c>
      <c r="B102" s="45" t="s">
        <v>205</v>
      </c>
      <c r="C102" s="48">
        <f t="shared" si="6"/>
        <v>1391</v>
      </c>
      <c r="D102" s="48">
        <f t="shared" si="7"/>
        <v>616</v>
      </c>
      <c r="E102" s="48">
        <f t="shared" si="8"/>
        <v>775</v>
      </c>
      <c r="F102" s="51"/>
      <c r="G102" s="49">
        <f t="shared" si="9"/>
        <v>769</v>
      </c>
      <c r="H102" s="57">
        <v>360</v>
      </c>
      <c r="I102" s="57">
        <v>409</v>
      </c>
      <c r="J102" s="55"/>
      <c r="K102" s="49">
        <f t="shared" si="10"/>
        <v>622</v>
      </c>
      <c r="L102" s="57">
        <v>256</v>
      </c>
      <c r="M102" s="57">
        <v>366</v>
      </c>
      <c r="N102" s="2"/>
      <c r="O102" s="25"/>
      <c r="P102" s="26"/>
      <c r="T102" s="2"/>
      <c r="U102" s="2"/>
      <c r="V102" s="2"/>
      <c r="W102" s="2"/>
      <c r="X102" s="2"/>
      <c r="Y102" s="2"/>
    </row>
    <row r="103" spans="1:26">
      <c r="A103" s="59" t="s">
        <v>105</v>
      </c>
      <c r="B103" s="45" t="s">
        <v>206</v>
      </c>
      <c r="C103" s="48">
        <f t="shared" si="6"/>
        <v>931</v>
      </c>
      <c r="D103" s="48">
        <f t="shared" si="7"/>
        <v>391</v>
      </c>
      <c r="E103" s="48">
        <f t="shared" si="8"/>
        <v>540</v>
      </c>
      <c r="F103" s="51"/>
      <c r="G103" s="49">
        <f t="shared" si="9"/>
        <v>639</v>
      </c>
      <c r="H103" s="57">
        <v>213</v>
      </c>
      <c r="I103" s="57">
        <v>426</v>
      </c>
      <c r="J103" s="55"/>
      <c r="K103" s="49">
        <f t="shared" si="10"/>
        <v>292</v>
      </c>
      <c r="L103" s="57">
        <v>178</v>
      </c>
      <c r="M103" s="57">
        <v>114</v>
      </c>
      <c r="N103" s="2"/>
      <c r="O103" s="25"/>
      <c r="P103" s="26"/>
      <c r="T103" s="2"/>
      <c r="U103" s="2"/>
      <c r="V103" s="2"/>
      <c r="W103" s="2"/>
      <c r="X103" s="2"/>
      <c r="Y103" s="2"/>
    </row>
    <row r="104" spans="1:26">
      <c r="A104" s="59" t="s">
        <v>106</v>
      </c>
      <c r="B104" s="45" t="s">
        <v>207</v>
      </c>
      <c r="C104" s="48">
        <f t="shared" si="6"/>
        <v>790</v>
      </c>
      <c r="D104" s="48">
        <f t="shared" si="7"/>
        <v>498</v>
      </c>
      <c r="E104" s="48">
        <f t="shared" si="8"/>
        <v>292</v>
      </c>
      <c r="F104" s="51"/>
      <c r="G104" s="49">
        <f t="shared" si="9"/>
        <v>443</v>
      </c>
      <c r="H104" s="57">
        <v>215</v>
      </c>
      <c r="I104" s="57">
        <v>228</v>
      </c>
      <c r="J104" s="55"/>
      <c r="K104" s="49">
        <f t="shared" si="10"/>
        <v>347</v>
      </c>
      <c r="L104" s="57">
        <v>283</v>
      </c>
      <c r="M104" s="57">
        <v>64</v>
      </c>
      <c r="N104" s="2"/>
      <c r="O104" s="25"/>
      <c r="P104" s="26"/>
      <c r="T104" s="2"/>
      <c r="U104" s="2"/>
      <c r="V104" s="2"/>
      <c r="W104" s="2"/>
      <c r="X104" s="2"/>
      <c r="Y104" s="2"/>
    </row>
    <row r="105" spans="1:26" s="27" customFormat="1" ht="18.600000000000001" customHeight="1">
      <c r="A105" s="59" t="s">
        <v>107</v>
      </c>
      <c r="B105" s="45" t="s">
        <v>208</v>
      </c>
      <c r="C105" s="48">
        <f t="shared" si="6"/>
        <v>117</v>
      </c>
      <c r="D105" s="48">
        <f t="shared" si="7"/>
        <v>88</v>
      </c>
      <c r="E105" s="48">
        <f t="shared" si="8"/>
        <v>29</v>
      </c>
      <c r="F105" s="51"/>
      <c r="G105" s="49">
        <f t="shared" si="9"/>
        <v>52</v>
      </c>
      <c r="H105" s="57">
        <v>32</v>
      </c>
      <c r="I105" s="57">
        <v>20</v>
      </c>
      <c r="J105" s="55"/>
      <c r="K105" s="49">
        <f t="shared" si="10"/>
        <v>65</v>
      </c>
      <c r="L105" s="57">
        <v>56</v>
      </c>
      <c r="M105" s="57">
        <v>9</v>
      </c>
      <c r="N105" s="2"/>
      <c r="O105" s="25"/>
      <c r="P105" s="26"/>
      <c r="Q105" s="3"/>
      <c r="R105" s="3"/>
      <c r="S105" s="3"/>
      <c r="T105" s="2"/>
      <c r="U105" s="2"/>
      <c r="V105" s="2"/>
      <c r="W105" s="2"/>
      <c r="X105" s="2"/>
      <c r="Y105" s="2"/>
    </row>
    <row r="106" spans="1:26" ht="15" customHeight="1">
      <c r="A106" s="59" t="s">
        <v>108</v>
      </c>
      <c r="B106" s="45" t="s">
        <v>209</v>
      </c>
      <c r="C106" s="48">
        <f t="shared" si="6"/>
        <v>3902</v>
      </c>
      <c r="D106" s="48">
        <f t="shared" si="7"/>
        <v>1708</v>
      </c>
      <c r="E106" s="48">
        <f t="shared" si="8"/>
        <v>2194</v>
      </c>
      <c r="F106" s="51"/>
      <c r="G106" s="49">
        <f t="shared" si="9"/>
        <v>669</v>
      </c>
      <c r="H106" s="57">
        <v>228</v>
      </c>
      <c r="I106" s="57">
        <v>441</v>
      </c>
      <c r="J106" s="55"/>
      <c r="K106" s="49">
        <f t="shared" si="10"/>
        <v>3233</v>
      </c>
      <c r="L106" s="57">
        <v>1480</v>
      </c>
      <c r="M106" s="57">
        <v>1753</v>
      </c>
      <c r="N106" s="2"/>
      <c r="O106" s="25"/>
      <c r="P106" s="26"/>
      <c r="T106" s="2"/>
      <c r="U106" s="2"/>
      <c r="V106" s="2"/>
      <c r="W106" s="2"/>
      <c r="X106" s="2"/>
      <c r="Y106" s="2"/>
    </row>
    <row r="107" spans="1:26">
      <c r="A107" s="59" t="s">
        <v>109</v>
      </c>
      <c r="B107" s="45" t="s">
        <v>210</v>
      </c>
      <c r="C107" s="48">
        <f t="shared" si="6"/>
        <v>1937</v>
      </c>
      <c r="D107" s="48">
        <f t="shared" si="7"/>
        <v>1088</v>
      </c>
      <c r="E107" s="48">
        <f t="shared" si="8"/>
        <v>849</v>
      </c>
      <c r="F107" s="51"/>
      <c r="G107" s="49">
        <f t="shared" si="9"/>
        <v>651</v>
      </c>
      <c r="H107" s="57">
        <v>397</v>
      </c>
      <c r="I107" s="57">
        <v>254</v>
      </c>
      <c r="J107" s="55"/>
      <c r="K107" s="49">
        <f t="shared" si="10"/>
        <v>1286</v>
      </c>
      <c r="L107" s="57">
        <v>691</v>
      </c>
      <c r="M107" s="57">
        <v>595</v>
      </c>
      <c r="N107" s="2"/>
      <c r="O107" s="25"/>
      <c r="P107" s="26"/>
      <c r="T107" s="2"/>
      <c r="U107" s="2"/>
      <c r="V107" s="2"/>
      <c r="W107" s="2"/>
      <c r="X107" s="2"/>
      <c r="Y107" s="2"/>
    </row>
    <row r="108" spans="1:26">
      <c r="A108" s="59" t="s">
        <v>110</v>
      </c>
      <c r="B108" s="47" t="s">
        <v>211</v>
      </c>
      <c r="C108" s="48">
        <f t="shared" si="6"/>
        <v>394</v>
      </c>
      <c r="D108" s="48">
        <f t="shared" ref="D108:D110" si="11">H108+L108</f>
        <v>168</v>
      </c>
      <c r="E108" s="48">
        <f t="shared" ref="E108:E110" si="12">I108+M108</f>
        <v>226</v>
      </c>
      <c r="F108" s="51"/>
      <c r="G108" s="49">
        <f t="shared" si="9"/>
        <v>101</v>
      </c>
      <c r="H108" s="57">
        <v>60</v>
      </c>
      <c r="I108" s="57">
        <v>41</v>
      </c>
      <c r="J108" s="55"/>
      <c r="K108" s="49">
        <f t="shared" si="10"/>
        <v>293</v>
      </c>
      <c r="L108" s="57">
        <v>108</v>
      </c>
      <c r="M108" s="57">
        <v>185</v>
      </c>
      <c r="N108" s="2"/>
      <c r="O108" s="25"/>
      <c r="P108" s="26"/>
      <c r="Q108" s="2"/>
      <c r="R108" s="2"/>
      <c r="S108" s="2"/>
      <c r="T108" s="2"/>
      <c r="U108" s="2"/>
      <c r="V108" s="2"/>
      <c r="W108" s="2"/>
      <c r="X108" s="2"/>
      <c r="Y108" s="2"/>
    </row>
    <row r="109" spans="1:26" s="10" customFormat="1">
      <c r="A109" s="59" t="s">
        <v>111</v>
      </c>
      <c r="B109" s="32"/>
      <c r="C109" s="48">
        <f t="shared" si="6"/>
        <v>27</v>
      </c>
      <c r="D109" s="48">
        <f t="shared" si="11"/>
        <v>24</v>
      </c>
      <c r="E109" s="48">
        <f t="shared" si="12"/>
        <v>3</v>
      </c>
      <c r="F109" s="51"/>
      <c r="G109" s="49">
        <f t="shared" si="9"/>
        <v>18</v>
      </c>
      <c r="H109" s="57">
        <v>17</v>
      </c>
      <c r="I109" s="57">
        <v>1</v>
      </c>
      <c r="J109" s="55"/>
      <c r="K109" s="49">
        <f t="shared" si="10"/>
        <v>9</v>
      </c>
      <c r="L109" s="57">
        <v>7</v>
      </c>
      <c r="M109" s="57">
        <v>2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3"/>
    </row>
    <row r="110" spans="1:26" s="18" customFormat="1">
      <c r="A110" s="61" t="s">
        <v>112</v>
      </c>
      <c r="B110" s="33"/>
      <c r="C110" s="52">
        <f t="shared" si="6"/>
        <v>22</v>
      </c>
      <c r="D110" s="52">
        <f t="shared" si="11"/>
        <v>16</v>
      </c>
      <c r="E110" s="52">
        <f t="shared" si="12"/>
        <v>6</v>
      </c>
      <c r="F110" s="53"/>
      <c r="G110" s="54">
        <f t="shared" si="9"/>
        <v>22</v>
      </c>
      <c r="H110" s="58">
        <v>16</v>
      </c>
      <c r="I110" s="58">
        <v>6</v>
      </c>
      <c r="J110" s="56"/>
      <c r="K110" s="54">
        <f t="shared" si="10"/>
        <v>0</v>
      </c>
      <c r="L110" s="58">
        <v>0</v>
      </c>
      <c r="M110" s="58">
        <v>0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3"/>
    </row>
    <row r="111" spans="1:26" s="18" customFormat="1" ht="15.75" customHeight="1">
      <c r="A111" s="62" t="s">
        <v>113</v>
      </c>
      <c r="B111" s="33"/>
      <c r="C111" s="34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2"/>
      <c r="O111" s="2"/>
      <c r="P111" s="2"/>
      <c r="Q111" s="3"/>
      <c r="R111" s="3"/>
      <c r="S111" s="3"/>
      <c r="T111" s="2"/>
      <c r="U111" s="2"/>
      <c r="V111" s="2"/>
      <c r="W111" s="2"/>
      <c r="X111" s="2"/>
      <c r="Y111" s="2"/>
      <c r="Z111" s="23"/>
    </row>
    <row r="112" spans="1:26" s="24" customFormat="1" ht="16.899999999999999" customHeight="1">
      <c r="A112" s="2"/>
      <c r="B112" s="2"/>
      <c r="C112" s="2"/>
      <c r="D112" s="3"/>
      <c r="E112" s="3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3"/>
      <c r="S112" s="3"/>
      <c r="T112" s="2"/>
      <c r="U112" s="2"/>
      <c r="V112" s="2"/>
      <c r="W112" s="2"/>
      <c r="X112" s="2"/>
      <c r="Y112" s="2"/>
    </row>
    <row r="113" spans="1:35" ht="16.899999999999999" customHeight="1">
      <c r="A113" s="2"/>
      <c r="B113" s="2"/>
      <c r="C113" s="2"/>
      <c r="D113" s="2"/>
      <c r="E113" s="2"/>
      <c r="F113" s="30"/>
      <c r="G113" s="2"/>
      <c r="H113" s="2"/>
      <c r="I113" s="2"/>
      <c r="J113" s="2"/>
      <c r="K113" s="2"/>
      <c r="L113" s="2"/>
      <c r="M113" s="2"/>
      <c r="N113" s="2"/>
      <c r="O113" s="2"/>
      <c r="P113" s="2"/>
      <c r="T113" s="2"/>
      <c r="U113" s="2"/>
      <c r="V113" s="2"/>
      <c r="W113" s="2"/>
      <c r="X113" s="2"/>
      <c r="Y113" s="2"/>
    </row>
    <row r="114" spans="1:35" ht="16.899999999999999" customHeight="1">
      <c r="A114" s="2"/>
      <c r="B114" s="2"/>
      <c r="C114" s="2"/>
      <c r="D114" s="2"/>
      <c r="E114" s="2"/>
      <c r="F114" s="30"/>
      <c r="G114" s="2"/>
      <c r="H114" s="2"/>
      <c r="I114" s="2"/>
      <c r="J114" s="2"/>
      <c r="K114" s="2"/>
      <c r="L114" s="2"/>
      <c r="M114" s="2"/>
      <c r="N114" s="2"/>
      <c r="O114" s="2"/>
      <c r="P114" s="2"/>
      <c r="T114" s="2"/>
      <c r="U114" s="2"/>
      <c r="V114" s="2"/>
      <c r="W114" s="2"/>
      <c r="X114" s="2"/>
      <c r="Y114" s="2"/>
    </row>
    <row r="115" spans="1:35" ht="16.899999999999999" customHeight="1">
      <c r="A115" s="2"/>
      <c r="B115" s="2"/>
      <c r="C115" s="2"/>
      <c r="D115" s="2"/>
      <c r="E115" s="2"/>
      <c r="F115" s="30"/>
      <c r="G115" s="2"/>
      <c r="H115" s="2"/>
      <c r="I115" s="2"/>
      <c r="J115" s="2"/>
      <c r="K115" s="2"/>
      <c r="L115" s="2"/>
      <c r="M115" s="2"/>
      <c r="N115" s="2"/>
      <c r="O115" s="2"/>
      <c r="P115" s="2"/>
      <c r="T115" s="2"/>
      <c r="U115" s="2"/>
      <c r="V115" s="2"/>
      <c r="W115" s="2"/>
      <c r="X115" s="2"/>
      <c r="Y115" s="2"/>
    </row>
    <row r="116" spans="1:35" ht="16.899999999999999" customHeight="1">
      <c r="A116" s="2"/>
      <c r="B116" s="2"/>
      <c r="C116" s="2"/>
      <c r="D116" s="2"/>
      <c r="E116" s="2"/>
      <c r="F116" s="30"/>
      <c r="G116" s="2"/>
      <c r="H116" s="2"/>
      <c r="I116" s="2"/>
      <c r="J116" s="2"/>
      <c r="K116" s="2"/>
      <c r="L116" s="2"/>
      <c r="M116" s="2"/>
      <c r="N116" s="2"/>
      <c r="O116" s="2"/>
      <c r="P116" s="2"/>
      <c r="T116" s="2"/>
      <c r="U116" s="2"/>
      <c r="V116" s="2"/>
      <c r="W116" s="2"/>
      <c r="X116" s="2"/>
      <c r="Y116" s="2"/>
    </row>
    <row r="117" spans="1:35" ht="16.899999999999999" customHeight="1">
      <c r="A117" s="2"/>
      <c r="B117" s="2"/>
      <c r="C117" s="2"/>
      <c r="D117" s="2"/>
      <c r="E117" s="2"/>
      <c r="F117" s="30"/>
      <c r="G117" s="2"/>
      <c r="H117" s="2"/>
      <c r="I117" s="2"/>
      <c r="J117" s="2"/>
      <c r="K117" s="2"/>
      <c r="L117" s="2"/>
      <c r="M117" s="2"/>
      <c r="N117" s="2"/>
      <c r="O117" s="2"/>
      <c r="P117" s="2"/>
      <c r="T117" s="2"/>
      <c r="U117" s="2"/>
      <c r="V117" s="2"/>
      <c r="W117" s="2"/>
      <c r="X117" s="2"/>
      <c r="Y117" s="2"/>
    </row>
    <row r="118" spans="1:35" ht="16.899999999999999" customHeight="1">
      <c r="A118" s="2"/>
      <c r="B118" s="2"/>
      <c r="C118" s="2"/>
      <c r="D118" s="2"/>
      <c r="E118" s="2"/>
      <c r="F118" s="30"/>
      <c r="G118" s="2"/>
      <c r="H118" s="2"/>
      <c r="I118" s="2"/>
      <c r="J118" s="2"/>
      <c r="K118" s="2"/>
      <c r="L118" s="2"/>
      <c r="M118" s="2"/>
      <c r="N118" s="2"/>
      <c r="O118" s="2"/>
      <c r="P118" s="2"/>
      <c r="T118" s="2"/>
      <c r="U118" s="2"/>
      <c r="V118" s="2"/>
      <c r="W118" s="2"/>
      <c r="X118" s="2"/>
      <c r="Y118" s="2"/>
    </row>
    <row r="119" spans="1:35" ht="16.899999999999999" customHeight="1">
      <c r="A119" s="2"/>
      <c r="B119" s="2"/>
      <c r="C119" s="2"/>
      <c r="D119" s="2"/>
      <c r="E119" s="2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  <c r="T119" s="2"/>
      <c r="U119" s="2"/>
      <c r="V119" s="2"/>
      <c r="W119" s="2"/>
      <c r="X119" s="2"/>
      <c r="Y119" s="2"/>
    </row>
    <row r="120" spans="1:35" ht="16.899999999999999" customHeight="1">
      <c r="A120" s="2"/>
      <c r="B120" s="2"/>
      <c r="C120" s="2"/>
      <c r="D120" s="2"/>
      <c r="E120" s="2"/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  <c r="T120" s="2"/>
      <c r="U120" s="2"/>
      <c r="V120" s="2"/>
      <c r="W120" s="2"/>
      <c r="X120" s="2"/>
      <c r="Y120" s="2"/>
    </row>
    <row r="121" spans="1:35" ht="16.899999999999999" customHeight="1">
      <c r="A121" s="2"/>
      <c r="B121" s="2"/>
      <c r="C121" s="2"/>
      <c r="D121" s="2"/>
      <c r="E121" s="2"/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  <c r="T121" s="2"/>
      <c r="U121" s="2"/>
      <c r="V121" s="2"/>
      <c r="W121" s="2"/>
      <c r="X121" s="2"/>
      <c r="Y121" s="2"/>
    </row>
    <row r="122" spans="1:35" ht="16.899999999999999" customHeight="1">
      <c r="A122" s="29"/>
      <c r="B122" s="27"/>
      <c r="C122" s="36"/>
      <c r="D122" s="27"/>
      <c r="E122" s="27"/>
      <c r="F122" s="30"/>
      <c r="G122" s="30"/>
      <c r="H122" s="30"/>
      <c r="I122" s="30"/>
      <c r="J122" s="30"/>
      <c r="K122" s="30"/>
      <c r="L122" s="30"/>
      <c r="M122" s="30"/>
      <c r="N122" s="27"/>
      <c r="O122" s="27"/>
      <c r="P122" s="27"/>
      <c r="Q122" s="2"/>
      <c r="R122" s="2"/>
      <c r="S122" s="2"/>
      <c r="T122" s="27"/>
      <c r="U122" s="27"/>
      <c r="V122" s="27"/>
      <c r="W122" s="27"/>
      <c r="X122" s="27"/>
      <c r="Y122" s="27"/>
    </row>
    <row r="123" spans="1:35" ht="16.899999999999999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V123" s="2"/>
      <c r="W123" s="2"/>
      <c r="X123" s="2"/>
      <c r="Y123" s="2"/>
      <c r="AG123" s="3" t="s">
        <v>10</v>
      </c>
      <c r="AH123" s="3" t="s">
        <v>11</v>
      </c>
      <c r="AI123" s="3" t="s">
        <v>12</v>
      </c>
    </row>
    <row r="124" spans="1:35" ht="16.899999999999999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V124" s="2"/>
      <c r="W124" s="2"/>
      <c r="X124" s="2"/>
      <c r="Y124" s="2"/>
      <c r="AF124" s="3" t="s">
        <v>216</v>
      </c>
      <c r="AG124" s="40">
        <v>9277</v>
      </c>
      <c r="AH124" s="39">
        <v>2301</v>
      </c>
      <c r="AI124" s="39">
        <v>6976</v>
      </c>
    </row>
    <row r="125" spans="1:35" ht="16.899999999999999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V125" s="2"/>
      <c r="W125" s="2"/>
      <c r="X125" s="2"/>
      <c r="Y125" s="2"/>
      <c r="AF125" s="3" t="s">
        <v>217</v>
      </c>
      <c r="AG125" s="40">
        <v>603</v>
      </c>
      <c r="AH125" s="40">
        <v>364</v>
      </c>
      <c r="AI125" s="40">
        <v>239</v>
      </c>
    </row>
    <row r="126" spans="1:35" ht="16.89999999999999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V126" s="2"/>
      <c r="W126" s="2"/>
      <c r="X126" s="2"/>
      <c r="Y126" s="2"/>
      <c r="AF126" s="3" t="s">
        <v>218</v>
      </c>
      <c r="AG126" s="40">
        <v>6261</v>
      </c>
      <c r="AH126" s="40">
        <v>2311</v>
      </c>
      <c r="AI126" s="40">
        <v>3950</v>
      </c>
    </row>
    <row r="127" spans="1:35" ht="16.899999999999999" customHeight="1">
      <c r="A127" s="2"/>
      <c r="B127" s="33"/>
      <c r="C127" s="34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2"/>
      <c r="O127" s="2"/>
      <c r="P127" s="2"/>
      <c r="Q127" s="2"/>
      <c r="R127" s="2"/>
      <c r="S127" s="2"/>
      <c r="V127" s="2"/>
      <c r="W127" s="2"/>
      <c r="X127" s="2"/>
      <c r="Y127" s="2"/>
      <c r="AF127" s="3" t="s">
        <v>219</v>
      </c>
      <c r="AG127" s="40">
        <v>6260</v>
      </c>
      <c r="AH127" s="40">
        <v>1593</v>
      </c>
      <c r="AI127" s="40">
        <v>1636</v>
      </c>
    </row>
    <row r="128" spans="1:35">
      <c r="AF128" s="3" t="s">
        <v>220</v>
      </c>
      <c r="AG128" s="40">
        <v>3229</v>
      </c>
      <c r="AH128" s="40">
        <v>2988</v>
      </c>
      <c r="AI128" s="40">
        <v>3272</v>
      </c>
    </row>
    <row r="129" spans="32:35">
      <c r="AF129" s="3" t="s">
        <v>221</v>
      </c>
      <c r="AG129" s="40">
        <v>22</v>
      </c>
      <c r="AH129" s="40">
        <v>16</v>
      </c>
      <c r="AI129" s="40">
        <v>6</v>
      </c>
    </row>
    <row r="130" spans="32:35">
      <c r="AG130" s="40">
        <v>25652</v>
      </c>
      <c r="AH130" s="40">
        <v>9573</v>
      </c>
      <c r="AI130" s="40">
        <v>16079</v>
      </c>
    </row>
  </sheetData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7" right="0.7" top="0.75" bottom="0.75" header="0.3" footer="0.3"/>
  <pageSetup paperSize="9" scale="66" orientation="portrait" horizontalDpi="4294967295" verticalDpi="4294967295" r:id="rId1"/>
  <rowBreaks count="1" manualBreakCount="1">
    <brk id="60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2020-06-26T16:52:13Z</cp:lastPrinted>
  <dcterms:created xsi:type="dcterms:W3CDTF">2019-06-03T04:17:39Z</dcterms:created>
  <dcterms:modified xsi:type="dcterms:W3CDTF">2020-06-26T16:52:40Z</dcterms:modified>
</cp:coreProperties>
</file>