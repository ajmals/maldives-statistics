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5. EMPLOYMENT\"/>
    </mc:Choice>
  </mc:AlternateContent>
  <bookViews>
    <workbookView xWindow="0" yWindow="0" windowWidth="28800" windowHeight="12435" tabRatio="692"/>
  </bookViews>
  <sheets>
    <sheet name="5.9" sheetId="8" r:id="rId1"/>
  </sheets>
  <externalReferences>
    <externalReference r:id="rId2"/>
  </externalReferences>
  <definedNames>
    <definedName name="_xlnm.Print_Area" localSheetId="0">'5.9'!$A$1:$H$42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F38" i="8" l="1"/>
  <c r="H7" i="8"/>
  <c r="G27" i="8"/>
  <c r="G26" i="8" s="1"/>
  <c r="G25" i="8" s="1"/>
  <c r="G24" i="8" s="1"/>
  <c r="G23" i="8" s="1"/>
  <c r="G22" i="8" s="1"/>
  <c r="G21" i="8" s="1"/>
  <c r="G20" i="8" s="1"/>
  <c r="G19" i="8" s="1"/>
  <c r="G18" i="8" s="1"/>
  <c r="G17" i="8" s="1"/>
  <c r="G16" i="8" s="1"/>
  <c r="G15" i="8" s="1"/>
  <c r="G14" i="8" s="1"/>
  <c r="G13" i="8" s="1"/>
  <c r="G12" i="8" s="1"/>
  <c r="G11" i="8" s="1"/>
  <c r="G10" i="8" s="1"/>
  <c r="G9" i="8" s="1"/>
  <c r="G8" i="8" s="1"/>
  <c r="B6" i="8" l="1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D7" i="8"/>
  <c r="D5" i="8" s="1"/>
  <c r="E7" i="8"/>
  <c r="E5" i="8" s="1"/>
  <c r="F7" i="8"/>
  <c r="F5" i="8" s="1"/>
  <c r="G7" i="8"/>
  <c r="G5" i="8" s="1"/>
  <c r="H5" i="8"/>
  <c r="C7" i="8"/>
  <c r="C5" i="8" s="1"/>
  <c r="B7" i="8" l="1"/>
  <c r="B5" i="8" s="1"/>
  <c r="Z38" i="8" l="1"/>
  <c r="Z37" i="8"/>
  <c r="AE38" i="8" l="1"/>
  <c r="AD38" i="8"/>
  <c r="AC38" i="8"/>
  <c r="AB38" i="8"/>
  <c r="AA38" i="8"/>
  <c r="AF37" i="8"/>
  <c r="AE37" i="8"/>
  <c r="AD37" i="8"/>
  <c r="AC37" i="8"/>
  <c r="AB37" i="8"/>
  <c r="AA37" i="8"/>
</calcChain>
</file>

<file path=xl/sharedStrings.xml><?xml version="1.0" encoding="utf-8"?>
<sst xmlns="http://schemas.openxmlformats.org/spreadsheetml/2006/main" count="64" uniqueCount="38">
  <si>
    <t>Total</t>
  </si>
  <si>
    <t>Source: Civil Service Commision</t>
  </si>
  <si>
    <t>މަޢުލޫމާތު ދެއްވި ފަރާތް: ސިވިލް ސަރވިސް ކޮމިޝަން</t>
  </si>
  <si>
    <t>Locality</t>
  </si>
  <si>
    <t>REPUBLIC</t>
  </si>
  <si>
    <t>MALE'</t>
  </si>
  <si>
    <t xml:space="preserve"> North Thiladhunmathi (HA)</t>
  </si>
  <si>
    <t xml:space="preserve"> South Thiladhunmathi (HDh)</t>
  </si>
  <si>
    <t xml:space="preserve"> North Miladhunmadulu (Sh)</t>
  </si>
  <si>
    <t xml:space="preserve"> South Miladhunmadulu (N)</t>
  </si>
  <si>
    <t xml:space="preserve"> North Maalhosmadulu (R)</t>
  </si>
  <si>
    <t xml:space="preserve"> South Maalhosmadulu (B)</t>
  </si>
  <si>
    <t xml:space="preserve"> Faadhippolhu (Lh)</t>
  </si>
  <si>
    <t xml:space="preserve"> Male' Atoll (K)</t>
  </si>
  <si>
    <t xml:space="preserve"> North Ari Atoll (AA)</t>
  </si>
  <si>
    <t xml:space="preserve"> South Ari Atoll (ADh)</t>
  </si>
  <si>
    <t xml:space="preserve"> Felidhu Atoll (V)</t>
  </si>
  <si>
    <t xml:space="preserve"> Mulakatholhu (M)</t>
  </si>
  <si>
    <t xml:space="preserve"> North Nilandhe Atoll (F)</t>
  </si>
  <si>
    <t xml:space="preserve"> South Nilandhe Atoll (D)</t>
  </si>
  <si>
    <t xml:space="preserve"> Kolhumadulu (Th)</t>
  </si>
  <si>
    <t xml:space="preserve"> Hadhdhunmathi (L)</t>
  </si>
  <si>
    <t xml:space="preserve"> North Huvadhu Atoll (GA)</t>
  </si>
  <si>
    <t xml:space="preserve"> South Huvadhu Atoll (GDh)</t>
  </si>
  <si>
    <t xml:space="preserve"> Fuvahmulah (Gn)</t>
  </si>
  <si>
    <t xml:space="preserve"> Addu Atoll (S)</t>
  </si>
  <si>
    <t>Schools</t>
  </si>
  <si>
    <t>Hospitals</t>
  </si>
  <si>
    <t xml:space="preserve">           Atoll  /  City Councils</t>
  </si>
  <si>
    <t>Island Councils</t>
  </si>
  <si>
    <t>Government Ministries</t>
  </si>
  <si>
    <t>other offices</t>
  </si>
  <si>
    <t>All ATOLL</t>
  </si>
  <si>
    <t>City / Atoll Councils</t>
  </si>
  <si>
    <t xml:space="preserve"> ATOLL</t>
  </si>
  <si>
    <t>-</t>
  </si>
  <si>
    <t>Table 5.9: Civil Servants Classified by sector, 2019</t>
  </si>
  <si>
    <t>ތާވަލު 5.9: ވަޒީފާ އަދާކުރާ ދާއިރާގެ ގޮތުން ސިވިލް ސަރވަންޓުން ބެހިފައިވާ ގޮތް،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</si>
</sst>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General_)"/>
    <numFmt numFmtId="166" formatCode="_(* #,##0_);_(* \(#,##0\);_(* &quot;-&quot;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9"/>
      <name val="Faruma"/>
    </font>
    <font>
      <b/>
      <sz val="11"/>
      <color theme="1"/>
      <name val="Faruma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name val="MS Sans Serif"/>
      <family val="2"/>
    </font>
    <font>
      <sz val="11"/>
      <color theme="1"/>
      <name val="Calibri"/>
      <family val="2"/>
      <charset val="1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E2EFD9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13" fillId="0" borderId="0"/>
    <xf numFmtId="0" fontId="4" fillId="0" borderId="0"/>
    <xf numFmtId="43" fontId="4" fillId="0" borderId="0" applyFont="0" applyFill="0" applyBorder="0" applyAlignment="0" applyProtection="0"/>
    <xf numFmtId="0" fontId="14" fillId="0" borderId="0"/>
  </cellStyleXfs>
  <cellXfs count="43">
    <xf numFmtId="0" fontId="0" fillId="0" borderId="0" xfId="0"/>
    <xf numFmtId="0" fontId="0" fillId="2" borderId="0" xfId="0" applyFill="1"/>
    <xf numFmtId="0" fontId="0" fillId="2" borderId="0" xfId="0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0" fillId="2" borderId="0" xfId="0" applyFill="1" applyAlignment="1">
      <alignment horizontal="left"/>
    </xf>
    <xf numFmtId="0" fontId="0" fillId="2" borderId="0" xfId="0" applyFill="1" applyBorder="1"/>
    <xf numFmtId="3" fontId="8" fillId="2" borderId="0" xfId="3" applyNumberFormat="1" applyFont="1" applyFill="1" applyBorder="1" applyAlignment="1" applyProtection="1">
      <alignment horizontal="right" vertical="center"/>
    </xf>
    <xf numFmtId="0" fontId="2" fillId="2" borderId="0" xfId="0" applyFont="1" applyFill="1"/>
    <xf numFmtId="0" fontId="3" fillId="2" borderId="0" xfId="0" applyFont="1" applyFill="1"/>
    <xf numFmtId="0" fontId="6" fillId="2" borderId="0" xfId="4" applyFont="1" applyFill="1" applyBorder="1" applyAlignment="1" applyProtection="1">
      <alignment horizontal="left" vertical="center" indent="2"/>
    </xf>
    <xf numFmtId="0" fontId="6" fillId="2" borderId="2" xfId="4" applyFont="1" applyFill="1" applyBorder="1" applyAlignment="1" applyProtection="1">
      <alignment horizontal="left" vertical="center" indent="2"/>
    </xf>
    <xf numFmtId="0" fontId="0" fillId="2" borderId="0" xfId="0" applyFill="1" applyAlignment="1">
      <alignment vertical="center"/>
    </xf>
    <xf numFmtId="0" fontId="3" fillId="2" borderId="0" xfId="0" applyFont="1" applyFill="1" applyAlignment="1">
      <alignment vertical="center"/>
    </xf>
    <xf numFmtId="0" fontId="9" fillId="2" borderId="0" xfId="0" applyFont="1" applyFill="1" applyAlignment="1">
      <alignment vertical="center"/>
    </xf>
    <xf numFmtId="0" fontId="2" fillId="2" borderId="0" xfId="0" applyFont="1" applyFill="1" applyBorder="1"/>
    <xf numFmtId="0" fontId="3" fillId="2" borderId="3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right" vertical="center" wrapText="1"/>
    </xf>
    <xf numFmtId="0" fontId="3" fillId="2" borderId="0" xfId="0" applyFont="1" applyFill="1" applyBorder="1" applyAlignment="1">
      <alignment horizontal="left" indent="1"/>
    </xf>
    <xf numFmtId="166" fontId="3" fillId="2" borderId="0" xfId="1" applyNumberFormat="1" applyFont="1" applyFill="1" applyBorder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166" fontId="3" fillId="2" borderId="0" xfId="1" applyNumberFormat="1" applyFont="1" applyFill="1" applyBorder="1" applyAlignment="1">
      <alignment vertical="center"/>
    </xf>
    <xf numFmtId="166" fontId="0" fillId="2" borderId="0" xfId="1" applyNumberFormat="1" applyFont="1" applyFill="1" applyBorder="1" applyAlignment="1">
      <alignment vertical="center"/>
    </xf>
    <xf numFmtId="166" fontId="1" fillId="2" borderId="0" xfId="1" applyNumberFormat="1" applyFont="1" applyFill="1" applyBorder="1" applyAlignment="1">
      <alignment vertical="center"/>
    </xf>
    <xf numFmtId="0" fontId="7" fillId="2" borderId="4" xfId="2" applyFont="1" applyFill="1" applyBorder="1" applyAlignment="1">
      <alignment vertical="center"/>
    </xf>
    <xf numFmtId="166" fontId="3" fillId="2" borderId="0" xfId="0" applyNumberFormat="1" applyFont="1" applyFill="1" applyBorder="1" applyAlignment="1">
      <alignment vertical="center"/>
    </xf>
    <xf numFmtId="0" fontId="0" fillId="2" borderId="0" xfId="0" applyFill="1" applyAlignment="1">
      <alignment horizontal="center" vertical="center" wrapText="1"/>
    </xf>
    <xf numFmtId="0" fontId="3" fillId="2" borderId="0" xfId="0" applyFont="1" applyFill="1" applyAlignment="1">
      <alignment horizontal="left" indent="1"/>
    </xf>
    <xf numFmtId="0" fontId="0" fillId="2" borderId="0" xfId="0" applyFill="1" applyBorder="1" applyAlignment="1">
      <alignment horizontal="left"/>
    </xf>
    <xf numFmtId="166" fontId="3" fillId="2" borderId="2" xfId="1" applyNumberFormat="1" applyFont="1" applyFill="1" applyBorder="1" applyAlignment="1">
      <alignment vertical="center" wrapText="1"/>
    </xf>
    <xf numFmtId="166" fontId="12" fillId="3" borderId="0" xfId="0" applyNumberFormat="1" applyFont="1" applyFill="1" applyBorder="1" applyAlignment="1">
      <alignment vertical="center"/>
    </xf>
    <xf numFmtId="166" fontId="11" fillId="3" borderId="0" xfId="0" applyNumberFormat="1" applyFont="1" applyFill="1" applyBorder="1" applyAlignment="1">
      <alignment vertical="center" wrapText="1"/>
    </xf>
    <xf numFmtId="166" fontId="3" fillId="2" borderId="1" xfId="1" applyNumberFormat="1" applyFont="1" applyFill="1" applyBorder="1" applyAlignment="1">
      <alignment vertical="center" wrapText="1"/>
    </xf>
    <xf numFmtId="166" fontId="11" fillId="3" borderId="2" xfId="0" applyNumberFormat="1" applyFont="1" applyFill="1" applyBorder="1" applyAlignment="1">
      <alignment vertical="center" wrapText="1"/>
    </xf>
    <xf numFmtId="166" fontId="12" fillId="3" borderId="0" xfId="0" applyNumberFormat="1" applyFont="1" applyFill="1" applyBorder="1" applyAlignment="1">
      <alignment horizontal="left" vertical="center" indent="7"/>
    </xf>
    <xf numFmtId="166" fontId="11" fillId="3" borderId="0" xfId="0" applyNumberFormat="1" applyFont="1" applyFill="1" applyBorder="1" applyAlignment="1">
      <alignment horizontal="left" vertical="center" wrapText="1" indent="2"/>
    </xf>
    <xf numFmtId="166" fontId="11" fillId="3" borderId="0" xfId="0" applyNumberFormat="1" applyFont="1" applyFill="1" applyBorder="1" applyAlignment="1">
      <alignment horizontal="right" vertical="center" wrapText="1" indent="1"/>
    </xf>
    <xf numFmtId="166" fontId="3" fillId="2" borderId="2" xfId="1" applyNumberFormat="1" applyFont="1" applyFill="1" applyBorder="1" applyAlignment="1">
      <alignment vertical="center"/>
    </xf>
    <xf numFmtId="166" fontId="11" fillId="3" borderId="2" xfId="0" applyNumberFormat="1" applyFont="1" applyFill="1" applyBorder="1" applyAlignment="1">
      <alignment horizontal="right" vertical="center" wrapText="1" indent="1"/>
    </xf>
    <xf numFmtId="166" fontId="12" fillId="3" borderId="2" xfId="0" applyNumberFormat="1" applyFont="1" applyFill="1" applyBorder="1" applyAlignment="1">
      <alignment horizontal="left" vertical="center" indent="7"/>
    </xf>
    <xf numFmtId="166" fontId="0" fillId="2" borderId="0" xfId="1" applyNumberFormat="1" applyFont="1" applyFill="1" applyAlignment="1">
      <alignment vertical="center"/>
    </xf>
    <xf numFmtId="0" fontId="9" fillId="2" borderId="0" xfId="0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horizontal="center" vertical="center"/>
    </xf>
  </cellXfs>
  <cellStyles count="10">
    <cellStyle name="Comma" xfId="1" builtinId="3"/>
    <cellStyle name="Comma 3" xfId="8"/>
    <cellStyle name="Normal" xfId="0" builtinId="0"/>
    <cellStyle name="Normal 11" xfId="9"/>
    <cellStyle name="Normal 2" xfId="5"/>
    <cellStyle name="Normal 4" xfId="6"/>
    <cellStyle name="Normal 5" xfId="7"/>
    <cellStyle name="Normal_II-16(Populaion)" xfId="3"/>
    <cellStyle name="Normal_immunization" xfId="4"/>
    <cellStyle name="Normal_po" xfId="2"/>
  </cellStyles>
  <dxfs count="0"/>
  <tableStyles count="0" defaultTableStyle="TableStyleMedium2" defaultPivotStyle="PivotStyleLight16"/>
  <colors>
    <mruColors>
      <color rgb="FF976431"/>
      <color rgb="FFD0A172"/>
      <color rgb="FFF9F2EB"/>
      <color rgb="FFE5CBB1"/>
      <color rgb="FF964B00"/>
      <color rgb="FFF5EADF"/>
      <color rgb="FFEBD7C3"/>
      <color rgb="FFFFEFC1"/>
      <color rgb="FFFFFAEB"/>
      <color rgb="FFFFFD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9443035722229632E-2"/>
          <c:y val="0.17527656026859695"/>
          <c:w val="0.90719056304402623"/>
          <c:h val="0.66696728411132011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'5.9'!$Y$37</c:f>
              <c:strCache>
                <c:ptCount val="1"/>
                <c:pt idx="0">
                  <c:v>MALE'</c:v>
                </c:pt>
              </c:strCache>
            </c:strRef>
          </c:tx>
          <c:spPr>
            <a:solidFill>
              <a:srgbClr val="D0A172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'5.9'!$AA$36:$AF$36</c:f>
              <c:strCache>
                <c:ptCount val="6"/>
                <c:pt idx="0">
                  <c:v>Schools</c:v>
                </c:pt>
                <c:pt idx="1">
                  <c:v>Hospitals</c:v>
                </c:pt>
                <c:pt idx="2">
                  <c:v>City / Atoll Councils</c:v>
                </c:pt>
                <c:pt idx="3">
                  <c:v>Island Councils</c:v>
                </c:pt>
                <c:pt idx="4">
                  <c:v>Government Ministries</c:v>
                </c:pt>
                <c:pt idx="5">
                  <c:v>other offices</c:v>
                </c:pt>
              </c:strCache>
            </c:strRef>
          </c:cat>
          <c:val>
            <c:numRef>
              <c:f>'5.9'!$AA$37:$AF$37</c:f>
              <c:numCache>
                <c:formatCode>_(* #,##0_);_(* \(#,##0\);_(* "-"??_);_(@_)</c:formatCode>
                <c:ptCount val="6"/>
                <c:pt idx="0">
                  <c:v>1770</c:v>
                </c:pt>
                <c:pt idx="1">
                  <c:v>1895</c:v>
                </c:pt>
                <c:pt idx="2">
                  <c:v>313</c:v>
                </c:pt>
                <c:pt idx="3">
                  <c:v>0</c:v>
                </c:pt>
                <c:pt idx="4">
                  <c:v>2972</c:v>
                </c:pt>
                <c:pt idx="5">
                  <c:v>2330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A95-4F60-BED7-35477A829E47}"/>
            </c:ext>
          </c:extLst>
        </c:ser>
        <c:ser>
          <c:idx val="0"/>
          <c:order val="1"/>
          <c:tx>
            <c:strRef>
              <c:f>'5.9'!$Y$38</c:f>
              <c:strCache>
                <c:ptCount val="1"/>
                <c:pt idx="0">
                  <c:v> ATOLL</c:v>
                </c:pt>
              </c:strCache>
            </c:strRef>
          </c:tx>
          <c:spPr>
            <a:solidFill>
              <a:srgbClr val="976431"/>
            </a:solidFill>
          </c:spPr>
          <c:invertIfNegative val="0"/>
          <c:dLbls>
            <c:dLbl>
              <c:idx val="2"/>
              <c:layout>
                <c:manualLayout>
                  <c:x val="3.766478342749529E-3"/>
                  <c:y val="-6.654190060303596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1.8832391713746264E-3"/>
                  <c:y val="-3.74298190892078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'5.9'!$AA$36:$AF$36</c:f>
              <c:strCache>
                <c:ptCount val="6"/>
                <c:pt idx="0">
                  <c:v>Schools</c:v>
                </c:pt>
                <c:pt idx="1">
                  <c:v>Hospitals</c:v>
                </c:pt>
                <c:pt idx="2">
                  <c:v>City / Atoll Councils</c:v>
                </c:pt>
                <c:pt idx="3">
                  <c:v>Island Councils</c:v>
                </c:pt>
                <c:pt idx="4">
                  <c:v>Government Ministries</c:v>
                </c:pt>
                <c:pt idx="5">
                  <c:v>other offices</c:v>
                </c:pt>
              </c:strCache>
            </c:strRef>
          </c:cat>
          <c:val>
            <c:numRef>
              <c:f>'5.9'!$AA$38:$AF$38</c:f>
              <c:numCache>
                <c:formatCode>_(* #,##0_);_(* \(#,##0\);_(* "-"??_);_(@_)</c:formatCode>
                <c:ptCount val="6"/>
                <c:pt idx="0">
                  <c:v>7746</c:v>
                </c:pt>
                <c:pt idx="1">
                  <c:v>5098</c:v>
                </c:pt>
                <c:pt idx="2">
                  <c:v>951</c:v>
                </c:pt>
                <c:pt idx="3">
                  <c:v>2388</c:v>
                </c:pt>
                <c:pt idx="4">
                  <c:v>0</c:v>
                </c:pt>
                <c:pt idx="5">
                  <c:v>189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9A95-4F60-BED7-35477A829E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2"/>
        <c:overlap val="100"/>
        <c:axId val="372098240"/>
        <c:axId val="372098632"/>
      </c:barChart>
      <c:catAx>
        <c:axId val="3720982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372098632"/>
        <c:crosses val="autoZero"/>
        <c:auto val="1"/>
        <c:lblAlgn val="ctr"/>
        <c:lblOffset val="100"/>
        <c:noMultiLvlLbl val="0"/>
      </c:catAx>
      <c:valAx>
        <c:axId val="372098632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numFmt formatCode="#,##0" sourceLinked="0"/>
        <c:majorTickMark val="none"/>
        <c:minorTickMark val="none"/>
        <c:tickLblPos val="nextTo"/>
        <c:crossAx val="372098240"/>
        <c:crosses val="autoZero"/>
        <c:crossBetween val="between"/>
      </c:valAx>
      <c:spPr>
        <a:ln>
          <a:solidFill>
            <a:schemeClr val="tx1">
              <a:lumMod val="50000"/>
              <a:lumOff val="50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67398291458498849"/>
          <c:y val="0.24365049351497398"/>
          <c:w val="0.23183478754344897"/>
          <c:h val="8.9707786526684152E-2"/>
        </c:manualLayout>
      </c:layout>
      <c:overlay val="0"/>
    </c:legend>
    <c:plotVisOnly val="1"/>
    <c:dispBlanksAs val="gap"/>
    <c:showDLblsOverMax val="0"/>
  </c:chart>
  <c:spPr>
    <a:solidFill>
      <a:srgbClr val="F9F2EB"/>
    </a:solidFill>
  </c:spPr>
  <c:printSettings>
    <c:headerFooter/>
    <c:pageMargins b="0.75" l="0.7" r="0.7" t="0.75" header="0.3" footer="0.3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447675</xdr:colOff>
      <xdr:row>28</xdr:row>
      <xdr:rowOff>127634</xdr:rowOff>
    </xdr:from>
    <xdr:to>
      <xdr:col>7</xdr:col>
      <xdr:colOff>219075</xdr:colOff>
      <xdr:row>41</xdr:row>
      <xdr:rowOff>133349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0.21351</cdr:x>
      <cdr:y>0.11704</cdr:y>
    </cdr:from>
    <cdr:to>
      <cdr:x>0.74054</cdr:x>
      <cdr:y>0.39259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03960" y="300990"/>
          <a:ext cx="2971800" cy="7086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0.25037</cdr:x>
      <cdr:y>0.32314</cdr:y>
    </cdr:from>
    <cdr:to>
      <cdr:x>0.97168</cdr:x>
      <cdr:y>0.53525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1600200" y="986791"/>
          <a:ext cx="4610100" cy="647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0.07884</cdr:x>
      <cdr:y>0.04368</cdr:y>
    </cdr:from>
    <cdr:to>
      <cdr:x>0.93644</cdr:x>
      <cdr:y>0.12041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531670" y="133381"/>
          <a:ext cx="5783397" cy="23431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5.11: Number of Civil Servants by sector for Male' &amp; Atolls, </a:t>
          </a:r>
          <a:r>
            <a:rPr lang="en-US" sz="1100" b="1" i="0" baseline="0">
              <a:solidFill>
                <a:schemeClr val="tx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2019</a:t>
          </a:r>
          <a:endParaRPr lang="en-US" sz="1100">
            <a:solidFill>
              <a:schemeClr val="tx1"/>
            </a:solidFill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1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ohamed/Desktop/yearbook%202020%20=update/Checking/5.%20EMPLOYMENT_%20CSC-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.1"/>
      <sheetName val="5.2"/>
      <sheetName val="5.3"/>
      <sheetName val="new table"/>
      <sheetName val="5.4"/>
      <sheetName val="5.5"/>
      <sheetName val="5.6"/>
      <sheetName val="5.7"/>
      <sheetName val="5.8"/>
    </sheetNames>
    <sheetDataSet>
      <sheetData sheetId="0"/>
      <sheetData sheetId="1"/>
      <sheetData sheetId="2"/>
      <sheetData sheetId="3">
        <row r="73">
          <cell r="A73" t="str">
            <v>Alifushi</v>
          </cell>
          <cell r="C73">
            <v>39</v>
          </cell>
          <cell r="D73">
            <v>72</v>
          </cell>
        </row>
        <row r="74">
          <cell r="A74" t="str">
            <v>Angolhitheemu</v>
          </cell>
          <cell r="C74">
            <v>18</v>
          </cell>
          <cell r="D74">
            <v>15</v>
          </cell>
        </row>
        <row r="75">
          <cell r="A75" t="str">
            <v>Dhuvaafaru</v>
          </cell>
          <cell r="C75">
            <v>35</v>
          </cell>
          <cell r="D75">
            <v>64</v>
          </cell>
        </row>
        <row r="76">
          <cell r="A76" t="str">
            <v>Fainu</v>
          </cell>
          <cell r="C76">
            <v>29</v>
          </cell>
          <cell r="D76">
            <v>14</v>
          </cell>
        </row>
        <row r="77">
          <cell r="A77" t="str">
            <v>Hulhudhuffaaru</v>
          </cell>
          <cell r="C77">
            <v>48</v>
          </cell>
          <cell r="D77">
            <v>53</v>
          </cell>
        </row>
        <row r="78">
          <cell r="A78" t="str">
            <v>Inguraidhoo</v>
          </cell>
          <cell r="C78">
            <v>24</v>
          </cell>
          <cell r="D78">
            <v>61</v>
          </cell>
        </row>
        <row r="79">
          <cell r="A79" t="str">
            <v>Innamaadhoo</v>
          </cell>
          <cell r="C79">
            <v>21</v>
          </cell>
          <cell r="D79">
            <v>37</v>
          </cell>
        </row>
        <row r="80">
          <cell r="A80" t="str">
            <v>Kinolhas</v>
          </cell>
          <cell r="C80">
            <v>25</v>
          </cell>
          <cell r="D80">
            <v>24</v>
          </cell>
        </row>
        <row r="81">
          <cell r="A81" t="str">
            <v>Maakurathu</v>
          </cell>
          <cell r="C81">
            <v>17</v>
          </cell>
          <cell r="D81">
            <v>45</v>
          </cell>
        </row>
        <row r="82">
          <cell r="A82" t="str">
            <v>Maduvvari</v>
          </cell>
          <cell r="C82">
            <v>33</v>
          </cell>
          <cell r="D82">
            <v>67</v>
          </cell>
        </row>
        <row r="83">
          <cell r="A83" t="str">
            <v>Meedhoo</v>
          </cell>
          <cell r="C83">
            <v>25</v>
          </cell>
          <cell r="D83">
            <v>24</v>
          </cell>
        </row>
        <row r="84">
          <cell r="A84" t="str">
            <v>Rasgetheemu</v>
          </cell>
          <cell r="C84">
            <v>22</v>
          </cell>
          <cell r="D84">
            <v>28</v>
          </cell>
        </row>
        <row r="85">
          <cell r="A85" t="str">
            <v>Rasmaadhoo</v>
          </cell>
          <cell r="C85">
            <v>23</v>
          </cell>
          <cell r="D85">
            <v>33</v>
          </cell>
        </row>
        <row r="86">
          <cell r="A86" t="str">
            <v>Ungoofaaru</v>
          </cell>
          <cell r="C86">
            <v>166</v>
          </cell>
          <cell r="D86">
            <v>207</v>
          </cell>
        </row>
        <row r="87">
          <cell r="A87" t="str">
            <v>Vaadhoo</v>
          </cell>
          <cell r="C87">
            <v>25</v>
          </cell>
          <cell r="D87">
            <v>15</v>
          </cell>
        </row>
      </sheetData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8"/>
  <sheetViews>
    <sheetView tabSelected="1" zoomScaleNormal="100" workbookViewId="0">
      <selection activeCell="M13" sqref="M13"/>
    </sheetView>
  </sheetViews>
  <sheetFormatPr defaultRowHeight="15" x14ac:dyDescent="0.25"/>
  <cols>
    <col min="1" max="1" width="27.28515625" style="1" customWidth="1"/>
    <col min="2" max="2" width="11" style="1" customWidth="1"/>
    <col min="3" max="4" width="12.42578125" style="26" customWidth="1"/>
    <col min="5" max="5" width="13" style="26" customWidth="1"/>
    <col min="6" max="6" width="13.140625" style="26" customWidth="1"/>
    <col min="7" max="7" width="15.28515625" style="26" customWidth="1"/>
    <col min="8" max="8" width="10.85546875" style="26" customWidth="1"/>
    <col min="9" max="9" width="9.5703125" style="26" customWidth="1"/>
    <col min="10" max="10" width="4" style="26" customWidth="1"/>
    <col min="11" max="11" width="5" style="26" customWidth="1"/>
    <col min="12" max="12" width="5.85546875" style="26" customWidth="1"/>
    <col min="13" max="22" width="12.42578125" style="26" customWidth="1"/>
    <col min="23" max="25" width="9.140625" style="1"/>
    <col min="26" max="26" width="10.5703125" style="1" bestFit="1" customWidth="1"/>
    <col min="27" max="28" width="9.5703125" style="1" bestFit="1" customWidth="1"/>
    <col min="29" max="29" width="9.28515625" style="1" bestFit="1" customWidth="1"/>
    <col min="30" max="32" width="9.5703125" style="1" bestFit="1" customWidth="1"/>
    <col min="33" max="16384" width="9.140625" style="1"/>
  </cols>
  <sheetData>
    <row r="1" spans="1:25" s="11" customFormat="1" ht="21" x14ac:dyDescent="0.25">
      <c r="A1" s="41" t="s">
        <v>37</v>
      </c>
      <c r="B1" s="41"/>
      <c r="C1" s="41"/>
      <c r="D1" s="41"/>
      <c r="E1" s="41"/>
      <c r="F1" s="41"/>
      <c r="G1" s="41"/>
      <c r="H1" s="41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</row>
    <row r="2" spans="1:25" ht="19.149999999999999" customHeight="1" x14ac:dyDescent="0.25">
      <c r="A2" s="42" t="s">
        <v>36</v>
      </c>
      <c r="B2" s="42"/>
      <c r="C2" s="42"/>
      <c r="D2" s="42"/>
      <c r="E2" s="42"/>
      <c r="F2" s="42"/>
      <c r="G2" s="42"/>
      <c r="H2" s="42"/>
      <c r="I2" s="7"/>
      <c r="J2" s="7"/>
      <c r="K2" s="7"/>
      <c r="L2" s="7"/>
      <c r="M2" s="14"/>
      <c r="N2" s="7"/>
      <c r="O2" s="7"/>
      <c r="P2" s="7"/>
      <c r="Q2" s="7"/>
      <c r="R2" s="7"/>
      <c r="S2" s="7"/>
      <c r="T2" s="7"/>
      <c r="U2" s="7"/>
      <c r="V2" s="7"/>
    </row>
    <row r="3" spans="1:25" ht="4.9000000000000004" customHeight="1" x14ac:dyDescent="0.25">
      <c r="A3" s="5"/>
      <c r="B3" s="5"/>
      <c r="C3" s="5"/>
      <c r="D3" s="5"/>
      <c r="E3" s="5"/>
      <c r="F3" s="5"/>
      <c r="G3" s="5"/>
      <c r="H3" s="5"/>
      <c r="I3" s="1"/>
      <c r="J3" s="1"/>
      <c r="K3" s="1"/>
      <c r="L3" s="1"/>
      <c r="M3" s="5"/>
      <c r="N3" s="1"/>
      <c r="O3" s="1"/>
      <c r="P3" s="1"/>
      <c r="Q3" s="1"/>
      <c r="R3" s="1"/>
      <c r="S3" s="1"/>
      <c r="T3" s="1"/>
      <c r="U3" s="1"/>
      <c r="V3" s="1"/>
    </row>
    <row r="4" spans="1:25" ht="30" x14ac:dyDescent="0.25">
      <c r="A4" s="15" t="s">
        <v>3</v>
      </c>
      <c r="B4" s="16" t="s">
        <v>0</v>
      </c>
      <c r="C4" s="16" t="s">
        <v>26</v>
      </c>
      <c r="D4" s="16" t="s">
        <v>27</v>
      </c>
      <c r="E4" s="16" t="s">
        <v>28</v>
      </c>
      <c r="F4" s="16" t="s">
        <v>29</v>
      </c>
      <c r="G4" s="16" t="s">
        <v>30</v>
      </c>
      <c r="H4" s="16" t="s">
        <v>31</v>
      </c>
      <c r="I4" s="1"/>
      <c r="J4" s="1"/>
      <c r="K4" s="1"/>
      <c r="L4" s="1"/>
      <c r="M4" s="5"/>
      <c r="N4" s="1"/>
      <c r="O4" s="1"/>
      <c r="P4" s="1"/>
      <c r="Q4" s="1"/>
      <c r="R4" s="1"/>
      <c r="S4" s="1"/>
      <c r="T4" s="1"/>
      <c r="U4" s="1"/>
      <c r="V4" s="1"/>
    </row>
    <row r="5" spans="1:25" s="8" customFormat="1" x14ac:dyDescent="0.25">
      <c r="A5" s="17" t="s">
        <v>4</v>
      </c>
      <c r="B5" s="32">
        <f>SUM(B6:B7)</f>
        <v>25652</v>
      </c>
      <c r="C5" s="32">
        <f t="shared" ref="C5:G5" si="0">SUM(C6:C7)</f>
        <v>9516</v>
      </c>
      <c r="D5" s="32">
        <f t="shared" si="0"/>
        <v>6993</v>
      </c>
      <c r="E5" s="32">
        <f t="shared" si="0"/>
        <v>1264</v>
      </c>
      <c r="F5" s="32">
        <f t="shared" si="0"/>
        <v>2388</v>
      </c>
      <c r="G5" s="32">
        <f t="shared" si="0"/>
        <v>2972</v>
      </c>
      <c r="H5" s="32">
        <f>SUM(H6:H7)</f>
        <v>2519</v>
      </c>
      <c r="I5" s="19"/>
      <c r="J5" s="19"/>
      <c r="K5" s="19"/>
      <c r="L5" s="19"/>
      <c r="M5" s="20"/>
      <c r="N5" s="19"/>
      <c r="O5" s="19"/>
      <c r="P5" s="19"/>
      <c r="Q5" s="19"/>
      <c r="R5" s="19"/>
      <c r="S5" s="19"/>
      <c r="T5" s="19"/>
      <c r="U5" s="19"/>
      <c r="V5" s="19"/>
    </row>
    <row r="6" spans="1:25" s="8" customFormat="1" x14ac:dyDescent="0.25">
      <c r="A6" s="17" t="s">
        <v>5</v>
      </c>
      <c r="B6" s="18">
        <f>SUM(C6:H6)</f>
        <v>9280</v>
      </c>
      <c r="C6" s="30">
        <v>1770</v>
      </c>
      <c r="D6" s="30">
        <v>1895</v>
      </c>
      <c r="E6" s="30">
        <v>313</v>
      </c>
      <c r="F6" s="34" t="s">
        <v>35</v>
      </c>
      <c r="G6" s="30">
        <v>2972</v>
      </c>
      <c r="H6" s="30">
        <v>2330</v>
      </c>
      <c r="I6" s="19"/>
      <c r="J6" s="19"/>
      <c r="K6" s="19"/>
      <c r="L6" s="19"/>
      <c r="M6" s="3"/>
      <c r="N6" s="19"/>
      <c r="O6" s="19"/>
      <c r="P6" s="19"/>
      <c r="Q6" s="19"/>
      <c r="R6" s="19"/>
      <c r="S6" s="19"/>
      <c r="T6" s="19"/>
      <c r="U6" s="19"/>
      <c r="V6" s="19"/>
    </row>
    <row r="7" spans="1:25" s="8" customFormat="1" x14ac:dyDescent="0.25">
      <c r="A7" s="17" t="s">
        <v>32</v>
      </c>
      <c r="B7" s="18">
        <f>SUM(C7:H7)</f>
        <v>16372</v>
      </c>
      <c r="C7" s="21">
        <f>SUM(C8:C27)</f>
        <v>7746</v>
      </c>
      <c r="D7" s="21">
        <f t="shared" ref="D7:G7" si="1">SUM(D8:D27)</f>
        <v>5098</v>
      </c>
      <c r="E7" s="21">
        <f t="shared" si="1"/>
        <v>951</v>
      </c>
      <c r="F7" s="21">
        <f t="shared" si="1"/>
        <v>2388</v>
      </c>
      <c r="G7" s="21">
        <f t="shared" si="1"/>
        <v>0</v>
      </c>
      <c r="H7" s="21">
        <f>SUM(H9:H28)</f>
        <v>189</v>
      </c>
      <c r="I7" s="19"/>
      <c r="J7" s="19"/>
      <c r="K7" s="19"/>
      <c r="L7" s="19"/>
      <c r="M7" s="3"/>
      <c r="N7" s="19"/>
      <c r="O7" s="19"/>
      <c r="P7" s="19"/>
      <c r="Q7" s="19"/>
      <c r="R7" s="19"/>
      <c r="S7" s="19"/>
      <c r="T7" s="19"/>
      <c r="U7" s="19"/>
      <c r="V7" s="19"/>
    </row>
    <row r="8" spans="1:25" x14ac:dyDescent="0.25">
      <c r="A8" s="9" t="s">
        <v>6</v>
      </c>
      <c r="B8" s="18">
        <f>SUM(C8:H8)</f>
        <v>1007</v>
      </c>
      <c r="C8" s="31">
        <v>484</v>
      </c>
      <c r="D8" s="31">
        <v>291</v>
      </c>
      <c r="E8" s="31">
        <v>33</v>
      </c>
      <c r="F8" s="31">
        <v>199</v>
      </c>
      <c r="G8" s="21">
        <f t="shared" ref="G8" si="2">SUM(G9:G28)</f>
        <v>0</v>
      </c>
      <c r="H8" s="36" t="s">
        <v>35</v>
      </c>
      <c r="I8" s="1"/>
      <c r="J8" s="1"/>
      <c r="K8" s="1"/>
      <c r="L8" s="1"/>
      <c r="M8" s="5"/>
      <c r="N8" s="22"/>
      <c r="O8" s="4"/>
      <c r="P8" s="1"/>
      <c r="Q8" s="1"/>
      <c r="R8" s="1"/>
      <c r="S8" s="1"/>
      <c r="T8" s="1"/>
      <c r="U8" s="1"/>
      <c r="V8" s="1"/>
    </row>
    <row r="9" spans="1:25" x14ac:dyDescent="0.25">
      <c r="A9" s="9" t="s">
        <v>7</v>
      </c>
      <c r="B9" s="18">
        <f t="shared" ref="B9:B27" si="3">SUM(C9:H9)</f>
        <v>1433</v>
      </c>
      <c r="C9" s="31">
        <v>677</v>
      </c>
      <c r="D9" s="31">
        <v>500</v>
      </c>
      <c r="E9" s="31">
        <v>33</v>
      </c>
      <c r="F9" s="31">
        <v>193</v>
      </c>
      <c r="G9" s="21">
        <f t="shared" ref="G9" si="4">SUM(G10:G29)</f>
        <v>0</v>
      </c>
      <c r="H9" s="31">
        <v>30</v>
      </c>
      <c r="I9" s="1"/>
      <c r="J9" s="1"/>
      <c r="K9" s="1"/>
      <c r="L9" s="1"/>
      <c r="M9" s="5"/>
      <c r="N9" s="22"/>
      <c r="O9" s="4"/>
      <c r="P9" s="1"/>
      <c r="Q9" s="1"/>
      <c r="R9" s="1"/>
      <c r="S9" s="1"/>
      <c r="T9" s="1"/>
      <c r="U9" s="1"/>
      <c r="V9" s="1"/>
    </row>
    <row r="10" spans="1:25" x14ac:dyDescent="0.25">
      <c r="A10" s="9" t="s">
        <v>8</v>
      </c>
      <c r="B10" s="18">
        <f t="shared" si="3"/>
        <v>1055</v>
      </c>
      <c r="C10" s="31">
        <v>511</v>
      </c>
      <c r="D10" s="31">
        <v>329</v>
      </c>
      <c r="E10" s="31">
        <v>36</v>
      </c>
      <c r="F10" s="31">
        <v>179</v>
      </c>
      <c r="G10" s="21">
        <f t="shared" ref="G10" si="5">SUM(G11:G30)</f>
        <v>0</v>
      </c>
      <c r="H10" s="36" t="s">
        <v>35</v>
      </c>
      <c r="I10" s="1"/>
      <c r="J10" s="1"/>
      <c r="K10" s="1"/>
      <c r="L10" s="1"/>
      <c r="M10" s="5"/>
      <c r="N10" s="22"/>
      <c r="O10" s="4"/>
      <c r="P10" s="1"/>
      <c r="Q10" s="1"/>
      <c r="R10" s="1"/>
      <c r="S10" s="1"/>
      <c r="T10" s="1"/>
      <c r="U10" s="1"/>
      <c r="V10" s="1"/>
    </row>
    <row r="11" spans="1:25" x14ac:dyDescent="0.25">
      <c r="A11" s="9" t="s">
        <v>9</v>
      </c>
      <c r="B11" s="18">
        <f t="shared" si="3"/>
        <v>832</v>
      </c>
      <c r="C11" s="31">
        <v>430</v>
      </c>
      <c r="D11" s="31">
        <v>227</v>
      </c>
      <c r="E11" s="31">
        <v>27</v>
      </c>
      <c r="F11" s="31">
        <v>148</v>
      </c>
      <c r="G11" s="21">
        <f t="shared" ref="G11" si="6">SUM(G12:G31)</f>
        <v>0</v>
      </c>
      <c r="H11" s="36" t="s">
        <v>35</v>
      </c>
      <c r="I11" s="1"/>
      <c r="J11" s="1"/>
      <c r="K11" s="1"/>
      <c r="L11" s="1"/>
      <c r="M11" s="1"/>
      <c r="N11" s="22"/>
      <c r="O11" s="4"/>
      <c r="P11" s="1"/>
      <c r="Q11" s="1"/>
      <c r="R11" s="1"/>
      <c r="S11" s="1"/>
      <c r="T11" s="1"/>
      <c r="U11" s="1"/>
      <c r="V11" s="1"/>
    </row>
    <row r="12" spans="1:25" x14ac:dyDescent="0.25">
      <c r="A12" s="9" t="s">
        <v>10</v>
      </c>
      <c r="B12" s="18">
        <f t="shared" si="3"/>
        <v>1309</v>
      </c>
      <c r="C12" s="31">
        <v>689</v>
      </c>
      <c r="D12" s="31">
        <v>388</v>
      </c>
      <c r="E12" s="31">
        <v>32</v>
      </c>
      <c r="F12" s="31">
        <v>200</v>
      </c>
      <c r="G12" s="21">
        <f t="shared" ref="G12" si="7">SUM(G13:G32)</f>
        <v>0</v>
      </c>
      <c r="H12" s="36" t="s">
        <v>35</v>
      </c>
      <c r="I12" s="1"/>
      <c r="J12" s="1"/>
      <c r="K12" s="1"/>
      <c r="L12" s="1"/>
      <c r="M12" s="1"/>
      <c r="N12" s="22"/>
      <c r="O12" s="4"/>
      <c r="P12" s="1"/>
      <c r="Q12" s="1"/>
      <c r="R12" s="1"/>
      <c r="S12" s="1"/>
      <c r="T12" s="1"/>
      <c r="U12" s="1"/>
      <c r="V12" s="1"/>
    </row>
    <row r="13" spans="1:25" x14ac:dyDescent="0.25">
      <c r="A13" s="9" t="s">
        <v>11</v>
      </c>
      <c r="B13" s="18">
        <f t="shared" si="3"/>
        <v>820</v>
      </c>
      <c r="C13" s="31">
        <v>375</v>
      </c>
      <c r="D13" s="31">
        <v>270</v>
      </c>
      <c r="E13" s="31">
        <v>28</v>
      </c>
      <c r="F13" s="31">
        <v>136</v>
      </c>
      <c r="G13" s="21">
        <f t="shared" ref="G13" si="8">SUM(G14:G33)</f>
        <v>0</v>
      </c>
      <c r="H13" s="35">
        <v>11</v>
      </c>
      <c r="I13" s="1"/>
      <c r="J13" s="1"/>
      <c r="K13" s="1"/>
      <c r="L13" s="1"/>
      <c r="M13" s="1"/>
      <c r="N13" s="22"/>
      <c r="O13" s="4"/>
      <c r="P13" s="1"/>
      <c r="Q13" s="1"/>
      <c r="R13" s="1"/>
      <c r="S13" s="1"/>
      <c r="T13" s="1"/>
      <c r="U13" s="1"/>
      <c r="V13" s="1"/>
    </row>
    <row r="14" spans="1:25" x14ac:dyDescent="0.25">
      <c r="A14" s="9" t="s">
        <v>12</v>
      </c>
      <c r="B14" s="18">
        <f t="shared" si="3"/>
        <v>506</v>
      </c>
      <c r="C14" s="31">
        <v>214</v>
      </c>
      <c r="D14" s="31">
        <v>179</v>
      </c>
      <c r="E14" s="31">
        <v>29</v>
      </c>
      <c r="F14" s="31">
        <v>84</v>
      </c>
      <c r="G14" s="21">
        <f t="shared" ref="G14" si="9">SUM(G15:G34)</f>
        <v>0</v>
      </c>
      <c r="H14" s="36" t="s">
        <v>35</v>
      </c>
      <c r="I14" s="1"/>
      <c r="J14" s="1"/>
      <c r="K14" s="1"/>
      <c r="L14" s="1"/>
      <c r="M14" s="1"/>
      <c r="N14" s="22"/>
      <c r="O14" s="4"/>
      <c r="P14" s="1"/>
      <c r="Q14" s="1"/>
      <c r="R14" s="1"/>
      <c r="S14" s="1"/>
      <c r="T14" s="1"/>
      <c r="U14" s="1"/>
      <c r="V14" s="1"/>
    </row>
    <row r="15" spans="1:25" x14ac:dyDescent="0.25">
      <c r="A15" s="9" t="s">
        <v>13</v>
      </c>
      <c r="B15" s="18">
        <f t="shared" si="3"/>
        <v>1344</v>
      </c>
      <c r="C15" s="31">
        <v>612</v>
      </c>
      <c r="D15" s="31">
        <v>430</v>
      </c>
      <c r="E15" s="31">
        <v>24</v>
      </c>
      <c r="F15" s="31">
        <v>130</v>
      </c>
      <c r="G15" s="21">
        <f t="shared" ref="G15" si="10">SUM(G16:G35)</f>
        <v>0</v>
      </c>
      <c r="H15" s="35">
        <v>148</v>
      </c>
      <c r="I15" s="1"/>
      <c r="J15" s="1"/>
      <c r="K15" s="1"/>
      <c r="L15" s="1"/>
      <c r="M15" s="1"/>
      <c r="N15" s="22"/>
      <c r="O15" s="4"/>
      <c r="P15" s="1"/>
      <c r="Q15" s="1"/>
      <c r="R15" s="1"/>
      <c r="S15" s="1"/>
      <c r="T15" s="1"/>
      <c r="U15" s="1"/>
      <c r="V15" s="1"/>
    </row>
    <row r="16" spans="1:25" x14ac:dyDescent="0.25">
      <c r="A16" s="9" t="s">
        <v>14</v>
      </c>
      <c r="B16" s="18">
        <f t="shared" si="3"/>
        <v>513</v>
      </c>
      <c r="C16" s="31">
        <v>236</v>
      </c>
      <c r="D16" s="31">
        <v>147</v>
      </c>
      <c r="E16" s="31">
        <v>23</v>
      </c>
      <c r="F16" s="31">
        <v>107</v>
      </c>
      <c r="G16" s="21">
        <f t="shared" ref="G16" si="11">SUM(G17:G36)</f>
        <v>0</v>
      </c>
      <c r="H16" s="36" t="s">
        <v>35</v>
      </c>
      <c r="I16" s="1"/>
      <c r="J16" s="1"/>
      <c r="K16" s="1"/>
      <c r="L16" s="1"/>
      <c r="M16" s="1"/>
      <c r="N16" s="22"/>
      <c r="O16" s="4"/>
      <c r="P16" s="1"/>
      <c r="Q16" s="1"/>
      <c r="R16" s="1"/>
      <c r="S16" s="1"/>
      <c r="T16" s="1"/>
      <c r="U16" s="1"/>
      <c r="V16" s="1"/>
    </row>
    <row r="17" spans="1:23" x14ac:dyDescent="0.25">
      <c r="A17" s="9" t="s">
        <v>15</v>
      </c>
      <c r="B17" s="18">
        <f t="shared" si="3"/>
        <v>635</v>
      </c>
      <c r="C17" s="31">
        <v>266</v>
      </c>
      <c r="D17" s="31">
        <v>225</v>
      </c>
      <c r="E17" s="31">
        <v>25</v>
      </c>
      <c r="F17" s="31">
        <v>119</v>
      </c>
      <c r="G17" s="21">
        <f t="shared" ref="G17" si="12">SUM(G18:G37)</f>
        <v>0</v>
      </c>
      <c r="H17" s="36" t="s">
        <v>35</v>
      </c>
      <c r="I17" s="1"/>
      <c r="J17" s="1"/>
      <c r="K17" s="1"/>
      <c r="L17" s="1"/>
      <c r="M17" s="1"/>
      <c r="N17" s="22"/>
      <c r="O17" s="4"/>
      <c r="P17" s="1"/>
      <c r="Q17" s="1"/>
      <c r="R17" s="1"/>
      <c r="S17" s="1"/>
      <c r="T17" s="1"/>
      <c r="U17" s="1"/>
      <c r="V17" s="1"/>
    </row>
    <row r="18" spans="1:23" x14ac:dyDescent="0.25">
      <c r="A18" s="9" t="s">
        <v>16</v>
      </c>
      <c r="B18" s="18">
        <f t="shared" si="3"/>
        <v>199</v>
      </c>
      <c r="C18" s="31">
        <v>84</v>
      </c>
      <c r="D18" s="31">
        <v>58</v>
      </c>
      <c r="E18" s="31">
        <v>22</v>
      </c>
      <c r="F18" s="31">
        <v>35</v>
      </c>
      <c r="G18" s="21">
        <f t="shared" ref="G18" si="13">SUM(G19:G38)</f>
        <v>0</v>
      </c>
      <c r="H18" s="36" t="s">
        <v>35</v>
      </c>
      <c r="I18" s="1"/>
      <c r="J18" s="1"/>
      <c r="K18" s="1"/>
      <c r="L18" s="1"/>
      <c r="M18" s="1"/>
      <c r="N18" s="22"/>
      <c r="O18" s="4"/>
      <c r="P18" s="1"/>
      <c r="Q18" s="1"/>
      <c r="R18" s="1"/>
      <c r="S18" s="1"/>
      <c r="T18" s="1"/>
      <c r="U18" s="1"/>
      <c r="V18" s="1"/>
    </row>
    <row r="19" spans="1:23" x14ac:dyDescent="0.25">
      <c r="A19" s="9" t="s">
        <v>17</v>
      </c>
      <c r="B19" s="18">
        <f t="shared" si="3"/>
        <v>493</v>
      </c>
      <c r="C19" s="31">
        <v>211</v>
      </c>
      <c r="D19" s="31">
        <v>167</v>
      </c>
      <c r="E19" s="31">
        <v>27</v>
      </c>
      <c r="F19" s="31">
        <v>88</v>
      </c>
      <c r="G19" s="21">
        <f t="shared" ref="G19" si="14">SUM(G20:G39)</f>
        <v>0</v>
      </c>
      <c r="H19" s="36" t="s">
        <v>35</v>
      </c>
      <c r="I19" s="1"/>
      <c r="J19" s="1"/>
      <c r="K19" s="1"/>
      <c r="L19" s="1"/>
      <c r="M19" s="1"/>
      <c r="N19" s="22"/>
      <c r="O19" s="4"/>
      <c r="P19" s="1"/>
      <c r="Q19" s="1"/>
      <c r="R19" s="1"/>
      <c r="S19" s="1"/>
      <c r="T19" s="1"/>
      <c r="U19" s="1"/>
      <c r="V19" s="1"/>
    </row>
    <row r="20" spans="1:23" x14ac:dyDescent="0.25">
      <c r="A20" s="9" t="s">
        <v>18</v>
      </c>
      <c r="B20" s="18">
        <f t="shared" si="3"/>
        <v>493</v>
      </c>
      <c r="C20" s="31">
        <v>203</v>
      </c>
      <c r="D20" s="31">
        <v>172</v>
      </c>
      <c r="E20" s="31">
        <v>33</v>
      </c>
      <c r="F20" s="31">
        <v>85</v>
      </c>
      <c r="G20" s="21">
        <f t="shared" ref="G20" si="15">SUM(G21:G40)</f>
        <v>0</v>
      </c>
      <c r="H20" s="36" t="s">
        <v>35</v>
      </c>
      <c r="I20" s="1"/>
      <c r="J20" s="1"/>
      <c r="K20" s="1"/>
      <c r="L20" s="1"/>
      <c r="M20" s="1"/>
      <c r="N20" s="22"/>
      <c r="O20" s="4"/>
      <c r="P20" s="1"/>
      <c r="Q20" s="1"/>
      <c r="R20" s="1"/>
      <c r="S20" s="1"/>
      <c r="T20" s="1"/>
      <c r="U20" s="1"/>
      <c r="V20" s="1"/>
    </row>
    <row r="21" spans="1:23" x14ac:dyDescent="0.25">
      <c r="A21" s="9" t="s">
        <v>19</v>
      </c>
      <c r="B21" s="18">
        <f t="shared" si="3"/>
        <v>537</v>
      </c>
      <c r="C21" s="31">
        <v>238</v>
      </c>
      <c r="D21" s="31">
        <v>190</v>
      </c>
      <c r="E21" s="31">
        <v>24</v>
      </c>
      <c r="F21" s="31">
        <v>85</v>
      </c>
      <c r="G21" s="21">
        <f t="shared" ref="G21" si="16">SUM(G22:G41)</f>
        <v>0</v>
      </c>
      <c r="H21" s="36" t="s">
        <v>35</v>
      </c>
      <c r="I21" s="1"/>
      <c r="J21" s="1"/>
      <c r="K21" s="1"/>
      <c r="L21" s="1"/>
      <c r="M21" s="1"/>
      <c r="N21" s="22"/>
      <c r="O21" s="4"/>
      <c r="P21" s="1"/>
      <c r="Q21" s="1"/>
      <c r="R21" s="1"/>
      <c r="S21" s="1"/>
      <c r="T21" s="1"/>
      <c r="U21" s="1"/>
      <c r="V21" s="1"/>
    </row>
    <row r="22" spans="1:23" x14ac:dyDescent="0.25">
      <c r="A22" s="9" t="s">
        <v>20</v>
      </c>
      <c r="B22" s="18">
        <f t="shared" si="3"/>
        <v>1015</v>
      </c>
      <c r="C22" s="31">
        <v>489</v>
      </c>
      <c r="D22" s="31">
        <v>312</v>
      </c>
      <c r="E22" s="31">
        <v>34</v>
      </c>
      <c r="F22" s="31">
        <v>180</v>
      </c>
      <c r="G22" s="21">
        <f t="shared" ref="G22" si="17">SUM(G23:G42)</f>
        <v>0</v>
      </c>
      <c r="H22" s="36" t="s">
        <v>35</v>
      </c>
      <c r="I22" s="1"/>
      <c r="J22" s="1"/>
      <c r="K22" s="1"/>
      <c r="L22" s="1"/>
      <c r="M22" s="1"/>
      <c r="N22" s="23"/>
      <c r="O22" s="4"/>
      <c r="P22" s="1"/>
      <c r="Q22" s="1"/>
      <c r="R22" s="1"/>
      <c r="S22" s="1"/>
      <c r="T22" s="1"/>
      <c r="U22" s="1"/>
      <c r="V22" s="1"/>
    </row>
    <row r="23" spans="1:23" x14ac:dyDescent="0.25">
      <c r="A23" s="9" t="s">
        <v>21</v>
      </c>
      <c r="B23" s="18">
        <f t="shared" si="3"/>
        <v>962</v>
      </c>
      <c r="C23" s="31">
        <v>464</v>
      </c>
      <c r="D23" s="31">
        <v>284</v>
      </c>
      <c r="E23" s="31">
        <v>33</v>
      </c>
      <c r="F23" s="31">
        <v>181</v>
      </c>
      <c r="G23" s="21">
        <f t="shared" ref="G23" si="18">SUM(G24:G43)</f>
        <v>0</v>
      </c>
      <c r="H23" s="36" t="s">
        <v>35</v>
      </c>
      <c r="I23" s="1"/>
      <c r="J23" s="1"/>
      <c r="K23" s="1"/>
      <c r="L23" s="1"/>
      <c r="M23" s="1"/>
      <c r="N23" s="23"/>
      <c r="O23" s="4"/>
      <c r="P23" s="1"/>
      <c r="Q23" s="1"/>
      <c r="R23" s="1"/>
      <c r="S23" s="1"/>
      <c r="T23" s="1"/>
      <c r="U23" s="1"/>
      <c r="V23" s="1"/>
    </row>
    <row r="24" spans="1:23" x14ac:dyDescent="0.25">
      <c r="A24" s="9" t="s">
        <v>22</v>
      </c>
      <c r="B24" s="18">
        <f t="shared" si="3"/>
        <v>652</v>
      </c>
      <c r="C24" s="31">
        <v>295</v>
      </c>
      <c r="D24" s="31">
        <v>223</v>
      </c>
      <c r="E24" s="31">
        <v>21</v>
      </c>
      <c r="F24" s="31">
        <v>113</v>
      </c>
      <c r="G24" s="21">
        <f t="shared" ref="G24" si="19">SUM(G25:G44)</f>
        <v>0</v>
      </c>
      <c r="H24" s="36" t="s">
        <v>35</v>
      </c>
      <c r="I24" s="1"/>
      <c r="J24" s="1"/>
      <c r="K24" s="1"/>
      <c r="L24" s="1"/>
      <c r="M24" s="1"/>
      <c r="N24" s="22"/>
      <c r="O24" s="4"/>
      <c r="P24" s="1"/>
      <c r="Q24" s="1"/>
      <c r="R24" s="1"/>
      <c r="S24" s="1"/>
      <c r="T24" s="1"/>
      <c r="U24" s="1"/>
      <c r="V24" s="1"/>
    </row>
    <row r="25" spans="1:23" x14ac:dyDescent="0.25">
      <c r="A25" s="9" t="s">
        <v>23</v>
      </c>
      <c r="B25" s="18">
        <f t="shared" si="3"/>
        <v>847</v>
      </c>
      <c r="C25" s="31">
        <v>383</v>
      </c>
      <c r="D25" s="31">
        <v>306</v>
      </c>
      <c r="E25" s="31">
        <v>32</v>
      </c>
      <c r="F25" s="31">
        <v>126</v>
      </c>
      <c r="G25" s="21">
        <f t="shared" ref="G25" si="20">SUM(G26:G45)</f>
        <v>0</v>
      </c>
      <c r="H25" s="36" t="s">
        <v>35</v>
      </c>
      <c r="I25" s="1"/>
      <c r="J25" s="1"/>
      <c r="K25" s="1"/>
      <c r="L25" s="1"/>
      <c r="M25" s="1"/>
      <c r="N25" s="22"/>
      <c r="O25" s="4"/>
      <c r="P25" s="1"/>
      <c r="Q25" s="1"/>
      <c r="R25" s="1"/>
      <c r="S25" s="1"/>
      <c r="T25" s="1"/>
      <c r="U25" s="1"/>
      <c r="V25" s="1"/>
    </row>
    <row r="26" spans="1:23" x14ac:dyDescent="0.25">
      <c r="A26" s="9" t="s">
        <v>24</v>
      </c>
      <c r="B26" s="18">
        <f t="shared" si="3"/>
        <v>599</v>
      </c>
      <c r="C26" s="31">
        <v>302</v>
      </c>
      <c r="D26" s="31">
        <v>110</v>
      </c>
      <c r="E26" s="31">
        <v>187</v>
      </c>
      <c r="F26" s="34" t="s">
        <v>35</v>
      </c>
      <c r="G26" s="21">
        <f>SUM(G27:G45)</f>
        <v>0</v>
      </c>
      <c r="H26" s="36" t="s">
        <v>35</v>
      </c>
      <c r="I26" s="1"/>
      <c r="J26" s="1"/>
      <c r="K26" s="1"/>
      <c r="L26" s="1"/>
      <c r="M26" s="1"/>
      <c r="N26" s="22"/>
      <c r="O26" s="4"/>
      <c r="P26" s="1"/>
      <c r="Q26" s="1"/>
      <c r="R26" s="1"/>
      <c r="S26" s="1"/>
      <c r="T26" s="1"/>
      <c r="U26" s="1"/>
      <c r="V26" s="1"/>
    </row>
    <row r="27" spans="1:23" s="5" customFormat="1" x14ac:dyDescent="0.25">
      <c r="A27" s="10" t="s">
        <v>25</v>
      </c>
      <c r="B27" s="29">
        <f t="shared" si="3"/>
        <v>1121</v>
      </c>
      <c r="C27" s="33">
        <v>583</v>
      </c>
      <c r="D27" s="33">
        <v>290</v>
      </c>
      <c r="E27" s="33">
        <v>248</v>
      </c>
      <c r="F27" s="39" t="s">
        <v>35</v>
      </c>
      <c r="G27" s="37">
        <f>SUM(G28:G45)</f>
        <v>0</v>
      </c>
      <c r="H27" s="38" t="s">
        <v>35</v>
      </c>
      <c r="N27" s="22"/>
      <c r="O27" s="28"/>
    </row>
    <row r="28" spans="1:23" s="11" customFormat="1" ht="17.25" x14ac:dyDescent="0.25">
      <c r="A28" s="24" t="s">
        <v>1</v>
      </c>
      <c r="B28" s="25"/>
      <c r="C28" s="2"/>
      <c r="D28" s="2"/>
      <c r="E28" s="2"/>
      <c r="F28" s="3"/>
      <c r="G28" s="2"/>
      <c r="H28" s="6" t="s">
        <v>2</v>
      </c>
      <c r="W28" s="12"/>
    </row>
    <row r="36" spans="25:32" ht="60" x14ac:dyDescent="0.25">
      <c r="Z36" s="1" t="s">
        <v>0</v>
      </c>
      <c r="AA36" s="16" t="s">
        <v>26</v>
      </c>
      <c r="AB36" s="16" t="s">
        <v>27</v>
      </c>
      <c r="AC36" s="16" t="s">
        <v>33</v>
      </c>
      <c r="AD36" s="16" t="s">
        <v>29</v>
      </c>
      <c r="AE36" s="16" t="s">
        <v>30</v>
      </c>
      <c r="AF36" s="16" t="s">
        <v>31</v>
      </c>
    </row>
    <row r="37" spans="25:32" x14ac:dyDescent="0.25">
      <c r="Y37" s="27" t="s">
        <v>5</v>
      </c>
      <c r="Z37" s="40">
        <f>B6</f>
        <v>9280</v>
      </c>
      <c r="AA37" s="40">
        <f t="shared" ref="AA37:AF38" si="21">C6</f>
        <v>1770</v>
      </c>
      <c r="AB37" s="40">
        <f t="shared" si="21"/>
        <v>1895</v>
      </c>
      <c r="AC37" s="40">
        <f t="shared" si="21"/>
        <v>313</v>
      </c>
      <c r="AD37" s="40" t="str">
        <f t="shared" si="21"/>
        <v>-</v>
      </c>
      <c r="AE37" s="40">
        <f t="shared" si="21"/>
        <v>2972</v>
      </c>
      <c r="AF37" s="40">
        <f t="shared" si="21"/>
        <v>2330</v>
      </c>
    </row>
    <row r="38" spans="25:32" x14ac:dyDescent="0.25">
      <c r="Y38" s="27" t="s">
        <v>34</v>
      </c>
      <c r="Z38" s="40">
        <f>B7</f>
        <v>16372</v>
      </c>
      <c r="AA38" s="40">
        <f t="shared" si="21"/>
        <v>7746</v>
      </c>
      <c r="AB38" s="40">
        <f t="shared" si="21"/>
        <v>5098</v>
      </c>
      <c r="AC38" s="40">
        <f t="shared" si="21"/>
        <v>951</v>
      </c>
      <c r="AD38" s="40">
        <f t="shared" si="21"/>
        <v>2388</v>
      </c>
      <c r="AE38" s="40">
        <f t="shared" si="21"/>
        <v>0</v>
      </c>
      <c r="AF38" s="40">
        <f t="shared" si="21"/>
        <v>189</v>
      </c>
    </row>
  </sheetData>
  <mergeCells count="2">
    <mergeCell ref="A1:H1"/>
    <mergeCell ref="A2:H2"/>
  </mergeCells>
  <pageMargins left="0.7" right="0.7" top="0.75" bottom="0.75" header="0.3" footer="0.3"/>
  <pageSetup paperSize="9" scale="75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5.9</vt:lpstr>
      <vt:lpstr>'5.9'!Print_Area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2020-06-27T01:07:38Z</cp:lastPrinted>
  <dcterms:created xsi:type="dcterms:W3CDTF">2019-06-03T04:17:39Z</dcterms:created>
  <dcterms:modified xsi:type="dcterms:W3CDTF">2020-06-27T01:08:18Z</dcterms:modified>
</cp:coreProperties>
</file>