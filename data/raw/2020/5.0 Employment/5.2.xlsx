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2" sheetId="2" r:id="rId1"/>
  </sheets>
  <externalReferences>
    <externalReference r:id="rId2"/>
  </externalReferences>
  <definedNames>
    <definedName name="_xlnm.Print_Area" localSheetId="0">'5.2'!$A$1:$N$57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2" l="1"/>
  <c r="BV29" i="2" s="1"/>
  <c r="L10" i="2"/>
  <c r="BU29" i="2" s="1"/>
  <c r="I10" i="2"/>
  <c r="BS29" i="2" s="1"/>
  <c r="H10" i="2"/>
  <c r="BR29" i="2" s="1"/>
  <c r="K11" i="2"/>
  <c r="K12" i="2"/>
  <c r="K13" i="2"/>
  <c r="K14" i="2"/>
  <c r="K15" i="2"/>
  <c r="K16" i="2"/>
  <c r="K17" i="2"/>
  <c r="K18" i="2"/>
  <c r="K19" i="2"/>
  <c r="K20" i="2"/>
  <c r="K21" i="2"/>
  <c r="G11" i="2"/>
  <c r="G12" i="2"/>
  <c r="G13" i="2"/>
  <c r="G14" i="2"/>
  <c r="G15" i="2"/>
  <c r="C15" i="2" s="1"/>
  <c r="G16" i="2"/>
  <c r="G17" i="2"/>
  <c r="G18" i="2"/>
  <c r="G19" i="2"/>
  <c r="G20" i="2"/>
  <c r="G21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C16" i="2" l="1"/>
  <c r="C14" i="2"/>
  <c r="C21" i="2"/>
  <c r="C20" i="2"/>
  <c r="C12" i="2"/>
  <c r="C19" i="2"/>
  <c r="C11" i="2"/>
  <c r="C13" i="2"/>
  <c r="K10" i="2"/>
  <c r="BT29" i="2" s="1"/>
  <c r="E10" i="2"/>
  <c r="BP29" i="2" s="1"/>
  <c r="D10" i="2"/>
  <c r="BO29" i="2" s="1"/>
  <c r="G10" i="2"/>
  <c r="BQ29" i="2" s="1"/>
  <c r="C18" i="2"/>
  <c r="C17" i="2"/>
  <c r="C10" i="2" l="1"/>
  <c r="BN29" i="2" s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<sst xmlns="http://schemas.openxmlformats.org/spreadsheetml/2006/main" count="68" uniqueCount="30">
  <si>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</si>
  <si>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</si>
  <si>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</si>
  <si>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</si>
  <si>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</si>
  <si>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</si>
  <si>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</si>
  <si>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</si>
  <si>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</si>
  <si>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</si>
  <si>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</si>
  <si>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</si>
  <si>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</si>
  <si>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</si>
  <si>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</si>
  <si>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</si>
  <si>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</si>
  <si>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</si>
  <si>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</si>
  <si>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</si>
  <si>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</si>
  <si>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</si>
  <si>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</si>
  <si>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</si>
  <si>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</si>
  <si>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</si>
  <si>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</si>
  <si>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</si>
  <si>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Table 5.2 :  CIVIL SERVANTS CLASSIFIED BY AGE AND SEX, 2019</t>
  </si>
  <si>
    <t>ތާވަލް 5.2: ސިވިލް ސަރވަންޓުން ބެހިފައިވާ ގޮތް، ޖިންސް އަދި އުމުރުފުރާއިން،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</si>
</sst>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color rgb="FF000000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E2EFD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</cellStyleXfs>
  <cellXfs count="55">
    <xf numFmtId="0" fontId="0" fillId="0" borderId="0" xfId="0"/>
    <xf numFmtId="0" fontId="0" fillId="2" borderId="0" xfId="0" applyFill="1"/>
    <xf numFmtId="0" fontId="8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9" fillId="2" borderId="4" xfId="4" applyFont="1" applyFill="1" applyBorder="1" applyAlignment="1">
      <alignment vertical="center"/>
    </xf>
    <xf numFmtId="3" fontId="10" fillId="2" borderId="0" xfId="5" applyNumberFormat="1" applyFont="1" applyFill="1" applyBorder="1" applyAlignment="1" applyProtection="1">
      <alignment horizontal="right" vertical="center"/>
    </xf>
    <xf numFmtId="164" fontId="11" fillId="2" borderId="0" xfId="3" applyNumberFormat="1" applyFont="1" applyFill="1" applyBorder="1" applyAlignment="1" applyProtection="1">
      <alignment horizontal="center" vertical="center"/>
    </xf>
    <xf numFmtId="164" fontId="11" fillId="2" borderId="1" xfId="3" applyNumberFormat="1" applyFont="1" applyFill="1" applyBorder="1" applyAlignment="1" applyProtection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readingOrder="2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/>
    <xf numFmtId="3" fontId="6" fillId="2" borderId="0" xfId="0" applyNumberFormat="1" applyFont="1" applyFill="1" applyBorder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 applyBorder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0" fillId="2" borderId="0" xfId="0" applyNumberFormat="1" applyFill="1"/>
    <xf numFmtId="3" fontId="8" fillId="2" borderId="0" xfId="0" applyNumberFormat="1" applyFont="1" applyFill="1" applyBorder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3" fontId="0" fillId="3" borderId="0" xfId="0" applyNumberFormat="1" applyFill="1"/>
    <xf numFmtId="164" fontId="11" fillId="2" borderId="0" xfId="3" applyNumberFormat="1" applyFont="1" applyFill="1" applyBorder="1" applyAlignment="1" applyProtection="1">
      <alignment horizontal="center" vertical="center"/>
    </xf>
    <xf numFmtId="3" fontId="19" fillId="4" borderId="0" xfId="0" applyNumberFormat="1" applyFont="1" applyFill="1" applyBorder="1" applyAlignment="1">
      <alignment horizontal="right" vertical="center"/>
    </xf>
    <xf numFmtId="3" fontId="19" fillId="4" borderId="6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 applyProtection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center" vertical="center"/>
    </xf>
    <xf numFmtId="164" fontId="11" fillId="2" borderId="0" xfId="3" applyNumberFormat="1" applyFont="1" applyFill="1" applyBorder="1" applyAlignment="1" applyProtection="1">
      <alignment horizontal="center" vertical="center"/>
    </xf>
    <xf numFmtId="164" fontId="12" fillId="2" borderId="1" xfId="3" applyNumberFormat="1" applyFont="1" applyFill="1" applyBorder="1" applyAlignment="1" applyProtection="1">
      <alignment horizontal="center" vertical="center"/>
    </xf>
    <xf numFmtId="164" fontId="12" fillId="2" borderId="0" xfId="3" applyNumberFormat="1" applyFont="1" applyFill="1" applyBorder="1" applyAlignment="1" applyProtection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1">
    <cellStyle name="Comma" xfId="1" builtinId="3"/>
    <cellStyle name="Comma 3" xfId="9"/>
    <cellStyle name="Normal" xfId="0" builtinId="0"/>
    <cellStyle name="Normal 11" xfId="10"/>
    <cellStyle name="Normal 2" xfId="6"/>
    <cellStyle name="Normal 4" xfId="7"/>
    <cellStyle name="Normal 5" xfId="8"/>
    <cellStyle name="Normal_5 Employment_done" xfId="2"/>
    <cellStyle name="Normal_II-16(Populaion)" xfId="5"/>
    <cellStyle name="Normal_po" xfId="4"/>
    <cellStyle name="Normal_Population - II 2" xfId="3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2017 - 2019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76125442589781"/>
          <c:y val="2.41149009239130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92521477303956"/>
          <c:y val="0.14420086562027432"/>
          <c:w val="0.87286885800883374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'5.2'!$BM$27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multiLvlStrRef>
              <c:f>'5.2'!$BN$20:$BV$21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'5.2'!$BN$27:$BV$27</c:f>
              <c:numCache>
                <c:formatCode>General</c:formatCode>
                <c:ptCount val="9"/>
                <c:pt idx="0">
                  <c:v>22082</c:v>
                </c:pt>
                <c:pt idx="1">
                  <c:v>8907</c:v>
                </c:pt>
                <c:pt idx="2">
                  <c:v>13175</c:v>
                </c:pt>
                <c:pt idx="3">
                  <c:v>8977</c:v>
                </c:pt>
                <c:pt idx="4">
                  <c:v>4008</c:v>
                </c:pt>
                <c:pt idx="5">
                  <c:v>4969</c:v>
                </c:pt>
                <c:pt idx="6">
                  <c:v>13105</c:v>
                </c:pt>
                <c:pt idx="7">
                  <c:v>4899</c:v>
                </c:pt>
                <c:pt idx="8">
                  <c:v>8206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'5.2'!$BM$28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76431"/>
            </a:solidFill>
          </c:spPr>
          <c:invertIfNegative val="0"/>
          <c:cat>
            <c:multiLvlStrRef>
              <c:f>'5.2'!$BN$20:$BV$21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'5.2'!$BN$28:$BV$28</c:f>
              <c:numCache>
                <c:formatCode>General</c:formatCode>
                <c:ptCount val="9"/>
                <c:pt idx="0">
                  <c:v>23647</c:v>
                </c:pt>
                <c:pt idx="1">
                  <c:v>9122</c:v>
                </c:pt>
                <c:pt idx="2">
                  <c:v>14525</c:v>
                </c:pt>
                <c:pt idx="3">
                  <c:v>8833</c:v>
                </c:pt>
                <c:pt idx="4">
                  <c:v>3791</c:v>
                </c:pt>
                <c:pt idx="5">
                  <c:v>5042</c:v>
                </c:pt>
                <c:pt idx="6">
                  <c:v>14814</c:v>
                </c:pt>
                <c:pt idx="7">
                  <c:v>5331</c:v>
                </c:pt>
                <c:pt idx="8">
                  <c:v>9483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'5.2'!$BM$29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0A172"/>
            </a:solidFill>
          </c:spPr>
          <c:invertIfNegative val="0"/>
          <c:cat>
            <c:multiLvlStrRef>
              <c:f>'5.2'!$BN$20:$BV$21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'5.2'!$BN$29:$BV$29</c:f>
              <c:numCache>
                <c:formatCode>#,##0</c:formatCode>
                <c:ptCount val="9"/>
                <c:pt idx="0">
                  <c:v>25652</c:v>
                </c:pt>
                <c:pt idx="1">
                  <c:v>9573</c:v>
                </c:pt>
                <c:pt idx="2">
                  <c:v>16079</c:v>
                </c:pt>
                <c:pt idx="3">
                  <c:v>9280</c:v>
                </c:pt>
                <c:pt idx="4">
                  <c:v>3678</c:v>
                </c:pt>
                <c:pt idx="5">
                  <c:v>5602</c:v>
                </c:pt>
                <c:pt idx="6">
                  <c:v>16372</c:v>
                </c:pt>
                <c:pt idx="7">
                  <c:v>5895</c:v>
                </c:pt>
                <c:pt idx="8">
                  <c:v>10477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27945968"/>
        <c:axId val="127946752"/>
      </c:barChart>
      <c:catAx>
        <c:axId val="127945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127946752"/>
        <c:crosses val="autoZero"/>
        <c:auto val="1"/>
        <c:lblAlgn val="ctr"/>
        <c:lblOffset val="100"/>
        <c:noMultiLvlLbl val="0"/>
      </c:catAx>
      <c:valAx>
        <c:axId val="127946752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rgbClr val="E5CBB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127945968"/>
        <c:crosses val="autoZero"/>
        <c:crossBetween val="between"/>
      </c:valAx>
      <c:spPr>
        <a:solidFill>
          <a:srgbClr val="F9F2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59916201673572"/>
          <c:y val="0.15956920549384232"/>
          <c:w val="0.21100593836999509"/>
          <c:h val="0.1162184009529627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5805930481005"/>
          <c:y val="0.1558727102370504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77</c:v>
                </c:pt>
                <c:pt idx="1">
                  <c:v>506</c:v>
                </c:pt>
                <c:pt idx="2">
                  <c:v>1151</c:v>
                </c:pt>
                <c:pt idx="3">
                  <c:v>1640</c:v>
                </c:pt>
                <c:pt idx="4">
                  <c:v>1558</c:v>
                </c:pt>
                <c:pt idx="5">
                  <c:v>1184</c:v>
                </c:pt>
                <c:pt idx="6">
                  <c:v>1146</c:v>
                </c:pt>
                <c:pt idx="7">
                  <c:v>1018</c:v>
                </c:pt>
                <c:pt idx="8">
                  <c:v>752</c:v>
                </c:pt>
                <c:pt idx="9">
                  <c:v>535</c:v>
                </c:pt>
                <c:pt idx="10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0A172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122</c:v>
                </c:pt>
                <c:pt idx="1">
                  <c:v>1403</c:v>
                </c:pt>
                <c:pt idx="2">
                  <c:v>3255</c:v>
                </c:pt>
                <c:pt idx="3">
                  <c:v>3517</c:v>
                </c:pt>
                <c:pt idx="4">
                  <c:v>2538</c:v>
                </c:pt>
                <c:pt idx="5">
                  <c:v>1917</c:v>
                </c:pt>
                <c:pt idx="6">
                  <c:v>1439</c:v>
                </c:pt>
                <c:pt idx="7">
                  <c:v>1085</c:v>
                </c:pt>
                <c:pt idx="8">
                  <c:v>524</c:v>
                </c:pt>
                <c:pt idx="9">
                  <c:v>277</c:v>
                </c:pt>
                <c:pt idx="10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27949104"/>
        <c:axId val="130503320"/>
      </c:barChart>
      <c:catAx>
        <c:axId val="12794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0503320"/>
        <c:crosses val="autoZero"/>
        <c:auto val="1"/>
        <c:lblAlgn val="ctr"/>
        <c:lblOffset val="100"/>
        <c:noMultiLvlLbl val="0"/>
      </c:catAx>
      <c:valAx>
        <c:axId val="130503320"/>
        <c:scaling>
          <c:orientation val="minMax"/>
        </c:scaling>
        <c:delete val="0"/>
        <c:axPos val="l"/>
        <c:majorGridlines>
          <c:spPr>
            <a:ln>
              <a:solidFill>
                <a:srgbClr val="E5CBB1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127949104"/>
        <c:crosses val="autoZero"/>
        <c:crossBetween val="between"/>
      </c:valAx>
      <c:spPr>
        <a:solidFill>
          <a:srgbClr val="F9F2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03595125495848"/>
          <c:y val="0.25524848609610074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139874</xdr:colOff>
      <xdr:row>40</xdr:row>
      <xdr:rowOff>129566</xdr:rowOff>
    </xdr:from>
    <xdr:to>
      <xdr:col>12</xdr:col>
      <xdr:colOff>520874</xdr:colOff>
      <xdr:row>55</xdr:row>
      <xdr:rowOff>186716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6" name="TextBox 5"/>
        <xdr:cNvSpPr txBox="1"/>
      </xdr:nvSpPr>
      <xdr:spPr>
        <a:xfrm rot="16200000">
          <a:off x="-53544" y="8647096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191826</xdr:colOff>
      <xdr:row>53</xdr:row>
      <xdr:rowOff>96027</xdr:rowOff>
    </xdr:from>
    <xdr:to>
      <xdr:col>7</xdr:col>
      <xdr:colOff>401444</xdr:colOff>
      <xdr:row>54</xdr:row>
      <xdr:rowOff>122122</xdr:rowOff>
    </xdr:to>
    <xdr:sp macro="" textlink="">
      <xdr:nvSpPr>
        <xdr:cNvPr id="7" name="TextBox 6"/>
        <xdr:cNvSpPr txBox="1"/>
      </xdr:nvSpPr>
      <xdr:spPr>
        <a:xfrm>
          <a:off x="2944551" y="1003060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208586</xdr:colOff>
      <xdr:row>41</xdr:row>
      <xdr:rowOff>55761</xdr:rowOff>
    </xdr:from>
    <xdr:to>
      <xdr:col>12</xdr:col>
      <xdr:colOff>48052</xdr:colOff>
      <xdr:row>42</xdr:row>
      <xdr:rowOff>85726</xdr:rowOff>
    </xdr:to>
    <xdr:sp macro="" textlink="">
      <xdr:nvSpPr>
        <xdr:cNvPr id="8" name="TextBox 7"/>
        <xdr:cNvSpPr txBox="1"/>
      </xdr:nvSpPr>
      <xdr:spPr>
        <a:xfrm>
          <a:off x="1018211" y="7704336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2019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W65"/>
  <sheetViews>
    <sheetView tabSelected="1" zoomScaleNormal="100" workbookViewId="0">
      <selection activeCell="T1" sqref="T1:W1048576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4" width="3" style="1" customWidth="1"/>
    <col min="15" max="59" width="7.28515625" style="1" customWidth="1"/>
    <col min="60" max="16384" width="9.140625" style="1"/>
  </cols>
  <sheetData>
    <row r="2" spans="1:66" ht="21" x14ac:dyDescent="0.25">
      <c r="A2" s="48" t="s">
        <v>29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66" x14ac:dyDescent="0.25">
      <c r="A3" s="46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66" ht="1.1499999999999999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11"/>
      <c r="P4" s="11"/>
      <c r="Q4" s="11"/>
      <c r="R4" s="11"/>
      <c r="S4" s="11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</row>
    <row r="5" spans="1:66" ht="13.5" customHeight="1" x14ac:dyDescent="0.25">
      <c r="A5" s="50" t="s">
        <v>9</v>
      </c>
      <c r="B5" s="12"/>
      <c r="C5" s="52" t="s">
        <v>10</v>
      </c>
      <c r="D5" s="52"/>
      <c r="E5" s="52"/>
      <c r="F5" s="13"/>
      <c r="G5" s="52" t="s">
        <v>11</v>
      </c>
      <c r="H5" s="52"/>
      <c r="I5" s="52"/>
      <c r="J5" s="13"/>
      <c r="K5" s="52" t="s">
        <v>12</v>
      </c>
      <c r="L5" s="52"/>
      <c r="M5" s="52"/>
    </row>
    <row r="6" spans="1:66" ht="12" customHeight="1" x14ac:dyDescent="0.25">
      <c r="A6" s="51"/>
      <c r="B6" s="14"/>
      <c r="C6" s="53" t="s">
        <v>0</v>
      </c>
      <c r="D6" s="53"/>
      <c r="E6" s="53"/>
      <c r="F6" s="14"/>
      <c r="G6" s="54" t="s">
        <v>1</v>
      </c>
      <c r="H6" s="54"/>
      <c r="I6" s="54"/>
      <c r="J6" s="14"/>
      <c r="K6" s="54" t="s">
        <v>13</v>
      </c>
      <c r="L6" s="54"/>
      <c r="M6" s="54"/>
    </row>
    <row r="7" spans="1:66" x14ac:dyDescent="0.25">
      <c r="A7" s="44" t="s">
        <v>14</v>
      </c>
      <c r="B7" s="14"/>
      <c r="C7" s="3" t="s">
        <v>15</v>
      </c>
      <c r="D7" s="3" t="s">
        <v>5</v>
      </c>
      <c r="E7" s="3" t="s">
        <v>6</v>
      </c>
      <c r="F7" s="5"/>
      <c r="G7" s="3" t="s">
        <v>15</v>
      </c>
      <c r="H7" s="3" t="s">
        <v>5</v>
      </c>
      <c r="I7" s="3" t="s">
        <v>6</v>
      </c>
      <c r="J7" s="5"/>
      <c r="K7" s="3" t="s">
        <v>15</v>
      </c>
      <c r="L7" s="3" t="s">
        <v>5</v>
      </c>
      <c r="M7" s="3" t="s">
        <v>6</v>
      </c>
    </row>
    <row r="8" spans="1:66" ht="18.75" x14ac:dyDescent="0.25">
      <c r="A8" s="45"/>
      <c r="B8" s="15"/>
      <c r="C8" s="38" t="s">
        <v>2</v>
      </c>
      <c r="D8" s="38" t="s">
        <v>3</v>
      </c>
      <c r="E8" s="38" t="s">
        <v>4</v>
      </c>
      <c r="F8" s="4"/>
      <c r="G8" s="38" t="s">
        <v>2</v>
      </c>
      <c r="H8" s="38" t="s">
        <v>3</v>
      </c>
      <c r="I8" s="38" t="s">
        <v>4</v>
      </c>
      <c r="J8" s="4"/>
      <c r="K8" s="38" t="s">
        <v>2</v>
      </c>
      <c r="L8" s="38" t="s">
        <v>3</v>
      </c>
      <c r="M8" s="38" t="s">
        <v>4</v>
      </c>
    </row>
    <row r="9" spans="1:66" s="8" customFormat="1" ht="9.6" customHeight="1" x14ac:dyDescent="0.55000000000000004">
      <c r="A9" s="5"/>
      <c r="B9" s="14"/>
      <c r="C9" s="16"/>
      <c r="D9" s="16"/>
      <c r="E9" s="16"/>
      <c r="F9" s="17"/>
      <c r="G9" s="16"/>
      <c r="H9" s="16"/>
      <c r="I9" s="16"/>
      <c r="J9" s="17"/>
      <c r="K9" s="16"/>
      <c r="L9" s="16"/>
      <c r="M9" s="16"/>
    </row>
    <row r="10" spans="1:66" x14ac:dyDescent="0.25">
      <c r="A10" s="18" t="s">
        <v>16</v>
      </c>
      <c r="B10" s="19"/>
      <c r="C10" s="20">
        <f>G10+K10</f>
        <v>25652</v>
      </c>
      <c r="D10" s="20">
        <f t="shared" ref="D10:E10" si="0">H10+L10</f>
        <v>9573</v>
      </c>
      <c r="E10" s="20">
        <f t="shared" si="0"/>
        <v>16079</v>
      </c>
      <c r="F10" s="20"/>
      <c r="G10" s="20">
        <f>SUM(H10:I10)</f>
        <v>9280</v>
      </c>
      <c r="H10" s="20">
        <f>SUM(H11:H21)</f>
        <v>3678</v>
      </c>
      <c r="I10" s="20">
        <f>SUM(I11:I21)</f>
        <v>5602</v>
      </c>
      <c r="J10" s="20"/>
      <c r="K10" s="20">
        <f>SUM(L10:M10)</f>
        <v>16372</v>
      </c>
      <c r="L10" s="20">
        <f>SUM(L11:L21)</f>
        <v>5895</v>
      </c>
      <c r="M10" s="20">
        <f>SUM(M11:M21)</f>
        <v>10477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6" x14ac:dyDescent="0.25">
      <c r="A11" s="22" t="s">
        <v>17</v>
      </c>
      <c r="B11" s="23"/>
      <c r="C11" s="20">
        <f t="shared" ref="C11:C21" si="1">G11+K11</f>
        <v>199</v>
      </c>
      <c r="D11" s="24">
        <f t="shared" ref="D11:D21" si="2">H11+L11</f>
        <v>77</v>
      </c>
      <c r="E11" s="24">
        <f t="shared" ref="E11:E21" si="3">I11+M11</f>
        <v>122</v>
      </c>
      <c r="F11" s="25"/>
      <c r="G11" s="20">
        <f t="shared" ref="G11:G21" si="4">SUM(H11:I11)</f>
        <v>138</v>
      </c>
      <c r="H11" s="41">
        <v>57</v>
      </c>
      <c r="I11" s="41">
        <v>81</v>
      </c>
      <c r="J11" s="25"/>
      <c r="K11" s="20">
        <f t="shared" ref="K11:K21" si="5">SUM(L11:M11)</f>
        <v>61</v>
      </c>
      <c r="L11" s="41">
        <v>20</v>
      </c>
      <c r="M11" s="41">
        <v>41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</row>
    <row r="12" spans="1:66" x14ac:dyDescent="0.25">
      <c r="A12" s="22" t="s">
        <v>18</v>
      </c>
      <c r="B12" s="23"/>
      <c r="C12" s="20">
        <f t="shared" si="1"/>
        <v>1909</v>
      </c>
      <c r="D12" s="24">
        <f t="shared" si="2"/>
        <v>506</v>
      </c>
      <c r="E12" s="24">
        <f t="shared" si="3"/>
        <v>1403</v>
      </c>
      <c r="F12" s="25"/>
      <c r="G12" s="20">
        <f t="shared" si="4"/>
        <v>857</v>
      </c>
      <c r="H12" s="41">
        <v>288</v>
      </c>
      <c r="I12" s="41">
        <v>569</v>
      </c>
      <c r="J12" s="25"/>
      <c r="K12" s="20">
        <f t="shared" si="5"/>
        <v>1052</v>
      </c>
      <c r="L12" s="41">
        <v>218</v>
      </c>
      <c r="M12" s="41">
        <v>834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</row>
    <row r="13" spans="1:66" x14ac:dyDescent="0.25">
      <c r="A13" s="22" t="s">
        <v>19</v>
      </c>
      <c r="B13" s="23"/>
      <c r="C13" s="20">
        <f t="shared" si="1"/>
        <v>4406</v>
      </c>
      <c r="D13" s="24">
        <f t="shared" si="2"/>
        <v>1151</v>
      </c>
      <c r="E13" s="24">
        <f t="shared" si="3"/>
        <v>3255</v>
      </c>
      <c r="F13" s="25"/>
      <c r="G13" s="20">
        <f t="shared" si="4"/>
        <v>1505</v>
      </c>
      <c r="H13" s="41">
        <v>452</v>
      </c>
      <c r="I13" s="41">
        <v>1053</v>
      </c>
      <c r="J13" s="25"/>
      <c r="K13" s="20">
        <f t="shared" si="5"/>
        <v>2901</v>
      </c>
      <c r="L13" s="43">
        <v>699</v>
      </c>
      <c r="M13" s="41">
        <v>2202</v>
      </c>
      <c r="N13" s="21"/>
      <c r="O13" s="21"/>
      <c r="P13" s="21"/>
      <c r="Q13" s="2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6"/>
      <c r="BJ13" s="7"/>
      <c r="BK13" s="7"/>
      <c r="BL13" s="7"/>
      <c r="BM13" s="6"/>
      <c r="BN13" s="7"/>
    </row>
    <row r="14" spans="1:66" x14ac:dyDescent="0.25">
      <c r="A14" s="22" t="s">
        <v>20</v>
      </c>
      <c r="B14" s="23"/>
      <c r="C14" s="20">
        <f t="shared" si="1"/>
        <v>5157</v>
      </c>
      <c r="D14" s="24">
        <f t="shared" si="2"/>
        <v>1640</v>
      </c>
      <c r="E14" s="24">
        <f t="shared" si="3"/>
        <v>3517</v>
      </c>
      <c r="F14" s="25"/>
      <c r="G14" s="20">
        <f t="shared" si="4"/>
        <v>1714</v>
      </c>
      <c r="H14" s="41">
        <v>621</v>
      </c>
      <c r="I14" s="41">
        <v>1093</v>
      </c>
      <c r="J14" s="25"/>
      <c r="K14" s="20">
        <f t="shared" si="5"/>
        <v>3443</v>
      </c>
      <c r="L14" s="41">
        <v>1019</v>
      </c>
      <c r="M14" s="41">
        <v>2424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6" x14ac:dyDescent="0.25">
      <c r="A15" s="22" t="s">
        <v>21</v>
      </c>
      <c r="B15" s="23"/>
      <c r="C15" s="20">
        <f t="shared" si="1"/>
        <v>4096</v>
      </c>
      <c r="D15" s="24">
        <f t="shared" si="2"/>
        <v>1558</v>
      </c>
      <c r="E15" s="24">
        <f t="shared" si="3"/>
        <v>2538</v>
      </c>
      <c r="F15" s="25"/>
      <c r="G15" s="20">
        <f t="shared" si="4"/>
        <v>1383</v>
      </c>
      <c r="H15" s="41">
        <v>561</v>
      </c>
      <c r="I15" s="41">
        <v>822</v>
      </c>
      <c r="J15" s="25"/>
      <c r="K15" s="20">
        <f t="shared" si="5"/>
        <v>2713</v>
      </c>
      <c r="L15" s="41">
        <v>997</v>
      </c>
      <c r="M15" s="41">
        <v>1716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6" x14ac:dyDescent="0.25">
      <c r="A16" s="22" t="s">
        <v>22</v>
      </c>
      <c r="B16" s="23"/>
      <c r="C16" s="20">
        <f t="shared" si="1"/>
        <v>3101</v>
      </c>
      <c r="D16" s="24">
        <f t="shared" si="2"/>
        <v>1184</v>
      </c>
      <c r="E16" s="24">
        <f t="shared" si="3"/>
        <v>1917</v>
      </c>
      <c r="F16" s="25"/>
      <c r="G16" s="20">
        <f t="shared" si="4"/>
        <v>1159</v>
      </c>
      <c r="H16" s="41">
        <v>438</v>
      </c>
      <c r="I16" s="41">
        <v>721</v>
      </c>
      <c r="J16" s="25"/>
      <c r="K16" s="20">
        <f t="shared" si="5"/>
        <v>1942</v>
      </c>
      <c r="L16" s="41">
        <v>746</v>
      </c>
      <c r="M16" s="41">
        <v>1196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1:75" x14ac:dyDescent="0.25">
      <c r="A17" s="22" t="s">
        <v>23</v>
      </c>
      <c r="B17" s="23"/>
      <c r="C17" s="20">
        <f t="shared" si="1"/>
        <v>2585</v>
      </c>
      <c r="D17" s="24">
        <f t="shared" si="2"/>
        <v>1146</v>
      </c>
      <c r="E17" s="24">
        <f t="shared" si="3"/>
        <v>1439</v>
      </c>
      <c r="F17" s="25"/>
      <c r="G17" s="20">
        <f t="shared" si="4"/>
        <v>977</v>
      </c>
      <c r="H17" s="41">
        <v>438</v>
      </c>
      <c r="I17" s="41">
        <v>539</v>
      </c>
      <c r="J17" s="25"/>
      <c r="K17" s="20">
        <f t="shared" si="5"/>
        <v>1608</v>
      </c>
      <c r="L17" s="41">
        <v>708</v>
      </c>
      <c r="M17" s="41">
        <v>900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1:75" x14ac:dyDescent="0.25">
      <c r="A18" s="22" t="s">
        <v>24</v>
      </c>
      <c r="B18" s="23"/>
      <c r="C18" s="20">
        <f t="shared" si="1"/>
        <v>2103</v>
      </c>
      <c r="D18" s="24">
        <f t="shared" si="2"/>
        <v>1018</v>
      </c>
      <c r="E18" s="24">
        <f t="shared" si="3"/>
        <v>1085</v>
      </c>
      <c r="F18" s="25"/>
      <c r="G18" s="20">
        <f t="shared" si="4"/>
        <v>750</v>
      </c>
      <c r="H18" s="41">
        <v>364</v>
      </c>
      <c r="I18" s="41">
        <v>386</v>
      </c>
      <c r="J18" s="25"/>
      <c r="K18" s="20">
        <f t="shared" si="5"/>
        <v>1353</v>
      </c>
      <c r="L18" s="41">
        <v>654</v>
      </c>
      <c r="M18" s="41">
        <v>699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1:75" x14ac:dyDescent="0.25">
      <c r="A19" s="22" t="s">
        <v>25</v>
      </c>
      <c r="B19" s="23"/>
      <c r="C19" s="20">
        <f t="shared" si="1"/>
        <v>1276</v>
      </c>
      <c r="D19" s="24">
        <f t="shared" si="2"/>
        <v>752</v>
      </c>
      <c r="E19" s="24">
        <f t="shared" si="3"/>
        <v>524</v>
      </c>
      <c r="F19" s="25"/>
      <c r="G19" s="20">
        <f t="shared" si="4"/>
        <v>491</v>
      </c>
      <c r="H19" s="41">
        <v>275</v>
      </c>
      <c r="I19" s="41">
        <v>216</v>
      </c>
      <c r="J19" s="25"/>
      <c r="K19" s="20">
        <f t="shared" si="5"/>
        <v>785</v>
      </c>
      <c r="L19" s="41">
        <v>477</v>
      </c>
      <c r="M19" s="41">
        <v>308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1:75" x14ac:dyDescent="0.25">
      <c r="A20" s="22" t="s">
        <v>26</v>
      </c>
      <c r="B20" s="23"/>
      <c r="C20" s="20">
        <f t="shared" si="1"/>
        <v>812</v>
      </c>
      <c r="D20" s="24">
        <f t="shared" si="2"/>
        <v>535</v>
      </c>
      <c r="E20" s="24">
        <f t="shared" si="3"/>
        <v>277</v>
      </c>
      <c r="F20" s="25"/>
      <c r="G20" s="20">
        <f t="shared" si="4"/>
        <v>300</v>
      </c>
      <c r="H20" s="41">
        <v>180</v>
      </c>
      <c r="I20" s="41">
        <v>120</v>
      </c>
      <c r="J20" s="25"/>
      <c r="K20" s="20">
        <f t="shared" si="5"/>
        <v>512</v>
      </c>
      <c r="L20" s="41">
        <v>355</v>
      </c>
      <c r="M20" s="41">
        <v>157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N20" s="47" t="s">
        <v>0</v>
      </c>
      <c r="BO20" s="47"/>
      <c r="BP20" s="47"/>
      <c r="BQ20" s="47" t="s">
        <v>1</v>
      </c>
      <c r="BR20" s="47"/>
      <c r="BS20" s="47"/>
      <c r="BT20" s="47" t="s">
        <v>13</v>
      </c>
      <c r="BU20" s="47"/>
      <c r="BV20" s="47"/>
    </row>
    <row r="21" spans="1:75" x14ac:dyDescent="0.25">
      <c r="A21" s="26" t="s">
        <v>27</v>
      </c>
      <c r="B21" s="27"/>
      <c r="C21" s="28">
        <f t="shared" si="1"/>
        <v>8</v>
      </c>
      <c r="D21" s="29">
        <f t="shared" si="2"/>
        <v>6</v>
      </c>
      <c r="E21" s="29">
        <f t="shared" si="3"/>
        <v>2</v>
      </c>
      <c r="F21" s="30"/>
      <c r="G21" s="28">
        <f t="shared" si="4"/>
        <v>6</v>
      </c>
      <c r="H21" s="42">
        <v>4</v>
      </c>
      <c r="I21" s="42">
        <v>2</v>
      </c>
      <c r="J21" s="30"/>
      <c r="K21" s="28">
        <f t="shared" si="5"/>
        <v>2</v>
      </c>
      <c r="L21" s="42">
        <v>2</v>
      </c>
      <c r="M21" s="42">
        <v>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M21" s="14"/>
      <c r="BN21" s="3" t="s">
        <v>15</v>
      </c>
      <c r="BO21" s="3" t="s">
        <v>5</v>
      </c>
      <c r="BP21" s="3" t="s">
        <v>6</v>
      </c>
      <c r="BQ21" s="3" t="s">
        <v>15</v>
      </c>
      <c r="BR21" s="3" t="s">
        <v>5</v>
      </c>
      <c r="BS21" s="3" t="s">
        <v>6</v>
      </c>
      <c r="BT21" s="3" t="s">
        <v>15</v>
      </c>
      <c r="BU21" s="3" t="s">
        <v>5</v>
      </c>
      <c r="BV21" s="3" t="s">
        <v>6</v>
      </c>
    </row>
    <row r="22" spans="1:75" s="2" customFormat="1" ht="17.25" x14ac:dyDescent="0.25">
      <c r="A22" s="9" t="s">
        <v>7</v>
      </c>
      <c r="B22" s="31"/>
      <c r="C22" s="32"/>
      <c r="D22" s="32"/>
      <c r="E22" s="32"/>
      <c r="F22" s="32"/>
      <c r="G22" s="32"/>
      <c r="H22" s="32"/>
      <c r="I22" s="32"/>
      <c r="M22" s="10" t="s">
        <v>8</v>
      </c>
      <c r="BM22" s="1">
        <v>2012</v>
      </c>
      <c r="BN22" s="34">
        <v>17657</v>
      </c>
      <c r="BO22" s="34">
        <v>8603</v>
      </c>
      <c r="BP22" s="34">
        <v>9054</v>
      </c>
      <c r="BQ22" s="34">
        <v>7540</v>
      </c>
      <c r="BR22" s="34">
        <v>3549</v>
      </c>
      <c r="BS22" s="34">
        <v>3991</v>
      </c>
      <c r="BT22" s="34">
        <v>10117</v>
      </c>
      <c r="BU22" s="34">
        <v>5054</v>
      </c>
      <c r="BV22" s="34">
        <v>5063</v>
      </c>
      <c r="BW22" s="1"/>
    </row>
    <row r="23" spans="1:75" x14ac:dyDescent="0.25">
      <c r="BM23" s="1">
        <v>2013</v>
      </c>
      <c r="BN23" s="1">
        <v>24207</v>
      </c>
      <c r="BO23" s="1">
        <v>11219</v>
      </c>
      <c r="BP23" s="1">
        <v>12988</v>
      </c>
      <c r="BQ23" s="1">
        <v>8522</v>
      </c>
      <c r="BR23" s="1">
        <v>3837</v>
      </c>
      <c r="BS23" s="1">
        <v>4685</v>
      </c>
      <c r="BT23" s="1">
        <v>15685</v>
      </c>
      <c r="BU23" s="1">
        <v>7382</v>
      </c>
      <c r="BV23" s="1">
        <v>8303</v>
      </c>
    </row>
    <row r="24" spans="1:75" x14ac:dyDescent="0.25">
      <c r="BM24" s="33">
        <v>2014</v>
      </c>
      <c r="BN24" s="35">
        <v>24883</v>
      </c>
      <c r="BO24" s="35">
        <v>11547</v>
      </c>
      <c r="BP24" s="35">
        <v>13336</v>
      </c>
      <c r="BQ24" s="35">
        <v>8749</v>
      </c>
      <c r="BR24" s="35">
        <v>3839</v>
      </c>
      <c r="BS24" s="35">
        <v>4910</v>
      </c>
      <c r="BT24" s="35">
        <v>16134</v>
      </c>
      <c r="BU24" s="35">
        <v>7708</v>
      </c>
      <c r="BV24" s="35">
        <v>8426</v>
      </c>
    </row>
    <row r="25" spans="1:75" x14ac:dyDescent="0.25">
      <c r="BM25" s="1">
        <v>2015</v>
      </c>
      <c r="BN25" s="35">
        <v>24696</v>
      </c>
      <c r="BO25" s="35">
        <v>11191</v>
      </c>
      <c r="BP25" s="35">
        <v>13505</v>
      </c>
      <c r="BQ25" s="35">
        <v>8549</v>
      </c>
      <c r="BR25" s="35">
        <v>3692</v>
      </c>
      <c r="BS25" s="35">
        <v>4857</v>
      </c>
      <c r="BT25" s="35">
        <v>16147</v>
      </c>
      <c r="BU25" s="35">
        <v>7499</v>
      </c>
      <c r="BV25" s="35">
        <v>8648</v>
      </c>
    </row>
    <row r="26" spans="1:75" x14ac:dyDescent="0.25">
      <c r="BM26" s="1">
        <v>2016</v>
      </c>
      <c r="BN26" s="1">
        <v>24501</v>
      </c>
      <c r="BO26" s="1">
        <v>10881</v>
      </c>
      <c r="BP26" s="1">
        <v>13620</v>
      </c>
      <c r="BQ26" s="1">
        <v>9500</v>
      </c>
      <c r="BR26" s="1">
        <v>4500</v>
      </c>
      <c r="BS26" s="1">
        <v>5000</v>
      </c>
      <c r="BT26" s="1">
        <v>15001</v>
      </c>
      <c r="BU26" s="1">
        <v>6381</v>
      </c>
      <c r="BV26" s="1">
        <v>8620</v>
      </c>
    </row>
    <row r="27" spans="1:75" x14ac:dyDescent="0.25">
      <c r="C27" s="14" t="s">
        <v>14</v>
      </c>
      <c r="D27" s="1" t="s">
        <v>5</v>
      </c>
      <c r="E27" s="1" t="s">
        <v>6</v>
      </c>
      <c r="BM27" s="1">
        <v>2017</v>
      </c>
      <c r="BN27" s="1">
        <v>22082</v>
      </c>
      <c r="BO27" s="1">
        <v>8907</v>
      </c>
      <c r="BP27" s="1">
        <v>13175</v>
      </c>
      <c r="BQ27" s="1">
        <v>8977</v>
      </c>
      <c r="BR27" s="1">
        <v>4008</v>
      </c>
      <c r="BS27" s="1">
        <v>4969</v>
      </c>
      <c r="BT27" s="1">
        <v>13105</v>
      </c>
      <c r="BU27" s="1">
        <v>4899</v>
      </c>
      <c r="BV27" s="1">
        <v>8206</v>
      </c>
    </row>
    <row r="28" spans="1:75" x14ac:dyDescent="0.25">
      <c r="C28" s="23" t="s">
        <v>17</v>
      </c>
      <c r="D28" s="36">
        <v>8</v>
      </c>
      <c r="E28" s="36">
        <v>12</v>
      </c>
      <c r="BM28" s="1">
        <v>2018</v>
      </c>
      <c r="BN28" s="1">
        <v>23647</v>
      </c>
      <c r="BO28" s="1">
        <v>9122</v>
      </c>
      <c r="BP28" s="1">
        <v>14525</v>
      </c>
      <c r="BQ28" s="1">
        <v>8833</v>
      </c>
      <c r="BR28" s="1">
        <v>3791</v>
      </c>
      <c r="BS28" s="1">
        <v>5042</v>
      </c>
      <c r="BT28" s="1">
        <v>14814</v>
      </c>
      <c r="BU28" s="1">
        <v>5331</v>
      </c>
      <c r="BV28" s="1">
        <v>9483</v>
      </c>
    </row>
    <row r="29" spans="1:75" x14ac:dyDescent="0.25">
      <c r="C29" s="23" t="s">
        <v>18</v>
      </c>
      <c r="D29" s="36">
        <v>554</v>
      </c>
      <c r="E29" s="36">
        <v>736</v>
      </c>
      <c r="BM29" s="1">
        <v>2019</v>
      </c>
      <c r="BN29" s="39">
        <f>C10</f>
        <v>25652</v>
      </c>
      <c r="BO29" s="39">
        <f>D10</f>
        <v>9573</v>
      </c>
      <c r="BP29" s="39">
        <f>E10</f>
        <v>16079</v>
      </c>
      <c r="BQ29" s="39">
        <f>G10</f>
        <v>9280</v>
      </c>
      <c r="BR29" s="39">
        <f>H10</f>
        <v>3678</v>
      </c>
      <c r="BS29" s="39">
        <f>I10</f>
        <v>5602</v>
      </c>
      <c r="BT29" s="39">
        <f>K10</f>
        <v>16372</v>
      </c>
      <c r="BU29" s="39">
        <f>L10</f>
        <v>5895</v>
      </c>
      <c r="BV29" s="39">
        <f>M10</f>
        <v>10477</v>
      </c>
    </row>
    <row r="30" spans="1:75" x14ac:dyDescent="0.25">
      <c r="C30" s="23" t="s">
        <v>19</v>
      </c>
      <c r="D30" s="36">
        <v>1534</v>
      </c>
      <c r="E30" s="36">
        <v>2232</v>
      </c>
    </row>
    <row r="31" spans="1:75" x14ac:dyDescent="0.25">
      <c r="C31" s="23" t="s">
        <v>20</v>
      </c>
      <c r="D31" s="36">
        <v>1451</v>
      </c>
      <c r="E31" s="36">
        <v>1873</v>
      </c>
    </row>
    <row r="32" spans="1:75" x14ac:dyDescent="0.25">
      <c r="C32" s="23" t="s">
        <v>21</v>
      </c>
      <c r="D32" s="36">
        <v>1208</v>
      </c>
      <c r="E32" s="36">
        <v>1440</v>
      </c>
    </row>
    <row r="33" spans="3:5" x14ac:dyDescent="0.25">
      <c r="C33" s="23" t="s">
        <v>22</v>
      </c>
      <c r="D33" s="36">
        <v>1108</v>
      </c>
      <c r="E33" s="36">
        <v>1123</v>
      </c>
    </row>
    <row r="34" spans="3:5" x14ac:dyDescent="0.25">
      <c r="C34" s="23" t="s">
        <v>23</v>
      </c>
      <c r="D34" s="36">
        <v>954</v>
      </c>
      <c r="E34" s="36">
        <v>776</v>
      </c>
    </row>
    <row r="35" spans="3:5" x14ac:dyDescent="0.25">
      <c r="C35" s="23" t="s">
        <v>24</v>
      </c>
      <c r="D35" s="36">
        <v>781</v>
      </c>
      <c r="E35" s="36">
        <v>448</v>
      </c>
    </row>
    <row r="36" spans="3:5" x14ac:dyDescent="0.25">
      <c r="C36" s="23" t="s">
        <v>25</v>
      </c>
      <c r="D36" s="36">
        <v>611</v>
      </c>
      <c r="E36" s="36">
        <v>282</v>
      </c>
    </row>
    <row r="37" spans="3:5" x14ac:dyDescent="0.25">
      <c r="C37" s="23" t="s">
        <v>26</v>
      </c>
      <c r="D37" s="36">
        <v>327</v>
      </c>
      <c r="E37" s="36">
        <v>114</v>
      </c>
    </row>
    <row r="38" spans="3:5" x14ac:dyDescent="0.25">
      <c r="C38" s="27" t="s">
        <v>27</v>
      </c>
      <c r="D38" s="37">
        <v>67</v>
      </c>
      <c r="E38" s="37">
        <v>18</v>
      </c>
    </row>
    <row r="49" spans="15:65" x14ac:dyDescent="0.25"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</row>
    <row r="50" spans="15:65" x14ac:dyDescent="0.25"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</row>
    <row r="51" spans="15:65" x14ac:dyDescent="0.25"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</row>
    <row r="52" spans="15:65" x14ac:dyDescent="0.25"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</row>
    <row r="53" spans="15:65" x14ac:dyDescent="0.25"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</row>
    <row r="54" spans="15:65" x14ac:dyDescent="0.25"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</row>
    <row r="55" spans="15:65" x14ac:dyDescent="0.25"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</row>
    <row r="56" spans="15:65" x14ac:dyDescent="0.25"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</row>
    <row r="57" spans="15:65" x14ac:dyDescent="0.25"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</row>
    <row r="58" spans="15:65" x14ac:dyDescent="0.25"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</row>
    <row r="59" spans="15:65" x14ac:dyDescent="0.25"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</row>
    <row r="60" spans="15:65" x14ac:dyDescent="0.25"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</row>
    <row r="61" spans="15:65" x14ac:dyDescent="0.25"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</row>
    <row r="62" spans="15:65" x14ac:dyDescent="0.25"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</row>
    <row r="63" spans="15:65" x14ac:dyDescent="0.25"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</row>
    <row r="64" spans="15:65" x14ac:dyDescent="0.25"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</row>
    <row r="65" spans="15:65" x14ac:dyDescent="0.25"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</row>
  </sheetData>
  <mergeCells count="14">
    <mergeCell ref="A7:A8"/>
    <mergeCell ref="BN20:BP20"/>
    <mergeCell ref="BQ20:BS20"/>
    <mergeCell ref="BT20:BV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2020-06-26T16:54:50Z</cp:lastPrinted>
  <dcterms:created xsi:type="dcterms:W3CDTF">2019-06-03T04:17:39Z</dcterms:created>
  <dcterms:modified xsi:type="dcterms:W3CDTF">2020-06-26T16:55:46Z</dcterms:modified>
</cp:coreProperties>
</file>