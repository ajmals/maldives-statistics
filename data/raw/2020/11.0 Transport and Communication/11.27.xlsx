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4270" windowHeight="12720" tabRatio="949"/>
  </bookViews>
  <sheets>
    <sheet name="11.27" sheetId="11" r:id="rId1"/>
  </sheets>
  <externalReferences>
    <externalReference r:id="rId2"/>
    <externalReference r:id="rId3"/>
  </externalReferences>
  <definedNames>
    <definedName name="_xlnm.Print_Area" localSheetId="0">'11.27'!$A$1:$K$42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1" l="1"/>
  <c r="D7" i="11"/>
  <c r="B7" i="11"/>
  <c r="AH39" i="11" l="1"/>
  <c r="AH35" i="11"/>
  <c r="C7" i="11"/>
  <c r="AH36" i="11"/>
  <c r="E7" i="11"/>
  <c r="AH37" i="11" s="1"/>
  <c r="F7" i="11"/>
  <c r="AH38" i="11" s="1"/>
  <c r="G7" i="11"/>
  <c r="AH40" i="11"/>
  <c r="I7" i="11"/>
  <c r="AH41" i="11" s="1"/>
  <c r="AH34" i="11"/>
</calcChain>
</file>

<file path=xl/sharedStrings.xml><?xml version="1.0" encoding="utf-8"?>
<sst xmlns="http://schemas.openxmlformats.org/spreadsheetml/2006/main" count="44" uniqueCount="33">
  <si>
    <t>Total</t>
  </si>
  <si>
    <t>Month</t>
  </si>
  <si>
    <t>May</t>
  </si>
  <si>
    <t>Jan</t>
  </si>
  <si>
    <t>Feb</t>
  </si>
  <si>
    <t>Aug</t>
  </si>
  <si>
    <t>Sep</t>
  </si>
  <si>
    <t>Oct</t>
  </si>
  <si>
    <t>Nov</t>
  </si>
  <si>
    <t>Dec</t>
  </si>
  <si>
    <t>Male'</t>
  </si>
  <si>
    <t>Mar</t>
  </si>
  <si>
    <t>Apr</t>
  </si>
  <si>
    <t>Jun</t>
  </si>
  <si>
    <t>Jul</t>
  </si>
  <si>
    <t>Ferry service</t>
  </si>
  <si>
    <t>Bus service</t>
  </si>
  <si>
    <t>Source: Maldives Transport and Contracting Company</t>
  </si>
  <si>
    <t xml:space="preserve"> Hulhumale</t>
  </si>
  <si>
    <t>Villigili Ferry</t>
  </si>
  <si>
    <t>Villigili</t>
  </si>
  <si>
    <t>Hulhumale' Ferry</t>
  </si>
  <si>
    <t>Thilafushi</t>
  </si>
  <si>
    <t xml:space="preserve">Thilafushi </t>
  </si>
  <si>
    <t>Airport Bus</t>
  </si>
  <si>
    <t>Hulhumale'N1 &amp; N2</t>
  </si>
  <si>
    <t>Note:</t>
  </si>
  <si>
    <t>Hulhumale'N1 &amp; N2 bus</t>
  </si>
  <si>
    <t>Thilafushi ferry</t>
  </si>
  <si>
    <r>
      <rPr>
        <i/>
        <vertAlign val="superscript"/>
        <sz val="10"/>
        <rFont val="Calibri"/>
        <family val="2"/>
        <scheme val="minor"/>
      </rPr>
      <t>1_/</t>
    </r>
    <r>
      <rPr>
        <i/>
        <sz val="10"/>
        <rFont val="Calibri"/>
        <family val="2"/>
        <scheme val="minor"/>
      </rPr>
      <t xml:space="preserve"> : Metro Bus- Serves Hulhumale’ along its main transport routes and between Hulhumale’ and Velana International Airport (VIA). </t>
    </r>
  </si>
  <si>
    <r>
      <t>Bus service1</t>
    </r>
    <r>
      <rPr>
        <b/>
        <vertAlign val="superscript"/>
        <sz val="11"/>
        <color theme="1"/>
        <rFont val="Calibri"/>
        <family val="2"/>
        <scheme val="minor"/>
      </rPr>
      <t>_/</t>
    </r>
  </si>
  <si>
    <t>Table 11.27: Monthly passanger movement by mode of transport, 2019</t>
  </si>
  <si>
    <t>ތާވަލު 11.27: އެކި މަސްމަހު އެމް.ޓީ.ސީ.ސީ ދަތުރުފަތުރުގެ ޚިދުމަތް ބޭނުންކުރި ޕަސިންޖަރުންގެ އަދަދު،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</si>
</sst>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4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4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46">
    <xf numFmtId="0" fontId="0" fillId="0" borderId="0" xfId="0"/>
    <xf numFmtId="0" fontId="0" fillId="2" borderId="0" xfId="0" applyFill="1"/>
    <xf numFmtId="165" fontId="0" fillId="2" borderId="0" xfId="1" applyNumberFormat="1" applyFont="1" applyFill="1" applyBorder="1"/>
    <xf numFmtId="0" fontId="0" fillId="2" borderId="0" xfId="0" applyFill="1" applyBorder="1" applyAlignment="1">
      <alignment horizontal="left" indent="1"/>
    </xf>
    <xf numFmtId="0" fontId="8" fillId="2" borderId="0" xfId="0" applyFont="1" applyFill="1" applyBorder="1" applyAlignment="1">
      <alignment wrapText="1"/>
    </xf>
    <xf numFmtId="165" fontId="0" fillId="2" borderId="5" xfId="1" applyNumberFormat="1" applyFont="1" applyFill="1" applyBorder="1"/>
    <xf numFmtId="165" fontId="0" fillId="2" borderId="7" xfId="1" applyNumberFormat="1" applyFont="1" applyFill="1" applyBorder="1"/>
    <xf numFmtId="0" fontId="9" fillId="2" borderId="0" xfId="0" applyFont="1" applyFill="1"/>
    <xf numFmtId="0" fontId="10" fillId="2" borderId="0" xfId="0" applyFont="1" applyFill="1"/>
    <xf numFmtId="165" fontId="0" fillId="2" borderId="8" xfId="1" applyNumberFormat="1" applyFont="1" applyFill="1" applyBorder="1"/>
    <xf numFmtId="165" fontId="0" fillId="2" borderId="9" xfId="1" applyNumberFormat="1" applyFont="1" applyFill="1" applyBorder="1"/>
    <xf numFmtId="0" fontId="7" fillId="2" borderId="0" xfId="0" applyFont="1" applyFill="1"/>
    <xf numFmtId="3" fontId="0" fillId="2" borderId="0" xfId="0" applyNumberFormat="1" applyFill="1"/>
    <xf numFmtId="0" fontId="0" fillId="2" borderId="0" xfId="0" applyFill="1" applyBorder="1"/>
    <xf numFmtId="0" fontId="8" fillId="2" borderId="8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horizontal="right" vertical="center" wrapText="1"/>
    </xf>
    <xf numFmtId="165" fontId="8" fillId="2" borderId="0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indent="1"/>
    </xf>
    <xf numFmtId="165" fontId="0" fillId="2" borderId="15" xfId="1" applyNumberFormat="1" applyFont="1" applyFill="1" applyBorder="1"/>
    <xf numFmtId="165" fontId="8" fillId="2" borderId="13" xfId="0" applyNumberFormat="1" applyFont="1" applyFill="1" applyBorder="1" applyAlignment="1">
      <alignment horizontal="center" vertical="center"/>
    </xf>
    <xf numFmtId="165" fontId="0" fillId="2" borderId="13" xfId="1" applyNumberFormat="1" applyFont="1" applyFill="1" applyBorder="1"/>
    <xf numFmtId="165" fontId="0" fillId="2" borderId="14" xfId="1" applyNumberFormat="1" applyFont="1" applyFill="1" applyBorder="1"/>
    <xf numFmtId="165" fontId="8" fillId="2" borderId="7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right" vertical="center" wrapText="1"/>
    </xf>
    <xf numFmtId="0" fontId="0" fillId="2" borderId="0" xfId="0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2" xfId="0" applyFont="1" applyFill="1" applyBorder="1" applyAlignment="1">
      <alignment horizontal="right" vertical="center" wrapText="1"/>
    </xf>
    <xf numFmtId="0" fontId="8" fillId="2" borderId="15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colors>
    <mruColors>
      <color rgb="FFCF9F6F"/>
      <color rgb="FF996633"/>
      <color rgb="FFC28446"/>
      <color rgb="FF663300"/>
      <color rgb="FFE4C9AE"/>
      <color rgb="FF9A4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04733281079312E-2"/>
          <c:y val="0.13588344685272744"/>
          <c:w val="0.90344742441404724"/>
          <c:h val="0.63693262330647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2844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9930607265640108E-3"/>
                  <c:y val="1.9176793652238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3060-4075-BA20-F15BEEDFB67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341339537557121E-3"/>
                  <c:y val="2.3030358199444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060-4075-BA20-F15BEEDFB67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'11.27'!$AF$34:$AG$41</c:f>
              <c:multiLvlStrCache>
                <c:ptCount val="8"/>
                <c:lvl>
                  <c:pt idx="0">
                    <c:v>Male'</c:v>
                  </c:pt>
                  <c:pt idx="1">
                    <c:v> Hulhumale</c:v>
                  </c:pt>
                  <c:pt idx="2">
                    <c:v>Male'</c:v>
                  </c:pt>
                  <c:pt idx="3">
                    <c:v>Villigili</c:v>
                  </c:pt>
                  <c:pt idx="4">
                    <c:v>Male'</c:v>
                  </c:pt>
                  <c:pt idx="5">
                    <c:v>Thilafushi </c:v>
                  </c:pt>
                  <c:pt idx="6">
                    <c:v>Hulhumale'N1 &amp; N2 bus</c:v>
                  </c:pt>
                  <c:pt idx="7">
                    <c:v>Airport Bus</c:v>
                  </c:pt>
                </c:lvl>
                <c:lvl>
                  <c:pt idx="0">
                    <c:v>Hulhumale' Ferry</c:v>
                  </c:pt>
                  <c:pt idx="2">
                    <c:v>Villigili Ferry</c:v>
                  </c:pt>
                  <c:pt idx="4">
                    <c:v>Thilafushi ferry</c:v>
                  </c:pt>
                  <c:pt idx="6">
                    <c:v>Bus service</c:v>
                  </c:pt>
                </c:lvl>
              </c:multiLvlStrCache>
            </c:multiLvlStrRef>
          </c:cat>
          <c:val>
            <c:numRef>
              <c:f>'11.27'!$AH$34:$AH$41</c:f>
              <c:numCache>
                <c:formatCode>#,##0</c:formatCode>
                <c:ptCount val="8"/>
                <c:pt idx="0">
                  <c:v>894474</c:v>
                </c:pt>
                <c:pt idx="1">
                  <c:v>870825</c:v>
                </c:pt>
                <c:pt idx="2">
                  <c:v>2808718</c:v>
                </c:pt>
                <c:pt idx="3">
                  <c:v>2810878</c:v>
                </c:pt>
                <c:pt idx="4">
                  <c:v>342891</c:v>
                </c:pt>
                <c:pt idx="5">
                  <c:v>342132</c:v>
                </c:pt>
                <c:pt idx="6">
                  <c:v>261999</c:v>
                </c:pt>
                <c:pt idx="7">
                  <c:v>749463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60-4075-BA20-F15BEEDFB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27"/>
        <c:axId val="366756480"/>
        <c:axId val="366760008"/>
      </c:barChart>
      <c:catAx>
        <c:axId val="36675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60008"/>
        <c:crosses val="autoZero"/>
        <c:auto val="1"/>
        <c:lblAlgn val="ctr"/>
        <c:lblOffset val="100"/>
        <c:noMultiLvlLbl val="0"/>
      </c:catAx>
      <c:valAx>
        <c:axId val="36676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C9AE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5648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23</xdr:row>
      <xdr:rowOff>85726</xdr:rowOff>
    </xdr:from>
    <xdr:to>
      <xdr:col>10</xdr:col>
      <xdr:colOff>504825</xdr:colOff>
      <xdr:row>41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0.23388</cdr:x>
      <cdr:y>0.02581</cdr:y>
    </cdr:from>
    <cdr:to>
      <cdr:x>0.8</cdr:x>
      <cdr:y>0.10108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351" y="114301"/>
          <a:ext cx="49339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+mn-cs"/>
            </a:rPr>
            <a:t>Figure </a:t>
          </a:r>
          <a:r>
            <a:rPr lang="en-US" sz="12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11.14: Passenger 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+mn-cs"/>
            </a:rPr>
            <a:t>movement by type  of transport service, 2019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</a:endParaRPr>
        </a:p>
        <a:p xmlns:a="http://schemas.openxmlformats.org/drawingml/2006/main">
          <a:endParaRPr lang="en-US" sz="1200">
            <a:latin typeface="+mj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TRANSPORT%20_%20COMMUN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Sheet1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"/>
      <sheetName val="11.25"/>
      <sheetName val="11.26"/>
      <sheetName val="11.27"/>
      <sheetName val="11.28"/>
      <sheetName val="11.29"/>
      <sheetName val="11.30"/>
      <sheetName val="11.31"/>
      <sheetName val="11.24 &amp; 11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8">
          <cell r="A8" t="str">
            <v>January</v>
          </cell>
          <cell r="B8">
            <v>185073</v>
          </cell>
          <cell r="D8">
            <v>107622</v>
          </cell>
        </row>
        <row r="9">
          <cell r="A9" t="str">
            <v>February</v>
          </cell>
          <cell r="B9">
            <v>181716</v>
          </cell>
          <cell r="D9">
            <v>105630</v>
          </cell>
        </row>
        <row r="10">
          <cell r="A10" t="str">
            <v>March</v>
          </cell>
          <cell r="B10">
            <v>187082</v>
          </cell>
          <cell r="D10">
            <v>109464</v>
          </cell>
        </row>
        <row r="11">
          <cell r="A11" t="str">
            <v>April</v>
          </cell>
          <cell r="B11">
            <v>179428</v>
          </cell>
          <cell r="D11">
            <v>102150</v>
          </cell>
        </row>
        <row r="12">
          <cell r="A12" t="str">
            <v>May</v>
          </cell>
          <cell r="B12">
            <v>124830</v>
          </cell>
          <cell r="D12">
            <v>79579</v>
          </cell>
        </row>
        <row r="13">
          <cell r="A13" t="str">
            <v>June</v>
          </cell>
          <cell r="B13">
            <v>143580</v>
          </cell>
          <cell r="D13">
            <v>86442</v>
          </cell>
        </row>
        <row r="14">
          <cell r="A14" t="str">
            <v>July</v>
          </cell>
          <cell r="B14">
            <v>163224</v>
          </cell>
          <cell r="D14">
            <v>90383</v>
          </cell>
        </row>
        <row r="15">
          <cell r="A15" t="str">
            <v>August</v>
          </cell>
          <cell r="B15">
            <v>169600</v>
          </cell>
          <cell r="D15">
            <v>112311</v>
          </cell>
        </row>
        <row r="16">
          <cell r="A16" t="str">
            <v>September</v>
          </cell>
          <cell r="B16">
            <v>146522</v>
          </cell>
          <cell r="D16">
            <v>81780</v>
          </cell>
        </row>
        <row r="17">
          <cell r="A17" t="str">
            <v>October</v>
          </cell>
          <cell r="B17">
            <v>166734</v>
          </cell>
          <cell r="D17">
            <v>94716</v>
          </cell>
        </row>
        <row r="18">
          <cell r="A18" t="str">
            <v>November</v>
          </cell>
          <cell r="B18">
            <v>163740</v>
          </cell>
          <cell r="D18">
            <v>101425</v>
          </cell>
        </row>
        <row r="19">
          <cell r="A19" t="str">
            <v>December</v>
          </cell>
          <cell r="B19">
            <v>210869</v>
          </cell>
          <cell r="D19">
            <v>114946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41"/>
  <sheetViews>
    <sheetView tabSelected="1" zoomScaleNormal="100" workbookViewId="0">
      <selection sqref="A1:I1"/>
    </sheetView>
  </sheetViews>
  <sheetFormatPr defaultRowHeight="15" x14ac:dyDescent="0.25"/>
  <cols>
    <col min="1" max="1" width="9.140625" style="1"/>
    <col min="2" max="9" width="16.28515625" style="1" customWidth="1"/>
    <col min="10" max="12" width="14" style="1" customWidth="1"/>
    <col min="13" max="13" width="5.28515625" style="1" customWidth="1"/>
    <col min="14" max="28" width="7.140625" style="1" customWidth="1"/>
    <col min="29" max="31" width="5.85546875" style="1" customWidth="1"/>
    <col min="32" max="32" width="10.5703125" style="1" customWidth="1"/>
    <col min="33" max="33" width="12.7109375" style="1" customWidth="1"/>
    <col min="34" max="34" width="16" style="1" customWidth="1"/>
    <col min="35" max="35" width="5.85546875" style="1" customWidth="1"/>
    <col min="36" max="16384" width="9.140625" style="1"/>
  </cols>
  <sheetData>
    <row r="1" spans="1:12" ht="25.5" x14ac:dyDescent="0.25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27"/>
      <c r="K1" s="27"/>
      <c r="L1" s="27"/>
    </row>
    <row r="2" spans="1:12" x14ac:dyDescent="0.25">
      <c r="A2" s="29" t="s">
        <v>31</v>
      </c>
      <c r="B2" s="29"/>
      <c r="C2" s="29"/>
      <c r="D2" s="29"/>
      <c r="E2" s="29"/>
      <c r="F2" s="29"/>
      <c r="G2" s="29"/>
      <c r="H2" s="29"/>
      <c r="I2" s="29"/>
      <c r="J2" s="28"/>
      <c r="K2" s="28"/>
      <c r="L2" s="28"/>
    </row>
    <row r="3" spans="1:12" ht="15" customHeight="1" x14ac:dyDescent="0.25"/>
    <row r="4" spans="1:12" s="13" customFormat="1" ht="18" customHeight="1" x14ac:dyDescent="0.25">
      <c r="A4" s="31" t="s">
        <v>1</v>
      </c>
      <c r="B4" s="38" t="s">
        <v>15</v>
      </c>
      <c r="C4" s="38"/>
      <c r="D4" s="38"/>
      <c r="E4" s="38"/>
      <c r="F4" s="38"/>
      <c r="G4" s="39"/>
      <c r="H4" s="40" t="s">
        <v>30</v>
      </c>
      <c r="I4" s="41"/>
      <c r="J4" s="1"/>
      <c r="K4" s="1"/>
      <c r="L4" s="1"/>
    </row>
    <row r="5" spans="1:12" x14ac:dyDescent="0.25">
      <c r="A5" s="32"/>
      <c r="B5" s="42" t="s">
        <v>21</v>
      </c>
      <c r="C5" s="42"/>
      <c r="D5" s="43" t="s">
        <v>19</v>
      </c>
      <c r="E5" s="44"/>
      <c r="F5" s="42" t="s">
        <v>22</v>
      </c>
      <c r="G5" s="45"/>
      <c r="H5" s="36" t="s">
        <v>25</v>
      </c>
      <c r="I5" s="36" t="s">
        <v>24</v>
      </c>
    </row>
    <row r="6" spans="1:12" x14ac:dyDescent="0.25">
      <c r="A6" s="33"/>
      <c r="B6" s="15" t="s">
        <v>10</v>
      </c>
      <c r="C6" s="16" t="s">
        <v>18</v>
      </c>
      <c r="D6" s="14" t="s">
        <v>10</v>
      </c>
      <c r="E6" s="16" t="s">
        <v>20</v>
      </c>
      <c r="F6" s="15" t="s">
        <v>10</v>
      </c>
      <c r="G6" s="25" t="s">
        <v>23</v>
      </c>
      <c r="H6" s="37"/>
      <c r="I6" s="37"/>
      <c r="J6" s="13"/>
      <c r="K6" s="13"/>
      <c r="L6" s="13"/>
    </row>
    <row r="7" spans="1:12" x14ac:dyDescent="0.25">
      <c r="A7" s="4" t="s">
        <v>0</v>
      </c>
      <c r="B7" s="17">
        <f>SUM(B8:B19)</f>
        <v>894474</v>
      </c>
      <c r="C7" s="17">
        <f t="shared" ref="C7:I7" si="0">SUM(C8:C19)</f>
        <v>870825</v>
      </c>
      <c r="D7" s="23">
        <f>SUM(D8:D19)</f>
        <v>2808718</v>
      </c>
      <c r="E7" s="24">
        <f t="shared" si="0"/>
        <v>2810878</v>
      </c>
      <c r="F7" s="17">
        <f t="shared" si="0"/>
        <v>342891</v>
      </c>
      <c r="G7" s="20">
        <f t="shared" si="0"/>
        <v>342132</v>
      </c>
      <c r="H7" s="17">
        <f>SUM(H8:H19)</f>
        <v>261999</v>
      </c>
      <c r="I7" s="17">
        <f t="shared" si="0"/>
        <v>749463</v>
      </c>
    </row>
    <row r="8" spans="1:12" x14ac:dyDescent="0.25">
      <c r="A8" s="3" t="s">
        <v>3</v>
      </c>
      <c r="B8" s="2">
        <v>82997</v>
      </c>
      <c r="C8" s="2">
        <v>82758</v>
      </c>
      <c r="D8" s="6">
        <v>240985</v>
      </c>
      <c r="E8" s="5">
        <v>241507</v>
      </c>
      <c r="F8" s="2">
        <v>29325</v>
      </c>
      <c r="G8" s="21">
        <v>29047</v>
      </c>
      <c r="H8" s="2">
        <v>20963</v>
      </c>
      <c r="I8" s="2">
        <v>59854</v>
      </c>
    </row>
    <row r="9" spans="1:12" x14ac:dyDescent="0.25">
      <c r="A9" s="3" t="s">
        <v>4</v>
      </c>
      <c r="B9" s="2">
        <v>74249</v>
      </c>
      <c r="C9" s="2">
        <v>73165</v>
      </c>
      <c r="D9" s="6">
        <v>229408</v>
      </c>
      <c r="E9" s="5">
        <v>229020</v>
      </c>
      <c r="F9" s="2">
        <v>27998</v>
      </c>
      <c r="G9" s="21">
        <v>28282</v>
      </c>
      <c r="H9" s="2">
        <v>21669</v>
      </c>
      <c r="I9" s="2">
        <v>56464</v>
      </c>
    </row>
    <row r="10" spans="1:12" x14ac:dyDescent="0.25">
      <c r="A10" s="3" t="s">
        <v>11</v>
      </c>
      <c r="B10" s="2">
        <v>92489</v>
      </c>
      <c r="C10" s="2">
        <v>89808</v>
      </c>
      <c r="D10" s="6">
        <v>258894</v>
      </c>
      <c r="E10" s="5">
        <v>256881</v>
      </c>
      <c r="F10" s="2">
        <v>30316</v>
      </c>
      <c r="G10" s="21">
        <v>30731</v>
      </c>
      <c r="H10" s="2">
        <v>26586</v>
      </c>
      <c r="I10" s="2">
        <v>66955</v>
      </c>
    </row>
    <row r="11" spans="1:12" x14ac:dyDescent="0.25">
      <c r="A11" s="3" t="s">
        <v>12</v>
      </c>
      <c r="B11" s="2">
        <v>86132</v>
      </c>
      <c r="C11" s="2">
        <v>85792</v>
      </c>
      <c r="D11" s="6">
        <v>252302</v>
      </c>
      <c r="E11" s="5">
        <v>246819</v>
      </c>
      <c r="F11" s="2">
        <v>27787</v>
      </c>
      <c r="G11" s="21">
        <v>27076</v>
      </c>
      <c r="H11" s="2">
        <v>25514</v>
      </c>
      <c r="I11" s="2">
        <v>65981</v>
      </c>
    </row>
    <row r="12" spans="1:12" x14ac:dyDescent="0.25">
      <c r="A12" s="3" t="s">
        <v>2</v>
      </c>
      <c r="B12" s="2">
        <v>73943</v>
      </c>
      <c r="C12" s="2">
        <v>71691</v>
      </c>
      <c r="D12" s="6">
        <v>222752</v>
      </c>
      <c r="E12" s="5">
        <v>223594</v>
      </c>
      <c r="F12" s="2">
        <v>27207</v>
      </c>
      <c r="G12" s="21">
        <v>26661</v>
      </c>
      <c r="H12" s="2">
        <v>19126</v>
      </c>
      <c r="I12" s="2">
        <v>64455</v>
      </c>
    </row>
    <row r="13" spans="1:12" x14ac:dyDescent="0.25">
      <c r="A13" s="3" t="s">
        <v>13</v>
      </c>
      <c r="B13" s="2">
        <v>74094</v>
      </c>
      <c r="C13" s="2">
        <v>72912</v>
      </c>
      <c r="D13" s="6">
        <v>231922</v>
      </c>
      <c r="E13" s="5">
        <v>230434</v>
      </c>
      <c r="F13" s="2">
        <v>27614</v>
      </c>
      <c r="G13" s="21">
        <v>27370</v>
      </c>
      <c r="H13" s="2">
        <v>20512</v>
      </c>
      <c r="I13" s="2">
        <v>61689</v>
      </c>
    </row>
    <row r="14" spans="1:12" x14ac:dyDescent="0.25">
      <c r="A14" s="3" t="s">
        <v>14</v>
      </c>
      <c r="B14" s="2">
        <v>77001</v>
      </c>
      <c r="C14" s="2">
        <v>74260</v>
      </c>
      <c r="D14" s="6">
        <v>244906</v>
      </c>
      <c r="E14" s="5">
        <v>245128</v>
      </c>
      <c r="F14" s="2">
        <v>30617</v>
      </c>
      <c r="G14" s="21">
        <v>30121</v>
      </c>
      <c r="H14" s="2">
        <v>24608</v>
      </c>
      <c r="I14" s="2">
        <v>63746</v>
      </c>
    </row>
    <row r="15" spans="1:12" x14ac:dyDescent="0.25">
      <c r="A15" s="3" t="s">
        <v>5</v>
      </c>
      <c r="B15" s="2">
        <v>70589</v>
      </c>
      <c r="C15" s="2">
        <v>68064</v>
      </c>
      <c r="D15" s="6">
        <v>223499</v>
      </c>
      <c r="E15" s="5">
        <v>226021</v>
      </c>
      <c r="F15" s="2">
        <v>27997</v>
      </c>
      <c r="G15" s="21">
        <v>27658</v>
      </c>
      <c r="H15" s="2">
        <v>21934</v>
      </c>
      <c r="I15" s="2">
        <v>62316</v>
      </c>
    </row>
    <row r="16" spans="1:12" x14ac:dyDescent="0.25">
      <c r="A16" s="3" t="s">
        <v>6</v>
      </c>
      <c r="B16" s="2">
        <v>65456</v>
      </c>
      <c r="C16" s="2">
        <v>63360</v>
      </c>
      <c r="D16" s="6">
        <v>230435</v>
      </c>
      <c r="E16" s="5">
        <v>231079</v>
      </c>
      <c r="F16" s="2">
        <v>29705</v>
      </c>
      <c r="G16" s="21">
        <v>29458</v>
      </c>
      <c r="H16" s="2">
        <v>21182</v>
      </c>
      <c r="I16" s="2">
        <v>60017</v>
      </c>
    </row>
    <row r="17" spans="1:9" x14ac:dyDescent="0.25">
      <c r="A17" s="3" t="s">
        <v>7</v>
      </c>
      <c r="B17" s="2">
        <v>69097</v>
      </c>
      <c r="C17" s="2">
        <v>65424</v>
      </c>
      <c r="D17" s="6">
        <v>230173</v>
      </c>
      <c r="E17" s="5">
        <v>234751</v>
      </c>
      <c r="F17" s="2">
        <v>29156</v>
      </c>
      <c r="G17" s="21">
        <v>29947</v>
      </c>
      <c r="H17" s="2">
        <v>20928</v>
      </c>
      <c r="I17" s="2">
        <v>62578</v>
      </c>
    </row>
    <row r="18" spans="1:9" x14ac:dyDescent="0.25">
      <c r="A18" s="3" t="s">
        <v>8</v>
      </c>
      <c r="B18" s="2">
        <v>59121</v>
      </c>
      <c r="C18" s="2">
        <v>57275</v>
      </c>
      <c r="D18" s="6">
        <v>226137</v>
      </c>
      <c r="E18" s="5">
        <v>228290</v>
      </c>
      <c r="F18" s="2">
        <v>27279</v>
      </c>
      <c r="G18" s="21">
        <v>27178</v>
      </c>
      <c r="H18" s="2">
        <v>20346</v>
      </c>
      <c r="I18" s="2">
        <v>60312</v>
      </c>
    </row>
    <row r="19" spans="1:9" x14ac:dyDescent="0.25">
      <c r="A19" s="18" t="s">
        <v>9</v>
      </c>
      <c r="B19" s="19">
        <v>69306</v>
      </c>
      <c r="C19" s="19">
        <v>66316</v>
      </c>
      <c r="D19" s="9">
        <v>217305</v>
      </c>
      <c r="E19" s="10">
        <v>217354</v>
      </c>
      <c r="F19" s="19">
        <v>27890</v>
      </c>
      <c r="G19" s="22">
        <v>28603</v>
      </c>
      <c r="H19" s="19">
        <v>18631</v>
      </c>
      <c r="I19" s="19">
        <v>65096</v>
      </c>
    </row>
    <row r="20" spans="1:9" x14ac:dyDescent="0.25">
      <c r="A20" s="7" t="s">
        <v>26</v>
      </c>
    </row>
    <row r="21" spans="1:9" ht="15.75" x14ac:dyDescent="0.25">
      <c r="A21" s="11" t="s">
        <v>29</v>
      </c>
    </row>
    <row r="22" spans="1:9" x14ac:dyDescent="0.25">
      <c r="A22" s="8" t="s">
        <v>17</v>
      </c>
    </row>
    <row r="34" spans="32:34" x14ac:dyDescent="0.25">
      <c r="AF34" s="35" t="s">
        <v>21</v>
      </c>
      <c r="AG34" s="1" t="s">
        <v>10</v>
      </c>
      <c r="AH34" s="12">
        <f>B7</f>
        <v>894474</v>
      </c>
    </row>
    <row r="35" spans="32:34" x14ac:dyDescent="0.25">
      <c r="AF35" s="35"/>
      <c r="AG35" s="1" t="s">
        <v>18</v>
      </c>
      <c r="AH35" s="12">
        <f>C7</f>
        <v>870825</v>
      </c>
    </row>
    <row r="36" spans="32:34" ht="30" customHeight="1" x14ac:dyDescent="0.25">
      <c r="AF36" s="35" t="s">
        <v>19</v>
      </c>
      <c r="AG36" s="26" t="s">
        <v>10</v>
      </c>
      <c r="AH36" s="12">
        <f>D7</f>
        <v>2808718</v>
      </c>
    </row>
    <row r="37" spans="32:34" x14ac:dyDescent="0.25">
      <c r="AF37" s="35"/>
      <c r="AG37" s="1" t="s">
        <v>20</v>
      </c>
      <c r="AH37" s="12">
        <f>E7</f>
        <v>2810878</v>
      </c>
    </row>
    <row r="38" spans="32:34" ht="15" customHeight="1" x14ac:dyDescent="0.25">
      <c r="AF38" s="35" t="s">
        <v>28</v>
      </c>
      <c r="AG38" s="1" t="s">
        <v>10</v>
      </c>
      <c r="AH38" s="12">
        <f>F7</f>
        <v>342891</v>
      </c>
    </row>
    <row r="39" spans="32:34" x14ac:dyDescent="0.25">
      <c r="AF39" s="35"/>
      <c r="AG39" s="1" t="s">
        <v>23</v>
      </c>
      <c r="AH39" s="12">
        <f>G7</f>
        <v>342132</v>
      </c>
    </row>
    <row r="40" spans="32:34" ht="15" customHeight="1" x14ac:dyDescent="0.25">
      <c r="AF40" s="34" t="s">
        <v>16</v>
      </c>
      <c r="AG40" s="1" t="s">
        <v>27</v>
      </c>
      <c r="AH40" s="12">
        <f>H7</f>
        <v>261999</v>
      </c>
    </row>
    <row r="41" spans="32:34" x14ac:dyDescent="0.25">
      <c r="AF41" s="34"/>
      <c r="AG41" s="1" t="s">
        <v>24</v>
      </c>
      <c r="AH41" s="12">
        <f>I7</f>
        <v>749463</v>
      </c>
    </row>
  </sheetData>
  <mergeCells count="14">
    <mergeCell ref="A1:I1"/>
    <mergeCell ref="A2:I2"/>
    <mergeCell ref="A4:A6"/>
    <mergeCell ref="AF40:AF41"/>
    <mergeCell ref="AF34:AF35"/>
    <mergeCell ref="AF36:AF37"/>
    <mergeCell ref="AF38:AF39"/>
    <mergeCell ref="H5:H6"/>
    <mergeCell ref="I5:I6"/>
    <mergeCell ref="B4:G4"/>
    <mergeCell ref="H4:I4"/>
    <mergeCell ref="B5:C5"/>
    <mergeCell ref="D5:E5"/>
    <mergeCell ref="F5:G5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11.27</vt:lpstr>
      <vt:lpstr>'11.27'!Print_Area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2020-10-10T12:36:02Z</cp:lastPrinted>
  <dcterms:created xsi:type="dcterms:W3CDTF">2019-03-24T03:32:16Z</dcterms:created>
  <dcterms:modified xsi:type="dcterms:W3CDTF">2020-10-10T12:36:41Z</dcterms:modified>
</cp:coreProperties>
</file>