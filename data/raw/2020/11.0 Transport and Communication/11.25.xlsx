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X:\Dissemination\Publications\Statistical Year Book\YEARBOOK 2020\SYB 2020 _latest\YEARBOOK 2020_Final\web\11. Transport\"/>
    </mc:Choice>
  </mc:AlternateContent>
  <bookViews>
    <workbookView xWindow="0" yWindow="0" windowWidth="28800" windowHeight="11535" tabRatio="799"/>
  </bookViews>
  <sheets>
    <sheet name="11.25" sheetId="14" r:id="rId1"/>
  </sheets>
  <definedNames>
    <definedName name="_xlnm.Print_Area" localSheetId="0">'11.25'!$A$1:$N$50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14" i="14" l="1"/>
  <c r="K14" i="14"/>
  <c r="J14" i="14"/>
  <c r="I14" i="14"/>
  <c r="H14" i="14"/>
  <c r="G14" i="14"/>
  <c r="F14" i="14"/>
  <c r="E14" i="14"/>
  <c r="L11" i="14"/>
  <c r="K11" i="14"/>
  <c r="J11" i="14"/>
  <c r="I11" i="14"/>
  <c r="H11" i="14"/>
  <c r="G11" i="14"/>
  <c r="F11" i="14"/>
  <c r="E11" i="14"/>
  <c r="D11" i="14"/>
  <c r="C11" i="14"/>
  <c r="L8" i="14"/>
  <c r="K8" i="14"/>
  <c r="J8" i="14"/>
  <c r="I8" i="14"/>
  <c r="H8" i="14"/>
  <c r="G8" i="14"/>
  <c r="F8" i="14"/>
  <c r="E8" i="14"/>
  <c r="D8" i="14"/>
  <c r="C8" i="14"/>
  <c r="L5" i="14"/>
  <c r="K5" i="14"/>
  <c r="J5" i="14"/>
  <c r="I5" i="14"/>
  <c r="H5" i="14"/>
  <c r="G5" i="14"/>
  <c r="F5" i="14"/>
  <c r="E5" i="14"/>
  <c r="D5" i="14"/>
  <c r="C5" i="14"/>
</calcChain>
</file>

<file path=xl/sharedStrings.xml><?xml version="1.0" encoding="utf-8"?>
<sst xmlns="http://schemas.openxmlformats.org/spreadsheetml/2006/main" count="42" uniqueCount="38">
  <si>
    <t>-</t>
  </si>
  <si>
    <t>cawtctwvWb</t>
  </si>
  <si>
    <t xml:space="preserve">          cniawl cnOfeleT cDcsckif</t>
  </si>
  <si>
    <t>Male' &amp; Greater Male' region</t>
  </si>
  <si>
    <t xml:space="preserve"> elWm  </t>
  </si>
  <si>
    <r>
      <t>Other Regions</t>
    </r>
    <r>
      <rPr>
        <vertAlign val="superscript"/>
        <sz val="11"/>
        <color theme="1"/>
        <rFont val="Calibri"/>
        <family val="2"/>
        <scheme val="minor"/>
      </rPr>
      <t>3</t>
    </r>
  </si>
  <si>
    <t>އެހެނިހެން ސަރަހައްދުތައް</t>
  </si>
  <si>
    <t xml:space="preserve">         cnOfEp</t>
  </si>
  <si>
    <t xml:space="preserve">iligiliv iaWa elWm  </t>
  </si>
  <si>
    <t>Other Islands</t>
  </si>
  <si>
    <t xml:space="preserve">cSwrcSwr cnehinehea  </t>
  </si>
  <si>
    <t>Mobile Subscriptions</t>
  </si>
  <si>
    <t xml:space="preserve">          cnOf cliawbOm</t>
  </si>
  <si>
    <t>Post paid</t>
  </si>
  <si>
    <t xml:space="preserve">cDiaepcTcsOp  </t>
  </si>
  <si>
    <t>Pre-paid</t>
  </si>
  <si>
    <t xml:space="preserve">cDiaepIrcp  </t>
  </si>
  <si>
    <t>EdukWritcxia cSwacTenrwTcnia</t>
  </si>
  <si>
    <t xml:space="preserve"> Wyinwtwv cDcnea ugWrid - csrwTErwpoa cmokeleT :ctWrwfivcaed utWmUluawm</t>
  </si>
  <si>
    <t>Prepared by: Communications Authority of Maldives (CAM)</t>
  </si>
  <si>
    <t>From 2011 onwards, (as nationwide mobile phone services were widely used) just the total number of payphones were collected</t>
  </si>
  <si>
    <r>
      <t>Internet subscribers</t>
    </r>
    <r>
      <rPr>
        <i/>
        <strike/>
        <sz val="10"/>
        <color theme="1"/>
        <rFont val="Calibri"/>
        <family val="2"/>
        <scheme val="minor"/>
      </rPr>
      <t xml:space="preserve"> </t>
    </r>
    <r>
      <rPr>
        <i/>
        <sz val="10"/>
        <color theme="1"/>
        <rFont val="Calibri"/>
        <family val="2"/>
        <scheme val="minor"/>
      </rPr>
      <t>from year 2010 inclusive of mobile internet customers</t>
    </r>
  </si>
  <si>
    <t>Prior to October 2011, ‘Fixed Lines’ data that we collected included DID’s (Direct Inward Dialling) Numbers.  From October 2011,  DID’s are not included as they are not considered as direct lines.</t>
  </si>
  <si>
    <t>Fixed Broadband</t>
  </si>
  <si>
    <r>
      <t xml:space="preserve">Mobile Broadband </t>
    </r>
    <r>
      <rPr>
        <vertAlign val="superscript"/>
        <sz val="11"/>
        <color theme="1"/>
        <rFont val="Calibri"/>
        <family val="2"/>
        <scheme val="minor"/>
      </rPr>
      <t>4</t>
    </r>
  </si>
  <si>
    <t>ފިކްސްޑް ބޮރޯޑް ބޭންޑު</t>
  </si>
  <si>
    <t>މޮބައިލް ބްރޯޑް ބޭންޑް</t>
  </si>
  <si>
    <t>From 2012. Internet Subscribers limited to Fixed and Mobile braodband customers (excl the few dial-up customers)</t>
  </si>
  <si>
    <t>From 2019, LTE Fixed Modem Subscribers included in Mobile Broadband figure.</t>
  </si>
  <si>
    <t>2019 totals included estimated totals for Dec 2019 for one of the operators, as data unavailable was not available due to a system issue.</t>
  </si>
  <si>
    <r>
      <t>Fixed Telephone Lines</t>
    </r>
    <r>
      <rPr>
        <b/>
        <vertAlign val="superscript"/>
        <sz val="11"/>
        <color theme="1"/>
        <rFont val="Calibri"/>
        <family val="2"/>
        <scheme val="minor"/>
      </rPr>
      <t>1</t>
    </r>
  </si>
  <si>
    <r>
      <t>Pay Phones (excluding private pay phones)</t>
    </r>
    <r>
      <rPr>
        <b/>
        <vertAlign val="superscript"/>
        <sz val="11"/>
        <color theme="1"/>
        <rFont val="Calibri"/>
        <family val="2"/>
        <scheme val="minor"/>
      </rPr>
      <t>2</t>
    </r>
  </si>
  <si>
    <r>
      <t>Internet Subscriptions</t>
    </r>
    <r>
      <rPr>
        <b/>
        <vertAlign val="superscript"/>
        <sz val="11"/>
        <color theme="1"/>
        <rFont val="Calibri"/>
        <family val="2"/>
        <scheme val="minor"/>
      </rPr>
      <t>3</t>
    </r>
  </si>
  <si>
    <t>Telecom densities are calculated based on projected mid-year populations from NBS.</t>
  </si>
  <si>
    <t>Source: Telecom Operators – Dhiraagu and Ooredhoo</t>
  </si>
  <si>
    <t>Table 11.25: TELECOMMUNICATION SERVICES, 2010 - 2019</t>
  </si>
  <si>
    <t xml:space="preserve">2019 - 2010 ,ctwmcdiK ItWlwsWvum : 11.25 ulwvWt </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</si>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</sst>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General_)"/>
    <numFmt numFmtId="165" formatCode="_(* #,##0_);_(* \(#,##0\);_(* &quot;-&quot;??_);_(@_)"/>
    <numFmt numFmtId="166" formatCode="#,##0.0"/>
    <numFmt numFmtId="167" formatCode="0.0"/>
  </numFmts>
  <fonts count="30" x14ac:knownFonts="1">
    <font>
      <sz val="11"/>
      <color theme="1"/>
      <name val="Calibri"/>
      <family val="2"/>
      <scheme val="minor"/>
    </font>
    <font>
      <sz val="11"/>
      <color theme="1"/>
      <name val="Calibri"/>
      <family val="2"/>
      <scheme val="minor"/>
    </font>
    <font>
      <sz val="10"/>
      <name val="Courier"/>
      <family val="3"/>
    </font>
    <font>
      <sz val="10"/>
      <name val="Arial"/>
      <family val="2"/>
    </font>
    <font>
      <sz val="10"/>
      <name val="MS Sans Serif"/>
      <family val="2"/>
    </font>
    <font>
      <sz val="10"/>
      <name val="Garamond"/>
      <family val="1"/>
    </font>
    <font>
      <sz val="10"/>
      <color theme="1"/>
      <name val="Calibri"/>
      <family val="2"/>
      <scheme val="minor"/>
    </font>
    <font>
      <b/>
      <sz val="11"/>
      <color theme="1"/>
      <name val="Calibri"/>
      <family val="2"/>
      <scheme val="minor"/>
    </font>
    <font>
      <b/>
      <sz val="10"/>
      <color theme="1"/>
      <name val="Calibri"/>
      <family val="2"/>
      <scheme val="minor"/>
    </font>
    <font>
      <i/>
      <sz val="10"/>
      <color theme="1"/>
      <name val="Calibri"/>
      <family val="2"/>
      <scheme val="minor"/>
    </font>
    <font>
      <i/>
      <sz val="9"/>
      <color theme="1"/>
      <name val="Calibri"/>
      <family val="2"/>
      <scheme val="minor"/>
    </font>
    <font>
      <b/>
      <vertAlign val="superscript"/>
      <sz val="11"/>
      <color theme="1"/>
      <name val="Calibri"/>
      <family val="2"/>
      <scheme val="minor"/>
    </font>
    <font>
      <b/>
      <sz val="11"/>
      <color theme="1"/>
      <name val="Arial"/>
      <family val="2"/>
    </font>
    <font>
      <b/>
      <sz val="10"/>
      <color theme="1"/>
      <name val="Arial"/>
      <family val="2"/>
    </font>
    <font>
      <b/>
      <sz val="10"/>
      <color theme="1"/>
      <name val="Calibri"/>
      <family val="2"/>
    </font>
    <font>
      <sz val="10"/>
      <color theme="1"/>
      <name val="Calibri"/>
      <family val="2"/>
    </font>
    <font>
      <vertAlign val="superscript"/>
      <sz val="11"/>
      <color theme="1"/>
      <name val="Calibri"/>
      <family val="2"/>
      <scheme val="minor"/>
    </font>
    <font>
      <sz val="10"/>
      <color theme="1"/>
      <name val="Faruma"/>
    </font>
    <font>
      <sz val="9"/>
      <color theme="1"/>
      <name val="Calibri"/>
      <family val="2"/>
      <scheme val="minor"/>
    </font>
    <font>
      <sz val="9"/>
      <color theme="1"/>
      <name val="A_Faseyha"/>
    </font>
    <font>
      <i/>
      <vertAlign val="superscript"/>
      <sz val="10"/>
      <color theme="1"/>
      <name val="Calibri"/>
      <family val="2"/>
      <scheme val="minor"/>
    </font>
    <font>
      <i/>
      <strike/>
      <sz val="10"/>
      <color theme="1"/>
      <name val="Calibri"/>
      <family val="2"/>
      <scheme val="minor"/>
    </font>
    <font>
      <sz val="10"/>
      <color theme="1"/>
      <name val="Arial"/>
      <family val="2"/>
    </font>
    <font>
      <sz val="9"/>
      <color theme="1"/>
      <name val="Arial"/>
      <family val="2"/>
    </font>
    <font>
      <sz val="10"/>
      <color theme="1"/>
      <name val="Courier"/>
      <family val="3"/>
    </font>
    <font>
      <u/>
      <sz val="10"/>
      <color indexed="12"/>
      <name val="Arial"/>
      <family val="2"/>
    </font>
    <font>
      <sz val="10"/>
      <color theme="0" tint="-0.499984740745262"/>
      <name val="Calibri"/>
      <family val="2"/>
    </font>
    <font>
      <sz val="10"/>
      <color theme="1"/>
      <name val="A_Faseyha"/>
    </font>
    <font>
      <b/>
      <sz val="10"/>
      <color theme="1"/>
      <name val="A_Faseyha"/>
    </font>
    <font>
      <b/>
      <sz val="11"/>
      <color theme="1"/>
      <name val="A_Faseyha"/>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bottom style="thin">
        <color indexed="64"/>
      </bottom>
      <diagonal/>
    </border>
  </borders>
  <cellStyleXfs count="11">
    <xf numFmtId="0" fontId="0" fillId="0" borderId="0"/>
    <xf numFmtId="164" fontId="2" fillId="0" borderId="0"/>
    <xf numFmtId="40" fontId="4" fillId="0" borderId="0" applyFont="0" applyFill="0" applyBorder="0" applyAlignment="0" applyProtection="0"/>
    <xf numFmtId="0" fontId="5" fillId="0" borderId="0"/>
    <xf numFmtId="165" fontId="2" fillId="0" borderId="0"/>
    <xf numFmtId="165" fontId="2" fillId="0" borderId="0"/>
    <xf numFmtId="167" fontId="2" fillId="0" borderId="0" applyFont="0" applyFill="0" applyBorder="0" applyAlignment="0" applyProtection="0"/>
    <xf numFmtId="0" fontId="25" fillId="0" borderId="0" applyNumberFormat="0" applyFill="0" applyBorder="0" applyAlignment="0" applyProtection="0">
      <alignment vertical="top"/>
      <protection locked="0"/>
    </xf>
    <xf numFmtId="0" fontId="1" fillId="0" borderId="0"/>
    <xf numFmtId="0" fontId="3" fillId="0" borderId="0"/>
    <xf numFmtId="0" fontId="3" fillId="0" borderId="0"/>
  </cellStyleXfs>
  <cellXfs count="55">
    <xf numFmtId="0" fontId="0" fillId="0" borderId="0" xfId="0"/>
    <xf numFmtId="164" fontId="12" fillId="2" borderId="0" xfId="4" applyNumberFormat="1" applyFont="1" applyFill="1"/>
    <xf numFmtId="164" fontId="6" fillId="2" borderId="0" xfId="4" applyNumberFormat="1" applyFont="1" applyFill="1"/>
    <xf numFmtId="164" fontId="13" fillId="2" borderId="1" xfId="4" applyNumberFormat="1" applyFont="1" applyFill="1" applyBorder="1" applyAlignment="1">
      <alignment horizontal="center"/>
    </xf>
    <xf numFmtId="164" fontId="6" fillId="2" borderId="0" xfId="4" applyNumberFormat="1" applyFont="1" applyFill="1" applyBorder="1"/>
    <xf numFmtId="164" fontId="7" fillId="2" borderId="2" xfId="4" applyNumberFormat="1" applyFont="1" applyFill="1" applyBorder="1"/>
    <xf numFmtId="164" fontId="14" fillId="2" borderId="2" xfId="4" applyNumberFormat="1" applyFont="1" applyFill="1" applyBorder="1" applyAlignment="1">
      <alignment horizontal="right" vertical="center"/>
    </xf>
    <xf numFmtId="164" fontId="7" fillId="2" borderId="0" xfId="4" applyNumberFormat="1" applyFont="1" applyFill="1"/>
    <xf numFmtId="3" fontId="14" fillId="2" borderId="0" xfId="4" applyNumberFormat="1" applyFont="1" applyFill="1" applyAlignment="1">
      <alignment horizontal="right" vertical="center"/>
    </xf>
    <xf numFmtId="164" fontId="8" fillId="2" borderId="0" xfId="4" applyNumberFormat="1" applyFont="1" applyFill="1"/>
    <xf numFmtId="164" fontId="1" fillId="2" borderId="0" xfId="4" applyNumberFormat="1" applyFont="1" applyFill="1"/>
    <xf numFmtId="164" fontId="0" fillId="2" borderId="0" xfId="4" applyNumberFormat="1" applyFont="1" applyFill="1" applyAlignment="1">
      <alignment vertical="center"/>
    </xf>
    <xf numFmtId="3" fontId="15" fillId="2" borderId="0" xfId="0" applyNumberFormat="1" applyFont="1" applyFill="1" applyAlignment="1">
      <alignment vertical="center"/>
    </xf>
    <xf numFmtId="0" fontId="17" fillId="2" borderId="0" xfId="3" applyFont="1" applyFill="1" applyBorder="1" applyAlignment="1">
      <alignment horizontal="right" vertical="center"/>
    </xf>
    <xf numFmtId="3" fontId="14" fillId="2" borderId="0" xfId="0" applyNumberFormat="1" applyFont="1" applyFill="1" applyAlignment="1">
      <alignment horizontal="right" vertical="center"/>
    </xf>
    <xf numFmtId="164" fontId="0" fillId="2" borderId="0" xfId="4" applyNumberFormat="1" applyFont="1" applyFill="1"/>
    <xf numFmtId="0" fontId="9" fillId="2" borderId="0" xfId="5" applyNumberFormat="1" applyFont="1" applyFill="1" applyAlignment="1">
      <alignment horizontal="left"/>
    </xf>
    <xf numFmtId="164" fontId="18" fillId="2" borderId="0" xfId="4" applyNumberFormat="1" applyFont="1" applyFill="1"/>
    <xf numFmtId="0" fontId="19" fillId="2" borderId="0" xfId="3" applyFont="1" applyFill="1" applyAlignment="1">
      <alignment horizontal="right" vertical="center"/>
    </xf>
    <xf numFmtId="0" fontId="6" fillId="2" borderId="0" xfId="5" applyNumberFormat="1" applyFont="1" applyFill="1" applyAlignment="1">
      <alignment horizontal="left"/>
    </xf>
    <xf numFmtId="164" fontId="9" fillId="2" borderId="0" xfId="4" applyNumberFormat="1" applyFont="1" applyFill="1"/>
    <xf numFmtId="0" fontId="18" fillId="2" borderId="0" xfId="3" applyFont="1" applyFill="1" applyAlignment="1">
      <alignment horizontal="right" vertical="center"/>
    </xf>
    <xf numFmtId="166" fontId="9" fillId="2" borderId="0" xfId="4" applyNumberFormat="1" applyFont="1" applyFill="1"/>
    <xf numFmtId="166" fontId="10" fillId="2" borderId="0" xfId="4" applyNumberFormat="1" applyFont="1" applyFill="1"/>
    <xf numFmtId="164" fontId="9" fillId="2" borderId="0" xfId="4" applyNumberFormat="1" applyFont="1" applyFill="1" applyAlignment="1">
      <alignment horizontal="right"/>
    </xf>
    <xf numFmtId="164" fontId="10" fillId="2" borderId="0" xfId="4" applyNumberFormat="1" applyFont="1" applyFill="1"/>
    <xf numFmtId="164" fontId="22" fillId="2" borderId="0" xfId="4" applyNumberFormat="1" applyFont="1" applyFill="1"/>
    <xf numFmtId="164" fontId="23" fillId="2" borderId="0" xfId="4" applyNumberFormat="1" applyFont="1" applyFill="1"/>
    <xf numFmtId="164" fontId="22" fillId="2" borderId="0" xfId="4" applyNumberFormat="1" applyFont="1" applyFill="1" applyAlignment="1">
      <alignment horizontal="right"/>
    </xf>
    <xf numFmtId="164" fontId="24" fillId="2" borderId="0" xfId="4" applyNumberFormat="1" applyFont="1" applyFill="1"/>
    <xf numFmtId="164" fontId="24" fillId="2" borderId="0" xfId="4" applyNumberFormat="1" applyFont="1" applyFill="1" applyAlignment="1">
      <alignment horizontal="right"/>
    </xf>
    <xf numFmtId="164" fontId="24" fillId="2" borderId="0" xfId="4" applyNumberFormat="1" applyFont="1" applyFill="1" applyBorder="1"/>
    <xf numFmtId="3" fontId="23" fillId="2" borderId="0" xfId="4" applyNumberFormat="1" applyFont="1" applyFill="1"/>
    <xf numFmtId="164" fontId="14" fillId="2" borderId="0" xfId="4" applyNumberFormat="1" applyFont="1" applyFill="1" applyBorder="1" applyAlignment="1">
      <alignment horizontal="right" vertical="center"/>
    </xf>
    <xf numFmtId="164" fontId="1" fillId="2" borderId="0" xfId="4" applyNumberFormat="1" applyFont="1" applyFill="1" applyBorder="1"/>
    <xf numFmtId="166" fontId="15" fillId="2" borderId="0" xfId="4" applyNumberFormat="1" applyFont="1" applyFill="1" applyBorder="1" applyAlignment="1">
      <alignment horizontal="right" vertical="center"/>
    </xf>
    <xf numFmtId="164" fontId="24" fillId="2" borderId="0" xfId="4" applyNumberFormat="1" applyFont="1" applyFill="1" applyBorder="1" applyAlignment="1">
      <alignment horizontal="right"/>
    </xf>
    <xf numFmtId="164" fontId="13" fillId="2" borderId="3" xfId="4" applyNumberFormat="1" applyFont="1" applyFill="1" applyBorder="1" applyAlignment="1">
      <alignment horizontal="center"/>
    </xf>
    <xf numFmtId="0" fontId="27" fillId="2" borderId="0" xfId="3" applyFont="1" applyFill="1" applyBorder="1" applyAlignment="1">
      <alignment horizontal="right" vertical="center"/>
    </xf>
    <xf numFmtId="0" fontId="28" fillId="2" borderId="0" xfId="3" applyFont="1" applyFill="1" applyBorder="1" applyAlignment="1">
      <alignment horizontal="right" vertical="center"/>
    </xf>
    <xf numFmtId="0" fontId="29" fillId="2" borderId="2" xfId="3" applyFont="1" applyFill="1" applyBorder="1" applyAlignment="1">
      <alignment horizontal="right" vertical="center"/>
    </xf>
    <xf numFmtId="3" fontId="15" fillId="2" borderId="0" xfId="0" applyNumberFormat="1" applyFont="1" applyFill="1" applyAlignment="1">
      <alignment horizontal="right" vertical="center"/>
    </xf>
    <xf numFmtId="164" fontId="20" fillId="2" borderId="0" xfId="4" applyNumberFormat="1" applyFont="1" applyFill="1" applyAlignment="1">
      <alignment horizontal="right"/>
    </xf>
    <xf numFmtId="164" fontId="20" fillId="2" borderId="0" xfId="4" applyNumberFormat="1" applyFont="1" applyFill="1"/>
    <xf numFmtId="3" fontId="26" fillId="2" borderId="0" xfId="0" applyNumberFormat="1" applyFont="1" applyFill="1" applyAlignment="1">
      <alignment horizontal="right" vertical="center"/>
    </xf>
    <xf numFmtId="164" fontId="1" fillId="2" borderId="3" xfId="4" applyNumberFormat="1" applyFont="1" applyFill="1" applyBorder="1"/>
    <xf numFmtId="164" fontId="9" fillId="2" borderId="0" xfId="4" applyNumberFormat="1" applyFont="1" applyFill="1" applyAlignment="1">
      <alignment horizontal="center" vertical="center"/>
    </xf>
    <xf numFmtId="3" fontId="15" fillId="2" borderId="0" xfId="0" applyNumberFormat="1" applyFont="1" applyFill="1" applyAlignment="1">
      <alignment horizontal="right" vertical="center"/>
    </xf>
    <xf numFmtId="164" fontId="0" fillId="2" borderId="3" xfId="4" applyNumberFormat="1" applyFont="1" applyFill="1" applyBorder="1"/>
    <xf numFmtId="3" fontId="26" fillId="2" borderId="3" xfId="0" applyNumberFormat="1" applyFont="1" applyFill="1" applyBorder="1" applyAlignment="1">
      <alignment horizontal="right" vertical="center"/>
    </xf>
    <xf numFmtId="3" fontId="15" fillId="2" borderId="3" xfId="0" applyNumberFormat="1" applyFont="1" applyFill="1" applyBorder="1" applyAlignment="1">
      <alignment horizontal="right" vertical="center"/>
    </xf>
    <xf numFmtId="0" fontId="17" fillId="2" borderId="3" xfId="3" applyFont="1" applyFill="1" applyBorder="1" applyAlignment="1">
      <alignment horizontal="right" vertical="center"/>
    </xf>
    <xf numFmtId="3" fontId="15" fillId="2" borderId="0" xfId="0" applyNumberFormat="1" applyFont="1" applyFill="1" applyAlignment="1">
      <alignment horizontal="right" vertical="center"/>
    </xf>
    <xf numFmtId="0" fontId="29" fillId="2" borderId="0" xfId="3" applyFont="1" applyFill="1" applyAlignment="1">
      <alignment horizontal="center" vertical="center"/>
    </xf>
    <xf numFmtId="164" fontId="13" fillId="2" borderId="0" xfId="4" applyNumberFormat="1" applyFont="1" applyFill="1" applyBorder="1" applyAlignment="1">
      <alignment horizontal="center"/>
    </xf>
  </cellXfs>
  <cellStyles count="11">
    <cellStyle name="Comma 2" xfId="2"/>
    <cellStyle name="Comma 4" xfId="6"/>
    <cellStyle name="Hyperlink 2" xfId="7"/>
    <cellStyle name="Normal" xfId="0" builtinId="0"/>
    <cellStyle name="Normal 2" xfId="1"/>
    <cellStyle name="Normal 2 3" xfId="9"/>
    <cellStyle name="Normal 3" xfId="4"/>
    <cellStyle name="Normal 3 2" xfId="10"/>
    <cellStyle name="Normal 4" xfId="5"/>
    <cellStyle name="Normal 5" xfId="8"/>
    <cellStyle name="Normal_IX-19(Trans &amp; Comm)" xfId="3"/>
  </cellStyles>
  <dxfs count="0"/>
  <tableStyles count="0" defaultTableStyle="TableStyleMedium2" defaultPivotStyle="PivotStyleLight16"/>
  <colors>
    <mruColors>
      <color rgb="FFCF9F6F"/>
      <color rgb="FF996633"/>
      <color rgb="FFC28446"/>
      <color rgb="FF663300"/>
      <color rgb="FFE4C9AE"/>
      <color rgb="FF9A4D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2"/>
    </mc:Choice>
    <mc:Fallback>
      <c:style val="12"/>
    </mc:Fallback>
  </mc:AlternateContent>
  <c:chart>
    <c:autoTitleDeleted val="1"/>
    <c:plotArea>
      <c:layout>
        <c:manualLayout>
          <c:layoutTarget val="inner"/>
          <c:xMode val="edge"/>
          <c:yMode val="edge"/>
          <c:x val="0.26315205486553273"/>
          <c:y val="5.1991724894977956E-2"/>
          <c:w val="0.50660874287265789"/>
          <c:h val="0.9190489258547776"/>
        </c:manualLayout>
      </c:layout>
      <c:doughnutChart>
        <c:varyColors val="1"/>
        <c:ser>
          <c:idx val="0"/>
          <c:order val="0"/>
          <c:explosion val="25"/>
          <c:dPt>
            <c:idx val="0"/>
            <c:bubble3D val="0"/>
            <c:spPr>
              <a:solidFill>
                <a:srgbClr val="CF9F6F"/>
              </a:solidFill>
            </c:spPr>
            <c:extLst>
              <c:ext xmlns:c16="http://schemas.microsoft.com/office/drawing/2014/chart" uri="{C3380CC4-5D6E-409C-BE32-E72D297353CC}">
                <c16:uniqueId val="{00000001-74C8-409B-99F0-EEDE2F1ABDAA}"/>
              </c:ext>
            </c:extLst>
          </c:dPt>
          <c:dPt>
            <c:idx val="1"/>
            <c:bubble3D val="0"/>
            <c:spPr>
              <a:solidFill>
                <a:srgbClr val="996633"/>
              </a:solidFill>
            </c:spPr>
            <c:extLst>
              <c:ext xmlns:c16="http://schemas.microsoft.com/office/drawing/2014/chart" uri="{C3380CC4-5D6E-409C-BE32-E72D297353CC}">
                <c16:uniqueId val="{00000003-74C8-409B-99F0-EEDE2F1ABDAA}"/>
              </c:ext>
            </c:extLst>
          </c:dPt>
          <c:dLbls>
            <c:spPr>
              <a:noFill/>
              <a:ln>
                <a:noFill/>
              </a:ln>
              <a:effectLst/>
            </c:spPr>
            <c:txPr>
              <a:bodyPr wrap="square" lIns="38100" tIns="19050" rIns="38100" bIns="19050" anchor="ctr">
                <a:spAutoFit/>
              </a:bodyPr>
              <a:lstStyle/>
              <a:p>
                <a:pPr>
                  <a:defRPr b="0">
                    <a:solidFill>
                      <a:schemeClr val="tx1"/>
                    </a:solidFill>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layout/>
              </c:ext>
            </c:extLst>
          </c:dLbls>
          <c:cat>
            <c:strRef>
              <c:f>'11.25'!$B$12:$B$13</c:f>
              <c:strCache>
                <c:ptCount val="2"/>
                <c:pt idx="0">
                  <c:v>Post paid</c:v>
                </c:pt>
                <c:pt idx="1">
                  <c:v>Pre-paid</c:v>
                </c:pt>
              </c:strCache>
            </c:strRef>
          </c:cat>
          <c:val>
            <c:numRef>
              <c:f>'11.25'!$L$12:$L$13</c:f>
              <c:numCache>
                <c:formatCode>#,##0</c:formatCode>
                <c:ptCount val="2"/>
                <c:pt idx="0">
                  <c:v>156244</c:v>
                </c:pt>
                <c:pt idx="1">
                  <c:v>671798</c:v>
                </c:pt>
              </c:numCache>
            </c:numRef>
          </c:val>
          <c:extLst>
            <c:ext xmlns:c16="http://schemas.microsoft.com/office/drawing/2014/chart" uri="{C3380CC4-5D6E-409C-BE32-E72D297353CC}">
              <c16:uniqueId val="{00000004-74C8-409B-99F0-EEDE2F1ABDAA}"/>
            </c:ext>
          </c:extLst>
        </c:ser>
        <c:dLbls>
          <c:showLegendKey val="0"/>
          <c:showVal val="0"/>
          <c:showCatName val="1"/>
          <c:showSerName val="0"/>
          <c:showPercent val="1"/>
          <c:showBubbleSize val="0"/>
          <c:showLeaderLines val="0"/>
        </c:dLbls>
        <c:firstSliceAng val="40"/>
        <c:holeSize val="50"/>
      </c:doughnutChart>
    </c:plotArea>
    <c:plotVisOnly val="1"/>
    <c:dispBlanksAs val="zero"/>
    <c:showDLblsOverMax val="0"/>
  </c:chart>
  <c:printSettings>
    <c:headerFooter/>
    <c:pageMargins b="0.75000000000000444" l="0.70000000000000062" r="0.70000000000000062" t="0.75000000000000444"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851620949473426"/>
          <c:y val="0.15389979733545964"/>
          <c:w val="0.87661640558388609"/>
          <c:h val="0.75772583806770988"/>
        </c:manualLayout>
      </c:layout>
      <c:barChart>
        <c:barDir val="col"/>
        <c:grouping val="clustered"/>
        <c:varyColors val="0"/>
        <c:ser>
          <c:idx val="1"/>
          <c:order val="1"/>
          <c:spPr>
            <a:solidFill>
              <a:schemeClr val="accent4">
                <a:lumMod val="75000"/>
              </a:schemeClr>
            </a:solidFill>
            <a:ln>
              <a:noFill/>
            </a:ln>
            <a:effectLst/>
          </c:spPr>
          <c:invertIfNegative val="0"/>
          <c:dLbls>
            <c:dLbl>
              <c:idx val="7"/>
              <c:layout>
                <c:manualLayout>
                  <c:x val="0"/>
                  <c:y val="1.2658227848101266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8C39-42D0-975C-D88AEE9D1D6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'11.25'!$C$4:$L$4</c:f>
              <c:numCache>
                <c:formatCode>General_)</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'11.25'!$C$11:$L$11</c:f>
              <c:numCache>
                <c:formatCode>#,##0</c:formatCode>
                <c:ptCount val="10"/>
                <c:pt idx="0">
                  <c:v>494351</c:v>
                </c:pt>
                <c:pt idx="1">
                  <c:v>527844</c:v>
                </c:pt>
                <c:pt idx="2">
                  <c:v>560547</c:v>
                </c:pt>
                <c:pt idx="3">
                  <c:v>625161</c:v>
                </c:pt>
                <c:pt idx="4">
                  <c:v>665818</c:v>
                </c:pt>
                <c:pt idx="5">
                  <c:v>739790</c:v>
                </c:pt>
                <c:pt idx="6">
                  <c:v>812128</c:v>
                </c:pt>
                <c:pt idx="7">
                  <c:v>900120</c:v>
                </c:pt>
                <c:pt idx="8">
                  <c:v>857934</c:v>
                </c:pt>
                <c:pt idx="9">
                  <c:v>828042</c:v>
                </c:pt>
              </c:numCache>
            </c:numRef>
          </c:val>
          <c:extLst>
            <c:ext xmlns:c16="http://schemas.microsoft.com/office/drawing/2014/chart" uri="{C3380CC4-5D6E-409C-BE32-E72D297353CC}">
              <c16:uniqueId val="{00000004-8C39-42D0-975C-D88AEE9D1D65}"/>
            </c:ext>
          </c:extLst>
        </c:ser>
        <c:dLbls>
          <c:showLegendKey val="0"/>
          <c:showVal val="0"/>
          <c:showCatName val="0"/>
          <c:showSerName val="0"/>
          <c:showPercent val="0"/>
          <c:showBubbleSize val="0"/>
        </c:dLbls>
        <c:gapWidth val="80"/>
        <c:overlap val="-27"/>
        <c:axId val="541580840"/>
        <c:axId val="541575744"/>
        <c:extLst>
          <c:ext xmlns:c15="http://schemas.microsoft.com/office/drawing/2012/chart" uri="{02D57815-91ED-43cb-92C2-25804820EDAC}">
            <c15:filteredBarSeries>
              <c15:ser>
                <c:idx val="0"/>
                <c:order val="0"/>
                <c:spPr>
                  <a:solidFill>
                    <a:schemeClr val="accent1"/>
                  </a:solidFill>
                  <a:ln>
                    <a:noFill/>
                  </a:ln>
                  <a:effectLst/>
                </c:spPr>
                <c:invertIfNegative val="0"/>
                <c:cat>
                  <c:numRef>
                    <c:extLst>
                      <c:ext uri="{02D57815-91ED-43cb-92C2-25804820EDAC}">
                        <c15:formulaRef>
                          <c15:sqref>'11.25'!$C$4:$L$4</c15:sqref>
                        </c15:formulaRef>
                      </c:ext>
                    </c:extLst>
                    <c:numCache>
                      <c:formatCode>General_)</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extLst>
                      <c:ext uri="{02D57815-91ED-43cb-92C2-25804820EDAC}">
                        <c15:formulaRef>
                          <c15:sqref>'11.25'!$C$4:$K$4</c15:sqref>
                        </c15:formulaRef>
                      </c:ext>
                    </c:extLst>
                    <c:numCache>
                      <c:formatCode>General_)</c:formatCode>
                      <c:ptCount val="9"/>
                      <c:pt idx="0">
                        <c:v>2010</c:v>
                      </c:pt>
                      <c:pt idx="1">
                        <c:v>2011</c:v>
                      </c:pt>
                      <c:pt idx="2">
                        <c:v>2012</c:v>
                      </c:pt>
                      <c:pt idx="3">
                        <c:v>2013</c:v>
                      </c:pt>
                      <c:pt idx="4">
                        <c:v>2014</c:v>
                      </c:pt>
                      <c:pt idx="5">
                        <c:v>2015</c:v>
                      </c:pt>
                      <c:pt idx="6">
                        <c:v>2016</c:v>
                      </c:pt>
                      <c:pt idx="7">
                        <c:v>2017</c:v>
                      </c:pt>
                      <c:pt idx="8">
                        <c:v>2018</c:v>
                      </c:pt>
                    </c:numCache>
                  </c:numRef>
                </c:val>
                <c:extLst>
                  <c:ext xmlns:c16="http://schemas.microsoft.com/office/drawing/2014/chart" uri="{C3380CC4-5D6E-409C-BE32-E72D297353CC}">
                    <c16:uniqueId val="{00000000-8C39-42D0-975C-D88AEE9D1D65}"/>
                  </c:ext>
                </c:extLst>
              </c15:ser>
            </c15:filteredBarSeries>
          </c:ext>
        </c:extLst>
      </c:barChart>
      <c:catAx>
        <c:axId val="541580840"/>
        <c:scaling>
          <c:orientation val="minMax"/>
        </c:scaling>
        <c:delete val="0"/>
        <c:axPos val="b"/>
        <c:numFmt formatCode="General_)"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575744"/>
        <c:crosses val="autoZero"/>
        <c:auto val="1"/>
        <c:lblAlgn val="ctr"/>
        <c:lblOffset val="100"/>
        <c:noMultiLvlLbl val="0"/>
      </c:catAx>
      <c:valAx>
        <c:axId val="541575744"/>
        <c:scaling>
          <c:orientation val="minMax"/>
        </c:scaling>
        <c:delete val="0"/>
        <c:axPos val="l"/>
        <c:majorGridlines>
          <c:spPr>
            <a:ln w="9525" cap="flat" cmpd="sng" algn="ctr">
              <a:solidFill>
                <a:schemeClr val="accent4">
                  <a:lumMod val="40000"/>
                  <a:lumOff val="6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580840"/>
        <c:crosses val="autoZero"/>
        <c:crossBetween val="between"/>
      </c:valAx>
      <c:spPr>
        <a:noFill/>
        <a:ln>
          <a:solidFill>
            <a:schemeClr val="bg1">
              <a:lumMod val="75000"/>
            </a:schemeClr>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260683</xdr:colOff>
      <xdr:row>27</xdr:row>
      <xdr:rowOff>140368</xdr:rowOff>
    </xdr:from>
    <xdr:to>
      <xdr:col>5</xdr:col>
      <xdr:colOff>200526</xdr:colOff>
      <xdr:row>46</xdr:row>
      <xdr:rowOff>80210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339893</xdr:colOff>
      <xdr:row>28</xdr:row>
      <xdr:rowOff>102770</xdr:rowOff>
    </xdr:from>
    <xdr:to>
      <xdr:col>5</xdr:col>
      <xdr:colOff>20052</xdr:colOff>
      <xdr:row>30</xdr:row>
      <xdr:rowOff>128838</xdr:rowOff>
    </xdr:to>
    <xdr:sp macro="" textlink="">
      <xdr:nvSpPr>
        <xdr:cNvPr id="4" name="TextBox 3"/>
        <xdr:cNvSpPr txBox="1"/>
      </xdr:nvSpPr>
      <xdr:spPr>
        <a:xfrm>
          <a:off x="339893" y="5506954"/>
          <a:ext cx="4502817" cy="3368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rtl="0"/>
          <a:r>
            <a:rPr lang="en-US" sz="1050" b="1" i="0" baseline="0">
              <a:solidFill>
                <a:schemeClr val="dk1"/>
              </a:solidFill>
              <a:latin typeface="Consolas" pitchFamily="49" charset="0"/>
              <a:ea typeface="+mn-ea"/>
              <a:cs typeface="Consolas" pitchFamily="49" charset="0"/>
            </a:rPr>
            <a:t>Figure 11.16: Percentage </a:t>
          </a:r>
          <a:r>
            <a:rPr lang="en-US" sz="1000" b="1" i="0" baseline="0">
              <a:solidFill>
                <a:schemeClr val="dk1"/>
              </a:solidFill>
              <a:latin typeface="Consolas" pitchFamily="49" charset="0"/>
              <a:ea typeface="+mn-ea"/>
              <a:cs typeface="Consolas" pitchFamily="49" charset="0"/>
            </a:rPr>
            <a:t>share</a:t>
          </a:r>
          <a:r>
            <a:rPr lang="en-US" sz="1050" b="1" i="0" baseline="0">
              <a:solidFill>
                <a:schemeClr val="dk1"/>
              </a:solidFill>
              <a:latin typeface="Consolas" pitchFamily="49" charset="0"/>
              <a:ea typeface="+mn-ea"/>
              <a:cs typeface="Consolas" pitchFamily="49" charset="0"/>
            </a:rPr>
            <a:t> of mobile subscriptions by type, 2019</a:t>
          </a:r>
          <a:endParaRPr lang="en-US" sz="1050">
            <a:latin typeface="Consolas" pitchFamily="49" charset="0"/>
            <a:cs typeface="Consolas" pitchFamily="49" charset="0"/>
          </a:endParaRPr>
        </a:p>
      </xdr:txBody>
    </xdr:sp>
    <xdr:clientData/>
  </xdr:twoCellAnchor>
  <xdr:twoCellAnchor>
    <xdr:from>
      <xdr:col>5</xdr:col>
      <xdr:colOff>589046</xdr:colOff>
      <xdr:row>27</xdr:row>
      <xdr:rowOff>143877</xdr:rowOff>
    </xdr:from>
    <xdr:to>
      <xdr:col>12</xdr:col>
      <xdr:colOff>1042735</xdr:colOff>
      <xdr:row>46</xdr:row>
      <xdr:rowOff>116305</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0.00941</cdr:x>
      <cdr:y>0.01688</cdr:y>
    </cdr:from>
    <cdr:to>
      <cdr:x>0.97061</cdr:x>
      <cdr:y>0.1308</cdr:y>
    </cdr:to>
    <cdr:sp macro="" textlink="">
      <cdr:nvSpPr>
        <cdr:cNvPr id="2" name="TextBox 3"/>
        <cdr:cNvSpPr txBox="1"/>
      </cdr:nvSpPr>
      <cdr:spPr>
        <a:xfrm xmlns:a="http://schemas.openxmlformats.org/drawingml/2006/main">
          <a:off x="50800" y="50800"/>
          <a:ext cx="5191125" cy="34290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rtl="0"/>
          <a:r>
            <a:rPr lang="en-US" sz="1050" b="1" i="0" baseline="0">
              <a:solidFill>
                <a:schemeClr val="dk1"/>
              </a:solidFill>
              <a:latin typeface="Consolas" pitchFamily="49" charset="0"/>
              <a:ea typeface="+mn-ea"/>
              <a:cs typeface="Consolas" pitchFamily="49" charset="0"/>
            </a:rPr>
            <a:t>Figure 11.17: Number of Mobile Subscriptions, 2010 - 2019</a:t>
          </a:r>
          <a:endParaRPr lang="en-US" sz="1050">
            <a:latin typeface="Consolas" pitchFamily="49" charset="0"/>
            <a:cs typeface="Consolas" pitchFamily="49" charset="0"/>
          </a:endParaRP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Z79"/>
  <sheetViews>
    <sheetView tabSelected="1" view="pageBreakPreview" zoomScale="60" zoomScaleNormal="95" workbookViewId="0">
      <selection activeCell="S40" sqref="S40"/>
    </sheetView>
  </sheetViews>
  <sheetFormatPr defaultColWidth="9.140625" defaultRowHeight="12" x14ac:dyDescent="0.15"/>
  <cols>
    <col min="1" max="1" width="6.42578125" style="29" customWidth="1"/>
    <col min="2" max="2" width="35.140625" style="29" customWidth="1"/>
    <col min="3" max="11" width="10.28515625" style="29" customWidth="1"/>
    <col min="12" max="12" width="12.7109375" style="29" customWidth="1"/>
    <col min="13" max="13" width="28.5703125" style="30" customWidth="1"/>
    <col min="14" max="14" width="3.140625" style="29" customWidth="1"/>
    <col min="15" max="16384" width="9.140625" style="29"/>
  </cols>
  <sheetData>
    <row r="1" spans="1:13" s="1" customFormat="1" ht="18" x14ac:dyDescent="0.25">
      <c r="A1" s="53" t="s">
        <v>36</v>
      </c>
      <c r="B1" s="53"/>
      <c r="C1" s="53"/>
      <c r="D1" s="53"/>
      <c r="E1" s="53"/>
      <c r="F1" s="53"/>
      <c r="G1" s="53"/>
      <c r="H1" s="53"/>
      <c r="I1" s="53"/>
      <c r="J1" s="53"/>
      <c r="K1" s="53"/>
      <c r="L1" s="53"/>
      <c r="M1" s="53"/>
    </row>
    <row r="2" spans="1:13" s="2" customFormat="1" ht="12.75" x14ac:dyDescent="0.2">
      <c r="A2" s="54" t="s">
        <v>35</v>
      </c>
      <c r="B2" s="54"/>
      <c r="C2" s="54"/>
      <c r="D2" s="54"/>
      <c r="E2" s="54"/>
      <c r="F2" s="54"/>
      <c r="G2" s="54"/>
      <c r="H2" s="54"/>
      <c r="I2" s="54"/>
      <c r="J2" s="54"/>
      <c r="K2" s="54"/>
      <c r="L2" s="54"/>
      <c r="M2" s="54"/>
    </row>
    <row r="3" spans="1:13" s="4" customFormat="1" ht="12.75" x14ac:dyDescent="0.2">
      <c r="A3" s="3"/>
      <c r="B3" s="3"/>
      <c r="C3" s="3"/>
      <c r="D3" s="3"/>
      <c r="E3" s="3"/>
      <c r="F3" s="3"/>
      <c r="G3" s="3"/>
      <c r="H3" s="3"/>
      <c r="I3" s="3"/>
      <c r="J3" s="3"/>
      <c r="K3" s="3"/>
      <c r="L3" s="37"/>
      <c r="M3" s="3"/>
    </row>
    <row r="4" spans="1:13" s="7" customFormat="1" ht="18" x14ac:dyDescent="0.25">
      <c r="A4" s="5"/>
      <c r="B4" s="5"/>
      <c r="C4" s="6">
        <v>2010</v>
      </c>
      <c r="D4" s="6">
        <v>2011</v>
      </c>
      <c r="E4" s="6">
        <v>2012</v>
      </c>
      <c r="F4" s="6">
        <v>2013</v>
      </c>
      <c r="G4" s="6">
        <v>2014</v>
      </c>
      <c r="H4" s="6">
        <v>2015</v>
      </c>
      <c r="I4" s="6">
        <v>2016</v>
      </c>
      <c r="J4" s="6">
        <v>2017</v>
      </c>
      <c r="K4" s="6">
        <v>2018</v>
      </c>
      <c r="L4" s="6">
        <v>2019</v>
      </c>
      <c r="M4" s="40" t="s">
        <v>1</v>
      </c>
    </row>
    <row r="5" spans="1:13" s="9" customFormat="1" ht="17.25" x14ac:dyDescent="0.25">
      <c r="A5" s="7" t="s">
        <v>30</v>
      </c>
      <c r="B5" s="7"/>
      <c r="C5" s="8">
        <f t="shared" ref="C5:L5" si="0">SUM(C6:C7)</f>
        <v>48019</v>
      </c>
      <c r="D5" s="8">
        <f t="shared" si="0"/>
        <v>24084</v>
      </c>
      <c r="E5" s="8">
        <f t="shared" si="0"/>
        <v>23140</v>
      </c>
      <c r="F5" s="8">
        <f t="shared" si="0"/>
        <v>22557</v>
      </c>
      <c r="G5" s="8">
        <f t="shared" si="0"/>
        <v>21478</v>
      </c>
      <c r="H5" s="8">
        <f t="shared" si="0"/>
        <v>21911</v>
      </c>
      <c r="I5" s="8">
        <f t="shared" si="0"/>
        <v>21135.78</v>
      </c>
      <c r="J5" s="8">
        <f t="shared" si="0"/>
        <v>20377.28</v>
      </c>
      <c r="K5" s="8">
        <f t="shared" si="0"/>
        <v>18754</v>
      </c>
      <c r="L5" s="8">
        <f t="shared" si="0"/>
        <v>16664</v>
      </c>
      <c r="M5" s="39" t="s">
        <v>2</v>
      </c>
    </row>
    <row r="6" spans="1:13" s="2" customFormat="1" ht="15.75" x14ac:dyDescent="0.25">
      <c r="A6" s="10"/>
      <c r="B6" s="10" t="s">
        <v>3</v>
      </c>
      <c r="C6" s="47">
        <v>34684</v>
      </c>
      <c r="D6" s="47">
        <v>18630</v>
      </c>
      <c r="E6" s="47">
        <v>17864</v>
      </c>
      <c r="F6" s="47">
        <v>17308</v>
      </c>
      <c r="G6" s="47">
        <v>16563</v>
      </c>
      <c r="H6" s="47">
        <v>16068</v>
      </c>
      <c r="I6" s="47">
        <v>15498</v>
      </c>
      <c r="J6" s="47">
        <v>14941.96</v>
      </c>
      <c r="K6" s="47">
        <v>13752</v>
      </c>
      <c r="L6" s="47">
        <v>12219</v>
      </c>
      <c r="M6" s="38" t="s">
        <v>4</v>
      </c>
    </row>
    <row r="7" spans="1:13" s="2" customFormat="1" ht="18.75" x14ac:dyDescent="0.25">
      <c r="A7" s="10"/>
      <c r="B7" s="11" t="s">
        <v>5</v>
      </c>
      <c r="C7" s="12">
        <v>13335</v>
      </c>
      <c r="D7" s="12">
        <v>5454</v>
      </c>
      <c r="E7" s="12">
        <v>5276</v>
      </c>
      <c r="F7" s="12">
        <v>5249</v>
      </c>
      <c r="G7" s="12">
        <v>4915</v>
      </c>
      <c r="H7" s="12">
        <v>5843</v>
      </c>
      <c r="I7" s="12">
        <v>5637.78</v>
      </c>
      <c r="J7" s="12">
        <v>5435.32</v>
      </c>
      <c r="K7" s="12">
        <v>5002</v>
      </c>
      <c r="L7" s="12">
        <v>4445</v>
      </c>
      <c r="M7" s="13" t="s">
        <v>6</v>
      </c>
    </row>
    <row r="8" spans="1:13" s="9" customFormat="1" ht="17.25" x14ac:dyDescent="0.25">
      <c r="A8" s="7" t="s">
        <v>31</v>
      </c>
      <c r="B8" s="7"/>
      <c r="C8" s="8">
        <f t="shared" ref="C8:L8" si="1">SUM(C9:C10)</f>
        <v>572</v>
      </c>
      <c r="D8" s="8">
        <f t="shared" si="1"/>
        <v>207</v>
      </c>
      <c r="E8" s="8">
        <f t="shared" si="1"/>
        <v>128</v>
      </c>
      <c r="F8" s="8">
        <f t="shared" si="1"/>
        <v>128</v>
      </c>
      <c r="G8" s="8">
        <f t="shared" si="1"/>
        <v>128</v>
      </c>
      <c r="H8" s="8">
        <f t="shared" si="1"/>
        <v>122</v>
      </c>
      <c r="I8" s="8">
        <f t="shared" si="1"/>
        <v>0</v>
      </c>
      <c r="J8" s="8">
        <f t="shared" si="1"/>
        <v>0</v>
      </c>
      <c r="K8" s="8">
        <f t="shared" si="1"/>
        <v>0</v>
      </c>
      <c r="L8" s="8">
        <f>SUM(L9:L10)</f>
        <v>0</v>
      </c>
      <c r="M8" s="39" t="s">
        <v>7</v>
      </c>
    </row>
    <row r="9" spans="1:13" s="2" customFormat="1" ht="15.75" x14ac:dyDescent="0.25">
      <c r="A9" s="10"/>
      <c r="B9" s="10" t="s">
        <v>3</v>
      </c>
      <c r="C9" s="47">
        <v>84</v>
      </c>
      <c r="D9" s="52">
        <v>207</v>
      </c>
      <c r="E9" s="52">
        <v>128</v>
      </c>
      <c r="F9" s="52">
        <v>128</v>
      </c>
      <c r="G9" s="52">
        <v>128</v>
      </c>
      <c r="H9" s="52">
        <v>122</v>
      </c>
      <c r="I9" s="52">
        <v>0</v>
      </c>
      <c r="J9" s="52">
        <v>0</v>
      </c>
      <c r="K9" s="52">
        <v>0</v>
      </c>
      <c r="L9" s="52">
        <v>0</v>
      </c>
      <c r="M9" s="38" t="s">
        <v>8</v>
      </c>
    </row>
    <row r="10" spans="1:13" s="2" customFormat="1" ht="15.75" x14ac:dyDescent="0.25">
      <c r="A10" s="10"/>
      <c r="B10" s="10" t="s">
        <v>9</v>
      </c>
      <c r="C10" s="47">
        <v>488</v>
      </c>
      <c r="D10" s="52"/>
      <c r="E10" s="52"/>
      <c r="F10" s="52"/>
      <c r="G10" s="52"/>
      <c r="H10" s="52"/>
      <c r="I10" s="52"/>
      <c r="J10" s="52"/>
      <c r="K10" s="52"/>
      <c r="L10" s="52"/>
      <c r="M10" s="38" t="s">
        <v>10</v>
      </c>
    </row>
    <row r="11" spans="1:13" s="9" customFormat="1" ht="15.75" x14ac:dyDescent="0.25">
      <c r="A11" s="7" t="s">
        <v>11</v>
      </c>
      <c r="B11" s="7"/>
      <c r="C11" s="8">
        <f t="shared" ref="C11:L11" si="2">SUM(C12:C13)</f>
        <v>494351</v>
      </c>
      <c r="D11" s="8">
        <f t="shared" si="2"/>
        <v>527844</v>
      </c>
      <c r="E11" s="8">
        <f t="shared" si="2"/>
        <v>560547</v>
      </c>
      <c r="F11" s="8">
        <f t="shared" si="2"/>
        <v>625161</v>
      </c>
      <c r="G11" s="8">
        <f t="shared" si="2"/>
        <v>665818</v>
      </c>
      <c r="H11" s="8">
        <f t="shared" si="2"/>
        <v>739790</v>
      </c>
      <c r="I11" s="8">
        <f t="shared" si="2"/>
        <v>812128</v>
      </c>
      <c r="J11" s="8">
        <f t="shared" si="2"/>
        <v>900120</v>
      </c>
      <c r="K11" s="8">
        <f t="shared" si="2"/>
        <v>857934</v>
      </c>
      <c r="L11" s="8">
        <f t="shared" si="2"/>
        <v>828042</v>
      </c>
      <c r="M11" s="39" t="s">
        <v>12</v>
      </c>
    </row>
    <row r="12" spans="1:13" s="2" customFormat="1" ht="15.75" x14ac:dyDescent="0.25">
      <c r="A12" s="10"/>
      <c r="B12" s="10" t="s">
        <v>13</v>
      </c>
      <c r="C12" s="47">
        <v>71803</v>
      </c>
      <c r="D12" s="47">
        <v>72751</v>
      </c>
      <c r="E12" s="47">
        <v>71463</v>
      </c>
      <c r="F12" s="47">
        <v>73751</v>
      </c>
      <c r="G12" s="47">
        <v>78656</v>
      </c>
      <c r="H12" s="47">
        <v>87051</v>
      </c>
      <c r="I12" s="47">
        <v>97761</v>
      </c>
      <c r="J12" s="47">
        <v>113186</v>
      </c>
      <c r="K12" s="47">
        <v>147462</v>
      </c>
      <c r="L12" s="47">
        <v>156244</v>
      </c>
      <c r="M12" s="38" t="s">
        <v>14</v>
      </c>
    </row>
    <row r="13" spans="1:13" s="2" customFormat="1" ht="15.75" x14ac:dyDescent="0.25">
      <c r="A13" s="10"/>
      <c r="B13" s="10" t="s">
        <v>15</v>
      </c>
      <c r="C13" s="47">
        <v>422548</v>
      </c>
      <c r="D13" s="47">
        <v>455093</v>
      </c>
      <c r="E13" s="47">
        <v>489084</v>
      </c>
      <c r="F13" s="47">
        <v>551410</v>
      </c>
      <c r="G13" s="47">
        <v>587162</v>
      </c>
      <c r="H13" s="47">
        <v>652739</v>
      </c>
      <c r="I13" s="47">
        <v>714367</v>
      </c>
      <c r="J13" s="47">
        <v>786934</v>
      </c>
      <c r="K13" s="47">
        <v>710472</v>
      </c>
      <c r="L13" s="47">
        <v>671798</v>
      </c>
      <c r="M13" s="38" t="s">
        <v>16</v>
      </c>
    </row>
    <row r="14" spans="1:13" s="9" customFormat="1" ht="17.25" x14ac:dyDescent="0.25">
      <c r="A14" s="7" t="s">
        <v>32</v>
      </c>
      <c r="B14" s="7"/>
      <c r="C14" s="14">
        <v>37704</v>
      </c>
      <c r="D14" s="14">
        <v>73812</v>
      </c>
      <c r="E14" s="14">
        <f>SUM(E15:E16)</f>
        <v>103537</v>
      </c>
      <c r="F14" s="14">
        <f t="shared" ref="F14:L14" si="3">SUM(F15:F16)</f>
        <v>110409</v>
      </c>
      <c r="G14" s="14">
        <f t="shared" si="3"/>
        <v>191935</v>
      </c>
      <c r="H14" s="14">
        <f t="shared" si="3"/>
        <v>251000</v>
      </c>
      <c r="I14" s="14">
        <f t="shared" si="3"/>
        <v>294926</v>
      </c>
      <c r="J14" s="14">
        <f t="shared" si="3"/>
        <v>312874</v>
      </c>
      <c r="K14" s="14">
        <f t="shared" si="3"/>
        <v>334346</v>
      </c>
      <c r="L14" s="14">
        <f t="shared" si="3"/>
        <v>360741</v>
      </c>
      <c r="M14" s="38" t="s">
        <v>17</v>
      </c>
    </row>
    <row r="15" spans="1:13" s="9" customFormat="1" ht="18.75" x14ac:dyDescent="0.25">
      <c r="A15" s="10"/>
      <c r="B15" s="10" t="s">
        <v>23</v>
      </c>
      <c r="C15" s="44" t="s">
        <v>0</v>
      </c>
      <c r="D15" s="44" t="s">
        <v>0</v>
      </c>
      <c r="E15" s="47">
        <v>18030</v>
      </c>
      <c r="F15" s="47">
        <v>20351</v>
      </c>
      <c r="G15" s="47">
        <v>19842</v>
      </c>
      <c r="H15" s="47">
        <v>23180</v>
      </c>
      <c r="I15" s="47">
        <v>29989</v>
      </c>
      <c r="J15" s="47">
        <v>36001</v>
      </c>
      <c r="K15" s="47">
        <v>47065</v>
      </c>
      <c r="L15" s="47">
        <v>91898</v>
      </c>
      <c r="M15" s="13" t="s">
        <v>25</v>
      </c>
    </row>
    <row r="16" spans="1:13" s="9" customFormat="1" ht="18.75" x14ac:dyDescent="0.25">
      <c r="A16" s="45"/>
      <c r="B16" s="48" t="s">
        <v>24</v>
      </c>
      <c r="C16" s="49" t="s">
        <v>0</v>
      </c>
      <c r="D16" s="49" t="s">
        <v>0</v>
      </c>
      <c r="E16" s="50">
        <v>85507</v>
      </c>
      <c r="F16" s="50">
        <v>90058</v>
      </c>
      <c r="G16" s="50">
        <v>172093</v>
      </c>
      <c r="H16" s="50">
        <v>227820</v>
      </c>
      <c r="I16" s="50">
        <v>264937</v>
      </c>
      <c r="J16" s="50">
        <v>276873</v>
      </c>
      <c r="K16" s="50">
        <v>287281</v>
      </c>
      <c r="L16" s="50">
        <v>268843</v>
      </c>
      <c r="M16" s="51" t="s">
        <v>26</v>
      </c>
    </row>
    <row r="17" spans="1:13" s="9" customFormat="1" ht="3.75" customHeight="1" x14ac:dyDescent="0.25">
      <c r="A17" s="7"/>
      <c r="B17" s="15"/>
      <c r="C17" s="44"/>
      <c r="D17" s="44"/>
      <c r="E17" s="41"/>
      <c r="F17" s="41"/>
      <c r="G17" s="41"/>
      <c r="H17" s="41"/>
      <c r="I17" s="41"/>
      <c r="J17" s="41"/>
      <c r="K17" s="41"/>
      <c r="L17" s="41"/>
      <c r="M17" s="13"/>
    </row>
    <row r="18" spans="1:13" s="2" customFormat="1" ht="14.25" x14ac:dyDescent="0.2">
      <c r="A18" s="16" t="s">
        <v>34</v>
      </c>
      <c r="C18" s="17"/>
      <c r="D18" s="17"/>
      <c r="E18" s="17"/>
      <c r="F18" s="17"/>
      <c r="G18" s="17"/>
      <c r="H18" s="17"/>
      <c r="I18" s="17"/>
      <c r="J18" s="17"/>
      <c r="K18" s="17"/>
      <c r="L18" s="17"/>
      <c r="M18" s="18" t="s">
        <v>18</v>
      </c>
    </row>
    <row r="19" spans="1:13" s="2" customFormat="1" ht="12.75" x14ac:dyDescent="0.2">
      <c r="A19" s="19" t="s">
        <v>19</v>
      </c>
      <c r="B19" s="20"/>
      <c r="C19" s="17"/>
      <c r="D19" s="17"/>
      <c r="E19" s="17"/>
      <c r="F19" s="17"/>
      <c r="G19" s="17"/>
      <c r="H19" s="17"/>
      <c r="I19" s="17"/>
      <c r="J19" s="17"/>
      <c r="K19" s="17"/>
      <c r="L19" s="17"/>
      <c r="M19" s="21"/>
    </row>
    <row r="20" spans="1:13" s="20" customFormat="1" ht="14.45" customHeight="1" x14ac:dyDescent="0.2">
      <c r="A20" s="46" t="s">
        <v>37</v>
      </c>
      <c r="C20" s="25"/>
      <c r="D20" s="25"/>
      <c r="E20" s="25"/>
      <c r="F20" s="25"/>
      <c r="G20" s="25"/>
      <c r="H20" s="25"/>
      <c r="I20" s="25"/>
      <c r="J20" s="25"/>
      <c r="K20" s="25"/>
      <c r="L20" s="25"/>
      <c r="M20" s="24"/>
    </row>
    <row r="21" spans="1:13" s="20" customFormat="1" ht="14.45" customHeight="1" x14ac:dyDescent="0.2">
      <c r="A21" s="42">
        <v>1</v>
      </c>
      <c r="B21" s="20" t="s">
        <v>22</v>
      </c>
      <c r="C21" s="25"/>
      <c r="D21" s="25"/>
      <c r="E21" s="25"/>
      <c r="F21" s="25"/>
      <c r="G21" s="25"/>
      <c r="H21" s="25"/>
      <c r="I21" s="25"/>
      <c r="J21" s="25"/>
      <c r="K21" s="25"/>
      <c r="L21" s="25"/>
      <c r="M21" s="24"/>
    </row>
    <row r="22" spans="1:13" s="20" customFormat="1" ht="14.45" customHeight="1" x14ac:dyDescent="0.2">
      <c r="A22" s="43">
        <v>2</v>
      </c>
      <c r="B22" s="22" t="s">
        <v>20</v>
      </c>
      <c r="C22" s="25"/>
      <c r="D22" s="25"/>
      <c r="E22" s="25"/>
      <c r="F22" s="25"/>
      <c r="G22" s="25"/>
      <c r="H22" s="25"/>
      <c r="I22" s="25"/>
      <c r="J22" s="25"/>
      <c r="K22" s="25"/>
      <c r="L22" s="25"/>
      <c r="M22" s="24"/>
    </row>
    <row r="23" spans="1:13" s="20" customFormat="1" ht="14.45" customHeight="1" x14ac:dyDescent="0.2">
      <c r="A23" s="42">
        <v>3</v>
      </c>
      <c r="B23" s="20" t="s">
        <v>21</v>
      </c>
      <c r="C23" s="25"/>
      <c r="D23" s="25"/>
      <c r="E23" s="25"/>
      <c r="F23" s="25"/>
      <c r="G23" s="25"/>
      <c r="H23" s="25"/>
      <c r="I23" s="25"/>
      <c r="J23" s="25"/>
      <c r="K23" s="25"/>
      <c r="L23" s="25"/>
      <c r="M23" s="24"/>
    </row>
    <row r="24" spans="1:13" s="20" customFormat="1" ht="14.45" customHeight="1" x14ac:dyDescent="0.2">
      <c r="A24" s="42"/>
      <c r="B24" s="20" t="s">
        <v>27</v>
      </c>
      <c r="C24" s="25"/>
      <c r="D24" s="25"/>
      <c r="E24" s="25"/>
      <c r="F24" s="25"/>
      <c r="G24" s="25"/>
      <c r="H24" s="25"/>
      <c r="I24" s="25"/>
      <c r="J24" s="25"/>
      <c r="K24" s="25"/>
      <c r="L24" s="25"/>
      <c r="M24" s="24"/>
    </row>
    <row r="25" spans="1:13" s="20" customFormat="1" ht="14.45" customHeight="1" x14ac:dyDescent="0.2">
      <c r="A25" s="42">
        <v>4</v>
      </c>
      <c r="B25" s="20" t="s">
        <v>28</v>
      </c>
      <c r="C25" s="25"/>
      <c r="D25" s="25"/>
      <c r="E25" s="25"/>
      <c r="F25" s="25"/>
      <c r="G25" s="25"/>
      <c r="H25" s="25"/>
      <c r="I25" s="25"/>
      <c r="J25" s="25"/>
      <c r="K25" s="25"/>
      <c r="L25" s="25"/>
      <c r="M25" s="24"/>
    </row>
    <row r="26" spans="1:13" ht="15.75" customHeight="1" x14ac:dyDescent="0.2">
      <c r="A26" s="42">
        <v>5</v>
      </c>
      <c r="B26" s="20" t="s">
        <v>33</v>
      </c>
    </row>
    <row r="27" spans="1:13" s="20" customFormat="1" ht="14.45" customHeight="1" x14ac:dyDescent="0.2">
      <c r="A27" s="42">
        <v>7</v>
      </c>
      <c r="B27" s="20" t="s">
        <v>29</v>
      </c>
      <c r="C27" s="25"/>
      <c r="D27" s="25"/>
      <c r="E27" s="25"/>
      <c r="F27" s="25"/>
      <c r="G27" s="25"/>
      <c r="H27" s="25"/>
      <c r="I27" s="25"/>
      <c r="J27" s="25"/>
      <c r="K27" s="25"/>
      <c r="L27" s="25"/>
      <c r="M27" s="24"/>
    </row>
    <row r="28" spans="1:13" s="20" customFormat="1" ht="14.45" customHeight="1" x14ac:dyDescent="0.2">
      <c r="A28" s="19"/>
      <c r="C28" s="25"/>
      <c r="D28" s="25"/>
      <c r="E28" s="25"/>
      <c r="F28" s="25"/>
      <c r="G28" s="25"/>
      <c r="H28" s="25"/>
      <c r="I28" s="25"/>
      <c r="J28" s="25"/>
      <c r="K28" s="25"/>
      <c r="L28" s="25"/>
      <c r="M28" s="24"/>
    </row>
    <row r="29" spans="1:13" s="26" customFormat="1" ht="12.75" x14ac:dyDescent="0.2">
      <c r="C29" s="27"/>
      <c r="D29" s="27"/>
      <c r="E29" s="27"/>
      <c r="F29" s="27"/>
      <c r="G29" s="27"/>
      <c r="H29" s="27"/>
      <c r="I29" s="27"/>
      <c r="J29" s="27"/>
      <c r="K29" s="27"/>
      <c r="L29" s="27"/>
      <c r="M29" s="28"/>
    </row>
    <row r="34" spans="2:26" x14ac:dyDescent="0.15">
      <c r="W34" s="31"/>
      <c r="X34" s="31"/>
      <c r="Y34" s="31"/>
      <c r="Z34" s="31"/>
    </row>
    <row r="35" spans="2:26" x14ac:dyDescent="0.15">
      <c r="W35" s="31"/>
      <c r="X35" s="31"/>
      <c r="Y35" s="31"/>
      <c r="Z35" s="31"/>
    </row>
    <row r="36" spans="2:26" x14ac:dyDescent="0.15">
      <c r="W36" s="31"/>
      <c r="X36" s="31"/>
      <c r="Y36" s="31"/>
      <c r="Z36" s="31"/>
    </row>
    <row r="37" spans="2:26" x14ac:dyDescent="0.15">
      <c r="W37" s="31"/>
      <c r="X37" s="31"/>
      <c r="Y37" s="31"/>
      <c r="Z37" s="31"/>
    </row>
    <row r="38" spans="2:26" ht="12.75" x14ac:dyDescent="0.2">
      <c r="B38" s="26"/>
      <c r="C38" s="32"/>
      <c r="D38" s="32"/>
      <c r="E38" s="32"/>
      <c r="F38" s="32"/>
      <c r="G38" s="32"/>
      <c r="H38" s="32"/>
      <c r="I38" s="32"/>
      <c r="J38" s="32"/>
      <c r="K38" s="32"/>
      <c r="L38" s="32"/>
      <c r="W38" s="31"/>
      <c r="X38" s="31"/>
      <c r="Y38" s="31"/>
      <c r="Z38" s="33"/>
    </row>
    <row r="39" spans="2:26" ht="15" x14ac:dyDescent="0.25">
      <c r="W39" s="31"/>
      <c r="X39" s="34"/>
      <c r="Y39" s="31"/>
      <c r="Z39" s="35"/>
    </row>
    <row r="40" spans="2:26" ht="15" x14ac:dyDescent="0.25">
      <c r="W40" s="31"/>
      <c r="X40" s="34"/>
      <c r="Y40" s="31"/>
      <c r="Z40" s="35"/>
    </row>
    <row r="41" spans="2:26" x14ac:dyDescent="0.15">
      <c r="W41" s="31"/>
      <c r="X41" s="31"/>
      <c r="Y41" s="31"/>
      <c r="Z41" s="31"/>
    </row>
    <row r="42" spans="2:26" x14ac:dyDescent="0.15">
      <c r="W42" s="31"/>
      <c r="X42" s="31"/>
      <c r="Y42" s="31"/>
      <c r="Z42" s="31"/>
    </row>
    <row r="45" spans="2:26" s="31" customFormat="1" x14ac:dyDescent="0.15">
      <c r="M45" s="36"/>
    </row>
    <row r="46" spans="2:26" s="31" customFormat="1" ht="12.75" x14ac:dyDescent="0.15">
      <c r="C46" s="33"/>
      <c r="D46" s="33"/>
      <c r="E46" s="33"/>
      <c r="F46" s="33"/>
      <c r="G46" s="33"/>
      <c r="H46" s="33"/>
      <c r="I46" s="33"/>
      <c r="J46" s="33"/>
      <c r="K46" s="33"/>
      <c r="L46" s="33"/>
      <c r="M46" s="36"/>
    </row>
    <row r="47" spans="2:26" s="31" customFormat="1" ht="12.75" x14ac:dyDescent="0.15">
      <c r="C47" s="35"/>
      <c r="D47" s="35"/>
      <c r="E47" s="35"/>
      <c r="F47" s="35"/>
      <c r="G47" s="35"/>
      <c r="H47" s="35"/>
      <c r="I47" s="35"/>
      <c r="J47" s="35"/>
      <c r="K47" s="35"/>
      <c r="L47" s="35"/>
      <c r="M47" s="36"/>
    </row>
    <row r="48" spans="2:26" s="31" customFormat="1" ht="12.75" x14ac:dyDescent="0.15">
      <c r="C48" s="35"/>
      <c r="D48" s="35"/>
      <c r="E48" s="35"/>
      <c r="F48" s="35"/>
      <c r="G48" s="35"/>
      <c r="H48" s="35"/>
      <c r="I48" s="35"/>
      <c r="J48" s="35"/>
      <c r="K48" s="35"/>
      <c r="L48" s="35"/>
      <c r="M48" s="36"/>
    </row>
    <row r="58" spans="2:13" x14ac:dyDescent="0.15">
      <c r="B58" s="31"/>
      <c r="C58" s="31"/>
      <c r="M58" s="29"/>
    </row>
    <row r="59" spans="2:13" x14ac:dyDescent="0.15">
      <c r="B59" s="31"/>
      <c r="C59" s="31"/>
      <c r="M59" s="29"/>
    </row>
    <row r="60" spans="2:13" x14ac:dyDescent="0.15">
      <c r="B60" s="31"/>
      <c r="C60" s="31"/>
      <c r="M60" s="29"/>
    </row>
    <row r="61" spans="2:13" x14ac:dyDescent="0.15">
      <c r="B61" s="31"/>
      <c r="C61" s="31"/>
      <c r="M61" s="29"/>
    </row>
    <row r="72" spans="3:3" ht="12.75" x14ac:dyDescent="0.2">
      <c r="C72" s="25"/>
    </row>
    <row r="73" spans="3:3" ht="12.75" x14ac:dyDescent="0.2">
      <c r="C73" s="23"/>
    </row>
    <row r="74" spans="3:3" ht="12.75" x14ac:dyDescent="0.2">
      <c r="C74" s="25"/>
    </row>
    <row r="75" spans="3:3" ht="12.75" x14ac:dyDescent="0.2">
      <c r="C75" s="25"/>
    </row>
    <row r="76" spans="3:3" ht="12.75" x14ac:dyDescent="0.2">
      <c r="C76" s="25"/>
    </row>
    <row r="77" spans="3:3" ht="12.75" x14ac:dyDescent="0.2">
      <c r="C77" s="25"/>
    </row>
    <row r="78" spans="3:3" ht="12.75" x14ac:dyDescent="0.2">
      <c r="C78" s="17"/>
    </row>
    <row r="79" spans="3:3" ht="12.75" x14ac:dyDescent="0.2">
      <c r="C79" s="17"/>
    </row>
  </sheetData>
  <mergeCells count="11">
    <mergeCell ref="L9:L10"/>
    <mergeCell ref="A1:M1"/>
    <mergeCell ref="A2:M2"/>
    <mergeCell ref="D9:D10"/>
    <mergeCell ref="E9:E10"/>
    <mergeCell ref="F9:F10"/>
    <mergeCell ref="G9:G10"/>
    <mergeCell ref="H9:H10"/>
    <mergeCell ref="I9:I10"/>
    <mergeCell ref="J9:J10"/>
    <mergeCell ref="K9:K10"/>
  </mergeCells>
  <pageMargins left="0.7" right="0.7" top="0.75" bottom="0.75" header="0.3" footer="0.3"/>
  <pageSetup scale="50" orientation="portrait" horizontalDpi="4294967295" verticalDpi="4294967295" r:id="rId1"/>
  <colBreaks count="1" manualBreakCount="1">
    <brk id="14"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11.25</vt:lpstr>
      <vt:lpstr>'11.25'!Print_Area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2020-10-09T14:49:23Z</cp:lastPrinted>
  <dcterms:created xsi:type="dcterms:W3CDTF">2019-03-24T03:32:16Z</dcterms:created>
  <dcterms:modified xsi:type="dcterms:W3CDTF">2021-02-17T09:05:18Z</dcterms:modified>
</cp:coreProperties>
</file>