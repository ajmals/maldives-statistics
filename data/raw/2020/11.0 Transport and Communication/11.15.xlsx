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1. Transport\"/>
    </mc:Choice>
  </mc:AlternateContent>
  <bookViews>
    <workbookView xWindow="0" yWindow="0" windowWidth="28800" windowHeight="11535"/>
  </bookViews>
  <sheets>
    <sheet name="11.15" sheetId="1" r:id="rId1"/>
  </sheets>
  <externalReferences>
    <externalReference r:id="rId2"/>
  </externalReferences>
  <definedNames>
    <definedName name="_xlnm.Print_Area" localSheetId="0">'11.15'!$A$1:$AB$38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Q30" i="1" l="1"/>
  <c r="AO30" i="1"/>
  <c r="AP29" i="1"/>
  <c r="AO29" i="1"/>
  <c r="AO27" i="1"/>
  <c r="AP26" i="1"/>
  <c r="AO26" i="1"/>
  <c r="AO25" i="1"/>
  <c r="AO24" i="1"/>
  <c r="AO23" i="1"/>
  <c r="AP22" i="1"/>
  <c r="AO22" i="1"/>
  <c r="AA8" i="1"/>
  <c r="Z8" i="1"/>
  <c r="AP30" i="1" s="1"/>
  <c r="X8" i="1"/>
  <c r="AQ29" i="1" s="1"/>
  <c r="W8" i="1"/>
  <c r="U8" i="1"/>
  <c r="AQ28" i="1" s="1"/>
  <c r="T8" i="1"/>
  <c r="AP28" i="1" s="1"/>
  <c r="R8" i="1"/>
  <c r="AQ27" i="1" s="1"/>
  <c r="Q8" i="1"/>
  <c r="AP27" i="1" s="1"/>
  <c r="O8" i="1"/>
  <c r="AQ26" i="1" s="1"/>
  <c r="N8" i="1"/>
  <c r="L8" i="1"/>
  <c r="AQ25" i="1" s="1"/>
  <c r="K8" i="1"/>
  <c r="AP25" i="1" s="1"/>
  <c r="I8" i="1"/>
  <c r="AQ24" i="1" s="1"/>
  <c r="H8" i="1"/>
  <c r="AP24" i="1" s="1"/>
  <c r="F8" i="1"/>
  <c r="AQ23" i="1" s="1"/>
  <c r="E8" i="1"/>
  <c r="AP23" i="1" s="1"/>
  <c r="C8" i="1"/>
  <c r="AQ22" i="1" s="1"/>
  <c r="B8" i="1"/>
  <c r="AP32" i="1" l="1"/>
  <c r="AR32" i="1" s="1"/>
  <c r="AQ32" i="1"/>
</calcChain>
</file>

<file path=xl/sharedStrings.xml><?xml version="1.0" encoding="utf-8"?>
<sst xmlns="http://schemas.openxmlformats.org/spreadsheetml/2006/main" count="89" uniqueCount="55">
  <si>
    <t>2019 ,ctogiruh urutwfurutwd egcnurwjcniswf iawgukwturwdnwb egiawv egEjcaWr cnutogeguhwmcswm  :11.15 ulwvWt</t>
  </si>
  <si>
    <t>Table 11.15 :  PASSENGER MOVEMENTS AT DOMESTIC AIRPORTS BY MONTH, 2019</t>
  </si>
  <si>
    <t>Month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</si>
  <si>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</si>
  <si>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</si>
  <si>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</si>
  <si>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</si>
  <si>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</si>
  <si>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</si>
  <si>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</si>
  <si>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</si>
  <si>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</si>
  <si>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cswm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</si>
  <si>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</si>
  <si>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</si>
  <si>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</si>
  <si>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</si>
  <si>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</si>
  <si>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</si>
  <si>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</si>
  <si>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</si>
  <si>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</si>
  <si>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>iawa</t>
  </si>
  <si>
    <t>iruf</t>
  </si>
  <si>
    <t>In</t>
  </si>
  <si>
    <t>Out</t>
  </si>
  <si>
    <t>Total</t>
  </si>
  <si>
    <t>wlcmuj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</si>
  <si>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</si>
  <si>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</si>
  <si>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</si>
  <si>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</si>
  <si>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</si>
  <si>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</si>
  <si>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</si>
  <si>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</si>
  <si>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</si>
  <si>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</si>
  <si>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</si>
  <si>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</si>
  <si>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</si>
  <si>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</si>
  <si>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</si>
  <si>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</si>
  <si>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</si>
  <si>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</si>
  <si>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</si>
  <si>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</si>
  <si>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</si>
  <si>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</si>
  <si>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</si>
  <si>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</si>
  <si>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Source: Civil Aviation Authority</t>
  </si>
  <si>
    <t>މައުލޫމާތު ދެއްވީ: ސިވިލް އޭވިއޭޝަން އޮތޯރިޓީ</t>
  </si>
  <si>
    <t xml:space="preserve">THA. Thimarafushi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</si>
</sst>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General_)"/>
    <numFmt numFmtId="165" formatCode="_(* #,##0_);_(* \(#,##0\);_(* &quot;-&quot;??_);_(@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Faseyha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0.5"/>
      <name val="Faruma"/>
    </font>
    <font>
      <b/>
      <sz val="10"/>
      <name val="A_Faseyha"/>
    </font>
    <font>
      <b/>
      <sz val="10.5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A_Faseyha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MS Sans Serif"/>
      <family val="2"/>
    </font>
    <font>
      <sz val="10"/>
      <name val="Garamond"/>
      <family val="1"/>
    </font>
    <font>
      <sz val="10"/>
      <name val="A_Faseyha"/>
    </font>
    <font>
      <i/>
      <sz val="9"/>
      <name val="Calibri"/>
      <family val="2"/>
      <scheme val="minor"/>
    </font>
    <font>
      <sz val="10"/>
      <name val="Faruma"/>
    </font>
    <font>
      <b/>
      <sz val="9"/>
      <name val="Calibri"/>
      <family val="2"/>
      <scheme val="minor"/>
    </font>
    <font>
      <i/>
      <sz val="10"/>
      <name val="Arial"/>
      <family val="2"/>
    </font>
    <font>
      <sz val="10"/>
      <name val="Arial"/>
      <family val="2"/>
    </font>
    <font>
      <sz val="10"/>
      <name val="A_Randhoo"/>
    </font>
    <font>
      <b/>
      <sz val="10.5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4" fillId="0" borderId="0" applyFont="0" applyFill="0" applyBorder="0" applyAlignment="0" applyProtection="0"/>
    <xf numFmtId="0" fontId="15" fillId="0" borderId="0"/>
    <xf numFmtId="0" fontId="21" fillId="0" borderId="0"/>
  </cellStyleXfs>
  <cellXfs count="46">
    <xf numFmtId="0" fontId="0" fillId="0" borderId="0" xfId="0"/>
    <xf numFmtId="164" fontId="3" fillId="2" borderId="0" xfId="2" applyNumberFormat="1" applyFont="1" applyFill="1" applyBorder="1" applyAlignment="1">
      <alignment horizontal="center" vertical="center"/>
    </xf>
    <xf numFmtId="164" fontId="0" fillId="2" borderId="0" xfId="0" applyNumberFormat="1" applyFill="1"/>
    <xf numFmtId="164" fontId="4" fillId="2" borderId="0" xfId="2" applyNumberFormat="1" applyFont="1" applyFill="1" applyBorder="1" applyAlignment="1">
      <alignment horizontal="center" vertical="center"/>
    </xf>
    <xf numFmtId="164" fontId="0" fillId="2" borderId="0" xfId="0" applyNumberFormat="1" applyFill="1" applyBorder="1"/>
    <xf numFmtId="164" fontId="5" fillId="2" borderId="1" xfId="2" applyNumberFormat="1" applyFont="1" applyFill="1" applyBorder="1" applyAlignment="1">
      <alignment horizontal="left" vertical="center"/>
    </xf>
    <xf numFmtId="164" fontId="6" fillId="2" borderId="1" xfId="2" applyNumberFormat="1" applyFont="1" applyFill="1" applyBorder="1" applyAlignment="1">
      <alignment horizontal="center" vertical="center"/>
    </xf>
    <xf numFmtId="164" fontId="6" fillId="2" borderId="1" xfId="2" applyNumberFormat="1" applyFont="1" applyFill="1" applyBorder="1" applyAlignment="1">
      <alignment horizontal="center" vertical="center"/>
    </xf>
    <xf numFmtId="164" fontId="7" fillId="2" borderId="1" xfId="2" applyNumberFormat="1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5" fillId="2" borderId="0" xfId="2" applyNumberFormat="1" applyFont="1" applyFill="1" applyBorder="1" applyAlignment="1">
      <alignment horizontal="left" vertical="center"/>
    </xf>
    <xf numFmtId="164" fontId="8" fillId="2" borderId="2" xfId="2" applyNumberFormat="1" applyFont="1" applyFill="1" applyBorder="1" applyAlignment="1">
      <alignment horizontal="center" vertical="center" wrapText="1"/>
    </xf>
    <xf numFmtId="164" fontId="8" fillId="2" borderId="0" xfId="2" applyNumberFormat="1" applyFont="1" applyFill="1" applyBorder="1" applyAlignment="1">
      <alignment horizontal="center" vertical="center" wrapText="1"/>
    </xf>
    <xf numFmtId="164" fontId="7" fillId="2" borderId="0" xfId="2" applyNumberFormat="1" applyFont="1" applyFill="1" applyBorder="1" applyAlignment="1">
      <alignment horizontal="right" vertical="center"/>
    </xf>
    <xf numFmtId="164" fontId="9" fillId="2" borderId="0" xfId="0" applyNumberFormat="1" applyFont="1" applyFill="1"/>
    <xf numFmtId="164" fontId="10" fillId="2" borderId="0" xfId="0" applyNumberFormat="1" applyFont="1" applyFill="1"/>
    <xf numFmtId="164" fontId="11" fillId="2" borderId="0" xfId="2" applyNumberFormat="1" applyFont="1" applyFill="1" applyBorder="1" applyAlignment="1">
      <alignment horizontal="right" vertical="center"/>
    </xf>
    <xf numFmtId="164" fontId="12" fillId="2" borderId="0" xfId="0" applyNumberFormat="1" applyFont="1" applyFill="1"/>
    <xf numFmtId="164" fontId="5" fillId="2" borderId="2" xfId="2" applyNumberFormat="1" applyFont="1" applyFill="1" applyBorder="1" applyAlignment="1">
      <alignment horizontal="left" vertical="center"/>
    </xf>
    <xf numFmtId="164" fontId="8" fillId="2" borderId="2" xfId="2" applyNumberFormat="1" applyFont="1" applyFill="1" applyBorder="1" applyAlignment="1">
      <alignment horizontal="right" vertical="center"/>
    </xf>
    <xf numFmtId="164" fontId="7" fillId="2" borderId="2" xfId="2" applyNumberFormat="1" applyFont="1" applyFill="1" applyBorder="1" applyAlignment="1">
      <alignment horizontal="right" vertical="center"/>
    </xf>
    <xf numFmtId="164" fontId="5" fillId="2" borderId="0" xfId="2" applyNumberFormat="1" applyFont="1" applyFill="1" applyBorder="1" applyAlignment="1" applyProtection="1">
      <alignment horizontal="left" vertical="center"/>
    </xf>
    <xf numFmtId="3" fontId="5" fillId="2" borderId="3" xfId="2" applyNumberFormat="1" applyFont="1" applyFill="1" applyBorder="1" applyAlignment="1">
      <alignment horizontal="right" vertical="center"/>
    </xf>
    <xf numFmtId="3" fontId="5" fillId="2" borderId="0" xfId="2" applyNumberFormat="1" applyFont="1" applyFill="1" applyBorder="1" applyAlignment="1">
      <alignment horizontal="right" vertical="center"/>
    </xf>
    <xf numFmtId="164" fontId="7" fillId="2" borderId="0" xfId="2" applyNumberFormat="1" applyFont="1" applyFill="1" applyBorder="1" applyAlignment="1">
      <alignment horizontal="right" vertical="center"/>
    </xf>
    <xf numFmtId="164" fontId="13" fillId="2" borderId="0" xfId="2" applyNumberFormat="1" applyFont="1" applyFill="1" applyBorder="1" applyAlignment="1" applyProtection="1">
      <alignment horizontal="left" vertical="center"/>
    </xf>
    <xf numFmtId="3" fontId="13" fillId="2" borderId="4" xfId="2" applyNumberFormat="1" applyFont="1" applyFill="1" applyBorder="1" applyAlignment="1">
      <alignment horizontal="right" vertical="center"/>
    </xf>
    <xf numFmtId="3" fontId="13" fillId="2" borderId="4" xfId="3" applyNumberFormat="1" applyFont="1" applyFill="1" applyBorder="1" applyAlignment="1">
      <alignment horizontal="right" vertical="center"/>
    </xf>
    <xf numFmtId="3" fontId="13" fillId="2" borderId="0" xfId="2" applyNumberFormat="1" applyFont="1" applyFill="1" applyBorder="1" applyAlignment="1">
      <alignment horizontal="right" vertical="center"/>
    </xf>
    <xf numFmtId="0" fontId="16" fillId="2" borderId="5" xfId="4" applyFont="1" applyFill="1" applyBorder="1" applyAlignment="1">
      <alignment horizontal="right"/>
    </xf>
    <xf numFmtId="164" fontId="13" fillId="2" borderId="2" xfId="2" applyNumberFormat="1" applyFont="1" applyFill="1" applyBorder="1" applyAlignment="1" applyProtection="1">
      <alignment horizontal="left" vertical="center"/>
    </xf>
    <xf numFmtId="3" fontId="13" fillId="2" borderId="6" xfId="2" applyNumberFormat="1" applyFont="1" applyFill="1" applyBorder="1" applyAlignment="1">
      <alignment horizontal="right" vertical="center"/>
    </xf>
    <xf numFmtId="3" fontId="13" fillId="2" borderId="6" xfId="3" applyNumberFormat="1" applyFont="1" applyFill="1" applyBorder="1" applyAlignment="1">
      <alignment horizontal="right" vertical="center"/>
    </xf>
    <xf numFmtId="3" fontId="13" fillId="2" borderId="2" xfId="2" applyNumberFormat="1" applyFont="1" applyFill="1" applyBorder="1" applyAlignment="1">
      <alignment horizontal="right" vertical="center"/>
    </xf>
    <xf numFmtId="0" fontId="16" fillId="2" borderId="7" xfId="4" applyFont="1" applyFill="1" applyBorder="1" applyAlignment="1">
      <alignment horizontal="right"/>
    </xf>
    <xf numFmtId="164" fontId="17" fillId="2" borderId="0" xfId="2" applyNumberFormat="1" applyFont="1" applyFill="1" applyAlignment="1" applyProtection="1">
      <alignment horizontal="left" vertical="center"/>
    </xf>
    <xf numFmtId="0" fontId="18" fillId="2" borderId="8" xfId="0" applyNumberFormat="1" applyFont="1" applyFill="1" applyBorder="1" applyAlignment="1">
      <alignment horizontal="right" vertical="center"/>
    </xf>
    <xf numFmtId="164" fontId="19" fillId="2" borderId="2" xfId="2" applyNumberFormat="1" applyFont="1" applyFill="1" applyBorder="1" applyAlignment="1">
      <alignment horizontal="right" vertical="center"/>
    </xf>
    <xf numFmtId="165" fontId="0" fillId="2" borderId="0" xfId="1" applyNumberFormat="1" applyFont="1" applyFill="1"/>
    <xf numFmtId="164" fontId="20" fillId="2" borderId="0" xfId="2" applyNumberFormat="1" applyFont="1" applyFill="1" applyAlignment="1" applyProtection="1">
      <alignment horizontal="left" vertical="center"/>
    </xf>
    <xf numFmtId="37" fontId="21" fillId="2" borderId="0" xfId="2" applyNumberFormat="1" applyFont="1" applyFill="1" applyAlignment="1" applyProtection="1">
      <alignment vertical="center"/>
    </xf>
    <xf numFmtId="164" fontId="22" fillId="2" borderId="0" xfId="2" applyNumberFormat="1" applyFont="1" applyFill="1" applyBorder="1" applyAlignment="1"/>
    <xf numFmtId="0" fontId="22" fillId="2" borderId="0" xfId="5" applyFont="1" applyFill="1" applyAlignment="1">
      <alignment vertical="center"/>
    </xf>
    <xf numFmtId="0" fontId="18" fillId="2" borderId="0" xfId="0" applyNumberFormat="1" applyFont="1" applyFill="1" applyBorder="1" applyAlignment="1">
      <alignment horizontal="right" vertical="center"/>
    </xf>
    <xf numFmtId="164" fontId="23" fillId="2" borderId="1" xfId="2" applyNumberFormat="1" applyFont="1" applyFill="1" applyBorder="1" applyAlignment="1">
      <alignment horizontal="center" vertical="center"/>
    </xf>
    <xf numFmtId="164" fontId="23" fillId="2" borderId="1" xfId="2" applyNumberFormat="1" applyFont="1" applyFill="1" applyBorder="1" applyAlignment="1">
      <alignment horizontal="center" vertical="center"/>
    </xf>
  </cellXfs>
  <cellStyles count="6">
    <cellStyle name="Comma" xfId="1" builtinId="3"/>
    <cellStyle name="Comma 2" xfId="3"/>
    <cellStyle name="Normal" xfId="0" builtinId="0"/>
    <cellStyle name="Normal 2" xfId="2"/>
    <cellStyle name="Normal_IX-6(Trans &amp; Comm)" xfId="5"/>
    <cellStyle name="Normal_X-5 (Electricity)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'11.15'!$AO$22:$AO$30</c15:sqref>
                  </c15:fullRef>
                </c:ext>
              </c:extLst>
              <c:f>('11.15'!$AO$22:$AO$23,'11.15'!$AO$25:$AO$30)</c:f>
              <c:strCache>
                <c:ptCount val="8"/>
                <c:pt idx="0">
                  <c:v> L.Kadhdhoo </c:v>
                </c:pt>
                <c:pt idx="1">
                  <c:v> GDh.Kaadedhdhoo </c:v>
                </c:pt>
                <c:pt idx="2">
                  <c:v>ADh.Maamigili</c:v>
                </c:pt>
                <c:pt idx="3">
                  <c:v>B.Dharavandhoo</c:v>
                </c:pt>
                <c:pt idx="4">
                  <c:v>GA. Koodoo</c:v>
                </c:pt>
                <c:pt idx="5">
                  <c:v>THA. Thimarafushi  </c:v>
                </c:pt>
                <c:pt idx="6">
                  <c:v>R.Ifuru  </c:v>
                </c:pt>
                <c:pt idx="7">
                  <c:v>Dh.kudahuvadhoo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'11.15'!$AP$22:$AP$30</c15:sqref>
                  </c15:fullRef>
                </c:ext>
              </c:extLst>
              <c:f>('11.15'!$AP$22:$AP$23,'11.15'!$AP$25:$AP$30)</c:f>
              <c:numCache>
                <c:formatCode>General_)</c:formatCode>
                <c:ptCount val="8"/>
                <c:pt idx="0">
                  <c:v>40997</c:v>
                </c:pt>
                <c:pt idx="1">
                  <c:v>74295</c:v>
                </c:pt>
                <c:pt idx="2">
                  <c:v>111372</c:v>
                </c:pt>
                <c:pt idx="3">
                  <c:v>133300</c:v>
                </c:pt>
                <c:pt idx="4">
                  <c:v>50006</c:v>
                </c:pt>
                <c:pt idx="5">
                  <c:v>5509</c:v>
                </c:pt>
                <c:pt idx="6">
                  <c:v>43772</c:v>
                </c:pt>
                <c:pt idx="7">
                  <c:v>55132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'11.15'!$AO$22:$AO$30</c15:sqref>
                  </c15:fullRef>
                </c:ext>
              </c:extLst>
              <c:f>('11.15'!$AO$22:$AO$23,'11.15'!$AO$25:$AO$30)</c:f>
              <c:strCache>
                <c:ptCount val="8"/>
                <c:pt idx="0">
                  <c:v> L.Kadhdhoo </c:v>
                </c:pt>
                <c:pt idx="1">
                  <c:v> GDh.Kaadedhdhoo </c:v>
                </c:pt>
                <c:pt idx="2">
                  <c:v>ADh.Maamigili</c:v>
                </c:pt>
                <c:pt idx="3">
                  <c:v>B.Dharavandhoo</c:v>
                </c:pt>
                <c:pt idx="4">
                  <c:v>GA. Koodoo</c:v>
                </c:pt>
                <c:pt idx="5">
                  <c:v>THA. Thimarafushi  </c:v>
                </c:pt>
                <c:pt idx="6">
                  <c:v>R.Ifuru  </c:v>
                </c:pt>
                <c:pt idx="7">
                  <c:v>Dh.kudahuvadhoo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'11.15'!$AQ$22:$AQ$30</c15:sqref>
                  </c15:fullRef>
                </c:ext>
              </c:extLst>
              <c:f>('11.15'!$AQ$22:$AQ$23,'11.15'!$AQ$25:$AQ$30)</c:f>
              <c:numCache>
                <c:formatCode>General_)</c:formatCode>
                <c:ptCount val="8"/>
                <c:pt idx="0">
                  <c:v>40143</c:v>
                </c:pt>
                <c:pt idx="1">
                  <c:v>72817</c:v>
                </c:pt>
                <c:pt idx="2">
                  <c:v>111227</c:v>
                </c:pt>
                <c:pt idx="3">
                  <c:v>128343</c:v>
                </c:pt>
                <c:pt idx="4">
                  <c:v>50269</c:v>
                </c:pt>
                <c:pt idx="5">
                  <c:v>5335</c:v>
                </c:pt>
                <c:pt idx="6">
                  <c:v>41596</c:v>
                </c:pt>
                <c:pt idx="7">
                  <c:v>52974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0739592"/>
        <c:axId val="650739984"/>
      </c:barChart>
      <c:catAx>
        <c:axId val="650739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650739984"/>
        <c:crosses val="autoZero"/>
        <c:auto val="1"/>
        <c:lblAlgn val="ctr"/>
        <c:lblOffset val="100"/>
        <c:noMultiLvlLbl val="0"/>
      </c:catAx>
      <c:valAx>
        <c:axId val="65073998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650739592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1.%20TRANSPORT%20_%20COMMUNI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  <sheetName val="11.26"/>
      <sheetName val="11.29"/>
      <sheetName val="11.30"/>
    </sheetNames>
    <sheetDataSet>
      <sheetData sheetId="0"/>
      <sheetData sheetId="1"/>
      <sheetData sheetId="2"/>
      <sheetData sheetId="3">
        <row r="21">
          <cell r="AP21" t="str">
            <v>In</v>
          </cell>
          <cell r="AQ21" t="str">
            <v>Out</v>
          </cell>
        </row>
        <row r="22">
          <cell r="AO22" t="str">
            <v>L.Kadhdhoo</v>
          </cell>
          <cell r="AP22">
            <v>40997</v>
          </cell>
          <cell r="AQ22">
            <v>40143</v>
          </cell>
        </row>
        <row r="23">
          <cell r="AO23" t="str">
            <v>GDh.Kaadedhdhoo</v>
          </cell>
          <cell r="AP23">
            <v>74295</v>
          </cell>
          <cell r="AQ23">
            <v>72817</v>
          </cell>
        </row>
        <row r="24">
          <cell r="AO24" t="str">
            <v xml:space="preserve">Gn.Fuvahmulah </v>
          </cell>
          <cell r="AP24">
            <v>23182</v>
          </cell>
          <cell r="AQ24">
            <v>23545</v>
          </cell>
        </row>
        <row r="25">
          <cell r="AO25" t="str">
            <v>ADh.Maamigili</v>
          </cell>
          <cell r="AP25">
            <v>111372</v>
          </cell>
          <cell r="AQ25">
            <v>111227</v>
          </cell>
        </row>
        <row r="26">
          <cell r="AO26" t="str">
            <v>B.Dharavandhoo</v>
          </cell>
          <cell r="AP26">
            <v>133300</v>
          </cell>
          <cell r="AQ26">
            <v>128343</v>
          </cell>
        </row>
        <row r="27">
          <cell r="AO27" t="str">
            <v>GA. Koodoo</v>
          </cell>
          <cell r="AP27">
            <v>50006</v>
          </cell>
          <cell r="AQ27">
            <v>50269</v>
          </cell>
        </row>
        <row r="28">
          <cell r="AO28" t="str">
            <v xml:space="preserve">THA. Thimarafushi  </v>
          </cell>
          <cell r="AP28">
            <v>5509</v>
          </cell>
          <cell r="AQ28">
            <v>5335</v>
          </cell>
        </row>
        <row r="29">
          <cell r="AO29" t="str">
            <v xml:space="preserve">R.Ifuru  </v>
          </cell>
          <cell r="AP29">
            <v>43772</v>
          </cell>
          <cell r="AQ29">
            <v>41596</v>
          </cell>
        </row>
        <row r="30">
          <cell r="AO30" t="str">
            <v>Dh.kudahuvadhoo</v>
          </cell>
          <cell r="AP30">
            <v>55132</v>
          </cell>
          <cell r="AQ30">
            <v>52974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2"/>
  <sheetViews>
    <sheetView tabSelected="1" zoomScale="96" zoomScaleNormal="96" workbookViewId="0">
      <selection activeCell="AC13" sqref="AC13"/>
    </sheetView>
  </sheetViews>
  <sheetFormatPr defaultColWidth="9.140625" defaultRowHeight="15"/>
  <cols>
    <col min="1" max="3" width="12.5703125" style="2" customWidth="1"/>
    <col min="4" max="4" width="2.42578125" style="2" customWidth="1"/>
    <col min="5" max="6" width="12.5703125" style="2" customWidth="1"/>
    <col min="7" max="7" width="2" style="2" customWidth="1"/>
    <col min="8" max="9" width="12.5703125" style="2" customWidth="1"/>
    <col min="10" max="10" width="2.28515625" style="2" customWidth="1"/>
    <col min="11" max="12" width="12.5703125" style="2" customWidth="1"/>
    <col min="13" max="13" width="2.28515625" style="2" customWidth="1"/>
    <col min="14" max="15" width="12.5703125" style="2" customWidth="1"/>
    <col min="16" max="16" width="1.28515625" style="2" customWidth="1"/>
    <col min="17" max="17" width="9.7109375" style="2" customWidth="1"/>
    <col min="18" max="18" width="11.140625" style="2" customWidth="1"/>
    <col min="19" max="19" width="1.28515625" style="2" customWidth="1"/>
    <col min="20" max="20" width="9.7109375" style="2" customWidth="1"/>
    <col min="21" max="21" width="11.140625" style="2" customWidth="1"/>
    <col min="22" max="22" width="1.28515625" style="2" customWidth="1"/>
    <col min="23" max="23" width="9.7109375" style="2" customWidth="1"/>
    <col min="24" max="24" width="11.140625" style="2" customWidth="1"/>
    <col min="25" max="25" width="1.28515625" style="2" customWidth="1"/>
    <col min="26" max="27" width="9.7109375" style="2" customWidth="1"/>
    <col min="28" max="28" width="13.7109375" style="2" customWidth="1"/>
    <col min="29" max="40" width="9.140625" style="2"/>
    <col min="41" max="41" width="25.7109375" style="2" customWidth="1"/>
    <col min="42" max="16384" width="9.140625" style="2"/>
  </cols>
  <sheetData>
    <row r="1" spans="1:29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15.7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9" s="4" customFormat="1"/>
    <row r="4" spans="1:29" s="9" customFormat="1" ht="19.5">
      <c r="A4" s="5" t="s">
        <v>2</v>
      </c>
      <c r="B4" s="44" t="s">
        <v>3</v>
      </c>
      <c r="C4" s="44"/>
      <c r="D4" s="45"/>
      <c r="E4" s="44" t="s">
        <v>4</v>
      </c>
      <c r="F4" s="44"/>
      <c r="G4" s="7"/>
      <c r="H4" s="6" t="s">
        <v>5</v>
      </c>
      <c r="I4" s="6"/>
      <c r="J4" s="7"/>
      <c r="K4" s="6" t="s">
        <v>6</v>
      </c>
      <c r="L4" s="6"/>
      <c r="M4" s="7"/>
      <c r="N4" s="6" t="s">
        <v>7</v>
      </c>
      <c r="O4" s="6"/>
      <c r="P4" s="7"/>
      <c r="Q4" s="6" t="s">
        <v>8</v>
      </c>
      <c r="R4" s="6"/>
      <c r="S4" s="7"/>
      <c r="T4" s="6" t="s">
        <v>9</v>
      </c>
      <c r="U4" s="6"/>
      <c r="V4" s="7"/>
      <c r="W4" s="6" t="s">
        <v>10</v>
      </c>
      <c r="X4" s="6"/>
      <c r="Y4" s="7"/>
      <c r="Z4" s="6" t="s">
        <v>11</v>
      </c>
      <c r="AA4" s="6"/>
      <c r="AB4" s="8" t="s">
        <v>12</v>
      </c>
    </row>
    <row r="5" spans="1:29" s="15" customFormat="1" ht="15" customHeight="1">
      <c r="A5" s="10"/>
      <c r="B5" s="11" t="s">
        <v>13</v>
      </c>
      <c r="C5" s="11"/>
      <c r="D5" s="12"/>
      <c r="E5" s="11" t="s">
        <v>14</v>
      </c>
      <c r="F5" s="11"/>
      <c r="G5" s="12"/>
      <c r="H5" s="11" t="s">
        <v>15</v>
      </c>
      <c r="I5" s="11"/>
      <c r="J5" s="12"/>
      <c r="K5" s="11" t="s">
        <v>16</v>
      </c>
      <c r="L5" s="11"/>
      <c r="M5" s="12"/>
      <c r="N5" s="11" t="s">
        <v>17</v>
      </c>
      <c r="O5" s="11"/>
      <c r="P5" s="12"/>
      <c r="Q5" s="11" t="s">
        <v>18</v>
      </c>
      <c r="R5" s="11"/>
      <c r="S5" s="12"/>
      <c r="T5" s="11" t="s">
        <v>19</v>
      </c>
      <c r="U5" s="11"/>
      <c r="V5" s="12"/>
      <c r="W5" s="11" t="s">
        <v>20</v>
      </c>
      <c r="X5" s="11"/>
      <c r="Y5" s="12"/>
      <c r="Z5" s="11" t="s">
        <v>21</v>
      </c>
      <c r="AA5" s="11"/>
      <c r="AB5" s="13"/>
      <c r="AC5" s="14"/>
    </row>
    <row r="6" spans="1:29" s="17" customFormat="1" ht="14.25">
      <c r="A6" s="10"/>
      <c r="B6" s="16" t="s">
        <v>22</v>
      </c>
      <c r="C6" s="16" t="s">
        <v>23</v>
      </c>
      <c r="D6" s="16"/>
      <c r="E6" s="16" t="s">
        <v>22</v>
      </c>
      <c r="F6" s="16" t="s">
        <v>23</v>
      </c>
      <c r="G6" s="16"/>
      <c r="H6" s="16" t="s">
        <v>22</v>
      </c>
      <c r="I6" s="16" t="s">
        <v>23</v>
      </c>
      <c r="J6" s="16"/>
      <c r="K6" s="16" t="s">
        <v>22</v>
      </c>
      <c r="L6" s="16" t="s">
        <v>23</v>
      </c>
      <c r="M6" s="16"/>
      <c r="N6" s="16" t="s">
        <v>22</v>
      </c>
      <c r="O6" s="16" t="s">
        <v>23</v>
      </c>
      <c r="P6" s="16"/>
      <c r="Q6" s="16" t="s">
        <v>22</v>
      </c>
      <c r="R6" s="16" t="s">
        <v>23</v>
      </c>
      <c r="S6" s="16"/>
      <c r="T6" s="16" t="s">
        <v>22</v>
      </c>
      <c r="U6" s="16" t="s">
        <v>23</v>
      </c>
      <c r="V6" s="16"/>
      <c r="W6" s="16" t="s">
        <v>22</v>
      </c>
      <c r="X6" s="16" t="s">
        <v>23</v>
      </c>
      <c r="Y6" s="16"/>
      <c r="Z6" s="16" t="s">
        <v>22</v>
      </c>
      <c r="AA6" s="16" t="s">
        <v>23</v>
      </c>
      <c r="AB6" s="13"/>
    </row>
    <row r="7" spans="1:29" s="15" customFormat="1" ht="14.25">
      <c r="A7" s="18"/>
      <c r="B7" s="19" t="s">
        <v>24</v>
      </c>
      <c r="C7" s="19" t="s">
        <v>25</v>
      </c>
      <c r="D7" s="19"/>
      <c r="E7" s="19" t="s">
        <v>24</v>
      </c>
      <c r="F7" s="19" t="s">
        <v>25</v>
      </c>
      <c r="G7" s="19"/>
      <c r="H7" s="19" t="s">
        <v>24</v>
      </c>
      <c r="I7" s="19" t="s">
        <v>25</v>
      </c>
      <c r="J7" s="19"/>
      <c r="K7" s="19" t="s">
        <v>24</v>
      </c>
      <c r="L7" s="19" t="s">
        <v>25</v>
      </c>
      <c r="M7" s="19"/>
      <c r="N7" s="19" t="s">
        <v>24</v>
      </c>
      <c r="O7" s="19" t="s">
        <v>25</v>
      </c>
      <c r="P7" s="19"/>
      <c r="Q7" s="19" t="s">
        <v>24</v>
      </c>
      <c r="R7" s="19" t="s">
        <v>25</v>
      </c>
      <c r="S7" s="19"/>
      <c r="T7" s="19" t="s">
        <v>24</v>
      </c>
      <c r="U7" s="19" t="s">
        <v>25</v>
      </c>
      <c r="V7" s="19"/>
      <c r="W7" s="19" t="s">
        <v>24</v>
      </c>
      <c r="X7" s="19" t="s">
        <v>25</v>
      </c>
      <c r="Y7" s="19"/>
      <c r="Z7" s="19" t="s">
        <v>24</v>
      </c>
      <c r="AA7" s="19" t="s">
        <v>25</v>
      </c>
      <c r="AB7" s="20"/>
    </row>
    <row r="8" spans="1:29" s="9" customFormat="1" ht="15.75">
      <c r="A8" s="21" t="s">
        <v>26</v>
      </c>
      <c r="B8" s="22">
        <f>SUM(B9:B20)</f>
        <v>40997</v>
      </c>
      <c r="C8" s="22">
        <f>SUM(C9:C20)</f>
        <v>40143</v>
      </c>
      <c r="D8" s="22"/>
      <c r="E8" s="22">
        <f>SUM(E9:E20)</f>
        <v>74295</v>
      </c>
      <c r="F8" s="22">
        <f>SUM(F9:F20)</f>
        <v>72817</v>
      </c>
      <c r="G8" s="22"/>
      <c r="H8" s="22">
        <f>SUM(H9:H20)</f>
        <v>23182</v>
      </c>
      <c r="I8" s="22">
        <f>SUM(I9:I20)</f>
        <v>23545</v>
      </c>
      <c r="J8" s="22"/>
      <c r="K8" s="22">
        <f>SUM(K9:K20)</f>
        <v>111372</v>
      </c>
      <c r="L8" s="22">
        <f>SUM(L9:L20)</f>
        <v>111227</v>
      </c>
      <c r="M8" s="22"/>
      <c r="N8" s="22">
        <f>SUM(N9:N20)</f>
        <v>133300</v>
      </c>
      <c r="O8" s="22">
        <f>SUM(O9:O20)</f>
        <v>128343</v>
      </c>
      <c r="P8" s="22"/>
      <c r="Q8" s="22">
        <f>SUM(Q9:Q20)</f>
        <v>50006</v>
      </c>
      <c r="R8" s="22">
        <f>SUM(R9:R20)</f>
        <v>50269</v>
      </c>
      <c r="S8" s="22"/>
      <c r="T8" s="22">
        <f>SUM(T9:T20)</f>
        <v>5509</v>
      </c>
      <c r="U8" s="22">
        <f>SUM(U9:U20)</f>
        <v>5335</v>
      </c>
      <c r="V8" s="22"/>
      <c r="W8" s="22">
        <f>SUM(W9:W20)</f>
        <v>43772</v>
      </c>
      <c r="X8" s="22">
        <f>SUM(X9:X20)</f>
        <v>41596</v>
      </c>
      <c r="Y8" s="23"/>
      <c r="Z8" s="22">
        <f>SUM(Z9:Z20)</f>
        <v>55132</v>
      </c>
      <c r="AA8" s="22">
        <f>SUM(AA9:AA20)</f>
        <v>52974</v>
      </c>
      <c r="AB8" s="24" t="s">
        <v>27</v>
      </c>
    </row>
    <row r="9" spans="1:29" s="9" customFormat="1" ht="15.75">
      <c r="A9" s="25" t="s">
        <v>28</v>
      </c>
      <c r="B9" s="26">
        <v>3591</v>
      </c>
      <c r="C9" s="26">
        <v>3842</v>
      </c>
      <c r="D9" s="26"/>
      <c r="E9" s="27">
        <v>6945</v>
      </c>
      <c r="F9" s="27">
        <v>7113</v>
      </c>
      <c r="G9" s="27"/>
      <c r="H9" s="26">
        <v>2261</v>
      </c>
      <c r="I9" s="26">
        <v>1870</v>
      </c>
      <c r="J9" s="26"/>
      <c r="K9" s="26">
        <v>9636</v>
      </c>
      <c r="L9" s="26">
        <v>9847</v>
      </c>
      <c r="M9" s="26"/>
      <c r="N9" s="26">
        <v>9996</v>
      </c>
      <c r="O9" s="26">
        <v>10201</v>
      </c>
      <c r="P9" s="26"/>
      <c r="Q9" s="26">
        <v>4487</v>
      </c>
      <c r="R9" s="26">
        <v>4663</v>
      </c>
      <c r="S9" s="26"/>
      <c r="T9" s="26">
        <v>690</v>
      </c>
      <c r="U9" s="26">
        <v>646</v>
      </c>
      <c r="V9" s="26"/>
      <c r="W9" s="26">
        <v>3575</v>
      </c>
      <c r="X9" s="26">
        <v>3410</v>
      </c>
      <c r="Y9" s="28"/>
      <c r="Z9" s="28">
        <v>2695</v>
      </c>
      <c r="AA9" s="28">
        <v>2707</v>
      </c>
      <c r="AB9" s="29" t="s">
        <v>29</v>
      </c>
    </row>
    <row r="10" spans="1:29" s="9" customFormat="1" ht="15.75">
      <c r="A10" s="25" t="s">
        <v>30</v>
      </c>
      <c r="B10" s="26">
        <v>3031</v>
      </c>
      <c r="C10" s="26">
        <v>3093</v>
      </c>
      <c r="D10" s="26"/>
      <c r="E10" s="27">
        <v>6125</v>
      </c>
      <c r="F10" s="27">
        <v>6103</v>
      </c>
      <c r="G10" s="27"/>
      <c r="H10" s="26">
        <v>1665</v>
      </c>
      <c r="I10" s="26">
        <v>1694</v>
      </c>
      <c r="J10" s="26"/>
      <c r="K10" s="26">
        <v>8897</v>
      </c>
      <c r="L10" s="26">
        <v>9156</v>
      </c>
      <c r="M10" s="26"/>
      <c r="N10" s="26">
        <v>9867</v>
      </c>
      <c r="O10" s="26">
        <v>9385</v>
      </c>
      <c r="P10" s="26"/>
      <c r="Q10" s="26">
        <v>4485</v>
      </c>
      <c r="R10" s="26">
        <v>4604</v>
      </c>
      <c r="S10" s="26"/>
      <c r="T10" s="26">
        <v>417</v>
      </c>
      <c r="U10" s="26">
        <v>409</v>
      </c>
      <c r="V10" s="26"/>
      <c r="W10" s="26">
        <v>3505</v>
      </c>
      <c r="X10" s="26">
        <v>3234</v>
      </c>
      <c r="Y10" s="28"/>
      <c r="Z10" s="28">
        <v>3408</v>
      </c>
      <c r="AA10" s="28">
        <v>3195</v>
      </c>
      <c r="AB10" s="29" t="s">
        <v>31</v>
      </c>
    </row>
    <row r="11" spans="1:29" s="9" customFormat="1" ht="15.75">
      <c r="A11" s="25" t="s">
        <v>32</v>
      </c>
      <c r="B11" s="26">
        <v>3379</v>
      </c>
      <c r="C11" s="26">
        <v>3446</v>
      </c>
      <c r="D11" s="26"/>
      <c r="E11" s="27">
        <v>6616</v>
      </c>
      <c r="F11" s="27">
        <v>6400</v>
      </c>
      <c r="G11" s="27"/>
      <c r="H11" s="26">
        <v>2695</v>
      </c>
      <c r="I11" s="26">
        <v>2553</v>
      </c>
      <c r="J11" s="26"/>
      <c r="K11" s="26">
        <v>9388</v>
      </c>
      <c r="L11" s="26">
        <v>9723</v>
      </c>
      <c r="M11" s="26"/>
      <c r="N11" s="26">
        <v>10068</v>
      </c>
      <c r="O11" s="26">
        <v>9623</v>
      </c>
      <c r="P11" s="26"/>
      <c r="Q11" s="26">
        <v>5162</v>
      </c>
      <c r="R11" s="26">
        <v>5188</v>
      </c>
      <c r="S11" s="26"/>
      <c r="T11" s="26">
        <v>481</v>
      </c>
      <c r="U11" s="26">
        <v>413</v>
      </c>
      <c r="V11" s="26"/>
      <c r="W11" s="26">
        <v>3571</v>
      </c>
      <c r="X11" s="26">
        <v>3483</v>
      </c>
      <c r="Y11" s="28"/>
      <c r="Z11" s="28">
        <v>3232</v>
      </c>
      <c r="AA11" s="28">
        <v>3149</v>
      </c>
      <c r="AB11" s="29" t="s">
        <v>33</v>
      </c>
    </row>
    <row r="12" spans="1:29" s="9" customFormat="1" ht="15.75">
      <c r="A12" s="25" t="s">
        <v>34</v>
      </c>
      <c r="B12" s="26">
        <v>3494</v>
      </c>
      <c r="C12" s="26">
        <v>3490</v>
      </c>
      <c r="D12" s="26"/>
      <c r="E12" s="27">
        <v>6811</v>
      </c>
      <c r="F12" s="27">
        <v>6586</v>
      </c>
      <c r="G12" s="27"/>
      <c r="H12" s="26">
        <v>2073</v>
      </c>
      <c r="I12" s="26">
        <v>2228</v>
      </c>
      <c r="J12" s="26"/>
      <c r="K12" s="26">
        <v>9599</v>
      </c>
      <c r="L12" s="26">
        <v>8984</v>
      </c>
      <c r="M12" s="26"/>
      <c r="N12" s="26">
        <v>10993</v>
      </c>
      <c r="O12" s="26">
        <v>10137</v>
      </c>
      <c r="P12" s="26"/>
      <c r="Q12" s="26">
        <v>4156</v>
      </c>
      <c r="R12" s="26">
        <v>4201</v>
      </c>
      <c r="S12" s="26"/>
      <c r="T12" s="26">
        <v>396</v>
      </c>
      <c r="U12" s="26">
        <v>476</v>
      </c>
      <c r="V12" s="26"/>
      <c r="W12" s="26">
        <v>3382</v>
      </c>
      <c r="X12" s="26">
        <v>3170</v>
      </c>
      <c r="Y12" s="28"/>
      <c r="Z12" s="28">
        <v>3852</v>
      </c>
      <c r="AA12" s="28">
        <v>3499</v>
      </c>
      <c r="AB12" s="29" t="s">
        <v>35</v>
      </c>
    </row>
    <row r="13" spans="1:29" s="9" customFormat="1" ht="15.75">
      <c r="A13" s="25" t="s">
        <v>36</v>
      </c>
      <c r="B13" s="26">
        <v>2918</v>
      </c>
      <c r="C13" s="26">
        <v>2424</v>
      </c>
      <c r="D13" s="26"/>
      <c r="E13" s="27">
        <v>5217</v>
      </c>
      <c r="F13" s="27">
        <v>4920</v>
      </c>
      <c r="G13" s="27"/>
      <c r="H13" s="26">
        <v>1707</v>
      </c>
      <c r="I13" s="26">
        <v>1307</v>
      </c>
      <c r="J13" s="26"/>
      <c r="K13" s="26">
        <v>9310</v>
      </c>
      <c r="L13" s="26">
        <v>9481</v>
      </c>
      <c r="M13" s="26"/>
      <c r="N13" s="26">
        <v>9011</v>
      </c>
      <c r="O13" s="26">
        <v>9324</v>
      </c>
      <c r="P13" s="26"/>
      <c r="Q13" s="26">
        <v>2941</v>
      </c>
      <c r="R13" s="26">
        <v>2787</v>
      </c>
      <c r="S13" s="26"/>
      <c r="T13" s="26">
        <v>351</v>
      </c>
      <c r="U13" s="26">
        <v>243</v>
      </c>
      <c r="V13" s="26"/>
      <c r="W13" s="26">
        <v>3592</v>
      </c>
      <c r="X13" s="26">
        <v>3487</v>
      </c>
      <c r="Y13" s="28"/>
      <c r="Z13" s="28">
        <v>2865</v>
      </c>
      <c r="AA13" s="28">
        <v>2804</v>
      </c>
      <c r="AB13" s="29" t="s">
        <v>37</v>
      </c>
    </row>
    <row r="14" spans="1:29" s="9" customFormat="1" ht="15.75">
      <c r="A14" s="25" t="s">
        <v>38</v>
      </c>
      <c r="B14" s="26">
        <v>2746</v>
      </c>
      <c r="C14" s="26">
        <v>2334</v>
      </c>
      <c r="D14" s="26"/>
      <c r="E14" s="27">
        <v>5533</v>
      </c>
      <c r="F14" s="27">
        <v>5700</v>
      </c>
      <c r="G14" s="27"/>
      <c r="H14" s="26">
        <v>1790</v>
      </c>
      <c r="I14" s="26">
        <v>2225</v>
      </c>
      <c r="J14" s="26"/>
      <c r="K14" s="26">
        <v>10158</v>
      </c>
      <c r="L14" s="26">
        <v>9775</v>
      </c>
      <c r="M14" s="26"/>
      <c r="N14" s="26">
        <v>11321</v>
      </c>
      <c r="O14" s="26">
        <v>10728</v>
      </c>
      <c r="P14" s="26"/>
      <c r="Q14" s="26">
        <v>3122</v>
      </c>
      <c r="R14" s="26">
        <v>3410</v>
      </c>
      <c r="S14" s="26"/>
      <c r="T14" s="26">
        <v>440</v>
      </c>
      <c r="U14" s="26">
        <v>500</v>
      </c>
      <c r="V14" s="26"/>
      <c r="W14" s="26">
        <v>3738</v>
      </c>
      <c r="X14" s="26">
        <v>3706</v>
      </c>
      <c r="Y14" s="28"/>
      <c r="Z14" s="28">
        <v>3815</v>
      </c>
      <c r="AA14" s="28">
        <v>4107</v>
      </c>
      <c r="AB14" s="29" t="s">
        <v>39</v>
      </c>
    </row>
    <row r="15" spans="1:29" s="9" customFormat="1" ht="15.75">
      <c r="A15" s="25" t="s">
        <v>40</v>
      </c>
      <c r="B15" s="26">
        <v>2686</v>
      </c>
      <c r="C15" s="26">
        <v>2730</v>
      </c>
      <c r="D15" s="26"/>
      <c r="E15" s="27">
        <v>5619</v>
      </c>
      <c r="F15" s="27">
        <v>5344</v>
      </c>
      <c r="G15" s="27"/>
      <c r="H15" s="26">
        <v>1505</v>
      </c>
      <c r="I15" s="26">
        <v>1637</v>
      </c>
      <c r="J15" s="26"/>
      <c r="K15" s="26">
        <v>8655</v>
      </c>
      <c r="L15" s="26">
        <v>8703</v>
      </c>
      <c r="M15" s="26"/>
      <c r="N15" s="26">
        <v>11562</v>
      </c>
      <c r="O15" s="26">
        <v>11193</v>
      </c>
      <c r="P15" s="26"/>
      <c r="Q15" s="26">
        <v>3265</v>
      </c>
      <c r="R15" s="26">
        <v>2973</v>
      </c>
      <c r="S15" s="26"/>
      <c r="T15" s="26">
        <v>391</v>
      </c>
      <c r="U15" s="26">
        <v>436</v>
      </c>
      <c r="V15" s="26"/>
      <c r="W15" s="26">
        <v>4090</v>
      </c>
      <c r="X15" s="26">
        <v>3772</v>
      </c>
      <c r="Y15" s="28"/>
      <c r="Z15" s="28">
        <v>4642</v>
      </c>
      <c r="AA15" s="28">
        <v>4224</v>
      </c>
      <c r="AB15" s="29" t="s">
        <v>41</v>
      </c>
    </row>
    <row r="16" spans="1:29" s="9" customFormat="1" ht="15.75">
      <c r="A16" s="25" t="s">
        <v>42</v>
      </c>
      <c r="B16" s="26">
        <v>4287</v>
      </c>
      <c r="C16" s="26">
        <v>4746</v>
      </c>
      <c r="D16" s="26"/>
      <c r="E16" s="27">
        <v>7110</v>
      </c>
      <c r="F16" s="27">
        <v>7288</v>
      </c>
      <c r="G16" s="27"/>
      <c r="H16" s="26">
        <v>2167</v>
      </c>
      <c r="I16" s="26">
        <v>2129</v>
      </c>
      <c r="J16" s="26"/>
      <c r="K16" s="26">
        <v>9832</v>
      </c>
      <c r="L16" s="26">
        <v>10249</v>
      </c>
      <c r="M16" s="26"/>
      <c r="N16" s="26">
        <v>13498</v>
      </c>
      <c r="O16" s="26">
        <v>14056</v>
      </c>
      <c r="P16" s="26"/>
      <c r="Q16" s="26">
        <v>4152</v>
      </c>
      <c r="R16" s="26">
        <v>4509</v>
      </c>
      <c r="S16" s="26"/>
      <c r="T16" s="26">
        <v>670</v>
      </c>
      <c r="U16" s="26">
        <v>662</v>
      </c>
      <c r="V16" s="26"/>
      <c r="W16" s="26">
        <v>3870</v>
      </c>
      <c r="X16" s="26">
        <v>3942</v>
      </c>
      <c r="Y16" s="28"/>
      <c r="Z16" s="28">
        <v>5380</v>
      </c>
      <c r="AA16" s="28">
        <v>5455</v>
      </c>
      <c r="AB16" s="29" t="s">
        <v>43</v>
      </c>
    </row>
    <row r="17" spans="1:44" s="9" customFormat="1" ht="15.75">
      <c r="A17" s="25" t="s">
        <v>44</v>
      </c>
      <c r="B17" s="26">
        <v>3410</v>
      </c>
      <c r="C17" s="26">
        <v>3046</v>
      </c>
      <c r="D17" s="26"/>
      <c r="E17" s="27">
        <v>5410</v>
      </c>
      <c r="F17" s="27">
        <v>5194</v>
      </c>
      <c r="G17" s="27"/>
      <c r="H17" s="26">
        <v>1885</v>
      </c>
      <c r="I17" s="26">
        <v>1756</v>
      </c>
      <c r="J17" s="26"/>
      <c r="K17" s="26">
        <v>9813</v>
      </c>
      <c r="L17" s="26">
        <v>9781</v>
      </c>
      <c r="M17" s="26"/>
      <c r="N17" s="26">
        <v>10706</v>
      </c>
      <c r="O17" s="26">
        <v>9834</v>
      </c>
      <c r="P17" s="26"/>
      <c r="Q17" s="26">
        <v>3661</v>
      </c>
      <c r="R17" s="26">
        <v>3435</v>
      </c>
      <c r="S17" s="26"/>
      <c r="T17" s="26">
        <v>335</v>
      </c>
      <c r="U17" s="26">
        <v>327</v>
      </c>
      <c r="V17" s="26"/>
      <c r="W17" s="26">
        <v>3549</v>
      </c>
      <c r="X17" s="26">
        <v>3490</v>
      </c>
      <c r="Y17" s="28"/>
      <c r="Z17" s="28">
        <v>4936</v>
      </c>
      <c r="AA17" s="28">
        <v>4657</v>
      </c>
      <c r="AB17" s="29" t="s">
        <v>45</v>
      </c>
    </row>
    <row r="18" spans="1:44" s="9" customFormat="1" ht="15.75">
      <c r="A18" s="25" t="s">
        <v>46</v>
      </c>
      <c r="B18" s="26">
        <v>2681</v>
      </c>
      <c r="C18" s="26">
        <v>2701</v>
      </c>
      <c r="D18" s="26"/>
      <c r="E18" s="27">
        <v>5317</v>
      </c>
      <c r="F18" s="27">
        <v>5024</v>
      </c>
      <c r="G18" s="27"/>
      <c r="H18" s="26">
        <v>1323</v>
      </c>
      <c r="I18" s="26">
        <v>1464</v>
      </c>
      <c r="J18" s="26"/>
      <c r="K18" s="26">
        <v>8450</v>
      </c>
      <c r="L18" s="26">
        <v>8204</v>
      </c>
      <c r="M18" s="26"/>
      <c r="N18" s="26">
        <v>11464</v>
      </c>
      <c r="O18" s="26">
        <v>10648</v>
      </c>
      <c r="P18" s="26"/>
      <c r="Q18" s="26">
        <v>3934</v>
      </c>
      <c r="R18" s="26">
        <v>4013</v>
      </c>
      <c r="S18" s="26"/>
      <c r="T18" s="26">
        <v>400</v>
      </c>
      <c r="U18" s="26">
        <v>340</v>
      </c>
      <c r="V18" s="26"/>
      <c r="W18" s="26">
        <v>4027</v>
      </c>
      <c r="X18" s="26">
        <v>3769</v>
      </c>
      <c r="Y18" s="28"/>
      <c r="Z18" s="28">
        <v>5911</v>
      </c>
      <c r="AA18" s="28">
        <v>5425</v>
      </c>
      <c r="AB18" s="29" t="s">
        <v>47</v>
      </c>
    </row>
    <row r="19" spans="1:44" s="9" customFormat="1" ht="15.75">
      <c r="A19" s="25" t="s">
        <v>48</v>
      </c>
      <c r="B19" s="26">
        <v>3467</v>
      </c>
      <c r="C19" s="26">
        <v>3686</v>
      </c>
      <c r="D19" s="26"/>
      <c r="E19" s="27">
        <v>5832</v>
      </c>
      <c r="F19" s="27">
        <v>6260</v>
      </c>
      <c r="G19" s="27"/>
      <c r="H19" s="26">
        <v>1589</v>
      </c>
      <c r="I19" s="26">
        <v>2190</v>
      </c>
      <c r="J19" s="26"/>
      <c r="K19" s="26">
        <v>8262</v>
      </c>
      <c r="L19" s="26">
        <v>8499</v>
      </c>
      <c r="M19" s="26"/>
      <c r="N19" s="26">
        <v>10451</v>
      </c>
      <c r="O19" s="26">
        <v>10569</v>
      </c>
      <c r="P19" s="26"/>
      <c r="Q19" s="26">
        <v>4146</v>
      </c>
      <c r="R19" s="26">
        <v>4743</v>
      </c>
      <c r="S19" s="26"/>
      <c r="T19" s="26">
        <v>411</v>
      </c>
      <c r="U19" s="26">
        <v>461</v>
      </c>
      <c r="V19" s="26"/>
      <c r="W19" s="26">
        <v>3675</v>
      </c>
      <c r="X19" s="26">
        <v>3447</v>
      </c>
      <c r="Y19" s="28"/>
      <c r="Z19" s="28">
        <v>6853</v>
      </c>
      <c r="AA19" s="28">
        <v>6707</v>
      </c>
      <c r="AB19" s="29" t="s">
        <v>49</v>
      </c>
    </row>
    <row r="20" spans="1:44" s="9" customFormat="1" ht="15.75">
      <c r="A20" s="30" t="s">
        <v>50</v>
      </c>
      <c r="B20" s="31">
        <v>5307</v>
      </c>
      <c r="C20" s="31">
        <v>4605</v>
      </c>
      <c r="D20" s="31"/>
      <c r="E20" s="32">
        <v>7760</v>
      </c>
      <c r="F20" s="32">
        <v>6885</v>
      </c>
      <c r="G20" s="32"/>
      <c r="H20" s="31">
        <v>2522</v>
      </c>
      <c r="I20" s="31">
        <v>2492</v>
      </c>
      <c r="J20" s="31"/>
      <c r="K20" s="31">
        <v>9372</v>
      </c>
      <c r="L20" s="31">
        <v>8825</v>
      </c>
      <c r="M20" s="31"/>
      <c r="N20" s="31">
        <v>14363</v>
      </c>
      <c r="O20" s="31">
        <v>12645</v>
      </c>
      <c r="P20" s="31"/>
      <c r="Q20" s="31">
        <v>6495</v>
      </c>
      <c r="R20" s="31">
        <v>5743</v>
      </c>
      <c r="S20" s="31"/>
      <c r="T20" s="31">
        <v>527</v>
      </c>
      <c r="U20" s="31">
        <v>422</v>
      </c>
      <c r="V20" s="31"/>
      <c r="W20" s="31">
        <v>3198</v>
      </c>
      <c r="X20" s="31">
        <v>2686</v>
      </c>
      <c r="Y20" s="33"/>
      <c r="Z20" s="33">
        <v>7543</v>
      </c>
      <c r="AA20" s="33">
        <v>7045</v>
      </c>
      <c r="AB20" s="34" t="s">
        <v>51</v>
      </c>
    </row>
    <row r="21" spans="1:44" ht="18.75">
      <c r="A21" s="35" t="s">
        <v>52</v>
      </c>
      <c r="AB21" s="36" t="s">
        <v>53</v>
      </c>
      <c r="AO21" s="9"/>
      <c r="AP21" s="37" t="s">
        <v>24</v>
      </c>
      <c r="AQ21" s="37" t="s">
        <v>25</v>
      </c>
    </row>
    <row r="22" spans="1:44" ht="15" customHeight="1">
      <c r="AN22" s="38"/>
      <c r="AO22" s="38" t="str">
        <f>B5</f>
        <v>L.Kadhdhoo</v>
      </c>
      <c r="AP22" s="2">
        <f>B8</f>
        <v>40997</v>
      </c>
      <c r="AQ22" s="2">
        <f>C8</f>
        <v>40143</v>
      </c>
    </row>
    <row r="23" spans="1:44" s="9" customFormat="1">
      <c r="B23" s="39"/>
      <c r="C23" s="40"/>
      <c r="D23" s="40"/>
      <c r="E23" s="40"/>
      <c r="F23" s="41"/>
      <c r="G23" s="41"/>
      <c r="R23" s="42"/>
      <c r="S23" s="42"/>
      <c r="U23" s="42"/>
      <c r="V23" s="42"/>
      <c r="X23" s="42"/>
      <c r="Y23" s="42"/>
      <c r="Z23" s="42"/>
      <c r="AA23" s="42"/>
      <c r="AB23" s="42"/>
      <c r="AE23" s="42"/>
      <c r="AM23" s="2"/>
      <c r="AN23" s="38"/>
      <c r="AO23" s="38" t="str">
        <f>E5</f>
        <v>GDh.Kaadedhdhoo</v>
      </c>
      <c r="AP23" s="2">
        <f>E8</f>
        <v>74295</v>
      </c>
      <c r="AQ23" s="2">
        <f>F8</f>
        <v>72817</v>
      </c>
    </row>
    <row r="24" spans="1:44" ht="18.75">
      <c r="A24" s="25"/>
      <c r="Q24" s="43"/>
      <c r="T24" s="43"/>
      <c r="W24" s="43"/>
      <c r="AO24" s="9" t="str">
        <f>H5</f>
        <v xml:space="preserve">Gn.Fuvahmulah </v>
      </c>
      <c r="AP24" s="2">
        <f>H8</f>
        <v>23182</v>
      </c>
      <c r="AQ24" s="2">
        <f>I8</f>
        <v>23545</v>
      </c>
    </row>
    <row r="25" spans="1:44" s="9" customFormat="1">
      <c r="B25" s="39"/>
      <c r="C25" s="40"/>
      <c r="D25" s="40"/>
      <c r="E25" s="40"/>
      <c r="F25" s="41"/>
      <c r="G25" s="41"/>
      <c r="R25" s="42"/>
      <c r="S25" s="42"/>
      <c r="U25" s="42"/>
      <c r="V25" s="42"/>
      <c r="X25" s="42"/>
      <c r="Y25" s="42"/>
      <c r="Z25" s="42"/>
      <c r="AA25" s="42"/>
      <c r="AB25" s="42"/>
      <c r="AE25" s="42"/>
      <c r="AO25" s="2" t="str">
        <f>K5</f>
        <v>ADh.Maamigili</v>
      </c>
      <c r="AP25" s="2">
        <f>K8</f>
        <v>111372</v>
      </c>
      <c r="AQ25" s="2">
        <f>L8</f>
        <v>111227</v>
      </c>
    </row>
    <row r="26" spans="1:44" ht="18.75">
      <c r="A26" s="25"/>
      <c r="Q26" s="43"/>
      <c r="T26" s="43"/>
      <c r="W26" s="43"/>
      <c r="AO26" s="2" t="str">
        <f>N5</f>
        <v>B.Dharavandhoo</v>
      </c>
      <c r="AP26" s="2">
        <f>N8</f>
        <v>133300</v>
      </c>
      <c r="AQ26" s="2">
        <f>O8</f>
        <v>128343</v>
      </c>
    </row>
    <row r="27" spans="1:44">
      <c r="AO27" s="2" t="str">
        <f>Q5</f>
        <v>GA. Koodoo</v>
      </c>
      <c r="AP27" s="2">
        <f>Q8</f>
        <v>50006</v>
      </c>
      <c r="AQ27" s="2">
        <f>R8</f>
        <v>50269</v>
      </c>
    </row>
    <row r="28" spans="1:44">
      <c r="AO28" s="2" t="s">
        <v>54</v>
      </c>
      <c r="AP28" s="2">
        <f>T8</f>
        <v>5509</v>
      </c>
      <c r="AQ28" s="2">
        <f>U8</f>
        <v>5335</v>
      </c>
    </row>
    <row r="29" spans="1:44">
      <c r="D29" s="40"/>
      <c r="E29" s="40"/>
      <c r="F29" s="41"/>
      <c r="G29" s="41"/>
      <c r="AO29" s="2" t="str">
        <f>W5</f>
        <v xml:space="preserve">R.Ifuru  </v>
      </c>
      <c r="AP29" s="2">
        <f>W8</f>
        <v>43772</v>
      </c>
      <c r="AQ29" s="2">
        <f>X8</f>
        <v>41596</v>
      </c>
    </row>
    <row r="30" spans="1:44">
      <c r="AO30" s="2" t="str">
        <f>Z5</f>
        <v>Dh.kudahuvadhoo</v>
      </c>
      <c r="AP30" s="2">
        <f>Z8</f>
        <v>55132</v>
      </c>
      <c r="AQ30" s="2">
        <f>AA8</f>
        <v>52974</v>
      </c>
    </row>
    <row r="32" spans="1:44">
      <c r="AP32" s="2">
        <f>SUM(AP22:AP30)</f>
        <v>537565</v>
      </c>
      <c r="AQ32" s="2">
        <f>SUM(AQ22:AQ30)</f>
        <v>526249</v>
      </c>
      <c r="AR32" s="2">
        <f>SUM(AP32:AQ32)</f>
        <v>1063814</v>
      </c>
    </row>
  </sheetData>
  <mergeCells count="22">
    <mergeCell ref="W5:X5"/>
    <mergeCell ref="Z5:AA5"/>
    <mergeCell ref="W4:X4"/>
    <mergeCell ref="Z4:AA4"/>
    <mergeCell ref="AB4:AB7"/>
    <mergeCell ref="B5:C5"/>
    <mergeCell ref="E5:F5"/>
    <mergeCell ref="H5:I5"/>
    <mergeCell ref="K5:L5"/>
    <mergeCell ref="N5:O5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</mergeCells>
  <pageMargins left="0.7" right="0.7" top="0.75" bottom="0.75" header="0.3" footer="0.3"/>
  <pageSetup scale="36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11.15</vt:lpstr>
      <vt:lpstr>'11.15'!Print_Area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cp:lastPrinted>2020-10-09T12:12:47Z</cp:lastPrinted>
  <dcterms:created xsi:type="dcterms:W3CDTF">2020-10-09T12:07:32Z</dcterms:created>
  <dcterms:modified xsi:type="dcterms:W3CDTF">2020-10-09T12:13:18Z</dcterms:modified>
</cp:coreProperties>
</file>