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3"/>
  </bookViews>
  <sheets>
    <sheet name="11.17 " sheetId="6" r:id="rId1"/>
  </sheets>
  <externalReferences>
    <externalReference r:id="rId2"/>
  </externalReferences>
  <definedNames>
    <definedName name="_xlnm.Print_Area" localSheetId="0">'11.17 '!$A$1:$K$57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29" i="6" l="1"/>
  <c r="E5" i="6" l="1"/>
  <c r="BF56" i="6" l="1"/>
  <c r="BE56" i="6"/>
  <c r="BF55" i="6"/>
  <c r="BE55" i="6"/>
  <c r="BF54" i="6"/>
  <c r="BE54" i="6"/>
  <c r="BF53" i="6"/>
  <c r="BE53" i="6"/>
  <c r="BF52" i="6"/>
  <c r="BE52" i="6"/>
  <c r="BF51" i="6"/>
  <c r="BE51" i="6"/>
  <c r="BF50" i="6"/>
  <c r="BE50" i="6"/>
  <c r="BF49" i="6"/>
  <c r="BE49" i="6"/>
  <c r="BF48" i="6"/>
  <c r="BE48" i="6"/>
  <c r="BF47" i="6"/>
  <c r="BE47" i="6"/>
  <c r="BF46" i="6"/>
  <c r="BE46" i="6"/>
  <c r="BF45" i="6"/>
  <c r="BE45" i="6"/>
  <c r="BG40" i="6"/>
  <c r="BF40" i="6"/>
  <c r="BE40" i="6"/>
  <c r="BG39" i="6"/>
  <c r="BF39" i="6"/>
  <c r="BE39" i="6"/>
  <c r="BG38" i="6"/>
  <c r="BF38" i="6"/>
  <c r="BE38" i="6"/>
  <c r="BG37" i="6"/>
  <c r="BF37" i="6"/>
  <c r="BE37" i="6"/>
  <c r="BG36" i="6"/>
  <c r="BF36" i="6"/>
  <c r="BE36" i="6"/>
  <c r="BG35" i="6"/>
  <c r="BF35" i="6"/>
  <c r="BE35" i="6"/>
  <c r="BG34" i="6"/>
  <c r="BF34" i="6"/>
  <c r="BE34" i="6"/>
  <c r="BG33" i="6"/>
  <c r="BF33" i="6"/>
  <c r="BE33" i="6"/>
  <c r="BG32" i="6"/>
  <c r="BF32" i="6"/>
  <c r="BE32" i="6"/>
  <c r="BG31" i="6"/>
  <c r="BF31" i="6"/>
  <c r="BE31" i="6"/>
  <c r="BG30" i="6"/>
  <c r="BF30" i="6"/>
  <c r="BE30" i="6"/>
  <c r="BG29" i="6"/>
  <c r="BF29" i="6"/>
  <c r="G17" i="6"/>
  <c r="C17" i="6"/>
  <c r="G16" i="6"/>
  <c r="C16" i="6"/>
  <c r="B16" i="6" s="1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B7" i="6" s="1"/>
  <c r="G6" i="6"/>
  <c r="C6" i="6"/>
  <c r="I5" i="6"/>
  <c r="H5" i="6"/>
  <c r="G5" i="6" s="1"/>
  <c r="F5" i="6"/>
  <c r="D5" i="6"/>
  <c r="B8" i="6" l="1"/>
  <c r="B12" i="6"/>
  <c r="B9" i="6"/>
  <c r="B11" i="6"/>
  <c r="B13" i="6"/>
  <c r="B15" i="6"/>
  <c r="C5" i="6"/>
  <c r="B5" i="6" s="1"/>
  <c r="B17" i="6"/>
  <c r="B6" i="6"/>
  <c r="B10" i="6"/>
  <c r="B14" i="6"/>
</calcChain>
</file>

<file path=xl/sharedStrings.xml><?xml version="1.0" encoding="utf-8"?>
<sst xmlns="http://schemas.openxmlformats.org/spreadsheetml/2006/main" count="73" uniqueCount="47">
  <si>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</si>
  <si>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</si>
  <si>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</si>
  <si>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</si>
  <si>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</si>
  <si>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</si>
  <si>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</si>
  <si>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</si>
  <si>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</si>
  <si>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</si>
  <si>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</si>
  <si>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</si>
  <si>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</si>
  <si>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</si>
  <si>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</si>
  <si>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</si>
  <si>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</si>
  <si>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</si>
  <si>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</si>
  <si>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</si>
  <si>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</si>
  <si>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</si>
  <si>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</si>
  <si>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</si>
  <si>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</si>
  <si>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</si>
  <si>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</si>
  <si>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</si>
  <si>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</si>
  <si>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</si>
  <si>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</si>
  <si>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</si>
  <si>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</si>
  <si>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</si>
  <si>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</si>
  <si>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</si>
  <si>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>International</t>
  </si>
  <si>
    <t>Jan</t>
  </si>
  <si>
    <t>Feb</t>
  </si>
  <si>
    <t>Aug</t>
  </si>
  <si>
    <t>Sep</t>
  </si>
  <si>
    <t>Oct</t>
  </si>
  <si>
    <t>Nov</t>
  </si>
  <si>
    <t>Dec</t>
  </si>
  <si>
    <t>Domestic</t>
  </si>
  <si>
    <t>ތާވަލު 11.17: މަސްމަހުގެ ގޮތުން ބައިނަލް އަޤްވާމީ ވައިގެބަނދަރުން ދަތުރުކުރި ފްލައިޓްތައް، 2019</t>
  </si>
  <si>
    <t>Table  11.17 :  AIRCRAFT MOVEMENT AT IBRAHIM NASIR INTERNATIONAL AIRPORT BY MONTH,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</si>
</sst>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* #,##0_);_(* \(#,##0\);_(* &quot;-&quot;??_);_(@_)"/>
    <numFmt numFmtId="168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  <font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auto="1"/>
      </right>
      <top/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8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8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</cellStyleXfs>
  <cellXfs count="61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5" fillId="2" borderId="0" xfId="1" applyNumberFormat="1" applyFont="1" applyFill="1" applyBorder="1" applyAlignment="1" applyProtection="1">
      <alignment horizontal="left" vertical="center"/>
    </xf>
    <xf numFmtId="164" fontId="6" fillId="2" borderId="0" xfId="0" applyNumberFormat="1" applyFont="1" applyFill="1"/>
    <xf numFmtId="164" fontId="11" fillId="2" borderId="0" xfId="1" applyNumberFormat="1" applyFont="1" applyFill="1" applyAlignment="1" applyProtection="1">
      <alignment horizontal="left" vertical="center"/>
    </xf>
    <xf numFmtId="0" fontId="13" fillId="2" borderId="0" xfId="3" applyFont="1" applyFill="1" applyAlignment="1">
      <alignment vertical="center"/>
    </xf>
    <xf numFmtId="0" fontId="10" fillId="2" borderId="2" xfId="0" applyNumberFormat="1" applyFont="1" applyFill="1" applyBorder="1" applyAlignment="1">
      <alignment horizontal="right" vertical="center"/>
    </xf>
    <xf numFmtId="164" fontId="12" fillId="2" borderId="0" xfId="1" applyNumberFormat="1" applyFont="1" applyFill="1" applyBorder="1" applyAlignment="1" applyProtection="1">
      <alignment horizontal="left" vertical="center"/>
    </xf>
    <xf numFmtId="3" fontId="12" fillId="2" borderId="0" xfId="1" applyNumberFormat="1" applyFont="1" applyFill="1" applyBorder="1" applyAlignment="1" applyProtection="1">
      <alignment horizontal="right" vertical="center"/>
      <protection locked="0"/>
    </xf>
    <xf numFmtId="0" fontId="10" fillId="2" borderId="0" xfId="0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164" fontId="5" fillId="2" borderId="3" xfId="1" applyNumberFormat="1" applyFont="1" applyFill="1" applyBorder="1" applyAlignment="1" applyProtection="1">
      <alignment horizontal="right" vertical="center"/>
    </xf>
    <xf numFmtId="164" fontId="5" fillId="2" borderId="3" xfId="1" applyNumberFormat="1" applyFont="1" applyFill="1" applyBorder="1" applyAlignment="1" applyProtection="1">
      <alignment horizontal="right" vertical="center" wrapText="1"/>
    </xf>
    <xf numFmtId="3" fontId="5" fillId="2" borderId="0" xfId="1" applyNumberFormat="1" applyFont="1" applyFill="1" applyBorder="1" applyAlignment="1" applyProtection="1">
      <alignment horizontal="right" vertical="center"/>
    </xf>
    <xf numFmtId="3" fontId="5" fillId="2" borderId="13" xfId="1" applyNumberFormat="1" applyFont="1" applyFill="1" applyBorder="1" applyAlignment="1" applyProtection="1">
      <alignment horizontal="right" vertical="center"/>
    </xf>
    <xf numFmtId="3" fontId="5" fillId="2" borderId="2" xfId="1" applyNumberFormat="1" applyFont="1" applyFill="1" applyBorder="1" applyAlignment="1" applyProtection="1">
      <alignment horizontal="right" vertical="center"/>
    </xf>
    <xf numFmtId="3" fontId="5" fillId="2" borderId="14" xfId="1" applyNumberFormat="1" applyFont="1" applyFill="1" applyBorder="1" applyAlignment="1" applyProtection="1">
      <alignment horizontal="right" vertical="center"/>
    </xf>
    <xf numFmtId="3" fontId="5" fillId="2" borderId="7" xfId="1" applyNumberFormat="1" applyFont="1" applyFill="1" applyBorder="1" applyAlignment="1" applyProtection="1">
      <alignment horizontal="right" vertical="center"/>
    </xf>
    <xf numFmtId="3" fontId="5" fillId="2" borderId="15" xfId="1" applyNumberFormat="1" applyFont="1" applyFill="1" applyBorder="1" applyAlignment="1" applyProtection="1">
      <alignment horizontal="right" vertical="center"/>
    </xf>
    <xf numFmtId="3" fontId="12" fillId="2" borderId="1" xfId="1" applyNumberFormat="1" applyFont="1" applyFill="1" applyBorder="1" applyAlignment="1" applyProtection="1">
      <alignment horizontal="right" vertical="center"/>
      <protection locked="0"/>
    </xf>
    <xf numFmtId="3" fontId="12" fillId="2" borderId="16" xfId="1" applyNumberFormat="1" applyFont="1" applyFill="1" applyBorder="1" applyAlignment="1" applyProtection="1">
      <alignment horizontal="right" vertical="center"/>
      <protection locked="0"/>
    </xf>
    <xf numFmtId="3" fontId="5" fillId="2" borderId="5" xfId="1" applyNumberFormat="1" applyFont="1" applyFill="1" applyBorder="1" applyAlignment="1" applyProtection="1">
      <alignment horizontal="right" vertical="center"/>
    </xf>
    <xf numFmtId="3" fontId="5" fillId="2" borderId="11" xfId="1" applyNumberFormat="1" applyFont="1" applyFill="1" applyBorder="1" applyAlignment="1" applyProtection="1">
      <alignment horizontal="right" vertical="center"/>
    </xf>
    <xf numFmtId="3" fontId="12" fillId="2" borderId="3" xfId="1" applyNumberFormat="1" applyFont="1" applyFill="1" applyBorder="1" applyAlignment="1" applyProtection="1">
      <alignment horizontal="right" vertical="center"/>
      <protection locked="0"/>
    </xf>
    <xf numFmtId="3" fontId="12" fillId="2" borderId="12" xfId="1" applyNumberFormat="1" applyFont="1" applyFill="1" applyBorder="1" applyAlignment="1" applyProtection="1">
      <alignment horizontal="right" vertical="center"/>
      <protection locked="0"/>
    </xf>
    <xf numFmtId="3" fontId="5" fillId="2" borderId="6" xfId="1" applyNumberFormat="1" applyFont="1" applyFill="1" applyBorder="1" applyAlignment="1" applyProtection="1">
      <alignment horizontal="right" vertical="center"/>
    </xf>
    <xf numFmtId="37" fontId="12" fillId="2" borderId="0" xfId="1" applyNumberFormat="1" applyFont="1" applyFill="1" applyBorder="1" applyAlignment="1" applyProtection="1">
      <alignment vertical="center"/>
    </xf>
    <xf numFmtId="0" fontId="12" fillId="2" borderId="0" xfId="3" applyFont="1" applyFill="1" applyBorder="1" applyAlignment="1">
      <alignment vertical="center"/>
    </xf>
    <xf numFmtId="164" fontId="13" fillId="2" borderId="0" xfId="1" applyNumberFormat="1" applyFont="1" applyFill="1" applyBorder="1" applyAlignment="1"/>
    <xf numFmtId="164" fontId="9" fillId="2" borderId="0" xfId="0" applyNumberFormat="1" applyFont="1" applyFill="1" applyBorder="1"/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164" fontId="11" fillId="2" borderId="0" xfId="1" applyNumberFormat="1" applyFont="1" applyFill="1" applyBorder="1" applyAlignment="1" applyProtection="1">
      <alignment horizontal="left" vertical="center"/>
    </xf>
    <xf numFmtId="164" fontId="12" fillId="2" borderId="20" xfId="1" applyNumberFormat="1" applyFont="1" applyFill="1" applyBorder="1" applyAlignment="1" applyProtection="1">
      <alignment horizontal="left" vertical="center"/>
    </xf>
    <xf numFmtId="3" fontId="5" fillId="2" borderId="20" xfId="1" applyNumberFormat="1" applyFont="1" applyFill="1" applyBorder="1" applyAlignment="1" applyProtection="1">
      <alignment horizontal="right" vertical="center"/>
    </xf>
    <xf numFmtId="0" fontId="17" fillId="2" borderId="0" xfId="4" applyFont="1" applyFill="1" applyBorder="1" applyAlignment="1">
      <alignment horizontal="right"/>
    </xf>
    <xf numFmtId="0" fontId="19" fillId="2" borderId="0" xfId="4" applyFont="1" applyFill="1" applyBorder="1" applyAlignment="1">
      <alignment horizontal="right"/>
    </xf>
    <xf numFmtId="0" fontId="19" fillId="2" borderId="20" xfId="4" applyFont="1" applyFill="1" applyBorder="1" applyAlignment="1">
      <alignment horizontal="right"/>
    </xf>
    <xf numFmtId="164" fontId="20" fillId="2" borderId="0" xfId="0" applyNumberFormat="1" applyFont="1" applyFill="1"/>
    <xf numFmtId="0" fontId="19" fillId="2" borderId="0" xfId="0" applyNumberFormat="1" applyFont="1" applyFill="1" applyBorder="1" applyAlignment="1">
      <alignment horizontal="right" vertical="center"/>
    </xf>
    <xf numFmtId="164" fontId="20" fillId="2" borderId="0" xfId="0" applyNumberFormat="1" applyFont="1" applyFill="1" applyBorder="1" applyAlignment="1">
      <alignment horizontal="right" vertical="center"/>
    </xf>
    <xf numFmtId="164" fontId="20" fillId="2" borderId="0" xfId="0" applyNumberFormat="1" applyFont="1" applyFill="1" applyBorder="1"/>
    <xf numFmtId="164" fontId="5" fillId="2" borderId="19" xfId="1" applyNumberFormat="1" applyFont="1" applyFill="1" applyBorder="1" applyAlignment="1" applyProtection="1">
      <alignment horizontal="right" vertical="center"/>
    </xf>
    <xf numFmtId="164" fontId="5" fillId="2" borderId="8" xfId="1" applyNumberFormat="1" applyFont="1" applyFill="1" applyBorder="1" applyAlignment="1" applyProtection="1">
      <alignment horizontal="right" vertical="center"/>
    </xf>
    <xf numFmtId="164" fontId="5" fillId="2" borderId="22" xfId="1" applyNumberFormat="1" applyFont="1" applyFill="1" applyBorder="1" applyAlignment="1" applyProtection="1">
      <alignment horizontal="right" vertical="center" wrapText="1"/>
    </xf>
    <xf numFmtId="164" fontId="5" fillId="2" borderId="21" xfId="1" applyNumberFormat="1" applyFont="1" applyFill="1" applyBorder="1" applyAlignment="1" applyProtection="1">
      <alignment horizontal="right" vertical="center"/>
    </xf>
    <xf numFmtId="164" fontId="5" fillId="2" borderId="8" xfId="1" applyNumberFormat="1" applyFont="1" applyFill="1" applyBorder="1" applyAlignment="1" applyProtection="1">
      <alignment horizontal="right" vertical="center" wrapText="1"/>
    </xf>
    <xf numFmtId="164" fontId="7" fillId="2" borderId="4" xfId="1" applyNumberFormat="1" applyFont="1" applyFill="1" applyBorder="1" applyAlignment="1" applyProtection="1">
      <alignment horizontal="left" vertical="center"/>
    </xf>
    <xf numFmtId="0" fontId="17" fillId="2" borderId="4" xfId="4" applyFont="1" applyFill="1" applyBorder="1" applyAlignment="1">
      <alignment horizontal="right" vertical="center"/>
    </xf>
    <xf numFmtId="164" fontId="7" fillId="2" borderId="20" xfId="1" applyNumberFormat="1" applyFont="1" applyFill="1" applyBorder="1" applyAlignment="1" applyProtection="1">
      <alignment horizontal="left" vertical="center"/>
    </xf>
    <xf numFmtId="0" fontId="17" fillId="2" borderId="20" xfId="4" applyFont="1" applyFill="1" applyBorder="1" applyAlignment="1">
      <alignment horizontal="right" vertical="center"/>
    </xf>
    <xf numFmtId="0" fontId="15" fillId="2" borderId="1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center" vertical="center"/>
    </xf>
    <xf numFmtId="164" fontId="14" fillId="2" borderId="20" xfId="1" applyNumberFormat="1" applyFont="1" applyFill="1" applyBorder="1" applyAlignment="1" applyProtection="1">
      <alignment horizontal="center" vertical="center"/>
    </xf>
    <xf numFmtId="164" fontId="5" fillId="2" borderId="4" xfId="1" applyNumberFormat="1" applyFont="1" applyFill="1" applyBorder="1" applyAlignment="1" applyProtection="1">
      <alignment horizontal="right" vertical="center" wrapText="1"/>
    </xf>
    <xf numFmtId="164" fontId="5" fillId="2" borderId="20" xfId="1" applyNumberFormat="1" applyFont="1" applyFill="1" applyBorder="1" applyAlignment="1" applyProtection="1">
      <alignment horizontal="right" vertical="center" wrapText="1"/>
    </xf>
    <xf numFmtId="164" fontId="5" fillId="2" borderId="17" xfId="1" applyNumberFormat="1" applyFont="1" applyFill="1" applyBorder="1" applyAlignment="1" applyProtection="1">
      <alignment horizontal="center" vertical="center"/>
    </xf>
    <xf numFmtId="164" fontId="5" fillId="2" borderId="9" xfId="1" applyNumberFormat="1" applyFont="1" applyFill="1" applyBorder="1" applyAlignment="1" applyProtection="1">
      <alignment horizontal="center" vertical="center"/>
    </xf>
    <xf numFmtId="164" fontId="5" fillId="2" borderId="18" xfId="1" applyNumberFormat="1" applyFont="1" applyFill="1" applyBorder="1" applyAlignment="1" applyProtection="1">
      <alignment horizontal="center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colors>
    <mruColors>
      <color rgb="FFE4C9AE"/>
      <color rgb="FFCF9F6F"/>
      <color rgb="FF9A4D00"/>
      <color rgb="FF663300"/>
      <color rgb="FFC28446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2018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&amp;11.19'!$AA$81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&amp;11.19'!$AA$82:$AA$93</c:f>
              <c:numCache>
                <c:formatCode>General</c:formatCode>
                <c:ptCount val="12"/>
                <c:pt idx="0">
                  <c:v>2690</c:v>
                </c:pt>
                <c:pt idx="1">
                  <c:v>2652</c:v>
                </c:pt>
                <c:pt idx="2">
                  <c:v>2538</c:v>
                </c:pt>
                <c:pt idx="3">
                  <c:v>2388</c:v>
                </c:pt>
                <c:pt idx="4">
                  <c:v>2168</c:v>
                </c:pt>
                <c:pt idx="5">
                  <c:v>2230</c:v>
                </c:pt>
                <c:pt idx="6">
                  <c:v>2510</c:v>
                </c:pt>
                <c:pt idx="7">
                  <c:v>2890</c:v>
                </c:pt>
                <c:pt idx="8">
                  <c:v>2560</c:v>
                </c:pt>
                <c:pt idx="9">
                  <c:v>2504</c:v>
                </c:pt>
                <c:pt idx="10">
                  <c:v>2504</c:v>
                </c:pt>
                <c:pt idx="11">
                  <c:v>2710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'[1]11.17, 11.18 &amp;11.19'!$AB$81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&amp;11.19'!$AB$82:$AB$93</c:f>
              <c:numCache>
                <c:formatCode>General</c:formatCode>
                <c:ptCount val="12"/>
                <c:pt idx="0">
                  <c:v>9909</c:v>
                </c:pt>
                <c:pt idx="1">
                  <c:v>9985</c:v>
                </c:pt>
                <c:pt idx="2">
                  <c:v>9718</c:v>
                </c:pt>
                <c:pt idx="3">
                  <c:v>8909</c:v>
                </c:pt>
                <c:pt idx="4">
                  <c:v>7032</c:v>
                </c:pt>
                <c:pt idx="5">
                  <c:v>6447</c:v>
                </c:pt>
                <c:pt idx="6">
                  <c:v>8181</c:v>
                </c:pt>
                <c:pt idx="7">
                  <c:v>8720</c:v>
                </c:pt>
                <c:pt idx="8">
                  <c:v>7030</c:v>
                </c:pt>
                <c:pt idx="9">
                  <c:v>9231</c:v>
                </c:pt>
                <c:pt idx="10">
                  <c:v>9299</c:v>
                </c:pt>
                <c:pt idx="11">
                  <c:v>10569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05043816"/>
        <c:axId val="524130848"/>
      </c:barChart>
      <c:catAx>
        <c:axId val="405043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4130848"/>
        <c:crosses val="autoZero"/>
        <c:auto val="1"/>
        <c:lblAlgn val="ctr"/>
        <c:lblOffset val="100"/>
        <c:noMultiLvlLbl val="0"/>
      </c:catAx>
      <c:valAx>
        <c:axId val="52413084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0504381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Ibrahim Nasir International airport, 2018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&amp;11.19'!$AA$65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&amp;11.19'!$AA$66:$AA$77</c:f>
              <c:numCache>
                <c:formatCode>General</c:formatCode>
                <c:ptCount val="12"/>
                <c:pt idx="0">
                  <c:v>2116</c:v>
                </c:pt>
                <c:pt idx="1">
                  <c:v>1980</c:v>
                </c:pt>
                <c:pt idx="2">
                  <c:v>1938</c:v>
                </c:pt>
                <c:pt idx="3">
                  <c:v>1726</c:v>
                </c:pt>
                <c:pt idx="4">
                  <c:v>1614</c:v>
                </c:pt>
                <c:pt idx="5">
                  <c:v>1612</c:v>
                </c:pt>
                <c:pt idx="6">
                  <c:v>1732</c:v>
                </c:pt>
                <c:pt idx="7">
                  <c:v>1666</c:v>
                </c:pt>
                <c:pt idx="8">
                  <c:v>1618</c:v>
                </c:pt>
                <c:pt idx="9">
                  <c:v>1856</c:v>
                </c:pt>
                <c:pt idx="10">
                  <c:v>2132</c:v>
                </c:pt>
                <c:pt idx="11">
                  <c:v>2290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2"/>
          <c:order val="2"/>
          <c:tx>
            <c:strRef>
              <c:f>'[1]11.17, 11.18 &amp;11.19'!$AC$65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&amp;11.19'!$AC$66:$AC$77</c:f>
              <c:numCache>
                <c:formatCode>General</c:formatCode>
                <c:ptCount val="12"/>
                <c:pt idx="0">
                  <c:v>320</c:v>
                </c:pt>
                <c:pt idx="1">
                  <c:v>162</c:v>
                </c:pt>
                <c:pt idx="2">
                  <c:v>140</c:v>
                </c:pt>
                <c:pt idx="3">
                  <c:v>192</c:v>
                </c:pt>
                <c:pt idx="4">
                  <c:v>96</c:v>
                </c:pt>
                <c:pt idx="5">
                  <c:v>48</c:v>
                </c:pt>
                <c:pt idx="6">
                  <c:v>72</c:v>
                </c:pt>
                <c:pt idx="7">
                  <c:v>58</c:v>
                </c:pt>
                <c:pt idx="8">
                  <c:v>34</c:v>
                </c:pt>
                <c:pt idx="9">
                  <c:v>20</c:v>
                </c:pt>
                <c:pt idx="10">
                  <c:v>154</c:v>
                </c:pt>
                <c:pt idx="11">
                  <c:v>244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524132416"/>
        <c:axId val="52413476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'[1]11.17, 11.18 &amp;11.19'!$AB$65</c15:sqref>
                        </c15:formulaRef>
                      </c:ext>
                    </c:extLst>
                    <c:strCache>
                      <c:ptCount val="1"/>
                      <c:pt idx="0">
                        <c:v>Chartered</c:v>
                      </c:pt>
                    </c:strCache>
                  </c:strRef>
                </c:tx>
                <c:spPr>
                  <a:solidFill>
                    <a:srgbClr val="FAC090"/>
                  </a:solidFill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'[1]11.17, 11.18 &amp;11.19'!$Z$66:$Z$77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'[1]11.17, 11.18 &amp;11.19'!$AB$66:$AB$77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2-2FC6-4075-A702-C6E3D898E736}"/>
                  </c:ext>
                </c:extLst>
              </c15:ser>
            </c15:filteredBarSeries>
          </c:ext>
        </c:extLst>
      </c:barChart>
      <c:catAx>
        <c:axId val="524132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24134768"/>
        <c:crosses val="autoZero"/>
        <c:auto val="1"/>
        <c:lblAlgn val="ctr"/>
        <c:lblOffset val="100"/>
        <c:noMultiLvlLbl val="0"/>
      </c:catAx>
      <c:valAx>
        <c:axId val="52413476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2413241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2019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 '!$H$4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'11.17 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'11.17 '!$H$6:$H$17</c:f>
              <c:numCache>
                <c:formatCode>#,##0</c:formatCode>
                <c:ptCount val="12"/>
                <c:pt idx="0">
                  <c:v>2806</c:v>
                </c:pt>
                <c:pt idx="1">
                  <c:v>2640</c:v>
                </c:pt>
                <c:pt idx="2">
                  <c:v>2944</c:v>
                </c:pt>
                <c:pt idx="3">
                  <c:v>3000</c:v>
                </c:pt>
                <c:pt idx="4">
                  <c:v>2808</c:v>
                </c:pt>
                <c:pt idx="5">
                  <c:v>2936</c:v>
                </c:pt>
                <c:pt idx="6">
                  <c:v>2968</c:v>
                </c:pt>
                <c:pt idx="7">
                  <c:v>3376</c:v>
                </c:pt>
                <c:pt idx="8">
                  <c:v>2754</c:v>
                </c:pt>
                <c:pt idx="9">
                  <c:v>2852</c:v>
                </c:pt>
                <c:pt idx="10">
                  <c:v>3070</c:v>
                </c:pt>
                <c:pt idx="11">
                  <c:v>3500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'11.17 '!$I$4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C28446"/>
            </a:solidFill>
          </c:spPr>
          <c:invertIfNegative val="0"/>
          <c:cat>
            <c:strRef>
              <c:f>'11.17 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'11.17 '!$I$6:$I$17</c:f>
              <c:numCache>
                <c:formatCode>#,##0</c:formatCode>
                <c:ptCount val="12"/>
                <c:pt idx="0">
                  <c:v>11199</c:v>
                </c:pt>
                <c:pt idx="1">
                  <c:v>11595</c:v>
                </c:pt>
                <c:pt idx="2">
                  <c:v>11282</c:v>
                </c:pt>
                <c:pt idx="3">
                  <c:v>10945</c:v>
                </c:pt>
                <c:pt idx="4">
                  <c:v>7640</c:v>
                </c:pt>
                <c:pt idx="5">
                  <c:v>7429</c:v>
                </c:pt>
                <c:pt idx="6">
                  <c:v>8678</c:v>
                </c:pt>
                <c:pt idx="7">
                  <c:v>9668</c:v>
                </c:pt>
                <c:pt idx="8">
                  <c:v>7625</c:v>
                </c:pt>
                <c:pt idx="9">
                  <c:v>10053</c:v>
                </c:pt>
                <c:pt idx="10">
                  <c:v>9735</c:v>
                </c:pt>
                <c:pt idx="11">
                  <c:v>11483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524137512"/>
        <c:axId val="524142608"/>
      </c:barChart>
      <c:catAx>
        <c:axId val="524137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24142608"/>
        <c:crosses val="autoZero"/>
        <c:auto val="1"/>
        <c:lblAlgn val="ctr"/>
        <c:lblOffset val="100"/>
        <c:noMultiLvlLbl val="0"/>
      </c:catAx>
      <c:valAx>
        <c:axId val="524142608"/>
        <c:scaling>
          <c:orientation val="minMax"/>
          <c:max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2413751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Ibrahim Nasir International airport, 2019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900623056199873E-2"/>
          <c:y val="0.16243976644354782"/>
          <c:w val="0.89587312365699012"/>
          <c:h val="0.73442145349445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 '!$D$4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C28446"/>
            </a:solidFill>
          </c:spPr>
          <c:invertIfNegative val="0"/>
          <c:cat>
            <c:strRef>
              <c:f>'11.17 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'11.17 '!$D$6:$D$17</c:f>
              <c:numCache>
                <c:formatCode>#,##0</c:formatCode>
                <c:ptCount val="12"/>
                <c:pt idx="0">
                  <c:v>2358</c:v>
                </c:pt>
                <c:pt idx="1">
                  <c:v>2156</c:v>
                </c:pt>
                <c:pt idx="2">
                  <c:v>2358</c:v>
                </c:pt>
                <c:pt idx="3">
                  <c:v>2162</c:v>
                </c:pt>
                <c:pt idx="4">
                  <c:v>1916</c:v>
                </c:pt>
                <c:pt idx="5">
                  <c:v>1902</c:v>
                </c:pt>
                <c:pt idx="6">
                  <c:v>2000</c:v>
                </c:pt>
                <c:pt idx="7">
                  <c:v>2052</c:v>
                </c:pt>
                <c:pt idx="8">
                  <c:v>1966</c:v>
                </c:pt>
                <c:pt idx="9">
                  <c:v>2098</c:v>
                </c:pt>
                <c:pt idx="10">
                  <c:v>2192</c:v>
                </c:pt>
                <c:pt idx="11">
                  <c:v>2438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2"/>
          <c:order val="2"/>
          <c:tx>
            <c:strRef>
              <c:f>'11.17 '!$F$4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'11.17 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'11.17 '!$F$6:$F$17</c:f>
              <c:numCache>
                <c:formatCode>#,##0</c:formatCode>
                <c:ptCount val="12"/>
                <c:pt idx="0">
                  <c:v>360</c:v>
                </c:pt>
                <c:pt idx="1">
                  <c:v>176</c:v>
                </c:pt>
                <c:pt idx="2">
                  <c:v>232</c:v>
                </c:pt>
                <c:pt idx="3">
                  <c:v>218</c:v>
                </c:pt>
                <c:pt idx="4">
                  <c:v>144</c:v>
                </c:pt>
                <c:pt idx="5">
                  <c:v>64</c:v>
                </c:pt>
                <c:pt idx="6">
                  <c:v>92</c:v>
                </c:pt>
                <c:pt idx="7">
                  <c:v>88</c:v>
                </c:pt>
                <c:pt idx="8">
                  <c:v>66</c:v>
                </c:pt>
                <c:pt idx="9">
                  <c:v>126</c:v>
                </c:pt>
                <c:pt idx="10">
                  <c:v>136</c:v>
                </c:pt>
                <c:pt idx="11">
                  <c:v>260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524143784"/>
        <c:axId val="52414417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'11.17 '!$E$4</c15:sqref>
                        </c15:formulaRef>
                      </c:ext>
                    </c:extLst>
                    <c:strCache>
                      <c:ptCount val="1"/>
                      <c:pt idx="0">
                        <c:v>Chartered</c:v>
                      </c:pt>
                    </c:strCache>
                  </c:strRef>
                </c:tx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'11.17 '!$A$6:$A$17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'11.17 '!$E$6:$E$17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2-2FC6-4075-A702-C6E3D898E736}"/>
                  </c:ext>
                </c:extLst>
              </c15:ser>
            </c15:filteredBarSeries>
          </c:ext>
        </c:extLst>
      </c:barChart>
      <c:catAx>
        <c:axId val="524143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24144176"/>
        <c:crosses val="autoZero"/>
        <c:auto val="1"/>
        <c:lblAlgn val="ctr"/>
        <c:lblOffset val="100"/>
        <c:noMultiLvlLbl val="0"/>
      </c:catAx>
      <c:valAx>
        <c:axId val="524144176"/>
        <c:scaling>
          <c:orientation val="minMax"/>
          <c:max val="2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24143784"/>
        <c:crosses val="autoZero"/>
        <c:crossBetween val="between"/>
        <c:majorUnit val="500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19157527642302158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3" name="TextBox 2"/>
        <xdr:cNvSpPr txBox="1"/>
      </xdr:nvSpPr>
      <xdr:spPr>
        <a:xfrm>
          <a:off x="514350" y="157638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305897" y="125650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515128</xdr:colOff>
      <xdr:row>20</xdr:row>
      <xdr:rowOff>106913</xdr:rowOff>
    </xdr:from>
    <xdr:to>
      <xdr:col>1</xdr:col>
      <xdr:colOff>592883</xdr:colOff>
      <xdr:row>21</xdr:row>
      <xdr:rowOff>58316</xdr:rowOff>
    </xdr:to>
    <xdr:sp macro="" textlink="">
      <xdr:nvSpPr>
        <xdr:cNvPr id="7" name="TextBox 6"/>
        <xdr:cNvSpPr txBox="1"/>
      </xdr:nvSpPr>
      <xdr:spPr>
        <a:xfrm>
          <a:off x="515128" y="12356063"/>
          <a:ext cx="858805" cy="189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9" name="TextBox 8"/>
        <xdr:cNvSpPr txBox="1"/>
      </xdr:nvSpPr>
      <xdr:spPr>
        <a:xfrm>
          <a:off x="514350" y="148494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1305897" y="116506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534178</xdr:colOff>
      <xdr:row>21</xdr:row>
      <xdr:rowOff>30713</xdr:rowOff>
    </xdr:from>
    <xdr:to>
      <xdr:col>1</xdr:col>
      <xdr:colOff>611933</xdr:colOff>
      <xdr:row>22</xdr:row>
      <xdr:rowOff>85725</xdr:rowOff>
    </xdr:to>
    <xdr:sp macro="" textlink="">
      <xdr:nvSpPr>
        <xdr:cNvPr id="12" name="TextBox 11"/>
        <xdr:cNvSpPr txBox="1"/>
      </xdr:nvSpPr>
      <xdr:spPr>
        <a:xfrm>
          <a:off x="534178" y="12308438"/>
          <a:ext cx="858805" cy="283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1"/>
  <sheetViews>
    <sheetView tabSelected="1" zoomScaleNormal="100" zoomScaleSheetLayoutView="80" workbookViewId="0">
      <selection activeCell="N50" sqref="N50"/>
    </sheetView>
  </sheetViews>
  <sheetFormatPr defaultColWidth="9.140625" defaultRowHeight="12.75" customHeight="1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40" customWidth="1"/>
    <col min="11" max="11" width="3.5703125" style="1" customWidth="1"/>
    <col min="12" max="52" width="7.42578125" style="1" customWidth="1"/>
    <col min="53" max="16384" width="9.140625" style="1"/>
  </cols>
  <sheetData>
    <row r="1" spans="1:11" ht="21">
      <c r="A1" s="53" t="s">
        <v>45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5">
      <c r="A2" s="55" t="s">
        <v>46</v>
      </c>
      <c r="B2" s="55"/>
      <c r="C2" s="55"/>
      <c r="D2" s="55"/>
      <c r="E2" s="55"/>
      <c r="F2" s="55"/>
      <c r="G2" s="55"/>
      <c r="H2" s="55"/>
      <c r="I2" s="55"/>
      <c r="J2" s="55"/>
    </row>
    <row r="3" spans="1:11" ht="15">
      <c r="A3" s="49" t="s">
        <v>5</v>
      </c>
      <c r="B3" s="56" t="s">
        <v>32</v>
      </c>
      <c r="C3" s="58" t="s">
        <v>2</v>
      </c>
      <c r="D3" s="59"/>
      <c r="E3" s="59"/>
      <c r="F3" s="60"/>
      <c r="G3" s="59" t="s">
        <v>6</v>
      </c>
      <c r="H3" s="59"/>
      <c r="I3" s="59"/>
      <c r="J3" s="50" t="s">
        <v>7</v>
      </c>
    </row>
    <row r="4" spans="1:11" s="12" customFormat="1" ht="34.5" customHeight="1">
      <c r="A4" s="51"/>
      <c r="B4" s="57"/>
      <c r="C4" s="44" t="s">
        <v>0</v>
      </c>
      <c r="D4" s="45" t="s">
        <v>33</v>
      </c>
      <c r="E4" s="45" t="s">
        <v>34</v>
      </c>
      <c r="F4" s="46" t="s">
        <v>35</v>
      </c>
      <c r="G4" s="47" t="s">
        <v>0</v>
      </c>
      <c r="H4" s="45" t="s">
        <v>33</v>
      </c>
      <c r="I4" s="48" t="s">
        <v>35</v>
      </c>
      <c r="J4" s="52"/>
      <c r="K4" s="4"/>
    </row>
    <row r="5" spans="1:11" ht="17.25">
      <c r="A5" s="3" t="s">
        <v>0</v>
      </c>
      <c r="B5" s="15">
        <f>SUM(C5+G5)</f>
        <v>180546</v>
      </c>
      <c r="C5" s="16">
        <f>SUM(D5+E5+F5)</f>
        <v>27560</v>
      </c>
      <c r="D5" s="17">
        <f>SUM(D6:D17)</f>
        <v>25598</v>
      </c>
      <c r="E5" s="17">
        <f>SUM(E6:E17)</f>
        <v>0</v>
      </c>
      <c r="F5" s="18">
        <f>SUM(F6:F17)</f>
        <v>1962</v>
      </c>
      <c r="G5" s="19">
        <f>SUM(H5+I5)</f>
        <v>152986</v>
      </c>
      <c r="H5" s="17">
        <f>SUM(H6:H17)</f>
        <v>35654</v>
      </c>
      <c r="I5" s="17">
        <f>SUM(I6:I17)</f>
        <v>117332</v>
      </c>
      <c r="J5" s="37" t="s">
        <v>1</v>
      </c>
    </row>
    <row r="6" spans="1:11" ht="17.25">
      <c r="A6" s="8" t="s">
        <v>8</v>
      </c>
      <c r="B6" s="15">
        <f>SUM(C6+G6)</f>
        <v>16723</v>
      </c>
      <c r="C6" s="20">
        <f>SUM(D6+E6+F6)</f>
        <v>2718</v>
      </c>
      <c r="D6" s="21">
        <v>2358</v>
      </c>
      <c r="E6" s="21">
        <v>0</v>
      </c>
      <c r="F6" s="22">
        <v>360</v>
      </c>
      <c r="G6" s="23">
        <f>SUM(H6+I6)</f>
        <v>14005</v>
      </c>
      <c r="H6" s="21">
        <v>2806</v>
      </c>
      <c r="I6" s="21">
        <v>11199</v>
      </c>
      <c r="J6" s="38" t="s">
        <v>9</v>
      </c>
    </row>
    <row r="7" spans="1:11" ht="17.25">
      <c r="A7" s="8" t="s">
        <v>10</v>
      </c>
      <c r="B7" s="15">
        <f t="shared" ref="B7:B17" si="0">SUM(C7+G7)</f>
        <v>16567</v>
      </c>
      <c r="C7" s="20">
        <f>SUM(D7+E7+F7)</f>
        <v>2332</v>
      </c>
      <c r="D7" s="21">
        <v>2156</v>
      </c>
      <c r="E7" s="21">
        <v>0</v>
      </c>
      <c r="F7" s="22">
        <v>176</v>
      </c>
      <c r="G7" s="23">
        <f t="shared" ref="G7:G17" si="1">SUM(H7+I7)</f>
        <v>14235</v>
      </c>
      <c r="H7" s="21">
        <v>2640</v>
      </c>
      <c r="I7" s="21">
        <v>11595</v>
      </c>
      <c r="J7" s="38" t="s">
        <v>11</v>
      </c>
    </row>
    <row r="8" spans="1:11" ht="17.25">
      <c r="A8" s="8" t="s">
        <v>12</v>
      </c>
      <c r="B8" s="15">
        <f t="shared" si="0"/>
        <v>16816</v>
      </c>
      <c r="C8" s="20">
        <f t="shared" ref="C8:C17" si="2">SUM(D8+E8+F8)</f>
        <v>2590</v>
      </c>
      <c r="D8" s="21">
        <v>2358</v>
      </c>
      <c r="E8" s="21">
        <v>0</v>
      </c>
      <c r="F8" s="22">
        <v>232</v>
      </c>
      <c r="G8" s="23">
        <f t="shared" si="1"/>
        <v>14226</v>
      </c>
      <c r="H8" s="21">
        <v>2944</v>
      </c>
      <c r="I8" s="21">
        <v>11282</v>
      </c>
      <c r="J8" s="38" t="s">
        <v>13</v>
      </c>
    </row>
    <row r="9" spans="1:11" ht="17.25">
      <c r="A9" s="8" t="s">
        <v>14</v>
      </c>
      <c r="B9" s="15">
        <f t="shared" si="0"/>
        <v>16325</v>
      </c>
      <c r="C9" s="20">
        <f t="shared" si="2"/>
        <v>2380</v>
      </c>
      <c r="D9" s="21">
        <v>2162</v>
      </c>
      <c r="E9" s="21">
        <v>0</v>
      </c>
      <c r="F9" s="22">
        <v>218</v>
      </c>
      <c r="G9" s="23">
        <f t="shared" si="1"/>
        <v>13945</v>
      </c>
      <c r="H9" s="21">
        <v>3000</v>
      </c>
      <c r="I9" s="21">
        <v>10945</v>
      </c>
      <c r="J9" s="38" t="s">
        <v>15</v>
      </c>
    </row>
    <row r="10" spans="1:11" ht="17.25">
      <c r="A10" s="8" t="s">
        <v>16</v>
      </c>
      <c r="B10" s="15">
        <f t="shared" si="0"/>
        <v>12508</v>
      </c>
      <c r="C10" s="20">
        <f t="shared" si="2"/>
        <v>2060</v>
      </c>
      <c r="D10" s="21">
        <v>1916</v>
      </c>
      <c r="E10" s="21">
        <v>0</v>
      </c>
      <c r="F10" s="22">
        <v>144</v>
      </c>
      <c r="G10" s="23">
        <f t="shared" si="1"/>
        <v>10448</v>
      </c>
      <c r="H10" s="21">
        <v>2808</v>
      </c>
      <c r="I10" s="21">
        <v>7640</v>
      </c>
      <c r="J10" s="38" t="s">
        <v>17</v>
      </c>
    </row>
    <row r="11" spans="1:11" ht="17.25">
      <c r="A11" s="8" t="s">
        <v>18</v>
      </c>
      <c r="B11" s="15">
        <f t="shared" si="0"/>
        <v>12331</v>
      </c>
      <c r="C11" s="20">
        <f t="shared" si="2"/>
        <v>1966</v>
      </c>
      <c r="D11" s="21">
        <v>1902</v>
      </c>
      <c r="E11" s="21">
        <v>0</v>
      </c>
      <c r="F11" s="22">
        <v>64</v>
      </c>
      <c r="G11" s="23">
        <f t="shared" si="1"/>
        <v>10365</v>
      </c>
      <c r="H11" s="21">
        <v>2936</v>
      </c>
      <c r="I11" s="21">
        <v>7429</v>
      </c>
      <c r="J11" s="38" t="s">
        <v>19</v>
      </c>
    </row>
    <row r="12" spans="1:11" ht="17.25">
      <c r="A12" s="8" t="s">
        <v>20</v>
      </c>
      <c r="B12" s="15">
        <f t="shared" si="0"/>
        <v>13738</v>
      </c>
      <c r="C12" s="20">
        <f t="shared" si="2"/>
        <v>2092</v>
      </c>
      <c r="D12" s="21">
        <v>2000</v>
      </c>
      <c r="E12" s="21">
        <v>0</v>
      </c>
      <c r="F12" s="22">
        <v>92</v>
      </c>
      <c r="G12" s="23">
        <f t="shared" si="1"/>
        <v>11646</v>
      </c>
      <c r="H12" s="21">
        <v>2968</v>
      </c>
      <c r="I12" s="21">
        <v>8678</v>
      </c>
      <c r="J12" s="38" t="s">
        <v>21</v>
      </c>
    </row>
    <row r="13" spans="1:11" ht="17.25">
      <c r="A13" s="8" t="s">
        <v>22</v>
      </c>
      <c r="B13" s="15">
        <f t="shared" si="0"/>
        <v>15184</v>
      </c>
      <c r="C13" s="20">
        <f t="shared" si="2"/>
        <v>2140</v>
      </c>
      <c r="D13" s="21">
        <v>2052</v>
      </c>
      <c r="E13" s="21">
        <v>0</v>
      </c>
      <c r="F13" s="22">
        <v>88</v>
      </c>
      <c r="G13" s="23">
        <f t="shared" si="1"/>
        <v>13044</v>
      </c>
      <c r="H13" s="21">
        <v>3376</v>
      </c>
      <c r="I13" s="21">
        <v>9668</v>
      </c>
      <c r="J13" s="38" t="s">
        <v>23</v>
      </c>
    </row>
    <row r="14" spans="1:11" ht="17.25">
      <c r="A14" s="8" t="s">
        <v>24</v>
      </c>
      <c r="B14" s="15">
        <f t="shared" si="0"/>
        <v>12411</v>
      </c>
      <c r="C14" s="20">
        <f t="shared" si="2"/>
        <v>2032</v>
      </c>
      <c r="D14" s="21">
        <v>1966</v>
      </c>
      <c r="E14" s="21">
        <v>0</v>
      </c>
      <c r="F14" s="22">
        <v>66</v>
      </c>
      <c r="G14" s="23">
        <f t="shared" si="1"/>
        <v>10379</v>
      </c>
      <c r="H14" s="21">
        <v>2754</v>
      </c>
      <c r="I14" s="21">
        <v>7625</v>
      </c>
      <c r="J14" s="38" t="s">
        <v>25</v>
      </c>
    </row>
    <row r="15" spans="1:11" ht="17.25">
      <c r="A15" s="8" t="s">
        <v>26</v>
      </c>
      <c r="B15" s="15">
        <f t="shared" si="0"/>
        <v>15129</v>
      </c>
      <c r="C15" s="20">
        <f t="shared" si="2"/>
        <v>2224</v>
      </c>
      <c r="D15" s="21">
        <v>2098</v>
      </c>
      <c r="E15" s="21">
        <v>0</v>
      </c>
      <c r="F15" s="22">
        <v>126</v>
      </c>
      <c r="G15" s="23">
        <f t="shared" si="1"/>
        <v>12905</v>
      </c>
      <c r="H15" s="21">
        <v>2852</v>
      </c>
      <c r="I15" s="21">
        <v>10053</v>
      </c>
      <c r="J15" s="38" t="s">
        <v>27</v>
      </c>
    </row>
    <row r="16" spans="1:11" ht="17.25">
      <c r="A16" s="8" t="s">
        <v>28</v>
      </c>
      <c r="B16" s="15">
        <f t="shared" si="0"/>
        <v>15133</v>
      </c>
      <c r="C16" s="20">
        <f t="shared" si="2"/>
        <v>2328</v>
      </c>
      <c r="D16" s="21">
        <v>2192</v>
      </c>
      <c r="E16" s="21">
        <v>0</v>
      </c>
      <c r="F16" s="22">
        <v>136</v>
      </c>
      <c r="G16" s="23">
        <f t="shared" si="1"/>
        <v>12805</v>
      </c>
      <c r="H16" s="21">
        <v>3070</v>
      </c>
      <c r="I16" s="21">
        <v>9735</v>
      </c>
      <c r="J16" s="38" t="s">
        <v>29</v>
      </c>
    </row>
    <row r="17" spans="1:59" ht="17.25">
      <c r="A17" s="35" t="s">
        <v>30</v>
      </c>
      <c r="B17" s="36">
        <f t="shared" si="0"/>
        <v>17681</v>
      </c>
      <c r="C17" s="24">
        <f t="shared" si="2"/>
        <v>2698</v>
      </c>
      <c r="D17" s="25">
        <v>2438</v>
      </c>
      <c r="E17" s="25">
        <v>0</v>
      </c>
      <c r="F17" s="26">
        <v>260</v>
      </c>
      <c r="G17" s="27">
        <f t="shared" si="1"/>
        <v>14983</v>
      </c>
      <c r="H17" s="25">
        <v>3500</v>
      </c>
      <c r="I17" s="25">
        <v>11483</v>
      </c>
      <c r="J17" s="39" t="s">
        <v>31</v>
      </c>
    </row>
    <row r="18" spans="1:59" ht="18.75">
      <c r="A18" s="5" t="s">
        <v>3</v>
      </c>
      <c r="B18" s="34"/>
      <c r="C18" s="28"/>
      <c r="D18" s="28"/>
      <c r="E18" s="28"/>
      <c r="F18" s="28"/>
      <c r="G18" s="28"/>
      <c r="H18" s="29"/>
      <c r="I18" s="7"/>
      <c r="J18" s="7" t="s">
        <v>4</v>
      </c>
      <c r="L18" s="30"/>
      <c r="M18" s="6"/>
    </row>
    <row r="19" spans="1:59" ht="18">
      <c r="A19" s="31"/>
      <c r="B19" s="31"/>
      <c r="C19" s="11"/>
      <c r="D19" s="11"/>
      <c r="E19" s="11"/>
      <c r="F19" s="11"/>
      <c r="G19" s="11"/>
      <c r="H19" s="11"/>
      <c r="I19" s="11"/>
      <c r="K19" s="11"/>
      <c r="L19" s="11"/>
      <c r="M19" s="11"/>
      <c r="N19" s="11"/>
      <c r="O19" s="11"/>
    </row>
    <row r="20" spans="1:59" ht="15.75">
      <c r="A20" s="5"/>
      <c r="B20" s="34"/>
      <c r="C20" s="28"/>
      <c r="D20" s="28"/>
      <c r="E20" s="28"/>
      <c r="F20" s="28"/>
      <c r="G20" s="28"/>
      <c r="H20" s="29"/>
      <c r="J20" s="41"/>
    </row>
    <row r="21" spans="1:59" ht="15.75">
      <c r="A21" s="5"/>
      <c r="B21" s="34"/>
      <c r="C21" s="28"/>
      <c r="D21" s="28"/>
      <c r="E21" s="28"/>
      <c r="F21" s="28"/>
      <c r="G21" s="28"/>
      <c r="H21" s="29"/>
      <c r="J21" s="41"/>
    </row>
    <row r="22" spans="1:59" ht="18">
      <c r="A22" s="2"/>
      <c r="B22" s="2"/>
      <c r="C22" s="2"/>
      <c r="D22" s="2"/>
      <c r="E22" s="2"/>
      <c r="F22" s="2"/>
      <c r="G22" s="2"/>
      <c r="H22" s="2"/>
      <c r="I22" s="2"/>
    </row>
    <row r="23" spans="1:59" s="32" customFormat="1" ht="18">
      <c r="A23" s="8"/>
      <c r="B23" s="15"/>
      <c r="C23" s="15"/>
      <c r="D23" s="9"/>
      <c r="E23" s="9"/>
      <c r="F23" s="9"/>
      <c r="G23" s="15"/>
      <c r="H23" s="9"/>
      <c r="I23" s="9"/>
      <c r="J23" s="42"/>
      <c r="K23" s="33"/>
    </row>
    <row r="24" spans="1:59" ht="18.75">
      <c r="A24" s="34"/>
      <c r="B24" s="34"/>
      <c r="C24" s="28"/>
      <c r="D24" s="28"/>
      <c r="E24" s="28"/>
      <c r="F24" s="28"/>
      <c r="G24" s="28"/>
      <c r="H24" s="29"/>
      <c r="I24" s="10"/>
      <c r="J24" s="43"/>
      <c r="K24" s="2"/>
    </row>
    <row r="25" spans="1:59" ht="18">
      <c r="A25" s="2"/>
      <c r="B25" s="2"/>
      <c r="C25" s="2"/>
      <c r="D25" s="2"/>
      <c r="E25" s="2"/>
      <c r="F25" s="2"/>
      <c r="G25" s="2"/>
      <c r="H25" s="2"/>
      <c r="I25" s="2"/>
    </row>
    <row r="26" spans="1:59" ht="18"/>
    <row r="27" spans="1:59" ht="18">
      <c r="BD27" s="1" t="s">
        <v>36</v>
      </c>
    </row>
    <row r="28" spans="1:59" ht="12.75" customHeight="1">
      <c r="BE28" s="1" t="s">
        <v>33</v>
      </c>
      <c r="BF28" s="1" t="s">
        <v>34</v>
      </c>
      <c r="BG28" s="1" t="s">
        <v>35</v>
      </c>
    </row>
    <row r="29" spans="1:59" ht="12.75" customHeight="1">
      <c r="BD29" s="8" t="s">
        <v>37</v>
      </c>
      <c r="BE29" s="21">
        <f>D6</f>
        <v>2358</v>
      </c>
      <c r="BF29" s="21">
        <f t="shared" ref="BF29:BG40" si="3">E6</f>
        <v>0</v>
      </c>
      <c r="BG29" s="21">
        <f t="shared" si="3"/>
        <v>360</v>
      </c>
    </row>
    <row r="30" spans="1:59" ht="12.75" customHeight="1">
      <c r="BD30" s="8" t="s">
        <v>38</v>
      </c>
      <c r="BE30" s="21">
        <f t="shared" ref="BE30:BE40" si="4">D7</f>
        <v>2156</v>
      </c>
      <c r="BF30" s="21">
        <f t="shared" si="3"/>
        <v>0</v>
      </c>
      <c r="BG30" s="21">
        <f t="shared" si="3"/>
        <v>176</v>
      </c>
    </row>
    <row r="31" spans="1:59" ht="12.75" customHeight="1">
      <c r="BD31" s="8" t="s">
        <v>12</v>
      </c>
      <c r="BE31" s="21">
        <f t="shared" si="4"/>
        <v>2358</v>
      </c>
      <c r="BF31" s="21">
        <f t="shared" si="3"/>
        <v>0</v>
      </c>
      <c r="BG31" s="21">
        <f t="shared" si="3"/>
        <v>232</v>
      </c>
    </row>
    <row r="32" spans="1:59" ht="12.75" customHeight="1">
      <c r="BD32" s="8" t="s">
        <v>14</v>
      </c>
      <c r="BE32" s="21">
        <f t="shared" si="4"/>
        <v>2162</v>
      </c>
      <c r="BF32" s="21">
        <f t="shared" si="3"/>
        <v>0</v>
      </c>
      <c r="BG32" s="21">
        <f t="shared" si="3"/>
        <v>218</v>
      </c>
    </row>
    <row r="33" spans="56:59" ht="12.75" customHeight="1">
      <c r="BD33" s="8" t="s">
        <v>16</v>
      </c>
      <c r="BE33" s="21">
        <f t="shared" si="4"/>
        <v>1916</v>
      </c>
      <c r="BF33" s="21">
        <f t="shared" si="3"/>
        <v>0</v>
      </c>
      <c r="BG33" s="21">
        <f t="shared" si="3"/>
        <v>144</v>
      </c>
    </row>
    <row r="34" spans="56:59" ht="12.75" customHeight="1">
      <c r="BD34" s="8" t="s">
        <v>18</v>
      </c>
      <c r="BE34" s="21">
        <f t="shared" si="4"/>
        <v>1902</v>
      </c>
      <c r="BF34" s="21">
        <f t="shared" si="3"/>
        <v>0</v>
      </c>
      <c r="BG34" s="21">
        <f t="shared" si="3"/>
        <v>64</v>
      </c>
    </row>
    <row r="35" spans="56:59" ht="12.75" customHeight="1">
      <c r="BD35" s="8" t="s">
        <v>20</v>
      </c>
      <c r="BE35" s="21">
        <f t="shared" si="4"/>
        <v>2000</v>
      </c>
      <c r="BF35" s="21">
        <f t="shared" si="3"/>
        <v>0</v>
      </c>
      <c r="BG35" s="21">
        <f t="shared" si="3"/>
        <v>92</v>
      </c>
    </row>
    <row r="36" spans="56:59" ht="12.75" customHeight="1">
      <c r="BD36" s="8" t="s">
        <v>39</v>
      </c>
      <c r="BE36" s="21">
        <f t="shared" si="4"/>
        <v>2052</v>
      </c>
      <c r="BF36" s="21">
        <f t="shared" si="3"/>
        <v>0</v>
      </c>
      <c r="BG36" s="21">
        <f t="shared" si="3"/>
        <v>88</v>
      </c>
    </row>
    <row r="37" spans="56:59" ht="12.75" customHeight="1">
      <c r="BD37" s="8" t="s">
        <v>40</v>
      </c>
      <c r="BE37" s="21">
        <f t="shared" si="4"/>
        <v>1966</v>
      </c>
      <c r="BF37" s="21">
        <f t="shared" si="3"/>
        <v>0</v>
      </c>
      <c r="BG37" s="21">
        <f t="shared" si="3"/>
        <v>66</v>
      </c>
    </row>
    <row r="38" spans="56:59" ht="12.75" customHeight="1">
      <c r="BD38" s="8" t="s">
        <v>41</v>
      </c>
      <c r="BE38" s="21">
        <f t="shared" si="4"/>
        <v>2098</v>
      </c>
      <c r="BF38" s="21">
        <f t="shared" si="3"/>
        <v>0</v>
      </c>
      <c r="BG38" s="21">
        <f t="shared" si="3"/>
        <v>126</v>
      </c>
    </row>
    <row r="39" spans="56:59" ht="12.75" customHeight="1">
      <c r="BD39" s="8" t="s">
        <v>42</v>
      </c>
      <c r="BE39" s="21">
        <f t="shared" si="4"/>
        <v>2192</v>
      </c>
      <c r="BF39" s="21">
        <f t="shared" si="3"/>
        <v>0</v>
      </c>
      <c r="BG39" s="21">
        <f t="shared" si="3"/>
        <v>136</v>
      </c>
    </row>
    <row r="40" spans="56:59" ht="12.75" customHeight="1">
      <c r="BD40" s="35" t="s">
        <v>43</v>
      </c>
      <c r="BE40" s="21">
        <f t="shared" si="4"/>
        <v>2438</v>
      </c>
      <c r="BF40" s="21">
        <f t="shared" si="3"/>
        <v>0</v>
      </c>
      <c r="BG40" s="21">
        <f t="shared" si="3"/>
        <v>260</v>
      </c>
    </row>
    <row r="43" spans="56:59" ht="12.75" customHeight="1">
      <c r="BD43" s="1" t="s">
        <v>44</v>
      </c>
    </row>
    <row r="44" spans="56:59" ht="24">
      <c r="BE44" s="13" t="s">
        <v>33</v>
      </c>
      <c r="BF44" s="14" t="s">
        <v>35</v>
      </c>
    </row>
    <row r="45" spans="56:59" ht="18">
      <c r="BD45" s="8" t="s">
        <v>37</v>
      </c>
      <c r="BE45" s="9">
        <f>H6</f>
        <v>2806</v>
      </c>
      <c r="BF45" s="9">
        <f>I6</f>
        <v>11199</v>
      </c>
    </row>
    <row r="46" spans="56:59" ht="18">
      <c r="BD46" s="8" t="s">
        <v>38</v>
      </c>
      <c r="BE46" s="9">
        <f t="shared" ref="BE46:BF56" si="5">H7</f>
        <v>2640</v>
      </c>
      <c r="BF46" s="9">
        <f t="shared" si="5"/>
        <v>11595</v>
      </c>
    </row>
    <row r="47" spans="56:59" ht="18">
      <c r="BD47" s="8" t="s">
        <v>12</v>
      </c>
      <c r="BE47" s="9">
        <f t="shared" si="5"/>
        <v>2944</v>
      </c>
      <c r="BF47" s="9">
        <f t="shared" si="5"/>
        <v>11282</v>
      </c>
    </row>
    <row r="48" spans="56:59" ht="18">
      <c r="BD48" s="8" t="s">
        <v>14</v>
      </c>
      <c r="BE48" s="9">
        <f t="shared" si="5"/>
        <v>3000</v>
      </c>
      <c r="BF48" s="9">
        <f t="shared" si="5"/>
        <v>10945</v>
      </c>
    </row>
    <row r="49" spans="56:58" ht="18">
      <c r="BD49" s="8" t="s">
        <v>16</v>
      </c>
      <c r="BE49" s="9">
        <f t="shared" si="5"/>
        <v>2808</v>
      </c>
      <c r="BF49" s="9">
        <f t="shared" si="5"/>
        <v>7640</v>
      </c>
    </row>
    <row r="50" spans="56:58" ht="18">
      <c r="BD50" s="8" t="s">
        <v>18</v>
      </c>
      <c r="BE50" s="9">
        <f t="shared" si="5"/>
        <v>2936</v>
      </c>
      <c r="BF50" s="9">
        <f t="shared" si="5"/>
        <v>7429</v>
      </c>
    </row>
    <row r="51" spans="56:58" ht="18">
      <c r="BD51" s="8" t="s">
        <v>20</v>
      </c>
      <c r="BE51" s="9">
        <f t="shared" si="5"/>
        <v>2968</v>
      </c>
      <c r="BF51" s="9">
        <f t="shared" si="5"/>
        <v>8678</v>
      </c>
    </row>
    <row r="52" spans="56:58" ht="18">
      <c r="BD52" s="8" t="s">
        <v>39</v>
      </c>
      <c r="BE52" s="9">
        <f t="shared" si="5"/>
        <v>3376</v>
      </c>
      <c r="BF52" s="9">
        <f t="shared" si="5"/>
        <v>9668</v>
      </c>
    </row>
    <row r="53" spans="56:58" ht="18">
      <c r="BD53" s="8" t="s">
        <v>40</v>
      </c>
      <c r="BE53" s="9">
        <f t="shared" si="5"/>
        <v>2754</v>
      </c>
      <c r="BF53" s="9">
        <f t="shared" si="5"/>
        <v>7625</v>
      </c>
    </row>
    <row r="54" spans="56:58" ht="18">
      <c r="BD54" s="8" t="s">
        <v>41</v>
      </c>
      <c r="BE54" s="9">
        <f t="shared" si="5"/>
        <v>2852</v>
      </c>
      <c r="BF54" s="9">
        <f t="shared" si="5"/>
        <v>10053</v>
      </c>
    </row>
    <row r="55" spans="56:58" ht="18">
      <c r="BD55" s="8" t="s">
        <v>42</v>
      </c>
      <c r="BE55" s="9">
        <f t="shared" si="5"/>
        <v>3070</v>
      </c>
      <c r="BF55" s="9">
        <f t="shared" si="5"/>
        <v>9735</v>
      </c>
    </row>
    <row r="56" spans="56:58" ht="18">
      <c r="BD56" s="35" t="s">
        <v>43</v>
      </c>
      <c r="BE56" s="9">
        <f t="shared" si="5"/>
        <v>3500</v>
      </c>
      <c r="BF56" s="9">
        <f t="shared" si="5"/>
        <v>11483</v>
      </c>
    </row>
    <row r="58" spans="56:58" ht="18">
      <c r="BE58" s="9"/>
      <c r="BF58" s="9"/>
    </row>
    <row r="59" spans="56:58" ht="18">
      <c r="BE59" s="9"/>
      <c r="BF59" s="9"/>
    </row>
    <row r="60" spans="56:58" ht="18">
      <c r="BE60" s="9"/>
      <c r="BF60" s="9"/>
    </row>
    <row r="61" spans="56:58" ht="18">
      <c r="BE61" s="9"/>
      <c r="BF61" s="9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scale="7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11.17 </vt:lpstr>
      <vt:lpstr>'11.17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2020-10-09T12:45:48Z</cp:lastPrinted>
  <dcterms:created xsi:type="dcterms:W3CDTF">2019-03-24T03:32:16Z</dcterms:created>
  <dcterms:modified xsi:type="dcterms:W3CDTF">2020-10-09T12:46:06Z</dcterms:modified>
</cp:coreProperties>
</file>