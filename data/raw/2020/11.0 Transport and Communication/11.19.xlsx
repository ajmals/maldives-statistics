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1. Transport\"/>
    </mc:Choice>
  </mc:AlternateContent>
  <bookViews>
    <workbookView xWindow="0" yWindow="0" windowWidth="28800" windowHeight="11535" tabRatio="793"/>
  </bookViews>
  <sheets>
    <sheet name="11.19" sheetId="6" r:id="rId1"/>
  </sheets>
  <externalReferences>
    <externalReference r:id="rId2"/>
  </externalReferences>
  <definedNames>
    <definedName name="_xlnm.Print_Area" localSheetId="0">'11.19'!$A$1:$K$19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6" l="1"/>
  <c r="C17" i="6"/>
  <c r="B17" i="6" s="1"/>
  <c r="G16" i="6"/>
  <c r="C16" i="6"/>
  <c r="B16" i="6" s="1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B8" i="6" s="1"/>
  <c r="G7" i="6"/>
  <c r="C7" i="6"/>
  <c r="B7" i="6" s="1"/>
  <c r="G6" i="6"/>
  <c r="C6" i="6"/>
  <c r="I5" i="6"/>
  <c r="H5" i="6"/>
  <c r="G5" i="6" s="1"/>
  <c r="F5" i="6"/>
  <c r="E5" i="6"/>
  <c r="D5" i="6"/>
  <c r="B12" i="6" l="1"/>
  <c r="B6" i="6"/>
  <c r="B10" i="6"/>
  <c r="C5" i="6"/>
  <c r="B5" i="6" s="1"/>
  <c r="B9" i="6"/>
  <c r="B11" i="6"/>
  <c r="B14" i="6"/>
  <c r="B13" i="6"/>
  <c r="B15" i="6"/>
</calcChain>
</file>

<file path=xl/sharedStrings.xml><?xml version="1.0" encoding="utf-8"?>
<sst xmlns="http://schemas.openxmlformats.org/spreadsheetml/2006/main" count="42" uniqueCount="38">
  <si>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</si>
  <si>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</si>
  <si>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</si>
  <si>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</si>
  <si>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</si>
  <si>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</si>
  <si>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</si>
  <si>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</si>
  <si>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</si>
  <si>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</si>
  <si>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</si>
  <si>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</si>
  <si>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</si>
  <si>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</si>
  <si>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</si>
  <si>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</si>
  <si>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</si>
  <si>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</si>
  <si>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</si>
  <si>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</si>
  <si>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</si>
  <si>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</si>
  <si>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</si>
  <si>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</si>
  <si>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</si>
  <si>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</si>
  <si>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</si>
  <si>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</si>
  <si>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</si>
  <si>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</si>
  <si>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</si>
  <si>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</si>
  <si>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</si>
  <si>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</si>
  <si>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</si>
  <si>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</si>
  <si>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t>Table 11.19 :  AIRCRAFT MOVEMENT AT HANIMAADHOO INTERNATIONAL AIRPORT BY MONTH, 2019</t>
  </si>
  <si>
    <t>ތާވަލު 11.19: މަސްމަހުގެ ގޮތުން ގަން އިންޓަރނޭޝަނަލް އެއަރޕޯޓުން ދަތުރުކުރި ފްލައިޓްތައް،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</si>
</sst>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* #,##0_);_(* \(#,##0\);_(* &quot;-&quot;??_);_(@_)"/>
    <numFmt numFmtId="168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"/>
      <name val="A_Faseyha"/>
    </font>
    <font>
      <u/>
      <sz val="10"/>
      <color indexed="12"/>
      <name val="Arial"/>
      <family val="2"/>
    </font>
    <font>
      <sz val="10"/>
      <name val="A_Faseyha"/>
    </font>
    <font>
      <sz val="11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2" fillId="0" borderId="0"/>
    <xf numFmtId="40" fontId="6" fillId="0" borderId="0" applyFont="0" applyFill="0" applyBorder="0" applyAlignment="0" applyProtection="0"/>
    <xf numFmtId="0" fontId="3" fillId="0" borderId="0"/>
    <xf numFmtId="0" fontId="12" fillId="0" borderId="0"/>
    <xf numFmtId="165" fontId="2" fillId="0" borderId="0"/>
    <xf numFmtId="165" fontId="2" fillId="0" borderId="0"/>
    <xf numFmtId="168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46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4" fillId="2" borderId="0" xfId="1" applyNumberFormat="1" applyFont="1" applyFill="1" applyBorder="1" applyAlignment="1" applyProtection="1">
      <alignment horizontal="left" vertical="center"/>
    </xf>
    <xf numFmtId="164" fontId="8" fillId="2" borderId="0" xfId="1" applyNumberFormat="1" applyFont="1" applyFill="1" applyAlignment="1" applyProtection="1">
      <alignment horizontal="left" vertical="center"/>
    </xf>
    <xf numFmtId="0" fontId="7" fillId="2" borderId="1" xfId="0" applyNumberFormat="1" applyFont="1" applyFill="1" applyBorder="1" applyAlignment="1">
      <alignment horizontal="right" vertical="center"/>
    </xf>
    <xf numFmtId="164" fontId="9" fillId="2" borderId="0" xfId="1" applyNumberFormat="1" applyFont="1" applyFill="1" applyBorder="1" applyAlignment="1" applyProtection="1">
      <alignment horizontal="left" vertical="center"/>
    </xf>
    <xf numFmtId="3" fontId="4" fillId="2" borderId="2" xfId="1" applyNumberFormat="1" applyFont="1" applyFill="1" applyBorder="1" applyAlignment="1" applyProtection="1">
      <alignment horizontal="right" vertical="center"/>
    </xf>
    <xf numFmtId="3" fontId="9" fillId="2" borderId="0" xfId="1" applyNumberFormat="1" applyFont="1" applyFill="1" applyBorder="1" applyAlignment="1" applyProtection="1">
      <alignment horizontal="right" vertical="center"/>
      <protection locked="0"/>
    </xf>
    <xf numFmtId="0" fontId="7" fillId="2" borderId="0" xfId="0" applyNumberFormat="1" applyFont="1" applyFill="1" applyBorder="1" applyAlignment="1">
      <alignment horizontal="right" vertical="center"/>
    </xf>
    <xf numFmtId="3" fontId="4" fillId="2" borderId="0" xfId="1" applyNumberFormat="1" applyFont="1" applyFill="1" applyBorder="1" applyAlignment="1" applyProtection="1">
      <alignment horizontal="right" vertical="center"/>
    </xf>
    <xf numFmtId="37" fontId="9" fillId="2" borderId="0" xfId="1" applyNumberFormat="1" applyFont="1" applyFill="1" applyBorder="1" applyAlignment="1" applyProtection="1">
      <alignment vertical="center"/>
    </xf>
    <xf numFmtId="0" fontId="9" fillId="2" borderId="0" xfId="3" applyFont="1" applyFill="1" applyBorder="1" applyAlignment="1">
      <alignment vertical="center"/>
    </xf>
    <xf numFmtId="164" fontId="0" fillId="2" borderId="0" xfId="0" applyNumberFormat="1" applyFill="1" applyAlignment="1">
      <alignment horizontal="right" vertical="center"/>
    </xf>
    <xf numFmtId="164" fontId="4" fillId="2" borderId="9" xfId="1" applyNumberFormat="1" applyFont="1" applyFill="1" applyBorder="1" applyAlignment="1" applyProtection="1">
      <alignment horizontal="right" vertical="center"/>
    </xf>
    <xf numFmtId="164" fontId="4" fillId="2" borderId="10" xfId="1" applyNumberFormat="1" applyFont="1" applyFill="1" applyBorder="1" applyAlignment="1" applyProtection="1">
      <alignment horizontal="right" vertical="center" wrapText="1"/>
    </xf>
    <xf numFmtId="164" fontId="4" fillId="2" borderId="5" xfId="1" applyNumberFormat="1" applyFont="1" applyFill="1" applyBorder="1" applyAlignment="1" applyProtection="1">
      <alignment horizontal="right" vertical="center"/>
    </xf>
    <xf numFmtId="3" fontId="4" fillId="2" borderId="7" xfId="1" applyNumberFormat="1" applyFont="1" applyFill="1" applyBorder="1" applyAlignment="1" applyProtection="1">
      <alignment horizontal="right" vertical="center"/>
    </xf>
    <xf numFmtId="3" fontId="4" fillId="2" borderId="8" xfId="1" applyNumberFormat="1" applyFont="1" applyFill="1" applyBorder="1" applyAlignment="1" applyProtection="1">
      <alignment horizontal="right" vertical="center"/>
    </xf>
    <xf numFmtId="3" fontId="4" fillId="2" borderId="9" xfId="1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Border="1" applyAlignment="1">
      <alignment horizontal="right" vertical="center"/>
    </xf>
    <xf numFmtId="164" fontId="8" fillId="2" borderId="0" xfId="1" applyNumberFormat="1" applyFont="1" applyFill="1" applyBorder="1" applyAlignment="1" applyProtection="1">
      <alignment horizontal="left" vertical="center"/>
    </xf>
    <xf numFmtId="164" fontId="4" fillId="2" borderId="11" xfId="1" applyNumberFormat="1" applyFont="1" applyFill="1" applyBorder="1" applyAlignment="1" applyProtection="1">
      <alignment horizontal="right" vertical="center"/>
    </xf>
    <xf numFmtId="164" fontId="9" fillId="2" borderId="11" xfId="1" applyNumberFormat="1" applyFont="1" applyFill="1" applyBorder="1" applyAlignment="1" applyProtection="1">
      <alignment horizontal="left" vertical="center"/>
    </xf>
    <xf numFmtId="3" fontId="9" fillId="2" borderId="11" xfId="1" applyNumberFormat="1" applyFont="1" applyFill="1" applyBorder="1" applyAlignment="1" applyProtection="1">
      <alignment horizontal="right" vertical="center"/>
      <protection locked="0"/>
    </xf>
    <xf numFmtId="3" fontId="4" fillId="2" borderId="11" xfId="1" applyNumberFormat="1" applyFont="1" applyFill="1" applyBorder="1" applyAlignment="1" applyProtection="1">
      <alignment horizontal="right" vertical="center"/>
    </xf>
    <xf numFmtId="164" fontId="4" fillId="2" borderId="11" xfId="1" applyNumberFormat="1" applyFont="1" applyFill="1" applyBorder="1" applyAlignment="1" applyProtection="1">
      <alignment horizontal="right" vertical="center" wrapText="1"/>
    </xf>
    <xf numFmtId="0" fontId="13" fillId="2" borderId="0" xfId="4" applyFont="1" applyFill="1" applyBorder="1" applyAlignment="1">
      <alignment horizontal="right"/>
    </xf>
    <xf numFmtId="0" fontId="15" fillId="2" borderId="0" xfId="4" applyFont="1" applyFill="1" applyBorder="1" applyAlignment="1">
      <alignment horizontal="right"/>
    </xf>
    <xf numFmtId="0" fontId="15" fillId="2" borderId="11" xfId="4" applyFont="1" applyFill="1" applyBorder="1" applyAlignment="1">
      <alignment horizontal="right"/>
    </xf>
    <xf numFmtId="164" fontId="16" fillId="2" borderId="0" xfId="0" applyNumberFormat="1" applyFont="1" applyFill="1"/>
    <xf numFmtId="0" fontId="15" fillId="2" borderId="0" xfId="0" applyNumberFormat="1" applyFont="1" applyFill="1" applyBorder="1" applyAlignment="1">
      <alignment horizontal="right" vertical="center"/>
    </xf>
    <xf numFmtId="164" fontId="16" fillId="2" borderId="0" xfId="0" applyNumberFormat="1" applyFont="1" applyFill="1" applyBorder="1" applyAlignment="1">
      <alignment horizontal="right" vertical="center"/>
    </xf>
    <xf numFmtId="164" fontId="16" fillId="2" borderId="0" xfId="0" applyNumberFormat="1" applyFont="1" applyFill="1" applyBorder="1"/>
    <xf numFmtId="0" fontId="13" fillId="2" borderId="2" xfId="4" applyFont="1" applyFill="1" applyBorder="1" applyAlignment="1">
      <alignment horizontal="right" vertical="center"/>
    </xf>
    <xf numFmtId="0" fontId="13" fillId="2" borderId="11" xfId="4" applyFont="1" applyFill="1" applyBorder="1" applyAlignment="1">
      <alignment horizontal="right" vertical="center"/>
    </xf>
    <xf numFmtId="0" fontId="11" fillId="2" borderId="4" xfId="0" applyNumberFormat="1" applyFont="1" applyFill="1" applyBorder="1" applyAlignment="1">
      <alignment horizontal="center" vertical="center"/>
    </xf>
    <xf numFmtId="0" fontId="11" fillId="2" borderId="0" xfId="0" applyNumberFormat="1" applyFont="1" applyFill="1" applyBorder="1" applyAlignment="1">
      <alignment horizontal="center" vertical="center"/>
    </xf>
    <xf numFmtId="164" fontId="10" fillId="2" borderId="11" xfId="1" applyNumberFormat="1" applyFont="1" applyFill="1" applyBorder="1" applyAlignment="1" applyProtection="1">
      <alignment horizontal="center" vertical="center"/>
    </xf>
    <xf numFmtId="164" fontId="5" fillId="2" borderId="2" xfId="1" applyNumberFormat="1" applyFont="1" applyFill="1" applyBorder="1" applyAlignment="1" applyProtection="1">
      <alignment horizontal="center" vertical="center"/>
    </xf>
    <xf numFmtId="164" fontId="5" fillId="2" borderId="11" xfId="1" applyNumberFormat="1" applyFont="1" applyFill="1" applyBorder="1" applyAlignment="1" applyProtection="1">
      <alignment horizontal="center" vertical="center"/>
    </xf>
    <xf numFmtId="164" fontId="4" fillId="2" borderId="2" xfId="1" applyNumberFormat="1" applyFont="1" applyFill="1" applyBorder="1" applyAlignment="1" applyProtection="1">
      <alignment horizontal="right" vertical="center" wrapText="1"/>
    </xf>
    <xf numFmtId="164" fontId="4" fillId="2" borderId="11" xfId="1" applyNumberFormat="1" applyFont="1" applyFill="1" applyBorder="1" applyAlignment="1" applyProtection="1">
      <alignment horizontal="right" vertical="center" wrapText="1"/>
    </xf>
    <xf numFmtId="164" fontId="4" fillId="2" borderId="5" xfId="1" applyNumberFormat="1" applyFont="1" applyFill="1" applyBorder="1" applyAlignment="1" applyProtection="1">
      <alignment horizontal="center" vertical="center"/>
    </xf>
    <xf numFmtId="164" fontId="4" fillId="2" borderId="3" xfId="1" applyNumberFormat="1" applyFont="1" applyFill="1" applyBorder="1" applyAlignment="1" applyProtection="1">
      <alignment horizontal="center" vertical="center"/>
    </xf>
    <xf numFmtId="164" fontId="4" fillId="2" borderId="6" xfId="1" applyNumberFormat="1" applyFont="1" applyFill="1" applyBorder="1" applyAlignment="1" applyProtection="1">
      <alignment horizontal="center" vertical="center"/>
    </xf>
  </cellXfs>
  <cellStyles count="12">
    <cellStyle name="Comma 2" xfId="2"/>
    <cellStyle name="Comma 4" xfId="7"/>
    <cellStyle name="Hyperlink 2" xfId="8"/>
    <cellStyle name="Normal" xfId="0" builtinId="0"/>
    <cellStyle name="Normal 2" xfId="1"/>
    <cellStyle name="Normal 2 3" xfId="10"/>
    <cellStyle name="Normal 3" xfId="5"/>
    <cellStyle name="Normal 3 2" xfId="11"/>
    <cellStyle name="Normal 4" xfId="6"/>
    <cellStyle name="Normal 5" xfId="9"/>
    <cellStyle name="Normal_IX-6(Trans &amp; Comm)" xfId="3"/>
    <cellStyle name="Normal_X-5 (Electricity)" xfId="4"/>
  </cellStyles>
  <dxfs count="0"/>
  <tableStyles count="0" defaultTableStyle="TableStyleMedium2" defaultPivotStyle="PivotStyleLight16"/>
  <colors>
    <mruColors>
      <color rgb="FFE4C9AE"/>
      <color rgb="FFCF9F6F"/>
      <color rgb="FF9A4D00"/>
      <color rgb="FF663300"/>
      <color rgb="FFC28446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  <cell r="C5">
            <v>0</v>
          </cell>
          <cell r="D5" t="str">
            <v>Domestic Flights</v>
          </cell>
          <cell r="E5">
            <v>0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abSelected="1" zoomScaleNormal="100" workbookViewId="0">
      <selection activeCell="O24" sqref="O24"/>
    </sheetView>
  </sheetViews>
  <sheetFormatPr defaultColWidth="9.140625" defaultRowHeight="12.75" customHeight="1" x14ac:dyDescent="0.4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30" customWidth="1"/>
    <col min="11" max="11" width="3.42578125" style="1" customWidth="1"/>
    <col min="12" max="21" width="7.42578125" style="1" customWidth="1"/>
    <col min="22" max="16384" width="9.140625" style="1"/>
  </cols>
  <sheetData>
    <row r="1" spans="1:10" ht="21" x14ac:dyDescent="0.25">
      <c r="A1" s="36" t="s">
        <v>37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5" x14ac:dyDescent="0.25">
      <c r="A2" s="38" t="s">
        <v>36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ht="15" x14ac:dyDescent="0.25">
      <c r="A3" s="39" t="s">
        <v>4</v>
      </c>
      <c r="B3" s="41" t="s">
        <v>30</v>
      </c>
      <c r="C3" s="43" t="s">
        <v>34</v>
      </c>
      <c r="D3" s="44"/>
      <c r="E3" s="44"/>
      <c r="F3" s="45"/>
      <c r="G3" s="43" t="s">
        <v>35</v>
      </c>
      <c r="H3" s="44"/>
      <c r="I3" s="44"/>
      <c r="J3" s="34" t="s">
        <v>5</v>
      </c>
    </row>
    <row r="4" spans="1:10" ht="15" x14ac:dyDescent="0.25">
      <c r="A4" s="40"/>
      <c r="B4" s="42"/>
      <c r="C4" s="14" t="s">
        <v>0</v>
      </c>
      <c r="D4" s="22" t="s">
        <v>31</v>
      </c>
      <c r="E4" s="22" t="s">
        <v>32</v>
      </c>
      <c r="F4" s="15" t="s">
        <v>33</v>
      </c>
      <c r="G4" s="16" t="s">
        <v>0</v>
      </c>
      <c r="H4" s="22" t="s">
        <v>31</v>
      </c>
      <c r="I4" s="26" t="s">
        <v>33</v>
      </c>
      <c r="J4" s="35"/>
    </row>
    <row r="5" spans="1:10" ht="17.25" x14ac:dyDescent="0.4">
      <c r="A5" s="3" t="s">
        <v>0</v>
      </c>
      <c r="B5" s="10">
        <f t="shared" ref="B5:B17" si="0">SUM(C5+G5)</f>
        <v>2243</v>
      </c>
      <c r="C5" s="17">
        <f>SUM(D5:F5)</f>
        <v>160</v>
      </c>
      <c r="D5" s="10">
        <f>SUM(D6:D17)</f>
        <v>139</v>
      </c>
      <c r="E5" s="10">
        <f>SUM(E6:E17)</f>
        <v>16</v>
      </c>
      <c r="F5" s="18">
        <f>SUM(F6:F17)</f>
        <v>5</v>
      </c>
      <c r="G5" s="17">
        <f t="shared" ref="G5:G17" si="1">SUM(H5:I5)</f>
        <v>2083</v>
      </c>
      <c r="H5" s="7">
        <f>SUM(H6:H17)</f>
        <v>2083</v>
      </c>
      <c r="I5" s="7">
        <f>SUM(I6:I17)</f>
        <v>0</v>
      </c>
      <c r="J5" s="27" t="s">
        <v>1</v>
      </c>
    </row>
    <row r="6" spans="1:10" ht="17.25" x14ac:dyDescent="0.4">
      <c r="A6" s="6" t="s">
        <v>6</v>
      </c>
      <c r="B6" s="10">
        <f t="shared" si="0"/>
        <v>186</v>
      </c>
      <c r="C6" s="17">
        <f t="shared" ref="C6:C17" si="2">SUM(D6:F6)</f>
        <v>14</v>
      </c>
      <c r="D6" s="8">
        <v>14</v>
      </c>
      <c r="E6" s="8">
        <v>0</v>
      </c>
      <c r="F6" s="8">
        <v>0</v>
      </c>
      <c r="G6" s="17">
        <f t="shared" si="1"/>
        <v>172</v>
      </c>
      <c r="H6" s="8">
        <v>172</v>
      </c>
      <c r="I6" s="8">
        <v>0</v>
      </c>
      <c r="J6" s="28" t="s">
        <v>7</v>
      </c>
    </row>
    <row r="7" spans="1:10" ht="17.25" x14ac:dyDescent="0.4">
      <c r="A7" s="6" t="s">
        <v>8</v>
      </c>
      <c r="B7" s="10">
        <f t="shared" si="0"/>
        <v>163</v>
      </c>
      <c r="C7" s="17">
        <f t="shared" si="2"/>
        <v>8</v>
      </c>
      <c r="D7" s="8">
        <v>8</v>
      </c>
      <c r="E7" s="8">
        <v>0</v>
      </c>
      <c r="F7" s="8">
        <v>0</v>
      </c>
      <c r="G7" s="17">
        <f t="shared" si="1"/>
        <v>155</v>
      </c>
      <c r="H7" s="8">
        <v>155</v>
      </c>
      <c r="I7" s="8">
        <v>0</v>
      </c>
      <c r="J7" s="28" t="s">
        <v>9</v>
      </c>
    </row>
    <row r="8" spans="1:10" ht="17.25" x14ac:dyDescent="0.4">
      <c r="A8" s="6" t="s">
        <v>10</v>
      </c>
      <c r="B8" s="10">
        <f t="shared" si="0"/>
        <v>188</v>
      </c>
      <c r="C8" s="17">
        <f t="shared" si="2"/>
        <v>11</v>
      </c>
      <c r="D8" s="8">
        <v>9</v>
      </c>
      <c r="E8" s="8">
        <v>2</v>
      </c>
      <c r="F8" s="8">
        <v>0</v>
      </c>
      <c r="G8" s="17">
        <f t="shared" si="1"/>
        <v>177</v>
      </c>
      <c r="H8" s="8">
        <v>177</v>
      </c>
      <c r="I8" s="8">
        <v>0</v>
      </c>
      <c r="J8" s="28" t="s">
        <v>11</v>
      </c>
    </row>
    <row r="9" spans="1:10" ht="17.25" x14ac:dyDescent="0.4">
      <c r="A9" s="6" t="s">
        <v>12</v>
      </c>
      <c r="B9" s="10">
        <f t="shared" si="0"/>
        <v>184</v>
      </c>
      <c r="C9" s="17">
        <f t="shared" si="2"/>
        <v>13</v>
      </c>
      <c r="D9" s="8">
        <v>8</v>
      </c>
      <c r="E9" s="8">
        <v>5</v>
      </c>
      <c r="F9" s="8">
        <v>0</v>
      </c>
      <c r="G9" s="17">
        <f t="shared" si="1"/>
        <v>171</v>
      </c>
      <c r="H9" s="8">
        <v>171</v>
      </c>
      <c r="I9" s="8">
        <v>0</v>
      </c>
      <c r="J9" s="28" t="s">
        <v>13</v>
      </c>
    </row>
    <row r="10" spans="1:10" ht="17.25" x14ac:dyDescent="0.4">
      <c r="A10" s="6" t="s">
        <v>14</v>
      </c>
      <c r="B10" s="10">
        <f t="shared" si="0"/>
        <v>162</v>
      </c>
      <c r="C10" s="17">
        <f t="shared" si="2"/>
        <v>9</v>
      </c>
      <c r="D10" s="8">
        <v>9</v>
      </c>
      <c r="E10" s="8">
        <v>0</v>
      </c>
      <c r="F10" s="8">
        <v>0</v>
      </c>
      <c r="G10" s="17">
        <f t="shared" si="1"/>
        <v>153</v>
      </c>
      <c r="H10" s="8">
        <v>153</v>
      </c>
      <c r="I10" s="8">
        <v>0</v>
      </c>
      <c r="J10" s="28" t="s">
        <v>15</v>
      </c>
    </row>
    <row r="11" spans="1:10" ht="17.25" x14ac:dyDescent="0.4">
      <c r="A11" s="6" t="s">
        <v>16</v>
      </c>
      <c r="B11" s="10">
        <f t="shared" si="0"/>
        <v>170</v>
      </c>
      <c r="C11" s="17">
        <f t="shared" si="2"/>
        <v>10</v>
      </c>
      <c r="D11" s="8">
        <v>9</v>
      </c>
      <c r="E11" s="8">
        <v>1</v>
      </c>
      <c r="F11" s="8">
        <v>0</v>
      </c>
      <c r="G11" s="17">
        <f t="shared" si="1"/>
        <v>160</v>
      </c>
      <c r="H11" s="8">
        <v>160</v>
      </c>
      <c r="I11" s="8">
        <v>0</v>
      </c>
      <c r="J11" s="28" t="s">
        <v>17</v>
      </c>
    </row>
    <row r="12" spans="1:10" ht="17.25" x14ac:dyDescent="0.4">
      <c r="A12" s="6" t="s">
        <v>18</v>
      </c>
      <c r="B12" s="10">
        <f t="shared" si="0"/>
        <v>169</v>
      </c>
      <c r="C12" s="17">
        <f t="shared" si="2"/>
        <v>8</v>
      </c>
      <c r="D12" s="8">
        <v>8</v>
      </c>
      <c r="E12" s="8">
        <v>0</v>
      </c>
      <c r="F12" s="8">
        <v>0</v>
      </c>
      <c r="G12" s="17">
        <f t="shared" si="1"/>
        <v>161</v>
      </c>
      <c r="H12" s="8">
        <v>161</v>
      </c>
      <c r="I12" s="8">
        <v>0</v>
      </c>
      <c r="J12" s="28" t="s">
        <v>19</v>
      </c>
    </row>
    <row r="13" spans="1:10" ht="17.25" x14ac:dyDescent="0.4">
      <c r="A13" s="6" t="s">
        <v>20</v>
      </c>
      <c r="B13" s="10">
        <f t="shared" si="0"/>
        <v>220</v>
      </c>
      <c r="C13" s="17">
        <f t="shared" si="2"/>
        <v>16</v>
      </c>
      <c r="D13" s="8">
        <v>9</v>
      </c>
      <c r="E13" s="8">
        <v>6</v>
      </c>
      <c r="F13" s="8">
        <v>1</v>
      </c>
      <c r="G13" s="17">
        <f t="shared" si="1"/>
        <v>204</v>
      </c>
      <c r="H13" s="8">
        <v>204</v>
      </c>
      <c r="I13" s="8">
        <v>0</v>
      </c>
      <c r="J13" s="28" t="s">
        <v>21</v>
      </c>
    </row>
    <row r="14" spans="1:10" ht="17.25" x14ac:dyDescent="0.4">
      <c r="A14" s="6" t="s">
        <v>22</v>
      </c>
      <c r="B14" s="10">
        <f t="shared" si="0"/>
        <v>205</v>
      </c>
      <c r="C14" s="17">
        <f t="shared" si="2"/>
        <v>14</v>
      </c>
      <c r="D14" s="8">
        <v>9</v>
      </c>
      <c r="E14" s="8">
        <v>2</v>
      </c>
      <c r="F14" s="8">
        <v>3</v>
      </c>
      <c r="G14" s="17">
        <f t="shared" si="1"/>
        <v>191</v>
      </c>
      <c r="H14" s="8">
        <v>191</v>
      </c>
      <c r="I14" s="8">
        <v>0</v>
      </c>
      <c r="J14" s="28" t="s">
        <v>23</v>
      </c>
    </row>
    <row r="15" spans="1:10" ht="17.25" x14ac:dyDescent="0.4">
      <c r="A15" s="6" t="s">
        <v>24</v>
      </c>
      <c r="B15" s="10">
        <f t="shared" si="0"/>
        <v>169</v>
      </c>
      <c r="C15" s="17">
        <f t="shared" si="2"/>
        <v>11</v>
      </c>
      <c r="D15" s="8">
        <v>11</v>
      </c>
      <c r="E15" s="8">
        <v>0</v>
      </c>
      <c r="F15" s="8">
        <v>0</v>
      </c>
      <c r="G15" s="17">
        <f t="shared" si="1"/>
        <v>158</v>
      </c>
      <c r="H15" s="8">
        <v>158</v>
      </c>
      <c r="I15" s="8">
        <v>0</v>
      </c>
      <c r="J15" s="28" t="s">
        <v>25</v>
      </c>
    </row>
    <row r="16" spans="1:10" ht="17.25" x14ac:dyDescent="0.4">
      <c r="A16" s="6" t="s">
        <v>26</v>
      </c>
      <c r="B16" s="10">
        <f t="shared" si="0"/>
        <v>201</v>
      </c>
      <c r="C16" s="17">
        <f t="shared" si="2"/>
        <v>24</v>
      </c>
      <c r="D16" s="8">
        <v>23</v>
      </c>
      <c r="E16" s="8">
        <v>0</v>
      </c>
      <c r="F16" s="8">
        <v>1</v>
      </c>
      <c r="G16" s="17">
        <f t="shared" si="1"/>
        <v>177</v>
      </c>
      <c r="H16" s="8">
        <v>177</v>
      </c>
      <c r="I16" s="8">
        <v>0</v>
      </c>
      <c r="J16" s="28" t="s">
        <v>27</v>
      </c>
    </row>
    <row r="17" spans="1:11" ht="17.25" x14ac:dyDescent="0.4">
      <c r="A17" s="23" t="s">
        <v>28</v>
      </c>
      <c r="B17" s="25">
        <f t="shared" si="0"/>
        <v>226</v>
      </c>
      <c r="C17" s="19">
        <f t="shared" si="2"/>
        <v>22</v>
      </c>
      <c r="D17" s="24">
        <v>22</v>
      </c>
      <c r="E17" s="24">
        <v>0</v>
      </c>
      <c r="F17" s="24">
        <v>0</v>
      </c>
      <c r="G17" s="19">
        <f t="shared" si="1"/>
        <v>204</v>
      </c>
      <c r="H17" s="24">
        <v>204</v>
      </c>
      <c r="I17" s="24">
        <v>0</v>
      </c>
      <c r="J17" s="29" t="s">
        <v>29</v>
      </c>
    </row>
    <row r="18" spans="1:11" ht="18.75" x14ac:dyDescent="0.25">
      <c r="A18" s="4" t="s">
        <v>2</v>
      </c>
      <c r="B18" s="21"/>
      <c r="C18" s="11"/>
      <c r="D18" s="11"/>
      <c r="E18" s="11"/>
      <c r="F18" s="11"/>
      <c r="G18" s="11"/>
      <c r="H18" s="12"/>
      <c r="J18" s="5" t="s">
        <v>3</v>
      </c>
    </row>
    <row r="19" spans="1:11" ht="15.75" x14ac:dyDescent="0.25">
      <c r="A19" s="4"/>
      <c r="B19" s="21"/>
      <c r="C19" s="11"/>
      <c r="D19" s="11"/>
      <c r="E19" s="11"/>
      <c r="F19" s="11"/>
      <c r="G19" s="11"/>
      <c r="H19" s="12"/>
      <c r="J19" s="31"/>
    </row>
    <row r="20" spans="1:11" ht="15.75" x14ac:dyDescent="0.25">
      <c r="A20" s="4"/>
      <c r="B20" s="21"/>
      <c r="C20" s="11"/>
      <c r="D20" s="11"/>
      <c r="E20" s="11"/>
      <c r="F20" s="11"/>
      <c r="G20" s="11"/>
      <c r="H20" s="12"/>
      <c r="J20" s="31"/>
    </row>
    <row r="21" spans="1:11" ht="18" x14ac:dyDescent="0.45">
      <c r="A21" s="2"/>
      <c r="B21" s="2"/>
      <c r="C21" s="2"/>
      <c r="D21" s="2"/>
      <c r="E21" s="2"/>
      <c r="F21" s="2"/>
      <c r="G21" s="2"/>
      <c r="H21" s="2"/>
      <c r="I21" s="2"/>
    </row>
    <row r="22" spans="1:11" s="13" customFormat="1" ht="18" x14ac:dyDescent="0.25">
      <c r="A22" s="6"/>
      <c r="B22" s="10"/>
      <c r="C22" s="10"/>
      <c r="D22" s="8"/>
      <c r="E22" s="8"/>
      <c r="F22" s="8"/>
      <c r="G22" s="10"/>
      <c r="H22" s="8"/>
      <c r="I22" s="8"/>
      <c r="J22" s="32"/>
      <c r="K22" s="20"/>
    </row>
    <row r="23" spans="1:11" ht="18.75" x14ac:dyDescent="0.45">
      <c r="A23" s="21"/>
      <c r="B23" s="21"/>
      <c r="C23" s="11"/>
      <c r="D23" s="11"/>
      <c r="E23" s="11"/>
      <c r="F23" s="11"/>
      <c r="G23" s="11"/>
      <c r="H23" s="12"/>
      <c r="I23" s="9"/>
      <c r="J23" s="33"/>
      <c r="K23" s="2"/>
    </row>
    <row r="24" spans="1:11" ht="18" x14ac:dyDescent="0.45">
      <c r="A24" s="2"/>
      <c r="B24" s="2"/>
      <c r="C24" s="2"/>
      <c r="D24" s="2"/>
      <c r="E24" s="2"/>
      <c r="F24" s="2"/>
      <c r="G24" s="2"/>
      <c r="H24" s="2"/>
      <c r="I24" s="2"/>
    </row>
    <row r="25" spans="1:11" ht="18" x14ac:dyDescent="0.45"/>
    <row r="26" spans="1:11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7" ht="18" x14ac:dyDescent="0.45"/>
    <row r="58" ht="18" x14ac:dyDescent="0.45"/>
    <row r="59" ht="18" x14ac:dyDescent="0.45"/>
    <row r="60" ht="18" x14ac:dyDescent="0.45"/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scale="7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11.19</vt:lpstr>
      <vt:lpstr>'11.19'!Print_Area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2020-10-09T12:52:30Z</cp:lastPrinted>
  <dcterms:created xsi:type="dcterms:W3CDTF">2019-03-24T03:32:16Z</dcterms:created>
  <dcterms:modified xsi:type="dcterms:W3CDTF">2020-10-09T12:52:39Z</dcterms:modified>
</cp:coreProperties>
</file>