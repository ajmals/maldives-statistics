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1. Transport\"/>
    </mc:Choice>
  </mc:AlternateContent>
  <bookViews>
    <workbookView xWindow="0" yWindow="0" windowWidth="28800" windowHeight="11535" tabRatio="793"/>
  </bookViews>
  <sheets>
    <sheet name=" 11.21" sheetId="7" r:id="rId1"/>
  </sheets>
  <externalReferences>
    <externalReference r:id="rId2"/>
  </externalReferences>
  <definedNames>
    <definedName name="_xlnm.Print_Area" localSheetId="0">' 11.21'!$A$1:$J$21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7" l="1"/>
  <c r="B18" i="7"/>
  <c r="B17" i="7"/>
  <c r="B16" i="7"/>
  <c r="B15" i="7"/>
  <c r="B14" i="7"/>
  <c r="B13" i="7"/>
  <c r="B12" i="7"/>
  <c r="B11" i="7"/>
  <c r="B10" i="7"/>
  <c r="B9" i="7"/>
  <c r="B8" i="7"/>
  <c r="H7" i="7"/>
  <c r="G7" i="7"/>
  <c r="F7" i="7"/>
  <c r="E7" i="7"/>
  <c r="D7" i="7"/>
  <c r="C7" i="7"/>
  <c r="B7" i="7" l="1"/>
</calcChain>
</file>

<file path=xl/sharedStrings.xml><?xml version="1.0" encoding="utf-8"?>
<sst xmlns="http://schemas.openxmlformats.org/spreadsheetml/2006/main" count="42" uniqueCount="39">
  <si>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</si>
  <si>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</si>
  <si>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</si>
  <si>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</si>
  <si>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</si>
  <si>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</si>
  <si>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</si>
  <si>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</si>
  <si>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</si>
  <si>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</si>
  <si>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</si>
  <si>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</si>
  <si>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</si>
  <si>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</si>
  <si>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</si>
  <si>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May</t>
  </si>
  <si>
    <t>Em</t>
  </si>
  <si>
    <t>June</t>
  </si>
  <si>
    <t>cnUj</t>
  </si>
  <si>
    <t>July</t>
  </si>
  <si>
    <t>iawluj</t>
  </si>
  <si>
    <t>August</t>
  </si>
  <si>
    <t>September</t>
  </si>
  <si>
    <t>rwbcmeTcpes</t>
  </si>
  <si>
    <t>October</t>
  </si>
  <si>
    <t>November</t>
  </si>
  <si>
    <t>rwbcmevon</t>
  </si>
  <si>
    <t>December</t>
  </si>
  <si>
    <t>rwbcmesiD</t>
  </si>
  <si>
    <t>clIrcPEa</t>
  </si>
  <si>
    <t>cTcswgOa</t>
  </si>
  <si>
    <t>rwbOTckoa</t>
  </si>
  <si>
    <t xml:space="preserve">        Total </t>
  </si>
  <si>
    <t>Direct Transit</t>
  </si>
  <si>
    <t>(in Kg)</t>
  </si>
  <si>
    <t>Inward</t>
  </si>
  <si>
    <t>Outward</t>
  </si>
  <si>
    <t>ތާވަލު 11.21: މަސްމަހުގެ ގޮތުން އިބްރާހީމް ނާސިރު އިންޓަރނޭޝަނަލް އެއަރޕޯޓުގައި ފަސިންޖަރުންގެ ދަތުރުފަތުރު ހުރި ގޮތް، 2019</t>
  </si>
  <si>
    <t>Table  11.21 :  CARGO HANDLED AT IBRAHIM NASIR INTERNATIONAL AIRPORT BY MONTH,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</si>
</sst>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* #,##0_);_(* \(#,##0\);_(* &quot;-&quot;??_);_(@_)"/>
    <numFmt numFmtId="168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Faruma"/>
    </font>
    <font>
      <sz val="9"/>
      <name val="Faruma"/>
    </font>
    <font>
      <b/>
      <sz val="10"/>
      <name val="A_Faseyha"/>
    </font>
    <font>
      <u/>
      <sz val="10"/>
      <color indexed="12"/>
      <name val="Arial"/>
      <family val="2"/>
    </font>
    <font>
      <sz val="9"/>
      <name val="A_Faseyha"/>
    </font>
    <font>
      <sz val="11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164" fontId="2" fillId="0" borderId="0"/>
    <xf numFmtId="40" fontId="6" fillId="0" borderId="0" applyFont="0" applyFill="0" applyBorder="0" applyAlignment="0" applyProtection="0"/>
    <xf numFmtId="0" fontId="3" fillId="0" borderId="0"/>
    <xf numFmtId="165" fontId="2" fillId="0" borderId="0"/>
    <xf numFmtId="165" fontId="2" fillId="0" borderId="0"/>
    <xf numFmtId="168" fontId="2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43">
    <xf numFmtId="0" fontId="0" fillId="0" borderId="0" xfId="0"/>
    <xf numFmtId="164" fontId="0" fillId="2" borderId="0" xfId="0" applyNumberFormat="1" applyFill="1"/>
    <xf numFmtId="164" fontId="4" fillId="2" borderId="0" xfId="1" applyNumberFormat="1" applyFont="1" applyFill="1" applyBorder="1" applyAlignment="1" applyProtection="1">
      <alignment horizontal="left" vertical="center"/>
    </xf>
    <xf numFmtId="164" fontId="4" fillId="2" borderId="0" xfId="1" applyNumberFormat="1" applyFont="1" applyFill="1" applyBorder="1" applyAlignment="1" applyProtection="1">
      <alignment horizontal="right" vertical="center"/>
    </xf>
    <xf numFmtId="164" fontId="9" fillId="2" borderId="0" xfId="1" applyNumberFormat="1" applyFont="1" applyFill="1" applyBorder="1" applyAlignment="1" applyProtection="1">
      <alignment horizontal="left" vertical="center"/>
    </xf>
    <xf numFmtId="164" fontId="0" fillId="2" borderId="0" xfId="0" applyNumberFormat="1" applyFill="1" applyAlignment="1">
      <alignment vertical="top"/>
    </xf>
    <xf numFmtId="164" fontId="8" fillId="2" borderId="0" xfId="1" applyNumberFormat="1" applyFont="1" applyFill="1" applyAlignment="1" applyProtection="1">
      <alignment horizontal="left" vertical="top"/>
    </xf>
    <xf numFmtId="0" fontId="7" fillId="2" borderId="1" xfId="0" applyNumberFormat="1" applyFont="1" applyFill="1" applyBorder="1" applyAlignment="1">
      <alignment horizontal="right" vertical="top"/>
    </xf>
    <xf numFmtId="0" fontId="11" fillId="2" borderId="1" xfId="0" applyNumberFormat="1" applyFont="1" applyFill="1" applyBorder="1" applyAlignment="1">
      <alignment horizontal="right" vertical="center"/>
    </xf>
    <xf numFmtId="0" fontId="5" fillId="2" borderId="0" xfId="3" applyFont="1" applyFill="1" applyAlignment="1">
      <alignment vertical="center"/>
    </xf>
    <xf numFmtId="38" fontId="4" fillId="2" borderId="0" xfId="2" applyNumberFormat="1" applyFont="1" applyFill="1" applyAlignment="1" applyProtection="1">
      <alignment horizontal="right" vertical="center"/>
    </xf>
    <xf numFmtId="38" fontId="4" fillId="2" borderId="0" xfId="2" applyNumberFormat="1" applyFont="1" applyFill="1" applyBorder="1" applyAlignment="1" applyProtection="1">
      <alignment horizontal="right" vertical="center" wrapText="1"/>
    </xf>
    <xf numFmtId="38" fontId="4" fillId="2" borderId="2" xfId="2" applyNumberFormat="1" applyFont="1" applyFill="1" applyBorder="1" applyAlignment="1" applyProtection="1">
      <alignment horizontal="right" vertical="center" wrapText="1"/>
    </xf>
    <xf numFmtId="38" fontId="9" fillId="2" borderId="0" xfId="2" applyNumberFormat="1" applyFont="1" applyFill="1" applyBorder="1" applyAlignment="1" applyProtection="1">
      <alignment horizontal="right" vertical="center" wrapText="1"/>
      <protection locked="0"/>
    </xf>
    <xf numFmtId="38" fontId="9" fillId="2" borderId="0" xfId="2" applyNumberFormat="1" applyFont="1" applyFill="1" applyAlignment="1" applyProtection="1">
      <alignment horizontal="right" vertical="center" wrapText="1"/>
      <protection locked="0"/>
    </xf>
    <xf numFmtId="164" fontId="8" fillId="2" borderId="0" xfId="1" applyNumberFormat="1" applyFont="1" applyFill="1" applyAlignment="1">
      <alignment vertical="center"/>
    </xf>
    <xf numFmtId="164" fontId="9" fillId="2" borderId="0" xfId="1" applyNumberFormat="1" applyFont="1" applyFill="1" applyAlignment="1">
      <alignment vertical="center"/>
    </xf>
    <xf numFmtId="164" fontId="9" fillId="2" borderId="0" xfId="1" applyNumberFormat="1" applyFont="1" applyFill="1" applyBorder="1" applyAlignment="1">
      <alignment vertical="center"/>
    </xf>
    <xf numFmtId="37" fontId="9" fillId="2" borderId="0" xfId="1" applyNumberFormat="1" applyFont="1" applyFill="1" applyAlignment="1" applyProtection="1">
      <alignment vertical="top"/>
    </xf>
    <xf numFmtId="164" fontId="5" fillId="2" borderId="2" xfId="1" applyNumberFormat="1" applyFont="1" applyFill="1" applyBorder="1" applyAlignment="1" applyProtection="1">
      <alignment horizontal="left" vertical="center"/>
    </xf>
    <xf numFmtId="164" fontId="4" fillId="2" borderId="0" xfId="1" applyNumberFormat="1" applyFont="1" applyFill="1" applyBorder="1" applyAlignment="1" applyProtection="1">
      <alignment horizontal="right" vertical="center" wrapText="1"/>
    </xf>
    <xf numFmtId="164" fontId="14" fillId="2" borderId="0" xfId="1" applyNumberFormat="1" applyFont="1" applyFill="1" applyBorder="1" applyAlignment="1">
      <alignment horizontal="right" vertical="center"/>
    </xf>
    <xf numFmtId="164" fontId="9" fillId="2" borderId="7" xfId="1" applyNumberFormat="1" applyFont="1" applyFill="1" applyBorder="1" applyAlignment="1" applyProtection="1">
      <alignment horizontal="left" vertical="center"/>
    </xf>
    <xf numFmtId="164" fontId="15" fillId="2" borderId="0" xfId="0" applyNumberFormat="1" applyFont="1" applyFill="1"/>
    <xf numFmtId="164" fontId="5" fillId="2" borderId="7" xfId="1" applyNumberFormat="1" applyFont="1" applyFill="1" applyBorder="1" applyAlignment="1" applyProtection="1">
      <alignment horizontal="left" vertical="center"/>
    </xf>
    <xf numFmtId="164" fontId="5" fillId="2" borderId="7" xfId="1" applyNumberFormat="1" applyFont="1" applyFill="1" applyBorder="1" applyAlignment="1" applyProtection="1">
      <alignment horizontal="right" vertical="center" wrapText="1"/>
    </xf>
    <xf numFmtId="38" fontId="4" fillId="2" borderId="7" xfId="2" applyNumberFormat="1" applyFont="1" applyFill="1" applyBorder="1" applyAlignment="1" applyProtection="1">
      <alignment horizontal="right" vertical="center"/>
    </xf>
    <xf numFmtId="38" fontId="9" fillId="2" borderId="7" xfId="2" applyNumberFormat="1" applyFont="1" applyFill="1" applyBorder="1" applyAlignment="1" applyProtection="1">
      <alignment horizontal="right" vertical="center" wrapText="1"/>
    </xf>
    <xf numFmtId="164" fontId="12" fillId="2" borderId="0" xfId="1" applyNumberFormat="1" applyFont="1" applyFill="1" applyBorder="1" applyAlignment="1">
      <alignment horizontal="right" vertical="center"/>
    </xf>
    <xf numFmtId="164" fontId="15" fillId="2" borderId="0" xfId="0" applyNumberFormat="1" applyFont="1" applyFill="1" applyAlignment="1">
      <alignment vertical="top"/>
    </xf>
    <xf numFmtId="164" fontId="4" fillId="2" borderId="7" xfId="1" applyNumberFormat="1" applyFont="1" applyFill="1" applyBorder="1" applyAlignment="1" applyProtection="1">
      <alignment horizontal="right" vertical="center" wrapText="1"/>
    </xf>
    <xf numFmtId="164" fontId="12" fillId="2" borderId="2" xfId="1" applyNumberFormat="1" applyFont="1" applyFill="1" applyBorder="1" applyAlignment="1">
      <alignment horizontal="right" vertical="center"/>
    </xf>
    <xf numFmtId="164" fontId="12" fillId="2" borderId="7" xfId="1" applyNumberFormat="1" applyFont="1" applyFill="1" applyBorder="1" applyAlignment="1">
      <alignment horizontal="right" vertical="center"/>
    </xf>
    <xf numFmtId="164" fontId="4" fillId="2" borderId="3" xfId="1" applyNumberFormat="1" applyFont="1" applyFill="1" applyBorder="1" applyAlignment="1" applyProtection="1">
      <alignment horizontal="center" vertical="center"/>
    </xf>
    <xf numFmtId="164" fontId="4" fillId="2" borderId="4" xfId="1" applyNumberFormat="1" applyFont="1" applyFill="1" applyBorder="1" applyAlignment="1" applyProtection="1">
      <alignment horizontal="center" vertical="center"/>
    </xf>
    <xf numFmtId="164" fontId="5" fillId="2" borderId="0" xfId="1" applyNumberFormat="1" applyFont="1" applyFill="1" applyBorder="1" applyAlignment="1" applyProtection="1">
      <alignment horizontal="center" vertical="center"/>
    </xf>
    <xf numFmtId="164" fontId="4" fillId="2" borderId="7" xfId="1" applyNumberFormat="1" applyFont="1" applyFill="1" applyBorder="1" applyAlignment="1" applyProtection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14" fillId="2" borderId="7" xfId="1" applyNumberFormat="1" applyFont="1" applyFill="1" applyBorder="1" applyAlignment="1">
      <alignment horizontal="right" vertical="center"/>
    </xf>
    <xf numFmtId="164" fontId="4" fillId="2" borderId="6" xfId="1" applyNumberFormat="1" applyFont="1" applyFill="1" applyBorder="1" applyAlignment="1" applyProtection="1">
      <alignment horizontal="right" vertical="center"/>
    </xf>
    <xf numFmtId="38" fontId="4" fillId="2" borderId="5" xfId="2" applyNumberFormat="1" applyFont="1" applyFill="1" applyBorder="1" applyAlignment="1" applyProtection="1">
      <alignment horizontal="right" vertical="center" wrapText="1"/>
    </xf>
    <xf numFmtId="38" fontId="9" fillId="2" borderId="5" xfId="2" applyNumberFormat="1" applyFont="1" applyFill="1" applyBorder="1" applyAlignment="1" applyProtection="1">
      <alignment horizontal="right" vertical="center" wrapText="1"/>
      <protection locked="0"/>
    </xf>
    <xf numFmtId="38" fontId="9" fillId="2" borderId="6" xfId="2" applyNumberFormat="1" applyFont="1" applyFill="1" applyBorder="1" applyAlignment="1" applyProtection="1">
      <alignment horizontal="right" vertical="center" wrapText="1"/>
    </xf>
  </cellXfs>
  <cellStyles count="11">
    <cellStyle name="Comma 2" xfId="2"/>
    <cellStyle name="Comma 4" xfId="6"/>
    <cellStyle name="Hyperlink 2" xfId="7"/>
    <cellStyle name="Normal" xfId="0" builtinId="0"/>
    <cellStyle name="Normal 2" xfId="1"/>
    <cellStyle name="Normal 2 3" xfId="9"/>
    <cellStyle name="Normal 3" xfId="4"/>
    <cellStyle name="Normal 3 2" xfId="10"/>
    <cellStyle name="Normal 4" xfId="5"/>
    <cellStyle name="Normal 5" xfId="8"/>
    <cellStyle name="Normal_IX-7(Trans &amp; Comm)" xfId="3"/>
  </cellStyles>
  <dxfs count="0"/>
  <tableStyles count="0" defaultTableStyle="TableStyleMedium2" defaultPivotStyle="PivotStyleLight16"/>
  <colors>
    <mruColors>
      <color rgb="FFE4C9AE"/>
      <color rgb="FFCF9F6F"/>
      <color rgb="FF9A4D00"/>
      <color rgb="FF663300"/>
      <color rgb="FFC28446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  <cell r="C5">
            <v>0</v>
          </cell>
          <cell r="D5" t="str">
            <v>Domestic Flights</v>
          </cell>
          <cell r="E5">
            <v>0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I21"/>
  <sheetViews>
    <sheetView tabSelected="1" zoomScaleNormal="100" workbookViewId="0">
      <selection activeCell="K25" sqref="K25"/>
    </sheetView>
  </sheetViews>
  <sheetFormatPr defaultColWidth="9.140625" defaultRowHeight="18" x14ac:dyDescent="0.4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23" customWidth="1"/>
    <col min="10" max="10" width="2.85546875" style="1" customWidth="1"/>
    <col min="11" max="16384" width="9.140625" style="1"/>
  </cols>
  <sheetData>
    <row r="2" spans="1:9" ht="21" x14ac:dyDescent="0.25">
      <c r="A2" s="37" t="s">
        <v>37</v>
      </c>
      <c r="B2" s="37"/>
      <c r="C2" s="37"/>
      <c r="D2" s="37"/>
      <c r="E2" s="37"/>
      <c r="F2" s="37"/>
      <c r="G2" s="37"/>
      <c r="H2" s="37"/>
      <c r="I2" s="37"/>
    </row>
    <row r="3" spans="1:9" x14ac:dyDescent="0.45">
      <c r="A3" s="35" t="s">
        <v>38</v>
      </c>
      <c r="B3" s="35"/>
      <c r="C3" s="35"/>
      <c r="D3" s="35"/>
      <c r="E3" s="35"/>
      <c r="F3" s="35"/>
      <c r="G3" s="35"/>
      <c r="H3" s="35"/>
    </row>
    <row r="4" spans="1:9" ht="16.5" customHeight="1" x14ac:dyDescent="0.45">
      <c r="A4" s="36" t="s">
        <v>34</v>
      </c>
      <c r="B4" s="36"/>
      <c r="C4" s="36"/>
      <c r="D4" s="36"/>
      <c r="E4" s="36"/>
      <c r="F4" s="36"/>
      <c r="G4" s="36"/>
      <c r="H4" s="9"/>
    </row>
    <row r="5" spans="1:9" ht="15" x14ac:dyDescent="0.25">
      <c r="A5" s="19"/>
      <c r="B5" s="19"/>
      <c r="C5" s="33" t="s">
        <v>2</v>
      </c>
      <c r="D5" s="33"/>
      <c r="E5" s="34"/>
      <c r="F5" s="33" t="s">
        <v>6</v>
      </c>
      <c r="G5" s="33"/>
      <c r="H5" s="33"/>
      <c r="I5" s="31" t="s">
        <v>7</v>
      </c>
    </row>
    <row r="6" spans="1:9" ht="15" x14ac:dyDescent="0.25">
      <c r="A6" s="24" t="s">
        <v>5</v>
      </c>
      <c r="B6" s="25" t="s">
        <v>32</v>
      </c>
      <c r="C6" s="30" t="s">
        <v>35</v>
      </c>
      <c r="D6" s="30" t="s">
        <v>36</v>
      </c>
      <c r="E6" s="39" t="s">
        <v>33</v>
      </c>
      <c r="F6" s="30" t="s">
        <v>35</v>
      </c>
      <c r="G6" s="20" t="s">
        <v>36</v>
      </c>
      <c r="H6" s="3" t="s">
        <v>33</v>
      </c>
      <c r="I6" s="32"/>
    </row>
    <row r="7" spans="1:9" ht="15.75" x14ac:dyDescent="0.25">
      <c r="A7" s="2" t="s">
        <v>0</v>
      </c>
      <c r="B7" s="10">
        <f>SUM(C7:H7)</f>
        <v>83129078.194000006</v>
      </c>
      <c r="C7" s="11">
        <f t="shared" ref="C7:H7" si="0">SUM(C8:C19)</f>
        <v>54993026.454000011</v>
      </c>
      <c r="D7" s="11">
        <f t="shared" si="0"/>
        <v>13187746.25</v>
      </c>
      <c r="E7" s="40">
        <f t="shared" si="0"/>
        <v>14107094.41</v>
      </c>
      <c r="F7" s="11">
        <f t="shared" si="0"/>
        <v>216188.88</v>
      </c>
      <c r="G7" s="12">
        <f t="shared" si="0"/>
        <v>500934.47000000003</v>
      </c>
      <c r="H7" s="12">
        <f t="shared" si="0"/>
        <v>124087.73</v>
      </c>
      <c r="I7" s="28" t="s">
        <v>1</v>
      </c>
    </row>
    <row r="8" spans="1:9" ht="15" x14ac:dyDescent="0.25">
      <c r="A8" s="4" t="s">
        <v>8</v>
      </c>
      <c r="B8" s="10">
        <f t="shared" ref="B8:B19" si="1">SUM(C8:H8)</f>
        <v>6644629.0999999987</v>
      </c>
      <c r="C8" s="13">
        <v>4047787.1</v>
      </c>
      <c r="D8" s="13">
        <v>1293859.99</v>
      </c>
      <c r="E8" s="41">
        <v>1226809.0999999999</v>
      </c>
      <c r="F8" s="13">
        <v>19185.810000000005</v>
      </c>
      <c r="G8" s="14">
        <v>44963.1</v>
      </c>
      <c r="H8" s="13">
        <v>12024.000000000002</v>
      </c>
      <c r="I8" s="21" t="s">
        <v>9</v>
      </c>
    </row>
    <row r="9" spans="1:9" ht="15" x14ac:dyDescent="0.25">
      <c r="A9" s="4" t="s">
        <v>10</v>
      </c>
      <c r="B9" s="10">
        <f t="shared" si="1"/>
        <v>5690373.0399999991</v>
      </c>
      <c r="C9" s="13">
        <v>3620884.8799999994</v>
      </c>
      <c r="D9" s="13">
        <v>1267890.3999999999</v>
      </c>
      <c r="E9" s="41">
        <v>717910.83</v>
      </c>
      <c r="F9" s="13">
        <v>14303.179999999998</v>
      </c>
      <c r="G9" s="14">
        <v>53822.2</v>
      </c>
      <c r="H9" s="13">
        <v>15561.55</v>
      </c>
      <c r="I9" s="21" t="s">
        <v>11</v>
      </c>
    </row>
    <row r="10" spans="1:9" ht="15" x14ac:dyDescent="0.25">
      <c r="A10" s="4" t="s">
        <v>12</v>
      </c>
      <c r="B10" s="10">
        <f t="shared" si="1"/>
        <v>7075805.4499999993</v>
      </c>
      <c r="C10" s="13">
        <v>4188327.97</v>
      </c>
      <c r="D10" s="13">
        <v>1566292.4</v>
      </c>
      <c r="E10" s="41">
        <v>1237499.1299999999</v>
      </c>
      <c r="F10" s="13">
        <v>15747.579999999996</v>
      </c>
      <c r="G10" s="14">
        <v>51368.600000000006</v>
      </c>
      <c r="H10" s="13">
        <v>16569.769999999997</v>
      </c>
      <c r="I10" s="21" t="s">
        <v>13</v>
      </c>
    </row>
    <row r="11" spans="1:9" ht="15" x14ac:dyDescent="0.25">
      <c r="A11" s="4" t="s">
        <v>14</v>
      </c>
      <c r="B11" s="10">
        <f t="shared" si="1"/>
        <v>13830908.079999998</v>
      </c>
      <c r="C11" s="13">
        <v>11478172.620000001</v>
      </c>
      <c r="D11" s="13">
        <v>1177743.2</v>
      </c>
      <c r="E11" s="41">
        <v>1108993.8699999999</v>
      </c>
      <c r="F11" s="13">
        <v>12011.539999999997</v>
      </c>
      <c r="G11" s="14">
        <v>44291.6</v>
      </c>
      <c r="H11" s="13">
        <v>9695.25</v>
      </c>
      <c r="I11" s="21" t="s">
        <v>29</v>
      </c>
    </row>
    <row r="12" spans="1:9" ht="15" x14ac:dyDescent="0.25">
      <c r="A12" s="4" t="s">
        <v>15</v>
      </c>
      <c r="B12" s="10">
        <f t="shared" si="1"/>
        <v>5975529.2199999997</v>
      </c>
      <c r="C12" s="13">
        <v>4266851.84</v>
      </c>
      <c r="D12" s="13">
        <v>791309.2</v>
      </c>
      <c r="E12" s="41">
        <v>828702.71000000008</v>
      </c>
      <c r="F12" s="13">
        <v>13131.470000000001</v>
      </c>
      <c r="G12" s="14">
        <v>55835.8</v>
      </c>
      <c r="H12" s="13">
        <v>19698.199999999997</v>
      </c>
      <c r="I12" s="21" t="s">
        <v>16</v>
      </c>
    </row>
    <row r="13" spans="1:9" ht="15" x14ac:dyDescent="0.25">
      <c r="A13" s="4" t="s">
        <v>17</v>
      </c>
      <c r="B13" s="10">
        <f t="shared" si="1"/>
        <v>4609665.01</v>
      </c>
      <c r="C13" s="13">
        <v>3249845.8</v>
      </c>
      <c r="D13" s="13">
        <v>508378.86</v>
      </c>
      <c r="E13" s="41">
        <v>784317.37</v>
      </c>
      <c r="F13" s="13">
        <v>17755.61</v>
      </c>
      <c r="G13" s="14">
        <v>40589.07</v>
      </c>
      <c r="H13" s="13">
        <v>8778.2999999999993</v>
      </c>
      <c r="I13" s="21" t="s">
        <v>18</v>
      </c>
    </row>
    <row r="14" spans="1:9" ht="15" x14ac:dyDescent="0.25">
      <c r="A14" s="4" t="s">
        <v>19</v>
      </c>
      <c r="B14" s="10">
        <f t="shared" si="1"/>
        <v>5940221.5900000017</v>
      </c>
      <c r="C14" s="13">
        <v>3885565.4200000004</v>
      </c>
      <c r="D14" s="13">
        <v>1050195.93</v>
      </c>
      <c r="E14" s="41">
        <v>928848.9</v>
      </c>
      <c r="F14" s="13">
        <v>24121.74</v>
      </c>
      <c r="G14" s="14">
        <v>41212.399999999994</v>
      </c>
      <c r="H14" s="13">
        <v>10277.199999999999</v>
      </c>
      <c r="I14" s="21" t="s">
        <v>20</v>
      </c>
    </row>
    <row r="15" spans="1:9" ht="15" x14ac:dyDescent="0.25">
      <c r="A15" s="4" t="s">
        <v>21</v>
      </c>
      <c r="B15" s="10">
        <f t="shared" si="1"/>
        <v>5652739.7899999991</v>
      </c>
      <c r="C15" s="13">
        <v>3763317.5199999996</v>
      </c>
      <c r="D15" s="13">
        <v>686168.02</v>
      </c>
      <c r="E15" s="41">
        <v>1124826.3999999999</v>
      </c>
      <c r="F15" s="13">
        <v>27357.100000000002</v>
      </c>
      <c r="G15" s="14">
        <v>42273.9</v>
      </c>
      <c r="H15" s="13">
        <v>8796.85</v>
      </c>
      <c r="I15" s="21" t="s">
        <v>30</v>
      </c>
    </row>
    <row r="16" spans="1:9" ht="15" x14ac:dyDescent="0.25">
      <c r="A16" s="4" t="s">
        <v>22</v>
      </c>
      <c r="B16" s="10">
        <f t="shared" si="1"/>
        <v>5587213.1700000009</v>
      </c>
      <c r="C16" s="13">
        <v>3391237.6700000004</v>
      </c>
      <c r="D16" s="13">
        <v>912919.74999999988</v>
      </c>
      <c r="E16" s="41">
        <v>1231276.2</v>
      </c>
      <c r="F16" s="13">
        <v>20368.149999999998</v>
      </c>
      <c r="G16" s="14">
        <v>26021.899999999998</v>
      </c>
      <c r="H16" s="13">
        <v>5389.5</v>
      </c>
      <c r="I16" s="21" t="s">
        <v>23</v>
      </c>
    </row>
    <row r="17" spans="1:9" ht="15" x14ac:dyDescent="0.25">
      <c r="A17" s="4" t="s">
        <v>24</v>
      </c>
      <c r="B17" s="10">
        <f t="shared" si="1"/>
        <v>7202407.2200000007</v>
      </c>
      <c r="C17" s="13">
        <v>3964931.5200000005</v>
      </c>
      <c r="D17" s="13">
        <v>1567994.3</v>
      </c>
      <c r="E17" s="41">
        <v>1613073.4000000001</v>
      </c>
      <c r="F17" s="13">
        <v>20216.899999999998</v>
      </c>
      <c r="G17" s="14">
        <v>28383.600000000002</v>
      </c>
      <c r="H17" s="13">
        <v>7807.5</v>
      </c>
      <c r="I17" s="21" t="s">
        <v>31</v>
      </c>
    </row>
    <row r="18" spans="1:9" ht="15" x14ac:dyDescent="0.25">
      <c r="A18" s="4" t="s">
        <v>25</v>
      </c>
      <c r="B18" s="10">
        <f t="shared" si="1"/>
        <v>7012871.5239999993</v>
      </c>
      <c r="C18" s="13">
        <v>4026229.7139999997</v>
      </c>
      <c r="D18" s="13">
        <v>1344626.2</v>
      </c>
      <c r="E18" s="41">
        <v>1586245.7</v>
      </c>
      <c r="F18" s="13">
        <v>14858.600000000002</v>
      </c>
      <c r="G18" s="14">
        <v>32589.300000000003</v>
      </c>
      <c r="H18" s="13">
        <v>8322.01</v>
      </c>
      <c r="I18" s="21" t="s">
        <v>26</v>
      </c>
    </row>
    <row r="19" spans="1:9" ht="15" x14ac:dyDescent="0.25">
      <c r="A19" s="22" t="s">
        <v>27</v>
      </c>
      <c r="B19" s="26">
        <f t="shared" si="1"/>
        <v>7906715</v>
      </c>
      <c r="C19" s="27">
        <v>5109874.4000000004</v>
      </c>
      <c r="D19" s="27">
        <v>1020368.0000000001</v>
      </c>
      <c r="E19" s="42">
        <v>1718590.7999999998</v>
      </c>
      <c r="F19" s="27">
        <v>17131.200000000008</v>
      </c>
      <c r="G19" s="27">
        <v>39583</v>
      </c>
      <c r="H19" s="27">
        <v>1167.5999999999999</v>
      </c>
      <c r="I19" s="38" t="s">
        <v>28</v>
      </c>
    </row>
    <row r="20" spans="1:9" s="5" customFormat="1" ht="17.25" x14ac:dyDescent="0.25">
      <c r="A20" s="6" t="s">
        <v>3</v>
      </c>
      <c r="B20" s="15"/>
      <c r="C20" s="15"/>
      <c r="D20" s="16"/>
      <c r="E20" s="17"/>
      <c r="F20" s="16"/>
      <c r="G20" s="16"/>
      <c r="H20" s="17"/>
      <c r="I20" s="8" t="s">
        <v>4</v>
      </c>
    </row>
    <row r="21" spans="1:9" ht="18.75" x14ac:dyDescent="0.25">
      <c r="A21" s="5"/>
      <c r="B21" s="6"/>
      <c r="C21" s="18"/>
      <c r="D21" s="18"/>
      <c r="E21" s="18"/>
      <c r="F21" s="18"/>
      <c r="G21" s="18"/>
      <c r="H21" s="7"/>
      <c r="I21" s="29"/>
    </row>
  </sheetData>
  <mergeCells count="6">
    <mergeCell ref="A2:I2"/>
    <mergeCell ref="A3:H3"/>
    <mergeCell ref="A4:G4"/>
    <mergeCell ref="C5:E5"/>
    <mergeCell ref="F5:H5"/>
    <mergeCell ref="I5:I6"/>
  </mergeCells>
  <pageMargins left="0.7" right="0.7" top="0.75" bottom="0.75" header="0.3" footer="0.3"/>
  <pageSetup scale="6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11.21</vt:lpstr>
      <vt:lpstr>' 11.21'!Print_Area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2020-10-09T13:50:21Z</cp:lastPrinted>
  <dcterms:created xsi:type="dcterms:W3CDTF">2019-03-24T03:32:16Z</dcterms:created>
  <dcterms:modified xsi:type="dcterms:W3CDTF">2020-10-09T13:50:51Z</dcterms:modified>
</cp:coreProperties>
</file>