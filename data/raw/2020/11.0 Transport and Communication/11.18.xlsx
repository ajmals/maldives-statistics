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11.18" sheetId="6" r:id="rId1"/>
  </sheets>
  <externalReferences>
    <externalReference r:id="rId2"/>
  </externalReferences>
  <definedNames>
    <definedName name="_xlnm.Print_Area" localSheetId="0">'11.18'!$A$1:$K$20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6" l="1"/>
  <c r="G18" i="6" l="1"/>
  <c r="C18" i="6"/>
  <c r="G17" i="6"/>
  <c r="C17" i="6"/>
  <c r="G16" i="6"/>
  <c r="C16" i="6"/>
  <c r="G15" i="6"/>
  <c r="C15" i="6"/>
  <c r="G14" i="6"/>
  <c r="C14" i="6"/>
  <c r="G13" i="6"/>
  <c r="C13" i="6"/>
  <c r="B13" i="6" s="1"/>
  <c r="G12" i="6"/>
  <c r="C12" i="6"/>
  <c r="G11" i="6"/>
  <c r="C11" i="6"/>
  <c r="G10" i="6"/>
  <c r="C10" i="6"/>
  <c r="G9" i="6"/>
  <c r="C9" i="6"/>
  <c r="G8" i="6"/>
  <c r="C8" i="6"/>
  <c r="G7" i="6"/>
  <c r="C7" i="6"/>
  <c r="I6" i="6"/>
  <c r="H6" i="6"/>
  <c r="F6" i="6"/>
  <c r="D6" i="6"/>
  <c r="C6" i="6" l="1"/>
  <c r="B6" i="6" s="1"/>
  <c r="B9" i="6"/>
  <c r="B14" i="6"/>
  <c r="B16" i="6"/>
  <c r="B18" i="6"/>
  <c r="B17" i="6"/>
  <c r="G6" i="6"/>
  <c r="B8" i="6"/>
  <c r="B10" i="6"/>
  <c r="B12" i="6"/>
  <c r="B7" i="6"/>
  <c r="B15" i="6"/>
  <c r="B11" i="6"/>
</calcChain>
</file>

<file path=xl/sharedStrings.xml><?xml version="1.0" encoding="utf-8"?>
<sst xmlns="http://schemas.openxmlformats.org/spreadsheetml/2006/main" count="42" uniqueCount="38">
  <si>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</si>
  <si>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</si>
  <si>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</si>
  <si>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</si>
  <si>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</si>
  <si>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</si>
  <si>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</si>
  <si>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</si>
  <si>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</si>
  <si>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</si>
  <si>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</si>
  <si>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</si>
  <si>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</si>
  <si>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</si>
  <si>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</si>
  <si>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</si>
  <si>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</si>
  <si>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</si>
  <si>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</si>
  <si>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</si>
  <si>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</si>
  <si>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</si>
  <si>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</si>
  <si>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</si>
  <si>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</si>
  <si>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</si>
  <si>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</si>
  <si>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</si>
  <si>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</si>
  <si>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</si>
  <si>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</si>
  <si>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</si>
  <si>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</si>
  <si>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</si>
  <si>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</si>
  <si>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</si>
  <si>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ތާވަލު 11.18: މަސްމަހުގެ ގޮތުން ގަން އިންޓަރނޭޝަނަލް އެއަރޕޯޓުން ދަތުރުކުރި ފްލައިޓްތައް، 2019</t>
  </si>
  <si>
    <t>Table 11.18 :  AIRCRAFT MOVEMENT AT GAN INTERNATIONAL AIRPORT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</si>
</sst>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4" fillId="0" borderId="0"/>
    <xf numFmtId="0" fontId="14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</cellStyleXfs>
  <cellXfs count="51">
    <xf numFmtId="0" fontId="0" fillId="0" borderId="0" xfId="0"/>
    <xf numFmtId="164" fontId="0" fillId="2" borderId="0" xfId="0" applyNumberFormat="1" applyFill="1"/>
    <xf numFmtId="164" fontId="10" fillId="2" borderId="0" xfId="1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 applyProtection="1">
      <alignment horizontal="right" vertical="center"/>
    </xf>
    <xf numFmtId="3" fontId="5" fillId="2" borderId="7" xfId="1" applyNumberFormat="1" applyFont="1" applyFill="1" applyBorder="1" applyAlignment="1" applyProtection="1">
      <alignment horizontal="right" vertical="center"/>
    </xf>
    <xf numFmtId="3" fontId="5" fillId="2" borderId="8" xfId="1" applyNumberFormat="1" applyFont="1" applyFill="1" applyBorder="1" applyAlignment="1" applyProtection="1">
      <alignment horizontal="right" vertical="center"/>
    </xf>
    <xf numFmtId="3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3" fillId="2" borderId="0" xfId="1" applyNumberFormat="1" applyFont="1" applyFill="1" applyBorder="1" applyAlignment="1">
      <alignment vertical="center"/>
    </xf>
    <xf numFmtId="164" fontId="11" fillId="2" borderId="1" xfId="1" applyNumberFormat="1" applyFont="1" applyFill="1" applyBorder="1" applyAlignment="1" applyProtection="1">
      <alignment horizontal="left" vertical="center"/>
    </xf>
    <xf numFmtId="164" fontId="11" fillId="2" borderId="4" xfId="1" applyNumberFormat="1" applyFont="1" applyFill="1" applyBorder="1" applyAlignment="1" applyProtection="1">
      <alignment horizontal="left" vertical="center"/>
    </xf>
    <xf numFmtId="3" fontId="5" fillId="2" borderId="16" xfId="1" applyNumberFormat="1" applyFont="1" applyFill="1" applyBorder="1" applyAlignment="1" applyProtection="1">
      <alignment horizontal="right" vertical="center"/>
    </xf>
    <xf numFmtId="3" fontId="11" fillId="2" borderId="1" xfId="1" applyNumberFormat="1" applyFont="1" applyFill="1" applyBorder="1" applyAlignment="1" applyProtection="1">
      <alignment horizontal="right" vertical="center"/>
      <protection locked="0"/>
    </xf>
    <xf numFmtId="3" fontId="11" fillId="2" borderId="17" xfId="1" applyNumberFormat="1" applyFont="1" applyFill="1" applyBorder="1" applyAlignment="1" applyProtection="1">
      <alignment horizontal="right" vertical="center"/>
      <protection locked="0"/>
    </xf>
    <xf numFmtId="3" fontId="5" fillId="2" borderId="9" xfId="1" applyNumberFormat="1" applyFont="1" applyFill="1" applyBorder="1" applyAlignment="1" applyProtection="1">
      <alignment horizontal="right" vertical="center"/>
    </xf>
    <xf numFmtId="3" fontId="5" fillId="2" borderId="14" xfId="1" applyNumberFormat="1" applyFont="1" applyFill="1" applyBorder="1" applyAlignment="1" applyProtection="1">
      <alignment horizontal="right" vertical="center"/>
    </xf>
    <xf numFmtId="3" fontId="11" fillId="2" borderId="4" xfId="1" applyNumberFormat="1" applyFont="1" applyFill="1" applyBorder="1" applyAlignment="1" applyProtection="1">
      <alignment horizontal="right" vertical="center"/>
      <protection locked="0"/>
    </xf>
    <xf numFmtId="3" fontId="11" fillId="2" borderId="15" xfId="1" applyNumberFormat="1" applyFont="1" applyFill="1" applyBorder="1" applyAlignment="1" applyProtection="1">
      <alignment horizontal="right" vertical="center"/>
      <protection locked="0"/>
    </xf>
    <xf numFmtId="3" fontId="5" fillId="2" borderId="10" xfId="1" applyNumberFormat="1" applyFont="1" applyFill="1" applyBorder="1" applyAlignment="1" applyProtection="1">
      <alignment horizontal="right" vertical="center"/>
    </xf>
    <xf numFmtId="37" fontId="11" fillId="2" borderId="0" xfId="1" applyNumberFormat="1" applyFont="1" applyFill="1" applyBorder="1" applyAlignment="1" applyProtection="1">
      <alignment vertical="center"/>
    </xf>
    <xf numFmtId="0" fontId="11" fillId="2" borderId="0" xfId="3" applyFont="1" applyFill="1" applyBorder="1" applyAlignment="1">
      <alignment vertical="center"/>
    </xf>
    <xf numFmtId="164" fontId="8" fillId="2" borderId="0" xfId="0" applyNumberFormat="1" applyFont="1" applyFill="1" applyBorder="1"/>
    <xf numFmtId="164" fontId="5" fillId="2" borderId="20" xfId="1" applyNumberFormat="1" applyFont="1" applyFill="1" applyBorder="1" applyAlignment="1" applyProtection="1">
      <alignment horizontal="right" vertical="center"/>
    </xf>
    <xf numFmtId="164" fontId="5" fillId="2" borderId="21" xfId="1" applyNumberFormat="1" applyFont="1" applyFill="1" applyBorder="1" applyAlignment="1" applyProtection="1">
      <alignment horizontal="right" vertical="center" wrapText="1"/>
    </xf>
    <xf numFmtId="164" fontId="5" fillId="2" borderId="6" xfId="1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5" fillId="2" borderId="11" xfId="1" applyNumberFormat="1" applyFont="1" applyFill="1" applyBorder="1" applyAlignment="1" applyProtection="1">
      <alignment horizontal="left" vertical="center"/>
    </xf>
    <xf numFmtId="3" fontId="5" fillId="2" borderId="22" xfId="1" applyNumberFormat="1" applyFont="1" applyFill="1" applyBorder="1" applyAlignment="1" applyProtection="1">
      <alignment horizontal="right" vertical="center"/>
    </xf>
    <xf numFmtId="3" fontId="5" fillId="2" borderId="11" xfId="1" applyNumberFormat="1" applyFont="1" applyFill="1" applyBorder="1" applyAlignment="1" applyProtection="1">
      <alignment horizontal="right" vertical="center"/>
    </xf>
    <xf numFmtId="3" fontId="5" fillId="2" borderId="23" xfId="1" applyNumberFormat="1" applyFont="1" applyFill="1" applyBorder="1" applyAlignment="1" applyProtection="1">
      <alignment horizontal="right" vertical="center"/>
    </xf>
    <xf numFmtId="3" fontId="5" fillId="2" borderId="3" xfId="1" applyNumberFormat="1" applyFont="1" applyFill="1" applyBorder="1" applyAlignment="1" applyProtection="1">
      <alignment horizontal="right" vertical="center"/>
    </xf>
    <xf numFmtId="3" fontId="5" fillId="2" borderId="5" xfId="1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5" fillId="2" borderId="0" xfId="1" applyNumberFormat="1" applyFont="1" applyFill="1" applyBorder="1" applyAlignment="1" applyProtection="1">
      <alignment horizontal="right" vertical="center" wrapText="1"/>
    </xf>
    <xf numFmtId="164" fontId="18" fillId="2" borderId="0" xfId="0" applyNumberFormat="1" applyFont="1" applyFill="1"/>
    <xf numFmtId="0" fontId="15" fillId="2" borderId="11" xfId="4" applyFont="1" applyFill="1" applyBorder="1" applyAlignment="1">
      <alignment horizontal="right"/>
    </xf>
    <xf numFmtId="0" fontId="17" fillId="2" borderId="1" xfId="4" applyFont="1" applyFill="1" applyBorder="1" applyAlignment="1">
      <alignment horizontal="right"/>
    </xf>
    <xf numFmtId="0" fontId="17" fillId="2" borderId="4" xfId="4" applyFont="1" applyFill="1" applyBorder="1" applyAlignment="1">
      <alignment horizontal="right"/>
    </xf>
    <xf numFmtId="0" fontId="17" fillId="2" borderId="0" xfId="0" applyNumberFormat="1" applyFont="1" applyFill="1" applyBorder="1" applyAlignment="1">
      <alignment horizontal="right" vertical="center"/>
    </xf>
    <xf numFmtId="0" fontId="15" fillId="2" borderId="6" xfId="4" applyFont="1" applyFill="1" applyBorder="1" applyAlignment="1">
      <alignment horizontal="right" vertical="center"/>
    </xf>
    <xf numFmtId="0" fontId="15" fillId="2" borderId="0" xfId="4" applyFont="1" applyFill="1" applyBorder="1" applyAlignment="1">
      <alignment horizontal="right"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4" fontId="12" fillId="2" borderId="24" xfId="1" applyNumberFormat="1" applyFont="1" applyFill="1" applyBorder="1" applyAlignment="1" applyProtection="1">
      <alignment horizontal="center" vertical="center"/>
    </xf>
    <xf numFmtId="164" fontId="6" fillId="2" borderId="6" xfId="1" applyNumberFormat="1" applyFont="1" applyFill="1" applyBorder="1" applyAlignment="1" applyProtection="1">
      <alignment horizontal="center" vertical="center"/>
    </xf>
    <xf numFmtId="164" fontId="5" fillId="2" borderId="6" xfId="1" applyNumberFormat="1" applyFont="1" applyFill="1" applyBorder="1" applyAlignment="1" applyProtection="1">
      <alignment horizontal="right" vertical="center" wrapText="1"/>
    </xf>
    <xf numFmtId="164" fontId="5" fillId="2" borderId="18" xfId="1" applyNumberFormat="1" applyFont="1" applyFill="1" applyBorder="1" applyAlignment="1" applyProtection="1">
      <alignment horizontal="center" vertical="center"/>
    </xf>
    <xf numFmtId="164" fontId="5" fillId="2" borderId="12" xfId="1" applyNumberFormat="1" applyFont="1" applyFill="1" applyBorder="1" applyAlignment="1" applyProtection="1">
      <alignment horizontal="center" vertical="center"/>
    </xf>
    <xf numFmtId="164" fontId="5" fillId="2" borderId="19" xfId="1" applyNumberFormat="1" applyFont="1" applyFill="1" applyBorder="1" applyAlignment="1" applyProtection="1">
      <alignment horizontal="center" vertical="center"/>
    </xf>
    <xf numFmtId="164" fontId="6" fillId="2" borderId="0" xfId="1" applyNumberFormat="1" applyFont="1" applyFill="1" applyBorder="1" applyAlignment="1" applyProtection="1">
      <alignment horizontal="center" vertical="center"/>
    </xf>
    <xf numFmtId="164" fontId="5" fillId="2" borderId="0" xfId="1" applyNumberFormat="1" applyFont="1" applyFill="1" applyBorder="1" applyAlignment="1" applyProtection="1">
      <alignment horizontal="right" vertical="center" wrapText="1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3"/>
  <sheetViews>
    <sheetView tabSelected="1" zoomScaleNormal="100" workbookViewId="0">
      <selection activeCell="N22" sqref="N22"/>
    </sheetView>
  </sheetViews>
  <sheetFormatPr defaultColWidth="9.140625" defaultRowHeight="12.75" customHeight="1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34" customWidth="1"/>
    <col min="11" max="11" width="3.85546875" style="1" customWidth="1"/>
    <col min="12" max="22" width="7.42578125" style="1" customWidth="1"/>
    <col min="23" max="16384" width="9.140625" style="1"/>
  </cols>
  <sheetData>
    <row r="1" spans="1:15" ht="18">
      <c r="A1" s="21"/>
      <c r="B1" s="21"/>
      <c r="C1" s="8"/>
      <c r="D1" s="8"/>
      <c r="E1" s="8"/>
      <c r="F1" s="8"/>
      <c r="G1" s="8"/>
      <c r="H1" s="8"/>
      <c r="I1" s="8"/>
      <c r="K1" s="8"/>
      <c r="L1" s="8"/>
      <c r="M1" s="8"/>
      <c r="N1" s="8"/>
      <c r="O1" s="8"/>
    </row>
    <row r="2" spans="1:15" ht="21">
      <c r="A2" s="41" t="s">
        <v>36</v>
      </c>
      <c r="B2" s="42"/>
      <c r="C2" s="42"/>
      <c r="D2" s="42"/>
      <c r="E2" s="42"/>
      <c r="F2" s="42"/>
      <c r="G2" s="42"/>
      <c r="H2" s="42"/>
      <c r="I2" s="42"/>
      <c r="J2" s="42"/>
    </row>
    <row r="3" spans="1:15" ht="15">
      <c r="A3" s="43" t="s">
        <v>37</v>
      </c>
      <c r="B3" s="43"/>
      <c r="C3" s="43"/>
      <c r="D3" s="43"/>
      <c r="E3" s="43"/>
      <c r="F3" s="43"/>
      <c r="G3" s="43"/>
      <c r="H3" s="43"/>
      <c r="I3" s="43"/>
      <c r="J3" s="43"/>
    </row>
    <row r="4" spans="1:15" ht="15">
      <c r="A4" s="44" t="s">
        <v>4</v>
      </c>
      <c r="B4" s="45" t="s">
        <v>30</v>
      </c>
      <c r="C4" s="46" t="s">
        <v>34</v>
      </c>
      <c r="D4" s="47"/>
      <c r="E4" s="47"/>
      <c r="F4" s="48"/>
      <c r="G4" s="47" t="s">
        <v>35</v>
      </c>
      <c r="H4" s="47"/>
      <c r="I4" s="47"/>
      <c r="J4" s="39" t="s">
        <v>5</v>
      </c>
    </row>
    <row r="5" spans="1:15" s="25" customFormat="1" ht="15">
      <c r="A5" s="49"/>
      <c r="B5" s="50"/>
      <c r="C5" s="22" t="s">
        <v>0</v>
      </c>
      <c r="D5" s="4" t="s">
        <v>31</v>
      </c>
      <c r="E5" s="4" t="s">
        <v>32</v>
      </c>
      <c r="F5" s="23" t="s">
        <v>33</v>
      </c>
      <c r="G5" s="24" t="s">
        <v>0</v>
      </c>
      <c r="H5" s="4" t="s">
        <v>31</v>
      </c>
      <c r="I5" s="33" t="s">
        <v>33</v>
      </c>
      <c r="J5" s="40"/>
    </row>
    <row r="6" spans="1:15" s="25" customFormat="1" ht="15.75">
      <c r="A6" s="26" t="s">
        <v>0</v>
      </c>
      <c r="B6" s="6">
        <f t="shared" ref="B6:B18" si="0">SUM(C6+G6)</f>
        <v>4614</v>
      </c>
      <c r="C6" s="27">
        <f t="shared" ref="C6:C18" si="1">SUM(D6:F6)</f>
        <v>512</v>
      </c>
      <c r="D6" s="28">
        <f>SUM(D7:D18)</f>
        <v>306</v>
      </c>
      <c r="E6" s="28">
        <f>SUM(E7:E18)</f>
        <v>0</v>
      </c>
      <c r="F6" s="29">
        <f>SUM(F7:F18)</f>
        <v>206</v>
      </c>
      <c r="G6" s="5">
        <f t="shared" ref="G6:G18" si="2">SUM(H6:I6)</f>
        <v>4102</v>
      </c>
      <c r="H6" s="28">
        <f>SUM(H7:H18)</f>
        <v>4018</v>
      </c>
      <c r="I6" s="28">
        <f>SUM(I7:I18)</f>
        <v>84</v>
      </c>
      <c r="J6" s="35" t="s">
        <v>1</v>
      </c>
    </row>
    <row r="7" spans="1:15" s="25" customFormat="1" ht="15.75">
      <c r="A7" s="9" t="s">
        <v>6</v>
      </c>
      <c r="B7" s="30">
        <f t="shared" si="0"/>
        <v>455</v>
      </c>
      <c r="C7" s="11">
        <f>SUM(D7:F7)</f>
        <v>71</v>
      </c>
      <c r="D7" s="12">
        <v>28</v>
      </c>
      <c r="E7" s="12">
        <v>0</v>
      </c>
      <c r="F7" s="13">
        <v>43</v>
      </c>
      <c r="G7" s="14">
        <f t="shared" si="2"/>
        <v>384</v>
      </c>
      <c r="H7" s="12">
        <v>382</v>
      </c>
      <c r="I7" s="12">
        <v>2</v>
      </c>
      <c r="J7" s="36" t="s">
        <v>7</v>
      </c>
    </row>
    <row r="8" spans="1:15" s="25" customFormat="1" ht="15.75">
      <c r="A8" s="9" t="s">
        <v>8</v>
      </c>
      <c r="B8" s="30">
        <f t="shared" si="0"/>
        <v>404</v>
      </c>
      <c r="C8" s="11">
        <f t="shared" si="1"/>
        <v>58</v>
      </c>
      <c r="D8" s="12">
        <v>26</v>
      </c>
      <c r="E8" s="12">
        <v>0</v>
      </c>
      <c r="F8" s="13">
        <v>32</v>
      </c>
      <c r="G8" s="14">
        <f t="shared" si="2"/>
        <v>346</v>
      </c>
      <c r="H8" s="12">
        <v>340</v>
      </c>
      <c r="I8" s="12">
        <v>6</v>
      </c>
      <c r="J8" s="36" t="s">
        <v>9</v>
      </c>
    </row>
    <row r="9" spans="1:15" s="25" customFormat="1" ht="15.75">
      <c r="A9" s="9" t="s">
        <v>10</v>
      </c>
      <c r="B9" s="30">
        <f t="shared" si="0"/>
        <v>457</v>
      </c>
      <c r="C9" s="11">
        <f t="shared" si="1"/>
        <v>43</v>
      </c>
      <c r="D9" s="12">
        <v>26</v>
      </c>
      <c r="E9" s="12">
        <v>0</v>
      </c>
      <c r="F9" s="13">
        <v>17</v>
      </c>
      <c r="G9" s="14">
        <f t="shared" si="2"/>
        <v>414</v>
      </c>
      <c r="H9" s="12">
        <v>404</v>
      </c>
      <c r="I9" s="12">
        <v>10</v>
      </c>
      <c r="J9" s="36" t="s">
        <v>11</v>
      </c>
    </row>
    <row r="10" spans="1:15" s="25" customFormat="1" ht="15.75">
      <c r="A10" s="9" t="s">
        <v>12</v>
      </c>
      <c r="B10" s="30">
        <f t="shared" si="0"/>
        <v>410</v>
      </c>
      <c r="C10" s="11">
        <f t="shared" si="1"/>
        <v>30</v>
      </c>
      <c r="D10" s="12">
        <v>26</v>
      </c>
      <c r="E10" s="12">
        <v>0</v>
      </c>
      <c r="F10" s="13">
        <v>4</v>
      </c>
      <c r="G10" s="14">
        <f t="shared" si="2"/>
        <v>380</v>
      </c>
      <c r="H10" s="12">
        <v>368</v>
      </c>
      <c r="I10" s="12">
        <v>12</v>
      </c>
      <c r="J10" s="36" t="s">
        <v>13</v>
      </c>
    </row>
    <row r="11" spans="1:15" s="25" customFormat="1" ht="15.75">
      <c r="A11" s="9" t="s">
        <v>14</v>
      </c>
      <c r="B11" s="30">
        <f t="shared" si="0"/>
        <v>364</v>
      </c>
      <c r="C11" s="11">
        <f t="shared" si="1"/>
        <v>30</v>
      </c>
      <c r="D11" s="12">
        <v>20</v>
      </c>
      <c r="E11" s="12">
        <v>0</v>
      </c>
      <c r="F11" s="13">
        <v>10</v>
      </c>
      <c r="G11" s="14">
        <f t="shared" si="2"/>
        <v>334</v>
      </c>
      <c r="H11" s="12">
        <v>328</v>
      </c>
      <c r="I11" s="12">
        <v>6</v>
      </c>
      <c r="J11" s="36" t="s">
        <v>15</v>
      </c>
    </row>
    <row r="12" spans="1:15" s="25" customFormat="1" ht="15.75">
      <c r="A12" s="9" t="s">
        <v>16</v>
      </c>
      <c r="B12" s="30">
        <f t="shared" si="0"/>
        <v>368</v>
      </c>
      <c r="C12" s="11">
        <f t="shared" si="1"/>
        <v>38</v>
      </c>
      <c r="D12" s="12">
        <v>24</v>
      </c>
      <c r="E12" s="12">
        <v>0</v>
      </c>
      <c r="F12" s="13">
        <v>14</v>
      </c>
      <c r="G12" s="14">
        <f t="shared" si="2"/>
        <v>330</v>
      </c>
      <c r="H12" s="12">
        <v>328</v>
      </c>
      <c r="I12" s="12">
        <v>2</v>
      </c>
      <c r="J12" s="36" t="s">
        <v>17</v>
      </c>
    </row>
    <row r="13" spans="1:15" s="25" customFormat="1" ht="15.75">
      <c r="A13" s="9" t="s">
        <v>18</v>
      </c>
      <c r="B13" s="30">
        <f t="shared" si="0"/>
        <v>338</v>
      </c>
      <c r="C13" s="11">
        <f t="shared" si="1"/>
        <v>38</v>
      </c>
      <c r="D13" s="12">
        <v>24</v>
      </c>
      <c r="E13" s="12">
        <v>0</v>
      </c>
      <c r="F13" s="13">
        <v>14</v>
      </c>
      <c r="G13" s="14">
        <f t="shared" si="2"/>
        <v>300</v>
      </c>
      <c r="H13" s="12">
        <v>296</v>
      </c>
      <c r="I13" s="12">
        <v>4</v>
      </c>
      <c r="J13" s="36" t="s">
        <v>19</v>
      </c>
    </row>
    <row r="14" spans="1:15" s="25" customFormat="1" ht="15.75">
      <c r="A14" s="9" t="s">
        <v>20</v>
      </c>
      <c r="B14" s="30">
        <f t="shared" si="0"/>
        <v>362</v>
      </c>
      <c r="C14" s="11">
        <f t="shared" si="1"/>
        <v>36</v>
      </c>
      <c r="D14" s="12">
        <v>28</v>
      </c>
      <c r="E14" s="12">
        <v>0</v>
      </c>
      <c r="F14" s="13">
        <v>8</v>
      </c>
      <c r="G14" s="14">
        <f t="shared" si="2"/>
        <v>326</v>
      </c>
      <c r="H14" s="12">
        <v>318</v>
      </c>
      <c r="I14" s="12">
        <v>8</v>
      </c>
      <c r="J14" s="36" t="s">
        <v>21</v>
      </c>
    </row>
    <row r="15" spans="1:15" s="25" customFormat="1" ht="15.75">
      <c r="A15" s="9" t="s">
        <v>22</v>
      </c>
      <c r="B15" s="30">
        <f t="shared" si="0"/>
        <v>323</v>
      </c>
      <c r="C15" s="11">
        <f t="shared" si="1"/>
        <v>31</v>
      </c>
      <c r="D15" s="12">
        <v>26</v>
      </c>
      <c r="E15" s="12">
        <v>0</v>
      </c>
      <c r="F15" s="13">
        <v>5</v>
      </c>
      <c r="G15" s="14">
        <f t="shared" si="2"/>
        <v>292</v>
      </c>
      <c r="H15" s="12">
        <v>288</v>
      </c>
      <c r="I15" s="12">
        <v>4</v>
      </c>
      <c r="J15" s="36" t="s">
        <v>23</v>
      </c>
    </row>
    <row r="16" spans="1:15" s="25" customFormat="1" ht="15.75">
      <c r="A16" s="9" t="s">
        <v>24</v>
      </c>
      <c r="B16" s="30">
        <f t="shared" si="0"/>
        <v>330</v>
      </c>
      <c r="C16" s="11">
        <f t="shared" si="1"/>
        <v>38</v>
      </c>
      <c r="D16" s="12">
        <v>26</v>
      </c>
      <c r="E16" s="12">
        <v>0</v>
      </c>
      <c r="F16" s="13">
        <v>12</v>
      </c>
      <c r="G16" s="14">
        <f t="shared" si="2"/>
        <v>292</v>
      </c>
      <c r="H16" s="12">
        <v>288</v>
      </c>
      <c r="I16" s="12">
        <v>4</v>
      </c>
      <c r="J16" s="36" t="s">
        <v>25</v>
      </c>
    </row>
    <row r="17" spans="1:28" s="25" customFormat="1" ht="15.75">
      <c r="A17" s="9" t="s">
        <v>26</v>
      </c>
      <c r="B17" s="30">
        <f t="shared" si="0"/>
        <v>358</v>
      </c>
      <c r="C17" s="11">
        <f t="shared" si="1"/>
        <v>34</v>
      </c>
      <c r="D17" s="12">
        <v>26</v>
      </c>
      <c r="E17" s="12">
        <v>0</v>
      </c>
      <c r="F17" s="13">
        <v>8</v>
      </c>
      <c r="G17" s="14">
        <f t="shared" si="2"/>
        <v>324</v>
      </c>
      <c r="H17" s="12">
        <v>316</v>
      </c>
      <c r="I17" s="12">
        <v>8</v>
      </c>
      <c r="J17" s="36" t="s">
        <v>27</v>
      </c>
    </row>
    <row r="18" spans="1:28" s="25" customFormat="1" ht="15.75">
      <c r="A18" s="10" t="s">
        <v>28</v>
      </c>
      <c r="B18" s="31">
        <f t="shared" si="0"/>
        <v>445</v>
      </c>
      <c r="C18" s="15">
        <f t="shared" si="1"/>
        <v>65</v>
      </c>
      <c r="D18" s="16">
        <v>26</v>
      </c>
      <c r="E18" s="16">
        <v>0</v>
      </c>
      <c r="F18" s="17">
        <v>39</v>
      </c>
      <c r="G18" s="18">
        <f t="shared" si="2"/>
        <v>380</v>
      </c>
      <c r="H18" s="16">
        <v>362</v>
      </c>
      <c r="I18" s="16">
        <v>18</v>
      </c>
      <c r="J18" s="37" t="s">
        <v>29</v>
      </c>
    </row>
    <row r="19" spans="1:28" ht="18.75">
      <c r="A19" s="2" t="s">
        <v>2</v>
      </c>
      <c r="B19" s="32"/>
      <c r="C19" s="19"/>
      <c r="D19" s="19"/>
      <c r="E19" s="19"/>
      <c r="F19" s="19"/>
      <c r="G19" s="19"/>
      <c r="H19" s="20"/>
      <c r="J19" s="3" t="s">
        <v>3</v>
      </c>
    </row>
    <row r="20" spans="1:28" ht="15.75">
      <c r="A20" s="2"/>
      <c r="B20" s="32"/>
      <c r="C20" s="19"/>
      <c r="D20" s="19"/>
      <c r="E20" s="19"/>
      <c r="F20" s="19"/>
      <c r="G20" s="19"/>
      <c r="H20" s="20"/>
      <c r="J20" s="38"/>
    </row>
    <row r="21" spans="1:28" ht="18">
      <c r="AA21" s="7"/>
      <c r="AB21" s="7"/>
    </row>
    <row r="22" spans="1:28" ht="18">
      <c r="AA22" s="7"/>
      <c r="AB22" s="7"/>
    </row>
    <row r="23" spans="1:28" ht="18">
      <c r="AA23" s="7"/>
      <c r="AB23" s="7"/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scale="7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11.18</vt:lpstr>
      <vt:lpstr>'11.18'!Print_Area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2020-10-09T12:49:20Z</cp:lastPrinted>
  <dcterms:created xsi:type="dcterms:W3CDTF">2019-03-24T03:32:16Z</dcterms:created>
  <dcterms:modified xsi:type="dcterms:W3CDTF">2020-10-09T12:49:37Z</dcterms:modified>
</cp:coreProperties>
</file>