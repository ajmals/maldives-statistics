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1. Transport\"/>
    </mc:Choice>
  </mc:AlternateContent>
  <bookViews>
    <workbookView xWindow="0" yWindow="0" windowWidth="28800" windowHeight="11535" tabRatio="790"/>
  </bookViews>
  <sheets>
    <sheet name="11.12" sheetId="1" r:id="rId1"/>
  </sheets>
  <definedNames>
    <definedName name="_xlnm.Print_Area" localSheetId="0">'11.12'!$A$1:$N$23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4" i="1" l="1"/>
  <c r="K14" i="1"/>
  <c r="I14" i="1"/>
  <c r="H14" i="1"/>
  <c r="H8" i="1" s="1"/>
  <c r="G14" i="1"/>
  <c r="E14" i="1"/>
  <c r="D14" i="1"/>
  <c r="C14" i="1"/>
  <c r="B14" i="1"/>
  <c r="L10" i="1"/>
  <c r="K10" i="1"/>
  <c r="I10" i="1"/>
  <c r="I9" i="1" s="1"/>
  <c r="H10" i="1"/>
  <c r="G10" i="1"/>
  <c r="E10" i="1"/>
  <c r="D10" i="1"/>
  <c r="D9" i="1" s="1"/>
  <c r="D8" i="1" s="1"/>
  <c r="C10" i="1"/>
  <c r="B10" i="1"/>
  <c r="L9" i="1"/>
  <c r="L8" i="1" s="1"/>
  <c r="K9" i="1"/>
  <c r="H9" i="1"/>
  <c r="G9" i="1"/>
  <c r="E9" i="1"/>
  <c r="E8" i="1" s="1"/>
  <c r="C9" i="1"/>
  <c r="B9" i="1"/>
  <c r="G8" i="1"/>
  <c r="B8" i="1"/>
  <c r="K8" i="1" l="1"/>
  <c r="C8" i="1"/>
  <c r="I8" i="1"/>
</calcChain>
</file>

<file path=xl/sharedStrings.xml><?xml version="1.0" encoding="utf-8"?>
<sst xmlns="http://schemas.openxmlformats.org/spreadsheetml/2006/main" count="60" uniqueCount="52">
  <si>
    <t>Passengers</t>
  </si>
  <si>
    <t>cnurwjcniswf</t>
  </si>
  <si>
    <t>Cargo (kg)</t>
  </si>
  <si>
    <t>(Olik) Wdum</t>
  </si>
  <si>
    <t>Mail (kg)</t>
  </si>
  <si>
    <t>(Olik) cliaem</t>
  </si>
  <si>
    <t>Airline</t>
  </si>
  <si>
    <t>cawtcTiawlcf</t>
  </si>
  <si>
    <t>iawa</t>
  </si>
  <si>
    <t>iruf</t>
  </si>
  <si>
    <t>irukuDwm iawgItwmurutwd</t>
  </si>
  <si>
    <t>irukeretea</t>
  </si>
  <si>
    <t>irukurEb</t>
  </si>
  <si>
    <t>cniawlrwaea</t>
  </si>
  <si>
    <t>Flight Movements</t>
  </si>
  <si>
    <t>In</t>
  </si>
  <si>
    <t>Out</t>
  </si>
  <si>
    <t>Transit</t>
  </si>
  <si>
    <t>Total</t>
  </si>
  <si>
    <t>wlcmuj</t>
  </si>
  <si>
    <t>International Flights</t>
  </si>
  <si>
    <t xml:space="preserve">     cawtcTiawlcf ImWvcqwaclwniawb</t>
  </si>
  <si>
    <t>International Scheduled</t>
  </si>
  <si>
    <t>Wviawfihejwmwh cnutogImiaWd ImWvcqwaclwniawb</t>
  </si>
  <si>
    <t>International Charter</t>
  </si>
  <si>
    <t xml:space="preserve"> cawtuTiawlcf rWTrWC ImWvcqwlwniawb</t>
  </si>
  <si>
    <t>International Non-Scheduled</t>
  </si>
  <si>
    <t xml:space="preserve">     cawtcTiawlcf Wvuniawfihejwmwh cnutogImiaWd</t>
  </si>
  <si>
    <t>Domestic flights</t>
  </si>
  <si>
    <t xml:space="preserve">           cawtcTiawlcf egEjcaWr</t>
  </si>
  <si>
    <t>Island Aviation (Scheduled)</t>
  </si>
  <si>
    <t xml:space="preserve">(cDclwauDex) cnwxEaivEacDcneliawa </t>
  </si>
  <si>
    <t>Source: Civil Aviation Authority</t>
  </si>
  <si>
    <t>މައުލޫމާތު ދެއްވީ: ސިވިލް އޭވިއޭޝަން އޮތޯރިޓީ</t>
  </si>
  <si>
    <t>2019 ,cliaem iaWlwdum unulufua iaWncnurwjcniswf irukurutwfurutwd cnurwhwfuTOb egukwtcniawlrwaea ikeaikea cSwrwdnwbegiawv ImWvcqwaclwniawb egumwg  11.12:clwvWt</t>
  </si>
  <si>
    <t xml:space="preserve">Table 11.12  TRANSPORT MOVEMENTS AT GAN INTERNATIONAL AIRPORT  BY AIRLINE, CROSS-CLASSIFIED BY PASSENGER, CARGO AND MAIL, 2019                </t>
  </si>
  <si>
    <t>Srilankan Airlines</t>
  </si>
  <si>
    <t>cscniawlrwaea cnwkcnwlIrcs</t>
  </si>
  <si>
    <t>Island Aviation (Non-Scheduled)</t>
  </si>
  <si>
    <t xml:space="preserve">(cDclwauDex cnon) cnwxEaivEacDcneliawa </t>
  </si>
  <si>
    <t>Villa (Scheduled)</t>
  </si>
  <si>
    <t xml:space="preserve">(cDclwauDex ) Wliv </t>
  </si>
  <si>
    <t>Manta Air (Scheduled)</t>
  </si>
  <si>
    <t>(cDclwauDex)  rwaea WTcnwm</t>
  </si>
  <si>
    <t>Manta Air (Non-Scheduled)</t>
  </si>
  <si>
    <t>(cDclwauDex cnon)  rwaea WTcnwm</t>
  </si>
  <si>
    <t>Other Domestic 1_/</t>
  </si>
  <si>
    <t>1_/ cawtcTiawlcf egEjcaWr cnehinehea</t>
  </si>
  <si>
    <t xml:space="preserve">Note: </t>
  </si>
  <si>
    <t>ނޯޓް:</t>
  </si>
  <si>
    <r>
      <rPr>
        <i/>
        <vertAlign val="superscript"/>
        <sz val="9"/>
        <rFont val="Calibri"/>
        <family val="2"/>
        <scheme val="minor"/>
      </rPr>
      <t xml:space="preserve">1_/ </t>
    </r>
    <r>
      <rPr>
        <i/>
        <sz val="9"/>
        <rFont val="Calibri"/>
        <family val="2"/>
        <scheme val="minor"/>
      </rPr>
      <t xml:space="preserve"> Includes movements by photo, training, technical and surveillance flights</t>
    </r>
  </si>
  <si>
    <t xml:space="preserve">.evekwtcTiawlcf WviretctWkwrwH iawgukwtcscnwlEvrws idwa Wmwkcnwk clwkinckeT ,gcninErcT ,cnugenOTof Inenemih iawgiawbim 1_/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</si>
</sst>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General_)"/>
  </numFmts>
  <fonts count="22">
    <font>
      <sz val="11"/>
      <color theme="1"/>
      <name val="Calibri"/>
      <family val="2"/>
      <scheme val="minor"/>
    </font>
    <font>
      <sz val="10"/>
      <name val="Courier"/>
      <family val="3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9"/>
      <name val="Akuru"/>
      <family val="2"/>
      <charset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kuru"/>
      <family val="2"/>
      <charset val="2"/>
    </font>
    <font>
      <b/>
      <sz val="9"/>
      <name val="A_Randhoo"/>
    </font>
    <font>
      <sz val="9"/>
      <name val="Arial"/>
      <family val="2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9"/>
      <name val="A_Faseyha"/>
    </font>
    <font>
      <i/>
      <sz val="9"/>
      <name val="Calibri"/>
      <family val="2"/>
      <scheme val="minor"/>
    </font>
    <font>
      <i/>
      <sz val="9"/>
      <name val="Arial"/>
      <family val="2"/>
    </font>
    <font>
      <sz val="9"/>
      <name val="A_Randhoo"/>
    </font>
    <font>
      <sz val="10"/>
      <name val="Faruma"/>
    </font>
    <font>
      <sz val="9"/>
      <name val="Univers"/>
      <family val="2"/>
    </font>
    <font>
      <i/>
      <vertAlign val="superscript"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</borders>
  <cellStyleXfs count="5">
    <xf numFmtId="0" fontId="0" fillId="0" borderId="0"/>
    <xf numFmtId="164" fontId="1" fillId="0" borderId="0"/>
    <xf numFmtId="0" fontId="6" fillId="0" borderId="0"/>
    <xf numFmtId="40" fontId="13" fillId="0" borderId="0" applyFont="0" applyFill="0" applyBorder="0" applyAlignment="0" applyProtection="0"/>
    <xf numFmtId="0" fontId="6" fillId="0" borderId="0"/>
  </cellStyleXfs>
  <cellXfs count="54">
    <xf numFmtId="0" fontId="0" fillId="0" borderId="0" xfId="0"/>
    <xf numFmtId="164" fontId="2" fillId="2" borderId="0" xfId="0" applyNumberFormat="1" applyFont="1" applyFill="1"/>
    <xf numFmtId="164" fontId="3" fillId="2" borderId="0" xfId="1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164" fontId="2" fillId="2" borderId="0" xfId="0" applyNumberFormat="1" applyFont="1" applyFill="1" applyBorder="1"/>
    <xf numFmtId="164" fontId="5" fillId="2" borderId="0" xfId="1" applyNumberFormat="1" applyFont="1" applyFill="1" applyBorder="1" applyAlignment="1" applyProtection="1">
      <alignment horizontal="left" vertical="center"/>
    </xf>
    <xf numFmtId="0" fontId="4" fillId="2" borderId="0" xfId="2" applyFont="1" applyFill="1" applyAlignment="1">
      <alignment vertical="center"/>
    </xf>
    <xf numFmtId="164" fontId="7" fillId="2" borderId="1" xfId="1" applyNumberFormat="1" applyFont="1" applyFill="1" applyBorder="1" applyAlignment="1" applyProtection="1">
      <alignment horizontal="left" vertical="center"/>
    </xf>
    <xf numFmtId="164" fontId="8" fillId="2" borderId="1" xfId="1" applyNumberFormat="1" applyFont="1" applyFill="1" applyBorder="1" applyAlignment="1">
      <alignment horizontal="right" vertical="center"/>
    </xf>
    <xf numFmtId="164" fontId="9" fillId="2" borderId="0" xfId="1" applyNumberFormat="1" applyFont="1" applyFill="1" applyBorder="1" applyAlignment="1">
      <alignment horizontal="right" vertical="center"/>
    </xf>
    <xf numFmtId="164" fontId="7" fillId="2" borderId="1" xfId="1" applyNumberFormat="1" applyFont="1" applyFill="1" applyBorder="1" applyAlignment="1" applyProtection="1">
      <alignment horizontal="right" vertical="center"/>
    </xf>
    <xf numFmtId="164" fontId="7" fillId="2" borderId="0" xfId="1" applyNumberFormat="1" applyFont="1" applyFill="1" applyBorder="1" applyAlignment="1" applyProtection="1">
      <alignment horizontal="left" vertical="center"/>
    </xf>
    <xf numFmtId="164" fontId="11" fillId="2" borderId="0" xfId="1" applyNumberFormat="1" applyFont="1" applyFill="1" applyBorder="1" applyAlignment="1">
      <alignment horizontal="right" vertical="center"/>
    </xf>
    <xf numFmtId="164" fontId="11" fillId="2" borderId="0" xfId="1" applyNumberFormat="1" applyFont="1" applyFill="1" applyAlignment="1">
      <alignment horizontal="right" vertical="center"/>
    </xf>
    <xf numFmtId="164" fontId="11" fillId="2" borderId="0" xfId="1" applyNumberFormat="1" applyFont="1" applyFill="1" applyBorder="1" applyAlignment="1">
      <alignment horizontal="right" vertical="center" wrapText="1"/>
    </xf>
    <xf numFmtId="0" fontId="11" fillId="2" borderId="0" xfId="2" applyFont="1" applyFill="1" applyBorder="1" applyAlignment="1">
      <alignment horizontal="right" vertical="center"/>
    </xf>
    <xf numFmtId="164" fontId="7" fillId="2" borderId="1" xfId="1" applyNumberFormat="1" applyFont="1" applyFill="1" applyBorder="1" applyAlignment="1">
      <alignment vertical="center"/>
    </xf>
    <xf numFmtId="0" fontId="11" fillId="2" borderId="1" xfId="2" applyFont="1" applyFill="1" applyBorder="1" applyAlignment="1">
      <alignment vertical="center"/>
    </xf>
    <xf numFmtId="164" fontId="12" fillId="2" borderId="0" xfId="1" applyNumberFormat="1" applyFont="1" applyFill="1" applyBorder="1" applyAlignment="1">
      <alignment horizontal="left" vertical="center"/>
    </xf>
    <xf numFmtId="38" fontId="12" fillId="2" borderId="0" xfId="3" applyNumberFormat="1" applyFont="1" applyFill="1" applyBorder="1" applyAlignment="1">
      <alignment horizontal="right" vertical="center"/>
    </xf>
    <xf numFmtId="164" fontId="14" fillId="2" borderId="0" xfId="1" applyNumberFormat="1" applyFont="1" applyFill="1" applyBorder="1" applyAlignment="1">
      <alignment horizontal="left" vertical="center"/>
    </xf>
    <xf numFmtId="38" fontId="14" fillId="2" borderId="0" xfId="3" applyNumberFormat="1" applyFont="1" applyFill="1" applyBorder="1" applyAlignment="1">
      <alignment horizontal="right" vertical="center"/>
    </xf>
    <xf numFmtId="164" fontId="12" fillId="2" borderId="0" xfId="1" applyNumberFormat="1" applyFont="1" applyFill="1" applyBorder="1" applyAlignment="1" applyProtection="1">
      <alignment horizontal="left" vertical="center"/>
    </xf>
    <xf numFmtId="164" fontId="11" fillId="2" borderId="0" xfId="1" applyNumberFormat="1" applyFont="1" applyFill="1" applyBorder="1" applyAlignment="1" applyProtection="1">
      <alignment horizontal="right" vertical="center"/>
    </xf>
    <xf numFmtId="0" fontId="15" fillId="2" borderId="1" xfId="2" applyFont="1" applyFill="1" applyBorder="1" applyAlignment="1">
      <alignment horizontal="right" vertical="center"/>
    </xf>
    <xf numFmtId="164" fontId="16" fillId="2" borderId="0" xfId="1" applyNumberFormat="1" applyFont="1" applyFill="1" applyAlignment="1" applyProtection="1">
      <alignment horizontal="left" vertical="center"/>
    </xf>
    <xf numFmtId="164" fontId="17" fillId="2" borderId="0" xfId="1" applyNumberFormat="1" applyFont="1" applyFill="1" applyAlignment="1" applyProtection="1">
      <alignment horizontal="left" vertical="center"/>
    </xf>
    <xf numFmtId="37" fontId="10" fillId="2" borderId="0" xfId="1" applyNumberFormat="1" applyFont="1" applyFill="1" applyAlignment="1" applyProtection="1">
      <alignment vertical="center"/>
    </xf>
    <xf numFmtId="0" fontId="18" fillId="2" borderId="0" xfId="4" applyFont="1" applyFill="1" applyAlignment="1">
      <alignment vertical="center"/>
    </xf>
    <xf numFmtId="164" fontId="1" fillId="2" borderId="0" xfId="0" applyNumberFormat="1" applyFont="1" applyFill="1"/>
    <xf numFmtId="0" fontId="19" fillId="2" borderId="2" xfId="0" applyNumberFormat="1" applyFont="1" applyFill="1" applyBorder="1" applyAlignment="1">
      <alignment horizontal="right" vertical="center"/>
    </xf>
    <xf numFmtId="164" fontId="11" fillId="2" borderId="0" xfId="1" applyNumberFormat="1" applyFont="1" applyFill="1" applyBorder="1" applyAlignment="1">
      <alignment horizontal="center" vertical="center"/>
    </xf>
    <xf numFmtId="164" fontId="7" fillId="2" borderId="1" xfId="1" applyNumberFormat="1" applyFont="1" applyFill="1" applyBorder="1" applyAlignment="1" applyProtection="1">
      <alignment vertical="center"/>
    </xf>
    <xf numFmtId="0" fontId="15" fillId="2" borderId="0" xfId="2" applyFont="1" applyFill="1" applyBorder="1" applyAlignment="1">
      <alignment vertical="center"/>
    </xf>
    <xf numFmtId="38" fontId="12" fillId="2" borderId="3" xfId="3" applyNumberFormat="1" applyFont="1" applyFill="1" applyBorder="1" applyAlignment="1">
      <alignment horizontal="right" vertical="center"/>
    </xf>
    <xf numFmtId="38" fontId="14" fillId="2" borderId="3" xfId="3" applyNumberFormat="1" applyFont="1" applyFill="1" applyBorder="1" applyAlignment="1">
      <alignment horizontal="right" vertical="center"/>
    </xf>
    <xf numFmtId="0" fontId="15" fillId="2" borderId="0" xfId="2" applyFont="1" applyFill="1" applyBorder="1" applyAlignment="1">
      <alignment horizontal="right" vertical="center"/>
    </xf>
    <xf numFmtId="38" fontId="12" fillId="2" borderId="3" xfId="3" applyNumberFormat="1" applyFont="1" applyFill="1" applyBorder="1" applyAlignment="1">
      <alignment horizontal="right"/>
    </xf>
    <xf numFmtId="38" fontId="12" fillId="2" borderId="3" xfId="3" applyNumberFormat="1" applyFont="1" applyFill="1" applyBorder="1" applyAlignment="1" applyProtection="1">
      <alignment horizontal="right" vertical="center"/>
    </xf>
    <xf numFmtId="164" fontId="14" fillId="2" borderId="0" xfId="1" applyNumberFormat="1" applyFont="1" applyFill="1" applyBorder="1" applyAlignment="1" applyProtection="1">
      <alignment horizontal="left" vertical="center"/>
    </xf>
    <xf numFmtId="38" fontId="14" fillId="2" borderId="0" xfId="3" applyNumberFormat="1" applyFont="1" applyFill="1" applyAlignment="1">
      <alignment horizontal="right" vertical="center"/>
    </xf>
    <xf numFmtId="38" fontId="14" fillId="2" borderId="0" xfId="3" applyNumberFormat="1" applyFont="1" applyFill="1" applyBorder="1" applyAlignment="1" applyProtection="1">
      <alignment horizontal="right" vertical="center"/>
      <protection locked="0"/>
    </xf>
    <xf numFmtId="38" fontId="14" fillId="2" borderId="0" xfId="3" applyNumberFormat="1" applyFont="1" applyFill="1" applyBorder="1" applyAlignment="1" applyProtection="1">
      <alignment horizontal="right" vertical="center"/>
    </xf>
    <xf numFmtId="38" fontId="14" fillId="2" borderId="0" xfId="3" applyNumberFormat="1" applyFont="1" applyFill="1" applyAlignment="1">
      <alignment horizontal="right"/>
    </xf>
    <xf numFmtId="164" fontId="20" fillId="2" borderId="4" xfId="1" applyFont="1" applyFill="1" applyBorder="1" applyAlignment="1" applyProtection="1">
      <alignment horizontal="left"/>
    </xf>
    <xf numFmtId="164" fontId="14" fillId="2" borderId="1" xfId="0" applyNumberFormat="1" applyFont="1" applyFill="1" applyBorder="1" applyAlignment="1" applyProtection="1">
      <alignment horizontal="left" vertical="center"/>
    </xf>
    <xf numFmtId="38" fontId="14" fillId="2" borderId="5" xfId="3" applyNumberFormat="1" applyFont="1" applyFill="1" applyBorder="1" applyAlignment="1" applyProtection="1">
      <alignment horizontal="right" vertical="center"/>
      <protection locked="0"/>
    </xf>
    <xf numFmtId="38" fontId="14" fillId="2" borderId="5" xfId="3" applyNumberFormat="1" applyFont="1" applyFill="1" applyBorder="1" applyAlignment="1">
      <alignment horizontal="right" vertical="center"/>
    </xf>
    <xf numFmtId="164" fontId="16" fillId="2" borderId="0" xfId="0" applyNumberFormat="1" applyFont="1" applyFill="1" applyBorder="1" applyAlignment="1" applyProtection="1">
      <alignment horizontal="left" vertical="center"/>
    </xf>
    <xf numFmtId="0" fontId="19" fillId="2" borderId="0" xfId="2" applyFont="1" applyFill="1" applyBorder="1" applyAlignment="1">
      <alignment horizontal="right" vertical="center"/>
    </xf>
    <xf numFmtId="164" fontId="16" fillId="2" borderId="0" xfId="1" applyNumberFormat="1" applyFont="1" applyFill="1" applyBorder="1" applyAlignment="1" applyProtection="1">
      <alignment horizontal="left" vertical="center"/>
    </xf>
    <xf numFmtId="37" fontId="10" fillId="2" borderId="0" xfId="1" applyNumberFormat="1" applyFont="1" applyFill="1" applyBorder="1" applyAlignment="1" applyProtection="1">
      <alignment horizontal="right" vertical="center"/>
    </xf>
    <xf numFmtId="164" fontId="15" fillId="2" borderId="0" xfId="1" applyNumberFormat="1" applyFont="1" applyFill="1" applyBorder="1" applyAlignment="1">
      <alignment horizontal="right" vertical="center"/>
    </xf>
    <xf numFmtId="164" fontId="11" fillId="2" borderId="1" xfId="1" applyNumberFormat="1" applyFont="1" applyFill="1" applyBorder="1" applyAlignment="1">
      <alignment horizontal="right" vertical="center"/>
    </xf>
  </cellXfs>
  <cellStyles count="5">
    <cellStyle name="Comma 2" xfId="3"/>
    <cellStyle name="Normal" xfId="0" builtinId="0"/>
    <cellStyle name="Normal 2" xfId="1"/>
    <cellStyle name="Normal_IX-6(Trans &amp; Comm)" xfId="4"/>
    <cellStyle name="Normal_IX-9(Trans &amp; Comm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3"/>
  <sheetViews>
    <sheetView tabSelected="1" zoomScaleNormal="100" workbookViewId="0">
      <selection activeCell="D31" sqref="D31"/>
    </sheetView>
  </sheetViews>
  <sheetFormatPr defaultColWidth="9.140625" defaultRowHeight="15"/>
  <cols>
    <col min="1" max="1" width="26.85546875" style="1" bestFit="1" customWidth="1"/>
    <col min="2" max="2" width="14.85546875" style="1" customWidth="1"/>
    <col min="3" max="3" width="12.28515625" style="1" customWidth="1"/>
    <col min="4" max="4" width="13.85546875" style="1" customWidth="1"/>
    <col min="5" max="5" width="15.140625" style="1" customWidth="1"/>
    <col min="6" max="6" width="3" style="1" customWidth="1"/>
    <col min="7" max="7" width="11.28515625" style="1" customWidth="1"/>
    <col min="8" max="8" width="12.85546875" style="1" customWidth="1"/>
    <col min="9" max="9" width="16.7109375" style="1" customWidth="1"/>
    <col min="10" max="10" width="2.7109375" style="1" customWidth="1"/>
    <col min="11" max="12" width="11.42578125" style="1" customWidth="1"/>
    <col min="13" max="13" width="38.85546875" style="1" customWidth="1"/>
    <col min="14" max="14" width="2.7109375" style="1" customWidth="1"/>
    <col min="15" max="17" width="10.140625" style="1" customWidth="1"/>
    <col min="18" max="16384" width="9.140625" style="1"/>
  </cols>
  <sheetData>
    <row r="2" spans="1:13">
      <c r="A2" s="31" t="s">
        <v>34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>
      <c r="A3" s="2" t="s">
        <v>35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s="4" customForma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>
      <c r="A5" s="5"/>
      <c r="B5" s="6"/>
      <c r="C5" s="7" t="s">
        <v>0</v>
      </c>
      <c r="D5" s="8"/>
      <c r="E5" s="53" t="s">
        <v>1</v>
      </c>
      <c r="F5" s="9"/>
      <c r="G5" s="32" t="s">
        <v>2</v>
      </c>
      <c r="H5" s="8"/>
      <c r="I5" s="53" t="s">
        <v>3</v>
      </c>
      <c r="J5" s="9"/>
      <c r="K5" s="7" t="s">
        <v>4</v>
      </c>
      <c r="L5" s="53" t="s">
        <v>5</v>
      </c>
      <c r="M5" s="33"/>
    </row>
    <row r="6" spans="1:13" ht="28.5">
      <c r="A6" s="11" t="s">
        <v>6</v>
      </c>
      <c r="B6" s="12" t="s">
        <v>7</v>
      </c>
      <c r="C6" s="12" t="s">
        <v>8</v>
      </c>
      <c r="D6" s="13" t="s">
        <v>9</v>
      </c>
      <c r="E6" s="12" t="s">
        <v>10</v>
      </c>
      <c r="F6" s="12"/>
      <c r="G6" s="12" t="s">
        <v>11</v>
      </c>
      <c r="H6" s="12" t="s">
        <v>12</v>
      </c>
      <c r="I6" s="14" t="s">
        <v>10</v>
      </c>
      <c r="J6" s="12"/>
      <c r="K6" s="12" t="s">
        <v>11</v>
      </c>
      <c r="L6" s="13" t="s">
        <v>12</v>
      </c>
      <c r="M6" s="15" t="s">
        <v>13</v>
      </c>
    </row>
    <row r="7" spans="1:13">
      <c r="A7" s="16"/>
      <c r="B7" s="10" t="s">
        <v>14</v>
      </c>
      <c r="C7" s="10" t="s">
        <v>15</v>
      </c>
      <c r="D7" s="10" t="s">
        <v>16</v>
      </c>
      <c r="E7" s="10" t="s">
        <v>17</v>
      </c>
      <c r="F7" s="10"/>
      <c r="G7" s="10" t="s">
        <v>15</v>
      </c>
      <c r="H7" s="10" t="s">
        <v>16</v>
      </c>
      <c r="I7" s="10" t="s">
        <v>17</v>
      </c>
      <c r="J7" s="10"/>
      <c r="K7" s="10" t="s">
        <v>15</v>
      </c>
      <c r="L7" s="10" t="s">
        <v>16</v>
      </c>
      <c r="M7" s="17"/>
    </row>
    <row r="8" spans="1:13">
      <c r="A8" s="18" t="s">
        <v>18</v>
      </c>
      <c r="B8" s="19">
        <f>SUM(B9+B14)</f>
        <v>20914</v>
      </c>
      <c r="C8" s="19">
        <f>SUM(C9+C14)</f>
        <v>83719</v>
      </c>
      <c r="D8" s="19">
        <f>SUM(D9+D14)</f>
        <v>83183</v>
      </c>
      <c r="E8" s="19">
        <f>SUM(E9+E14)</f>
        <v>8639</v>
      </c>
      <c r="F8" s="19"/>
      <c r="G8" s="19">
        <f>SUM(G14+G9)</f>
        <v>559447.69999999995</v>
      </c>
      <c r="H8" s="19">
        <f>SUM(H14+H9)</f>
        <v>16129.4</v>
      </c>
      <c r="I8" s="19">
        <f>SUM(I14+I9)</f>
        <v>15814</v>
      </c>
      <c r="J8" s="19"/>
      <c r="K8" s="19">
        <f>SUM(K14+K9)</f>
        <v>29150.2</v>
      </c>
      <c r="L8" s="19">
        <f>SUM(L14+L9)</f>
        <v>963.2</v>
      </c>
      <c r="M8" s="15" t="s">
        <v>19</v>
      </c>
    </row>
    <row r="9" spans="1:13">
      <c r="A9" s="18" t="s">
        <v>20</v>
      </c>
      <c r="B9" s="19">
        <f>SUM(B10+B12+B13)</f>
        <v>512</v>
      </c>
      <c r="C9" s="19">
        <f>SUM(C10+C12+C13)</f>
        <v>15686</v>
      </c>
      <c r="D9" s="19">
        <f>SUM(D10+D12+D13)</f>
        <v>15286</v>
      </c>
      <c r="E9" s="19">
        <f>SUM(E10+E12+E13)</f>
        <v>17</v>
      </c>
      <c r="F9" s="19"/>
      <c r="G9" s="19">
        <f>SUM(G10+G12+G13)</f>
        <v>317199</v>
      </c>
      <c r="H9" s="19">
        <f>SUM(H10+H12+H13)</f>
        <v>1300</v>
      </c>
      <c r="I9" s="19">
        <f>SUM(I10+I12+I13)</f>
        <v>0</v>
      </c>
      <c r="J9" s="19"/>
      <c r="K9" s="19">
        <f>SUM(K10+K12+K13)</f>
        <v>0</v>
      </c>
      <c r="L9" s="19">
        <f>SUM(L10+L12+L13)</f>
        <v>0</v>
      </c>
      <c r="M9" s="15" t="s">
        <v>21</v>
      </c>
    </row>
    <row r="10" spans="1:13">
      <c r="A10" s="18" t="s">
        <v>22</v>
      </c>
      <c r="B10" s="34">
        <f>B11</f>
        <v>306</v>
      </c>
      <c r="C10" s="34">
        <f>C11</f>
        <v>14115</v>
      </c>
      <c r="D10" s="34">
        <f>D11</f>
        <v>13691</v>
      </c>
      <c r="E10" s="34">
        <f>E11</f>
        <v>0</v>
      </c>
      <c r="F10" s="34"/>
      <c r="G10" s="34">
        <f>G11</f>
        <v>281306</v>
      </c>
      <c r="H10" s="34">
        <f>H11</f>
        <v>1300</v>
      </c>
      <c r="I10" s="34">
        <f>I11</f>
        <v>0</v>
      </c>
      <c r="J10" s="34"/>
      <c r="K10" s="34">
        <f>K11</f>
        <v>0</v>
      </c>
      <c r="L10" s="34">
        <f>L11</f>
        <v>0</v>
      </c>
      <c r="M10" s="15" t="s">
        <v>23</v>
      </c>
    </row>
    <row r="11" spans="1:13">
      <c r="A11" s="20" t="s">
        <v>36</v>
      </c>
      <c r="B11" s="35">
        <v>306</v>
      </c>
      <c r="C11" s="35">
        <v>14115</v>
      </c>
      <c r="D11" s="35">
        <v>13691</v>
      </c>
      <c r="E11" s="35">
        <v>0</v>
      </c>
      <c r="F11" s="35"/>
      <c r="G11" s="35">
        <v>281306</v>
      </c>
      <c r="H11" s="35">
        <v>1300</v>
      </c>
      <c r="I11" s="35">
        <v>0</v>
      </c>
      <c r="J11" s="35"/>
      <c r="K11" s="35">
        <v>0</v>
      </c>
      <c r="L11" s="35">
        <v>0</v>
      </c>
      <c r="M11" s="36" t="s">
        <v>37</v>
      </c>
    </row>
    <row r="12" spans="1:13">
      <c r="A12" s="18" t="s">
        <v>24</v>
      </c>
      <c r="B12" s="34">
        <v>0</v>
      </c>
      <c r="C12" s="34">
        <v>0</v>
      </c>
      <c r="D12" s="34">
        <v>0</v>
      </c>
      <c r="E12" s="34">
        <v>0</v>
      </c>
      <c r="F12" s="34"/>
      <c r="G12" s="34">
        <v>0</v>
      </c>
      <c r="H12" s="34">
        <v>0</v>
      </c>
      <c r="I12" s="34">
        <v>0</v>
      </c>
      <c r="J12" s="34"/>
      <c r="K12" s="34">
        <v>0</v>
      </c>
      <c r="L12" s="34">
        <v>0</v>
      </c>
      <c r="M12" s="15" t="s">
        <v>25</v>
      </c>
    </row>
    <row r="13" spans="1:13">
      <c r="A13" s="22" t="s">
        <v>26</v>
      </c>
      <c r="B13" s="34">
        <v>206</v>
      </c>
      <c r="C13" s="34">
        <v>1571</v>
      </c>
      <c r="D13" s="37">
        <v>1595</v>
      </c>
      <c r="E13" s="34">
        <v>17</v>
      </c>
      <c r="F13" s="34"/>
      <c r="G13" s="34">
        <v>35893</v>
      </c>
      <c r="H13" s="34">
        <v>0</v>
      </c>
      <c r="I13" s="34">
        <v>0</v>
      </c>
      <c r="J13" s="34"/>
      <c r="K13" s="34">
        <v>0</v>
      </c>
      <c r="L13" s="34">
        <v>0</v>
      </c>
      <c r="M13" s="23" t="s">
        <v>27</v>
      </c>
    </row>
    <row r="14" spans="1:13">
      <c r="A14" s="22" t="s">
        <v>28</v>
      </c>
      <c r="B14" s="38">
        <f>SUM(B15:B20)</f>
        <v>20402</v>
      </c>
      <c r="C14" s="38">
        <f>SUM(C15:C20)</f>
        <v>68033</v>
      </c>
      <c r="D14" s="38">
        <f>SUM(D15:D20)</f>
        <v>67897</v>
      </c>
      <c r="E14" s="38">
        <f>SUM(E15:E20)</f>
        <v>8622</v>
      </c>
      <c r="F14" s="38"/>
      <c r="G14" s="38">
        <f>SUM(G15:G20)</f>
        <v>242248.7</v>
      </c>
      <c r="H14" s="38">
        <f>SUM(H15:H20)</f>
        <v>14829.4</v>
      </c>
      <c r="I14" s="38">
        <f>SUM(I15:I20)</f>
        <v>15814</v>
      </c>
      <c r="J14" s="38"/>
      <c r="K14" s="38">
        <f>SUM(K15:K20)</f>
        <v>29150.2</v>
      </c>
      <c r="L14" s="38">
        <f>SUM(L15:L20)</f>
        <v>963.2</v>
      </c>
      <c r="M14" s="12" t="s">
        <v>29</v>
      </c>
    </row>
    <row r="15" spans="1:13">
      <c r="A15" s="39" t="s">
        <v>30</v>
      </c>
      <c r="B15" s="40">
        <v>3702</v>
      </c>
      <c r="C15" s="40">
        <v>63826</v>
      </c>
      <c r="D15" s="40">
        <v>63584</v>
      </c>
      <c r="E15" s="40">
        <v>5967</v>
      </c>
      <c r="F15" s="41"/>
      <c r="G15" s="40">
        <v>239259.7</v>
      </c>
      <c r="H15" s="40">
        <v>14784.4</v>
      </c>
      <c r="I15" s="40">
        <v>15744</v>
      </c>
      <c r="J15" s="42"/>
      <c r="K15" s="43">
        <v>29008.2</v>
      </c>
      <c r="L15" s="43">
        <v>960.2</v>
      </c>
      <c r="M15" s="36" t="s">
        <v>31</v>
      </c>
    </row>
    <row r="16" spans="1:13">
      <c r="A16" s="39" t="s">
        <v>38</v>
      </c>
      <c r="B16" s="40">
        <v>80</v>
      </c>
      <c r="C16" s="40">
        <v>438</v>
      </c>
      <c r="D16" s="40">
        <v>478</v>
      </c>
      <c r="E16" s="40">
        <v>284</v>
      </c>
      <c r="F16" s="41"/>
      <c r="G16" s="40">
        <v>2989</v>
      </c>
      <c r="H16" s="40">
        <v>45</v>
      </c>
      <c r="I16" s="40">
        <v>67</v>
      </c>
      <c r="J16" s="42"/>
      <c r="K16" s="43">
        <v>114</v>
      </c>
      <c r="L16" s="43">
        <v>0</v>
      </c>
      <c r="M16" s="36" t="s">
        <v>39</v>
      </c>
    </row>
    <row r="17" spans="1:13">
      <c r="A17" s="39" t="s">
        <v>40</v>
      </c>
      <c r="B17" s="40">
        <v>312</v>
      </c>
      <c r="C17" s="40">
        <v>3662</v>
      </c>
      <c r="D17" s="40">
        <v>3722</v>
      </c>
      <c r="E17" s="40">
        <v>2371</v>
      </c>
      <c r="F17" s="41"/>
      <c r="G17" s="40">
        <v>0</v>
      </c>
      <c r="H17" s="40">
        <v>0</v>
      </c>
      <c r="I17" s="40">
        <v>3</v>
      </c>
      <c r="J17" s="42"/>
      <c r="K17" s="43">
        <v>28</v>
      </c>
      <c r="L17" s="43">
        <v>3</v>
      </c>
      <c r="M17" s="36" t="s">
        <v>41</v>
      </c>
    </row>
    <row r="18" spans="1:13">
      <c r="A18" s="44" t="s">
        <v>42</v>
      </c>
      <c r="B18" s="40">
        <v>4</v>
      </c>
      <c r="C18" s="40">
        <v>64</v>
      </c>
      <c r="D18" s="40">
        <v>80</v>
      </c>
      <c r="E18" s="40">
        <v>0</v>
      </c>
      <c r="F18" s="41"/>
      <c r="G18" s="40">
        <v>0</v>
      </c>
      <c r="H18" s="40">
        <v>0</v>
      </c>
      <c r="I18" s="40">
        <v>0</v>
      </c>
      <c r="J18" s="42"/>
      <c r="K18" s="43">
        <v>0</v>
      </c>
      <c r="L18" s="43">
        <v>0</v>
      </c>
      <c r="M18" s="36" t="s">
        <v>43</v>
      </c>
    </row>
    <row r="19" spans="1:13">
      <c r="A19" s="44" t="s">
        <v>44</v>
      </c>
      <c r="B19" s="40">
        <v>4</v>
      </c>
      <c r="C19" s="40">
        <v>43</v>
      </c>
      <c r="D19" s="40">
        <v>33</v>
      </c>
      <c r="E19" s="40">
        <v>0</v>
      </c>
      <c r="F19" s="41"/>
      <c r="G19" s="40">
        <v>0</v>
      </c>
      <c r="H19" s="40">
        <v>0</v>
      </c>
      <c r="I19" s="40">
        <v>0</v>
      </c>
      <c r="J19" s="42"/>
      <c r="K19" s="43">
        <v>0</v>
      </c>
      <c r="L19" s="43">
        <v>0</v>
      </c>
      <c r="M19" s="36" t="s">
        <v>45</v>
      </c>
    </row>
    <row r="20" spans="1:13" s="29" customFormat="1" ht="14.25">
      <c r="A20" s="45" t="s">
        <v>46</v>
      </c>
      <c r="B20" s="46">
        <v>16300</v>
      </c>
      <c r="C20" s="47">
        <v>0</v>
      </c>
      <c r="D20" s="47">
        <v>0</v>
      </c>
      <c r="E20" s="47">
        <v>0</v>
      </c>
      <c r="F20" s="47"/>
      <c r="G20" s="47">
        <v>0</v>
      </c>
      <c r="H20" s="47">
        <v>0</v>
      </c>
      <c r="I20" s="47">
        <v>0</v>
      </c>
      <c r="J20" s="47"/>
      <c r="K20" s="47">
        <v>0</v>
      </c>
      <c r="L20" s="47">
        <v>0</v>
      </c>
      <c r="M20" s="24" t="s">
        <v>47</v>
      </c>
    </row>
    <row r="21" spans="1:13" s="29" customFormat="1" ht="18.75">
      <c r="A21" s="48" t="s">
        <v>48</v>
      </c>
      <c r="B21" s="4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49" t="s">
        <v>49</v>
      </c>
    </row>
    <row r="22" spans="1:13">
      <c r="A22" s="50" t="s">
        <v>50</v>
      </c>
      <c r="B22" s="50"/>
      <c r="C22" s="50"/>
      <c r="D22" s="50"/>
      <c r="E22" s="50"/>
      <c r="F22" s="50"/>
      <c r="G22" s="50"/>
      <c r="H22" s="51"/>
      <c r="I22" s="51"/>
      <c r="J22" s="51"/>
      <c r="K22" s="51"/>
      <c r="L22" s="51"/>
      <c r="M22" s="52" t="s">
        <v>51</v>
      </c>
    </row>
    <row r="23" spans="1:13" ht="18.75">
      <c r="A23" s="25" t="s">
        <v>32</v>
      </c>
      <c r="B23" s="26"/>
      <c r="C23" s="27"/>
      <c r="D23" s="27"/>
      <c r="E23" s="27"/>
      <c r="F23" s="27"/>
      <c r="G23" s="27"/>
      <c r="H23" s="28"/>
      <c r="I23" s="28"/>
      <c r="J23" s="28"/>
      <c r="K23" s="29"/>
      <c r="L23" s="29"/>
      <c r="M23" s="30" t="s">
        <v>33</v>
      </c>
    </row>
  </sheetData>
  <mergeCells count="3">
    <mergeCell ref="A2:M2"/>
    <mergeCell ref="A3:M3"/>
    <mergeCell ref="A22:G22"/>
  </mergeCells>
  <pageMargins left="0.7" right="0.7" top="0.75" bottom="0.75" header="0.3" footer="0.3"/>
  <pageSetup scale="4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11.12</vt:lpstr>
      <vt:lpstr>'11.12'!Print_Area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dcterms:created xsi:type="dcterms:W3CDTF">2020-10-09T04:02:41Z</dcterms:created>
  <dcterms:modified xsi:type="dcterms:W3CDTF">2020-10-09T04:04:15Z</dcterms:modified>
</cp:coreProperties>
</file>