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/>
  </bookViews>
  <sheets>
    <sheet name="11.10" sheetId="1" r:id="rId1"/>
  </sheets>
  <definedNames>
    <definedName name="_xlnm.Print_Area" localSheetId="0">'11.10'!$A$1:$N$59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9" i="1" l="1"/>
  <c r="L7" i="1" s="1"/>
  <c r="K49" i="1"/>
  <c r="I49" i="1"/>
  <c r="H49" i="1"/>
  <c r="G49" i="1"/>
  <c r="G7" i="1" s="1"/>
  <c r="E49" i="1"/>
  <c r="D49" i="1"/>
  <c r="C49" i="1"/>
  <c r="B49" i="1"/>
  <c r="B7" i="1" s="1"/>
  <c r="L9" i="1"/>
  <c r="K9" i="1"/>
  <c r="I9" i="1"/>
  <c r="H9" i="1"/>
  <c r="H8" i="1" s="1"/>
  <c r="H7" i="1" s="1"/>
  <c r="G9" i="1"/>
  <c r="E9" i="1"/>
  <c r="D9" i="1"/>
  <c r="C9" i="1"/>
  <c r="C8" i="1" s="1"/>
  <c r="C7" i="1" s="1"/>
  <c r="B9" i="1"/>
  <c r="L8" i="1"/>
  <c r="K8" i="1"/>
  <c r="I8" i="1"/>
  <c r="I7" i="1" s="1"/>
  <c r="G8" i="1"/>
  <c r="E8" i="1"/>
  <c r="D8" i="1"/>
  <c r="D7" i="1" s="1"/>
  <c r="B8" i="1"/>
  <c r="K7" i="1"/>
  <c r="E7" i="1"/>
</calcChain>
</file>

<file path=xl/sharedStrings.xml><?xml version="1.0" encoding="utf-8"?>
<sst xmlns="http://schemas.openxmlformats.org/spreadsheetml/2006/main" count="132" uniqueCount="124">
  <si>
    <t>2019 ,cliaem iaWlwdum unulufua iaWncnurwjcniswf irukurutwfurutwd cnurwhwfuTOb egukwtcniawlrwaea ikeaikea cSwrwdnwbegiawv ImWvcqwaclwniawb  : 11.10 ulwvWt</t>
  </si>
  <si>
    <t>Table 11.10 :  AIR TRANSPORT MOVEMENTS AT VELANA INTERNATIONAL AIRPORT BY AIRLINE, CROSS-CLASSIFIED BY PASSENGER, CARGO AND MAIL, 2019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</si>
  <si>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</si>
  <si>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</si>
  <si>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</si>
  <si>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</si>
  <si>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</si>
  <si>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</si>
  <si>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</si>
  <si>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</si>
  <si>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</si>
  <si>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</si>
  <si>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</si>
  <si>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</si>
  <si>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</si>
  <si>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</si>
  <si>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</si>
  <si>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</si>
  <si>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</si>
  <si>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</si>
  <si>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</si>
  <si>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</si>
  <si>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</si>
  <si>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</si>
  <si>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</si>
  <si>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</si>
  <si>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</si>
  <si>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</si>
  <si>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</si>
  <si>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</si>
  <si>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</si>
  <si>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</si>
  <si>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</si>
  <si>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</si>
  <si>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</si>
  <si>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</si>
  <si>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</si>
  <si>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</si>
  <si>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Alitalia</t>
  </si>
  <si>
    <t>އެލިޓާލިއާ</t>
  </si>
  <si>
    <t>HongKong Airways</t>
  </si>
  <si>
    <t>czEvrwaea cgcnokcnoh</t>
  </si>
  <si>
    <t>Condor</t>
  </si>
  <si>
    <t>ODcnok</t>
  </si>
  <si>
    <t>British Airways</t>
  </si>
  <si>
    <t>czEvrwaea cxiTircb</t>
  </si>
  <si>
    <t>Air Asia Thailand</t>
  </si>
  <si>
    <t>rwaea cnWmOa</t>
  </si>
  <si>
    <t>Blue Panoroma</t>
  </si>
  <si>
    <t>ބުލޫ ޕެނޮރާމާ</t>
  </si>
  <si>
    <t>Aeroflot</t>
  </si>
  <si>
    <t>cTolcfOriaea</t>
  </si>
  <si>
    <t>Gulf Air</t>
  </si>
  <si>
    <t>ގަލްފް އެއަރ</t>
  </si>
  <si>
    <t>Oman Air</t>
  </si>
  <si>
    <t xml:space="preserve"> cscviDclOm Wgem</t>
  </si>
  <si>
    <t>Austrian Airlines</t>
  </si>
  <si>
    <t>cscniawlrwaea cnwaircTcsoa</t>
  </si>
  <si>
    <t>Saudi Arabian Airlines</t>
  </si>
  <si>
    <t>ސައުދީ އަރަބިއަން އެއަރލައިންސް</t>
  </si>
  <si>
    <t>Air Italy</t>
  </si>
  <si>
    <t>އެއަރ އިޓަލީ</t>
  </si>
  <si>
    <t>Spice jet</t>
  </si>
  <si>
    <t>ސްޕައިސްޖެޓް</t>
  </si>
  <si>
    <t>Indigo</t>
  </si>
  <si>
    <t xml:space="preserve"> iawlcf WnWaiDirem</t>
  </si>
  <si>
    <t>Bangkok Airways</t>
  </si>
  <si>
    <t>czEvrwaea ckokcneb</t>
  </si>
  <si>
    <t xml:space="preserve">Maldivian </t>
  </si>
  <si>
    <t>މޯލްޑިވިއަން</t>
  </si>
  <si>
    <t>Turkish Airlines</t>
  </si>
  <si>
    <t>ޓޭރކިޝް އެއަރލައިންސް</t>
  </si>
  <si>
    <t>Cathay Pacific</t>
  </si>
  <si>
    <t>ކެތީ ޕެސަފިކް</t>
  </si>
  <si>
    <t>Air Asia</t>
  </si>
  <si>
    <t>އެއަރ އޭޝިޔާ</t>
  </si>
  <si>
    <t>China Southern Airlines</t>
  </si>
  <si>
    <t>cscniawlrwaea cnwdws WniawC</t>
  </si>
  <si>
    <t>Etihad Airways</t>
  </si>
  <si>
    <t>އެއްތިހާދު އެއަރވޭޒް</t>
  </si>
  <si>
    <t>Edelweiss</t>
  </si>
  <si>
    <t>އީޑްލްވައިސް</t>
  </si>
  <si>
    <t>Korean Air</t>
  </si>
  <si>
    <t>ކޮރިއަން އެއަރ</t>
  </si>
  <si>
    <t>Tiger Airways</t>
  </si>
  <si>
    <t>ޓައިގާ އެއރްވޭސް</t>
  </si>
  <si>
    <t xml:space="preserve">Neos </t>
  </si>
  <si>
    <t>ނިއޯސް</t>
  </si>
  <si>
    <t>Beijing Capital Airlines</t>
  </si>
  <si>
    <t>ބެއިޖިންގް ކެޕިޓަލް</t>
  </si>
  <si>
    <t>Silk Air</t>
  </si>
  <si>
    <t>ސިލްކް އެއަރ</t>
  </si>
  <si>
    <t>Go Air</t>
  </si>
  <si>
    <t>ގޯ އެއަރ</t>
  </si>
  <si>
    <t>Air France</t>
  </si>
  <si>
    <t>މަހަން އެއަރލއިންސް</t>
  </si>
  <si>
    <t>Lufthansa</t>
  </si>
  <si>
    <t>ލުފްތަންސާ</t>
  </si>
  <si>
    <t>International Charter</t>
  </si>
  <si>
    <t xml:space="preserve"> cawtuTiawlcf rWTrWC ImWvcqwlwniawb</t>
  </si>
  <si>
    <t>Sichuan Airlines</t>
  </si>
  <si>
    <t>ސިޗުއަން އެއަރލައިންސް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</si>
  <si>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</si>
  <si>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</si>
  <si>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</si>
  <si>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</si>
  <si>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</si>
  <si>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</si>
  <si>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</si>
  <si>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</si>
  <si>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>Manta Air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</si>
  <si>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</si>
  <si>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</si>
  <si>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</si>
  <si>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</si>
  <si>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Manta Air (Sea Planes)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</si>
  <si>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</si>
  <si>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</si>
  <si>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</si>
  <si>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</si>
  <si>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</si>
  <si>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</si>
  <si>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މަންޓާ އެއަރ (ސީޕްލޭން)</t>
  </si>
  <si>
    <t xml:space="preserve">މަންޓާ އެއަރ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</si>
</sst>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28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Faseyha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8"/>
      <name val="A_Faseyha"/>
    </font>
    <font>
      <b/>
      <sz val="9"/>
      <name val="A_Randhoo"/>
    </font>
    <font>
      <sz val="12"/>
      <name val="A_Faseyha"/>
    </font>
    <font>
      <b/>
      <sz val="8"/>
      <name val="A_Randhoo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A_Reethi"/>
    </font>
    <font>
      <sz val="9"/>
      <name val="Aammu HimaThedhu"/>
    </font>
    <font>
      <sz val="9"/>
      <name val="Arial"/>
      <family val="2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2"/>
      <name val="Faruma"/>
    </font>
    <font>
      <sz val="9"/>
      <name val="A_Faseyh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164" fontId="1" fillId="0" borderId="0"/>
    <xf numFmtId="0" fontId="5" fillId="0" borderId="0"/>
    <xf numFmtId="40" fontId="15" fillId="0" borderId="0" applyFont="0" applyFill="0" applyBorder="0" applyAlignment="0" applyProtection="0"/>
    <xf numFmtId="0" fontId="5" fillId="0" borderId="0"/>
  </cellStyleXfs>
  <cellXfs count="97">
    <xf numFmtId="0" fontId="0" fillId="0" borderId="0" xfId="0"/>
    <xf numFmtId="164" fontId="2" fillId="2" borderId="0" xfId="1" applyNumberFormat="1" applyFont="1" applyFill="1" applyAlignment="1">
      <alignment horizontal="center" vertical="center"/>
    </xf>
    <xf numFmtId="164" fontId="0" fillId="2" borderId="0" xfId="0" applyNumberFormat="1" applyFill="1"/>
    <xf numFmtId="164" fontId="3" fillId="2" borderId="0" xfId="1" applyNumberFormat="1" applyFont="1" applyFill="1" applyBorder="1" applyAlignment="1" applyProtection="1">
      <alignment horizontal="center" vertical="center"/>
    </xf>
    <xf numFmtId="164" fontId="3" fillId="2" borderId="1" xfId="1" applyNumberFormat="1" applyFont="1" applyFill="1" applyBorder="1" applyAlignment="1" applyProtection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 vertical="center"/>
    </xf>
    <xf numFmtId="164" fontId="0" fillId="2" borderId="0" xfId="0" applyNumberFormat="1" applyFill="1" applyBorder="1"/>
    <xf numFmtId="164" fontId="4" fillId="2" borderId="0" xfId="1" applyNumberFormat="1" applyFont="1" applyFill="1" applyBorder="1" applyAlignment="1" applyProtection="1">
      <alignment horizontal="left" vertical="center"/>
    </xf>
    <xf numFmtId="0" fontId="6" fillId="2" borderId="0" xfId="2" applyFont="1" applyFill="1" applyAlignment="1">
      <alignment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8" fillId="2" borderId="1" xfId="1" applyNumberFormat="1" applyFont="1" applyFill="1" applyBorder="1" applyAlignment="1">
      <alignment horizontal="right" vertical="center"/>
    </xf>
    <xf numFmtId="164" fontId="9" fillId="2" borderId="1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 applyProtection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left" vertical="center"/>
    </xf>
    <xf numFmtId="164" fontId="9" fillId="2" borderId="0" xfId="1" applyNumberFormat="1" applyFont="1" applyFill="1" applyBorder="1" applyAlignment="1">
      <alignment horizontal="right" vertical="center"/>
    </xf>
    <xf numFmtId="164" fontId="9" fillId="2" borderId="0" xfId="1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right" vertical="center" wrapText="1"/>
    </xf>
    <xf numFmtId="164" fontId="12" fillId="2" borderId="0" xfId="1" applyNumberFormat="1" applyFont="1" applyFill="1" applyBorder="1" applyAlignment="1">
      <alignment horizontal="right" vertical="center"/>
    </xf>
    <xf numFmtId="0" fontId="2" fillId="2" borderId="0" xfId="2" applyFont="1" applyFill="1" applyBorder="1" applyAlignment="1">
      <alignment horizontal="right"/>
    </xf>
    <xf numFmtId="164" fontId="13" fillId="2" borderId="0" xfId="0" applyNumberFormat="1" applyFont="1" applyFill="1"/>
    <xf numFmtId="164" fontId="7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 applyProtection="1">
      <alignment horizontal="right" vertical="center"/>
    </xf>
    <xf numFmtId="0" fontId="2" fillId="2" borderId="1" xfId="2" applyFont="1" applyFill="1" applyBorder="1" applyAlignment="1"/>
    <xf numFmtId="164" fontId="14" fillId="2" borderId="0" xfId="1" applyNumberFormat="1" applyFont="1" applyFill="1" applyBorder="1" applyAlignment="1">
      <alignment vertical="center"/>
    </xf>
    <xf numFmtId="38" fontId="14" fillId="2" borderId="0" xfId="3" applyNumberFormat="1" applyFont="1" applyFill="1" applyBorder="1" applyAlignment="1">
      <alignment horizontal="right" vertical="center" wrapText="1"/>
    </xf>
    <xf numFmtId="0" fontId="2" fillId="2" borderId="0" xfId="2" applyFont="1" applyFill="1" applyAlignment="1">
      <alignment horizontal="right"/>
    </xf>
    <xf numFmtId="38" fontId="14" fillId="2" borderId="0" xfId="3" applyNumberFormat="1" applyFont="1" applyFill="1" applyBorder="1" applyAlignment="1">
      <alignment horizontal="right" vertical="top" wrapText="1"/>
    </xf>
    <xf numFmtId="164" fontId="14" fillId="2" borderId="0" xfId="1" applyNumberFormat="1" applyFont="1" applyFill="1" applyAlignment="1" applyProtection="1">
      <alignment horizontal="left" vertical="center"/>
    </xf>
    <xf numFmtId="38" fontId="14" fillId="2" borderId="2" xfId="3" applyNumberFormat="1" applyFont="1" applyFill="1" applyBorder="1" applyAlignment="1" applyProtection="1">
      <alignment horizontal="right" vertical="center" wrapText="1"/>
    </xf>
    <xf numFmtId="0" fontId="2" fillId="2" borderId="0" xfId="2" applyFont="1" applyFill="1" applyAlignment="1">
      <alignment horizontal="right" wrapText="1"/>
    </xf>
    <xf numFmtId="164" fontId="16" fillId="2" borderId="0" xfId="0" applyNumberFormat="1" applyFont="1" applyFill="1" applyAlignment="1" applyProtection="1">
      <alignment horizontal="left" vertical="center"/>
    </xf>
    <xf numFmtId="38" fontId="16" fillId="2" borderId="2" xfId="3" applyNumberFormat="1" applyFont="1" applyFill="1" applyBorder="1" applyAlignment="1">
      <alignment horizontal="right" vertical="center" wrapText="1"/>
    </xf>
    <xf numFmtId="38" fontId="16" fillId="2" borderId="2" xfId="3" applyNumberFormat="1" applyFont="1" applyFill="1" applyBorder="1" applyAlignment="1">
      <alignment horizontal="right" vertical="center"/>
    </xf>
    <xf numFmtId="0" fontId="11" fillId="2" borderId="0" xfId="2" applyFont="1" applyFill="1" applyAlignment="1">
      <alignment horizontal="right"/>
    </xf>
    <xf numFmtId="38" fontId="16" fillId="2" borderId="2" xfId="3" applyNumberFormat="1" applyFont="1" applyFill="1" applyBorder="1" applyAlignment="1" applyProtection="1">
      <alignment horizontal="right" vertical="center" wrapText="1"/>
    </xf>
    <xf numFmtId="38" fontId="16" fillId="2" borderId="2" xfId="3" applyNumberFormat="1" applyFont="1" applyFill="1" applyBorder="1" applyAlignment="1" applyProtection="1">
      <alignment horizontal="right" vertical="center"/>
    </xf>
    <xf numFmtId="0" fontId="11" fillId="2" borderId="0" xfId="2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 applyAlignment="1">
      <alignment horizontal="left" vertical="center"/>
    </xf>
    <xf numFmtId="0" fontId="17" fillId="2" borderId="0" xfId="0" applyNumberFormat="1" applyFont="1" applyFill="1" applyAlignment="1">
      <alignment horizontal="right"/>
    </xf>
    <xf numFmtId="164" fontId="16" fillId="2" borderId="0" xfId="1" applyNumberFormat="1" applyFont="1" applyFill="1" applyAlignment="1" applyProtection="1">
      <alignment horizontal="left" vertical="center"/>
    </xf>
    <xf numFmtId="0" fontId="18" fillId="2" borderId="0" xfId="0" applyNumberFormat="1" applyFont="1" applyFill="1" applyAlignment="1">
      <alignment horizontal="right"/>
    </xf>
    <xf numFmtId="164" fontId="16" fillId="2" borderId="0" xfId="0" applyNumberFormat="1" applyFont="1" applyFill="1" applyAlignment="1" applyProtection="1">
      <alignment vertical="center"/>
    </xf>
    <xf numFmtId="0" fontId="11" fillId="2" borderId="0" xfId="0" applyNumberFormat="1" applyFont="1" applyFill="1" applyAlignment="1">
      <alignment horizontal="right" vertical="center"/>
    </xf>
    <xf numFmtId="0" fontId="17" fillId="2" borderId="0" xfId="0" applyNumberFormat="1" applyFont="1" applyFill="1" applyAlignment="1">
      <alignment horizontal="right" vertical="center"/>
    </xf>
    <xf numFmtId="164" fontId="16" fillId="2" borderId="0" xfId="1" applyNumberFormat="1" applyFont="1" applyFill="1" applyAlignment="1" applyProtection="1">
      <alignment vertical="center"/>
    </xf>
    <xf numFmtId="38" fontId="16" fillId="2" borderId="3" xfId="3" applyNumberFormat="1" applyFont="1" applyFill="1" applyBorder="1" applyAlignment="1">
      <alignment horizontal="right" vertical="center"/>
    </xf>
    <xf numFmtId="38" fontId="16" fillId="2" borderId="3" xfId="3" applyNumberFormat="1" applyFont="1" applyFill="1" applyBorder="1" applyAlignment="1">
      <alignment horizontal="right" vertical="center" wrapText="1"/>
    </xf>
    <xf numFmtId="164" fontId="14" fillId="2" borderId="0" xfId="1" applyNumberFormat="1" applyFont="1" applyFill="1" applyBorder="1" applyAlignment="1" applyProtection="1">
      <alignment horizontal="left" vertical="center"/>
    </xf>
    <xf numFmtId="38" fontId="14" fillId="2" borderId="0" xfId="3" applyNumberFormat="1" applyFont="1" applyFill="1" applyBorder="1" applyAlignment="1" applyProtection="1">
      <alignment horizontal="right" vertical="center"/>
    </xf>
    <xf numFmtId="164" fontId="16" fillId="2" borderId="0" xfId="1" applyNumberFormat="1" applyFont="1" applyFill="1" applyBorder="1" applyAlignment="1" applyProtection="1">
      <alignment horizontal="left" vertical="center"/>
    </xf>
    <xf numFmtId="38" fontId="16" fillId="2" borderId="0" xfId="3" applyNumberFormat="1" applyFont="1" applyFill="1" applyBorder="1" applyAlignment="1" applyProtection="1">
      <alignment horizontal="right" vertical="center"/>
    </xf>
    <xf numFmtId="0" fontId="17" fillId="2" borderId="0" xfId="2" applyFont="1" applyFill="1" applyBorder="1" applyAlignment="1">
      <alignment horizontal="right"/>
    </xf>
    <xf numFmtId="38" fontId="14" fillId="2" borderId="0" xfId="3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 applyProtection="1">
      <alignment horizontal="right"/>
    </xf>
    <xf numFmtId="164" fontId="2" fillId="2" borderId="0" xfId="1" applyNumberFormat="1" applyFont="1" applyFill="1" applyBorder="1" applyAlignment="1">
      <alignment horizontal="right"/>
    </xf>
    <xf numFmtId="164" fontId="16" fillId="2" borderId="4" xfId="0" applyNumberFormat="1" applyFont="1" applyFill="1" applyBorder="1" applyAlignment="1" applyProtection="1">
      <alignment horizontal="left" vertical="center" indent="1"/>
    </xf>
    <xf numFmtId="38" fontId="16" fillId="2" borderId="4" xfId="3" applyNumberFormat="1" applyFont="1" applyFill="1" applyBorder="1" applyAlignment="1">
      <alignment horizontal="right" vertical="center"/>
    </xf>
    <xf numFmtId="38" fontId="16" fillId="2" borderId="4" xfId="3" applyNumberFormat="1" applyFont="1" applyFill="1" applyBorder="1" applyAlignment="1">
      <alignment horizontal="right" vertical="center" wrapText="1"/>
    </xf>
    <xf numFmtId="0" fontId="11" fillId="2" borderId="5" xfId="2" applyFont="1" applyFill="1" applyBorder="1" applyAlignment="1">
      <alignment horizontal="right"/>
    </xf>
    <xf numFmtId="164" fontId="16" fillId="2" borderId="2" xfId="0" applyNumberFormat="1" applyFont="1" applyFill="1" applyBorder="1" applyAlignment="1" applyProtection="1">
      <alignment horizontal="left" vertical="center" indent="1"/>
    </xf>
    <xf numFmtId="38" fontId="16" fillId="2" borderId="2" xfId="3" applyNumberFormat="1" applyFont="1" applyFill="1" applyBorder="1" applyAlignment="1" applyProtection="1">
      <alignment horizontal="left" vertical="center" indent="1"/>
    </xf>
    <xf numFmtId="38" fontId="11" fillId="2" borderId="6" xfId="3" applyNumberFormat="1" applyFont="1" applyFill="1" applyBorder="1" applyAlignment="1">
      <alignment horizontal="right"/>
    </xf>
    <xf numFmtId="164" fontId="16" fillId="2" borderId="3" xfId="0" applyNumberFormat="1" applyFont="1" applyFill="1" applyBorder="1" applyAlignment="1" applyProtection="1">
      <alignment horizontal="left" vertical="center" indent="1"/>
    </xf>
    <xf numFmtId="38" fontId="16" fillId="2" borderId="8" xfId="3" applyNumberFormat="1" applyFont="1" applyFill="1" applyBorder="1" applyAlignment="1" applyProtection="1">
      <alignment horizontal="left" vertical="center" indent="1"/>
    </xf>
    <xf numFmtId="38" fontId="16" fillId="2" borderId="8" xfId="3" applyNumberFormat="1" applyFont="1" applyFill="1" applyBorder="1" applyAlignment="1" applyProtection="1">
      <alignment horizontal="right" vertical="center" wrapText="1"/>
      <protection locked="0"/>
    </xf>
    <xf numFmtId="38" fontId="16" fillId="2" borderId="8" xfId="3" applyNumberFormat="1" applyFont="1" applyFill="1" applyBorder="1" applyAlignment="1" applyProtection="1">
      <alignment horizontal="right" vertical="center"/>
    </xf>
    <xf numFmtId="38" fontId="16" fillId="2" borderId="8" xfId="3" applyNumberFormat="1" applyFont="1" applyFill="1" applyBorder="1" applyAlignment="1" applyProtection="1">
      <alignment horizontal="right" vertical="center" wrapText="1"/>
    </xf>
    <xf numFmtId="38" fontId="11" fillId="2" borderId="9" xfId="3" applyNumberFormat="1" applyFont="1" applyFill="1" applyBorder="1" applyAlignment="1">
      <alignment horizontal="right"/>
    </xf>
    <xf numFmtId="38" fontId="19" fillId="2" borderId="0" xfId="3" applyNumberFormat="1" applyFont="1" applyFill="1" applyAlignment="1">
      <alignment vertical="center"/>
    </xf>
    <xf numFmtId="38" fontId="20" fillId="2" borderId="0" xfId="3" applyNumberFormat="1" applyFont="1" applyFill="1" applyAlignment="1">
      <alignment vertical="center"/>
    </xf>
    <xf numFmtId="38" fontId="21" fillId="2" borderId="0" xfId="3" applyNumberFormat="1" applyFont="1" applyFill="1"/>
    <xf numFmtId="164" fontId="22" fillId="2" borderId="0" xfId="1" applyNumberFormat="1" applyFont="1" applyFill="1" applyBorder="1" applyAlignment="1" applyProtection="1">
      <alignment horizontal="left" vertical="center"/>
    </xf>
    <xf numFmtId="164" fontId="23" fillId="2" borderId="0" xfId="1" applyNumberFormat="1" applyFont="1" applyFill="1" applyBorder="1" applyAlignment="1" applyProtection="1">
      <alignment horizontal="right" vertical="center"/>
    </xf>
    <xf numFmtId="37" fontId="23" fillId="2" borderId="0" xfId="1" applyNumberFormat="1" applyFont="1" applyFill="1" applyBorder="1" applyAlignment="1" applyProtection="1">
      <alignment horizontal="right" vertical="center"/>
    </xf>
    <xf numFmtId="37" fontId="20" fillId="2" borderId="0" xfId="1" applyNumberFormat="1" applyFont="1" applyFill="1" applyBorder="1" applyAlignment="1" applyProtection="1">
      <alignment horizontal="right" vertical="center"/>
    </xf>
    <xf numFmtId="37" fontId="24" fillId="2" borderId="0" xfId="1" applyNumberFormat="1" applyFont="1" applyFill="1" applyBorder="1" applyAlignment="1" applyProtection="1">
      <alignment horizontal="right" vertical="center"/>
    </xf>
    <xf numFmtId="0" fontId="24" fillId="2" borderId="0" xfId="2" applyFont="1" applyFill="1" applyAlignment="1">
      <alignment vertical="center"/>
    </xf>
    <xf numFmtId="164" fontId="22" fillId="2" borderId="0" xfId="1" applyNumberFormat="1" applyFont="1" applyFill="1" applyAlignment="1" applyProtection="1">
      <alignment horizontal="left" vertical="center"/>
    </xf>
    <xf numFmtId="37" fontId="23" fillId="2" borderId="0" xfId="1" applyNumberFormat="1" applyFont="1" applyFill="1" applyAlignment="1" applyProtection="1">
      <alignment vertical="center"/>
    </xf>
    <xf numFmtId="37" fontId="20" fillId="2" borderId="0" xfId="1" applyNumberFormat="1" applyFont="1" applyFill="1" applyAlignment="1" applyProtection="1">
      <alignment vertical="center"/>
    </xf>
    <xf numFmtId="0" fontId="24" fillId="2" borderId="0" xfId="4" applyFont="1" applyFill="1" applyAlignment="1">
      <alignment vertical="center"/>
    </xf>
    <xf numFmtId="164" fontId="20" fillId="2" borderId="0" xfId="1" applyNumberFormat="1" applyFont="1" applyFill="1" applyAlignment="1">
      <alignment vertical="center"/>
    </xf>
    <xf numFmtId="164" fontId="20" fillId="2" borderId="0" xfId="1" applyNumberFormat="1" applyFont="1" applyFill="1" applyBorder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0" applyNumberFormat="1" applyFont="1" applyFill="1"/>
    <xf numFmtId="0" fontId="25" fillId="2" borderId="7" xfId="2" applyFont="1" applyFill="1" applyBorder="1" applyAlignment="1">
      <alignment horizontal="right"/>
    </xf>
    <xf numFmtId="0" fontId="25" fillId="2" borderId="6" xfId="2" applyFont="1" applyFill="1" applyBorder="1" applyAlignment="1">
      <alignment horizontal="right"/>
    </xf>
    <xf numFmtId="0" fontId="25" fillId="2" borderId="0" xfId="2" applyFont="1" applyFill="1" applyAlignment="1">
      <alignment horizontal="right"/>
    </xf>
    <xf numFmtId="0" fontId="25" fillId="2" borderId="0" xfId="0" applyNumberFormat="1" applyFont="1" applyFill="1" applyAlignment="1">
      <alignment horizontal="right" vertical="center"/>
    </xf>
    <xf numFmtId="0" fontId="25" fillId="2" borderId="0" xfId="0" applyNumberFormat="1" applyFont="1" applyFill="1" applyAlignment="1">
      <alignment horizontal="right"/>
    </xf>
    <xf numFmtId="0" fontId="25" fillId="2" borderId="0" xfId="2" applyFont="1" applyFill="1" applyBorder="1" applyAlignment="1">
      <alignment horizontal="right"/>
    </xf>
    <xf numFmtId="164" fontId="26" fillId="2" borderId="0" xfId="1" applyNumberFormat="1" applyFont="1" applyFill="1" applyBorder="1" applyAlignment="1">
      <alignment horizontal="right"/>
    </xf>
    <xf numFmtId="0" fontId="27" fillId="2" borderId="7" xfId="2" applyFont="1" applyFill="1" applyBorder="1" applyAlignment="1">
      <alignment horizontal="right" vertical="center"/>
    </xf>
  </cellXfs>
  <cellStyles count="5">
    <cellStyle name="Comma 2" xfId="3"/>
    <cellStyle name="Normal" xfId="0" builtinId="0"/>
    <cellStyle name="Normal 2" xfId="1"/>
    <cellStyle name="Normal_IX-6(Trans &amp; Comm)" xfId="4"/>
    <cellStyle name="Normal_IX-9(Trans &amp; Comm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8"/>
  <sheetViews>
    <sheetView tabSelected="1" zoomScaleNormal="100" workbookViewId="0">
      <selection activeCell="I10" sqref="I10"/>
    </sheetView>
  </sheetViews>
  <sheetFormatPr defaultColWidth="9.140625" defaultRowHeight="18.75"/>
  <cols>
    <col min="1" max="1" width="23.5703125" style="2" customWidth="1"/>
    <col min="2" max="2" width="12.7109375" style="2" customWidth="1"/>
    <col min="3" max="4" width="11.85546875" style="2" customWidth="1"/>
    <col min="5" max="5" width="14.85546875" style="2" customWidth="1"/>
    <col min="6" max="6" width="1.85546875" style="2" customWidth="1"/>
    <col min="7" max="8" width="12.42578125" style="2" customWidth="1"/>
    <col min="9" max="9" width="18" style="2" customWidth="1"/>
    <col min="10" max="10" width="3" style="2" customWidth="1"/>
    <col min="11" max="12" width="11.5703125" style="2" customWidth="1"/>
    <col min="13" max="13" width="39.7109375" style="88" customWidth="1"/>
    <col min="14" max="14" width="2.28515625" style="2" customWidth="1"/>
    <col min="15" max="15" width="18.140625" style="2" bestFit="1" customWidth="1"/>
    <col min="16" max="16384" width="9.140625" style="2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.7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s="6" customFormat="1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5">
      <c r="A4" s="7"/>
      <c r="B4" s="8"/>
      <c r="C4" s="9" t="s">
        <v>2</v>
      </c>
      <c r="D4" s="10"/>
      <c r="E4" s="11" t="s">
        <v>3</v>
      </c>
      <c r="F4" s="12"/>
      <c r="G4" s="9" t="s">
        <v>4</v>
      </c>
      <c r="H4" s="10"/>
      <c r="I4" s="11" t="s">
        <v>5</v>
      </c>
      <c r="J4" s="12"/>
      <c r="K4" s="13" t="s">
        <v>6</v>
      </c>
      <c r="L4" s="14" t="s">
        <v>7</v>
      </c>
      <c r="M4" s="15"/>
    </row>
    <row r="5" spans="1:15" ht="27">
      <c r="A5" s="16" t="s">
        <v>8</v>
      </c>
      <c r="B5" s="17" t="s">
        <v>9</v>
      </c>
      <c r="C5" s="17" t="s">
        <v>10</v>
      </c>
      <c r="D5" s="18" t="s">
        <v>11</v>
      </c>
      <c r="E5" s="19" t="s">
        <v>12</v>
      </c>
      <c r="F5" s="20"/>
      <c r="G5" s="17" t="s">
        <v>13</v>
      </c>
      <c r="H5" s="17" t="s">
        <v>14</v>
      </c>
      <c r="I5" s="17" t="s">
        <v>12</v>
      </c>
      <c r="J5" s="20"/>
      <c r="K5" s="17" t="s">
        <v>13</v>
      </c>
      <c r="L5" s="18" t="s">
        <v>14</v>
      </c>
      <c r="M5" s="21" t="s">
        <v>15</v>
      </c>
      <c r="O5" s="22"/>
    </row>
    <row r="6" spans="1:15">
      <c r="A6" s="23"/>
      <c r="B6" s="24" t="s">
        <v>16</v>
      </c>
      <c r="C6" s="24" t="s">
        <v>17</v>
      </c>
      <c r="D6" s="24" t="s">
        <v>18</v>
      </c>
      <c r="E6" s="24" t="s">
        <v>19</v>
      </c>
      <c r="F6" s="24"/>
      <c r="G6" s="24" t="s">
        <v>17</v>
      </c>
      <c r="H6" s="24" t="s">
        <v>18</v>
      </c>
      <c r="I6" s="24" t="s">
        <v>19</v>
      </c>
      <c r="J6" s="24"/>
      <c r="K6" s="24" t="s">
        <v>17</v>
      </c>
      <c r="L6" s="24" t="s">
        <v>18</v>
      </c>
      <c r="M6" s="25"/>
    </row>
    <row r="7" spans="1:15">
      <c r="A7" s="26" t="s">
        <v>20</v>
      </c>
      <c r="B7" s="27">
        <f>SUM(B8+B49)</f>
        <v>180780</v>
      </c>
      <c r="C7" s="27">
        <f>SUM(C8+C49)</f>
        <v>3208846</v>
      </c>
      <c r="D7" s="27">
        <f>SUM(D8+D49)</f>
        <v>3221514</v>
      </c>
      <c r="E7" s="27">
        <f>SUM(E8+E49)</f>
        <v>138705</v>
      </c>
      <c r="F7" s="27"/>
      <c r="G7" s="27">
        <f>SUM(G8+G49)</f>
        <v>55209215.333999984</v>
      </c>
      <c r="H7" s="27">
        <f>SUM(H8+H49)</f>
        <v>13688680.719999999</v>
      </c>
      <c r="I7" s="27">
        <f>SUM(I8+I49)</f>
        <v>14231182.139999999</v>
      </c>
      <c r="J7" s="27"/>
      <c r="K7" s="27">
        <f>SUM(K8+K49)</f>
        <v>532527.56999999995</v>
      </c>
      <c r="L7" s="27">
        <f>SUM(L8+L49)</f>
        <v>355733.88</v>
      </c>
      <c r="M7" s="28" t="s">
        <v>21</v>
      </c>
    </row>
    <row r="8" spans="1:15">
      <c r="A8" s="26" t="s">
        <v>22</v>
      </c>
      <c r="B8" s="29">
        <f>SUM(B9+B46+B48)</f>
        <v>27560</v>
      </c>
      <c r="C8" s="27">
        <f>SUM(C9+C46+C48)</f>
        <v>2022398</v>
      </c>
      <c r="D8" s="27">
        <f>SUM(D9+D46+D48)</f>
        <v>2022864</v>
      </c>
      <c r="E8" s="27">
        <f>SUM(E9+E46+E48)</f>
        <v>138599</v>
      </c>
      <c r="F8" s="27"/>
      <c r="G8" s="27">
        <f>SUM(G9+G46+G48)</f>
        <v>54993026.453999981</v>
      </c>
      <c r="H8" s="27">
        <f>SUM(H9+H46+H48)</f>
        <v>13187746.249999998</v>
      </c>
      <c r="I8" s="27">
        <f>SUM(I9+I46+I48)</f>
        <v>14107094.409999998</v>
      </c>
      <c r="J8" s="27"/>
      <c r="K8" s="27">
        <f>SUM(K9+K46+K48)</f>
        <v>529979.97</v>
      </c>
      <c r="L8" s="27">
        <f>SUM(L9+L46+L48)</f>
        <v>295238.52</v>
      </c>
      <c r="M8" s="28" t="s">
        <v>23</v>
      </c>
    </row>
    <row r="9" spans="1:15" ht="37.5">
      <c r="A9" s="30" t="s">
        <v>24</v>
      </c>
      <c r="B9" s="31">
        <f>SUM(B10:B45)</f>
        <v>25598</v>
      </c>
      <c r="C9" s="31">
        <f>SUM(C10:C45)</f>
        <v>2021093</v>
      </c>
      <c r="D9" s="31">
        <f>SUM(D10:D45)</f>
        <v>2017819</v>
      </c>
      <c r="E9" s="31">
        <f>SUM(E10:E45)</f>
        <v>138443</v>
      </c>
      <c r="F9" s="31"/>
      <c r="G9" s="31">
        <f>SUM(G10:G45)</f>
        <v>54993026.453999981</v>
      </c>
      <c r="H9" s="31">
        <f>SUM(H10:H45)</f>
        <v>13187746.249999998</v>
      </c>
      <c r="I9" s="31">
        <f>SUM(I10:I45)</f>
        <v>14107094.409999998</v>
      </c>
      <c r="J9" s="31"/>
      <c r="K9" s="31">
        <f>SUM(K10:K45)</f>
        <v>529979.97</v>
      </c>
      <c r="L9" s="31">
        <f>SUM(L10:L45)</f>
        <v>295238.52</v>
      </c>
      <c r="M9" s="32" t="s">
        <v>25</v>
      </c>
    </row>
    <row r="10" spans="1:15">
      <c r="A10" s="33" t="s">
        <v>26</v>
      </c>
      <c r="B10" s="34">
        <v>2302</v>
      </c>
      <c r="C10" s="34">
        <v>251377</v>
      </c>
      <c r="D10" s="34">
        <v>225035</v>
      </c>
      <c r="E10" s="34">
        <v>7483</v>
      </c>
      <c r="F10" s="35"/>
      <c r="G10" s="34">
        <v>11601537.830000002</v>
      </c>
      <c r="H10" s="35">
        <v>2336442.6</v>
      </c>
      <c r="I10" s="34">
        <v>3496312.62</v>
      </c>
      <c r="J10" s="35"/>
      <c r="K10" s="34">
        <v>61669.000000000007</v>
      </c>
      <c r="L10" s="34">
        <v>588.5</v>
      </c>
      <c r="M10" s="36" t="s">
        <v>27</v>
      </c>
    </row>
    <row r="11" spans="1:15">
      <c r="A11" s="33" t="s">
        <v>28</v>
      </c>
      <c r="B11" s="34">
        <v>734</v>
      </c>
      <c r="C11" s="34">
        <v>83901</v>
      </c>
      <c r="D11" s="34">
        <v>96239</v>
      </c>
      <c r="E11" s="37">
        <v>0</v>
      </c>
      <c r="F11" s="38"/>
      <c r="G11" s="34">
        <v>4447346.2</v>
      </c>
      <c r="H11" s="34">
        <v>1100593.5999999999</v>
      </c>
      <c r="I11" s="34">
        <v>6155.8</v>
      </c>
      <c r="J11" s="38"/>
      <c r="K11" s="34">
        <v>98778.489999999991</v>
      </c>
      <c r="L11" s="34">
        <v>5063.2</v>
      </c>
      <c r="M11" s="36" t="s">
        <v>29</v>
      </c>
    </row>
    <row r="12" spans="1:15">
      <c r="A12" s="33" t="s">
        <v>30</v>
      </c>
      <c r="B12" s="34">
        <v>3202</v>
      </c>
      <c r="C12" s="34">
        <v>358289</v>
      </c>
      <c r="D12" s="34">
        <v>359237</v>
      </c>
      <c r="E12" s="34">
        <v>38899</v>
      </c>
      <c r="F12" s="38"/>
      <c r="G12" s="34">
        <v>18285044.66</v>
      </c>
      <c r="H12" s="34">
        <v>2629523.41</v>
      </c>
      <c r="I12" s="34">
        <v>3326323.75</v>
      </c>
      <c r="J12" s="38"/>
      <c r="K12" s="34">
        <v>6974.4600000000009</v>
      </c>
      <c r="L12" s="34">
        <v>240725.41999999998</v>
      </c>
      <c r="M12" s="36" t="s">
        <v>31</v>
      </c>
    </row>
    <row r="13" spans="1:15">
      <c r="A13" s="33" t="s">
        <v>32</v>
      </c>
      <c r="B13" s="34">
        <v>1332</v>
      </c>
      <c r="C13" s="34">
        <v>67031</v>
      </c>
      <c r="D13" s="34">
        <v>68418</v>
      </c>
      <c r="E13" s="34">
        <v>0</v>
      </c>
      <c r="F13" s="38"/>
      <c r="G13" s="34">
        <v>2189595.1999999997</v>
      </c>
      <c r="H13" s="34">
        <v>11353.08</v>
      </c>
      <c r="I13" s="37">
        <v>975.4</v>
      </c>
      <c r="J13" s="38"/>
      <c r="K13" s="37">
        <v>933.99999999999989</v>
      </c>
      <c r="L13" s="34">
        <v>284.10000000000002</v>
      </c>
      <c r="M13" s="36" t="s">
        <v>33</v>
      </c>
    </row>
    <row r="14" spans="1:15">
      <c r="A14" s="33" t="s">
        <v>34</v>
      </c>
      <c r="B14" s="34">
        <v>1990</v>
      </c>
      <c r="C14" s="34">
        <v>165987</v>
      </c>
      <c r="D14" s="34">
        <v>176053</v>
      </c>
      <c r="E14" s="37">
        <v>0</v>
      </c>
      <c r="F14" s="38"/>
      <c r="G14" s="34">
        <v>2189162.9099999997</v>
      </c>
      <c r="H14" s="34">
        <v>2408468.7999999998</v>
      </c>
      <c r="I14" s="34">
        <v>204591.1</v>
      </c>
      <c r="J14" s="38"/>
      <c r="K14" s="34">
        <v>6068.9</v>
      </c>
      <c r="L14" s="34">
        <v>1660.5000000000002</v>
      </c>
      <c r="M14" s="36" t="s">
        <v>35</v>
      </c>
    </row>
    <row r="15" spans="1:15">
      <c r="A15" s="33" t="s">
        <v>36</v>
      </c>
      <c r="B15" s="34">
        <v>790</v>
      </c>
      <c r="C15" s="34">
        <v>62848</v>
      </c>
      <c r="D15" s="34">
        <v>63960</v>
      </c>
      <c r="E15" s="34">
        <v>69</v>
      </c>
      <c r="F15" s="35"/>
      <c r="G15" s="34">
        <v>1284016.6000000001</v>
      </c>
      <c r="H15" s="34">
        <v>300</v>
      </c>
      <c r="I15" s="34">
        <v>977125</v>
      </c>
      <c r="J15" s="35"/>
      <c r="K15" s="34">
        <v>0</v>
      </c>
      <c r="L15" s="34">
        <v>46.9</v>
      </c>
      <c r="M15" s="36" t="s">
        <v>37</v>
      </c>
    </row>
    <row r="16" spans="1:15" ht="21.75">
      <c r="A16" s="33" t="s">
        <v>38</v>
      </c>
      <c r="B16" s="34">
        <v>292</v>
      </c>
      <c r="C16" s="34">
        <v>30501</v>
      </c>
      <c r="D16" s="34">
        <v>29833</v>
      </c>
      <c r="E16" s="34">
        <v>0</v>
      </c>
      <c r="F16" s="35"/>
      <c r="G16" s="34">
        <v>12646.69</v>
      </c>
      <c r="H16" s="34">
        <v>0</v>
      </c>
      <c r="I16" s="34">
        <v>0</v>
      </c>
      <c r="J16" s="35"/>
      <c r="K16" s="34">
        <v>0</v>
      </c>
      <c r="L16" s="34">
        <v>0</v>
      </c>
      <c r="M16" s="91" t="s">
        <v>39</v>
      </c>
    </row>
    <row r="17" spans="1:15">
      <c r="A17" s="33" t="s">
        <v>40</v>
      </c>
      <c r="B17" s="34">
        <v>314</v>
      </c>
      <c r="C17" s="34">
        <v>31538</v>
      </c>
      <c r="D17" s="34">
        <v>33221</v>
      </c>
      <c r="E17" s="34">
        <v>0</v>
      </c>
      <c r="F17" s="35"/>
      <c r="G17" s="34">
        <v>153727.1</v>
      </c>
      <c r="H17" s="34">
        <v>547698</v>
      </c>
      <c r="I17" s="34">
        <v>1127735.3</v>
      </c>
      <c r="J17" s="35"/>
      <c r="K17" s="34">
        <v>85496.699999999983</v>
      </c>
      <c r="L17" s="34">
        <v>0</v>
      </c>
      <c r="M17" s="39" t="s">
        <v>41</v>
      </c>
    </row>
    <row r="18" spans="1:15">
      <c r="A18" s="33" t="s">
        <v>42</v>
      </c>
      <c r="B18" s="34">
        <v>174</v>
      </c>
      <c r="C18" s="34">
        <v>19522</v>
      </c>
      <c r="D18" s="34">
        <v>19393</v>
      </c>
      <c r="E18" s="34">
        <v>0</v>
      </c>
      <c r="F18" s="35"/>
      <c r="G18" s="34">
        <v>131335.1</v>
      </c>
      <c r="H18" s="34">
        <v>43849.2</v>
      </c>
      <c r="I18" s="34">
        <v>153355.30000000002</v>
      </c>
      <c r="J18" s="35"/>
      <c r="K18" s="34">
        <v>25.5</v>
      </c>
      <c r="L18" s="34">
        <v>0</v>
      </c>
      <c r="M18" s="36" t="s">
        <v>43</v>
      </c>
    </row>
    <row r="19" spans="1:15">
      <c r="A19" s="33" t="s">
        <v>44</v>
      </c>
      <c r="B19" s="34">
        <v>130</v>
      </c>
      <c r="C19" s="34">
        <v>15841</v>
      </c>
      <c r="D19" s="34">
        <v>16213</v>
      </c>
      <c r="E19" s="34">
        <v>0</v>
      </c>
      <c r="F19" s="35"/>
      <c r="G19" s="34">
        <v>52499.5</v>
      </c>
      <c r="H19" s="34">
        <v>39007.5</v>
      </c>
      <c r="I19" s="34">
        <v>733354.7</v>
      </c>
      <c r="J19" s="35"/>
      <c r="K19" s="34">
        <v>34.4</v>
      </c>
      <c r="L19" s="34">
        <v>0</v>
      </c>
      <c r="M19" s="39" t="s">
        <v>45</v>
      </c>
    </row>
    <row r="20" spans="1:15">
      <c r="A20" s="33" t="s">
        <v>46</v>
      </c>
      <c r="B20" s="34">
        <v>740</v>
      </c>
      <c r="C20" s="34">
        <v>50408</v>
      </c>
      <c r="D20" s="34">
        <v>46849</v>
      </c>
      <c r="E20" s="34">
        <v>0</v>
      </c>
      <c r="F20" s="35"/>
      <c r="G20" s="34">
        <v>7553</v>
      </c>
      <c r="H20" s="34">
        <v>0</v>
      </c>
      <c r="I20" s="34">
        <v>0</v>
      </c>
      <c r="J20" s="35"/>
      <c r="K20" s="34">
        <v>0</v>
      </c>
      <c r="L20" s="34">
        <v>0</v>
      </c>
      <c r="M20" s="36" t="s">
        <v>47</v>
      </c>
    </row>
    <row r="21" spans="1:15" ht="21.75">
      <c r="A21" s="33" t="s">
        <v>48</v>
      </c>
      <c r="B21" s="34">
        <v>56</v>
      </c>
      <c r="C21" s="34">
        <v>6765</v>
      </c>
      <c r="D21" s="34">
        <v>6778</v>
      </c>
      <c r="E21" s="34">
        <v>0</v>
      </c>
      <c r="F21" s="35"/>
      <c r="G21" s="34">
        <v>0</v>
      </c>
      <c r="H21" s="34">
        <v>0</v>
      </c>
      <c r="I21" s="34">
        <v>0</v>
      </c>
      <c r="J21" s="35"/>
      <c r="K21" s="34">
        <v>0</v>
      </c>
      <c r="L21" s="34">
        <v>0</v>
      </c>
      <c r="M21" s="94" t="s">
        <v>49</v>
      </c>
    </row>
    <row r="22" spans="1:15">
      <c r="A22" s="33" t="s">
        <v>50</v>
      </c>
      <c r="B22" s="34">
        <v>614</v>
      </c>
      <c r="C22" s="34">
        <v>69645</v>
      </c>
      <c r="D22" s="34">
        <v>70149</v>
      </c>
      <c r="E22" s="34">
        <v>0</v>
      </c>
      <c r="F22" s="35"/>
      <c r="G22" s="34">
        <v>160167.11000000002</v>
      </c>
      <c r="H22" s="34">
        <v>56205.4</v>
      </c>
      <c r="I22" s="34">
        <v>1283694.3</v>
      </c>
      <c r="J22" s="35"/>
      <c r="K22" s="34">
        <v>251</v>
      </c>
      <c r="L22" s="34">
        <v>37484.600000000006</v>
      </c>
      <c r="M22" s="39" t="s">
        <v>51</v>
      </c>
    </row>
    <row r="23" spans="1:15" ht="21.75">
      <c r="A23" s="33" t="s">
        <v>52</v>
      </c>
      <c r="B23" s="34">
        <v>192</v>
      </c>
      <c r="C23" s="34">
        <v>2500</v>
      </c>
      <c r="D23" s="34">
        <v>2165</v>
      </c>
      <c r="E23" s="34">
        <v>6201</v>
      </c>
      <c r="F23" s="35"/>
      <c r="G23" s="34">
        <v>108238.9</v>
      </c>
      <c r="H23" s="34">
        <v>33870.099999999991</v>
      </c>
      <c r="I23" s="34">
        <v>4357</v>
      </c>
      <c r="J23" s="35"/>
      <c r="K23" s="34">
        <v>0</v>
      </c>
      <c r="L23" s="34">
        <v>0</v>
      </c>
      <c r="M23" s="94" t="s">
        <v>53</v>
      </c>
    </row>
    <row r="24" spans="1:15">
      <c r="A24" s="40" t="s">
        <v>54</v>
      </c>
      <c r="B24" s="34">
        <v>356</v>
      </c>
      <c r="C24" s="34">
        <v>10357</v>
      </c>
      <c r="D24" s="34">
        <v>10929</v>
      </c>
      <c r="E24" s="34">
        <v>3858</v>
      </c>
      <c r="F24" s="35"/>
      <c r="G24" s="34">
        <v>239482.40000000002</v>
      </c>
      <c r="H24" s="34">
        <v>21053</v>
      </c>
      <c r="I24" s="34">
        <v>32900</v>
      </c>
      <c r="J24" s="35"/>
      <c r="K24" s="34">
        <v>0</v>
      </c>
      <c r="L24" s="34">
        <v>0</v>
      </c>
      <c r="M24" s="39" t="s">
        <v>55</v>
      </c>
    </row>
    <row r="25" spans="1:15">
      <c r="A25" s="33" t="s">
        <v>56</v>
      </c>
      <c r="B25" s="34">
        <v>112</v>
      </c>
      <c r="C25" s="34">
        <v>9301</v>
      </c>
      <c r="D25" s="34">
        <v>9592</v>
      </c>
      <c r="E25" s="34">
        <v>0</v>
      </c>
      <c r="F25" s="35"/>
      <c r="G25" s="34">
        <v>25243.1</v>
      </c>
      <c r="H25" s="34">
        <v>2310</v>
      </c>
      <c r="I25" s="34">
        <v>35797</v>
      </c>
      <c r="J25" s="35"/>
      <c r="K25" s="34">
        <v>0</v>
      </c>
      <c r="L25" s="34">
        <v>0</v>
      </c>
      <c r="M25" s="36" t="s">
        <v>57</v>
      </c>
    </row>
    <row r="26" spans="1:15" ht="21.75">
      <c r="A26" s="33" t="s">
        <v>58</v>
      </c>
      <c r="B26" s="34">
        <v>428</v>
      </c>
      <c r="C26" s="34">
        <v>20750</v>
      </c>
      <c r="D26" s="34">
        <v>22386</v>
      </c>
      <c r="E26" s="34">
        <v>23286</v>
      </c>
      <c r="F26" s="35"/>
      <c r="G26" s="34">
        <v>158192.5</v>
      </c>
      <c r="H26" s="34">
        <v>131020.4</v>
      </c>
      <c r="I26" s="34">
        <v>151406.20000000001</v>
      </c>
      <c r="J26" s="35"/>
      <c r="K26" s="34">
        <v>0</v>
      </c>
      <c r="L26" s="34">
        <v>0</v>
      </c>
      <c r="M26" s="91" t="s">
        <v>59</v>
      </c>
    </row>
    <row r="27" spans="1:15" ht="21.75">
      <c r="A27" s="33" t="s">
        <v>60</v>
      </c>
      <c r="B27" s="34">
        <v>26</v>
      </c>
      <c r="C27" s="34">
        <v>2157</v>
      </c>
      <c r="D27" s="34">
        <v>1390</v>
      </c>
      <c r="E27" s="34">
        <v>0</v>
      </c>
      <c r="F27" s="35"/>
      <c r="G27" s="34">
        <v>12447.699999999999</v>
      </c>
      <c r="H27" s="34">
        <v>5033.5</v>
      </c>
      <c r="I27" s="34">
        <v>5033.5</v>
      </c>
      <c r="J27" s="35"/>
      <c r="K27" s="34">
        <v>0</v>
      </c>
      <c r="L27" s="34">
        <v>0</v>
      </c>
      <c r="M27" s="91" t="s">
        <v>61</v>
      </c>
    </row>
    <row r="28" spans="1:15" ht="21.75">
      <c r="A28" s="33" t="s">
        <v>62</v>
      </c>
      <c r="B28" s="34">
        <v>726</v>
      </c>
      <c r="C28" s="34">
        <v>25412</v>
      </c>
      <c r="D28" s="34">
        <v>23230</v>
      </c>
      <c r="E28" s="34">
        <v>0</v>
      </c>
      <c r="F28" s="35"/>
      <c r="G28" s="34">
        <v>27325.8</v>
      </c>
      <c r="H28" s="34">
        <v>0</v>
      </c>
      <c r="I28" s="34">
        <v>0</v>
      </c>
      <c r="J28" s="35"/>
      <c r="K28" s="34">
        <v>0</v>
      </c>
      <c r="L28" s="34">
        <v>0</v>
      </c>
      <c r="M28" s="91" t="s">
        <v>63</v>
      </c>
    </row>
    <row r="29" spans="1:15">
      <c r="A29" s="33" t="s">
        <v>64</v>
      </c>
      <c r="B29" s="34">
        <v>1456</v>
      </c>
      <c r="C29" s="34">
        <v>96525</v>
      </c>
      <c r="D29" s="34">
        <v>92765</v>
      </c>
      <c r="E29" s="34">
        <v>0</v>
      </c>
      <c r="F29" s="35"/>
      <c r="G29" s="34">
        <v>816039.99999999988</v>
      </c>
      <c r="H29" s="34">
        <v>0</v>
      </c>
      <c r="I29" s="34">
        <v>92338.499999999985</v>
      </c>
      <c r="J29" s="35"/>
      <c r="K29" s="34">
        <v>0</v>
      </c>
      <c r="L29" s="34">
        <v>0</v>
      </c>
      <c r="M29" s="36" t="s">
        <v>65</v>
      </c>
    </row>
    <row r="30" spans="1:15">
      <c r="A30" s="41" t="s">
        <v>66</v>
      </c>
      <c r="B30" s="34">
        <v>730</v>
      </c>
      <c r="C30" s="34">
        <v>28888</v>
      </c>
      <c r="D30" s="34">
        <v>24307</v>
      </c>
      <c r="E30" s="34">
        <v>0</v>
      </c>
      <c r="F30" s="35"/>
      <c r="G30" s="34">
        <v>530334.39999999991</v>
      </c>
      <c r="H30" s="34">
        <v>0</v>
      </c>
      <c r="I30" s="37">
        <v>0</v>
      </c>
      <c r="J30" s="38"/>
      <c r="K30" s="34">
        <v>2322.5</v>
      </c>
      <c r="L30" s="37">
        <v>0</v>
      </c>
      <c r="M30" s="36" t="s">
        <v>67</v>
      </c>
      <c r="O30" s="42"/>
    </row>
    <row r="31" spans="1:15" ht="21.75">
      <c r="A31" s="43" t="s">
        <v>68</v>
      </c>
      <c r="B31" s="38">
        <v>1576</v>
      </c>
      <c r="C31" s="38">
        <v>72248</v>
      </c>
      <c r="D31" s="37">
        <v>76513</v>
      </c>
      <c r="E31" s="37">
        <v>253</v>
      </c>
      <c r="F31" s="38"/>
      <c r="G31" s="37">
        <v>821884.8</v>
      </c>
      <c r="H31" s="37">
        <v>10070</v>
      </c>
      <c r="I31" s="37">
        <v>122715.6</v>
      </c>
      <c r="J31" s="38"/>
      <c r="K31" s="37">
        <v>203.6</v>
      </c>
      <c r="L31" s="37">
        <v>8725.6</v>
      </c>
      <c r="M31" s="91" t="s">
        <v>69</v>
      </c>
      <c r="O31" s="44"/>
    </row>
    <row r="32" spans="1:15" ht="21.75">
      <c r="A32" s="33" t="s">
        <v>70</v>
      </c>
      <c r="B32" s="34">
        <v>1452</v>
      </c>
      <c r="C32" s="34">
        <v>61218</v>
      </c>
      <c r="D32" s="34">
        <v>65093</v>
      </c>
      <c r="E32" s="34">
        <v>58386</v>
      </c>
      <c r="F32" s="35"/>
      <c r="G32" s="34">
        <v>3707504.13</v>
      </c>
      <c r="H32" s="34">
        <v>972752</v>
      </c>
      <c r="I32" s="34">
        <v>251595.49999999997</v>
      </c>
      <c r="J32" s="35"/>
      <c r="K32" s="34">
        <v>26934.720000000005</v>
      </c>
      <c r="L32" s="34">
        <v>553</v>
      </c>
      <c r="M32" s="93" t="s">
        <v>71</v>
      </c>
    </row>
    <row r="33" spans="1:15" ht="21.75">
      <c r="A33" s="45" t="s">
        <v>72</v>
      </c>
      <c r="B33" s="35">
        <v>398</v>
      </c>
      <c r="C33" s="35">
        <v>33612</v>
      </c>
      <c r="D33" s="34">
        <v>37716</v>
      </c>
      <c r="E33" s="35">
        <v>0</v>
      </c>
      <c r="F33" s="35"/>
      <c r="G33" s="35">
        <v>1192260.9539999999</v>
      </c>
      <c r="H33" s="35">
        <v>584592</v>
      </c>
      <c r="I33" s="35">
        <v>1036459</v>
      </c>
      <c r="J33" s="35"/>
      <c r="K33" s="35">
        <v>9899.8000000000011</v>
      </c>
      <c r="L33" s="35">
        <v>0</v>
      </c>
      <c r="M33" s="92" t="s">
        <v>73</v>
      </c>
      <c r="O33" s="47"/>
    </row>
    <row r="34" spans="1:15" ht="21.75">
      <c r="A34" s="45" t="s">
        <v>74</v>
      </c>
      <c r="B34" s="35">
        <v>1040</v>
      </c>
      <c r="C34" s="35">
        <v>77966</v>
      </c>
      <c r="D34" s="34">
        <v>72775</v>
      </c>
      <c r="E34" s="35">
        <v>0</v>
      </c>
      <c r="F34" s="35"/>
      <c r="G34" s="35">
        <v>529871.33000000007</v>
      </c>
      <c r="H34" s="35">
        <v>52646</v>
      </c>
      <c r="I34" s="35">
        <v>2322</v>
      </c>
      <c r="J34" s="35"/>
      <c r="K34" s="35">
        <v>189.9</v>
      </c>
      <c r="L34" s="35">
        <v>0</v>
      </c>
      <c r="M34" s="92" t="s">
        <v>75</v>
      </c>
      <c r="O34" s="47"/>
    </row>
    <row r="35" spans="1:15">
      <c r="A35" s="45" t="s">
        <v>76</v>
      </c>
      <c r="B35" s="35">
        <v>362</v>
      </c>
      <c r="C35" s="35">
        <v>33692</v>
      </c>
      <c r="D35" s="34">
        <v>33506</v>
      </c>
      <c r="E35" s="35">
        <v>8</v>
      </c>
      <c r="F35" s="35"/>
      <c r="G35" s="35">
        <v>1139025.8600000001</v>
      </c>
      <c r="H35" s="35">
        <v>18640</v>
      </c>
      <c r="I35" s="35">
        <v>312487.03999999998</v>
      </c>
      <c r="J35" s="35"/>
      <c r="K35" s="35">
        <v>0</v>
      </c>
      <c r="L35" s="35">
        <v>31.9</v>
      </c>
      <c r="M35" s="46" t="s">
        <v>77</v>
      </c>
      <c r="O35" s="47"/>
    </row>
    <row r="36" spans="1:15">
      <c r="A36" s="48" t="s">
        <v>78</v>
      </c>
      <c r="B36" s="35">
        <v>1166</v>
      </c>
      <c r="C36" s="35">
        <v>70669</v>
      </c>
      <c r="D36" s="34">
        <v>79129</v>
      </c>
      <c r="E36" s="35">
        <v>0</v>
      </c>
      <c r="F36" s="35"/>
      <c r="G36" s="35">
        <v>1360380.26</v>
      </c>
      <c r="H36" s="35">
        <v>1920589.5599999996</v>
      </c>
      <c r="I36" s="35">
        <v>33410</v>
      </c>
      <c r="J36" s="35"/>
      <c r="K36" s="35">
        <v>10076.200000000001</v>
      </c>
      <c r="L36" s="35">
        <v>70.399999999999991</v>
      </c>
      <c r="M36" s="36" t="s">
        <v>79</v>
      </c>
    </row>
    <row r="37" spans="1:15" ht="21.75">
      <c r="A37" s="45" t="s">
        <v>80</v>
      </c>
      <c r="B37" s="35">
        <v>148</v>
      </c>
      <c r="C37" s="35">
        <v>19577</v>
      </c>
      <c r="D37" s="34">
        <v>19248</v>
      </c>
      <c r="E37" s="35">
        <v>0</v>
      </c>
      <c r="F37" s="35"/>
      <c r="G37" s="35">
        <v>197305</v>
      </c>
      <c r="H37" s="35">
        <v>1353</v>
      </c>
      <c r="I37" s="35">
        <v>32274.5</v>
      </c>
      <c r="J37" s="35"/>
      <c r="K37" s="35">
        <v>230.5</v>
      </c>
      <c r="L37" s="35">
        <v>0</v>
      </c>
      <c r="M37" s="91" t="s">
        <v>81</v>
      </c>
    </row>
    <row r="38" spans="1:15" ht="21.75">
      <c r="A38" s="45" t="s">
        <v>82</v>
      </c>
      <c r="B38" s="35">
        <v>314</v>
      </c>
      <c r="C38" s="35">
        <v>32932</v>
      </c>
      <c r="D38" s="34">
        <v>31322</v>
      </c>
      <c r="E38" s="35">
        <v>0</v>
      </c>
      <c r="F38" s="35"/>
      <c r="G38" s="35">
        <v>1697168.62</v>
      </c>
      <c r="H38" s="35">
        <v>130679</v>
      </c>
      <c r="I38" s="35">
        <v>28295.5</v>
      </c>
      <c r="J38" s="35"/>
      <c r="K38" s="35">
        <v>425</v>
      </c>
      <c r="L38" s="35">
        <v>0</v>
      </c>
      <c r="M38" s="91" t="s">
        <v>83</v>
      </c>
    </row>
    <row r="39" spans="1:15" ht="21.75">
      <c r="A39" s="45" t="s">
        <v>84</v>
      </c>
      <c r="B39" s="35">
        <v>334</v>
      </c>
      <c r="C39" s="35">
        <v>24675</v>
      </c>
      <c r="D39" s="34">
        <v>26098</v>
      </c>
      <c r="E39" s="35">
        <v>0</v>
      </c>
      <c r="F39" s="35"/>
      <c r="G39" s="35">
        <v>67003.399999999994</v>
      </c>
      <c r="H39" s="35">
        <v>3557.5</v>
      </c>
      <c r="I39" s="35">
        <v>0</v>
      </c>
      <c r="J39" s="35"/>
      <c r="K39" s="35">
        <v>3839.6000000000004</v>
      </c>
      <c r="L39" s="35">
        <v>0</v>
      </c>
      <c r="M39" s="91" t="s">
        <v>85</v>
      </c>
    </row>
    <row r="40" spans="1:15" ht="21.75">
      <c r="A40" s="45" t="s">
        <v>86</v>
      </c>
      <c r="B40" s="35">
        <v>178</v>
      </c>
      <c r="C40" s="35">
        <v>28461</v>
      </c>
      <c r="D40" s="34">
        <v>28167</v>
      </c>
      <c r="E40" s="35">
        <v>0</v>
      </c>
      <c r="F40" s="35"/>
      <c r="G40" s="35">
        <v>287982.09999999998</v>
      </c>
      <c r="H40" s="35">
        <v>2667</v>
      </c>
      <c r="I40" s="35">
        <v>260966.19999999998</v>
      </c>
      <c r="J40" s="35"/>
      <c r="K40" s="35">
        <v>0</v>
      </c>
      <c r="L40" s="35">
        <v>0</v>
      </c>
      <c r="M40" s="91" t="s">
        <v>87</v>
      </c>
    </row>
    <row r="41" spans="1:15" ht="21.75">
      <c r="A41" s="45" t="s">
        <v>88</v>
      </c>
      <c r="B41" s="49">
        <v>306</v>
      </c>
      <c r="C41" s="49">
        <v>37060</v>
      </c>
      <c r="D41" s="50">
        <v>36892</v>
      </c>
      <c r="E41" s="49">
        <v>0</v>
      </c>
      <c r="F41" s="49"/>
      <c r="G41" s="49">
        <v>772029.5</v>
      </c>
      <c r="H41" s="49">
        <v>300</v>
      </c>
      <c r="I41" s="49">
        <v>132113</v>
      </c>
      <c r="J41" s="49"/>
      <c r="K41" s="49">
        <v>154980.70000000001</v>
      </c>
      <c r="L41" s="49">
        <v>0</v>
      </c>
      <c r="M41" s="91" t="s">
        <v>89</v>
      </c>
    </row>
    <row r="42" spans="1:15" ht="21.75">
      <c r="A42" s="45" t="s">
        <v>90</v>
      </c>
      <c r="B42" s="49">
        <v>928</v>
      </c>
      <c r="C42" s="49">
        <v>66541</v>
      </c>
      <c r="D42" s="50">
        <v>56407</v>
      </c>
      <c r="E42" s="49">
        <v>0</v>
      </c>
      <c r="F42" s="49"/>
      <c r="G42" s="49">
        <v>508195.9</v>
      </c>
      <c r="H42" s="49">
        <v>8845.6</v>
      </c>
      <c r="I42" s="49">
        <v>182.1</v>
      </c>
      <c r="J42" s="49"/>
      <c r="K42" s="49">
        <v>60528.600000000006</v>
      </c>
      <c r="L42" s="49">
        <v>4.4000000000000004</v>
      </c>
      <c r="M42" s="91" t="s">
        <v>91</v>
      </c>
    </row>
    <row r="43" spans="1:15" ht="21.75">
      <c r="A43" s="45" t="s">
        <v>92</v>
      </c>
      <c r="B43" s="49">
        <v>470</v>
      </c>
      <c r="C43" s="49">
        <v>26047</v>
      </c>
      <c r="D43" s="50">
        <v>29657</v>
      </c>
      <c r="E43" s="49">
        <v>0</v>
      </c>
      <c r="F43" s="49"/>
      <c r="G43" s="49">
        <v>0</v>
      </c>
      <c r="H43" s="49">
        <v>0</v>
      </c>
      <c r="I43" s="49">
        <v>0</v>
      </c>
      <c r="J43" s="49"/>
      <c r="K43" s="49">
        <v>0</v>
      </c>
      <c r="L43" s="49">
        <v>0</v>
      </c>
      <c r="M43" s="91" t="s">
        <v>93</v>
      </c>
    </row>
    <row r="44" spans="1:15" ht="21.75">
      <c r="A44" s="45" t="s">
        <v>94</v>
      </c>
      <c r="B44" s="49">
        <v>126</v>
      </c>
      <c r="C44" s="49">
        <v>15422</v>
      </c>
      <c r="D44" s="50">
        <v>15193</v>
      </c>
      <c r="E44" s="49">
        <v>0</v>
      </c>
      <c r="F44" s="49"/>
      <c r="G44" s="49">
        <v>126805.8</v>
      </c>
      <c r="H44" s="49">
        <v>102723</v>
      </c>
      <c r="I44" s="49">
        <v>173196.5</v>
      </c>
      <c r="J44" s="49"/>
      <c r="K44" s="49">
        <v>0</v>
      </c>
      <c r="L44" s="49">
        <v>0</v>
      </c>
      <c r="M44" s="91" t="s">
        <v>95</v>
      </c>
    </row>
    <row r="45" spans="1:15" ht="21.75">
      <c r="A45" s="45" t="s">
        <v>96</v>
      </c>
      <c r="B45" s="49">
        <v>104</v>
      </c>
      <c r="C45" s="49">
        <v>11430</v>
      </c>
      <c r="D45" s="50">
        <v>11961</v>
      </c>
      <c r="E45" s="49">
        <v>0</v>
      </c>
      <c r="F45" s="49"/>
      <c r="G45" s="49">
        <v>153672.1</v>
      </c>
      <c r="H45" s="49">
        <v>11603</v>
      </c>
      <c r="I45" s="49">
        <v>89622</v>
      </c>
      <c r="J45" s="49"/>
      <c r="K45" s="49">
        <v>116.4</v>
      </c>
      <c r="L45" s="49">
        <v>0</v>
      </c>
      <c r="M45" s="91" t="s">
        <v>97</v>
      </c>
    </row>
    <row r="46" spans="1:15">
      <c r="A46" s="51" t="s">
        <v>98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21" t="s">
        <v>99</v>
      </c>
    </row>
    <row r="47" spans="1:15" ht="15.75" hidden="1" customHeight="1">
      <c r="A47" s="53" t="s">
        <v>100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39" t="s">
        <v>101</v>
      </c>
      <c r="O47" s="55"/>
    </row>
    <row r="48" spans="1:15">
      <c r="A48" s="51" t="s">
        <v>102</v>
      </c>
      <c r="B48" s="56">
        <v>1962</v>
      </c>
      <c r="C48" s="56">
        <v>1305</v>
      </c>
      <c r="D48" s="27">
        <v>5045</v>
      </c>
      <c r="E48" s="56">
        <v>156</v>
      </c>
      <c r="F48" s="56"/>
      <c r="G48" s="56">
        <v>0</v>
      </c>
      <c r="H48" s="56">
        <v>0</v>
      </c>
      <c r="I48" s="56">
        <v>0</v>
      </c>
      <c r="J48" s="56"/>
      <c r="K48" s="56">
        <v>0</v>
      </c>
      <c r="L48" s="56">
        <v>0</v>
      </c>
      <c r="M48" s="57" t="s">
        <v>103</v>
      </c>
    </row>
    <row r="49" spans="1:58">
      <c r="A49" s="51" t="s">
        <v>104</v>
      </c>
      <c r="B49" s="52">
        <f>SUM(B50:B56)</f>
        <v>153220</v>
      </c>
      <c r="C49" s="52">
        <f>SUM(C50:C56)</f>
        <v>1186448</v>
      </c>
      <c r="D49" s="52">
        <f>SUM(D50:D56)</f>
        <v>1198650</v>
      </c>
      <c r="E49" s="52">
        <f>SUM(E50:E56)</f>
        <v>106</v>
      </c>
      <c r="F49" s="52"/>
      <c r="G49" s="52">
        <f>SUM(G50:G56)</f>
        <v>216188.88</v>
      </c>
      <c r="H49" s="52">
        <f>SUM(H50:H56)</f>
        <v>500934.47000000003</v>
      </c>
      <c r="I49" s="52">
        <f>SUM(I50:I56)</f>
        <v>124087.73</v>
      </c>
      <c r="J49" s="52"/>
      <c r="K49" s="52">
        <f>SUM(K50:K56)</f>
        <v>2547.5999999999995</v>
      </c>
      <c r="L49" s="52">
        <f>SUM(L50:L56)</f>
        <v>60495.360000000015</v>
      </c>
      <c r="M49" s="58" t="s">
        <v>105</v>
      </c>
    </row>
    <row r="50" spans="1:58" ht="21" customHeight="1">
      <c r="A50" s="59" t="s">
        <v>106</v>
      </c>
      <c r="B50" s="60">
        <v>21666</v>
      </c>
      <c r="C50" s="60">
        <v>387660</v>
      </c>
      <c r="D50" s="61">
        <v>398235</v>
      </c>
      <c r="E50" s="60">
        <v>106</v>
      </c>
      <c r="F50" s="60"/>
      <c r="G50" s="60">
        <v>211999.88</v>
      </c>
      <c r="H50" s="60">
        <v>500866.47000000003</v>
      </c>
      <c r="I50" s="60">
        <v>124087.73</v>
      </c>
      <c r="J50" s="60"/>
      <c r="K50" s="60">
        <v>2494.9999999999995</v>
      </c>
      <c r="L50" s="60">
        <v>60495.360000000015</v>
      </c>
      <c r="M50" s="62" t="s">
        <v>107</v>
      </c>
    </row>
    <row r="51" spans="1:58" ht="21" customHeight="1">
      <c r="A51" s="63" t="s">
        <v>108</v>
      </c>
      <c r="B51" s="35">
        <v>9146</v>
      </c>
      <c r="C51" s="35">
        <v>195778</v>
      </c>
      <c r="D51" s="34">
        <v>200852</v>
      </c>
      <c r="E51" s="35">
        <v>0</v>
      </c>
      <c r="F51" s="35"/>
      <c r="G51" s="35">
        <v>0</v>
      </c>
      <c r="H51" s="35">
        <v>68</v>
      </c>
      <c r="I51" s="35">
        <v>0</v>
      </c>
      <c r="J51" s="35"/>
      <c r="K51" s="35">
        <v>0</v>
      </c>
      <c r="L51" s="35">
        <v>0</v>
      </c>
      <c r="M51" s="90" t="s">
        <v>109</v>
      </c>
    </row>
    <row r="52" spans="1:58" ht="21" customHeight="1">
      <c r="A52" s="63" t="s">
        <v>110</v>
      </c>
      <c r="B52" s="35">
        <v>4842</v>
      </c>
      <c r="C52" s="35">
        <v>73841</v>
      </c>
      <c r="D52" s="34">
        <v>79037</v>
      </c>
      <c r="E52" s="35">
        <v>0</v>
      </c>
      <c r="F52" s="35"/>
      <c r="G52" s="35">
        <v>4189</v>
      </c>
      <c r="H52" s="35">
        <v>0</v>
      </c>
      <c r="I52" s="35">
        <v>0</v>
      </c>
      <c r="J52" s="35"/>
      <c r="K52" s="35">
        <v>52.6</v>
      </c>
      <c r="L52" s="35">
        <v>0</v>
      </c>
      <c r="M52" s="89" t="s">
        <v>123</v>
      </c>
    </row>
    <row r="53" spans="1:58" ht="21" customHeight="1">
      <c r="A53" s="64" t="s">
        <v>111</v>
      </c>
      <c r="B53" s="35">
        <v>100449</v>
      </c>
      <c r="C53" s="35">
        <v>457621</v>
      </c>
      <c r="D53" s="34">
        <v>452486</v>
      </c>
      <c r="E53" s="35">
        <v>0</v>
      </c>
      <c r="F53" s="35"/>
      <c r="G53" s="35">
        <v>0</v>
      </c>
      <c r="H53" s="35">
        <v>0</v>
      </c>
      <c r="I53" s="35">
        <v>0</v>
      </c>
      <c r="J53" s="35"/>
      <c r="K53" s="35">
        <v>0</v>
      </c>
      <c r="L53" s="35">
        <v>0</v>
      </c>
      <c r="M53" s="65" t="s">
        <v>112</v>
      </c>
    </row>
    <row r="54" spans="1:58" ht="21" customHeight="1">
      <c r="A54" s="63" t="s">
        <v>113</v>
      </c>
      <c r="B54" s="49">
        <v>16272</v>
      </c>
      <c r="C54" s="49">
        <v>69827</v>
      </c>
      <c r="D54" s="50">
        <v>66129</v>
      </c>
      <c r="E54" s="49">
        <v>0</v>
      </c>
      <c r="F54" s="49"/>
      <c r="G54" s="49">
        <v>0</v>
      </c>
      <c r="H54" s="49">
        <v>0</v>
      </c>
      <c r="I54" s="49">
        <v>0</v>
      </c>
      <c r="J54" s="49"/>
      <c r="K54" s="49">
        <v>0</v>
      </c>
      <c r="L54" s="49">
        <v>0</v>
      </c>
      <c r="M54" s="62" t="s">
        <v>114</v>
      </c>
    </row>
    <row r="55" spans="1:58" ht="21" customHeight="1">
      <c r="A55" s="66" t="s">
        <v>115</v>
      </c>
      <c r="B55" s="49">
        <v>611</v>
      </c>
      <c r="C55" s="49">
        <v>1721</v>
      </c>
      <c r="D55" s="50">
        <v>1874</v>
      </c>
      <c r="E55" s="49">
        <v>0</v>
      </c>
      <c r="F55" s="49"/>
      <c r="G55" s="49">
        <v>0</v>
      </c>
      <c r="H55" s="49">
        <v>0</v>
      </c>
      <c r="I55" s="49">
        <v>0</v>
      </c>
      <c r="J55" s="49"/>
      <c r="K55" s="49">
        <v>0</v>
      </c>
      <c r="L55" s="49">
        <v>0</v>
      </c>
      <c r="M55" s="89" t="s">
        <v>122</v>
      </c>
    </row>
    <row r="56" spans="1:58" s="73" customFormat="1" ht="21" customHeight="1">
      <c r="A56" s="67" t="s">
        <v>116</v>
      </c>
      <c r="B56" s="68">
        <v>234</v>
      </c>
      <c r="C56" s="69">
        <v>0</v>
      </c>
      <c r="D56" s="70">
        <v>37</v>
      </c>
      <c r="E56" s="69">
        <v>0</v>
      </c>
      <c r="F56" s="69"/>
      <c r="G56" s="69">
        <v>0</v>
      </c>
      <c r="H56" s="69">
        <v>0</v>
      </c>
      <c r="I56" s="69">
        <v>0</v>
      </c>
      <c r="J56" s="69"/>
      <c r="K56" s="69">
        <v>0</v>
      </c>
      <c r="L56" s="69">
        <v>0</v>
      </c>
      <c r="M56" s="71" t="s">
        <v>117</v>
      </c>
      <c r="N56" s="72"/>
      <c r="O56" s="72"/>
      <c r="P56" s="72"/>
      <c r="Q56" s="72"/>
      <c r="BF56" s="74"/>
    </row>
    <row r="57" spans="1:58" ht="18" customHeight="1">
      <c r="A57" s="75" t="s">
        <v>118</v>
      </c>
      <c r="B57" s="76"/>
      <c r="C57" s="77"/>
      <c r="D57" s="77"/>
      <c r="E57" s="78"/>
      <c r="F57" s="78"/>
      <c r="G57" s="78"/>
      <c r="H57" s="79"/>
      <c r="I57" s="79"/>
      <c r="J57" s="79"/>
      <c r="K57" s="80"/>
      <c r="M57" s="95" t="s">
        <v>119</v>
      </c>
    </row>
    <row r="58" spans="1:58" ht="15.75" customHeight="1">
      <c r="A58" s="81" t="s">
        <v>120</v>
      </c>
      <c r="B58" s="81"/>
      <c r="C58" s="82"/>
      <c r="D58" s="82"/>
      <c r="E58" s="83"/>
      <c r="F58" s="83"/>
      <c r="G58" s="83"/>
      <c r="H58" s="84"/>
      <c r="I58" s="84"/>
      <c r="J58" s="84"/>
      <c r="L58" s="84"/>
      <c r="M58" s="96" t="s">
        <v>121</v>
      </c>
    </row>
    <row r="59" spans="1:58">
      <c r="A59" s="85"/>
      <c r="B59" s="85"/>
      <c r="C59" s="85"/>
      <c r="D59" s="85"/>
      <c r="E59" s="86"/>
      <c r="F59" s="86"/>
      <c r="G59" s="85"/>
      <c r="H59" s="85"/>
      <c r="I59" s="86"/>
      <c r="J59" s="86"/>
      <c r="K59" s="85"/>
      <c r="L59" s="85"/>
      <c r="M59" s="87"/>
    </row>
    <row r="60" spans="1:58">
      <c r="A60" s="85"/>
      <c r="B60" s="85"/>
      <c r="C60" s="85"/>
      <c r="D60" s="85"/>
      <c r="E60" s="86"/>
      <c r="F60" s="86"/>
      <c r="G60" s="85"/>
      <c r="H60" s="85"/>
      <c r="I60" s="86"/>
      <c r="J60" s="86"/>
      <c r="K60" s="85"/>
      <c r="L60" s="85"/>
      <c r="M60" s="87"/>
    </row>
    <row r="61" spans="1:58">
      <c r="A61" s="85"/>
      <c r="B61" s="85"/>
      <c r="C61" s="85"/>
      <c r="D61" s="85"/>
      <c r="E61" s="86"/>
      <c r="F61" s="86"/>
      <c r="G61" s="85"/>
      <c r="H61" s="85"/>
      <c r="I61" s="86"/>
      <c r="J61" s="86"/>
      <c r="K61" s="85"/>
      <c r="L61" s="85"/>
      <c r="M61" s="87"/>
    </row>
    <row r="62" spans="1:58">
      <c r="A62" s="85"/>
      <c r="B62" s="85"/>
      <c r="C62" s="85"/>
      <c r="D62" s="85"/>
      <c r="E62" s="86"/>
      <c r="F62" s="86"/>
      <c r="G62" s="85"/>
      <c r="H62" s="85"/>
      <c r="I62" s="86"/>
      <c r="J62" s="86"/>
      <c r="K62" s="85"/>
      <c r="L62" s="85"/>
      <c r="M62" s="87"/>
    </row>
    <row r="63" spans="1:58">
      <c r="A63" s="85"/>
      <c r="B63" s="85"/>
      <c r="C63" s="85"/>
      <c r="D63" s="85"/>
      <c r="E63" s="86"/>
      <c r="F63" s="86"/>
      <c r="G63" s="85"/>
      <c r="H63" s="85"/>
      <c r="I63" s="86"/>
      <c r="J63" s="86"/>
      <c r="K63" s="85"/>
      <c r="L63" s="85"/>
      <c r="M63" s="87"/>
    </row>
    <row r="64" spans="1:58">
      <c r="A64" s="85"/>
      <c r="B64" s="85"/>
      <c r="C64" s="85"/>
      <c r="D64" s="85"/>
      <c r="E64" s="86"/>
      <c r="F64" s="86"/>
      <c r="G64" s="85"/>
      <c r="H64" s="85"/>
      <c r="I64" s="86"/>
      <c r="J64" s="86"/>
      <c r="K64" s="85"/>
      <c r="L64" s="85"/>
      <c r="M64" s="87"/>
    </row>
    <row r="65" spans="1:13">
      <c r="A65" s="85"/>
      <c r="B65" s="85"/>
      <c r="C65" s="85"/>
      <c r="D65" s="85"/>
      <c r="E65" s="86"/>
      <c r="F65" s="86"/>
      <c r="G65" s="85"/>
      <c r="H65" s="85"/>
      <c r="I65" s="86"/>
      <c r="J65" s="86"/>
      <c r="K65" s="85"/>
      <c r="L65" s="85"/>
      <c r="M65" s="87"/>
    </row>
    <row r="66" spans="1:13">
      <c r="A66" s="85"/>
      <c r="B66" s="85"/>
      <c r="C66" s="85"/>
      <c r="D66" s="85"/>
      <c r="E66" s="86"/>
      <c r="F66" s="86"/>
      <c r="G66" s="85"/>
      <c r="H66" s="85"/>
      <c r="I66" s="86"/>
      <c r="J66" s="86"/>
      <c r="K66" s="85"/>
      <c r="L66" s="85"/>
      <c r="M66" s="87"/>
    </row>
    <row r="67" spans="1:13">
      <c r="A67" s="85"/>
      <c r="B67" s="85"/>
      <c r="C67" s="85"/>
      <c r="D67" s="85"/>
      <c r="E67" s="86"/>
      <c r="F67" s="86"/>
      <c r="G67" s="85"/>
      <c r="H67" s="85"/>
      <c r="I67" s="86"/>
      <c r="J67" s="86"/>
      <c r="K67" s="85"/>
      <c r="L67" s="85"/>
      <c r="M67" s="87"/>
    </row>
    <row r="68" spans="1:13">
      <c r="A68" s="85"/>
      <c r="B68" s="85"/>
      <c r="C68" s="85"/>
      <c r="D68" s="85"/>
      <c r="E68" s="86"/>
      <c r="F68" s="86"/>
      <c r="G68" s="85"/>
      <c r="H68" s="85"/>
      <c r="I68" s="86"/>
      <c r="J68" s="86"/>
      <c r="K68" s="85"/>
      <c r="L68" s="85"/>
      <c r="M68" s="87"/>
    </row>
  </sheetData>
  <mergeCells count="2">
    <mergeCell ref="A1:M1"/>
    <mergeCell ref="A2:M2"/>
  </mergeCells>
  <pageMargins left="0.7" right="0.7" top="0.75" bottom="0.75" header="0.3" footer="0.3"/>
  <pageSetup scale="4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11.10</vt:lpstr>
      <vt:lpstr>'11.10'!Print_Area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2020-10-09T03:59:29Z</cp:lastPrinted>
  <dcterms:created xsi:type="dcterms:W3CDTF">2020-10-09T03:55:45Z</dcterms:created>
  <dcterms:modified xsi:type="dcterms:W3CDTF">2020-10-09T04:00:00Z</dcterms:modified>
</cp:coreProperties>
</file>