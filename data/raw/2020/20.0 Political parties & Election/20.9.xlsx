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9" sheetId="7" r:id="rId1"/>
  </sheets>
  <definedNames>
    <definedName name="_xlnm.Print_Area" localSheetId="0">'20.9'!$A$1:$AA$33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7" l="1"/>
  <c r="D9" i="7"/>
  <c r="C9" i="7"/>
  <c r="B9" i="7"/>
</calcChain>
</file>

<file path=xl/sharedStrings.xml><?xml version="1.0" encoding="utf-8"?>
<sst xmlns="http://schemas.openxmlformats.org/spreadsheetml/2006/main" count="69" uniqueCount="62">
  <si>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</si>
  <si>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</si>
  <si>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</si>
  <si>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</si>
  <si>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</si>
  <si>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</si>
  <si>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</si>
  <si>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</si>
  <si>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</si>
  <si>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</si>
  <si>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</si>
  <si>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</si>
  <si>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</si>
  <si>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</si>
  <si>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</si>
  <si>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</si>
  <si>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</si>
  <si>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</si>
  <si>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</si>
  <si>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</si>
  <si>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</si>
  <si>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</si>
  <si>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</si>
  <si>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</si>
  <si>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</si>
  <si>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</si>
  <si>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</si>
  <si>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</si>
  <si>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</si>
  <si>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</si>
  <si>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</si>
  <si>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</si>
  <si>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</si>
  <si>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</si>
  <si>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</si>
  <si>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</si>
  <si>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</si>
  <si>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</si>
  <si>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Source:  Ministry of Finance and Treasury</t>
  </si>
  <si>
    <t>City / Atoll</t>
  </si>
  <si>
    <r>
      <t>Budget Expenditure  (MVR)        (</t>
    </r>
    <r>
      <rPr>
        <b/>
        <sz val="10.5"/>
        <color theme="1"/>
        <rFont val="Faruma"/>
      </rPr>
      <t xml:space="preserve">ބަޖެޓް ޚަރަދު (ރުފިޔާ </t>
    </r>
  </si>
  <si>
    <t>ސިޓީ / އަތޮޅު</t>
  </si>
  <si>
    <t>Total council budget</t>
  </si>
  <si>
    <t>Salary &amp; allowances of council members &amp; staff</t>
  </si>
  <si>
    <t>ކައުންސިލް މެމްބަރުންނާއި މުވައްޒަފުންގެ މުސާރައާއި އެލަވަންސް</t>
  </si>
  <si>
    <t>ކައުންސިލްތަކުގެ ޖުމްލަ ބަޖެޓް</t>
  </si>
  <si>
    <r>
      <t xml:space="preserve">Numbers      </t>
    </r>
    <r>
      <rPr>
        <b/>
        <sz val="10.5"/>
        <color theme="1"/>
        <rFont val="Faruma"/>
      </rPr>
      <t xml:space="preserve"> ޢަދަދު</t>
    </r>
  </si>
  <si>
    <r>
      <t xml:space="preserve">Percentage share  </t>
    </r>
    <r>
      <rPr>
        <b/>
        <sz val="10.5"/>
        <color theme="1"/>
        <rFont val="Faruma"/>
      </rPr>
      <t>އިންސައްތައިން</t>
    </r>
  </si>
  <si>
    <t>Total</t>
  </si>
  <si>
    <t>ޖުމްލަ</t>
  </si>
  <si>
    <t>Male' City</t>
  </si>
  <si>
    <t>މާލޭ ސިޓީ</t>
  </si>
  <si>
    <t>Addu City</t>
  </si>
  <si>
    <t>އައްޑޫ ސިޓީ</t>
  </si>
  <si>
    <t>މަޢުލޫމާތު ދެއްވި ފަރާތް:  މިނިސްޓްރީ އޮފް ފިނޭންސް އެންޑް ޓްރެޜަރީ</t>
  </si>
  <si>
    <t>ތާވަލު 20.9: ލޯކަލް ކައުންސިލްތަކާއި މެމްބަރުންގެ ޢަދަދު އަދި ކައުންސިލްތަކަށް ހިނގި ޚަރަދު، 2014 - 2019</t>
  </si>
  <si>
    <t>TABLE 20.9: ELECTED LOCAL COUNCIL MEMBERS BY ATOLL AND FINANCIAL RESOURCES, 2014  - 2019</t>
  </si>
  <si>
    <t xml:space="preserve">ކައުންސިލްތަކުގެ </t>
  </si>
  <si>
    <t>މެމްބަރުންގެ</t>
  </si>
  <si>
    <t xml:space="preserve"> ޢަދަދު</t>
  </si>
  <si>
    <t>Number of councils</t>
  </si>
  <si>
    <t>Number  of members 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</si>
</sst>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.5"/>
      <color theme="1"/>
      <name val="Calibri"/>
      <family val="2"/>
      <scheme val="minor"/>
    </font>
    <font>
      <b/>
      <sz val="12"/>
      <color theme="1"/>
      <name val="Faruma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0.5"/>
      <color theme="1"/>
      <name val="Faruma"/>
    </font>
    <font>
      <sz val="10"/>
      <color theme="1" tint="0.14999847407452621"/>
      <name val="Faruma"/>
    </font>
    <font>
      <sz val="10"/>
      <name val="Faruma"/>
    </font>
    <font>
      <b/>
      <sz val="10"/>
      <color theme="1" tint="0.14999847407452621"/>
      <name val="Faruma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0" fillId="0" borderId="0"/>
    <xf numFmtId="0" fontId="1" fillId="0" borderId="0"/>
    <xf numFmtId="0" fontId="7" fillId="0" borderId="0"/>
  </cellStyleXfs>
  <cellXfs count="83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 applyBorder="1"/>
    <xf numFmtId="0" fontId="6" fillId="2" borderId="0" xfId="0" applyFont="1" applyFill="1" applyBorder="1"/>
    <xf numFmtId="0" fontId="9" fillId="2" borderId="0" xfId="0" applyFont="1" applyFill="1" applyAlignment="1"/>
    <xf numFmtId="164" fontId="0" fillId="2" borderId="0" xfId="1" applyNumberFormat="1" applyFont="1" applyFill="1" applyBorder="1"/>
    <xf numFmtId="0" fontId="0" fillId="2" borderId="0" xfId="0" applyFont="1" applyFill="1" applyBorder="1" applyAlignment="1">
      <alignment horizontal="center" wrapText="1"/>
    </xf>
    <xf numFmtId="166" fontId="2" fillId="2" borderId="6" xfId="0" applyNumberFormat="1" applyFont="1" applyFill="1" applyBorder="1" applyAlignment="1">
      <alignment vertical="center" wrapText="1"/>
    </xf>
    <xf numFmtId="166" fontId="2" fillId="2" borderId="0" xfId="0" applyNumberFormat="1" applyFont="1" applyFill="1" applyBorder="1" applyAlignment="1">
      <alignment vertical="center" wrapText="1"/>
    </xf>
    <xf numFmtId="166" fontId="2" fillId="2" borderId="8" xfId="0" applyNumberFormat="1" applyFont="1" applyFill="1" applyBorder="1" applyAlignment="1">
      <alignment vertical="center" wrapText="1"/>
    </xf>
    <xf numFmtId="0" fontId="11" fillId="2" borderId="0" xfId="10" applyFont="1" applyFill="1" applyBorder="1" applyAlignment="1">
      <alignment horizontal="left" vertical="top" wrapText="1" indent="2"/>
    </xf>
    <xf numFmtId="166" fontId="1" fillId="2" borderId="6" xfId="1" applyNumberFormat="1" applyFont="1" applyFill="1" applyBorder="1" applyAlignment="1">
      <alignment vertical="center"/>
    </xf>
    <xf numFmtId="166" fontId="1" fillId="2" borderId="0" xfId="1" applyNumberFormat="1" applyFont="1" applyFill="1" applyBorder="1" applyAlignment="1">
      <alignment vertical="center" wrapText="1"/>
    </xf>
    <xf numFmtId="166" fontId="1" fillId="2" borderId="8" xfId="1" applyNumberFormat="1" applyFont="1" applyFill="1" applyBorder="1" applyAlignment="1">
      <alignment vertical="center"/>
    </xf>
    <xf numFmtId="166" fontId="1" fillId="2" borderId="0" xfId="1" applyNumberFormat="1" applyFont="1" applyFill="1" applyBorder="1" applyAlignment="1">
      <alignment vertical="center"/>
    </xf>
    <xf numFmtId="166" fontId="1" fillId="2" borderId="6" xfId="0" applyNumberFormat="1" applyFont="1" applyFill="1" applyBorder="1" applyAlignment="1">
      <alignment vertical="center" wrapText="1"/>
    </xf>
    <xf numFmtId="166" fontId="1" fillId="2" borderId="0" xfId="0" applyNumberFormat="1" applyFont="1" applyFill="1" applyBorder="1" applyAlignment="1">
      <alignment vertical="center" wrapText="1"/>
    </xf>
    <xf numFmtId="43" fontId="0" fillId="2" borderId="0" xfId="1" applyFont="1" applyFill="1" applyBorder="1"/>
    <xf numFmtId="0" fontId="11" fillId="2" borderId="1" xfId="10" applyFont="1" applyFill="1" applyBorder="1" applyAlignment="1">
      <alignment horizontal="left" vertical="top" wrapText="1" indent="2"/>
    </xf>
    <xf numFmtId="166" fontId="1" fillId="2" borderId="5" xfId="1" applyNumberFormat="1" applyFont="1" applyFill="1" applyBorder="1" applyAlignment="1">
      <alignment vertical="center"/>
    </xf>
    <xf numFmtId="166" fontId="1" fillId="2" borderId="1" xfId="1" applyNumberFormat="1" applyFont="1" applyFill="1" applyBorder="1" applyAlignment="1">
      <alignment vertical="center" wrapText="1"/>
    </xf>
    <xf numFmtId="166" fontId="1" fillId="2" borderId="7" xfId="1" applyNumberFormat="1" applyFont="1" applyFill="1" applyBorder="1" applyAlignment="1">
      <alignment vertical="center"/>
    </xf>
    <xf numFmtId="166" fontId="1" fillId="2" borderId="1" xfId="1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wrapText="1"/>
    </xf>
    <xf numFmtId="164" fontId="6" fillId="2" borderId="0" xfId="1" applyNumberFormat="1" applyFont="1" applyFill="1" applyBorder="1"/>
    <xf numFmtId="166" fontId="1" fillId="2" borderId="6" xfId="1" applyNumberFormat="1" applyFont="1" applyFill="1" applyBorder="1" applyAlignment="1">
      <alignment vertical="center" wrapText="1"/>
    </xf>
    <xf numFmtId="166" fontId="1" fillId="2" borderId="5" xfId="1" applyNumberFormat="1" applyFont="1" applyFill="1" applyBorder="1" applyAlignment="1">
      <alignment vertical="center" wrapText="1"/>
    </xf>
    <xf numFmtId="3" fontId="13" fillId="2" borderId="0" xfId="2" applyNumberFormat="1" applyFont="1" applyFill="1" applyBorder="1" applyAlignment="1" applyProtection="1">
      <alignment horizontal="right" vertical="center" indent="2"/>
    </xf>
    <xf numFmtId="3" fontId="14" fillId="2" borderId="0" xfId="2" applyNumberFormat="1" applyFont="1" applyFill="1" applyBorder="1" applyAlignment="1" applyProtection="1">
      <alignment horizontal="right" vertical="center" indent="2"/>
    </xf>
    <xf numFmtId="3" fontId="15" fillId="2" borderId="0" xfId="2" applyNumberFormat="1" applyFont="1" applyFill="1" applyBorder="1" applyAlignment="1" applyProtection="1">
      <alignment horizontal="right" vertical="center" indent="2"/>
    </xf>
    <xf numFmtId="3" fontId="13" fillId="2" borderId="1" xfId="2" applyNumberFormat="1" applyFont="1" applyFill="1" applyBorder="1" applyAlignment="1" applyProtection="1">
      <alignment horizontal="right" vertical="center" indent="2"/>
    </xf>
    <xf numFmtId="11" fontId="0" fillId="2" borderId="0" xfId="1" applyNumberFormat="1" applyFont="1" applyFill="1" applyBorder="1"/>
    <xf numFmtId="166" fontId="0" fillId="2" borderId="0" xfId="0" applyNumberFormat="1" applyFont="1" applyFill="1" applyBorder="1" applyAlignment="1">
      <alignment vertical="center" wrapText="1"/>
    </xf>
    <xf numFmtId="166" fontId="0" fillId="2" borderId="1" xfId="0" applyNumberFormat="1" applyFont="1" applyFill="1" applyBorder="1" applyAlignment="1">
      <alignment vertical="center" wrapText="1"/>
    </xf>
    <xf numFmtId="164" fontId="2" fillId="2" borderId="0" xfId="1" applyNumberFormat="1" applyFont="1" applyFill="1" applyBorder="1"/>
    <xf numFmtId="0" fontId="8" fillId="2" borderId="1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right" vertical="center" wrapText="1"/>
    </xf>
    <xf numFmtId="43" fontId="6" fillId="2" borderId="0" xfId="0" applyNumberFormat="1" applyFont="1" applyFill="1" applyBorder="1" applyAlignment="1">
      <alignment wrapText="1"/>
    </xf>
    <xf numFmtId="0" fontId="3" fillId="2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6" fillId="2" borderId="2" xfId="0" applyFont="1" applyFill="1" applyBorder="1"/>
    <xf numFmtId="0" fontId="12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13" xfId="0" applyFont="1" applyFill="1" applyBorder="1" applyAlignment="1">
      <alignment horizontal="right" vertical="center" wrapText="1"/>
    </xf>
    <xf numFmtId="37" fontId="2" fillId="2" borderId="0" xfId="1" applyNumberFormat="1" applyFont="1" applyFill="1" applyBorder="1" applyAlignment="1">
      <alignment vertical="center"/>
    </xf>
    <xf numFmtId="37" fontId="1" fillId="2" borderId="0" xfId="1" applyNumberFormat="1" applyFont="1" applyFill="1" applyBorder="1" applyAlignment="1">
      <alignment vertical="center"/>
    </xf>
    <xf numFmtId="37" fontId="1" fillId="2" borderId="1" xfId="1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164" fontId="0" fillId="2" borderId="0" xfId="1" applyNumberFormat="1" applyFont="1" applyFill="1" applyBorder="1" applyAlignment="1">
      <alignment horizontal="center" vertical="center"/>
    </xf>
    <xf numFmtId="164" fontId="11" fillId="2" borderId="0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 wrapText="1"/>
    </xf>
  </cellXfs>
  <cellStyles count="11">
    <cellStyle name="Comma" xfId="1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19.8" xfId="10"/>
    <cellStyle name="Normal_II-15(Population) 2" xfId="2"/>
  </cellStyles>
  <dxfs count="0"/>
  <tableStyles count="0" defaultTableStyle="TableStyleMedium2" defaultPivotStyle="PivotStyleLight16"/>
  <colors>
    <mruColors>
      <color rgb="FFE1C2A3"/>
      <color rgb="FFF6ECE2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"/>
  <sheetViews>
    <sheetView tabSelected="1" topLeftCell="A4" zoomScaleNormal="100" workbookViewId="0">
      <selection activeCell="H9" sqref="H9"/>
    </sheetView>
  </sheetViews>
  <sheetFormatPr defaultRowHeight="15" x14ac:dyDescent="0.25"/>
  <cols>
    <col min="1" max="1" width="10.5703125" style="1" customWidth="1"/>
    <col min="2" max="5" width="14.140625" style="1" customWidth="1"/>
    <col min="6" max="11" width="9.140625" style="1"/>
    <col min="12" max="13" width="9.140625" style="1" hidden="1" customWidth="1"/>
    <col min="14" max="14" width="3.42578125" style="1" hidden="1" customWidth="1"/>
    <col min="15" max="26" width="9.140625" style="1"/>
    <col min="27" max="27" width="18.28515625" style="1" customWidth="1"/>
    <col min="28" max="16384" width="9.140625" style="1"/>
  </cols>
  <sheetData>
    <row r="1" spans="1:33" ht="21.75" x14ac:dyDescent="0.55000000000000004">
      <c r="A1" s="46" t="s">
        <v>55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6"/>
      <c r="AC1" s="6"/>
      <c r="AD1" s="7"/>
      <c r="AE1" s="7"/>
    </row>
    <row r="2" spans="1:33" x14ac:dyDescent="0.25">
      <c r="A2" s="47" t="s">
        <v>56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D2" s="7"/>
      <c r="AE2" s="7"/>
    </row>
    <row r="3" spans="1:33" x14ac:dyDescent="0.25">
      <c r="B3" s="48"/>
      <c r="C3" s="48"/>
      <c r="D3" s="48"/>
      <c r="E3" s="48"/>
      <c r="F3" s="8"/>
      <c r="G3" s="8"/>
      <c r="H3" s="8"/>
      <c r="I3" s="8"/>
      <c r="J3" s="8"/>
      <c r="K3" s="8"/>
      <c r="L3" s="48"/>
      <c r="M3" s="48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D3" s="7"/>
      <c r="AE3" s="7"/>
    </row>
    <row r="4" spans="1:33" ht="17.25" customHeight="1" x14ac:dyDescent="0.25">
      <c r="A4" s="49" t="s">
        <v>39</v>
      </c>
      <c r="B4" s="69"/>
      <c r="C4" s="70"/>
      <c r="D4" s="69"/>
      <c r="E4" s="70"/>
      <c r="F4" s="67" t="s">
        <v>40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52" t="s">
        <v>41</v>
      </c>
      <c r="AD4" s="7"/>
      <c r="AE4" s="7"/>
    </row>
    <row r="5" spans="1:33" ht="13.5" customHeight="1" x14ac:dyDescent="0.25">
      <c r="A5" s="50"/>
      <c r="B5" s="71" t="s">
        <v>57</v>
      </c>
      <c r="C5" s="71" t="s">
        <v>58</v>
      </c>
      <c r="D5" s="71" t="s">
        <v>57</v>
      </c>
      <c r="E5" s="71" t="s">
        <v>58</v>
      </c>
      <c r="F5" s="55" t="s">
        <v>42</v>
      </c>
      <c r="G5" s="56"/>
      <c r="H5" s="56"/>
      <c r="I5" s="56"/>
      <c r="J5" s="56"/>
      <c r="K5" s="57"/>
      <c r="M5" s="39"/>
      <c r="N5" s="39"/>
      <c r="O5" s="55" t="s">
        <v>43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3"/>
      <c r="AD5" s="7"/>
      <c r="AE5" s="7"/>
    </row>
    <row r="6" spans="1:33" ht="19.5" x14ac:dyDescent="0.25">
      <c r="A6" s="50"/>
      <c r="B6" s="71" t="s">
        <v>59</v>
      </c>
      <c r="C6" s="71" t="s">
        <v>59</v>
      </c>
      <c r="D6" s="71" t="s">
        <v>59</v>
      </c>
      <c r="E6" s="71" t="s">
        <v>59</v>
      </c>
      <c r="F6" s="58"/>
      <c r="G6" s="59"/>
      <c r="H6" s="59"/>
      <c r="I6" s="59"/>
      <c r="J6" s="59"/>
      <c r="K6" s="60"/>
      <c r="M6" s="40"/>
      <c r="N6" s="40"/>
      <c r="O6" s="64" t="s">
        <v>44</v>
      </c>
      <c r="P6" s="65"/>
      <c r="Q6" s="65"/>
      <c r="R6" s="65"/>
      <c r="S6" s="65"/>
      <c r="T6" s="65"/>
      <c r="U6" s="66"/>
      <c r="V6" s="66"/>
      <c r="W6" s="66"/>
      <c r="X6" s="66"/>
      <c r="Y6" s="66"/>
      <c r="Z6" s="66"/>
      <c r="AA6" s="53"/>
      <c r="AD6" s="7"/>
      <c r="AE6" s="7"/>
    </row>
    <row r="7" spans="1:33" ht="39.75" customHeight="1" x14ac:dyDescent="0.25">
      <c r="A7" s="50"/>
      <c r="B7" s="72" t="s">
        <v>60</v>
      </c>
      <c r="C7" s="72" t="s">
        <v>61</v>
      </c>
      <c r="D7" s="72" t="s">
        <v>60</v>
      </c>
      <c r="E7" s="72" t="s">
        <v>61</v>
      </c>
      <c r="F7" s="61" t="s">
        <v>45</v>
      </c>
      <c r="G7" s="62"/>
      <c r="H7" s="62"/>
      <c r="I7" s="62"/>
      <c r="J7" s="62"/>
      <c r="K7" s="63"/>
      <c r="L7" s="68" t="s">
        <v>46</v>
      </c>
      <c r="M7" s="68"/>
      <c r="N7" s="68"/>
      <c r="O7" s="68"/>
      <c r="P7" s="68"/>
      <c r="Q7" s="68"/>
      <c r="R7" s="68"/>
      <c r="S7" s="68"/>
      <c r="T7" s="68"/>
      <c r="U7" s="67" t="s">
        <v>47</v>
      </c>
      <c r="V7" s="68"/>
      <c r="W7" s="68"/>
      <c r="X7" s="68"/>
      <c r="Y7" s="68"/>
      <c r="Z7" s="68"/>
      <c r="AA7" s="53"/>
      <c r="AD7" s="7"/>
      <c r="AE7" s="7"/>
    </row>
    <row r="8" spans="1:33" x14ac:dyDescent="0.25">
      <c r="A8" s="51"/>
      <c r="B8" s="73">
        <v>2018</v>
      </c>
      <c r="C8" s="73">
        <v>2018</v>
      </c>
      <c r="D8" s="73">
        <v>2019</v>
      </c>
      <c r="E8" s="73">
        <v>2019</v>
      </c>
      <c r="F8" s="38">
        <v>2014</v>
      </c>
      <c r="G8" s="37">
        <v>2015</v>
      </c>
      <c r="H8" s="37">
        <v>2016</v>
      </c>
      <c r="I8" s="37">
        <v>2017</v>
      </c>
      <c r="J8" s="37">
        <v>2018</v>
      </c>
      <c r="K8" s="37">
        <v>2019</v>
      </c>
      <c r="L8" s="41">
        <v>2011</v>
      </c>
      <c r="M8" s="37">
        <v>2012</v>
      </c>
      <c r="N8" s="37">
        <v>2013</v>
      </c>
      <c r="O8" s="38">
        <v>2014</v>
      </c>
      <c r="P8" s="37">
        <v>2015</v>
      </c>
      <c r="Q8" s="37">
        <v>2016</v>
      </c>
      <c r="R8" s="37">
        <v>2017</v>
      </c>
      <c r="S8" s="37">
        <v>2018</v>
      </c>
      <c r="T8" s="37">
        <v>2019</v>
      </c>
      <c r="U8" s="38">
        <v>2014</v>
      </c>
      <c r="V8" s="37">
        <v>2015</v>
      </c>
      <c r="W8" s="37">
        <v>2016</v>
      </c>
      <c r="X8" s="37">
        <v>2017</v>
      </c>
      <c r="Y8" s="37">
        <v>2018</v>
      </c>
      <c r="Z8" s="37">
        <v>2019</v>
      </c>
      <c r="AA8" s="54"/>
      <c r="AD8" s="7"/>
      <c r="AE8" s="7"/>
    </row>
    <row r="9" spans="1:33" ht="21" x14ac:dyDescent="0.25">
      <c r="A9" s="44" t="s">
        <v>48</v>
      </c>
      <c r="B9" s="74">
        <f>SUM(B10:B30)</f>
        <v>200</v>
      </c>
      <c r="C9" s="74">
        <f t="shared" ref="C9:E9" si="0">SUM(C10:C30)</f>
        <v>652</v>
      </c>
      <c r="D9" s="74">
        <f t="shared" si="0"/>
        <v>200</v>
      </c>
      <c r="E9" s="74">
        <f t="shared" si="0"/>
        <v>650</v>
      </c>
      <c r="F9" s="9">
        <v>978.71340600000008</v>
      </c>
      <c r="G9" s="10">
        <v>1119.6708269999999</v>
      </c>
      <c r="H9" s="10">
        <v>729.76754624999967</v>
      </c>
      <c r="I9" s="10">
        <v>572.79831100000001</v>
      </c>
      <c r="J9" s="10">
        <v>573.26315499999998</v>
      </c>
      <c r="K9" s="10">
        <v>915.38858400000004</v>
      </c>
      <c r="L9" s="11">
        <v>446.27385500000003</v>
      </c>
      <c r="M9" s="10">
        <v>620.73176699999999</v>
      </c>
      <c r="N9" s="10">
        <v>597.28236500000003</v>
      </c>
      <c r="O9" s="9">
        <v>589.38817600000004</v>
      </c>
      <c r="P9" s="10">
        <v>671.71199799999988</v>
      </c>
      <c r="Q9" s="10">
        <v>418.03275817999975</v>
      </c>
      <c r="R9" s="10">
        <v>381.96520699999996</v>
      </c>
      <c r="S9" s="10">
        <v>371.67126500000001</v>
      </c>
      <c r="T9" s="10">
        <v>524.925523</v>
      </c>
      <c r="U9" s="9">
        <v>60.220711434701599</v>
      </c>
      <c r="V9" s="10">
        <v>59.991917428067453</v>
      </c>
      <c r="W9" s="10">
        <v>57.283002009079809</v>
      </c>
      <c r="X9" s="10">
        <v>66.684066566669742</v>
      </c>
      <c r="Y9" s="10">
        <v>64.834319414789533</v>
      </c>
      <c r="Z9" s="10">
        <v>57.344556418457579</v>
      </c>
      <c r="AA9" s="43" t="s">
        <v>49</v>
      </c>
      <c r="AD9" s="7"/>
      <c r="AE9" s="7"/>
    </row>
    <row r="10" spans="1:33" ht="30" x14ac:dyDescent="0.25">
      <c r="A10" s="12" t="s">
        <v>50</v>
      </c>
      <c r="B10" s="75">
        <v>1</v>
      </c>
      <c r="C10" s="75">
        <v>13</v>
      </c>
      <c r="D10" s="75">
        <v>1</v>
      </c>
      <c r="E10" s="75">
        <v>13</v>
      </c>
      <c r="F10" s="27">
        <v>214.02913000000001</v>
      </c>
      <c r="G10" s="14">
        <v>145.91413299999999</v>
      </c>
      <c r="H10" s="14">
        <v>21.49789041</v>
      </c>
      <c r="I10" s="16">
        <v>15.825676</v>
      </c>
      <c r="J10" s="16">
        <v>17.1113</v>
      </c>
      <c r="K10" s="16">
        <v>130.21999</v>
      </c>
      <c r="L10" s="15">
        <v>33.687016</v>
      </c>
      <c r="M10" s="16">
        <v>85.331259000000003</v>
      </c>
      <c r="N10" s="16">
        <v>84.670901000000001</v>
      </c>
      <c r="O10" s="13">
        <v>79.983987999999997</v>
      </c>
      <c r="P10" s="14">
        <v>38.370424</v>
      </c>
      <c r="Q10" s="14">
        <v>12.89921627</v>
      </c>
      <c r="R10" s="14">
        <v>10.691314999999999</v>
      </c>
      <c r="S10" s="16">
        <v>9.3798560000000002</v>
      </c>
      <c r="T10" s="14">
        <v>61.256999999999998</v>
      </c>
      <c r="U10" s="13">
        <v>37.370608384008285</v>
      </c>
      <c r="V10" s="16">
        <v>26.29657813887021</v>
      </c>
      <c r="W10" s="16">
        <v>60.002242192097953</v>
      </c>
      <c r="X10" s="34">
        <v>67.5567666114231</v>
      </c>
      <c r="Y10" s="34">
        <v>54.816735139936767</v>
      </c>
      <c r="Z10" s="34">
        <v>47.041164724402144</v>
      </c>
      <c r="AA10" s="29" t="s">
        <v>51</v>
      </c>
      <c r="AC10" s="19"/>
      <c r="AD10" s="7"/>
      <c r="AE10" s="7"/>
      <c r="AF10" s="19"/>
      <c r="AG10" s="19"/>
    </row>
    <row r="11" spans="1:33" ht="18.75" x14ac:dyDescent="0.25">
      <c r="A11" s="12" t="s">
        <v>0</v>
      </c>
      <c r="B11" s="75">
        <v>15</v>
      </c>
      <c r="C11" s="75">
        <v>53</v>
      </c>
      <c r="D11" s="75">
        <v>15</v>
      </c>
      <c r="E11" s="75">
        <v>55</v>
      </c>
      <c r="F11" s="27">
        <v>54.525649999999999</v>
      </c>
      <c r="G11" s="14">
        <v>72.721290999999994</v>
      </c>
      <c r="H11" s="14">
        <v>52.025372539999964</v>
      </c>
      <c r="I11" s="16">
        <v>40.963697000000003</v>
      </c>
      <c r="J11" s="16">
        <v>41.219610000000003</v>
      </c>
      <c r="K11" s="16">
        <v>55.704403999999997</v>
      </c>
      <c r="L11" s="15">
        <v>30.011016000000001</v>
      </c>
      <c r="M11" s="16">
        <v>38.961582999999997</v>
      </c>
      <c r="N11" s="16">
        <v>37.259529000000001</v>
      </c>
      <c r="O11" s="13">
        <v>38.333622999999996</v>
      </c>
      <c r="P11" s="14">
        <v>48.973019000000001</v>
      </c>
      <c r="Q11" s="14">
        <v>28.363732329999984</v>
      </c>
      <c r="R11" s="14">
        <v>26.721032999999998</v>
      </c>
      <c r="S11" s="16">
        <v>26.202279000000001</v>
      </c>
      <c r="T11" s="14">
        <v>34.187677000000001</v>
      </c>
      <c r="U11" s="13">
        <v>70.303834984085469</v>
      </c>
      <c r="V11" s="16">
        <v>67.343440038763887</v>
      </c>
      <c r="W11" s="16">
        <v>54.519037433499186</v>
      </c>
      <c r="X11" s="34">
        <v>65.231009300747431</v>
      </c>
      <c r="Y11" s="34">
        <v>63.567508280646038</v>
      </c>
      <c r="Z11" s="34">
        <v>61.373382614415917</v>
      </c>
      <c r="AA11" s="29" t="s">
        <v>1</v>
      </c>
      <c r="AC11" s="19"/>
      <c r="AD11" s="7"/>
      <c r="AE11" s="7"/>
      <c r="AF11" s="19"/>
      <c r="AG11" s="19"/>
    </row>
    <row r="12" spans="1:33" ht="18.75" x14ac:dyDescent="0.25">
      <c r="A12" s="12" t="s">
        <v>2</v>
      </c>
      <c r="B12" s="75">
        <v>14</v>
      </c>
      <c r="C12" s="75">
        <v>47</v>
      </c>
      <c r="D12" s="75">
        <v>14</v>
      </c>
      <c r="E12" s="75">
        <v>46</v>
      </c>
      <c r="F12" s="27">
        <v>51.579220999999997</v>
      </c>
      <c r="G12" s="14">
        <v>62.912728999999999</v>
      </c>
      <c r="H12" s="14">
        <v>52.868822129999991</v>
      </c>
      <c r="I12" s="16">
        <v>40.022891000000001</v>
      </c>
      <c r="J12" s="16">
        <v>40.358490000000003</v>
      </c>
      <c r="K12" s="16">
        <v>53.483739999999997</v>
      </c>
      <c r="L12" s="15">
        <v>30.574224999999998</v>
      </c>
      <c r="M12" s="16">
        <v>40.657739999999997</v>
      </c>
      <c r="N12" s="16">
        <v>37.837862000000001</v>
      </c>
      <c r="O12" s="13">
        <v>37.05736499999999</v>
      </c>
      <c r="P12" s="14">
        <v>43.527625999999998</v>
      </c>
      <c r="Q12" s="14">
        <v>27.762921599999995</v>
      </c>
      <c r="R12" s="14">
        <v>25.624673000000001</v>
      </c>
      <c r="S12" s="16">
        <v>25.704508000000001</v>
      </c>
      <c r="T12" s="14">
        <v>31.009371999999999</v>
      </c>
      <c r="U12" s="13">
        <v>71.845530586822932</v>
      </c>
      <c r="V12" s="16">
        <v>69.1873118395484</v>
      </c>
      <c r="W12" s="16">
        <v>52.512843073623436</v>
      </c>
      <c r="X12" s="34">
        <v>64.025042568763951</v>
      </c>
      <c r="Y12" s="34">
        <v>63.690460173311735</v>
      </c>
      <c r="Z12" s="34">
        <v>57.979064291315453</v>
      </c>
      <c r="AA12" s="29" t="s">
        <v>3</v>
      </c>
      <c r="AC12" s="19"/>
      <c r="AD12" s="7"/>
      <c r="AE12" s="7"/>
      <c r="AF12" s="19"/>
      <c r="AG12" s="19"/>
    </row>
    <row r="13" spans="1:33" ht="18.75" x14ac:dyDescent="0.25">
      <c r="A13" s="12" t="s">
        <v>4</v>
      </c>
      <c r="B13" s="75">
        <v>15</v>
      </c>
      <c r="C13" s="75">
        <v>46</v>
      </c>
      <c r="D13" s="75">
        <v>15</v>
      </c>
      <c r="E13" s="75">
        <v>45</v>
      </c>
      <c r="F13" s="27">
        <v>47.947021999999997</v>
      </c>
      <c r="G13" s="14">
        <v>65.142270999999994</v>
      </c>
      <c r="H13" s="14">
        <v>48.118387069999947</v>
      </c>
      <c r="I13" s="16">
        <v>37.752777999999999</v>
      </c>
      <c r="J13" s="16">
        <v>38.418151999999999</v>
      </c>
      <c r="K13" s="16">
        <v>48.302444000000001</v>
      </c>
      <c r="L13" s="15">
        <v>27.44192</v>
      </c>
      <c r="M13" s="16">
        <v>34.639156999999997</v>
      </c>
      <c r="N13" s="16">
        <v>33.258971000000003</v>
      </c>
      <c r="O13" s="13">
        <v>33.549444999999999</v>
      </c>
      <c r="P13" s="14">
        <v>42.718687000000003</v>
      </c>
      <c r="Q13" s="14">
        <v>27.479001199999953</v>
      </c>
      <c r="R13" s="14">
        <v>25.3568</v>
      </c>
      <c r="S13" s="16">
        <v>24.800805</v>
      </c>
      <c r="T13" s="14">
        <v>29.784192000000001</v>
      </c>
      <c r="U13" s="13">
        <v>69.971905658708067</v>
      </c>
      <c r="V13" s="16">
        <v>65.577521852131937</v>
      </c>
      <c r="W13" s="16">
        <v>57.10707044279151</v>
      </c>
      <c r="X13" s="34">
        <v>67.165388464923041</v>
      </c>
      <c r="Y13" s="34">
        <v>64.554914041674877</v>
      </c>
      <c r="Z13" s="34">
        <v>61.661873672479182</v>
      </c>
      <c r="AA13" s="29" t="s">
        <v>5</v>
      </c>
      <c r="AC13" s="19"/>
      <c r="AD13" s="7"/>
      <c r="AE13" s="7"/>
      <c r="AF13" s="19"/>
      <c r="AG13" s="19"/>
    </row>
    <row r="14" spans="1:33" ht="18.75" x14ac:dyDescent="0.25">
      <c r="A14" s="12" t="s">
        <v>6</v>
      </c>
      <c r="B14" s="75">
        <v>14</v>
      </c>
      <c r="C14" s="75">
        <v>43</v>
      </c>
      <c r="D14" s="75">
        <v>14</v>
      </c>
      <c r="E14" s="75">
        <v>43</v>
      </c>
      <c r="F14" s="27">
        <v>44.962316999999999</v>
      </c>
      <c r="G14" s="14">
        <v>54.707442999999998</v>
      </c>
      <c r="H14" s="14">
        <v>41.224796179999991</v>
      </c>
      <c r="I14" s="16">
        <v>33.39772</v>
      </c>
      <c r="J14" s="16">
        <v>34.167124000000001</v>
      </c>
      <c r="K14" s="16">
        <v>43.125810000000001</v>
      </c>
      <c r="L14" s="15">
        <v>24.324807</v>
      </c>
      <c r="M14" s="16">
        <v>32.041421999999997</v>
      </c>
      <c r="N14" s="16">
        <v>30.084500999999999</v>
      </c>
      <c r="O14" s="13">
        <v>29.729382000000001</v>
      </c>
      <c r="P14" s="14">
        <v>35.627417999999999</v>
      </c>
      <c r="Q14" s="14">
        <v>23.318912809999997</v>
      </c>
      <c r="R14" s="14">
        <v>21.243970000000001</v>
      </c>
      <c r="S14" s="16">
        <v>21.699822999999999</v>
      </c>
      <c r="T14" s="14">
        <v>26.083797000000001</v>
      </c>
      <c r="U14" s="13">
        <v>66.120662776342243</v>
      </c>
      <c r="V14" s="16">
        <v>65.123529900675493</v>
      </c>
      <c r="W14" s="16">
        <v>56.565259190567097</v>
      </c>
      <c r="X14" s="34">
        <v>63.60904277297972</v>
      </c>
      <c r="Y14" s="34">
        <v>63.51082695751623</v>
      </c>
      <c r="Z14" s="34">
        <v>60.483030927419101</v>
      </c>
      <c r="AA14" s="30" t="s">
        <v>7</v>
      </c>
      <c r="AC14" s="19"/>
      <c r="AD14" s="7"/>
      <c r="AE14" s="7"/>
      <c r="AF14" s="19"/>
      <c r="AG14" s="19"/>
    </row>
    <row r="15" spans="1:33" ht="18.75" x14ac:dyDescent="0.25">
      <c r="A15" s="12" t="s">
        <v>8</v>
      </c>
      <c r="B15" s="75">
        <v>16</v>
      </c>
      <c r="C15" s="75">
        <v>52</v>
      </c>
      <c r="D15" s="75">
        <v>16</v>
      </c>
      <c r="E15" s="75">
        <v>52</v>
      </c>
      <c r="F15" s="27">
        <v>59.843497999999997</v>
      </c>
      <c r="G15" s="14">
        <v>72.660437999999999</v>
      </c>
      <c r="H15" s="14">
        <v>54.065771869999999</v>
      </c>
      <c r="I15" s="16">
        <v>43.823442999999997</v>
      </c>
      <c r="J15" s="16">
        <v>47.098762000000001</v>
      </c>
      <c r="K15" s="16">
        <v>52.247922000000003</v>
      </c>
      <c r="L15" s="15">
        <v>29.724703999999999</v>
      </c>
      <c r="M15" s="16">
        <v>38.211796</v>
      </c>
      <c r="N15" s="16">
        <v>36.823645999999997</v>
      </c>
      <c r="O15" s="13">
        <v>36.508099000000001</v>
      </c>
      <c r="P15" s="14">
        <v>45.764249999999997</v>
      </c>
      <c r="Q15" s="14">
        <v>29.541790209999995</v>
      </c>
      <c r="R15" s="14">
        <v>27.460016</v>
      </c>
      <c r="S15" s="16">
        <v>27.193169999999999</v>
      </c>
      <c r="T15" s="14">
        <v>32.885393999999998</v>
      </c>
      <c r="U15" s="13">
        <v>61.005957572867821</v>
      </c>
      <c r="V15" s="16">
        <v>62.983724375567341</v>
      </c>
      <c r="W15" s="16">
        <v>54.640466950203916</v>
      </c>
      <c r="X15" s="34">
        <v>62.660562749485479</v>
      </c>
      <c r="Y15" s="34">
        <v>57.73648572758664</v>
      </c>
      <c r="Z15" s="34">
        <v>62.941056296937504</v>
      </c>
      <c r="AA15" s="29" t="s">
        <v>9</v>
      </c>
      <c r="AC15" s="19"/>
      <c r="AD15" s="7"/>
      <c r="AE15" s="7"/>
      <c r="AF15" s="19"/>
      <c r="AG15" s="19"/>
    </row>
    <row r="16" spans="1:33" ht="18.75" x14ac:dyDescent="0.25">
      <c r="A16" s="12" t="s">
        <v>10</v>
      </c>
      <c r="B16" s="75">
        <v>14</v>
      </c>
      <c r="C16" s="75">
        <v>44</v>
      </c>
      <c r="D16" s="75">
        <v>14</v>
      </c>
      <c r="E16" s="75">
        <v>44</v>
      </c>
      <c r="F16" s="27">
        <v>42.158138999999998</v>
      </c>
      <c r="G16" s="14">
        <v>51.776730000000001</v>
      </c>
      <c r="H16" s="14">
        <v>40.832283359999998</v>
      </c>
      <c r="I16" s="16">
        <v>31.618131999999999</v>
      </c>
      <c r="J16" s="16">
        <v>32.101560999999997</v>
      </c>
      <c r="K16" s="16">
        <v>41.212989</v>
      </c>
      <c r="L16" s="15">
        <v>25.201101000000001</v>
      </c>
      <c r="M16" s="16">
        <v>30.289159000000001</v>
      </c>
      <c r="N16" s="16">
        <v>28.642721999999999</v>
      </c>
      <c r="O16" s="13">
        <v>28.38166</v>
      </c>
      <c r="P16" s="14">
        <v>34.751924000000002</v>
      </c>
      <c r="Q16" s="14">
        <v>23.691793469999997</v>
      </c>
      <c r="R16" s="14">
        <v>21.464646999999999</v>
      </c>
      <c r="S16" s="16">
        <v>21.606940000000002</v>
      </c>
      <c r="T16" s="14">
        <v>25.359826999999999</v>
      </c>
      <c r="U16" s="13">
        <v>67.321899574362149</v>
      </c>
      <c r="V16" s="16">
        <v>67.118808005063286</v>
      </c>
      <c r="W16" s="16">
        <v>58.022210663851538</v>
      </c>
      <c r="X16" s="34">
        <v>67.887144629543585</v>
      </c>
      <c r="Y16" s="34">
        <v>67.308066420819856</v>
      </c>
      <c r="Z16" s="34">
        <v>61.533578649197217</v>
      </c>
      <c r="AA16" s="29" t="s">
        <v>11</v>
      </c>
      <c r="AC16" s="19"/>
      <c r="AD16" s="7"/>
      <c r="AE16" s="7"/>
      <c r="AF16" s="19"/>
      <c r="AG16" s="19"/>
    </row>
    <row r="17" spans="1:33" ht="18.75" x14ac:dyDescent="0.25">
      <c r="A17" s="12" t="s">
        <v>12</v>
      </c>
      <c r="B17" s="75">
        <v>5</v>
      </c>
      <c r="C17" s="75">
        <v>19</v>
      </c>
      <c r="D17" s="75">
        <v>5</v>
      </c>
      <c r="E17" s="75">
        <v>19</v>
      </c>
      <c r="F17" s="27">
        <v>21.565169999999998</v>
      </c>
      <c r="G17" s="14">
        <v>24.164908</v>
      </c>
      <c r="H17" s="14">
        <v>19.710422739999998</v>
      </c>
      <c r="I17" s="16">
        <v>16.563343</v>
      </c>
      <c r="J17" s="16">
        <v>16.330446999999999</v>
      </c>
      <c r="K17" s="16">
        <v>23.299793000000001</v>
      </c>
      <c r="L17" s="15">
        <v>13.163275000000001</v>
      </c>
      <c r="M17" s="16">
        <v>16.339414000000001</v>
      </c>
      <c r="N17" s="16">
        <v>15.325837999999999</v>
      </c>
      <c r="O17" s="13">
        <v>14.776317000000001</v>
      </c>
      <c r="P17" s="14">
        <v>18.247432</v>
      </c>
      <c r="Q17" s="14">
        <v>12.287683369999998</v>
      </c>
      <c r="R17" s="14">
        <v>11.554482999999999</v>
      </c>
      <c r="S17" s="16">
        <v>10.897428</v>
      </c>
      <c r="T17" s="14">
        <v>14.56817</v>
      </c>
      <c r="U17" s="13">
        <v>68.519362471986085</v>
      </c>
      <c r="V17" s="16">
        <v>75.512110370956094</v>
      </c>
      <c r="W17" s="16">
        <v>62.341044289545252</v>
      </c>
      <c r="X17" s="34">
        <v>69.759365606327179</v>
      </c>
      <c r="Y17" s="34">
        <v>66.730739213690853</v>
      </c>
      <c r="Z17" s="34">
        <v>62.524890242587126</v>
      </c>
      <c r="AA17" s="29" t="s">
        <v>13</v>
      </c>
      <c r="AC17" s="19"/>
      <c r="AD17" s="7"/>
      <c r="AE17" s="7"/>
      <c r="AF17" s="19"/>
      <c r="AG17" s="19"/>
    </row>
    <row r="18" spans="1:33" ht="18.75" x14ac:dyDescent="0.25">
      <c r="A18" s="12" t="s">
        <v>14</v>
      </c>
      <c r="B18" s="75">
        <v>10</v>
      </c>
      <c r="C18" s="75">
        <v>30</v>
      </c>
      <c r="D18" s="75">
        <v>10</v>
      </c>
      <c r="E18" s="75">
        <v>30</v>
      </c>
      <c r="F18" s="27">
        <v>38.038155000000003</v>
      </c>
      <c r="G18" s="14">
        <v>46.86056</v>
      </c>
      <c r="H18" s="14">
        <v>34.157578769999979</v>
      </c>
      <c r="I18" s="16">
        <v>26.926000999999999</v>
      </c>
      <c r="J18" s="16">
        <v>27.187823999999999</v>
      </c>
      <c r="K18" s="16">
        <v>34.329844000000001</v>
      </c>
      <c r="L18" s="15">
        <v>19.601483000000002</v>
      </c>
      <c r="M18" s="16">
        <v>23.685687999999999</v>
      </c>
      <c r="N18" s="16">
        <v>23.181280000000001</v>
      </c>
      <c r="O18" s="13">
        <v>22.711827</v>
      </c>
      <c r="P18" s="14">
        <v>27.740846000000001</v>
      </c>
      <c r="Q18" s="14">
        <v>19.357025169999986</v>
      </c>
      <c r="R18" s="14">
        <v>17.889503000000001</v>
      </c>
      <c r="S18" s="16">
        <v>17.800906999999999</v>
      </c>
      <c r="T18" s="14">
        <v>19.921623</v>
      </c>
      <c r="U18" s="13">
        <v>59.708014229396767</v>
      </c>
      <c r="V18" s="16">
        <v>59.198707825941476</v>
      </c>
      <c r="W18" s="16">
        <v>56.669781252179774</v>
      </c>
      <c r="X18" s="34">
        <v>66.439509528355146</v>
      </c>
      <c r="Y18" s="34">
        <v>65.473820192450845</v>
      </c>
      <c r="Z18" s="34">
        <v>58.030042315368512</v>
      </c>
      <c r="AA18" s="29" t="s">
        <v>15</v>
      </c>
      <c r="AC18" s="19"/>
      <c r="AD18" s="7"/>
      <c r="AE18" s="7"/>
      <c r="AF18" s="19"/>
      <c r="AG18" s="19"/>
    </row>
    <row r="19" spans="1:33" ht="18.75" x14ac:dyDescent="0.25">
      <c r="A19" s="12" t="s">
        <v>16</v>
      </c>
      <c r="B19" s="75">
        <v>9</v>
      </c>
      <c r="C19" s="75">
        <v>26</v>
      </c>
      <c r="D19" s="75">
        <v>9</v>
      </c>
      <c r="E19" s="75">
        <v>26</v>
      </c>
      <c r="F19" s="27">
        <v>29.251445</v>
      </c>
      <c r="G19" s="14">
        <v>36.074925</v>
      </c>
      <c r="H19" s="14">
        <v>31.529178669999975</v>
      </c>
      <c r="I19" s="16">
        <v>22.922561999999999</v>
      </c>
      <c r="J19" s="16">
        <v>22.899228000000001</v>
      </c>
      <c r="K19" s="16">
        <v>30.180938999999999</v>
      </c>
      <c r="L19" s="15">
        <v>15.423232</v>
      </c>
      <c r="M19" s="16">
        <v>18.752078000000001</v>
      </c>
      <c r="N19" s="16">
        <v>17.971557000000001</v>
      </c>
      <c r="O19" s="13">
        <v>18.282449999999997</v>
      </c>
      <c r="P19" s="14">
        <v>22.594581999999999</v>
      </c>
      <c r="Q19" s="14">
        <v>15.808007009999976</v>
      </c>
      <c r="R19" s="14">
        <v>15.248507</v>
      </c>
      <c r="S19" s="16">
        <v>14.888113000000001</v>
      </c>
      <c r="T19" s="14">
        <v>15.804494</v>
      </c>
      <c r="U19" s="13">
        <v>62.501014907126795</v>
      </c>
      <c r="V19" s="16">
        <v>62.632374149080007</v>
      </c>
      <c r="W19" s="16">
        <v>50.137706330553101</v>
      </c>
      <c r="X19" s="34">
        <v>66.521826835935698</v>
      </c>
      <c r="Y19" s="34">
        <v>65.015785685002143</v>
      </c>
      <c r="Z19" s="34">
        <v>52.365812740286174</v>
      </c>
      <c r="AA19" s="29" t="s">
        <v>17</v>
      </c>
      <c r="AC19" s="19"/>
      <c r="AD19" s="7"/>
      <c r="AE19" s="7"/>
      <c r="AF19" s="19"/>
      <c r="AG19" s="19"/>
    </row>
    <row r="20" spans="1:33" ht="18.75" x14ac:dyDescent="0.25">
      <c r="A20" s="12" t="s">
        <v>18</v>
      </c>
      <c r="B20" s="75">
        <v>11</v>
      </c>
      <c r="C20" s="75">
        <v>33</v>
      </c>
      <c r="D20" s="75">
        <v>11</v>
      </c>
      <c r="E20" s="75">
        <v>32</v>
      </c>
      <c r="F20" s="27">
        <v>34.048212999999997</v>
      </c>
      <c r="G20" s="14">
        <v>41.250642999999997</v>
      </c>
      <c r="H20" s="14">
        <v>32.136891949999971</v>
      </c>
      <c r="I20" s="16">
        <v>27.481228999999999</v>
      </c>
      <c r="J20" s="16">
        <v>27.351776999999998</v>
      </c>
      <c r="K20" s="16">
        <v>32.366100000000003</v>
      </c>
      <c r="L20" s="15">
        <v>20.897197999999999</v>
      </c>
      <c r="M20" s="16">
        <v>26.914738</v>
      </c>
      <c r="N20" s="16">
        <v>25.181070999999999</v>
      </c>
      <c r="O20" s="13">
        <v>24.413026999999996</v>
      </c>
      <c r="P20" s="14">
        <v>29.586442000000002</v>
      </c>
      <c r="Q20" s="14">
        <v>19.664945149999962</v>
      </c>
      <c r="R20" s="14">
        <v>18.252945</v>
      </c>
      <c r="S20" s="16">
        <v>18.566337999999998</v>
      </c>
      <c r="T20" s="14">
        <v>20.720285000000001</v>
      </c>
      <c r="U20" s="13">
        <v>71.701345970785596</v>
      </c>
      <c r="V20" s="16">
        <v>71.723589860162917</v>
      </c>
      <c r="W20" s="16">
        <v>61.19118544691743</v>
      </c>
      <c r="X20" s="34">
        <v>66.419682322067914</v>
      </c>
      <c r="Y20" s="34">
        <v>67.87982367653845</v>
      </c>
      <c r="Z20" s="34">
        <v>64.018479211273515</v>
      </c>
      <c r="AA20" s="29" t="s">
        <v>19</v>
      </c>
      <c r="AC20" s="19"/>
      <c r="AD20" s="7"/>
      <c r="AE20" s="7"/>
      <c r="AF20" s="19"/>
      <c r="AG20" s="19"/>
    </row>
    <row r="21" spans="1:33" ht="18.75" x14ac:dyDescent="0.25">
      <c r="A21" s="12" t="s">
        <v>20</v>
      </c>
      <c r="B21" s="75">
        <v>6</v>
      </c>
      <c r="C21" s="75">
        <v>18</v>
      </c>
      <c r="D21" s="75">
        <v>6</v>
      </c>
      <c r="E21" s="75">
        <v>18</v>
      </c>
      <c r="F21" s="17">
        <v>14.940059</v>
      </c>
      <c r="G21" s="18">
        <v>15.596354</v>
      </c>
      <c r="H21" s="18">
        <v>13.630588539999986</v>
      </c>
      <c r="I21" s="16">
        <v>12.208152</v>
      </c>
      <c r="J21" s="16">
        <v>12.004231000000001</v>
      </c>
      <c r="K21" s="16">
        <v>12.183344</v>
      </c>
      <c r="L21" s="15">
        <v>9.5316729999999996</v>
      </c>
      <c r="M21" s="16">
        <v>11.360829000000001</v>
      </c>
      <c r="N21" s="16">
        <v>11.181990000000001</v>
      </c>
      <c r="O21" s="13">
        <v>10.927686000000001</v>
      </c>
      <c r="P21" s="18">
        <v>11.686133999999999</v>
      </c>
      <c r="Q21" s="18">
        <v>9.4675064399999869</v>
      </c>
      <c r="R21" s="18">
        <v>8.4204430000000006</v>
      </c>
      <c r="S21" s="16">
        <v>8.0281749999999992</v>
      </c>
      <c r="T21" s="18">
        <v>7.831969</v>
      </c>
      <c r="U21" s="13">
        <v>73.143526407760518</v>
      </c>
      <c r="V21" s="16">
        <v>74.928627549746565</v>
      </c>
      <c r="W21" s="16">
        <v>69.457796427622171</v>
      </c>
      <c r="X21" s="34">
        <v>68.973936431984143</v>
      </c>
      <c r="Y21" s="34">
        <v>66.877878308073207</v>
      </c>
      <c r="Z21" s="34">
        <v>64.284230996022103</v>
      </c>
      <c r="AA21" s="29" t="s">
        <v>21</v>
      </c>
      <c r="AC21" s="19"/>
      <c r="AD21" s="7"/>
      <c r="AE21" s="7"/>
      <c r="AF21" s="19"/>
      <c r="AG21" s="19"/>
    </row>
    <row r="22" spans="1:33" ht="18.75" x14ac:dyDescent="0.25">
      <c r="A22" s="12" t="s">
        <v>22</v>
      </c>
      <c r="B22" s="75">
        <v>9</v>
      </c>
      <c r="C22" s="75">
        <v>27</v>
      </c>
      <c r="D22" s="75">
        <v>9</v>
      </c>
      <c r="E22" s="75">
        <v>26</v>
      </c>
      <c r="F22" s="27">
        <v>25.754996999999999</v>
      </c>
      <c r="G22" s="14">
        <v>32.032594000000003</v>
      </c>
      <c r="H22" s="14">
        <v>22.342402939999985</v>
      </c>
      <c r="I22" s="16">
        <v>19.955632999999999</v>
      </c>
      <c r="J22" s="16">
        <v>21.790464</v>
      </c>
      <c r="K22" s="16">
        <v>28.338145000000001</v>
      </c>
      <c r="L22" s="15">
        <v>16.919053999999999</v>
      </c>
      <c r="M22" s="16">
        <v>20.211186999999999</v>
      </c>
      <c r="N22" s="16">
        <v>18.904149</v>
      </c>
      <c r="O22" s="13">
        <v>18.950017999999996</v>
      </c>
      <c r="P22" s="14">
        <v>22.765788000000001</v>
      </c>
      <c r="Q22" s="14">
        <v>15.418515429999989</v>
      </c>
      <c r="R22" s="14">
        <v>14.213243</v>
      </c>
      <c r="S22" s="16">
        <v>13.955282</v>
      </c>
      <c r="T22" s="14">
        <v>16.579215000000001</v>
      </c>
      <c r="U22" s="13">
        <v>73.578024489771821</v>
      </c>
      <c r="V22" s="16">
        <v>71.070697552624054</v>
      </c>
      <c r="W22" s="16">
        <v>69.010103664346488</v>
      </c>
      <c r="X22" s="34">
        <v>71.22421523787294</v>
      </c>
      <c r="Y22" s="34">
        <v>64.043069482136772</v>
      </c>
      <c r="Z22" s="34">
        <v>58.50494095502723</v>
      </c>
      <c r="AA22" s="29" t="s">
        <v>23</v>
      </c>
      <c r="AC22" s="19"/>
      <c r="AD22" s="7"/>
      <c r="AE22" s="7"/>
      <c r="AF22" s="19"/>
      <c r="AG22" s="19"/>
    </row>
    <row r="23" spans="1:33" ht="18.75" x14ac:dyDescent="0.25">
      <c r="A23" s="12" t="s">
        <v>24</v>
      </c>
      <c r="B23" s="75">
        <v>6</v>
      </c>
      <c r="C23" s="75">
        <v>18</v>
      </c>
      <c r="D23" s="75">
        <v>6</v>
      </c>
      <c r="E23" s="75">
        <v>18</v>
      </c>
      <c r="F23" s="27">
        <v>25.233995</v>
      </c>
      <c r="G23" s="14">
        <v>35.821603000000003</v>
      </c>
      <c r="H23" s="14">
        <v>25.264658669999996</v>
      </c>
      <c r="I23" s="16">
        <v>22.050754000000001</v>
      </c>
      <c r="J23" s="16">
        <v>19.492666</v>
      </c>
      <c r="K23" s="16">
        <v>25.359338999999999</v>
      </c>
      <c r="L23" s="15">
        <v>12.888885999999999</v>
      </c>
      <c r="M23" s="16">
        <v>16.597159000000001</v>
      </c>
      <c r="N23" s="16">
        <v>16.125867</v>
      </c>
      <c r="O23" s="13">
        <v>16.259402999999999</v>
      </c>
      <c r="P23" s="14">
        <v>20.812657000000002</v>
      </c>
      <c r="Q23" s="14">
        <v>14.325706509999998</v>
      </c>
      <c r="R23" s="14">
        <v>13.151589</v>
      </c>
      <c r="S23" s="16">
        <v>13.619215000000001</v>
      </c>
      <c r="T23" s="14">
        <v>16.345904000000001</v>
      </c>
      <c r="U23" s="13">
        <v>64.434517800292809</v>
      </c>
      <c r="V23" s="16">
        <v>58.100853275605779</v>
      </c>
      <c r="W23" s="16">
        <v>56.70255314793058</v>
      </c>
      <c r="X23" s="34">
        <v>59.64235508681471</v>
      </c>
      <c r="Y23" s="34">
        <v>69.868405891733858</v>
      </c>
      <c r="Z23" s="34">
        <v>64.457137467187138</v>
      </c>
      <c r="AA23" s="29" t="s">
        <v>25</v>
      </c>
      <c r="AC23" s="19"/>
      <c r="AD23" s="36"/>
      <c r="AE23" s="36"/>
      <c r="AF23" s="19"/>
      <c r="AG23" s="19"/>
    </row>
    <row r="24" spans="1:33" ht="18.75" x14ac:dyDescent="0.25">
      <c r="A24" s="12" t="s">
        <v>26</v>
      </c>
      <c r="B24" s="75">
        <v>7</v>
      </c>
      <c r="C24" s="75">
        <v>23</v>
      </c>
      <c r="D24" s="75">
        <v>7</v>
      </c>
      <c r="E24" s="75">
        <v>23</v>
      </c>
      <c r="F24" s="27">
        <v>30.764785</v>
      </c>
      <c r="G24" s="14">
        <v>38.954777999999997</v>
      </c>
      <c r="H24" s="14">
        <v>25.508338089999985</v>
      </c>
      <c r="I24" s="16">
        <v>19.603062999999999</v>
      </c>
      <c r="J24" s="16">
        <v>21.533484999999999</v>
      </c>
      <c r="K24" s="16">
        <v>27.127141000000002</v>
      </c>
      <c r="L24" s="15">
        <v>15.778739</v>
      </c>
      <c r="M24" s="16">
        <v>19.847490000000001</v>
      </c>
      <c r="N24" s="16">
        <v>18.079702999999999</v>
      </c>
      <c r="O24" s="13">
        <v>17.058373</v>
      </c>
      <c r="P24" s="14">
        <v>23.110019000000001</v>
      </c>
      <c r="Q24" s="14">
        <v>13.243837319999985</v>
      </c>
      <c r="R24" s="14">
        <v>12.225936000000001</v>
      </c>
      <c r="S24" s="16">
        <v>12.481401999999999</v>
      </c>
      <c r="T24" s="14">
        <v>14.613974000000001</v>
      </c>
      <c r="U24" s="13">
        <v>55.447723752985759</v>
      </c>
      <c r="V24" s="16">
        <v>59.325248882178208</v>
      </c>
      <c r="W24" s="16">
        <v>51.919640053665262</v>
      </c>
      <c r="X24" s="34">
        <v>62.367477980354401</v>
      </c>
      <c r="Y24" s="34">
        <v>57.962758931032297</v>
      </c>
      <c r="Z24" s="34">
        <v>53.87214966737556</v>
      </c>
      <c r="AA24" s="29" t="s">
        <v>27</v>
      </c>
      <c r="AC24" s="19"/>
      <c r="AD24" s="36"/>
      <c r="AE24" s="36"/>
      <c r="AF24" s="19"/>
      <c r="AG24" s="19"/>
    </row>
    <row r="25" spans="1:33" ht="18.75" x14ac:dyDescent="0.25">
      <c r="A25" s="12" t="s">
        <v>28</v>
      </c>
      <c r="B25" s="75">
        <v>14</v>
      </c>
      <c r="C25" s="75">
        <v>43</v>
      </c>
      <c r="D25" s="75">
        <v>14</v>
      </c>
      <c r="E25" s="75">
        <v>43</v>
      </c>
      <c r="F25" s="27">
        <v>42.602657999999998</v>
      </c>
      <c r="G25" s="14">
        <v>57.786558999999997</v>
      </c>
      <c r="H25" s="14">
        <v>39.239460029999961</v>
      </c>
      <c r="I25" s="16">
        <v>34.825842999999999</v>
      </c>
      <c r="J25" s="16">
        <v>35.382486999999998</v>
      </c>
      <c r="K25" s="16">
        <v>47.868012999999998</v>
      </c>
      <c r="L25" s="15">
        <v>26.073442</v>
      </c>
      <c r="M25" s="16">
        <v>32.264834</v>
      </c>
      <c r="N25" s="16">
        <v>30.670287999999999</v>
      </c>
      <c r="O25" s="13">
        <v>30.996426999999997</v>
      </c>
      <c r="P25" s="14">
        <v>38.572598999999997</v>
      </c>
      <c r="Q25" s="14">
        <v>25.570837819999966</v>
      </c>
      <c r="R25" s="14">
        <v>24.316875</v>
      </c>
      <c r="S25" s="16">
        <v>24.247717999999999</v>
      </c>
      <c r="T25" s="14">
        <v>29.405342999999998</v>
      </c>
      <c r="U25" s="13">
        <v>72.757026099169678</v>
      </c>
      <c r="V25" s="16">
        <v>66.750122636649806</v>
      </c>
      <c r="W25" s="16">
        <v>65.166130727716819</v>
      </c>
      <c r="X25" s="34">
        <v>69.824225073316953</v>
      </c>
      <c r="Y25" s="34">
        <v>68.530281661659345</v>
      </c>
      <c r="Z25" s="34">
        <v>61.43004724261273</v>
      </c>
      <c r="AA25" s="29" t="s">
        <v>29</v>
      </c>
      <c r="AC25" s="19"/>
      <c r="AD25" s="36"/>
      <c r="AE25" s="36"/>
      <c r="AF25" s="19"/>
      <c r="AG25" s="19"/>
    </row>
    <row r="26" spans="1:33" ht="18.75" x14ac:dyDescent="0.25">
      <c r="A26" s="12" t="s">
        <v>30</v>
      </c>
      <c r="B26" s="75">
        <v>12</v>
      </c>
      <c r="C26" s="75">
        <v>39</v>
      </c>
      <c r="D26" s="75">
        <v>12</v>
      </c>
      <c r="E26" s="75">
        <v>39</v>
      </c>
      <c r="F26" s="27">
        <v>44.071486999999998</v>
      </c>
      <c r="G26" s="14">
        <v>50.481853000000001</v>
      </c>
      <c r="H26" s="14">
        <v>46.525413799999981</v>
      </c>
      <c r="I26" s="16">
        <v>35.743222000000003</v>
      </c>
      <c r="J26" s="16">
        <v>35.992249999999999</v>
      </c>
      <c r="K26" s="16">
        <v>49.501753000000001</v>
      </c>
      <c r="L26" s="15">
        <v>26.346751000000001</v>
      </c>
      <c r="M26" s="16">
        <v>34.536470999999999</v>
      </c>
      <c r="N26" s="16">
        <v>33.067154000000002</v>
      </c>
      <c r="O26" s="13">
        <v>31.360390999999996</v>
      </c>
      <c r="P26" s="14">
        <v>36.633343000000004</v>
      </c>
      <c r="Q26" s="14">
        <v>25.815098499999987</v>
      </c>
      <c r="R26" s="14">
        <v>24.497955999999999</v>
      </c>
      <c r="S26" s="16">
        <v>24.571368</v>
      </c>
      <c r="T26" s="14">
        <v>29.497911999999999</v>
      </c>
      <c r="U26" s="13">
        <v>71.158005174638191</v>
      </c>
      <c r="V26" s="16">
        <v>72.567350093111685</v>
      </c>
      <c r="W26" s="16">
        <v>55.486015902990204</v>
      </c>
      <c r="X26" s="34">
        <v>68.538745611685471</v>
      </c>
      <c r="Y26" s="34">
        <v>68.26849669025971</v>
      </c>
      <c r="Z26" s="34">
        <v>59.589631098518872</v>
      </c>
      <c r="AA26" s="29" t="s">
        <v>31</v>
      </c>
      <c r="AC26" s="19"/>
      <c r="AD26" s="36"/>
      <c r="AE26" s="36"/>
      <c r="AF26" s="19"/>
      <c r="AG26" s="19"/>
    </row>
    <row r="27" spans="1:33" ht="18.75" x14ac:dyDescent="0.25">
      <c r="A27" s="12" t="s">
        <v>32</v>
      </c>
      <c r="B27" s="75">
        <v>10</v>
      </c>
      <c r="C27" s="75">
        <v>32</v>
      </c>
      <c r="D27" s="75">
        <v>10</v>
      </c>
      <c r="E27" s="75">
        <v>32</v>
      </c>
      <c r="F27" s="27">
        <v>43.548999999999999</v>
      </c>
      <c r="G27" s="14">
        <v>50.395400000000002</v>
      </c>
      <c r="H27" s="14">
        <v>38.128400589999949</v>
      </c>
      <c r="I27" s="16">
        <v>26.647676000000001</v>
      </c>
      <c r="J27" s="16">
        <v>27.312650999999999</v>
      </c>
      <c r="K27" s="16">
        <v>40.504117000000001</v>
      </c>
      <c r="L27" s="15">
        <v>19.840727000000001</v>
      </c>
      <c r="M27" s="16">
        <v>25.027142999999999</v>
      </c>
      <c r="N27" s="16">
        <v>24.753309000000002</v>
      </c>
      <c r="O27" s="13">
        <v>24.314753</v>
      </c>
      <c r="P27" s="14">
        <v>30.053234</v>
      </c>
      <c r="Q27" s="14">
        <v>21.708523679999956</v>
      </c>
      <c r="R27" s="14">
        <v>19.289511000000001</v>
      </c>
      <c r="S27" s="16">
        <v>18.061050999999999</v>
      </c>
      <c r="T27" s="14">
        <v>23.254276000000001</v>
      </c>
      <c r="U27" s="13">
        <v>55.833091460194261</v>
      </c>
      <c r="V27" s="16">
        <v>59.634875405294927</v>
      </c>
      <c r="W27" s="16">
        <v>56.935311589475688</v>
      </c>
      <c r="X27" s="34">
        <v>72.38721680644872</v>
      </c>
      <c r="Y27" s="34">
        <v>66.127052258676756</v>
      </c>
      <c r="Z27" s="34">
        <v>57.412129241084308</v>
      </c>
      <c r="AA27" s="31" t="s">
        <v>33</v>
      </c>
      <c r="AC27" s="19"/>
      <c r="AD27" s="36"/>
      <c r="AE27" s="36"/>
      <c r="AF27" s="33"/>
      <c r="AG27" s="19"/>
    </row>
    <row r="28" spans="1:33" ht="18.75" x14ac:dyDescent="0.25">
      <c r="A28" s="12" t="s">
        <v>34</v>
      </c>
      <c r="B28" s="75">
        <v>10</v>
      </c>
      <c r="C28" s="75">
        <v>36</v>
      </c>
      <c r="D28" s="75">
        <v>10</v>
      </c>
      <c r="E28" s="75">
        <v>36</v>
      </c>
      <c r="F28" s="27">
        <v>38.125162000000003</v>
      </c>
      <c r="G28" s="14">
        <v>56.951048</v>
      </c>
      <c r="H28" s="14">
        <v>38.578633059999987</v>
      </c>
      <c r="I28" s="16">
        <v>32.250964000000003</v>
      </c>
      <c r="J28" s="16">
        <v>30.488603000000001</v>
      </c>
      <c r="K28" s="16">
        <v>47.400226000000004</v>
      </c>
      <c r="L28" s="15">
        <v>21.271201999999999</v>
      </c>
      <c r="M28" s="16">
        <v>27.704087000000001</v>
      </c>
      <c r="N28" s="16">
        <v>27.277650000000001</v>
      </c>
      <c r="O28" s="13">
        <v>27.408446000000005</v>
      </c>
      <c r="P28" s="14">
        <v>34.681564000000002</v>
      </c>
      <c r="Q28" s="14">
        <v>21.897160639999981</v>
      </c>
      <c r="R28" s="14">
        <v>20.283227</v>
      </c>
      <c r="S28" s="16">
        <v>19.849138</v>
      </c>
      <c r="T28" s="14">
        <v>24.585235999999998</v>
      </c>
      <c r="U28" s="13">
        <v>71.890700425089349</v>
      </c>
      <c r="V28" s="16">
        <v>60.897148020875761</v>
      </c>
      <c r="W28" s="16">
        <v>56.759814703502066</v>
      </c>
      <c r="X28" s="34">
        <v>62.891847201838672</v>
      </c>
      <c r="Y28" s="34">
        <v>65.103468335364525</v>
      </c>
      <c r="Z28" s="34">
        <v>51.867339197918582</v>
      </c>
      <c r="AA28" s="29" t="s">
        <v>35</v>
      </c>
      <c r="AC28" s="19"/>
      <c r="AD28" s="36"/>
      <c r="AE28" s="36"/>
      <c r="AF28" s="19"/>
      <c r="AG28" s="19"/>
    </row>
    <row r="29" spans="1:33" ht="18.75" x14ac:dyDescent="0.25">
      <c r="A29" s="12" t="s">
        <v>36</v>
      </c>
      <c r="B29" s="75">
        <v>1</v>
      </c>
      <c r="C29" s="75">
        <v>3</v>
      </c>
      <c r="D29" s="75">
        <v>1</v>
      </c>
      <c r="E29" s="75">
        <v>3</v>
      </c>
      <c r="F29" s="27">
        <v>25.784237000000001</v>
      </c>
      <c r="G29" s="14">
        <v>46.070352999999997</v>
      </c>
      <c r="H29" s="14">
        <v>31.730553609999983</v>
      </c>
      <c r="I29" s="16">
        <v>14.47648</v>
      </c>
      <c r="J29" s="16">
        <v>6.7274750000000001</v>
      </c>
      <c r="K29" s="16">
        <v>35.17698</v>
      </c>
      <c r="L29" s="15">
        <v>4.6662730000000003</v>
      </c>
      <c r="M29" s="16">
        <v>18.061489999999999</v>
      </c>
      <c r="N29" s="16">
        <v>19.211731</v>
      </c>
      <c r="O29" s="13">
        <v>22.467120000000001</v>
      </c>
      <c r="P29" s="14">
        <v>31.715696999999999</v>
      </c>
      <c r="Q29" s="14">
        <v>18.849157399999989</v>
      </c>
      <c r="R29" s="14">
        <v>11.68614</v>
      </c>
      <c r="S29" s="16">
        <v>4.9977830000000001</v>
      </c>
      <c r="T29" s="14">
        <v>22.992739</v>
      </c>
      <c r="U29" s="13">
        <v>87.135097307707809</v>
      </c>
      <c r="V29" s="16">
        <v>68.841879722519167</v>
      </c>
      <c r="W29" s="16">
        <v>59.403808807356008</v>
      </c>
      <c r="X29" s="34">
        <v>80.725010499790002</v>
      </c>
      <c r="Y29" s="34">
        <v>74.289135225325992</v>
      </c>
      <c r="Z29" s="34">
        <v>65.363027184255159</v>
      </c>
      <c r="AA29" s="29" t="s">
        <v>37</v>
      </c>
      <c r="AC29" s="19"/>
      <c r="AD29" s="36"/>
      <c r="AE29" s="36"/>
      <c r="AF29" s="19"/>
      <c r="AG29" s="19"/>
    </row>
    <row r="30" spans="1:33" ht="30" x14ac:dyDescent="0.25">
      <c r="A30" s="20" t="s">
        <v>52</v>
      </c>
      <c r="B30" s="76">
        <v>1</v>
      </c>
      <c r="C30" s="76">
        <v>7</v>
      </c>
      <c r="D30" s="76">
        <v>1</v>
      </c>
      <c r="E30" s="76">
        <v>7</v>
      </c>
      <c r="F30" s="28">
        <v>49.939065999999997</v>
      </c>
      <c r="G30" s="22">
        <v>61.394213999999998</v>
      </c>
      <c r="H30" s="22">
        <v>20.651701229999997</v>
      </c>
      <c r="I30" s="24">
        <v>17.739052000000001</v>
      </c>
      <c r="J30" s="24">
        <v>18.294567999999998</v>
      </c>
      <c r="K30" s="24">
        <v>57.455551</v>
      </c>
      <c r="L30" s="23">
        <v>22.907131</v>
      </c>
      <c r="M30" s="24">
        <v>29.297042999999999</v>
      </c>
      <c r="N30" s="24">
        <v>27.772646000000002</v>
      </c>
      <c r="O30" s="21">
        <v>25.918375999999999</v>
      </c>
      <c r="P30" s="22">
        <v>33.778312999999997</v>
      </c>
      <c r="Q30" s="22">
        <v>11.561385849999999</v>
      </c>
      <c r="R30" s="22">
        <v>12.372394999999999</v>
      </c>
      <c r="S30" s="24">
        <v>13.119966</v>
      </c>
      <c r="T30" s="22">
        <v>28.237124000000001</v>
      </c>
      <c r="U30" s="21">
        <v>51.90000149382049</v>
      </c>
      <c r="V30" s="24">
        <v>55.018723751394546</v>
      </c>
      <c r="W30" s="24">
        <v>55.982728595769061</v>
      </c>
      <c r="X30" s="35">
        <v>69.746652752356766</v>
      </c>
      <c r="Y30" s="35">
        <v>71.715090512112681</v>
      </c>
      <c r="Z30" s="35">
        <v>49.146032904636144</v>
      </c>
      <c r="AA30" s="32" t="s">
        <v>53</v>
      </c>
      <c r="AC30" s="19"/>
      <c r="AD30" s="36"/>
      <c r="AE30" s="36"/>
      <c r="AF30" s="19"/>
      <c r="AG30" s="19"/>
    </row>
    <row r="31" spans="1:33" ht="17.25" x14ac:dyDescent="0.25">
      <c r="A31" s="2" t="s">
        <v>38</v>
      </c>
      <c r="B31" s="77"/>
      <c r="C31" s="5"/>
      <c r="D31" s="77"/>
      <c r="E31" s="5"/>
      <c r="F31" s="25"/>
      <c r="G31" s="25"/>
      <c r="H31" s="25"/>
      <c r="I31" s="25"/>
      <c r="J31" s="42"/>
      <c r="K31" s="4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3" t="s">
        <v>54</v>
      </c>
      <c r="AB31" s="5"/>
      <c r="AC31" s="5"/>
      <c r="AD31" s="26"/>
      <c r="AE31" s="26"/>
      <c r="AF31" s="5"/>
      <c r="AG31" s="5"/>
    </row>
    <row r="34" spans="2:11" x14ac:dyDescent="0.25">
      <c r="B34" s="4"/>
      <c r="D34" s="4"/>
      <c r="F34" s="4"/>
      <c r="G34" s="4"/>
      <c r="H34" s="4"/>
      <c r="I34" s="4"/>
      <c r="J34" s="4"/>
      <c r="K34" s="4"/>
    </row>
    <row r="59" spans="2:20" x14ac:dyDescent="0.25">
      <c r="B59" s="4"/>
      <c r="D59" s="4"/>
      <c r="F59" s="4"/>
      <c r="G59" s="4"/>
      <c r="H59" s="4"/>
      <c r="I59" s="4"/>
      <c r="J59" s="4"/>
      <c r="K59" s="4"/>
      <c r="P59" s="7"/>
      <c r="Q59" s="7"/>
      <c r="R59" s="7"/>
      <c r="S59" s="7"/>
      <c r="T59" s="7"/>
    </row>
    <row r="60" spans="2:20" x14ac:dyDescent="0.25">
      <c r="B60" s="4"/>
      <c r="D60" s="4"/>
      <c r="F60" s="4"/>
      <c r="G60" s="4"/>
      <c r="H60" s="4"/>
      <c r="I60" s="4"/>
      <c r="J60" s="4"/>
      <c r="K60" s="4"/>
      <c r="P60" s="7"/>
      <c r="Q60" s="7"/>
      <c r="R60" s="7"/>
      <c r="S60" s="7"/>
      <c r="T60" s="7"/>
    </row>
    <row r="61" spans="2:20" x14ac:dyDescent="0.25">
      <c r="B61" s="4"/>
      <c r="D61" s="4"/>
      <c r="F61" s="4"/>
      <c r="G61" s="4"/>
      <c r="H61" s="4"/>
      <c r="I61" s="4"/>
      <c r="J61" s="4"/>
      <c r="K61" s="4"/>
      <c r="P61" s="7"/>
      <c r="Q61" s="7"/>
      <c r="R61" s="7"/>
      <c r="S61" s="7"/>
      <c r="T61" s="7"/>
    </row>
    <row r="65" spans="1:20" x14ac:dyDescent="0.25">
      <c r="P65" s="7"/>
      <c r="Q65" s="7"/>
      <c r="R65" s="7"/>
      <c r="S65" s="7"/>
      <c r="T65" s="7"/>
    </row>
    <row r="66" spans="1:20" x14ac:dyDescent="0.25">
      <c r="B66" s="78"/>
      <c r="C66" s="79"/>
      <c r="D66" s="78"/>
      <c r="E66" s="79"/>
      <c r="P66" s="7"/>
      <c r="Q66" s="7"/>
      <c r="R66" s="7"/>
      <c r="S66" s="7"/>
      <c r="T66" s="7"/>
    </row>
    <row r="68" spans="1:20" x14ac:dyDescent="0.25">
      <c r="A68" s="12"/>
      <c r="B68" s="80"/>
      <c r="C68" s="81"/>
      <c r="D68" s="80"/>
      <c r="E68" s="81"/>
      <c r="P68" s="7"/>
      <c r="Q68" s="7"/>
      <c r="R68" s="7"/>
      <c r="S68" s="7"/>
      <c r="T68" s="7"/>
    </row>
    <row r="69" spans="1:20" x14ac:dyDescent="0.25">
      <c r="A69" s="12"/>
      <c r="B69" s="80"/>
      <c r="C69" s="81"/>
      <c r="D69" s="80"/>
      <c r="E69" s="81"/>
      <c r="P69" s="7"/>
      <c r="Q69" s="7"/>
      <c r="R69" s="7"/>
      <c r="S69" s="7"/>
      <c r="T69" s="7"/>
    </row>
    <row r="70" spans="1:20" x14ac:dyDescent="0.25">
      <c r="A70" s="12"/>
      <c r="B70" s="80"/>
      <c r="C70" s="81"/>
      <c r="D70" s="80"/>
      <c r="E70" s="81"/>
      <c r="P70" s="7"/>
      <c r="Q70" s="7"/>
      <c r="R70" s="7"/>
      <c r="S70" s="7"/>
      <c r="T70" s="7"/>
    </row>
    <row r="71" spans="1:20" x14ac:dyDescent="0.25">
      <c r="A71" s="12"/>
      <c r="B71" s="80"/>
      <c r="C71" s="81"/>
      <c r="D71" s="80"/>
      <c r="E71" s="81"/>
      <c r="P71" s="7"/>
      <c r="Q71" s="7"/>
      <c r="R71" s="7"/>
      <c r="S71" s="7"/>
      <c r="T71" s="7"/>
    </row>
    <row r="72" spans="1:20" x14ac:dyDescent="0.25">
      <c r="A72" s="12"/>
      <c r="B72" s="80"/>
      <c r="C72" s="81"/>
      <c r="D72" s="80"/>
      <c r="E72" s="81"/>
      <c r="P72" s="7"/>
      <c r="Q72" s="7"/>
      <c r="R72" s="7"/>
      <c r="S72" s="7"/>
      <c r="T72" s="7"/>
    </row>
    <row r="73" spans="1:20" x14ac:dyDescent="0.25">
      <c r="A73" s="12"/>
      <c r="B73" s="80"/>
      <c r="C73" s="81"/>
      <c r="D73" s="80"/>
      <c r="E73" s="81"/>
      <c r="P73" s="7"/>
      <c r="Q73" s="7"/>
      <c r="R73" s="7"/>
      <c r="S73" s="7"/>
      <c r="T73" s="7"/>
    </row>
    <row r="74" spans="1:20" x14ac:dyDescent="0.25">
      <c r="A74" s="12"/>
      <c r="B74" s="80"/>
      <c r="C74" s="81"/>
      <c r="D74" s="80"/>
      <c r="E74" s="81"/>
      <c r="P74" s="7"/>
      <c r="Q74" s="7"/>
      <c r="R74" s="7"/>
      <c r="S74" s="7"/>
      <c r="T74" s="7"/>
    </row>
    <row r="75" spans="1:20" x14ac:dyDescent="0.25">
      <c r="A75" s="12"/>
      <c r="B75" s="80"/>
      <c r="C75" s="81"/>
      <c r="D75" s="80"/>
      <c r="E75" s="81"/>
      <c r="P75" s="7"/>
      <c r="Q75" s="7"/>
      <c r="R75" s="7"/>
      <c r="S75" s="7"/>
      <c r="T75" s="7"/>
    </row>
    <row r="76" spans="1:20" x14ac:dyDescent="0.25">
      <c r="A76" s="12"/>
      <c r="B76" s="80"/>
      <c r="C76" s="81"/>
      <c r="D76" s="80"/>
      <c r="E76" s="81"/>
      <c r="P76" s="7"/>
      <c r="Q76" s="7"/>
      <c r="R76" s="7"/>
      <c r="S76" s="7"/>
      <c r="T76" s="7"/>
    </row>
    <row r="77" spans="1:20" x14ac:dyDescent="0.25">
      <c r="A77" s="12"/>
      <c r="B77" s="80"/>
      <c r="C77" s="81"/>
      <c r="D77" s="80"/>
      <c r="E77" s="81"/>
      <c r="P77" s="7"/>
      <c r="Q77" s="7"/>
      <c r="R77" s="7"/>
      <c r="S77" s="7"/>
      <c r="T77" s="7"/>
    </row>
    <row r="78" spans="1:20" x14ac:dyDescent="0.25">
      <c r="A78" s="12"/>
      <c r="B78" s="80"/>
      <c r="C78" s="81"/>
      <c r="D78" s="80"/>
      <c r="E78" s="81"/>
      <c r="P78" s="7"/>
      <c r="Q78" s="7"/>
      <c r="R78" s="7"/>
      <c r="S78" s="7"/>
      <c r="T78" s="7"/>
    </row>
    <row r="79" spans="1:20" x14ac:dyDescent="0.25">
      <c r="A79" s="12"/>
      <c r="B79" s="80"/>
      <c r="C79" s="81"/>
      <c r="D79" s="80"/>
      <c r="E79" s="81"/>
      <c r="P79" s="7"/>
      <c r="Q79" s="7"/>
      <c r="R79" s="7"/>
      <c r="S79" s="7"/>
      <c r="T79" s="7"/>
    </row>
    <row r="80" spans="1:20" x14ac:dyDescent="0.25">
      <c r="A80" s="12"/>
      <c r="B80" s="80"/>
      <c r="C80" s="81"/>
      <c r="D80" s="80"/>
      <c r="E80" s="81"/>
      <c r="P80" s="7"/>
      <c r="Q80" s="7"/>
      <c r="R80" s="7"/>
      <c r="S80" s="7"/>
      <c r="T80" s="7"/>
    </row>
    <row r="81" spans="1:20" x14ac:dyDescent="0.25">
      <c r="A81" s="12"/>
      <c r="B81" s="80"/>
      <c r="C81" s="81"/>
      <c r="D81" s="80"/>
      <c r="E81" s="81"/>
      <c r="P81" s="7"/>
      <c r="Q81" s="7"/>
      <c r="R81" s="7"/>
      <c r="S81" s="7"/>
      <c r="T81" s="7"/>
    </row>
    <row r="82" spans="1:20" x14ac:dyDescent="0.25">
      <c r="A82" s="12"/>
      <c r="B82" s="80"/>
      <c r="C82" s="81"/>
      <c r="D82" s="80"/>
      <c r="E82" s="81"/>
      <c r="P82" s="7"/>
      <c r="Q82" s="7"/>
      <c r="R82" s="7"/>
      <c r="S82" s="7"/>
      <c r="T82" s="7"/>
    </row>
    <row r="83" spans="1:20" x14ac:dyDescent="0.25">
      <c r="A83" s="12"/>
      <c r="B83" s="80"/>
      <c r="C83" s="81"/>
      <c r="D83" s="80"/>
      <c r="E83" s="81"/>
      <c r="P83" s="7"/>
      <c r="Q83" s="7"/>
      <c r="R83" s="7"/>
      <c r="S83" s="7"/>
      <c r="T83" s="7"/>
    </row>
    <row r="84" spans="1:20" x14ac:dyDescent="0.25">
      <c r="A84" s="12"/>
      <c r="B84" s="80"/>
      <c r="C84" s="81"/>
      <c r="D84" s="80"/>
      <c r="E84" s="81"/>
      <c r="P84" s="7"/>
      <c r="Q84" s="7"/>
      <c r="R84" s="7"/>
      <c r="S84" s="7"/>
      <c r="T84" s="7"/>
    </row>
    <row r="85" spans="1:20" x14ac:dyDescent="0.25">
      <c r="A85" s="12"/>
      <c r="B85" s="80"/>
      <c r="C85" s="81"/>
      <c r="D85" s="80"/>
      <c r="E85" s="81"/>
      <c r="P85" s="7"/>
      <c r="Q85" s="7"/>
      <c r="R85" s="7"/>
      <c r="S85" s="7"/>
      <c r="T85" s="7"/>
    </row>
    <row r="86" spans="1:20" x14ac:dyDescent="0.25">
      <c r="A86" s="12"/>
      <c r="B86" s="80"/>
      <c r="C86" s="81"/>
      <c r="D86" s="80"/>
      <c r="E86" s="81"/>
      <c r="P86" s="7"/>
      <c r="Q86" s="7"/>
      <c r="R86" s="7"/>
      <c r="S86" s="7"/>
      <c r="T86" s="7"/>
    </row>
    <row r="87" spans="1:20" x14ac:dyDescent="0.25">
      <c r="A87" s="12"/>
      <c r="B87" s="80"/>
      <c r="C87" s="81"/>
      <c r="D87" s="80"/>
      <c r="E87" s="81"/>
      <c r="P87" s="7"/>
      <c r="Q87" s="7"/>
      <c r="R87" s="7"/>
      <c r="S87" s="7"/>
      <c r="T87" s="7"/>
    </row>
    <row r="88" spans="1:20" x14ac:dyDescent="0.25">
      <c r="A88" s="12"/>
      <c r="B88" s="80"/>
      <c r="C88" s="81"/>
      <c r="D88" s="80"/>
      <c r="E88" s="81"/>
      <c r="P88" s="7"/>
      <c r="Q88" s="7"/>
      <c r="R88" s="7"/>
      <c r="S88" s="7"/>
      <c r="T88" s="7"/>
    </row>
    <row r="89" spans="1:20" x14ac:dyDescent="0.25">
      <c r="A89" s="44"/>
      <c r="B89" s="82"/>
      <c r="C89" s="81"/>
      <c r="D89" s="82"/>
      <c r="E89" s="81"/>
      <c r="P89" s="7"/>
      <c r="Q89" s="7"/>
      <c r="R89" s="7"/>
      <c r="S89" s="7"/>
      <c r="T89" s="7"/>
    </row>
    <row r="90" spans="1:20" x14ac:dyDescent="0.25">
      <c r="C90" s="81"/>
      <c r="E90" s="81"/>
      <c r="P90" s="7"/>
      <c r="Q90" s="7"/>
      <c r="R90" s="7"/>
      <c r="S90" s="7"/>
      <c r="T90" s="7"/>
    </row>
    <row r="91" spans="1:20" x14ac:dyDescent="0.25">
      <c r="C91" s="81"/>
      <c r="E91" s="81"/>
      <c r="P91" s="7"/>
      <c r="Q91" s="7"/>
      <c r="R91" s="7"/>
      <c r="S91" s="7"/>
      <c r="T91" s="7"/>
    </row>
    <row r="92" spans="1:20" x14ac:dyDescent="0.25">
      <c r="C92" s="81"/>
      <c r="E92" s="81"/>
      <c r="P92" s="7"/>
      <c r="Q92" s="7"/>
      <c r="R92" s="7"/>
      <c r="S92" s="7"/>
      <c r="T92" s="7"/>
    </row>
    <row r="93" spans="1:20" x14ac:dyDescent="0.25">
      <c r="C93" s="81"/>
      <c r="E93" s="81"/>
      <c r="P93" s="7"/>
      <c r="Q93" s="7"/>
      <c r="R93" s="7"/>
      <c r="S93" s="7"/>
      <c r="T93" s="7"/>
    </row>
    <row r="94" spans="1:20" x14ac:dyDescent="0.25">
      <c r="P94" s="7"/>
      <c r="Q94" s="7"/>
      <c r="R94" s="7"/>
      <c r="S94" s="7"/>
      <c r="T94" s="7"/>
    </row>
    <row r="95" spans="1:20" x14ac:dyDescent="0.25">
      <c r="P95" s="7"/>
      <c r="Q95" s="7"/>
      <c r="R95" s="7"/>
      <c r="S95" s="7"/>
      <c r="T95" s="7"/>
    </row>
    <row r="96" spans="1:20" x14ac:dyDescent="0.25">
      <c r="P96" s="7"/>
      <c r="Q96" s="7"/>
      <c r="R96" s="7"/>
      <c r="S96" s="7"/>
      <c r="T96" s="7"/>
    </row>
    <row r="97" spans="16:20" x14ac:dyDescent="0.25">
      <c r="P97" s="7"/>
      <c r="Q97" s="7"/>
      <c r="R97" s="7"/>
      <c r="S97" s="7"/>
      <c r="T97" s="7"/>
    </row>
    <row r="98" spans="16:20" x14ac:dyDescent="0.25">
      <c r="P98" s="7"/>
      <c r="Q98" s="7"/>
      <c r="R98" s="7"/>
      <c r="S98" s="7"/>
      <c r="T98" s="7"/>
    </row>
    <row r="99" spans="16:20" x14ac:dyDescent="0.25">
      <c r="P99" s="7"/>
      <c r="Q99" s="7"/>
      <c r="R99" s="7"/>
      <c r="S99" s="7"/>
      <c r="T99" s="7"/>
    </row>
    <row r="100" spans="16:20" x14ac:dyDescent="0.25">
      <c r="P100" s="7"/>
      <c r="Q100" s="7"/>
      <c r="R100" s="7"/>
      <c r="S100" s="7"/>
      <c r="T100" s="7"/>
    </row>
    <row r="101" spans="16:20" x14ac:dyDescent="0.25">
      <c r="P101" s="7"/>
      <c r="Q101" s="7"/>
      <c r="R101" s="7"/>
      <c r="S101" s="7"/>
      <c r="T101" s="7"/>
    </row>
    <row r="102" spans="16:20" x14ac:dyDescent="0.25">
      <c r="P102" s="7"/>
      <c r="Q102" s="7"/>
      <c r="R102" s="7"/>
      <c r="S102" s="7"/>
      <c r="T102" s="7"/>
    </row>
    <row r="103" spans="16:20" x14ac:dyDescent="0.25">
      <c r="P103" s="7"/>
      <c r="Q103" s="7"/>
      <c r="R103" s="7"/>
      <c r="S103" s="7"/>
      <c r="T103" s="7"/>
    </row>
    <row r="104" spans="16:20" x14ac:dyDescent="0.25">
      <c r="P104" s="7"/>
      <c r="Q104" s="7"/>
      <c r="R104" s="7"/>
      <c r="S104" s="7"/>
      <c r="T104" s="7"/>
    </row>
    <row r="105" spans="16:20" x14ac:dyDescent="0.25">
      <c r="P105" s="7"/>
      <c r="Q105" s="7"/>
      <c r="R105" s="7"/>
      <c r="S105" s="7"/>
      <c r="T105" s="7"/>
    </row>
    <row r="106" spans="16:20" x14ac:dyDescent="0.25">
      <c r="P106" s="7"/>
      <c r="Q106" s="7"/>
      <c r="R106" s="7"/>
      <c r="S106" s="7"/>
      <c r="T106" s="7"/>
    </row>
    <row r="107" spans="16:20" x14ac:dyDescent="0.25">
      <c r="P107" s="7"/>
      <c r="Q107" s="7"/>
      <c r="R107" s="7"/>
      <c r="S107" s="7"/>
      <c r="T107" s="7"/>
    </row>
    <row r="108" spans="16:20" x14ac:dyDescent="0.25">
      <c r="P108" s="7"/>
      <c r="Q108" s="7"/>
      <c r="R108" s="7"/>
      <c r="S108" s="7"/>
      <c r="T108" s="7"/>
    </row>
    <row r="109" spans="16:20" x14ac:dyDescent="0.25">
      <c r="P109" s="7"/>
      <c r="Q109" s="7"/>
      <c r="R109" s="7"/>
      <c r="S109" s="7"/>
      <c r="T109" s="7"/>
    </row>
    <row r="110" spans="16:20" x14ac:dyDescent="0.25">
      <c r="P110" s="7"/>
      <c r="Q110" s="7"/>
      <c r="R110" s="7"/>
      <c r="S110" s="7"/>
      <c r="T110" s="7"/>
    </row>
    <row r="111" spans="16:20" x14ac:dyDescent="0.25">
      <c r="P111" s="7"/>
      <c r="Q111" s="7"/>
      <c r="R111" s="7"/>
      <c r="S111" s="7"/>
      <c r="T111" s="7"/>
    </row>
    <row r="112" spans="16:20" x14ac:dyDescent="0.25">
      <c r="P112" s="7"/>
      <c r="Q112" s="7"/>
      <c r="R112" s="7"/>
      <c r="S112" s="7"/>
      <c r="T112" s="7"/>
    </row>
    <row r="113" spans="16:20" x14ac:dyDescent="0.25">
      <c r="P113" s="7"/>
      <c r="Q113" s="7"/>
      <c r="R113" s="7"/>
      <c r="S113" s="7"/>
      <c r="T113" s="7"/>
    </row>
    <row r="114" spans="16:20" x14ac:dyDescent="0.25">
      <c r="P114" s="7"/>
      <c r="Q114" s="7"/>
      <c r="R114" s="7"/>
      <c r="S114" s="7"/>
      <c r="T114" s="7"/>
    </row>
    <row r="115" spans="16:20" x14ac:dyDescent="0.25">
      <c r="P115" s="7"/>
      <c r="Q115" s="7"/>
      <c r="R115" s="7"/>
      <c r="S115" s="7"/>
      <c r="T115" s="7"/>
    </row>
    <row r="116" spans="16:20" x14ac:dyDescent="0.25">
      <c r="P116" s="7"/>
      <c r="Q116" s="7"/>
      <c r="R116" s="7"/>
      <c r="S116" s="7"/>
      <c r="T116" s="7"/>
    </row>
    <row r="117" spans="16:20" x14ac:dyDescent="0.25">
      <c r="P117" s="7"/>
      <c r="Q117" s="7"/>
      <c r="R117" s="7"/>
      <c r="S117" s="7"/>
      <c r="T117" s="7"/>
    </row>
    <row r="118" spans="16:20" x14ac:dyDescent="0.25">
      <c r="P118" s="7"/>
      <c r="Q118" s="7"/>
      <c r="R118" s="7"/>
      <c r="S118" s="7"/>
      <c r="T118" s="7"/>
    </row>
    <row r="119" spans="16:20" x14ac:dyDescent="0.25">
      <c r="P119" s="7"/>
      <c r="Q119" s="7"/>
      <c r="R119" s="7"/>
      <c r="S119" s="7"/>
      <c r="T119" s="7"/>
    </row>
    <row r="120" spans="16:20" x14ac:dyDescent="0.25">
      <c r="P120" s="7"/>
      <c r="Q120" s="7"/>
      <c r="R120" s="7"/>
      <c r="S120" s="7"/>
      <c r="T120" s="7"/>
    </row>
    <row r="121" spans="16:20" x14ac:dyDescent="0.25">
      <c r="P121" s="7"/>
      <c r="Q121" s="7"/>
      <c r="R121" s="7"/>
      <c r="S121" s="7"/>
      <c r="T121" s="7"/>
    </row>
    <row r="122" spans="16:20" x14ac:dyDescent="0.25">
      <c r="P122" s="7"/>
      <c r="Q122" s="7"/>
      <c r="R122" s="7"/>
      <c r="S122" s="7"/>
      <c r="T122" s="7"/>
    </row>
    <row r="123" spans="16:20" x14ac:dyDescent="0.25">
      <c r="P123" s="7"/>
      <c r="Q123" s="7"/>
      <c r="R123" s="7"/>
      <c r="S123" s="7"/>
      <c r="T123" s="7"/>
    </row>
  </sheetData>
  <mergeCells count="13">
    <mergeCell ref="F4:Z4"/>
    <mergeCell ref="AA4:AA8"/>
    <mergeCell ref="F5:K6"/>
    <mergeCell ref="O5:Z5"/>
    <mergeCell ref="O6:Z6"/>
    <mergeCell ref="F7:K7"/>
    <mergeCell ref="L7:T7"/>
    <mergeCell ref="U7:Z7"/>
    <mergeCell ref="A4:A8"/>
    <mergeCell ref="A1:AA1"/>
    <mergeCell ref="A2:AA2"/>
    <mergeCell ref="B3:E3"/>
    <mergeCell ref="L3:M3"/>
  </mergeCells>
  <pageMargins left="0.7" right="0.7" top="0.75" bottom="0.75" header="0.3" footer="0.3"/>
  <pageSetup scale="3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20.9</vt:lpstr>
      <vt:lpstr>'20.9'!Print_Area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2020-12-02T04:32:23Z</cp:lastPrinted>
  <dcterms:created xsi:type="dcterms:W3CDTF">2019-09-10T03:17:03Z</dcterms:created>
  <dcterms:modified xsi:type="dcterms:W3CDTF">2020-12-02T04:32:30Z</dcterms:modified>
</cp:coreProperties>
</file>