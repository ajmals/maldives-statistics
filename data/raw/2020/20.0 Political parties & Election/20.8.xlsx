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0.  POLITICAL PARTIES AND ELECTIONS\"/>
    </mc:Choice>
  </mc:AlternateContent>
  <bookViews>
    <workbookView xWindow="0" yWindow="0" windowWidth="28800" windowHeight="12435" tabRatio="682"/>
  </bookViews>
  <sheets>
    <sheet name="20.8" sheetId="11" r:id="rId1"/>
  </sheets>
  <externalReferences>
    <externalReference r:id="rId2"/>
  </externalReferences>
  <definedNames>
    <definedName name="_xlnm.Print_Area" localSheetId="0">'20.8'!$A$1:$L$37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1" l="1"/>
  <c r="F19" i="11"/>
  <c r="G7" i="11"/>
  <c r="D7" i="11" s="1"/>
  <c r="AG18" i="11" s="1"/>
  <c r="F7" i="11"/>
  <c r="C7" i="11" s="1"/>
  <c r="AF18" i="11" s="1"/>
  <c r="H10" i="11"/>
  <c r="E10" i="11"/>
  <c r="B10" i="11" s="1"/>
  <c r="D10" i="11"/>
  <c r="AG21" i="11" s="1"/>
  <c r="C10" i="11"/>
  <c r="AF21" i="11" s="1"/>
  <c r="H9" i="11"/>
  <c r="E9" i="11"/>
  <c r="B9" i="11" s="1"/>
  <c r="D9" i="11"/>
  <c r="AG20" i="11" s="1"/>
  <c r="C9" i="11"/>
  <c r="AF20" i="11" s="1"/>
  <c r="H8" i="11"/>
  <c r="E8" i="11"/>
  <c r="B8" i="11" s="1"/>
  <c r="D8" i="11"/>
  <c r="AG19" i="11" s="1"/>
  <c r="C8" i="11"/>
  <c r="AF19" i="11" s="1"/>
  <c r="J7" i="11"/>
  <c r="I7" i="11"/>
  <c r="H22" i="11"/>
  <c r="E22" i="11"/>
  <c r="D22" i="11"/>
  <c r="C22" i="11"/>
  <c r="H21" i="11"/>
  <c r="E21" i="11"/>
  <c r="D21" i="11"/>
  <c r="C21" i="11"/>
  <c r="H20" i="11"/>
  <c r="E20" i="11"/>
  <c r="D20" i="11"/>
  <c r="C20" i="11"/>
  <c r="J19" i="11"/>
  <c r="I19" i="11"/>
  <c r="E19" i="11"/>
  <c r="D19" i="11" l="1"/>
  <c r="H19" i="11"/>
  <c r="B20" i="11"/>
  <c r="B21" i="11"/>
  <c r="B22" i="11"/>
  <c r="C19" i="11"/>
  <c r="H7" i="11"/>
  <c r="E7" i="11"/>
  <c r="B19" i="11"/>
  <c r="B7" i="11" l="1"/>
</calcChain>
</file>

<file path=xl/sharedStrings.xml><?xml version="1.0" encoding="utf-8"?>
<sst xmlns="http://schemas.openxmlformats.org/spreadsheetml/2006/main" count="61" uniqueCount="26">
  <si>
    <t xml:space="preserve">މަޢުލޫމާތު ދެއްވި ފަރާތް: އިލެކްޝަންސް ކޮމިޝަން </t>
  </si>
  <si>
    <t>Female</t>
  </si>
  <si>
    <t>Republic</t>
  </si>
  <si>
    <t>Total</t>
  </si>
  <si>
    <t>Male</t>
  </si>
  <si>
    <t>ތާވަލު 20.8: ލޯކަލް ކައުންސިލް މެމްބަރުންގެ އަދަދު އަދި ޖިންސް، 2018</t>
  </si>
  <si>
    <t>TABLE 20.8: LOCAL COUNCIL MEMBERS BY SEX, 2018</t>
  </si>
  <si>
    <t xml:space="preserve"> Councils</t>
  </si>
  <si>
    <r>
      <t xml:space="preserve">Republic                      </t>
    </r>
    <r>
      <rPr>
        <b/>
        <sz val="11"/>
        <color theme="1"/>
        <rFont val="Faruma"/>
      </rPr>
      <t xml:space="preserve">މުޅިރާއްޖެ </t>
    </r>
  </si>
  <si>
    <r>
      <t xml:space="preserve">Male'                          </t>
    </r>
    <r>
      <rPr>
        <b/>
        <sz val="11"/>
        <color theme="1"/>
        <rFont val="Faruma"/>
      </rPr>
      <t xml:space="preserve"> މާލެ</t>
    </r>
  </si>
  <si>
    <r>
      <t xml:space="preserve">Atolls                  </t>
    </r>
    <r>
      <rPr>
        <b/>
        <sz val="11"/>
        <color theme="1"/>
        <rFont val="Faruma"/>
      </rPr>
      <t xml:space="preserve"> އަތޮޅުތައް</t>
    </r>
  </si>
  <si>
    <t>ކައުންސިލްތައް</t>
  </si>
  <si>
    <t>Local Councils</t>
  </si>
  <si>
    <t>ލޯކަލް ކައުންސިލްތައް</t>
  </si>
  <si>
    <t>Atoll councils</t>
  </si>
  <si>
    <t>އަތޮޅު ކައުންސިލް</t>
  </si>
  <si>
    <t>Island councils</t>
  </si>
  <si>
    <t>ރަށު ކައުންސިލް</t>
  </si>
  <si>
    <t>City councils</t>
  </si>
  <si>
    <t>ސިޓީ ކައުންސިލް</t>
  </si>
  <si>
    <t>Note: Local Council election was last held in Maly 2017</t>
  </si>
  <si>
    <t xml:space="preserve"> Local Councils</t>
  </si>
  <si>
    <t>TABLE 20.8: LOCAL COUNCIL MEMBERS BY SEX, 2019</t>
  </si>
  <si>
    <t>ތާވަލު 20.8: ލޯކަލް ކައުންސިލް މެމްބަރުންގެ އަދަދު އަދި ޖިންސް، 2019</t>
  </si>
  <si>
    <t>Source: Local Government Authority</t>
  </si>
  <si>
    <t xml:space="preserve">މަޢުލޫމާތު ދެއްވި ފަރާތް: ލޯކަލް ގަވަރމަންޓް އޮތޯރިޓީ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</si>
</sst>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12" fillId="0" borderId="0"/>
    <xf numFmtId="0" fontId="1" fillId="0" borderId="0"/>
  </cellStyleXfs>
  <cellXfs count="42">
    <xf numFmtId="0" fontId="0" fillId="0" borderId="0" xfId="0"/>
    <xf numFmtId="0" fontId="2" fillId="2" borderId="0" xfId="0" applyFont="1" applyFill="1"/>
    <xf numFmtId="0" fontId="0" fillId="2" borderId="1" xfId="0" applyFont="1" applyFill="1" applyBorder="1"/>
    <xf numFmtId="0" fontId="4" fillId="2" borderId="0" xfId="0" applyFont="1" applyFill="1"/>
    <xf numFmtId="0" fontId="7" fillId="2" borderId="0" xfId="0" applyFont="1" applyFill="1"/>
    <xf numFmtId="0" fontId="6" fillId="2" borderId="0" xfId="0" applyFont="1" applyFill="1"/>
    <xf numFmtId="0" fontId="0" fillId="2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ont="1" applyFill="1" applyBorder="1"/>
    <xf numFmtId="0" fontId="0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37" fontId="2" fillId="2" borderId="0" xfId="1" applyNumberFormat="1" applyFont="1" applyFill="1" applyBorder="1" applyAlignment="1">
      <alignment horizontal="right" vertical="center"/>
    </xf>
    <xf numFmtId="37" fontId="2" fillId="2" borderId="8" xfId="1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37" fontId="1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left" vertical="center"/>
    </xf>
    <xf numFmtId="37" fontId="2" fillId="2" borderId="1" xfId="1" applyNumberFormat="1" applyFont="1" applyFill="1" applyBorder="1" applyAlignment="1">
      <alignment horizontal="right" vertical="center"/>
    </xf>
    <xf numFmtId="37" fontId="1" fillId="2" borderId="1" xfId="1" applyNumberFormat="1" applyFont="1" applyFill="1" applyBorder="1" applyAlignment="1">
      <alignment horizontal="right" vertical="center"/>
    </xf>
    <xf numFmtId="37" fontId="2" fillId="2" borderId="6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10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/>
    </xf>
    <xf numFmtId="37" fontId="0" fillId="2" borderId="7" xfId="1" applyNumberFormat="1" applyFont="1" applyFill="1" applyBorder="1" applyAlignment="1">
      <alignment horizontal="right" vertical="center"/>
    </xf>
    <xf numFmtId="37" fontId="0" fillId="2" borderId="0" xfId="0" applyNumberFormat="1" applyFont="1" applyFill="1" applyAlignment="1">
      <alignment horizontal="center"/>
    </xf>
    <xf numFmtId="37" fontId="0" fillId="2" borderId="0" xfId="0" applyNumberFormat="1" applyFont="1" applyFill="1"/>
    <xf numFmtId="0" fontId="2" fillId="2" borderId="0" xfId="0" applyFont="1" applyFill="1" applyBorder="1" applyAlignment="1">
      <alignment horizontal="left" vertical="center"/>
    </xf>
    <xf numFmtId="37" fontId="1" fillId="2" borderId="9" xfId="1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9">
    <cellStyle name="Comma" xfId="1" builtinId="3"/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</cellStyles>
  <dxfs count="0"/>
  <tableStyles count="0" defaultTableStyle="TableStyleMedium2" defaultPivotStyle="PivotStyleLight16"/>
  <colors>
    <mruColors>
      <color rgb="FFF6ECE2"/>
      <color rgb="FFE1C2A3"/>
      <color rgb="FF996633"/>
      <color rgb="FF714B25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andara" panose="020E0502030303020204" pitchFamily="34" charset="0"/>
                <a:cs typeface="Consolas" pitchFamily="49" charset="0"/>
              </a:defRPr>
            </a:pP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Figure</a:t>
            </a:r>
            <a:r>
              <a:rPr lang="en-US" sz="1100" baseline="0">
                <a:latin typeface="Candara" panose="020E0502030303020204" pitchFamily="34" charset="0"/>
                <a:cs typeface="Consolas" pitchFamily="49" charset="0"/>
              </a:rPr>
              <a:t>  20.5: </a:t>
            </a: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Number of local council members by sex, 2019</a:t>
            </a:r>
          </a:p>
        </c:rich>
      </c:tx>
      <c:layout>
        <c:manualLayout>
          <c:xMode val="edge"/>
          <c:yMode val="edge"/>
          <c:x val="0.26693366351467901"/>
          <c:y val="3.66158602352983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16536132421977"/>
          <c:y val="0.179121978961468"/>
          <c:w val="0.86935468199437371"/>
          <c:h val="0.67959247431918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'[1]20.8'!$P$28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'[1]20.8'!$O$30:$O$32</c:f>
              <c:strCache>
                <c:ptCount val="3"/>
                <c:pt idx="0">
                  <c:v>Atoll councils</c:v>
                </c:pt>
                <c:pt idx="1">
                  <c:v>Island councils</c:v>
                </c:pt>
                <c:pt idx="2">
                  <c:v>City councils</c:v>
                </c:pt>
              </c:strCache>
            </c:strRef>
          </c:cat>
          <c:val>
            <c:numRef>
              <c:f>'[1]20.8'!$P$30:$P$32</c:f>
              <c:numCache>
                <c:formatCode>General</c:formatCode>
                <c:ptCount val="3"/>
                <c:pt idx="0">
                  <c:v>66</c:v>
                </c:pt>
                <c:pt idx="1">
                  <c:v>528</c:v>
                </c:pt>
                <c:pt idx="2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D5-49A7-9AA8-932C53F590C7}"/>
            </c:ext>
          </c:extLst>
        </c:ser>
        <c:ser>
          <c:idx val="1"/>
          <c:order val="1"/>
          <c:tx>
            <c:strRef>
              <c:f>'[1]20.8'!$Q$28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E1C2A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'[1]20.8'!$O$30:$O$32</c:f>
              <c:strCache>
                <c:ptCount val="3"/>
                <c:pt idx="0">
                  <c:v>Atoll councils</c:v>
                </c:pt>
                <c:pt idx="1">
                  <c:v>Island councils</c:v>
                </c:pt>
                <c:pt idx="2">
                  <c:v>City councils</c:v>
                </c:pt>
              </c:strCache>
            </c:strRef>
          </c:cat>
          <c:val>
            <c:numRef>
              <c:f>'[1]20.8'!$Q$30:$Q$32</c:f>
              <c:numCache>
                <c:formatCode>General</c:formatCode>
                <c:ptCount val="3"/>
                <c:pt idx="0">
                  <c:v>1</c:v>
                </c:pt>
                <c:pt idx="1">
                  <c:v>35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8D5-49A7-9AA8-932C53F590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08349600"/>
        <c:axId val="408349992"/>
      </c:barChart>
      <c:catAx>
        <c:axId val="408349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8349992"/>
        <c:crosses val="autoZero"/>
        <c:auto val="1"/>
        <c:lblAlgn val="ctr"/>
        <c:lblOffset val="100"/>
        <c:noMultiLvlLbl val="0"/>
      </c:catAx>
      <c:valAx>
        <c:axId val="4083499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n-US" sz="1050"/>
                  <a:t>No.</a:t>
                </a:r>
                <a:r>
                  <a:rPr lang="en-US" sz="1050" baseline="0"/>
                  <a:t> of persons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1.5168436987476074E-2"/>
              <c:y val="0.353492841105342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08349600"/>
        <c:crosses val="autoZero"/>
        <c:crossBetween val="between"/>
        <c:majorUnit val="200"/>
      </c:valAx>
      <c:spPr>
        <a:solidFill>
          <a:srgbClr val="F6ECE2"/>
        </a:solidFill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16665463030216612"/>
          <c:y val="0.22749929476877989"/>
          <c:w val="0.21579249374644505"/>
          <c:h val="7.681552279236655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1011491</xdr:colOff>
      <xdr:row>25</xdr:row>
      <xdr:rowOff>1</xdr:rowOff>
    </xdr:from>
    <xdr:to>
      <xdr:col>10</xdr:col>
      <xdr:colOff>476250</xdr:colOff>
      <xdr:row>36</xdr:row>
      <xdr:rowOff>200025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Copy%20of%2020.%20%20POLITICAL%20PARTIES%20AND%20ELECTIONS-%20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"/>
      <sheetName val="20.2"/>
      <sheetName val="20.3"/>
      <sheetName val="20.4"/>
      <sheetName val="20.5"/>
      <sheetName val="20.6"/>
      <sheetName val="20.8"/>
      <sheetName val="20.9"/>
    </sheetNames>
    <sheetDataSet>
      <sheetData sheetId="0">
        <row r="27">
          <cell r="AC27">
            <v>2011</v>
          </cell>
        </row>
      </sheetData>
      <sheetData sheetId="1">
        <row r="17">
          <cell r="AH17" t="str">
            <v>Presidential election, 2008</v>
          </cell>
        </row>
      </sheetData>
      <sheetData sheetId="2" refreshError="1"/>
      <sheetData sheetId="3" refreshError="1"/>
      <sheetData sheetId="4" refreshError="1"/>
      <sheetData sheetId="5">
        <row r="19">
          <cell r="C19" t="str">
            <v>Male</v>
          </cell>
        </row>
      </sheetData>
      <sheetData sheetId="6">
        <row r="28">
          <cell r="P28" t="str">
            <v>Male</v>
          </cell>
          <cell r="Q28" t="str">
            <v>Female</v>
          </cell>
        </row>
        <row r="30">
          <cell r="O30" t="str">
            <v>Atoll councils</v>
          </cell>
          <cell r="P30">
            <v>66</v>
          </cell>
          <cell r="Q30">
            <v>1</v>
          </cell>
        </row>
        <row r="31">
          <cell r="O31" t="str">
            <v>Island councils</v>
          </cell>
          <cell r="P31">
            <v>528</v>
          </cell>
          <cell r="Q31">
            <v>35</v>
          </cell>
        </row>
        <row r="32">
          <cell r="O32" t="str">
            <v>City councils</v>
          </cell>
          <cell r="P32">
            <v>19</v>
          </cell>
          <cell r="Q32">
            <v>4</v>
          </cell>
        </row>
      </sheetData>
      <sheetData sheetId="7">
        <row r="10">
          <cell r="A10" t="str">
            <v>Male' City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H34"/>
  <sheetViews>
    <sheetView tabSelected="1" zoomScaleNormal="100" workbookViewId="0">
      <selection activeCell="AC14" sqref="AC14:AH23"/>
    </sheetView>
  </sheetViews>
  <sheetFormatPr defaultColWidth="9.140625" defaultRowHeight="21" x14ac:dyDescent="0.55000000000000004"/>
  <cols>
    <col min="1" max="1" width="18" style="9" customWidth="1"/>
    <col min="2" max="10" width="9.7109375" style="9" customWidth="1"/>
    <col min="11" max="11" width="20.140625" style="3" customWidth="1"/>
    <col min="12" max="12" width="2.42578125" style="9" customWidth="1"/>
    <col min="13" max="14" width="9.140625" style="9"/>
    <col min="15" max="15" width="18.28515625" style="9" customWidth="1"/>
    <col min="16" max="16" width="15" style="9" customWidth="1"/>
    <col min="17" max="16384" width="9.140625" style="9"/>
  </cols>
  <sheetData>
    <row r="2" spans="1:34" s="1" customFormat="1" ht="21.75" x14ac:dyDescent="0.55000000000000004">
      <c r="A2" s="34" t="s">
        <v>23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34" s="1" customFormat="1" ht="15.75" x14ac:dyDescent="0.25">
      <c r="A3" s="38" t="s">
        <v>22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5" spans="1:34" s="11" customFormat="1" x14ac:dyDescent="0.25">
      <c r="A5" s="35" t="s">
        <v>7</v>
      </c>
      <c r="B5" s="39" t="s">
        <v>8</v>
      </c>
      <c r="C5" s="39"/>
      <c r="D5" s="39"/>
      <c r="E5" s="40" t="s">
        <v>9</v>
      </c>
      <c r="F5" s="39"/>
      <c r="G5" s="41"/>
      <c r="H5" s="39" t="s">
        <v>10</v>
      </c>
      <c r="I5" s="39"/>
      <c r="J5" s="39"/>
      <c r="K5" s="36" t="s">
        <v>11</v>
      </c>
    </row>
    <row r="6" spans="1:34" s="8" customFormat="1" ht="15" x14ac:dyDescent="0.25">
      <c r="A6" s="33"/>
      <c r="B6" s="10" t="s">
        <v>3</v>
      </c>
      <c r="C6" s="10" t="s">
        <v>4</v>
      </c>
      <c r="D6" s="10" t="s">
        <v>1</v>
      </c>
      <c r="E6" s="12" t="s">
        <v>3</v>
      </c>
      <c r="F6" s="10" t="s">
        <v>4</v>
      </c>
      <c r="G6" s="13" t="s">
        <v>1</v>
      </c>
      <c r="H6" s="10" t="s">
        <v>3</v>
      </c>
      <c r="I6" s="10" t="s">
        <v>4</v>
      </c>
      <c r="J6" s="10" t="s">
        <v>1</v>
      </c>
      <c r="K6" s="37"/>
    </row>
    <row r="7" spans="1:34" s="8" customFormat="1" x14ac:dyDescent="0.25">
      <c r="A7" s="31" t="s">
        <v>12</v>
      </c>
      <c r="B7" s="14">
        <f>E7+H7</f>
        <v>650</v>
      </c>
      <c r="C7" s="14">
        <f>F7+I7</f>
        <v>611</v>
      </c>
      <c r="D7" s="14">
        <f>G7+J7</f>
        <v>39</v>
      </c>
      <c r="E7" s="15">
        <f>SUM(F7:G7)</f>
        <v>13</v>
      </c>
      <c r="F7" s="25">
        <f>SUM(F8:F10)</f>
        <v>10</v>
      </c>
      <c r="G7" s="32">
        <f>SUM(G8:G10)</f>
        <v>3</v>
      </c>
      <c r="H7" s="14">
        <f>SUM(I7:J7)</f>
        <v>637</v>
      </c>
      <c r="I7" s="14">
        <f t="shared" ref="I7:J7" si="0">SUM(I8:I10)</f>
        <v>601</v>
      </c>
      <c r="J7" s="14">
        <f t="shared" si="0"/>
        <v>36</v>
      </c>
      <c r="K7" s="16" t="s">
        <v>13</v>
      </c>
    </row>
    <row r="8" spans="1:34" s="8" customFormat="1" x14ac:dyDescent="0.25">
      <c r="A8" s="6" t="s">
        <v>14</v>
      </c>
      <c r="B8" s="14">
        <f>E8+H8</f>
        <v>67</v>
      </c>
      <c r="C8" s="17">
        <f>F8+I8</f>
        <v>66</v>
      </c>
      <c r="D8" s="17">
        <f t="shared" ref="D8:D10" si="1">G8+J8</f>
        <v>1</v>
      </c>
      <c r="E8" s="15">
        <f t="shared" ref="E8:E10" si="2">SUM(F8:G8)</f>
        <v>0</v>
      </c>
      <c r="F8" s="25">
        <v>0</v>
      </c>
      <c r="G8" s="26">
        <v>0</v>
      </c>
      <c r="H8" s="14">
        <f t="shared" ref="H8:H10" si="3">SUM(I8:J8)</f>
        <v>67</v>
      </c>
      <c r="I8" s="25">
        <v>66</v>
      </c>
      <c r="J8" s="25">
        <v>1</v>
      </c>
      <c r="K8" s="18" t="s">
        <v>15</v>
      </c>
    </row>
    <row r="9" spans="1:34" s="8" customFormat="1" x14ac:dyDescent="0.25">
      <c r="A9" s="6" t="s">
        <v>16</v>
      </c>
      <c r="B9" s="14">
        <f t="shared" ref="B9:B10" si="4">E9+H9</f>
        <v>560</v>
      </c>
      <c r="C9" s="17">
        <f t="shared" ref="C9:C10" si="5">F9+I9</f>
        <v>526</v>
      </c>
      <c r="D9" s="17">
        <f t="shared" si="1"/>
        <v>34</v>
      </c>
      <c r="E9" s="15">
        <f t="shared" si="2"/>
        <v>0</v>
      </c>
      <c r="F9" s="25">
        <v>0</v>
      </c>
      <c r="G9" s="26">
        <v>0</v>
      </c>
      <c r="H9" s="14">
        <f t="shared" si="3"/>
        <v>560</v>
      </c>
      <c r="I9" s="25">
        <v>526</v>
      </c>
      <c r="J9" s="25">
        <v>34</v>
      </c>
      <c r="K9" s="18" t="s">
        <v>17</v>
      </c>
    </row>
    <row r="10" spans="1:34" s="8" customFormat="1" x14ac:dyDescent="0.25">
      <c r="A10" s="19" t="s">
        <v>18</v>
      </c>
      <c r="B10" s="20">
        <f t="shared" si="4"/>
        <v>23</v>
      </c>
      <c r="C10" s="21">
        <f t="shared" si="5"/>
        <v>19</v>
      </c>
      <c r="D10" s="21">
        <f t="shared" si="1"/>
        <v>4</v>
      </c>
      <c r="E10" s="22">
        <f t="shared" si="2"/>
        <v>13</v>
      </c>
      <c r="F10" s="27">
        <v>10</v>
      </c>
      <c r="G10" s="28">
        <v>3</v>
      </c>
      <c r="H10" s="20">
        <f t="shared" si="3"/>
        <v>10</v>
      </c>
      <c r="I10" s="27">
        <v>9</v>
      </c>
      <c r="J10" s="27">
        <v>1</v>
      </c>
      <c r="K10" s="23" t="s">
        <v>19</v>
      </c>
    </row>
    <row r="11" spans="1:34" s="8" customFormat="1" x14ac:dyDescent="0.25">
      <c r="A11" s="24" t="s">
        <v>20</v>
      </c>
      <c r="B11" s="14"/>
      <c r="C11" s="17"/>
      <c r="D11" s="17"/>
      <c r="E11" s="14"/>
      <c r="F11" s="25"/>
      <c r="G11" s="25"/>
      <c r="H11" s="14"/>
      <c r="I11" s="25"/>
      <c r="J11" s="25"/>
      <c r="K11" s="18"/>
    </row>
    <row r="12" spans="1:34" s="8" customFormat="1" ht="18" x14ac:dyDescent="0.45">
      <c r="A12" s="7" t="s">
        <v>24</v>
      </c>
      <c r="B12" s="4"/>
      <c r="C12" s="4"/>
      <c r="D12" s="4"/>
      <c r="E12" s="4"/>
      <c r="F12" s="4"/>
      <c r="G12" s="4"/>
      <c r="H12" s="4"/>
      <c r="I12" s="4"/>
      <c r="J12" s="4"/>
      <c r="K12" s="5" t="s">
        <v>25</v>
      </c>
    </row>
    <row r="14" spans="1:34" s="1" customFormat="1" ht="21.75" x14ac:dyDescent="0.55000000000000004">
      <c r="A14" s="34" t="s">
        <v>5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AC14" s="8"/>
      <c r="AD14" s="8"/>
      <c r="AE14" s="8"/>
      <c r="AF14" s="8"/>
      <c r="AG14" s="8"/>
      <c r="AH14" s="8"/>
    </row>
    <row r="15" spans="1:34" s="1" customFormat="1" ht="15.75" x14ac:dyDescent="0.25">
      <c r="A15" s="38" t="s">
        <v>6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AC15" s="8"/>
      <c r="AD15" s="8"/>
      <c r="AE15" s="9"/>
      <c r="AF15" s="9"/>
      <c r="AG15" s="9"/>
      <c r="AH15" s="8"/>
    </row>
    <row r="16" spans="1:34" x14ac:dyDescent="0.55000000000000004">
      <c r="AF16" s="9" t="s">
        <v>2</v>
      </c>
    </row>
    <row r="17" spans="1:34" s="11" customFormat="1" x14ac:dyDescent="0.25">
      <c r="A17" s="35" t="s">
        <v>7</v>
      </c>
      <c r="B17" s="39" t="s">
        <v>8</v>
      </c>
      <c r="C17" s="39"/>
      <c r="D17" s="39"/>
      <c r="E17" s="40" t="s">
        <v>9</v>
      </c>
      <c r="F17" s="39"/>
      <c r="G17" s="41"/>
      <c r="H17" s="39" t="s">
        <v>10</v>
      </c>
      <c r="I17" s="39"/>
      <c r="J17" s="39"/>
      <c r="K17" s="36" t="s">
        <v>11</v>
      </c>
      <c r="AC17" s="1"/>
      <c r="AD17" s="1"/>
      <c r="AE17" s="9"/>
      <c r="AF17" s="11" t="s">
        <v>4</v>
      </c>
      <c r="AG17" s="11" t="s">
        <v>1</v>
      </c>
      <c r="AH17" s="1"/>
    </row>
    <row r="18" spans="1:34" s="8" customFormat="1" ht="15" x14ac:dyDescent="0.25">
      <c r="A18" s="33"/>
      <c r="B18" s="10" t="s">
        <v>3</v>
      </c>
      <c r="C18" s="10" t="s">
        <v>4</v>
      </c>
      <c r="D18" s="10" t="s">
        <v>1</v>
      </c>
      <c r="E18" s="12" t="s">
        <v>3</v>
      </c>
      <c r="F18" s="10" t="s">
        <v>4</v>
      </c>
      <c r="G18" s="13" t="s">
        <v>1</v>
      </c>
      <c r="H18" s="10" t="s">
        <v>3</v>
      </c>
      <c r="I18" s="10" t="s">
        <v>4</v>
      </c>
      <c r="J18" s="10" t="s">
        <v>1</v>
      </c>
      <c r="K18" s="37"/>
      <c r="AC18" s="1"/>
      <c r="AD18" s="1"/>
      <c r="AE18" s="9" t="s">
        <v>21</v>
      </c>
      <c r="AF18" s="29">
        <f t="shared" ref="AF18:AG21" si="6">C7</f>
        <v>611</v>
      </c>
      <c r="AG18" s="29">
        <f t="shared" si="6"/>
        <v>39</v>
      </c>
      <c r="AH18" s="1"/>
    </row>
    <row r="19" spans="1:34" s="8" customFormat="1" x14ac:dyDescent="0.25">
      <c r="A19" s="31" t="s">
        <v>12</v>
      </c>
      <c r="B19" s="14">
        <f>E19+H19</f>
        <v>652</v>
      </c>
      <c r="C19" s="14">
        <f>F19+I19</f>
        <v>613</v>
      </c>
      <c r="D19" s="14">
        <f>G19+J19</f>
        <v>39</v>
      </c>
      <c r="E19" s="15">
        <f>SUM(F19:G19)</f>
        <v>13</v>
      </c>
      <c r="F19" s="25">
        <f>SUM(F20:F22)</f>
        <v>10</v>
      </c>
      <c r="G19" s="32">
        <f>SUM(G20:G22)</f>
        <v>3</v>
      </c>
      <c r="H19" s="14">
        <f>SUM(I19:J19)</f>
        <v>639</v>
      </c>
      <c r="I19" s="14">
        <f t="shared" ref="I19:J19" si="7">SUM(I20:I22)</f>
        <v>603</v>
      </c>
      <c r="J19" s="14">
        <f t="shared" si="7"/>
        <v>36</v>
      </c>
      <c r="K19" s="16" t="s">
        <v>13</v>
      </c>
      <c r="AC19" s="9"/>
      <c r="AD19" s="9"/>
      <c r="AE19" s="2" t="s">
        <v>14</v>
      </c>
      <c r="AF19" s="29">
        <f t="shared" si="6"/>
        <v>66</v>
      </c>
      <c r="AG19" s="29">
        <f t="shared" si="6"/>
        <v>1</v>
      </c>
      <c r="AH19" s="9"/>
    </row>
    <row r="20" spans="1:34" s="8" customFormat="1" x14ac:dyDescent="0.25">
      <c r="A20" s="6" t="s">
        <v>14</v>
      </c>
      <c r="B20" s="14">
        <f>E20+H20</f>
        <v>67</v>
      </c>
      <c r="C20" s="17">
        <f>F20+I20</f>
        <v>66</v>
      </c>
      <c r="D20" s="17">
        <f t="shared" ref="D20:D22" si="8">G20+J20</f>
        <v>1</v>
      </c>
      <c r="E20" s="15">
        <f t="shared" ref="E20:E22" si="9">SUM(F20:G20)</f>
        <v>0</v>
      </c>
      <c r="F20" s="25">
        <v>0</v>
      </c>
      <c r="G20" s="26">
        <v>0</v>
      </c>
      <c r="H20" s="14">
        <f t="shared" ref="H20:H22" si="10">SUM(I20:J20)</f>
        <v>67</v>
      </c>
      <c r="I20" s="25">
        <v>66</v>
      </c>
      <c r="J20" s="25">
        <v>1</v>
      </c>
      <c r="K20" s="18" t="s">
        <v>15</v>
      </c>
      <c r="AC20" s="11"/>
      <c r="AD20" s="11"/>
      <c r="AE20" s="9" t="s">
        <v>16</v>
      </c>
      <c r="AF20" s="29">
        <f t="shared" si="6"/>
        <v>526</v>
      </c>
      <c r="AG20" s="29">
        <f t="shared" si="6"/>
        <v>34</v>
      </c>
      <c r="AH20" s="11"/>
    </row>
    <row r="21" spans="1:34" s="8" customFormat="1" x14ac:dyDescent="0.25">
      <c r="A21" s="6" t="s">
        <v>16</v>
      </c>
      <c r="B21" s="14">
        <f t="shared" ref="B21:C22" si="11">E21+H21</f>
        <v>562</v>
      </c>
      <c r="C21" s="17">
        <f t="shared" si="11"/>
        <v>528</v>
      </c>
      <c r="D21" s="17">
        <f t="shared" si="8"/>
        <v>34</v>
      </c>
      <c r="E21" s="15">
        <f t="shared" si="9"/>
        <v>0</v>
      </c>
      <c r="F21" s="25">
        <v>0</v>
      </c>
      <c r="G21" s="26">
        <v>0</v>
      </c>
      <c r="H21" s="14">
        <f t="shared" si="10"/>
        <v>562</v>
      </c>
      <c r="I21" s="25">
        <v>528</v>
      </c>
      <c r="J21" s="25">
        <v>34</v>
      </c>
      <c r="K21" s="18" t="s">
        <v>17</v>
      </c>
      <c r="AE21" s="2" t="s">
        <v>18</v>
      </c>
      <c r="AF21" s="29">
        <f t="shared" si="6"/>
        <v>19</v>
      </c>
      <c r="AG21" s="29">
        <f t="shared" si="6"/>
        <v>4</v>
      </c>
    </row>
    <row r="22" spans="1:34" s="8" customFormat="1" x14ac:dyDescent="0.25">
      <c r="A22" s="19" t="s">
        <v>18</v>
      </c>
      <c r="B22" s="20">
        <f t="shared" si="11"/>
        <v>23</v>
      </c>
      <c r="C22" s="21">
        <f t="shared" si="11"/>
        <v>19</v>
      </c>
      <c r="D22" s="21">
        <f t="shared" si="8"/>
        <v>4</v>
      </c>
      <c r="E22" s="22">
        <f t="shared" si="9"/>
        <v>13</v>
      </c>
      <c r="F22" s="27">
        <v>10</v>
      </c>
      <c r="G22" s="28">
        <v>3</v>
      </c>
      <c r="H22" s="20">
        <f t="shared" si="10"/>
        <v>10</v>
      </c>
      <c r="I22" s="27">
        <v>9</v>
      </c>
      <c r="J22" s="27">
        <v>1</v>
      </c>
      <c r="K22" s="23" t="s">
        <v>19</v>
      </c>
      <c r="AE22" s="9"/>
      <c r="AF22" s="9"/>
      <c r="AG22" s="9"/>
    </row>
    <row r="23" spans="1:34" s="8" customFormat="1" x14ac:dyDescent="0.25">
      <c r="A23" s="24" t="s">
        <v>20</v>
      </c>
      <c r="B23" s="25"/>
      <c r="C23" s="25"/>
      <c r="D23" s="25"/>
      <c r="E23" s="25"/>
      <c r="F23" s="25"/>
      <c r="G23" s="25"/>
      <c r="H23" s="25"/>
      <c r="I23" s="25"/>
      <c r="J23" s="25"/>
      <c r="K23" s="18"/>
    </row>
    <row r="24" spans="1:34" s="8" customFormat="1" ht="18" x14ac:dyDescent="0.45">
      <c r="A24" s="7" t="s">
        <v>24</v>
      </c>
      <c r="B24" s="4"/>
      <c r="C24" s="4"/>
      <c r="D24" s="4"/>
      <c r="E24" s="4"/>
      <c r="F24" s="4"/>
      <c r="G24" s="4"/>
      <c r="H24" s="4"/>
      <c r="I24" s="4"/>
      <c r="J24" s="4"/>
      <c r="K24" s="5" t="s">
        <v>0</v>
      </c>
    </row>
    <row r="30" spans="1:34" x14ac:dyDescent="0.55000000000000004">
      <c r="E30" s="11"/>
      <c r="F30" s="11"/>
      <c r="G30" s="11"/>
    </row>
    <row r="31" spans="1:34" x14ac:dyDescent="0.55000000000000004">
      <c r="E31" s="30"/>
      <c r="F31" s="30"/>
      <c r="G31" s="30"/>
    </row>
    <row r="32" spans="1:34" x14ac:dyDescent="0.55000000000000004">
      <c r="E32" s="30"/>
      <c r="F32" s="30"/>
      <c r="G32" s="30"/>
    </row>
    <row r="33" spans="5:7" x14ac:dyDescent="0.55000000000000004">
      <c r="E33" s="30"/>
      <c r="F33" s="30"/>
      <c r="G33" s="30"/>
    </row>
    <row r="34" spans="5:7" x14ac:dyDescent="0.55000000000000004">
      <c r="E34" s="30"/>
      <c r="F34" s="30"/>
      <c r="G34" s="30"/>
    </row>
  </sheetData>
  <mergeCells count="14">
    <mergeCell ref="A14:K14"/>
    <mergeCell ref="A15:K15"/>
    <mergeCell ref="A17:A18"/>
    <mergeCell ref="B17:D17"/>
    <mergeCell ref="E17:G17"/>
    <mergeCell ref="H17:J17"/>
    <mergeCell ref="K17:K18"/>
    <mergeCell ref="A2:K2"/>
    <mergeCell ref="A3:K3"/>
    <mergeCell ref="A5:A6"/>
    <mergeCell ref="B5:D5"/>
    <mergeCell ref="E5:G5"/>
    <mergeCell ref="H5:J5"/>
    <mergeCell ref="K5:K6"/>
  </mergeCells>
  <pageMargins left="0.7" right="0.7" top="0.75" bottom="0.75" header="0.3" footer="0.3"/>
  <pageSetup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20.8</vt:lpstr>
      <vt:lpstr>'20.8'!Print_Area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2020-12-02T04:33:22Z</cp:lastPrinted>
  <dcterms:created xsi:type="dcterms:W3CDTF">2019-09-10T03:17:03Z</dcterms:created>
  <dcterms:modified xsi:type="dcterms:W3CDTF">2020-12-02T04:33:33Z</dcterms:modified>
</cp:coreProperties>
</file>