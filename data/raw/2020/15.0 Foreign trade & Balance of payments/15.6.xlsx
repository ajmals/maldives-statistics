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8800" windowHeight="12435" tabRatio="817"/>
  </bookViews>
  <sheets>
    <sheet name="15.6" sheetId="6" r:id="rId1"/>
  </sheets>
  <definedNames>
    <definedName name="_xlnm.Print_Area" localSheetId="0">'15.6'!$A$1:$H$86</definedName>
    <definedName name="_xlnm.Print_Titles" localSheetId="0">'15.6'!$4:$5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3" i="6" l="1"/>
  <c r="F73" i="6"/>
  <c r="E73" i="6"/>
  <c r="D73" i="6"/>
  <c r="C73" i="6"/>
  <c r="B73" i="6"/>
  <c r="G53" i="6"/>
  <c r="F53" i="6"/>
  <c r="E53" i="6"/>
  <c r="D53" i="6"/>
  <c r="C53" i="6"/>
  <c r="B53" i="6"/>
  <c r="G50" i="6"/>
  <c r="F50" i="6"/>
  <c r="E50" i="6"/>
  <c r="D50" i="6"/>
  <c r="C50" i="6"/>
  <c r="B50" i="6"/>
  <c r="G42" i="6"/>
  <c r="F42" i="6"/>
  <c r="E42" i="6"/>
  <c r="D42" i="6"/>
  <c r="C42" i="6"/>
  <c r="B42" i="6"/>
  <c r="G33" i="6"/>
  <c r="F33" i="6"/>
  <c r="E33" i="6"/>
  <c r="D33" i="6"/>
  <c r="C33" i="6"/>
  <c r="B33" i="6"/>
  <c r="G7" i="6"/>
  <c r="G6" i="6" s="1"/>
  <c r="F7" i="6"/>
  <c r="F6" i="6" s="1"/>
  <c r="E7" i="6"/>
  <c r="D7" i="6"/>
  <c r="C7" i="6"/>
  <c r="C6" i="6" s="1"/>
  <c r="B7" i="6"/>
  <c r="B6" i="6" s="1"/>
  <c r="E6" i="6"/>
  <c r="D6" i="6"/>
</calcChain>
</file>

<file path=xl/sharedStrings.xml><?xml version="1.0" encoding="utf-8"?>
<sst xmlns="http://schemas.openxmlformats.org/spreadsheetml/2006/main" count="327" uniqueCount="167">
  <si>
    <t>Country</t>
  </si>
  <si>
    <t>Total</t>
  </si>
  <si>
    <t>Europe</t>
  </si>
  <si>
    <t>Netherland</t>
  </si>
  <si>
    <t>Germany</t>
  </si>
  <si>
    <t>Italy</t>
  </si>
  <si>
    <t>U.K</t>
  </si>
  <si>
    <t>Asia</t>
  </si>
  <si>
    <t>France</t>
  </si>
  <si>
    <t>Middle East</t>
  </si>
  <si>
    <t>Switzerland</t>
  </si>
  <si>
    <t>America</t>
  </si>
  <si>
    <t>Sweden</t>
  </si>
  <si>
    <t>Oceania</t>
  </si>
  <si>
    <t>Africa</t>
  </si>
  <si>
    <t>Singapore</t>
  </si>
  <si>
    <t>India</t>
  </si>
  <si>
    <t>Malaysia</t>
  </si>
  <si>
    <t>Sri Lanka</t>
  </si>
  <si>
    <t>Thailand</t>
  </si>
  <si>
    <t>China</t>
  </si>
  <si>
    <t>Indonesia</t>
  </si>
  <si>
    <t>Japan</t>
  </si>
  <si>
    <t>South Africa</t>
  </si>
  <si>
    <t>Mauritius</t>
  </si>
  <si>
    <t>Canada</t>
  </si>
  <si>
    <t>Brazil</t>
  </si>
  <si>
    <t>itwmuriaudem</t>
  </si>
  <si>
    <t>Oman</t>
  </si>
  <si>
    <t>Bahrain</t>
  </si>
  <si>
    <t>Australia</t>
  </si>
  <si>
    <t>New Zealand</t>
  </si>
  <si>
    <t>Source:  Maldives Customs Services</t>
  </si>
  <si>
    <t>-</t>
  </si>
  <si>
    <t xml:space="preserve">cswsivrWs ccscmwTcswk cscviDclOm :ctWrwfivcaed utWmUluAwm     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</si>
  <si>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</si>
  <si>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</si>
  <si>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</si>
  <si>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</si>
  <si>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</si>
  <si>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</si>
  <si>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</si>
  <si>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</si>
  <si>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ޤައުމު</t>
  </si>
  <si>
    <t>ޖުމްލަ</t>
  </si>
  <si>
    <t>ޔޫރަޕް</t>
  </si>
  <si>
    <t>Austria</t>
  </si>
  <si>
    <t>އޮސްޓްރިއާ</t>
  </si>
  <si>
    <t>Belgium</t>
  </si>
  <si>
    <t>ބެލްޖިއަމް</t>
  </si>
  <si>
    <t>Czech Republic</t>
  </si>
  <si>
    <t>ޗެކްރިޕަބްލިކް</t>
  </si>
  <si>
    <t>ޑެންމާކް</t>
  </si>
  <si>
    <t>Finland</t>
  </si>
  <si>
    <t>ފިންލަންޑް</t>
  </si>
  <si>
    <t>ފްރާންސް</t>
  </si>
  <si>
    <t>ޖަރމަނީ</t>
  </si>
  <si>
    <t>Greece</t>
  </si>
  <si>
    <t>ގްރީސް</t>
  </si>
  <si>
    <t>Hungary</t>
  </si>
  <si>
    <t>ހަންގެރީ</t>
  </si>
  <si>
    <t>އިޓަލީ</t>
  </si>
  <si>
    <t>Ireland</t>
  </si>
  <si>
    <t>އަޔަލެންޑް</t>
  </si>
  <si>
    <t>Luxembourg</t>
  </si>
  <si>
    <t>ލަކްސަމްބާގް</t>
  </si>
  <si>
    <t>Malta</t>
  </si>
  <si>
    <t>މޯލްޓާ</t>
  </si>
  <si>
    <t>ނެދަލެންޑް</t>
  </si>
  <si>
    <t>Norway</t>
  </si>
  <si>
    <t>ނޯވޭ</t>
  </si>
  <si>
    <t>Poland</t>
  </si>
  <si>
    <t>ޕޮލެންޑް</t>
  </si>
  <si>
    <t>Portugal</t>
  </si>
  <si>
    <t>ޕޯޗުގަލް</t>
  </si>
  <si>
    <t>Russia</t>
  </si>
  <si>
    <t>ރަޝިޔާ</t>
  </si>
  <si>
    <t>ސްޕޭން</t>
  </si>
  <si>
    <t>ސްވިޑްން</t>
  </si>
  <si>
    <t>ސްވިޒަލަންޑް</t>
  </si>
  <si>
    <t>Ukraine</t>
  </si>
  <si>
    <t>ޔުކްރެއިން</t>
  </si>
  <si>
    <t>ޔޫ.ކޭ</t>
  </si>
  <si>
    <t>އެޕްރިކާ</t>
  </si>
  <si>
    <t>މޮރީޝަސް</t>
  </si>
  <si>
    <t>ސައުތް އެޕްރިކާ</t>
  </si>
  <si>
    <t>Seychelles</t>
  </si>
  <si>
    <t>ސީޝެލްސް</t>
  </si>
  <si>
    <t>Tanzania</t>
  </si>
  <si>
    <t>ޓެންޒޭނިއާ</t>
  </si>
  <si>
    <t>Reunion</t>
  </si>
  <si>
    <t>Tunisia</t>
  </si>
  <si>
    <t>ޓިއުނީޝިއާ</t>
  </si>
  <si>
    <t>އެމެރިކާ</t>
  </si>
  <si>
    <t>ބްރެޒިލް</t>
  </si>
  <si>
    <t>ކެނެޑާ</t>
  </si>
  <si>
    <t>Costa rica</t>
  </si>
  <si>
    <t>ކޯސްޓަރ ރިކާ</t>
  </si>
  <si>
    <t>Ecuador</t>
  </si>
  <si>
    <t>ޢިކުއިޑާ</t>
  </si>
  <si>
    <t>Jamaica</t>
  </si>
  <si>
    <t>ޖެމެއިކާ</t>
  </si>
  <si>
    <t>ޔޫ.އެސް.އޭ</t>
  </si>
  <si>
    <t>އޯޝަނިއާ</t>
  </si>
  <si>
    <t>އޮސްޓްރޭލިއާ</t>
  </si>
  <si>
    <t>އޭޝިއާ</t>
  </si>
  <si>
    <t>Bangladesh</t>
  </si>
  <si>
    <t>ބަންގްލަދޭޝް</t>
  </si>
  <si>
    <t>ޗައިނާ</t>
  </si>
  <si>
    <t>Cambodia</t>
  </si>
  <si>
    <t>ކެމްބޯޑިއާ</t>
  </si>
  <si>
    <t>Georgia</t>
  </si>
  <si>
    <t>ޖޯޖިއާ</t>
  </si>
  <si>
    <t>ހޮންކޮންގ</t>
  </si>
  <si>
    <t>އިންޑިއާ</t>
  </si>
  <si>
    <t>އިންޑޮނީޝިއާ</t>
  </si>
  <si>
    <t>ޖަޕާން</t>
  </si>
  <si>
    <t>މެލޭޝިއާ</t>
  </si>
  <si>
    <t>Nepal</t>
  </si>
  <si>
    <t>ނޭޕާލް</t>
  </si>
  <si>
    <t>Pakisthan</t>
  </si>
  <si>
    <t>ޕާކިސްތާން</t>
  </si>
  <si>
    <t>Philippines</t>
  </si>
  <si>
    <t>ފިލިޕީންސް</t>
  </si>
  <si>
    <t>ސިންގަޕޯރ</t>
  </si>
  <si>
    <t>South Korea</t>
  </si>
  <si>
    <t>ސައުތް ކޮރެއާ</t>
  </si>
  <si>
    <t>ސްރީލަންކާ</t>
  </si>
  <si>
    <t>Kazakhstan</t>
  </si>
  <si>
    <t>ކަޒަކިސްތާން</t>
  </si>
  <si>
    <t>ތައިލެންޑް</t>
  </si>
  <si>
    <t>Vietnam</t>
  </si>
  <si>
    <t>ވިއެޓްނާމް</t>
  </si>
  <si>
    <t>ބަހުރެއިން</t>
  </si>
  <si>
    <t>Cyprus</t>
  </si>
  <si>
    <t>ސައިޕްރަސް</t>
  </si>
  <si>
    <t>އިރާން</t>
  </si>
  <si>
    <t>Iraq</t>
  </si>
  <si>
    <t>އިރާގު</t>
  </si>
  <si>
    <t>Kuwait</t>
  </si>
  <si>
    <t>ކުވެއިތް</t>
  </si>
  <si>
    <t>Lebanon</t>
  </si>
  <si>
    <t>ލެބަނަން</t>
  </si>
  <si>
    <t>އޮމާން</t>
  </si>
  <si>
    <t>Qatar</t>
  </si>
  <si>
    <t>ގަތަރު</t>
  </si>
  <si>
    <t>Saudi Arabia</t>
  </si>
  <si>
    <t>ސައުދީ އަރަބިއާ</t>
  </si>
  <si>
    <t>Turkey</t>
  </si>
  <si>
    <t>ތުރުކީ</t>
  </si>
  <si>
    <t>ޔޫ.އޭ.އީ</t>
  </si>
  <si>
    <t>Yemen</t>
  </si>
  <si>
    <t>ޔަމަން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</si>
  <si>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</t>
    </r>
    <r>
      <rPr>
        <b/>
        <sz val="10"/>
        <rFont val="A_Faseyha"/>
      </rPr>
      <t>(cniaWyifur '000 ) ugwa</t>
    </r>
  </si>
  <si>
    <t>Serbia</t>
  </si>
  <si>
    <t>Kenya</t>
  </si>
  <si>
    <t>Trinidad and Tobago</t>
  </si>
  <si>
    <t>Belarus</t>
  </si>
  <si>
    <t>ބެލްރުސް</t>
  </si>
  <si>
    <t>ސަރބިއާ</t>
  </si>
  <si>
    <t>ކެންޔާ</t>
  </si>
  <si>
    <t>Morocco</t>
  </si>
  <si>
    <t>މޮރޮކޯ</t>
  </si>
  <si>
    <t>ރީޔޫނިއަން</t>
  </si>
  <si>
    <t>ޓްރިނިޑާރޑް އަދި  ޓްބޭރގޯ</t>
  </si>
  <si>
    <t>2019 - 2014 ,cawtumuawq unuvunof Wdum unuverukurEb cnEjcaWr : 15.6 ulwvWt</t>
  </si>
  <si>
    <t>Table  15.6 :   EXPORTS BY COUNTRY OF DESTINATION,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</si>
</sst>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name val="A_Randhoo"/>
    </font>
    <font>
      <sz val="10"/>
      <name val="Courier"/>
      <family val="3"/>
    </font>
    <font>
      <sz val="10"/>
      <name val="MS Sans Serif"/>
      <family val="2"/>
    </font>
    <font>
      <b/>
      <sz val="10"/>
      <name val="Faruma"/>
    </font>
    <font>
      <b/>
      <sz val="12"/>
      <name val="Calibri"/>
      <family val="2"/>
      <scheme val="minor"/>
    </font>
    <font>
      <b/>
      <sz val="12"/>
      <name val="Faruma"/>
    </font>
    <font>
      <b/>
      <sz val="12"/>
      <color theme="1"/>
      <name val="Calibri"/>
      <family val="2"/>
      <scheme val="minor"/>
    </font>
    <font>
      <sz val="12"/>
      <name val="Faruma"/>
    </font>
    <font>
      <i/>
      <sz val="9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9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71">
    <xf numFmtId="0" fontId="0" fillId="0" borderId="0"/>
    <xf numFmtId="43" fontId="8" fillId="0" borderId="0" applyFont="0" applyFill="0" applyBorder="0" applyAlignment="0" applyProtection="0"/>
    <xf numFmtId="171" fontId="14" fillId="0" borderId="0"/>
    <xf numFmtId="40" fontId="15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20" applyNumberFormat="0" applyAlignment="0" applyProtection="0"/>
    <xf numFmtId="0" fontId="29" fillId="7" borderId="21" applyNumberFormat="0" applyAlignment="0" applyProtection="0"/>
    <xf numFmtId="0" fontId="30" fillId="7" borderId="20" applyNumberFormat="0" applyAlignment="0" applyProtection="0"/>
    <xf numFmtId="0" fontId="31" fillId="0" borderId="22" applyNumberFormat="0" applyFill="0" applyAlignment="0" applyProtection="0"/>
    <xf numFmtId="0" fontId="32" fillId="8" borderId="23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33" borderId="0" applyNumberFormat="0" applyBorder="0" applyAlignment="0" applyProtection="0"/>
    <xf numFmtId="0" fontId="36" fillId="0" borderId="0"/>
    <xf numFmtId="0" fontId="8" fillId="0" borderId="0"/>
    <xf numFmtId="172" fontId="8" fillId="0" borderId="0" applyFont="0" applyFill="0" applyBorder="0" applyAlignment="0" applyProtection="0"/>
    <xf numFmtId="173" fontId="37" fillId="0" borderId="0"/>
    <xf numFmtId="0" fontId="3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4" borderId="0" applyNumberFormat="0" applyBorder="0" applyAlignment="0" applyProtection="0"/>
  </cellStyleXfs>
  <cellXfs count="71">
    <xf numFmtId="0" fontId="0" fillId="0" borderId="0" xfId="0"/>
    <xf numFmtId="171" fontId="3" fillId="2" borderId="6" xfId="2" applyFont="1" applyFill="1" applyBorder="1" applyAlignment="1">
      <alignment vertical="center"/>
    </xf>
    <xf numFmtId="171" fontId="3" fillId="2" borderId="6" xfId="2" applyFont="1" applyFill="1" applyBorder="1" applyAlignment="1"/>
    <xf numFmtId="171" fontId="10" fillId="2" borderId="6" xfId="2" applyFont="1" applyFill="1" applyBorder="1" applyAlignment="1">
      <alignment vertical="center"/>
    </xf>
    <xf numFmtId="171" fontId="6" fillId="2" borderId="6" xfId="2" applyFont="1" applyFill="1" applyBorder="1" applyAlignment="1" applyProtection="1">
      <alignment horizontal="center" vertical="center"/>
    </xf>
    <xf numFmtId="171" fontId="6" fillId="2" borderId="6" xfId="2" applyFont="1" applyFill="1" applyBorder="1" applyAlignment="1" applyProtection="1">
      <alignment horizontal="right" vertical="center"/>
    </xf>
    <xf numFmtId="0" fontId="2" fillId="2" borderId="3" xfId="1" applyNumberFormat="1" applyFont="1" applyFill="1" applyBorder="1" applyAlignment="1" applyProtection="1">
      <alignment horizontal="right" vertical="center"/>
    </xf>
    <xf numFmtId="171" fontId="19" fillId="2" borderId="9" xfId="2" applyFont="1" applyFill="1" applyBorder="1" applyAlignment="1" applyProtection="1">
      <alignment horizontal="left" vertical="center"/>
    </xf>
    <xf numFmtId="3" fontId="2" fillId="2" borderId="9" xfId="2" applyNumberFormat="1" applyFont="1" applyFill="1" applyBorder="1" applyAlignment="1" applyProtection="1">
      <alignment horizontal="right" vertical="center"/>
    </xf>
    <xf numFmtId="0" fontId="16" fillId="2" borderId="13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vertical="center"/>
    </xf>
    <xf numFmtId="171" fontId="17" fillId="2" borderId="6" xfId="2" applyFont="1" applyFill="1" applyBorder="1" applyAlignment="1">
      <alignment horizontal="left" vertical="center"/>
    </xf>
    <xf numFmtId="3" fontId="4" fillId="2" borderId="6" xfId="3" applyNumberFormat="1" applyFont="1" applyFill="1" applyBorder="1" applyAlignment="1">
      <alignment horizontal="right" vertical="center"/>
    </xf>
    <xf numFmtId="171" fontId="18" fillId="2" borderId="6" xfId="2" applyFont="1" applyFill="1" applyBorder="1" applyAlignment="1">
      <alignment horizontal="right" vertical="center"/>
    </xf>
    <xf numFmtId="171" fontId="5" fillId="2" borderId="6" xfId="2" applyFont="1" applyFill="1" applyBorder="1" applyAlignment="1" applyProtection="1">
      <alignment horizontal="left" vertical="center"/>
    </xf>
    <xf numFmtId="3" fontId="7" fillId="2" borderId="6" xfId="1" applyNumberFormat="1" applyFont="1" applyFill="1" applyBorder="1" applyAlignment="1">
      <alignment horizontal="right" vertical="center"/>
    </xf>
    <xf numFmtId="171" fontId="20" fillId="2" borderId="6" xfId="2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171" fontId="5" fillId="2" borderId="15" xfId="2" applyFont="1" applyFill="1" applyBorder="1" applyAlignment="1" applyProtection="1">
      <alignment horizontal="left" vertical="center"/>
    </xf>
    <xf numFmtId="3" fontId="7" fillId="2" borderId="15" xfId="1" applyNumberFormat="1" applyFont="1" applyFill="1" applyBorder="1" applyAlignment="1">
      <alignment horizontal="right" vertical="center"/>
    </xf>
    <xf numFmtId="171" fontId="20" fillId="2" borderId="15" xfId="2" applyFont="1" applyFill="1" applyBorder="1" applyAlignment="1">
      <alignment horizontal="right" vertical="center"/>
    </xf>
    <xf numFmtId="171" fontId="17" fillId="2" borderId="9" xfId="2" applyFont="1" applyFill="1" applyBorder="1" applyAlignment="1">
      <alignment horizontal="left" vertical="center"/>
    </xf>
    <xf numFmtId="3" fontId="4" fillId="2" borderId="9" xfId="3" applyNumberFormat="1" applyFont="1" applyFill="1" applyBorder="1" applyAlignment="1">
      <alignment horizontal="right" vertical="center"/>
    </xf>
    <xf numFmtId="171" fontId="20" fillId="2" borderId="9" xfId="2" applyFont="1" applyFill="1" applyBorder="1" applyAlignment="1">
      <alignment horizontal="right" vertical="center"/>
    </xf>
    <xf numFmtId="1" fontId="5" fillId="2" borderId="6" xfId="0" applyNumberFormat="1" applyFont="1" applyFill="1" applyBorder="1" applyAlignment="1">
      <alignment horizontal="left" vertical="center"/>
    </xf>
    <xf numFmtId="3" fontId="7" fillId="2" borderId="7" xfId="1" applyNumberFormat="1" applyFont="1" applyFill="1" applyBorder="1" applyAlignment="1">
      <alignment horizontal="right" vertical="center"/>
    </xf>
    <xf numFmtId="171" fontId="20" fillId="2" borderId="5" xfId="2" applyFont="1" applyFill="1" applyBorder="1" applyAlignment="1">
      <alignment horizontal="right" vertical="center"/>
    </xf>
    <xf numFmtId="3" fontId="7" fillId="2" borderId="16" xfId="1" applyNumberFormat="1" applyFont="1" applyFill="1" applyBorder="1" applyAlignment="1">
      <alignment horizontal="right" vertical="center"/>
    </xf>
    <xf numFmtId="171" fontId="18" fillId="2" borderId="9" xfId="2" applyFont="1" applyFill="1" applyBorder="1" applyAlignment="1">
      <alignment horizontal="right" vertical="center"/>
    </xf>
    <xf numFmtId="171" fontId="5" fillId="2" borderId="6" xfId="2" applyFont="1" applyFill="1" applyBorder="1" applyAlignment="1">
      <alignment horizontal="left" vertical="center"/>
    </xf>
    <xf numFmtId="3" fontId="7" fillId="2" borderId="6" xfId="3" applyNumberFormat="1" applyFont="1" applyFill="1" applyBorder="1" applyAlignment="1">
      <alignment horizontal="right" vertical="center"/>
    </xf>
    <xf numFmtId="171" fontId="5" fillId="2" borderId="7" xfId="2" applyFont="1" applyFill="1" applyBorder="1" applyAlignment="1" applyProtection="1">
      <alignment horizontal="left" vertical="center"/>
    </xf>
    <xf numFmtId="171" fontId="20" fillId="2" borderId="7" xfId="2" applyFont="1" applyFill="1" applyBorder="1" applyAlignment="1">
      <alignment horizontal="right" vertical="center"/>
    </xf>
    <xf numFmtId="171" fontId="5" fillId="2" borderId="16" xfId="2" applyFont="1" applyFill="1" applyBorder="1" applyAlignment="1" applyProtection="1">
      <alignment horizontal="left" vertical="center"/>
    </xf>
    <xf numFmtId="171" fontId="20" fillId="2" borderId="16" xfId="2" applyFont="1" applyFill="1" applyBorder="1" applyAlignment="1">
      <alignment horizontal="right" vertical="center"/>
    </xf>
    <xf numFmtId="3" fontId="4" fillId="2" borderId="9" xfId="1" applyNumberFormat="1" applyFont="1" applyFill="1" applyBorder="1" applyAlignment="1">
      <alignment horizontal="right" vertical="center"/>
    </xf>
    <xf numFmtId="171" fontId="5" fillId="2" borderId="12" xfId="2" applyFont="1" applyFill="1" applyBorder="1" applyAlignment="1">
      <alignment horizontal="left" vertical="center"/>
    </xf>
    <xf numFmtId="3" fontId="7" fillId="2" borderId="12" xfId="1" applyNumberFormat="1" applyFont="1" applyFill="1" applyBorder="1" applyAlignment="1">
      <alignment horizontal="right" vertical="center"/>
    </xf>
    <xf numFmtId="171" fontId="20" fillId="2" borderId="12" xfId="2" applyFont="1" applyFill="1" applyBorder="1" applyAlignment="1">
      <alignment horizontal="right" vertical="center"/>
    </xf>
    <xf numFmtId="171" fontId="5" fillId="2" borderId="0" xfId="2" applyFont="1" applyFill="1" applyBorder="1" applyAlignment="1" applyProtection="1">
      <alignment horizontal="left" vertical="center"/>
    </xf>
    <xf numFmtId="171" fontId="20" fillId="2" borderId="0" xfId="2" applyFont="1" applyFill="1" applyBorder="1" applyAlignment="1">
      <alignment horizontal="right" vertical="center"/>
    </xf>
    <xf numFmtId="171" fontId="5" fillId="2" borderId="3" xfId="2" applyFont="1" applyFill="1" applyBorder="1" applyAlignment="1" applyProtection="1">
      <alignment horizontal="left" vertical="center"/>
    </xf>
    <xf numFmtId="3" fontId="7" fillId="2" borderId="3" xfId="1" applyNumberFormat="1" applyFont="1" applyFill="1" applyBorder="1" applyAlignment="1">
      <alignment horizontal="right" vertical="center"/>
    </xf>
    <xf numFmtId="171" fontId="20" fillId="2" borderId="3" xfId="2" applyFont="1" applyFill="1" applyBorder="1" applyAlignment="1">
      <alignment horizontal="right" vertical="center"/>
    </xf>
    <xf numFmtId="0" fontId="21" fillId="2" borderId="6" xfId="0" applyFont="1" applyFill="1" applyBorder="1" applyAlignment="1" applyProtection="1">
      <alignment horizontal="left" vertical="center"/>
    </xf>
    <xf numFmtId="171" fontId="12" fillId="2" borderId="9" xfId="2" applyFont="1" applyFill="1" applyBorder="1" applyAlignment="1">
      <alignment horizontal="right" vertical="center"/>
    </xf>
    <xf numFmtId="171" fontId="12" fillId="2" borderId="6" xfId="2" applyFont="1" applyFill="1" applyBorder="1" applyAlignment="1">
      <alignment vertical="center"/>
    </xf>
    <xf numFmtId="171" fontId="3" fillId="2" borderId="6" xfId="2" applyFont="1" applyFill="1" applyBorder="1" applyAlignment="1">
      <alignment horizontal="right" vertical="center"/>
    </xf>
    <xf numFmtId="3" fontId="7" fillId="2" borderId="14" xfId="1" applyNumberFormat="1" applyFont="1" applyFill="1" applyBorder="1" applyAlignment="1">
      <alignment horizontal="right" vertical="center"/>
    </xf>
    <xf numFmtId="171" fontId="3" fillId="2" borderId="26" xfId="2" applyFont="1" applyFill="1" applyBorder="1" applyAlignment="1">
      <alignment vertical="center"/>
    </xf>
    <xf numFmtId="3" fontId="7" fillId="2" borderId="27" xfId="1" applyNumberFormat="1" applyFont="1" applyFill="1" applyBorder="1" applyAlignment="1">
      <alignment horizontal="right" vertical="center"/>
    </xf>
    <xf numFmtId="0" fontId="40" fillId="2" borderId="11" xfId="0" applyFont="1" applyFill="1" applyBorder="1" applyAlignment="1">
      <alignment horizontal="right"/>
    </xf>
    <xf numFmtId="0" fontId="43" fillId="2" borderId="9" xfId="0" applyFont="1" applyFill="1" applyBorder="1" applyAlignment="1">
      <alignment horizontal="right" readingOrder="2"/>
    </xf>
    <xf numFmtId="171" fontId="5" fillId="2" borderId="9" xfId="2" applyFont="1" applyFill="1" applyBorder="1" applyAlignment="1">
      <alignment horizontal="left" vertical="center"/>
    </xf>
    <xf numFmtId="3" fontId="7" fillId="2" borderId="9" xfId="3" applyNumberFormat="1" applyFont="1" applyFill="1" applyBorder="1" applyAlignment="1">
      <alignment horizontal="right" vertical="center"/>
    </xf>
    <xf numFmtId="3" fontId="7" fillId="2" borderId="16" xfId="1" applyNumberFormat="1" applyFont="1" applyFill="1" applyBorder="1" applyAlignment="1">
      <alignment vertical="center"/>
    </xf>
    <xf numFmtId="3" fontId="4" fillId="2" borderId="9" xfId="1" applyNumberFormat="1" applyFont="1" applyFill="1" applyBorder="1" applyAlignment="1">
      <alignment horizontal="left" vertical="center"/>
    </xf>
    <xf numFmtId="171" fontId="3" fillId="2" borderId="26" xfId="2" applyFont="1" applyFill="1" applyBorder="1" applyAlignment="1">
      <alignment horizontal="right" vertical="center"/>
    </xf>
    <xf numFmtId="3" fontId="41" fillId="2" borderId="2" xfId="0" applyNumberFormat="1" applyFont="1" applyFill="1" applyBorder="1" applyAlignment="1">
      <alignment horizontal="center" vertical="center"/>
    </xf>
    <xf numFmtId="3" fontId="41" fillId="2" borderId="4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 vertical="center"/>
    </xf>
    <xf numFmtId="171" fontId="17" fillId="2" borderId="2" xfId="2" applyFont="1" applyFill="1" applyBorder="1" applyAlignment="1" applyProtection="1">
      <alignment horizontal="center" vertical="center"/>
    </xf>
    <xf numFmtId="171" fontId="17" fillId="2" borderId="4" xfId="2" applyFont="1" applyFill="1" applyBorder="1" applyAlignment="1" applyProtection="1">
      <alignment horizontal="center" vertical="center"/>
    </xf>
    <xf numFmtId="171" fontId="17" fillId="2" borderId="5" xfId="2" applyFont="1" applyFill="1" applyBorder="1" applyAlignment="1" applyProtection="1">
      <alignment horizontal="center" vertical="center"/>
    </xf>
    <xf numFmtId="171" fontId="10" fillId="2" borderId="8" xfId="2" applyFont="1" applyFill="1" applyBorder="1" applyAlignment="1" applyProtection="1">
      <alignment horizontal="left" vertical="center"/>
    </xf>
    <xf numFmtId="171" fontId="10" fillId="2" borderId="3" xfId="2" applyFont="1" applyFill="1" applyBorder="1" applyAlignment="1" applyProtection="1">
      <alignment horizontal="left" vertical="center"/>
    </xf>
    <xf numFmtId="171" fontId="18" fillId="2" borderId="8" xfId="2" applyFont="1" applyFill="1" applyBorder="1" applyAlignment="1">
      <alignment horizontal="right" vertical="center"/>
    </xf>
    <xf numFmtId="171" fontId="18" fillId="2" borderId="3" xfId="2" applyFont="1" applyFill="1" applyBorder="1" applyAlignment="1">
      <alignment horizontal="right" vertical="center"/>
    </xf>
    <xf numFmtId="171" fontId="13" fillId="2" borderId="10" xfId="2" applyFont="1" applyFill="1" applyBorder="1" applyAlignment="1" applyProtection="1">
      <alignment horizontal="center" vertical="center"/>
    </xf>
    <xf numFmtId="171" fontId="13" fillId="2" borderId="1" xfId="2" applyFont="1" applyFill="1" applyBorder="1" applyAlignment="1" applyProtection="1">
      <alignment horizontal="center" vertical="center"/>
    </xf>
    <xf numFmtId="171" fontId="13" fillId="2" borderId="28" xfId="2" applyFont="1" applyFill="1" applyBorder="1" applyAlignment="1" applyProtection="1">
      <alignment horizontal="center" vertical="center"/>
    </xf>
  </cellXfs>
  <cellStyles count="71">
    <cellStyle name="1" xfId="47"/>
    <cellStyle name="20% - Accent1" xfId="23" builtinId="30" customBuiltin="1"/>
    <cellStyle name="20% - Accent1 2" xfId="58"/>
    <cellStyle name="20% - Accent2" xfId="27" builtinId="34" customBuiltin="1"/>
    <cellStyle name="20% - Accent2 2" xfId="60"/>
    <cellStyle name="20% - Accent3" xfId="31" builtinId="38" customBuiltin="1"/>
    <cellStyle name="20% - Accent3 2" xfId="62"/>
    <cellStyle name="20% - Accent4" xfId="35" builtinId="42" customBuiltin="1"/>
    <cellStyle name="20% - Accent4 2" xfId="64"/>
    <cellStyle name="20% - Accent5" xfId="39" builtinId="46" customBuiltin="1"/>
    <cellStyle name="20% - Accent5 2" xfId="66"/>
    <cellStyle name="20% - Accent6" xfId="43" builtinId="50" customBuiltin="1"/>
    <cellStyle name="20% - Accent6 2" xfId="68"/>
    <cellStyle name="40% - Accent1" xfId="24" builtinId="31" customBuiltin="1"/>
    <cellStyle name="40% - Accent1 2" xfId="59"/>
    <cellStyle name="40% - Accent2" xfId="28" builtinId="35" customBuiltin="1"/>
    <cellStyle name="40% - Accent2 2" xfId="61"/>
    <cellStyle name="40% - Accent3" xfId="32" builtinId="39" customBuiltin="1"/>
    <cellStyle name="40% - Accent3 2" xfId="63"/>
    <cellStyle name="40% - Accent4" xfId="36" builtinId="43" customBuiltin="1"/>
    <cellStyle name="40% - Accent4 2" xfId="65"/>
    <cellStyle name="40% - Accent5" xfId="40" builtinId="47" customBuiltin="1"/>
    <cellStyle name="40% - Accent5 2" xfId="67"/>
    <cellStyle name="40% - Accent6" xfId="44" builtinId="51" customBuiltin="1"/>
    <cellStyle name="40% - Accent6 2" xfId="69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48"/>
    <cellStyle name="Comma 3" xfId="1"/>
    <cellStyle name="Comma 4" xfId="52"/>
    <cellStyle name="Comma 5" xfId="55"/>
    <cellStyle name="Comma_XII-7 (Commerce)" xfId="3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/>
    <cellStyle name="Normal 2" xfId="5"/>
    <cellStyle name="Normal 3" xfId="51"/>
    <cellStyle name="Normal 4" xfId="54"/>
    <cellStyle name="Normal 5" xfId="4"/>
    <cellStyle name="Normal 6" xfId="57"/>
    <cellStyle name="Normal 7" xfId="46"/>
    <cellStyle name="Normal_XII-7 (Commerce)" xfId="2"/>
    <cellStyle name="Note 2" xfId="53"/>
    <cellStyle name="Note 3" xfId="56"/>
    <cellStyle name="Output" xfId="15" builtinId="21" customBuiltin="1"/>
    <cellStyle name="Percent 2" xfId="6"/>
    <cellStyle name="Title 2" xfId="50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abSelected="1" zoomScaleNormal="100" workbookViewId="0">
      <selection activeCell="M14" sqref="M14"/>
    </sheetView>
  </sheetViews>
  <sheetFormatPr defaultColWidth="11" defaultRowHeight="15.75"/>
  <cols>
    <col min="1" max="1" width="30.5703125" style="3" bestFit="1" customWidth="1"/>
    <col min="2" max="4" width="11.7109375" style="47" customWidth="1"/>
    <col min="5" max="5" width="12.28515625" style="47" customWidth="1"/>
    <col min="6" max="6" width="12.140625" style="47" customWidth="1"/>
    <col min="7" max="7" width="14" style="47" customWidth="1"/>
    <col min="8" max="8" width="23.28515625" style="1" customWidth="1"/>
    <col min="9" max="16384" width="11" style="1"/>
  </cols>
  <sheetData>
    <row r="1" spans="1:8" ht="17.25" customHeight="1">
      <c r="A1" s="58" t="s">
        <v>165</v>
      </c>
      <c r="B1" s="59"/>
      <c r="C1" s="59"/>
      <c r="D1" s="59"/>
      <c r="E1" s="59"/>
      <c r="F1" s="59"/>
      <c r="G1" s="59"/>
      <c r="H1" s="60"/>
    </row>
    <row r="2" spans="1:8" s="3" customFormat="1" ht="21" customHeight="1">
      <c r="A2" s="61" t="s">
        <v>166</v>
      </c>
      <c r="B2" s="62"/>
      <c r="C2" s="62"/>
      <c r="D2" s="62"/>
      <c r="E2" s="62"/>
      <c r="F2" s="62"/>
      <c r="G2" s="62"/>
      <c r="H2" s="63"/>
    </row>
    <row r="3" spans="1:8" s="3" customFormat="1" ht="14.25" hidden="1" customHeight="1">
      <c r="A3" s="4"/>
      <c r="B3" s="5"/>
      <c r="C3" s="5"/>
      <c r="D3" s="5"/>
      <c r="E3" s="5"/>
      <c r="F3" s="5"/>
      <c r="G3" s="5"/>
    </row>
    <row r="4" spans="1:8" s="3" customFormat="1" ht="16.5" customHeight="1">
      <c r="A4" s="64" t="s">
        <v>0</v>
      </c>
      <c r="B4" s="68" t="s">
        <v>153</v>
      </c>
      <c r="C4" s="69"/>
      <c r="D4" s="69"/>
      <c r="E4" s="69"/>
      <c r="F4" s="69"/>
      <c r="G4" s="70"/>
      <c r="H4" s="66" t="s">
        <v>43</v>
      </c>
    </row>
    <row r="5" spans="1:8" s="3" customFormat="1" ht="19.5" customHeight="1">
      <c r="A5" s="65"/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7"/>
    </row>
    <row r="6" spans="1:8" s="10" customFormat="1" ht="23.25" customHeight="1">
      <c r="A6" s="7" t="s">
        <v>1</v>
      </c>
      <c r="B6" s="8">
        <f t="shared" ref="B6:G6" si="0">B7+B33+B42+B50+B53+B73</f>
        <v>2227692.6280199997</v>
      </c>
      <c r="C6" s="8">
        <f t="shared" si="0"/>
        <v>2215411.7713000001</v>
      </c>
      <c r="D6" s="8">
        <f t="shared" si="0"/>
        <v>2145317.2528799996</v>
      </c>
      <c r="E6" s="8">
        <f t="shared" si="0"/>
        <v>3068176.7751100003</v>
      </c>
      <c r="F6" s="8">
        <f t="shared" si="0"/>
        <v>2796690.3097900003</v>
      </c>
      <c r="G6" s="8">
        <f t="shared" si="0"/>
        <v>2431540.8970599999</v>
      </c>
      <c r="H6" s="9" t="s">
        <v>44</v>
      </c>
    </row>
    <row r="7" spans="1:8" s="2" customFormat="1" ht="21.75">
      <c r="A7" s="11" t="s">
        <v>2</v>
      </c>
      <c r="B7" s="12">
        <f>SUM(B9:B32)</f>
        <v>888622.26572000002</v>
      </c>
      <c r="C7" s="12">
        <f>SUM(C9:C32)</f>
        <v>914364.13443999994</v>
      </c>
      <c r="D7" s="12">
        <f>SUM(D9:D32)</f>
        <v>825995.70250999986</v>
      </c>
      <c r="E7" s="12">
        <f>SUM(E9:E32)</f>
        <v>1013711.4733199998</v>
      </c>
      <c r="F7" s="12">
        <f t="shared" ref="F7:G7" si="1">SUM(F8:F32)</f>
        <v>1134613.3933700002</v>
      </c>
      <c r="G7" s="12">
        <f t="shared" si="1"/>
        <v>957590.50275000022</v>
      </c>
      <c r="H7" s="13" t="s">
        <v>45</v>
      </c>
    </row>
    <row r="8" spans="1:8" s="2" customFormat="1" ht="21.75">
      <c r="A8" s="14" t="s">
        <v>46</v>
      </c>
      <c r="B8" s="37" t="s">
        <v>33</v>
      </c>
      <c r="C8" s="37" t="s">
        <v>33</v>
      </c>
      <c r="D8" s="37" t="s">
        <v>33</v>
      </c>
      <c r="E8" s="37" t="s">
        <v>33</v>
      </c>
      <c r="F8" s="15">
        <v>151.81940999999998</v>
      </c>
      <c r="G8" s="15">
        <v>52.017270000000003</v>
      </c>
      <c r="H8" s="16" t="s">
        <v>47</v>
      </c>
    </row>
    <row r="9" spans="1:8" s="2" customFormat="1" ht="21.75">
      <c r="A9" s="14" t="s">
        <v>157</v>
      </c>
      <c r="B9" s="37" t="s">
        <v>33</v>
      </c>
      <c r="C9" s="37" t="s">
        <v>33</v>
      </c>
      <c r="D9" s="37" t="s">
        <v>33</v>
      </c>
      <c r="E9" s="37" t="s">
        <v>33</v>
      </c>
      <c r="F9" s="37" t="s">
        <v>33</v>
      </c>
      <c r="G9" s="15">
        <v>1.5831199999999999</v>
      </c>
      <c r="H9" s="16" t="s">
        <v>158</v>
      </c>
    </row>
    <row r="10" spans="1:8" s="2" customFormat="1" ht="21.75">
      <c r="A10" s="14" t="s">
        <v>48</v>
      </c>
      <c r="B10" s="15">
        <v>456.82468999999998</v>
      </c>
      <c r="C10" s="15">
        <v>4898.3760700000003</v>
      </c>
      <c r="D10" s="15">
        <v>6685.1913700000005</v>
      </c>
      <c r="E10" s="15">
        <v>8284.0731700000015</v>
      </c>
      <c r="F10" s="15">
        <v>9216.3705699999973</v>
      </c>
      <c r="G10" s="15">
        <v>5372.8989199999987</v>
      </c>
      <c r="H10" s="16" t="s">
        <v>49</v>
      </c>
    </row>
    <row r="11" spans="1:8" s="2" customFormat="1" ht="21.75">
      <c r="A11" s="14" t="s">
        <v>50</v>
      </c>
      <c r="B11" s="15">
        <v>5.4507200000000005</v>
      </c>
      <c r="C11" s="15">
        <v>2710.3369500000003</v>
      </c>
      <c r="D11" s="15">
        <v>1399.2194299999994</v>
      </c>
      <c r="E11" s="15">
        <v>542.69511999999997</v>
      </c>
      <c r="F11" s="37" t="s">
        <v>33</v>
      </c>
      <c r="G11" s="15">
        <v>89.992220000000003</v>
      </c>
      <c r="H11" s="16" t="s">
        <v>51</v>
      </c>
    </row>
    <row r="12" spans="1:8" s="2" customFormat="1" ht="21.75">
      <c r="A12" s="14" t="s">
        <v>36</v>
      </c>
      <c r="B12" s="15">
        <v>437.6617</v>
      </c>
      <c r="C12" s="15">
        <v>804.31664000000001</v>
      </c>
      <c r="D12" s="15">
        <v>81.074569999999994</v>
      </c>
      <c r="E12" s="37" t="s">
        <v>33</v>
      </c>
      <c r="F12" s="15">
        <v>14.380469999999999</v>
      </c>
      <c r="G12" s="15">
        <v>123.50001</v>
      </c>
      <c r="H12" s="16" t="s">
        <v>52</v>
      </c>
    </row>
    <row r="13" spans="1:8" s="2" customFormat="1" ht="21.75">
      <c r="A13" s="14" t="s">
        <v>53</v>
      </c>
      <c r="B13" s="15">
        <v>14.64568</v>
      </c>
      <c r="C13" s="15">
        <v>1259.0487000000001</v>
      </c>
      <c r="D13" s="15">
        <v>3695.5675899999997</v>
      </c>
      <c r="E13" s="15">
        <v>2421.0405499999997</v>
      </c>
      <c r="F13" s="15">
        <v>4872.3673200000003</v>
      </c>
      <c r="G13" s="15">
        <v>2.72316</v>
      </c>
      <c r="H13" s="16" t="s">
        <v>54</v>
      </c>
    </row>
    <row r="14" spans="1:8" s="2" customFormat="1" ht="21.75">
      <c r="A14" s="14" t="s">
        <v>8</v>
      </c>
      <c r="B14" s="15">
        <v>322181.28967000003</v>
      </c>
      <c r="C14" s="15">
        <v>232558.78039</v>
      </c>
      <c r="D14" s="15">
        <v>188612.58134999961</v>
      </c>
      <c r="E14" s="15">
        <v>213832.03654999999</v>
      </c>
      <c r="F14" s="15">
        <v>206197.43750000015</v>
      </c>
      <c r="G14" s="15">
        <v>231029.20907999997</v>
      </c>
      <c r="H14" s="16" t="s">
        <v>55</v>
      </c>
    </row>
    <row r="15" spans="1:8" s="2" customFormat="1" ht="21.75">
      <c r="A15" s="14" t="s">
        <v>4</v>
      </c>
      <c r="B15" s="15">
        <v>148550.84917</v>
      </c>
      <c r="C15" s="15">
        <v>154077.37527000002</v>
      </c>
      <c r="D15" s="15">
        <v>187349.15192000015</v>
      </c>
      <c r="E15" s="15">
        <v>220705.70510999995</v>
      </c>
      <c r="F15" s="15">
        <v>355433.42591000017</v>
      </c>
      <c r="G15" s="15">
        <v>286720.38575000013</v>
      </c>
      <c r="H15" s="16" t="s">
        <v>56</v>
      </c>
    </row>
    <row r="16" spans="1:8" s="2" customFormat="1" ht="21.75">
      <c r="A16" s="14" t="s">
        <v>57</v>
      </c>
      <c r="B16" s="37" t="s">
        <v>33</v>
      </c>
      <c r="C16" s="37" t="s">
        <v>33</v>
      </c>
      <c r="D16" s="15">
        <v>44.35886</v>
      </c>
      <c r="E16" s="37" t="s">
        <v>33</v>
      </c>
      <c r="F16" s="37" t="s">
        <v>33</v>
      </c>
      <c r="G16" s="37" t="s">
        <v>33</v>
      </c>
      <c r="H16" s="16" t="s">
        <v>58</v>
      </c>
    </row>
    <row r="17" spans="1:8" s="2" customFormat="1" ht="21.75">
      <c r="A17" s="14" t="s">
        <v>59</v>
      </c>
      <c r="B17" s="37" t="s">
        <v>33</v>
      </c>
      <c r="C17" s="37" t="s">
        <v>33</v>
      </c>
      <c r="D17" s="37" t="s">
        <v>33</v>
      </c>
      <c r="E17" s="15">
        <v>92.4</v>
      </c>
      <c r="F17" s="37" t="s">
        <v>33</v>
      </c>
      <c r="G17" s="37" t="s">
        <v>33</v>
      </c>
      <c r="H17" s="16" t="s">
        <v>60</v>
      </c>
    </row>
    <row r="18" spans="1:8" s="2" customFormat="1" ht="21.75">
      <c r="A18" s="14" t="s">
        <v>5</v>
      </c>
      <c r="B18" s="15">
        <v>78885.759760000001</v>
      </c>
      <c r="C18" s="15">
        <v>124085.05331999999</v>
      </c>
      <c r="D18" s="15">
        <v>105654.97153000002</v>
      </c>
      <c r="E18" s="15">
        <v>88683.157289999988</v>
      </c>
      <c r="F18" s="15">
        <v>122151.57711999999</v>
      </c>
      <c r="G18" s="15">
        <v>92190.691049999965</v>
      </c>
      <c r="H18" s="16" t="s">
        <v>61</v>
      </c>
    </row>
    <row r="19" spans="1:8" s="2" customFormat="1" ht="21.75">
      <c r="A19" s="14" t="s">
        <v>62</v>
      </c>
      <c r="B19" s="15">
        <v>129968.00895999999</v>
      </c>
      <c r="C19" s="15">
        <v>93758.629260000002</v>
      </c>
      <c r="D19" s="15">
        <v>106116.07953999998</v>
      </c>
      <c r="E19" s="15">
        <v>139856.43990999999</v>
      </c>
      <c r="F19" s="15">
        <v>9879.211830000002</v>
      </c>
      <c r="G19" s="15">
        <v>9780.7213100000008</v>
      </c>
      <c r="H19" s="16" t="s">
        <v>63</v>
      </c>
    </row>
    <row r="20" spans="1:8" s="2" customFormat="1" ht="21.75" hidden="1">
      <c r="A20" s="14" t="s">
        <v>64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6" t="s">
        <v>65</v>
      </c>
    </row>
    <row r="21" spans="1:8" ht="21.75">
      <c r="A21" s="14" t="s">
        <v>66</v>
      </c>
      <c r="B21" s="15">
        <v>74.216660000000005</v>
      </c>
      <c r="C21" s="37" t="s">
        <v>33</v>
      </c>
      <c r="D21" s="37" t="s">
        <v>33</v>
      </c>
      <c r="E21" s="37" t="s">
        <v>33</v>
      </c>
      <c r="F21" s="37" t="s">
        <v>33</v>
      </c>
      <c r="G21" s="37" t="s">
        <v>33</v>
      </c>
      <c r="H21" s="16" t="s">
        <v>67</v>
      </c>
    </row>
    <row r="22" spans="1:8" ht="21.75">
      <c r="A22" s="14" t="s">
        <v>3</v>
      </c>
      <c r="B22" s="15">
        <v>15023.796869999998</v>
      </c>
      <c r="C22" s="15">
        <v>79772.600709999999</v>
      </c>
      <c r="D22" s="15">
        <v>38876.185309999979</v>
      </c>
      <c r="E22" s="15">
        <v>10599.19361</v>
      </c>
      <c r="F22" s="15">
        <v>17857.254080000002</v>
      </c>
      <c r="G22" s="15">
        <v>31529.092810000006</v>
      </c>
      <c r="H22" s="16" t="s">
        <v>68</v>
      </c>
    </row>
    <row r="23" spans="1:8" ht="21.75">
      <c r="A23" s="14" t="s">
        <v>69</v>
      </c>
      <c r="B23" s="15">
        <v>96.535499999999999</v>
      </c>
      <c r="C23" s="15">
        <v>444.59595000000002</v>
      </c>
      <c r="D23" s="15">
        <v>573.09799999999984</v>
      </c>
      <c r="E23" s="15">
        <v>1502.0757699999999</v>
      </c>
      <c r="F23" s="15">
        <v>1302.6832899999999</v>
      </c>
      <c r="G23" s="15">
        <v>20516.626359999995</v>
      </c>
      <c r="H23" s="16" t="s">
        <v>70</v>
      </c>
    </row>
    <row r="24" spans="1:8" ht="21.75">
      <c r="A24" s="14" t="s">
        <v>71</v>
      </c>
      <c r="B24" s="15">
        <v>61.248489999999997</v>
      </c>
      <c r="C24" s="15">
        <v>953.09923000000003</v>
      </c>
      <c r="D24" s="15">
        <v>3609.7664099999997</v>
      </c>
      <c r="E24" s="15">
        <v>4196.5313799999994</v>
      </c>
      <c r="F24" s="15">
        <v>5164.4495800000013</v>
      </c>
      <c r="G24" s="15">
        <v>704.15299000000005</v>
      </c>
      <c r="H24" s="16" t="s">
        <v>72</v>
      </c>
    </row>
    <row r="25" spans="1:8" ht="21.75">
      <c r="A25" s="14" t="s">
        <v>73</v>
      </c>
      <c r="B25" s="15">
        <v>47.692699999999995</v>
      </c>
      <c r="C25" s="15">
        <v>399.56471000000005</v>
      </c>
      <c r="D25" s="15">
        <v>510.26470000000006</v>
      </c>
      <c r="E25" s="15">
        <v>462.49250999999998</v>
      </c>
      <c r="F25" s="15">
        <v>334.90672999999998</v>
      </c>
      <c r="G25" s="15">
        <v>139.89006000000001</v>
      </c>
      <c r="H25" s="16" t="s">
        <v>74</v>
      </c>
    </row>
    <row r="26" spans="1:8" ht="21.75">
      <c r="A26" s="14" t="s">
        <v>75</v>
      </c>
      <c r="B26" s="15">
        <v>8493.3487799999984</v>
      </c>
      <c r="C26" s="15">
        <v>147.18095000000002</v>
      </c>
      <c r="D26" s="37" t="s">
        <v>33</v>
      </c>
      <c r="E26" s="37" t="s">
        <v>33</v>
      </c>
      <c r="F26" s="15">
        <v>115.36507</v>
      </c>
      <c r="G26" s="15">
        <v>1.5831199999999999</v>
      </c>
      <c r="H26" s="16" t="s">
        <v>76</v>
      </c>
    </row>
    <row r="27" spans="1:8" ht="21.75">
      <c r="A27" s="14" t="s">
        <v>154</v>
      </c>
      <c r="B27" s="15" t="s">
        <v>33</v>
      </c>
      <c r="C27" s="15" t="s">
        <v>33</v>
      </c>
      <c r="D27" s="15" t="s">
        <v>33</v>
      </c>
      <c r="E27" s="15" t="s">
        <v>33</v>
      </c>
      <c r="F27" s="15" t="s">
        <v>33</v>
      </c>
      <c r="G27" s="15">
        <v>4701.5041200000005</v>
      </c>
      <c r="H27" s="16" t="s">
        <v>159</v>
      </c>
    </row>
    <row r="28" spans="1:8" ht="21.75">
      <c r="A28" s="14" t="s">
        <v>35</v>
      </c>
      <c r="B28" s="15">
        <v>24090.784899999999</v>
      </c>
      <c r="C28" s="15">
        <v>23866.289929999999</v>
      </c>
      <c r="D28" s="15">
        <v>29675.590509999976</v>
      </c>
      <c r="E28" s="15">
        <v>62741.776270000002</v>
      </c>
      <c r="F28" s="15">
        <v>56278.4859</v>
      </c>
      <c r="G28" s="15">
        <v>47594.873639999991</v>
      </c>
      <c r="H28" s="16" t="s">
        <v>77</v>
      </c>
    </row>
    <row r="29" spans="1:8" ht="21.75">
      <c r="A29" s="14" t="s">
        <v>12</v>
      </c>
      <c r="B29" s="15">
        <v>277.61890999999997</v>
      </c>
      <c r="C29" s="15">
        <v>113.60444</v>
      </c>
      <c r="D29" s="37" t="s">
        <v>33</v>
      </c>
      <c r="E29" s="37" t="s">
        <v>33</v>
      </c>
      <c r="F29" s="15">
        <v>60.403680000000001</v>
      </c>
      <c r="G29" s="15">
        <v>2.72316</v>
      </c>
      <c r="H29" s="16" t="s">
        <v>78</v>
      </c>
    </row>
    <row r="30" spans="1:8" ht="21.75">
      <c r="A30" s="14" t="s">
        <v>10</v>
      </c>
      <c r="B30" s="15">
        <v>55821.694159999999</v>
      </c>
      <c r="C30" s="15">
        <v>67137.805069999988</v>
      </c>
      <c r="D30" s="15">
        <v>64396.726770000016</v>
      </c>
      <c r="E30" s="15">
        <v>84434.491730000009</v>
      </c>
      <c r="F30" s="15">
        <v>87095.37595999999</v>
      </c>
      <c r="G30" s="15">
        <v>52589.879850000005</v>
      </c>
      <c r="H30" s="16" t="s">
        <v>79</v>
      </c>
    </row>
    <row r="31" spans="1:8" ht="21.75">
      <c r="A31" s="14" t="s">
        <v>80</v>
      </c>
      <c r="B31" s="15">
        <v>30.643900000000002</v>
      </c>
      <c r="C31" s="37" t="s">
        <v>33</v>
      </c>
      <c r="D31" s="15">
        <v>2.31318</v>
      </c>
      <c r="E31" s="37" t="s">
        <v>33</v>
      </c>
      <c r="F31" s="15">
        <v>428.74532999999991</v>
      </c>
      <c r="G31" s="15">
        <v>300.10118</v>
      </c>
      <c r="H31" s="16" t="s">
        <v>81</v>
      </c>
    </row>
    <row r="32" spans="1:8" ht="21.75">
      <c r="A32" s="18" t="s">
        <v>6</v>
      </c>
      <c r="B32" s="19">
        <v>104104.1945</v>
      </c>
      <c r="C32" s="19">
        <v>127377.47684999999</v>
      </c>
      <c r="D32" s="19">
        <v>88713.561470000001</v>
      </c>
      <c r="E32" s="19">
        <v>175357.36434999996</v>
      </c>
      <c r="F32" s="19">
        <v>258059.13361999998</v>
      </c>
      <c r="G32" s="19">
        <v>174146.35357000001</v>
      </c>
      <c r="H32" s="20" t="s">
        <v>82</v>
      </c>
    </row>
    <row r="33" spans="1:8" ht="21.75">
      <c r="A33" s="21" t="s">
        <v>14</v>
      </c>
      <c r="B33" s="22">
        <f t="shared" ref="B33:F33" si="2">SUM(B35:B41)</f>
        <v>129.80619999999999</v>
      </c>
      <c r="C33" s="22">
        <f t="shared" si="2"/>
        <v>2396.2584499999998</v>
      </c>
      <c r="D33" s="22">
        <f t="shared" si="2"/>
        <v>50.37229</v>
      </c>
      <c r="E33" s="22">
        <f t="shared" si="2"/>
        <v>625.16800000000001</v>
      </c>
      <c r="F33" s="22">
        <f t="shared" si="2"/>
        <v>6677.9539799999993</v>
      </c>
      <c r="G33" s="22">
        <f>SUM(G34:G41)</f>
        <v>3193.5310800000002</v>
      </c>
      <c r="H33" s="23" t="s">
        <v>83</v>
      </c>
    </row>
    <row r="34" spans="1:8" ht="21.75">
      <c r="A34" s="53" t="s">
        <v>155</v>
      </c>
      <c r="B34" s="37" t="s">
        <v>33</v>
      </c>
      <c r="C34" s="37" t="s">
        <v>33</v>
      </c>
      <c r="D34" s="37" t="s">
        <v>33</v>
      </c>
      <c r="E34" s="37" t="s">
        <v>33</v>
      </c>
      <c r="F34" s="37" t="s">
        <v>33</v>
      </c>
      <c r="G34" s="54">
        <v>34.247199999999999</v>
      </c>
      <c r="H34" s="23" t="s">
        <v>160</v>
      </c>
    </row>
    <row r="35" spans="1:8" ht="21.75">
      <c r="A35" s="24" t="s">
        <v>24</v>
      </c>
      <c r="B35" s="37" t="s">
        <v>33</v>
      </c>
      <c r="C35" s="15">
        <v>3.8968099999999999</v>
      </c>
      <c r="D35" s="37" t="s">
        <v>33</v>
      </c>
      <c r="E35" s="37" t="s">
        <v>33</v>
      </c>
      <c r="F35" s="15">
        <v>1226.03097</v>
      </c>
      <c r="G35" s="15">
        <v>1749.37725</v>
      </c>
      <c r="H35" s="16" t="s">
        <v>84</v>
      </c>
    </row>
    <row r="36" spans="1:8" ht="21.75">
      <c r="A36" s="24" t="s">
        <v>161</v>
      </c>
      <c r="B36" s="37" t="s">
        <v>33</v>
      </c>
      <c r="C36" s="37" t="s">
        <v>33</v>
      </c>
      <c r="D36" s="37" t="s">
        <v>33</v>
      </c>
      <c r="E36" s="37" t="s">
        <v>33</v>
      </c>
      <c r="F36" s="37" t="s">
        <v>33</v>
      </c>
      <c r="G36" s="15">
        <v>145.2739</v>
      </c>
      <c r="H36" s="16" t="s">
        <v>162</v>
      </c>
    </row>
    <row r="37" spans="1:8" ht="21.75">
      <c r="A37" s="14" t="s">
        <v>23</v>
      </c>
      <c r="B37" s="15">
        <v>129.80619999999999</v>
      </c>
      <c r="C37" s="15">
        <v>274.36448999999999</v>
      </c>
      <c r="D37" s="37" t="s">
        <v>33</v>
      </c>
      <c r="E37" s="37" t="s">
        <v>33</v>
      </c>
      <c r="F37" s="15">
        <v>566.57860999999991</v>
      </c>
      <c r="G37" s="15">
        <v>1210.6698900000001</v>
      </c>
      <c r="H37" s="16" t="s">
        <v>85</v>
      </c>
    </row>
    <row r="38" spans="1:8" ht="21.75">
      <c r="A38" s="14" t="s">
        <v>86</v>
      </c>
      <c r="B38" s="37" t="s">
        <v>33</v>
      </c>
      <c r="C38" s="25">
        <v>2117.9971499999997</v>
      </c>
      <c r="D38" s="25">
        <v>50.37229</v>
      </c>
      <c r="E38" s="25">
        <v>625.16800000000001</v>
      </c>
      <c r="F38" s="25">
        <v>4186.64167</v>
      </c>
      <c r="G38" s="15" t="s">
        <v>33</v>
      </c>
      <c r="H38" s="16" t="s">
        <v>87</v>
      </c>
    </row>
    <row r="39" spans="1:8" ht="21.75" hidden="1">
      <c r="A39" s="14" t="s">
        <v>88</v>
      </c>
      <c r="B39" s="1" t="s">
        <v>33</v>
      </c>
      <c r="C39" s="1" t="s">
        <v>33</v>
      </c>
      <c r="D39" s="1" t="s">
        <v>33</v>
      </c>
      <c r="E39" s="17" t="s">
        <v>33</v>
      </c>
      <c r="F39" s="17" t="s">
        <v>33</v>
      </c>
      <c r="G39" s="17" t="s">
        <v>33</v>
      </c>
      <c r="H39" s="26" t="s">
        <v>89</v>
      </c>
    </row>
    <row r="40" spans="1:8" ht="18.75" customHeight="1">
      <c r="A40" s="55" t="s">
        <v>90</v>
      </c>
      <c r="B40" s="27" t="s">
        <v>33</v>
      </c>
      <c r="C40" s="27" t="s">
        <v>33</v>
      </c>
      <c r="D40" s="27" t="s">
        <v>33</v>
      </c>
      <c r="E40" s="27" t="s">
        <v>33</v>
      </c>
      <c r="F40" s="27">
        <v>698.70273000000009</v>
      </c>
      <c r="G40" s="17">
        <v>53.96284</v>
      </c>
      <c r="H40" s="1" t="s">
        <v>163</v>
      </c>
    </row>
    <row r="41" spans="1:8" ht="21.75" hidden="1">
      <c r="A41" s="18" t="s">
        <v>91</v>
      </c>
      <c r="B41" s="49">
        <v>0</v>
      </c>
      <c r="C41" s="49">
        <v>0</v>
      </c>
      <c r="D41" s="49">
        <v>0</v>
      </c>
      <c r="E41" s="49">
        <v>0</v>
      </c>
      <c r="F41" s="49">
        <v>0</v>
      </c>
      <c r="G41" s="57" t="s">
        <v>33</v>
      </c>
      <c r="H41" s="20" t="s">
        <v>92</v>
      </c>
    </row>
    <row r="42" spans="1:8" ht="21.75">
      <c r="A42" s="56" t="s">
        <v>11</v>
      </c>
      <c r="B42" s="35">
        <f t="shared" ref="B42:E42" si="3">SUM(B43:B49)</f>
        <v>208448.00935000001</v>
      </c>
      <c r="C42" s="35">
        <f t="shared" si="3"/>
        <v>233868.07108000002</v>
      </c>
      <c r="D42" s="35">
        <f t="shared" si="3"/>
        <v>194037.17799</v>
      </c>
      <c r="E42" s="35">
        <f t="shared" si="3"/>
        <v>226921.45573999983</v>
      </c>
      <c r="F42" s="35">
        <f>SUM(F43:F49)</f>
        <v>248219.53900999995</v>
      </c>
      <c r="G42" s="35">
        <f>SUM(G43:G49)</f>
        <v>231977.77517000001</v>
      </c>
      <c r="H42" s="23" t="s">
        <v>93</v>
      </c>
    </row>
    <row r="43" spans="1:8" ht="21.75">
      <c r="A43" s="53" t="s">
        <v>26</v>
      </c>
      <c r="B43" s="37" t="s">
        <v>33</v>
      </c>
      <c r="C43" s="37" t="s">
        <v>33</v>
      </c>
      <c r="D43" s="37" t="s">
        <v>33</v>
      </c>
      <c r="E43" s="37" t="s">
        <v>33</v>
      </c>
      <c r="F43" s="54">
        <v>2192.3877499999999</v>
      </c>
      <c r="G43" s="54">
        <v>111.92571</v>
      </c>
      <c r="H43" s="23" t="s">
        <v>94</v>
      </c>
    </row>
    <row r="44" spans="1:8" ht="21.75">
      <c r="A44" s="14" t="s">
        <v>25</v>
      </c>
      <c r="B44" s="15">
        <v>7091.32474</v>
      </c>
      <c r="C44" s="15">
        <v>8323.4267799999998</v>
      </c>
      <c r="D44" s="15">
        <v>3925.717979999999</v>
      </c>
      <c r="E44" s="15">
        <v>1296.0057000000002</v>
      </c>
      <c r="F44" s="15">
        <v>14583.674070000001</v>
      </c>
      <c r="G44" s="15">
        <v>4149.9996500000007</v>
      </c>
      <c r="H44" s="16" t="s">
        <v>95</v>
      </c>
    </row>
    <row r="45" spans="1:8" ht="21.75">
      <c r="A45" s="31" t="s">
        <v>96</v>
      </c>
      <c r="B45" s="37" t="s">
        <v>33</v>
      </c>
      <c r="C45" s="37" t="s">
        <v>33</v>
      </c>
      <c r="D45" s="37" t="s">
        <v>33</v>
      </c>
      <c r="E45" s="25">
        <v>9196.9633000000013</v>
      </c>
      <c r="F45" s="37" t="s">
        <v>33</v>
      </c>
      <c r="G45" s="17">
        <v>13272.507119999998</v>
      </c>
      <c r="H45" s="32" t="s">
        <v>97</v>
      </c>
    </row>
    <row r="46" spans="1:8" ht="21.75">
      <c r="A46" s="31" t="s">
        <v>98</v>
      </c>
      <c r="B46" s="37" t="s">
        <v>33</v>
      </c>
      <c r="C46" s="37" t="s">
        <v>33</v>
      </c>
      <c r="D46" s="37" t="s">
        <v>33</v>
      </c>
      <c r="E46" s="25">
        <v>2578.6624999999999</v>
      </c>
      <c r="F46" s="37" t="s">
        <v>33</v>
      </c>
      <c r="G46" s="15" t="s">
        <v>33</v>
      </c>
      <c r="H46" s="32" t="s">
        <v>99</v>
      </c>
    </row>
    <row r="47" spans="1:8" ht="21.75">
      <c r="A47" s="31" t="s">
        <v>100</v>
      </c>
      <c r="B47" s="25">
        <v>79.395270000000011</v>
      </c>
      <c r="C47" s="37" t="s">
        <v>33</v>
      </c>
      <c r="D47" s="37" t="s">
        <v>33</v>
      </c>
      <c r="E47" s="37" t="s">
        <v>33</v>
      </c>
      <c r="F47" s="25">
        <v>231443.47718999995</v>
      </c>
      <c r="G47" s="15" t="s">
        <v>33</v>
      </c>
      <c r="H47" s="32" t="s">
        <v>101</v>
      </c>
    </row>
    <row r="48" spans="1:8" ht="21.75">
      <c r="A48" s="31" t="s">
        <v>156</v>
      </c>
      <c r="B48" s="37" t="s">
        <v>33</v>
      </c>
      <c r="C48" s="37" t="s">
        <v>33</v>
      </c>
      <c r="D48" s="37" t="s">
        <v>33</v>
      </c>
      <c r="E48" s="37" t="s">
        <v>33</v>
      </c>
      <c r="F48" s="37" t="s">
        <v>33</v>
      </c>
      <c r="G48" s="15">
        <v>553.5</v>
      </c>
      <c r="H48" s="38" t="s">
        <v>164</v>
      </c>
    </row>
    <row r="49" spans="1:8" ht="21.75">
      <c r="A49" s="33" t="s">
        <v>37</v>
      </c>
      <c r="B49" s="27">
        <v>201277.28934000002</v>
      </c>
      <c r="C49" s="27">
        <v>225544.64430000001</v>
      </c>
      <c r="D49" s="27">
        <v>190111.46001000001</v>
      </c>
      <c r="E49" s="27">
        <v>213849.82423999984</v>
      </c>
      <c r="F49" s="19" t="s">
        <v>33</v>
      </c>
      <c r="G49" s="50">
        <v>213889.84269000002</v>
      </c>
      <c r="H49" s="34" t="s">
        <v>102</v>
      </c>
    </row>
    <row r="50" spans="1:8" ht="21.75">
      <c r="A50" s="21" t="s">
        <v>13</v>
      </c>
      <c r="B50" s="35">
        <f t="shared" ref="B50:E50" si="4">SUM(B51:B52)</f>
        <v>6235.70118</v>
      </c>
      <c r="C50" s="35">
        <f t="shared" si="4"/>
        <v>3136.9294399999999</v>
      </c>
      <c r="D50" s="35">
        <f t="shared" si="4"/>
        <v>8726.4297100000022</v>
      </c>
      <c r="E50" s="35">
        <f t="shared" si="4"/>
        <v>10181.431139999997</v>
      </c>
      <c r="F50" s="35">
        <f>SUM(F51:F52)</f>
        <v>8395.0911799999994</v>
      </c>
      <c r="G50" s="35">
        <f>SUM(G51:G52)</f>
        <v>6411.2771099999991</v>
      </c>
      <c r="H50" s="23" t="s">
        <v>103</v>
      </c>
    </row>
    <row r="51" spans="1:8" ht="21.75">
      <c r="A51" s="36" t="s">
        <v>30</v>
      </c>
      <c r="B51" s="37">
        <v>6235.70118</v>
      </c>
      <c r="C51" s="37">
        <v>3136.9294399999999</v>
      </c>
      <c r="D51" s="37">
        <v>8726.4297100000022</v>
      </c>
      <c r="E51" s="37">
        <v>10181.431139999997</v>
      </c>
      <c r="F51" s="25">
        <v>8377.39516</v>
      </c>
      <c r="G51" s="17">
        <v>6411.2771099999991</v>
      </c>
      <c r="H51" s="38" t="s">
        <v>104</v>
      </c>
    </row>
    <row r="52" spans="1:8" ht="21.75">
      <c r="A52" s="18" t="s">
        <v>31</v>
      </c>
      <c r="B52" s="27" t="s">
        <v>33</v>
      </c>
      <c r="C52" s="27" t="s">
        <v>33</v>
      </c>
      <c r="D52" s="27" t="s">
        <v>33</v>
      </c>
      <c r="E52" s="27" t="s">
        <v>33</v>
      </c>
      <c r="F52" s="19">
        <v>17.696020000000001</v>
      </c>
      <c r="G52" s="19" t="s">
        <v>33</v>
      </c>
      <c r="H52" s="20" t="s">
        <v>104</v>
      </c>
    </row>
    <row r="53" spans="1:8" ht="21.75">
      <c r="A53" s="21" t="s">
        <v>7</v>
      </c>
      <c r="B53" s="35">
        <f t="shared" ref="B53" si="5">SUM(B55:B72)</f>
        <v>1098464.48795</v>
      </c>
      <c r="C53" s="35">
        <f>SUM(C54:C72)</f>
        <v>1047063.6766700001</v>
      </c>
      <c r="D53" s="35">
        <f>SUM(D54:D72)</f>
        <v>1107208.3564599999</v>
      </c>
      <c r="E53" s="35">
        <f>SUM(E54:E72)</f>
        <v>1808076.4558700006</v>
      </c>
      <c r="F53" s="35">
        <f>SUM(F54:F72)</f>
        <v>1388178.0647500004</v>
      </c>
      <c r="G53" s="35">
        <f>SUM(G54:G72)</f>
        <v>1221647.4688899997</v>
      </c>
      <c r="H53" s="28" t="s">
        <v>105</v>
      </c>
    </row>
    <row r="54" spans="1:8" ht="21.75">
      <c r="A54" s="14" t="s">
        <v>106</v>
      </c>
      <c r="B54" s="15" t="s">
        <v>33</v>
      </c>
      <c r="C54" s="15">
        <v>1782.2464</v>
      </c>
      <c r="D54" s="15">
        <v>4378.3103499999997</v>
      </c>
      <c r="E54" s="15">
        <v>10548.560949999999</v>
      </c>
      <c r="F54" s="15">
        <v>32866.056649999999</v>
      </c>
      <c r="G54" s="15">
        <v>40676.811549999991</v>
      </c>
      <c r="H54" s="16" t="s">
        <v>107</v>
      </c>
    </row>
    <row r="55" spans="1:8" ht="21.75">
      <c r="A55" s="14" t="s">
        <v>20</v>
      </c>
      <c r="B55" s="15">
        <v>1209.7565400000001</v>
      </c>
      <c r="C55" s="15">
        <v>535.03593999999998</v>
      </c>
      <c r="D55" s="15">
        <v>1712.1278599999996</v>
      </c>
      <c r="E55" s="15">
        <v>8254.4980999999989</v>
      </c>
      <c r="F55" s="15">
        <v>4167.2744799999991</v>
      </c>
      <c r="G55" s="15">
        <v>61.541809999999998</v>
      </c>
      <c r="H55" s="16" t="s">
        <v>108</v>
      </c>
    </row>
    <row r="56" spans="1:8" ht="21.75">
      <c r="A56" s="14" t="s">
        <v>109</v>
      </c>
      <c r="B56" s="15" t="s">
        <v>33</v>
      </c>
      <c r="C56" s="15" t="s">
        <v>33</v>
      </c>
      <c r="D56" s="15" t="s">
        <v>33</v>
      </c>
      <c r="E56" s="15">
        <v>5.6481399999999997</v>
      </c>
      <c r="F56" s="15" t="s">
        <v>33</v>
      </c>
      <c r="G56" s="15" t="s">
        <v>33</v>
      </c>
      <c r="H56" s="16" t="s">
        <v>110</v>
      </c>
    </row>
    <row r="57" spans="1:8" ht="21.75">
      <c r="A57" s="14" t="s">
        <v>111</v>
      </c>
      <c r="B57" s="15">
        <v>54.125610000000002</v>
      </c>
      <c r="C57" s="15" t="s">
        <v>33</v>
      </c>
      <c r="D57" s="15" t="s">
        <v>33</v>
      </c>
      <c r="E57" s="15" t="s">
        <v>33</v>
      </c>
      <c r="F57" s="15" t="s">
        <v>33</v>
      </c>
      <c r="G57" s="15" t="s">
        <v>33</v>
      </c>
      <c r="H57" s="16" t="s">
        <v>112</v>
      </c>
    </row>
    <row r="58" spans="1:8" ht="21.75">
      <c r="A58" s="14" t="s">
        <v>38</v>
      </c>
      <c r="B58" s="15">
        <v>34156.213100000001</v>
      </c>
      <c r="C58" s="15">
        <v>34490.467920000003</v>
      </c>
      <c r="D58" s="15">
        <v>24069.963009999996</v>
      </c>
      <c r="E58" s="15">
        <v>18840.906169999995</v>
      </c>
      <c r="F58" s="15">
        <v>22059.926910000009</v>
      </c>
      <c r="G58" s="15">
        <v>33294.786420000004</v>
      </c>
      <c r="H58" s="16" t="s">
        <v>113</v>
      </c>
    </row>
    <row r="59" spans="1:8" ht="21.75">
      <c r="A59" s="14" t="s">
        <v>16</v>
      </c>
      <c r="B59" s="15">
        <v>44624.855320000002</v>
      </c>
      <c r="C59" s="15">
        <v>46284.728729999995</v>
      </c>
      <c r="D59" s="15">
        <v>23950.067069999997</v>
      </c>
      <c r="E59" s="15">
        <v>44038.268859999996</v>
      </c>
      <c r="F59" s="15">
        <v>43345.408179999999</v>
      </c>
      <c r="G59" s="15">
        <v>52769.282339999998</v>
      </c>
      <c r="H59" s="16" t="s">
        <v>114</v>
      </c>
    </row>
    <row r="60" spans="1:8" ht="21.75">
      <c r="A60" s="14" t="s">
        <v>21</v>
      </c>
      <c r="B60" s="15" t="s">
        <v>33</v>
      </c>
      <c r="C60" s="15" t="s">
        <v>33</v>
      </c>
      <c r="D60" s="15">
        <v>1723.69876</v>
      </c>
      <c r="E60" s="15" t="s">
        <v>33</v>
      </c>
      <c r="F60" s="15">
        <v>8113.1800200000007</v>
      </c>
      <c r="G60" s="15">
        <v>497.09699999999998</v>
      </c>
      <c r="H60" s="16" t="s">
        <v>115</v>
      </c>
    </row>
    <row r="61" spans="1:8" ht="21.75">
      <c r="A61" s="14" t="s">
        <v>22</v>
      </c>
      <c r="B61" s="15">
        <v>118060.99639</v>
      </c>
      <c r="C61" s="15">
        <v>72469.581260000006</v>
      </c>
      <c r="D61" s="15">
        <v>45597.044409999995</v>
      </c>
      <c r="E61" s="15">
        <v>49020.427200000013</v>
      </c>
      <c r="F61" s="15">
        <v>45114.810090000014</v>
      </c>
      <c r="G61" s="15">
        <v>35548.939690000021</v>
      </c>
      <c r="H61" s="16" t="s">
        <v>116</v>
      </c>
    </row>
    <row r="62" spans="1:8" ht="21.75">
      <c r="A62" s="14" t="s">
        <v>17</v>
      </c>
      <c r="B62" s="15">
        <v>2205.5906299999997</v>
      </c>
      <c r="C62" s="15">
        <v>218.18268</v>
      </c>
      <c r="D62" s="15">
        <v>31.26887</v>
      </c>
      <c r="E62" s="15">
        <v>1164.2822500000002</v>
      </c>
      <c r="F62" s="15">
        <v>2102.1164400000002</v>
      </c>
      <c r="G62" s="15">
        <v>2457.7581599999999</v>
      </c>
      <c r="H62" s="16" t="s">
        <v>117</v>
      </c>
    </row>
    <row r="63" spans="1:8" ht="21.75" hidden="1">
      <c r="A63" s="14" t="s">
        <v>118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6" t="s">
        <v>119</v>
      </c>
    </row>
    <row r="64" spans="1:8" ht="21.75">
      <c r="A64" s="14" t="s">
        <v>120</v>
      </c>
      <c r="B64" s="15" t="s">
        <v>33</v>
      </c>
      <c r="C64" s="15" t="s">
        <v>33</v>
      </c>
      <c r="D64" s="15" t="s">
        <v>33</v>
      </c>
      <c r="E64" s="15">
        <v>0.6157999999999999</v>
      </c>
      <c r="F64" s="15" t="s">
        <v>33</v>
      </c>
      <c r="G64" s="15" t="s">
        <v>33</v>
      </c>
      <c r="H64" s="16" t="s">
        <v>121</v>
      </c>
    </row>
    <row r="65" spans="1:8" ht="21.75">
      <c r="A65" s="14" t="s">
        <v>122</v>
      </c>
      <c r="B65" s="15">
        <v>334.11329000000001</v>
      </c>
      <c r="C65" s="15">
        <v>450.27459000000005</v>
      </c>
      <c r="D65" s="15">
        <v>4676.2546700000003</v>
      </c>
      <c r="E65" s="15">
        <v>3009.9229</v>
      </c>
      <c r="F65" s="15">
        <v>5083.3913300000004</v>
      </c>
      <c r="G65" s="15">
        <v>4570.9106700000011</v>
      </c>
      <c r="H65" s="16" t="s">
        <v>123</v>
      </c>
    </row>
    <row r="66" spans="1:8" ht="21.75">
      <c r="A66" s="14" t="s">
        <v>15</v>
      </c>
      <c r="B66" s="15">
        <v>753.22016000000008</v>
      </c>
      <c r="C66" s="15">
        <v>18802.91977</v>
      </c>
      <c r="D66" s="15">
        <v>608.66312999999991</v>
      </c>
      <c r="E66" s="15">
        <v>1647.1818999999998</v>
      </c>
      <c r="F66" s="15">
        <v>3093.6271599999995</v>
      </c>
      <c r="G66" s="15">
        <v>1075.1347299999998</v>
      </c>
      <c r="H66" s="16" t="s">
        <v>124</v>
      </c>
    </row>
    <row r="67" spans="1:8" ht="21.75">
      <c r="A67" s="14" t="s">
        <v>125</v>
      </c>
      <c r="B67" s="15">
        <v>10511.84223</v>
      </c>
      <c r="C67" s="15">
        <v>10225.818600000001</v>
      </c>
      <c r="D67" s="15">
        <v>5470.4243699999997</v>
      </c>
      <c r="E67" s="15">
        <v>2860.4639999999999</v>
      </c>
      <c r="F67" s="15">
        <v>19896.312979999999</v>
      </c>
      <c r="G67" s="15">
        <v>6070.3362699999998</v>
      </c>
      <c r="H67" s="16" t="s">
        <v>126</v>
      </c>
    </row>
    <row r="68" spans="1:8" ht="21.75">
      <c r="A68" s="14" t="s">
        <v>18</v>
      </c>
      <c r="B68" s="15">
        <v>134475.08106</v>
      </c>
      <c r="C68" s="15">
        <v>265745.48710999999</v>
      </c>
      <c r="D68" s="15">
        <v>218607.09901000018</v>
      </c>
      <c r="E68" s="15">
        <v>115670.73841000005</v>
      </c>
      <c r="F68" s="15">
        <v>95499.532769999976</v>
      </c>
      <c r="G68" s="15">
        <v>78765.619199999972</v>
      </c>
      <c r="H68" s="16" t="s">
        <v>127</v>
      </c>
    </row>
    <row r="69" spans="1:8" ht="21.75">
      <c r="A69" s="14" t="s">
        <v>39</v>
      </c>
      <c r="B69" s="15">
        <v>33576.012299999995</v>
      </c>
      <c r="C69" s="15">
        <v>30089.316559999999</v>
      </c>
      <c r="D69" s="15">
        <v>33303.357379999987</v>
      </c>
      <c r="E69" s="15">
        <v>37515.765119999996</v>
      </c>
      <c r="F69" s="15">
        <v>35005.961599999995</v>
      </c>
      <c r="G69" s="15">
        <v>23908.330949999992</v>
      </c>
      <c r="H69" s="16" t="s">
        <v>40</v>
      </c>
    </row>
    <row r="70" spans="1:8" ht="21.75">
      <c r="A70" s="14" t="s">
        <v>128</v>
      </c>
      <c r="B70" s="15" t="s">
        <v>33</v>
      </c>
      <c r="C70" s="15">
        <v>101.27744</v>
      </c>
      <c r="D70" s="15" t="s">
        <v>33</v>
      </c>
      <c r="E70" s="15" t="s">
        <v>33</v>
      </c>
      <c r="F70" s="15" t="s">
        <v>33</v>
      </c>
      <c r="G70" s="15" t="s">
        <v>33</v>
      </c>
      <c r="H70" s="16" t="s">
        <v>129</v>
      </c>
    </row>
    <row r="71" spans="1:8" ht="21.75">
      <c r="A71" s="14" t="s">
        <v>19</v>
      </c>
      <c r="B71" s="15">
        <v>717658.82430999994</v>
      </c>
      <c r="C71" s="15">
        <v>563446.57271000009</v>
      </c>
      <c r="D71" s="15">
        <v>738371.18641999969</v>
      </c>
      <c r="E71" s="15">
        <v>1492075.1333200005</v>
      </c>
      <c r="F71" s="15">
        <v>1014092.3380200005</v>
      </c>
      <c r="G71" s="15">
        <v>885773.84863999975</v>
      </c>
      <c r="H71" s="16" t="s">
        <v>130</v>
      </c>
    </row>
    <row r="72" spans="1:8" ht="21.75">
      <c r="A72" s="18" t="s">
        <v>131</v>
      </c>
      <c r="B72" s="19">
        <v>843.85701000000006</v>
      </c>
      <c r="C72" s="19">
        <v>2421.7669599999999</v>
      </c>
      <c r="D72" s="19">
        <v>4708.8911500000004</v>
      </c>
      <c r="E72" s="19">
        <v>23424.042750000004</v>
      </c>
      <c r="F72" s="19">
        <v>57738.128119999987</v>
      </c>
      <c r="G72" s="19">
        <v>56177.071459999999</v>
      </c>
      <c r="H72" s="20" t="s">
        <v>132</v>
      </c>
    </row>
    <row r="73" spans="1:8">
      <c r="A73" s="21" t="s">
        <v>9</v>
      </c>
      <c r="B73" s="22">
        <f t="shared" ref="B73:G73" si="6">SUM(B74:B85)</f>
        <v>25792.357619999999</v>
      </c>
      <c r="C73" s="22">
        <f t="shared" si="6"/>
        <v>14582.701219999999</v>
      </c>
      <c r="D73" s="22">
        <f t="shared" si="6"/>
        <v>9299.2139199999929</v>
      </c>
      <c r="E73" s="22">
        <f t="shared" si="6"/>
        <v>8660.7910400000037</v>
      </c>
      <c r="F73" s="22">
        <f t="shared" si="6"/>
        <v>10606.267499999998</v>
      </c>
      <c r="G73" s="22">
        <f t="shared" si="6"/>
        <v>10720.342059999999</v>
      </c>
      <c r="H73" s="51" t="s">
        <v>27</v>
      </c>
    </row>
    <row r="74" spans="1:8" ht="21.75">
      <c r="A74" s="29" t="s">
        <v>29</v>
      </c>
      <c r="B74" s="30">
        <v>38.456249999999997</v>
      </c>
      <c r="C74" s="30">
        <v>253.6095</v>
      </c>
      <c r="D74" s="30">
        <v>51.414529999999999</v>
      </c>
      <c r="E74" s="30">
        <v>353.16810000000004</v>
      </c>
      <c r="F74" s="30">
        <v>314.59190999999998</v>
      </c>
      <c r="G74" s="30">
        <v>197.75370000000001</v>
      </c>
      <c r="H74" s="16" t="s">
        <v>133</v>
      </c>
    </row>
    <row r="75" spans="1:8" ht="21.75">
      <c r="A75" s="29" t="s">
        <v>134</v>
      </c>
      <c r="B75" s="30">
        <v>528.87081999999998</v>
      </c>
      <c r="C75" s="30">
        <v>267.94265999999999</v>
      </c>
      <c r="D75" s="15" t="s">
        <v>33</v>
      </c>
      <c r="E75" s="15" t="s">
        <v>33</v>
      </c>
      <c r="F75" s="15" t="s">
        <v>33</v>
      </c>
      <c r="G75" s="15" t="s">
        <v>33</v>
      </c>
      <c r="H75" s="16" t="s">
        <v>135</v>
      </c>
    </row>
    <row r="76" spans="1:8" ht="21.75">
      <c r="A76" s="14" t="s">
        <v>41</v>
      </c>
      <c r="B76" s="15">
        <v>10200.435449999999</v>
      </c>
      <c r="C76" s="15" t="s">
        <v>33</v>
      </c>
      <c r="D76" s="15" t="s">
        <v>33</v>
      </c>
      <c r="E76" s="15" t="s">
        <v>33</v>
      </c>
      <c r="F76" s="15" t="s">
        <v>33</v>
      </c>
      <c r="G76" s="15">
        <v>106.59605999999999</v>
      </c>
      <c r="H76" s="16" t="s">
        <v>136</v>
      </c>
    </row>
    <row r="77" spans="1:8" ht="21.75">
      <c r="A77" s="14" t="s">
        <v>137</v>
      </c>
      <c r="B77" s="15">
        <v>2536.875</v>
      </c>
      <c r="C77" s="15" t="s">
        <v>33</v>
      </c>
      <c r="D77" s="15" t="s">
        <v>33</v>
      </c>
      <c r="E77" s="15" t="s">
        <v>33</v>
      </c>
      <c r="F77" s="15" t="s">
        <v>33</v>
      </c>
      <c r="G77" s="15" t="s">
        <v>33</v>
      </c>
      <c r="H77" s="16" t="s">
        <v>138</v>
      </c>
    </row>
    <row r="78" spans="1:8" ht="21.75">
      <c r="A78" s="24" t="s">
        <v>139</v>
      </c>
      <c r="B78" s="15">
        <v>1.2385299999999999</v>
      </c>
      <c r="C78" s="15" t="s">
        <v>33</v>
      </c>
      <c r="D78" s="15" t="s">
        <v>33</v>
      </c>
      <c r="E78" s="15" t="s">
        <v>33</v>
      </c>
      <c r="F78" s="15" t="s">
        <v>33</v>
      </c>
      <c r="G78" s="15" t="s">
        <v>33</v>
      </c>
      <c r="H78" s="16" t="s">
        <v>140</v>
      </c>
    </row>
    <row r="79" spans="1:8" ht="21.75" hidden="1">
      <c r="A79" s="24" t="s">
        <v>141</v>
      </c>
      <c r="B79" s="15">
        <v>0</v>
      </c>
      <c r="C79" s="15" t="s">
        <v>33</v>
      </c>
      <c r="D79" s="15" t="s">
        <v>33</v>
      </c>
      <c r="E79" s="15" t="s">
        <v>33</v>
      </c>
      <c r="F79" s="15" t="s">
        <v>33</v>
      </c>
      <c r="G79" s="15" t="s">
        <v>33</v>
      </c>
      <c r="H79" s="16" t="s">
        <v>142</v>
      </c>
    </row>
    <row r="80" spans="1:8" ht="21.75">
      <c r="A80" s="24" t="s">
        <v>28</v>
      </c>
      <c r="B80" s="15">
        <v>1.95801</v>
      </c>
      <c r="C80" s="15" t="s">
        <v>33</v>
      </c>
      <c r="D80" s="15" t="s">
        <v>33</v>
      </c>
      <c r="E80" s="15" t="s">
        <v>33</v>
      </c>
      <c r="F80" s="15" t="s">
        <v>33</v>
      </c>
      <c r="G80" s="15" t="s">
        <v>33</v>
      </c>
      <c r="H80" s="16" t="s">
        <v>143</v>
      </c>
    </row>
    <row r="81" spans="1:13" ht="21.75">
      <c r="A81" s="24" t="s">
        <v>144</v>
      </c>
      <c r="B81" s="15" t="s">
        <v>33</v>
      </c>
      <c r="C81" s="15" t="s">
        <v>33</v>
      </c>
      <c r="D81" s="15">
        <v>50.727270000000004</v>
      </c>
      <c r="E81" s="15" t="s">
        <v>33</v>
      </c>
      <c r="F81" s="15">
        <v>127.10182</v>
      </c>
      <c r="G81" s="15" t="s">
        <v>33</v>
      </c>
      <c r="H81" s="16" t="s">
        <v>145</v>
      </c>
    </row>
    <row r="82" spans="1:13" ht="21.75">
      <c r="A82" s="14" t="s">
        <v>146</v>
      </c>
      <c r="B82" s="15" t="s">
        <v>33</v>
      </c>
      <c r="C82" s="15">
        <v>92.304000000000002</v>
      </c>
      <c r="D82" s="15">
        <v>6.8996500000000003</v>
      </c>
      <c r="E82" s="15">
        <v>4.6300600000000003</v>
      </c>
      <c r="F82" s="15">
        <v>4.6523699999999995</v>
      </c>
      <c r="G82" s="15" t="s">
        <v>33</v>
      </c>
      <c r="H82" s="16" t="s">
        <v>147</v>
      </c>
    </row>
    <row r="83" spans="1:13" ht="21.75">
      <c r="A83" s="31" t="s">
        <v>148</v>
      </c>
      <c r="B83" s="15" t="s">
        <v>33</v>
      </c>
      <c r="C83" s="15" t="s">
        <v>33</v>
      </c>
      <c r="D83" s="15" t="s">
        <v>33</v>
      </c>
      <c r="E83" s="15" t="s">
        <v>33</v>
      </c>
      <c r="F83" s="25">
        <v>17.632999999999999</v>
      </c>
      <c r="G83" s="15">
        <v>1177.6343300000001</v>
      </c>
      <c r="H83" s="32" t="s">
        <v>149</v>
      </c>
    </row>
    <row r="84" spans="1:13" ht="21.75">
      <c r="A84" s="39" t="s">
        <v>42</v>
      </c>
      <c r="B84" s="17">
        <v>12135.765150000001</v>
      </c>
      <c r="C84" s="17">
        <v>13968.84506</v>
      </c>
      <c r="D84" s="17">
        <v>9190.1724699999922</v>
      </c>
      <c r="E84" s="17">
        <v>8302.9928800000034</v>
      </c>
      <c r="F84" s="17">
        <v>10142.288399999998</v>
      </c>
      <c r="G84" s="17">
        <v>9238.3579699999991</v>
      </c>
      <c r="H84" s="40" t="s">
        <v>150</v>
      </c>
    </row>
    <row r="85" spans="1:13" ht="21.75">
      <c r="A85" s="41" t="s">
        <v>151</v>
      </c>
      <c r="B85" s="42">
        <v>348.75840999999997</v>
      </c>
      <c r="C85" s="48" t="s">
        <v>33</v>
      </c>
      <c r="D85" s="48" t="s">
        <v>33</v>
      </c>
      <c r="E85" s="48" t="s">
        <v>33</v>
      </c>
      <c r="F85" s="48" t="s">
        <v>33</v>
      </c>
      <c r="G85" s="48" t="s">
        <v>33</v>
      </c>
      <c r="H85" s="43" t="s">
        <v>152</v>
      </c>
    </row>
    <row r="86" spans="1:13" s="46" customFormat="1">
      <c r="A86" s="44" t="s">
        <v>32</v>
      </c>
      <c r="B86" s="45"/>
      <c r="C86" s="45"/>
      <c r="D86" s="45"/>
      <c r="E86" s="45"/>
      <c r="F86" s="45"/>
      <c r="G86" s="45"/>
      <c r="H86" s="52" t="s">
        <v>34</v>
      </c>
      <c r="I86" s="1"/>
      <c r="J86" s="1"/>
      <c r="K86" s="1"/>
      <c r="L86" s="1"/>
      <c r="M86" s="1"/>
    </row>
  </sheetData>
  <mergeCells count="5">
    <mergeCell ref="A1:H1"/>
    <mergeCell ref="A2:H2"/>
    <mergeCell ref="A4:A5"/>
    <mergeCell ref="H4:H5"/>
    <mergeCell ref="B4:G4"/>
  </mergeCells>
  <pageMargins left="0.7" right="0.7" top="0.75" bottom="0.75" header="0.3" footer="0.3"/>
  <pageSetup scale="70" orientation="portrait" r:id="rId1"/>
  <rowBreaks count="1" manualBreakCount="1">
    <brk id="4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15.6</vt:lpstr>
      <vt:lpstr>'15.6'!Print_Area</vt:lpstr>
      <vt:lpstr>'15.6'!Print_Titles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2020-10-20T04:30:39Z</cp:lastPrinted>
  <dcterms:created xsi:type="dcterms:W3CDTF">2019-12-05T04:01:34Z</dcterms:created>
  <dcterms:modified xsi:type="dcterms:W3CDTF">2020-10-20T04:31:37Z</dcterms:modified>
</cp:coreProperties>
</file>