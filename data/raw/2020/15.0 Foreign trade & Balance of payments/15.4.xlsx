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5\"/>
    </mc:Choice>
  </mc:AlternateContent>
  <bookViews>
    <workbookView xWindow="0" yWindow="0" windowWidth="28800" windowHeight="12435" tabRatio="817"/>
  </bookViews>
  <sheets>
    <sheet name="15.4" sheetId="4" r:id="rId1"/>
  </sheets>
  <definedNames>
    <definedName name="_xlnm.Print_Area" localSheetId="0">'15.4'!$A$1:$G$19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4" l="1"/>
  <c r="B15" i="4"/>
  <c r="B14" i="4"/>
  <c r="F14" i="4" s="1"/>
  <c r="F13" i="4"/>
  <c r="B13" i="4"/>
  <c r="E13" i="4" s="1"/>
  <c r="B12" i="4"/>
  <c r="E12" i="4" s="1"/>
  <c r="E11" i="4"/>
  <c r="B11" i="4"/>
  <c r="B10" i="4"/>
  <c r="F9" i="4"/>
  <c r="E9" i="4"/>
  <c r="B9" i="4"/>
  <c r="B8" i="4"/>
  <c r="E8" i="4" s="1"/>
  <c r="B7" i="4"/>
  <c r="F7" i="4" s="1"/>
  <c r="D6" i="4"/>
  <c r="C6" i="4"/>
  <c r="F5" i="4"/>
  <c r="E5" i="4"/>
  <c r="P27" i="4" l="1"/>
  <c r="B6" i="4"/>
  <c r="P25" i="4" s="1"/>
  <c r="P26" i="4"/>
  <c r="E14" i="4"/>
  <c r="P23" i="4"/>
  <c r="P30" i="4"/>
  <c r="P24" i="4"/>
  <c r="P32" i="4"/>
  <c r="E16" i="4"/>
  <c r="E7" i="4"/>
  <c r="E10" i="4"/>
  <c r="E15" i="4"/>
  <c r="F16" i="4"/>
  <c r="F6" i="4"/>
  <c r="F15" i="4"/>
  <c r="P29" i="4" l="1"/>
  <c r="P28" i="4"/>
  <c r="E6" i="4"/>
  <c r="P31" i="4"/>
  <c r="P33" i="4" l="1"/>
</calcChain>
</file>

<file path=xl/sharedStrings.xml><?xml version="1.0" encoding="utf-8"?>
<sst xmlns="http://schemas.openxmlformats.org/spreadsheetml/2006/main" count="51" uniqueCount="38">
  <si>
    <t>Total</t>
  </si>
  <si>
    <t>Others</t>
  </si>
  <si>
    <t>Source:  Maldives Customs Services</t>
  </si>
  <si>
    <t>Data Compile: National Bureau of Statistics</t>
  </si>
  <si>
    <t>wlcmuj</t>
  </si>
  <si>
    <t>Items</t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</si>
  <si>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</si>
  <si>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</si>
  <si>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</si>
  <si>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</si>
  <si>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</si>
  <si>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</si>
  <si>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Fresh or Chilled Tuna</t>
  </si>
  <si>
    <t>Fresh or Chilled Reef Fish</t>
  </si>
  <si>
    <t>Frozen Fish</t>
  </si>
  <si>
    <t>Dried Fish</t>
  </si>
  <si>
    <t>Salted Dried Fish</t>
  </si>
  <si>
    <t>Sea Cucumber</t>
  </si>
  <si>
    <t>Canned Fish</t>
  </si>
  <si>
    <t>Live Reef Fish</t>
  </si>
  <si>
    <t>Fish Meal</t>
  </si>
  <si>
    <t>Other Marine Products</t>
  </si>
  <si>
    <t xml:space="preserve">wlcmuj  </t>
  </si>
  <si>
    <t xml:space="preserve">cswmwncnuh iawfcaokinif wtwvun WzWt    </t>
  </si>
  <si>
    <t xml:space="preserve">cswmurwfwncnuh iawfcaokinif wtwvun WzWt    </t>
  </si>
  <si>
    <t xml:space="preserve">cswmirukinif  </t>
  </si>
  <si>
    <t xml:space="preserve">cswmikihiLeaunol   </t>
  </si>
  <si>
    <t xml:space="preserve">Wdnwlifiauh  </t>
  </si>
  <si>
    <t xml:space="preserve">cswmirukudcnwb iawguLwd  </t>
  </si>
  <si>
    <t xml:space="preserve">cswmurwfErid  </t>
  </si>
  <si>
    <t xml:space="preserve">cawtctwvWbeguDnwkcnehinehea        </t>
  </si>
  <si>
    <t>% share</t>
  </si>
  <si>
    <t>ބާވަތް</t>
  </si>
  <si>
    <t>cswmikih</t>
  </si>
  <si>
    <t>WnWk uhwm</t>
  </si>
  <si>
    <t xml:space="preserve">cswsivrWs ccscmwTcswk cscviDclOm :ctWrwfivcaed utWmUluAwm     </t>
  </si>
  <si>
    <t>Table  15.4 :  SUMMARY OF MARINE PRODUCT EXPORTS BY COMMODITY, 2019</t>
  </si>
  <si>
    <t>2019 ,WsWluh egukwtctwvWb eguDnwk unuverukurEb cnEjcaWr : 15.4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</si>
</sst>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2" formatCode="_-* #,##0.00\ _ރ_._-;_-* #,##0.00\ _ރ_.\-;_-* &quot;-&quot;??\ _ރ_._-;_-@_-"/>
    <numFmt numFmtId="173" formatCode="0.00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A_Randhoo"/>
    </font>
    <font>
      <b/>
      <sz val="11"/>
      <color theme="1"/>
      <name val="Calibri"/>
      <family val="2"/>
    </font>
    <font>
      <b/>
      <sz val="9"/>
      <name val="Faruma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sz val="10"/>
      <name val="A_Faseyha"/>
    </font>
    <font>
      <sz val="9"/>
      <name val="A_Faseyha"/>
    </font>
    <font>
      <b/>
      <sz val="11"/>
      <color theme="1"/>
      <name val="A_Faseyha"/>
    </font>
    <font>
      <i/>
      <sz val="10"/>
      <name val="A_Faseyha"/>
    </font>
    <font>
      <b/>
      <sz val="8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12" applyNumberFormat="0" applyAlignment="0" applyProtection="0"/>
    <xf numFmtId="0" fontId="23" fillId="7" borderId="13" applyNumberFormat="0" applyAlignment="0" applyProtection="0"/>
    <xf numFmtId="0" fontId="24" fillId="7" borderId="12" applyNumberFormat="0" applyAlignment="0" applyProtection="0"/>
    <xf numFmtId="0" fontId="25" fillId="0" borderId="14" applyNumberFormat="0" applyFill="0" applyAlignment="0" applyProtection="0"/>
    <xf numFmtId="0" fontId="26" fillId="8" borderId="15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33" borderId="0" applyNumberFormat="0" applyBorder="0" applyAlignment="0" applyProtection="0"/>
    <xf numFmtId="0" fontId="30" fillId="0" borderId="0"/>
    <xf numFmtId="0" fontId="5" fillId="0" borderId="0"/>
    <xf numFmtId="172" fontId="5" fillId="0" borderId="0" applyFont="0" applyFill="0" applyBorder="0" applyAlignment="0" applyProtection="0"/>
    <xf numFmtId="173" fontId="31" fillId="0" borderId="0"/>
    <xf numFmtId="0" fontId="3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34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Border="1" applyAlignment="1">
      <alignment vertical="center"/>
    </xf>
    <xf numFmtId="0" fontId="10" fillId="2" borderId="0" xfId="0" applyFont="1" applyFill="1" applyBorder="1" applyAlignment="1" applyProtection="1">
      <alignment horizontal="left" vertical="center"/>
    </xf>
    <xf numFmtId="168" fontId="8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0" fillId="2" borderId="0" xfId="0" applyFill="1" applyBorder="1"/>
    <xf numFmtId="0" fontId="4" fillId="2" borderId="0" xfId="0" applyFont="1" applyFill="1" applyBorder="1" applyAlignment="1">
      <alignment vertical="center"/>
    </xf>
    <xf numFmtId="0" fontId="7" fillId="2" borderId="2" xfId="0" applyFont="1" applyFill="1" applyBorder="1" applyAlignment="1" applyProtection="1">
      <alignment horizontal="right" vertical="center"/>
    </xf>
    <xf numFmtId="3" fontId="13" fillId="2" borderId="0" xfId="0" applyNumberFormat="1" applyFont="1" applyFill="1" applyBorder="1" applyAlignment="1">
      <alignment vertical="center"/>
    </xf>
    <xf numFmtId="0" fontId="12" fillId="2" borderId="0" xfId="0" applyFont="1" applyFill="1" applyBorder="1" applyAlignment="1" applyProtection="1">
      <alignment vertical="center"/>
    </xf>
    <xf numFmtId="0" fontId="7" fillId="2" borderId="6" xfId="0" applyFont="1" applyFill="1" applyBorder="1" applyAlignment="1" applyProtection="1">
      <alignment horizontal="left" vertical="center"/>
    </xf>
    <xf numFmtId="0" fontId="7" fillId="2" borderId="8" xfId="0" applyFont="1" applyFill="1" applyBorder="1" applyAlignment="1" applyProtection="1">
      <alignment horizontal="right" vertical="center"/>
    </xf>
    <xf numFmtId="0" fontId="7" fillId="2" borderId="7" xfId="0" applyFont="1" applyFill="1" applyBorder="1" applyAlignment="1" applyProtection="1">
      <alignment horizontal="right" vertical="center"/>
    </xf>
    <xf numFmtId="0" fontId="7" fillId="2" borderId="4" xfId="0" applyFont="1" applyFill="1" applyBorder="1" applyAlignment="1" applyProtection="1">
      <alignment horizontal="right" vertical="center"/>
    </xf>
    <xf numFmtId="0" fontId="6" fillId="2" borderId="0" xfId="0" applyNumberFormat="1" applyFont="1" applyFill="1" applyBorder="1" applyAlignment="1" applyProtection="1">
      <alignment vertical="center" wrapText="1"/>
    </xf>
    <xf numFmtId="168" fontId="6" fillId="2" borderId="0" xfId="1" applyNumberFormat="1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left" vertical="center" wrapText="1" indent="2"/>
    </xf>
    <xf numFmtId="43" fontId="0" fillId="2" borderId="0" xfId="0" applyNumberFormat="1" applyFill="1" applyBorder="1"/>
    <xf numFmtId="0" fontId="8" fillId="2" borderId="2" xfId="0" applyNumberFormat="1" applyFont="1" applyFill="1" applyBorder="1" applyAlignment="1">
      <alignment horizontal="left" vertical="center" wrapText="1" indent="2"/>
    </xf>
    <xf numFmtId="168" fontId="6" fillId="2" borderId="2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7" fontId="0" fillId="2" borderId="0" xfId="0" applyNumberFormat="1" applyFill="1" applyBorder="1"/>
    <xf numFmtId="0" fontId="11" fillId="2" borderId="0" xfId="0" applyNumberFormat="1" applyFont="1" applyFill="1" applyBorder="1" applyAlignment="1">
      <alignment horizontal="left" vertical="center" wrapText="1" indent="2"/>
    </xf>
    <xf numFmtId="169" fontId="3" fillId="2" borderId="0" xfId="0" applyNumberFormat="1" applyFont="1" applyFill="1" applyBorder="1" applyAlignment="1">
      <alignment vertical="center"/>
    </xf>
    <xf numFmtId="1" fontId="8" fillId="2" borderId="5" xfId="1" applyNumberFormat="1" applyFont="1" applyFill="1" applyBorder="1" applyAlignment="1">
      <alignment horizontal="right" vertical="center"/>
    </xf>
    <xf numFmtId="1" fontId="8" fillId="2" borderId="0" xfId="1" applyNumberFormat="1" applyFont="1" applyFill="1" applyBorder="1" applyAlignment="1">
      <alignment horizontal="right" vertical="center"/>
    </xf>
    <xf numFmtId="1" fontId="8" fillId="2" borderId="4" xfId="1" applyNumberFormat="1" applyFont="1" applyFill="1" applyBorder="1" applyAlignment="1">
      <alignment horizontal="right" vertical="center"/>
    </xf>
    <xf numFmtId="1" fontId="8" fillId="2" borderId="2" xfId="1" applyNumberFormat="1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vertical="center" wrapText="1"/>
    </xf>
    <xf numFmtId="0" fontId="35" fillId="2" borderId="0" xfId="0" applyFont="1" applyFill="1" applyBorder="1" applyAlignment="1">
      <alignment horizontal="right" vertical="center" wrapText="1" indent="2"/>
    </xf>
    <xf numFmtId="0" fontId="38" fillId="2" borderId="0" xfId="0" applyFont="1" applyFill="1" applyBorder="1" applyAlignment="1">
      <alignment horizontal="right" vertical="center" wrapText="1" indent="2"/>
    </xf>
    <xf numFmtId="0" fontId="35" fillId="2" borderId="2" xfId="0" applyFont="1" applyFill="1" applyBorder="1" applyAlignment="1">
      <alignment horizontal="right" vertical="center" wrapText="1" indent="2" readingOrder="1"/>
    </xf>
    <xf numFmtId="0" fontId="36" fillId="2" borderId="3" xfId="0" applyFont="1" applyFill="1" applyBorder="1" applyAlignment="1">
      <alignment horizontal="right" vertical="center" readingOrder="2"/>
    </xf>
    <xf numFmtId="0" fontId="34" fillId="2" borderId="5" xfId="0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left" wrapText="1"/>
    </xf>
    <xf numFmtId="167" fontId="0" fillId="2" borderId="0" xfId="0" applyNumberFormat="1" applyFill="1" applyBorder="1" applyAlignment="1"/>
    <xf numFmtId="0" fontId="8" fillId="2" borderId="2" xfId="0" applyNumberFormat="1" applyFont="1" applyFill="1" applyBorder="1" applyAlignment="1">
      <alignment horizontal="left" wrapText="1"/>
    </xf>
    <xf numFmtId="167" fontId="0" fillId="2" borderId="0" xfId="0" applyNumberFormat="1" applyFill="1"/>
    <xf numFmtId="37" fontId="8" fillId="2" borderId="0" xfId="1" applyNumberFormat="1" applyFont="1" applyFill="1" applyBorder="1" applyAlignment="1">
      <alignment horizontal="right" vertical="center"/>
    </xf>
    <xf numFmtId="168" fontId="8" fillId="2" borderId="2" xfId="1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horizontal="left" vertical="center"/>
    </xf>
    <xf numFmtId="3" fontId="37" fillId="2" borderId="0" xfId="0" applyNumberFormat="1" applyFont="1" applyFill="1" applyAlignment="1">
      <alignment horizontal="center" vertical="center"/>
    </xf>
    <xf numFmtId="0" fontId="14" fillId="2" borderId="2" xfId="0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39" fillId="2" borderId="6" xfId="0" applyFont="1" applyFill="1" applyBorder="1" applyAlignment="1">
      <alignment horizontal="right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zoomScaleNormal="100" workbookViewId="0">
      <selection activeCell="I13" sqref="I13"/>
    </sheetView>
  </sheetViews>
  <sheetFormatPr defaultColWidth="9.140625" defaultRowHeight="15"/>
  <cols>
    <col min="1" max="1" width="28.28515625" style="4" customWidth="1"/>
    <col min="2" max="2" width="20.5703125" style="4" bestFit="1" customWidth="1"/>
    <col min="3" max="3" width="12" style="4" bestFit="1" customWidth="1"/>
    <col min="4" max="4" width="13.85546875" style="4" customWidth="1"/>
    <col min="5" max="6" width="11.85546875" style="4" customWidth="1"/>
    <col min="7" max="7" width="30.85546875" style="4" customWidth="1"/>
    <col min="8" max="8" width="14.28515625" style="6" bestFit="1" customWidth="1"/>
    <col min="9" max="9" width="25.42578125" style="6" bestFit="1" customWidth="1"/>
    <col min="10" max="13" width="14" style="6" customWidth="1"/>
    <col min="14" max="14" width="35.85546875" style="6" customWidth="1"/>
    <col min="15" max="18" width="9.140625" style="4"/>
    <col min="19" max="19" width="22.140625" style="4" customWidth="1"/>
    <col min="20" max="20" width="9.140625" style="4"/>
    <col min="21" max="21" width="25.7109375" style="4" customWidth="1"/>
    <col min="22" max="16384" width="9.140625" style="4"/>
  </cols>
  <sheetData>
    <row r="1" spans="1:14" ht="18">
      <c r="A1" s="47" t="s">
        <v>37</v>
      </c>
      <c r="B1" s="47"/>
      <c r="C1" s="47"/>
      <c r="D1" s="47"/>
      <c r="E1" s="47"/>
      <c r="F1" s="47"/>
      <c r="G1" s="47"/>
      <c r="H1" s="9"/>
      <c r="I1" s="9"/>
      <c r="J1" s="9"/>
      <c r="K1" s="9"/>
      <c r="L1" s="9"/>
      <c r="M1" s="9"/>
      <c r="N1" s="9"/>
    </row>
    <row r="2" spans="1:14" ht="15" customHeight="1">
      <c r="A2" s="48" t="s">
        <v>36</v>
      </c>
      <c r="B2" s="48"/>
      <c r="C2" s="48"/>
      <c r="D2" s="48"/>
      <c r="E2" s="48"/>
      <c r="F2" s="48"/>
      <c r="G2" s="48"/>
      <c r="H2" s="10"/>
      <c r="I2" s="10"/>
      <c r="J2" s="10"/>
      <c r="K2" s="10"/>
      <c r="L2" s="10"/>
      <c r="M2" s="10"/>
      <c r="N2" s="10"/>
    </row>
    <row r="3" spans="1:14" ht="18" customHeight="1">
      <c r="A3" s="45" t="s">
        <v>5</v>
      </c>
      <c r="B3" s="11" t="s">
        <v>6</v>
      </c>
      <c r="C3" s="5"/>
      <c r="D3" s="52" t="s">
        <v>7</v>
      </c>
      <c r="E3" s="12" t="s">
        <v>31</v>
      </c>
      <c r="F3" s="13" t="s">
        <v>31</v>
      </c>
      <c r="G3" s="49" t="s">
        <v>32</v>
      </c>
    </row>
    <row r="4" spans="1:14">
      <c r="A4" s="44"/>
      <c r="B4" s="36" t="s">
        <v>4</v>
      </c>
      <c r="C4" s="36" t="s">
        <v>8</v>
      </c>
      <c r="D4" s="36" t="s">
        <v>9</v>
      </c>
      <c r="E4" s="35" t="s">
        <v>8</v>
      </c>
      <c r="F4" s="36" t="s">
        <v>9</v>
      </c>
      <c r="G4" s="50"/>
    </row>
    <row r="5" spans="1:14">
      <c r="A5" s="46"/>
      <c r="B5" s="8" t="s">
        <v>0</v>
      </c>
      <c r="C5" s="8" t="s">
        <v>10</v>
      </c>
      <c r="D5" s="8" t="s">
        <v>11</v>
      </c>
      <c r="E5" s="14" t="str">
        <f>C5</f>
        <v>Private</v>
      </c>
      <c r="F5" s="8" t="str">
        <f>D5</f>
        <v>Government</v>
      </c>
      <c r="G5" s="51"/>
    </row>
    <row r="6" spans="1:14">
      <c r="A6" s="15" t="s">
        <v>0</v>
      </c>
      <c r="B6" s="16">
        <f>SUM(B7:B16)</f>
        <v>2375180.1813499997</v>
      </c>
      <c r="C6" s="16">
        <f t="shared" ref="C6:D6" si="0">SUM(C7:C16)</f>
        <v>1450691.82167</v>
      </c>
      <c r="D6" s="16">
        <f t="shared" si="0"/>
        <v>924488.35967999999</v>
      </c>
      <c r="E6" s="26">
        <f>C6/B6*100</f>
        <v>61.077127245372132</v>
      </c>
      <c r="F6" s="27">
        <f>D6/B6*100</f>
        <v>38.922872754627875</v>
      </c>
      <c r="G6" s="30" t="s">
        <v>22</v>
      </c>
    </row>
    <row r="7" spans="1:14" ht="23.25" customHeight="1">
      <c r="A7" s="17" t="s">
        <v>12</v>
      </c>
      <c r="B7" s="16">
        <f>SUM(C7:D7)</f>
        <v>221392.55518000017</v>
      </c>
      <c r="C7" s="3">
        <v>221392.55518000017</v>
      </c>
      <c r="D7" s="3">
        <v>0</v>
      </c>
      <c r="E7" s="26">
        <f>C7/B7*100</f>
        <v>100</v>
      </c>
      <c r="F7" s="27">
        <f>D7/B7*100</f>
        <v>0</v>
      </c>
      <c r="G7" s="31" t="s">
        <v>23</v>
      </c>
      <c r="H7" s="18"/>
      <c r="I7" s="18"/>
    </row>
    <row r="8" spans="1:14" ht="23.25" customHeight="1">
      <c r="A8" s="17" t="s">
        <v>13</v>
      </c>
      <c r="B8" s="16">
        <f t="shared" ref="B8:B16" si="1">SUM(C8:D8)</f>
        <v>39641.453119999976</v>
      </c>
      <c r="C8" s="3">
        <v>39641.453119999976</v>
      </c>
      <c r="D8" s="3">
        <v>0</v>
      </c>
      <c r="E8" s="26">
        <f>C8/B8*100</f>
        <v>100</v>
      </c>
      <c r="F8" s="27">
        <v>0</v>
      </c>
      <c r="G8" s="31" t="s">
        <v>24</v>
      </c>
      <c r="H8" s="18"/>
      <c r="I8" s="18"/>
    </row>
    <row r="9" spans="1:14" ht="23.25" customHeight="1">
      <c r="A9" s="17" t="s">
        <v>14</v>
      </c>
      <c r="B9" s="16">
        <f t="shared" si="1"/>
        <v>963950.06105000013</v>
      </c>
      <c r="C9" s="3">
        <v>247636.68073000008</v>
      </c>
      <c r="D9" s="3">
        <v>716313.38032</v>
      </c>
      <c r="E9" s="26">
        <f>C9/B9*100</f>
        <v>25.689783188587313</v>
      </c>
      <c r="F9" s="27">
        <f t="shared" ref="F9" si="2">D9/B9*100</f>
        <v>74.310216811412673</v>
      </c>
      <c r="G9" s="31" t="s">
        <v>25</v>
      </c>
      <c r="H9" s="18"/>
      <c r="I9" s="18"/>
    </row>
    <row r="10" spans="1:14" ht="23.25" customHeight="1">
      <c r="A10" s="17" t="s">
        <v>15</v>
      </c>
      <c r="B10" s="16">
        <f t="shared" si="1"/>
        <v>41168.255089999984</v>
      </c>
      <c r="C10" s="3">
        <v>41168.255089999984</v>
      </c>
      <c r="D10" s="3">
        <v>0</v>
      </c>
      <c r="E10" s="26">
        <f t="shared" ref="E10:E16" si="3">C10/B10*100</f>
        <v>100</v>
      </c>
      <c r="F10" s="27">
        <v>0</v>
      </c>
      <c r="G10" s="31" t="s">
        <v>33</v>
      </c>
      <c r="H10" s="18"/>
      <c r="I10" s="18"/>
    </row>
    <row r="11" spans="1:14" ht="23.25" customHeight="1">
      <c r="A11" s="17" t="s">
        <v>16</v>
      </c>
      <c r="B11" s="16">
        <f t="shared" si="1"/>
        <v>5262.2566300000008</v>
      </c>
      <c r="C11" s="3">
        <v>5262.2566300000008</v>
      </c>
      <c r="D11" s="3">
        <v>0</v>
      </c>
      <c r="E11" s="26">
        <f t="shared" si="3"/>
        <v>100</v>
      </c>
      <c r="F11" s="27">
        <v>0</v>
      </c>
      <c r="G11" s="31" t="s">
        <v>26</v>
      </c>
      <c r="H11" s="18"/>
      <c r="I11" s="18"/>
    </row>
    <row r="12" spans="1:14" ht="23.25" customHeight="1">
      <c r="A12" s="17" t="s">
        <v>17</v>
      </c>
      <c r="B12" s="16">
        <f t="shared" si="1"/>
        <v>6137.3137300000017</v>
      </c>
      <c r="C12" s="3">
        <v>6137.3137300000017</v>
      </c>
      <c r="D12" s="3">
        <v>0</v>
      </c>
      <c r="E12" s="26">
        <f t="shared" si="3"/>
        <v>100</v>
      </c>
      <c r="F12" s="27">
        <v>0</v>
      </c>
      <c r="G12" s="32" t="s">
        <v>27</v>
      </c>
      <c r="H12" s="18"/>
      <c r="I12" s="18"/>
    </row>
    <row r="13" spans="1:14" ht="15" customHeight="1">
      <c r="A13" s="17" t="s">
        <v>18</v>
      </c>
      <c r="B13" s="16">
        <f t="shared" si="1"/>
        <v>89936.186610000004</v>
      </c>
      <c r="C13" s="3">
        <v>67360.140780000002</v>
      </c>
      <c r="D13" s="42">
        <v>22576.045829999999</v>
      </c>
      <c r="E13" s="26">
        <f t="shared" si="3"/>
        <v>74.897706161482091</v>
      </c>
      <c r="F13" s="27">
        <f t="shared" ref="F13:F16" si="4">D13/B13*100</f>
        <v>25.102293838517909</v>
      </c>
      <c r="G13" s="31" t="s">
        <v>28</v>
      </c>
      <c r="H13" s="18"/>
      <c r="I13" s="18"/>
    </row>
    <row r="14" spans="1:14" ht="21.75" customHeight="1">
      <c r="A14" s="17" t="s">
        <v>20</v>
      </c>
      <c r="B14" s="16">
        <f>SUM(C14:D14)</f>
        <v>43689.857329999999</v>
      </c>
      <c r="C14" s="3">
        <v>17739.962579999999</v>
      </c>
      <c r="D14" s="3">
        <v>25949.894749999999</v>
      </c>
      <c r="E14" s="26">
        <f t="shared" si="3"/>
        <v>40.604304211858135</v>
      </c>
      <c r="F14" s="27">
        <f t="shared" si="4"/>
        <v>59.395695788141865</v>
      </c>
      <c r="G14" s="31" t="s">
        <v>34</v>
      </c>
      <c r="H14" s="18"/>
      <c r="I14" s="18"/>
    </row>
    <row r="15" spans="1:14" ht="15" customHeight="1">
      <c r="A15" s="17" t="s">
        <v>19</v>
      </c>
      <c r="B15" s="16">
        <f t="shared" si="1"/>
        <v>16120.936849999998</v>
      </c>
      <c r="C15" s="3">
        <v>16120.936849999998</v>
      </c>
      <c r="D15" s="3">
        <v>0</v>
      </c>
      <c r="E15" s="26">
        <f t="shared" si="3"/>
        <v>100</v>
      </c>
      <c r="F15" s="27">
        <f t="shared" si="4"/>
        <v>0</v>
      </c>
      <c r="G15" s="31" t="s">
        <v>29</v>
      </c>
      <c r="H15" s="18"/>
      <c r="I15" s="18"/>
    </row>
    <row r="16" spans="1:14" ht="23.25" customHeight="1">
      <c r="A16" s="19" t="s">
        <v>21</v>
      </c>
      <c r="B16" s="20">
        <f t="shared" si="1"/>
        <v>947881.30575999967</v>
      </c>
      <c r="C16" s="43">
        <v>788232.26697999961</v>
      </c>
      <c r="D16" s="43">
        <v>159649.03878000003</v>
      </c>
      <c r="E16" s="28">
        <f t="shared" si="3"/>
        <v>83.157275303367712</v>
      </c>
      <c r="F16" s="29">
        <f t="shared" si="4"/>
        <v>16.842724696632281</v>
      </c>
      <c r="G16" s="33" t="s">
        <v>30</v>
      </c>
      <c r="H16" s="18"/>
      <c r="I16" s="18"/>
    </row>
    <row r="17" spans="1:16">
      <c r="A17" s="2" t="s">
        <v>2</v>
      </c>
      <c r="B17" s="21"/>
      <c r="C17" s="21"/>
      <c r="D17" s="7"/>
      <c r="E17" s="22"/>
      <c r="F17" s="22"/>
      <c r="G17" s="34" t="s">
        <v>35</v>
      </c>
      <c r="H17" s="7"/>
      <c r="N17" s="37"/>
    </row>
    <row r="18" spans="1:16" ht="12" customHeight="1">
      <c r="A18" s="2" t="s">
        <v>3</v>
      </c>
      <c r="B18" s="21"/>
      <c r="C18" s="21"/>
      <c r="D18" s="7"/>
      <c r="E18" s="22"/>
      <c r="F18" s="22"/>
      <c r="G18" s="22"/>
      <c r="H18" s="1"/>
      <c r="L18" s="4"/>
      <c r="M18" s="4"/>
      <c r="N18" s="37"/>
    </row>
    <row r="19" spans="1:16" ht="12" customHeight="1">
      <c r="A19" s="2"/>
      <c r="B19" s="21"/>
      <c r="C19" s="21"/>
      <c r="D19" s="7"/>
      <c r="E19" s="22"/>
      <c r="F19" s="22"/>
      <c r="G19" s="22"/>
      <c r="H19" s="1"/>
      <c r="L19" s="4"/>
      <c r="M19" s="4"/>
      <c r="N19" s="37"/>
    </row>
    <row r="20" spans="1:16" ht="12" customHeight="1">
      <c r="A20" s="2"/>
      <c r="B20" s="21"/>
      <c r="C20" s="21"/>
      <c r="D20" s="7"/>
      <c r="E20" s="22"/>
      <c r="F20" s="22"/>
      <c r="G20" s="22"/>
      <c r="H20" s="1"/>
      <c r="L20" s="4"/>
      <c r="M20" s="4"/>
      <c r="N20" s="37"/>
    </row>
    <row r="21" spans="1:16" ht="12" customHeight="1">
      <c r="A21" s="2"/>
      <c r="B21" s="21"/>
      <c r="C21" s="21"/>
      <c r="D21" s="7"/>
      <c r="E21" s="22"/>
      <c r="F21" s="22"/>
      <c r="G21" s="22"/>
      <c r="H21" s="1"/>
      <c r="L21" s="4"/>
      <c r="M21" s="4"/>
      <c r="N21" s="37"/>
    </row>
    <row r="22" spans="1:16" ht="26.25" customHeight="1">
      <c r="B22" s="21"/>
      <c r="C22" s="21"/>
      <c r="D22" s="7"/>
      <c r="E22" s="22"/>
      <c r="F22" s="22"/>
      <c r="L22" s="4"/>
      <c r="M22" s="4"/>
    </row>
    <row r="23" spans="1:16" ht="26.25" customHeight="1">
      <c r="O23" s="38" t="s">
        <v>14</v>
      </c>
      <c r="P23" s="39">
        <f>B9/$B$6*100</f>
        <v>40.584292030515016</v>
      </c>
    </row>
    <row r="24" spans="1:16" ht="26.25" customHeight="1">
      <c r="O24" s="38" t="s">
        <v>12</v>
      </c>
      <c r="P24" s="39">
        <f>B7/$B$6*100</f>
        <v>9.3210846452148122</v>
      </c>
    </row>
    <row r="25" spans="1:16" ht="26.25" customHeight="1">
      <c r="O25" s="38" t="s">
        <v>18</v>
      </c>
      <c r="P25" s="39">
        <f>B13/$B$6*100</f>
        <v>3.7864995386953031</v>
      </c>
    </row>
    <row r="26" spans="1:16" ht="26.25" customHeight="1">
      <c r="B26" s="21"/>
      <c r="C26" s="21"/>
      <c r="D26" s="7"/>
      <c r="E26" s="22"/>
      <c r="F26" s="22"/>
      <c r="O26" s="38" t="s">
        <v>15</v>
      </c>
      <c r="P26" s="39">
        <f>B10/$B$6*100</f>
        <v>1.7332687184431146</v>
      </c>
    </row>
    <row r="27" spans="1:16" ht="26.25" customHeight="1">
      <c r="O27" s="40" t="s">
        <v>21</v>
      </c>
      <c r="P27" s="39">
        <f>B16/$B$6*100</f>
        <v>39.907764185757266</v>
      </c>
    </row>
    <row r="28" spans="1:16" ht="26.25" customHeight="1">
      <c r="O28" s="38" t="s">
        <v>13</v>
      </c>
      <c r="P28" s="39">
        <f>B8/$B$6*100</f>
        <v>1.6689871964773912</v>
      </c>
    </row>
    <row r="29" spans="1:16" ht="26.25" customHeight="1">
      <c r="O29" s="4" t="s">
        <v>1</v>
      </c>
      <c r="P29" s="41">
        <f>SUM(P30:P32)</f>
        <v>1.1586702948303464</v>
      </c>
    </row>
    <row r="30" spans="1:16" ht="26.25" customHeight="1">
      <c r="O30" s="38" t="s">
        <v>16</v>
      </c>
      <c r="P30" s="39">
        <f>B11/$B$6*100</f>
        <v>0.22155189199200254</v>
      </c>
    </row>
    <row r="31" spans="1:16" ht="26.25" customHeight="1">
      <c r="O31" s="38" t="s">
        <v>19</v>
      </c>
      <c r="P31" s="39">
        <f>B15/$B$6*100</f>
        <v>0.67872479639996042</v>
      </c>
    </row>
    <row r="32" spans="1:16" ht="26.25" customHeight="1">
      <c r="O32" s="38" t="s">
        <v>17</v>
      </c>
      <c r="P32" s="39">
        <f>B12/$B$6*100</f>
        <v>0.25839360643838349</v>
      </c>
    </row>
    <row r="33" spans="1:16" ht="26.25" customHeight="1">
      <c r="M33" s="23"/>
      <c r="P33" s="23">
        <f>SUM(P23:P32)</f>
        <v>99.319236904763599</v>
      </c>
    </row>
    <row r="34" spans="1:16" ht="26.25" customHeight="1">
      <c r="A34" s="24"/>
      <c r="B34" s="21"/>
      <c r="C34" s="21"/>
      <c r="D34" s="7"/>
      <c r="E34" s="22"/>
      <c r="F34" s="22"/>
      <c r="G34" s="22"/>
      <c r="H34" s="25"/>
    </row>
    <row r="35" spans="1:16" ht="26.25" customHeight="1">
      <c r="B35" s="21"/>
      <c r="C35" s="21"/>
      <c r="D35" s="7"/>
      <c r="E35" s="22"/>
      <c r="F35" s="22"/>
    </row>
    <row r="36" spans="1:16" ht="26.25" customHeight="1"/>
    <row r="37" spans="1:16" ht="26.25" customHeight="1"/>
    <row r="38" spans="1:16" ht="26.25" customHeight="1"/>
  </sheetData>
  <mergeCells count="4">
    <mergeCell ref="A1:G1"/>
    <mergeCell ref="A2:G2"/>
    <mergeCell ref="A3:A5"/>
    <mergeCell ref="G3:G5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2020-10-20T04:27:22Z</cp:lastPrinted>
  <dcterms:created xsi:type="dcterms:W3CDTF">2019-12-05T04:01:34Z</dcterms:created>
  <dcterms:modified xsi:type="dcterms:W3CDTF">2020-10-20T04:27:31Z</dcterms:modified>
</cp:coreProperties>
</file>