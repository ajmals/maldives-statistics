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4270" windowHeight="12330" tabRatio="817"/>
  </bookViews>
  <sheets>
    <sheet name="15.1" sheetId="1" r:id="rId1"/>
  </sheets>
  <definedNames>
    <definedName name="_xlnm.Print_Area" localSheetId="0">'15.1'!$A$1:$AA$79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2" i="1" l="1"/>
  <c r="AQ25" i="1"/>
  <c r="AR25" i="1"/>
  <c r="AP25" i="1"/>
  <c r="AT25" i="1"/>
  <c r="AU25" i="1"/>
  <c r="AU24" i="1"/>
  <c r="AM11" i="1"/>
  <c r="AM17" i="1"/>
  <c r="AM16" i="1"/>
  <c r="AM15" i="1"/>
  <c r="AM14" i="1"/>
  <c r="AM13" i="1"/>
  <c r="AM12" i="1"/>
  <c r="Z30" i="1"/>
  <c r="Z9" i="1"/>
  <c r="Z47" i="1" l="1"/>
  <c r="Z46" i="1"/>
  <c r="Z45" i="1"/>
  <c r="Z43" i="1"/>
  <c r="Z42" i="1"/>
  <c r="Z41" i="1"/>
  <c r="Z40" i="1"/>
  <c r="Z38" i="1"/>
  <c r="Z37" i="1"/>
  <c r="Z36" i="1"/>
  <c r="Z35" i="1"/>
  <c r="Z34" i="1"/>
  <c r="Z32" i="1"/>
  <c r="Z31" i="1"/>
  <c r="Z29" i="1"/>
  <c r="Z27" i="1"/>
  <c r="Z26" i="1"/>
  <c r="Z25" i="1"/>
  <c r="Z24" i="1"/>
  <c r="Z23" i="1"/>
  <c r="Z22" i="1"/>
  <c r="Z21" i="1"/>
  <c r="Z20" i="1"/>
  <c r="Z19" i="1"/>
  <c r="Z17" i="1"/>
  <c r="Z16" i="1"/>
  <c r="Z15" i="1"/>
  <c r="Z14" i="1"/>
  <c r="Z13" i="1"/>
  <c r="Z12" i="1"/>
  <c r="Z11" i="1"/>
  <c r="Z10" i="1"/>
  <c r="R44" i="1"/>
  <c r="R39" i="1"/>
  <c r="R33" i="1"/>
  <c r="R28" i="1"/>
  <c r="R18" i="1"/>
  <c r="R8" i="1"/>
  <c r="R7" i="1" l="1"/>
  <c r="V33" i="1" l="1"/>
  <c r="V48" i="1"/>
  <c r="V44" i="1"/>
  <c r="V8" i="1"/>
  <c r="V18" i="1"/>
  <c r="V12" i="1"/>
  <c r="V16" i="1"/>
  <c r="V20" i="1"/>
  <c r="V24" i="1"/>
  <c r="V32" i="1"/>
  <c r="V36" i="1"/>
  <c r="V40" i="1"/>
  <c r="V14" i="1"/>
  <c r="V26" i="1"/>
  <c r="V38" i="1"/>
  <c r="V46" i="1"/>
  <c r="V15" i="1"/>
  <c r="V23" i="1"/>
  <c r="V31" i="1"/>
  <c r="V47" i="1"/>
  <c r="V9" i="1"/>
  <c r="V13" i="1"/>
  <c r="V17" i="1"/>
  <c r="V21" i="1"/>
  <c r="V25" i="1"/>
  <c r="V29" i="1"/>
  <c r="V37" i="1"/>
  <c r="V41" i="1"/>
  <c r="V45" i="1"/>
  <c r="V7" i="1"/>
  <c r="V10" i="1"/>
  <c r="V22" i="1"/>
  <c r="V30" i="1"/>
  <c r="V34" i="1"/>
  <c r="V42" i="1"/>
  <c r="V11" i="1"/>
  <c r="V19" i="1"/>
  <c r="V27" i="1"/>
  <c r="V35" i="1"/>
  <c r="V43" i="1"/>
  <c r="V39" i="1"/>
  <c r="V28" i="1"/>
  <c r="Y17" i="1" l="1"/>
  <c r="Y47" i="1" l="1"/>
  <c r="X47" i="1"/>
  <c r="Y46" i="1"/>
  <c r="X46" i="1"/>
  <c r="W46" i="1"/>
  <c r="J46" i="1"/>
  <c r="Y45" i="1"/>
  <c r="X45" i="1"/>
  <c r="W45" i="1"/>
  <c r="J45" i="1"/>
  <c r="Q44" i="1"/>
  <c r="P44" i="1"/>
  <c r="O44" i="1"/>
  <c r="N44" i="1"/>
  <c r="M44" i="1"/>
  <c r="L44" i="1"/>
  <c r="Y43" i="1"/>
  <c r="X43" i="1"/>
  <c r="W43" i="1"/>
  <c r="J43" i="1"/>
  <c r="Y42" i="1"/>
  <c r="X42" i="1"/>
  <c r="W42" i="1"/>
  <c r="J42" i="1"/>
  <c r="Y41" i="1"/>
  <c r="X41" i="1"/>
  <c r="W41" i="1"/>
  <c r="J41" i="1"/>
  <c r="Y40" i="1"/>
  <c r="X40" i="1"/>
  <c r="W40" i="1"/>
  <c r="J40" i="1"/>
  <c r="J39" i="1" s="1"/>
  <c r="Q39" i="1"/>
  <c r="P39" i="1"/>
  <c r="O39" i="1"/>
  <c r="N39" i="1"/>
  <c r="M39" i="1"/>
  <c r="L39" i="1"/>
  <c r="Y38" i="1"/>
  <c r="X38" i="1"/>
  <c r="W38" i="1"/>
  <c r="J38" i="1"/>
  <c r="Y37" i="1"/>
  <c r="X37" i="1"/>
  <c r="W37" i="1"/>
  <c r="J37" i="1"/>
  <c r="Y36" i="1"/>
  <c r="X36" i="1"/>
  <c r="W36" i="1"/>
  <c r="J36" i="1"/>
  <c r="Y35" i="1"/>
  <c r="X35" i="1"/>
  <c r="W35" i="1"/>
  <c r="J35" i="1"/>
  <c r="Y34" i="1"/>
  <c r="X34" i="1"/>
  <c r="W34" i="1"/>
  <c r="J34" i="1"/>
  <c r="Q33" i="1"/>
  <c r="P33" i="1"/>
  <c r="O33" i="1"/>
  <c r="N33" i="1"/>
  <c r="M33" i="1"/>
  <c r="L33" i="1"/>
  <c r="Y32" i="1"/>
  <c r="X32" i="1"/>
  <c r="W32" i="1"/>
  <c r="J32" i="1"/>
  <c r="Y31" i="1"/>
  <c r="X31" i="1"/>
  <c r="W31" i="1"/>
  <c r="J31" i="1"/>
  <c r="Y30" i="1"/>
  <c r="X30" i="1"/>
  <c r="W30" i="1"/>
  <c r="J30" i="1"/>
  <c r="Y29" i="1"/>
  <c r="X29" i="1"/>
  <c r="W29" i="1"/>
  <c r="J29" i="1"/>
  <c r="Q28" i="1"/>
  <c r="P28" i="1"/>
  <c r="O28" i="1"/>
  <c r="X28" i="1" s="1"/>
  <c r="N28" i="1"/>
  <c r="M28" i="1"/>
  <c r="L28" i="1"/>
  <c r="K28" i="1"/>
  <c r="Y27" i="1"/>
  <c r="X27" i="1"/>
  <c r="W27" i="1"/>
  <c r="J27" i="1"/>
  <c r="Y26" i="1"/>
  <c r="X26" i="1"/>
  <c r="W26" i="1"/>
  <c r="J26" i="1"/>
  <c r="Y25" i="1"/>
  <c r="X25" i="1"/>
  <c r="W25" i="1"/>
  <c r="J25" i="1"/>
  <c r="Y24" i="1"/>
  <c r="X24" i="1"/>
  <c r="W24" i="1"/>
  <c r="J24" i="1"/>
  <c r="Y23" i="1"/>
  <c r="X23" i="1"/>
  <c r="W23" i="1"/>
  <c r="J23" i="1"/>
  <c r="Y22" i="1"/>
  <c r="X22" i="1"/>
  <c r="W22" i="1"/>
  <c r="J22" i="1"/>
  <c r="Y21" i="1"/>
  <c r="X21" i="1"/>
  <c r="W21" i="1"/>
  <c r="J21" i="1"/>
  <c r="Y20" i="1"/>
  <c r="X20" i="1"/>
  <c r="W20" i="1"/>
  <c r="J20" i="1"/>
  <c r="Y19" i="1"/>
  <c r="X19" i="1"/>
  <c r="W19" i="1"/>
  <c r="J19" i="1"/>
  <c r="J18" i="1" s="1"/>
  <c r="Q18" i="1"/>
  <c r="P18" i="1"/>
  <c r="O18" i="1"/>
  <c r="N18" i="1"/>
  <c r="M18" i="1"/>
  <c r="L18" i="1"/>
  <c r="K18" i="1"/>
  <c r="I18" i="1"/>
  <c r="X17" i="1"/>
  <c r="W17" i="1"/>
  <c r="J17" i="1"/>
  <c r="Y16" i="1"/>
  <c r="X16" i="1"/>
  <c r="W16" i="1"/>
  <c r="J16" i="1"/>
  <c r="Y15" i="1"/>
  <c r="X15" i="1"/>
  <c r="W15" i="1"/>
  <c r="J15" i="1"/>
  <c r="Y14" i="1"/>
  <c r="X14" i="1"/>
  <c r="W14" i="1"/>
  <c r="J14" i="1"/>
  <c r="Y13" i="1"/>
  <c r="X13" i="1"/>
  <c r="W13" i="1"/>
  <c r="J13" i="1"/>
  <c r="Y12" i="1"/>
  <c r="X12" i="1"/>
  <c r="W12" i="1"/>
  <c r="J12" i="1"/>
  <c r="Y11" i="1"/>
  <c r="X11" i="1"/>
  <c r="W11" i="1"/>
  <c r="J11" i="1"/>
  <c r="Y10" i="1"/>
  <c r="X10" i="1"/>
  <c r="W10" i="1"/>
  <c r="J10" i="1"/>
  <c r="Y9" i="1"/>
  <c r="X9" i="1"/>
  <c r="W9" i="1"/>
  <c r="J9" i="1"/>
  <c r="Q8" i="1"/>
  <c r="Z8" i="1" s="1"/>
  <c r="P8" i="1"/>
  <c r="O8" i="1"/>
  <c r="N8" i="1"/>
  <c r="M8" i="1"/>
  <c r="L8" i="1"/>
  <c r="K8" i="1"/>
  <c r="I8" i="1"/>
  <c r="K7" i="1" l="1"/>
  <c r="O7" i="1"/>
  <c r="X18" i="1"/>
  <c r="J28" i="1"/>
  <c r="N7" i="1"/>
  <c r="Y28" i="1"/>
  <c r="X33" i="1"/>
  <c r="J8" i="1"/>
  <c r="X39" i="1"/>
  <c r="W39" i="1"/>
  <c r="Y8" i="1"/>
  <c r="S18" i="1"/>
  <c r="Y18" i="1"/>
  <c r="S27" i="1"/>
  <c r="S36" i="1"/>
  <c r="S44" i="1"/>
  <c r="J44" i="1"/>
  <c r="S28" i="1"/>
  <c r="Y33" i="1"/>
  <c r="Z33" i="1"/>
  <c r="S42" i="1"/>
  <c r="Z18" i="1"/>
  <c r="S20" i="1"/>
  <c r="Y39" i="1"/>
  <c r="Z39" i="1"/>
  <c r="Z44" i="1"/>
  <c r="Q7" i="1"/>
  <c r="U48" i="1" s="1"/>
  <c r="W8" i="1"/>
  <c r="L7" i="1"/>
  <c r="AO24" i="1" s="1"/>
  <c r="AN14" i="1"/>
  <c r="S15" i="1"/>
  <c r="Z28" i="1"/>
  <c r="S30" i="1"/>
  <c r="W33" i="1"/>
  <c r="J33" i="1"/>
  <c r="W44" i="1"/>
  <c r="M7" i="1"/>
  <c r="X8" i="1"/>
  <c r="S10" i="1"/>
  <c r="W18" i="1"/>
  <c r="AR24" i="1"/>
  <c r="W28" i="1"/>
  <c r="S33" i="1"/>
  <c r="S39" i="1"/>
  <c r="S45" i="1"/>
  <c r="S23" i="1"/>
  <c r="AT24" i="1"/>
  <c r="S8" i="1"/>
  <c r="P7" i="1"/>
  <c r="S11" i="1"/>
  <c r="S14" i="1"/>
  <c r="U27" i="1"/>
  <c r="S34" i="1"/>
  <c r="S40" i="1"/>
  <c r="X44" i="1"/>
  <c r="S46" i="1"/>
  <c r="W7" i="1"/>
  <c r="S21" i="1"/>
  <c r="S31" i="1"/>
  <c r="S37" i="1"/>
  <c r="S43" i="1"/>
  <c r="Y44" i="1"/>
  <c r="S9" i="1"/>
  <c r="U11" i="1"/>
  <c r="S13" i="1"/>
  <c r="S17" i="1"/>
  <c r="S24" i="1"/>
  <c r="S47" i="1"/>
  <c r="S19" i="1"/>
  <c r="S25" i="1"/>
  <c r="S26" i="1"/>
  <c r="S29" i="1"/>
  <c r="S35" i="1"/>
  <c r="U37" i="1"/>
  <c r="S41" i="1"/>
  <c r="S7" i="1"/>
  <c r="U9" i="1"/>
  <c r="S12" i="1"/>
  <c r="S16" i="1"/>
  <c r="U17" i="1"/>
  <c r="S22" i="1"/>
  <c r="AQ24" i="1"/>
  <c r="S32" i="1"/>
  <c r="U36" i="1" l="1"/>
  <c r="U20" i="1"/>
  <c r="U19" i="1"/>
  <c r="T8" i="1"/>
  <c r="T48" i="1"/>
  <c r="U46" i="1"/>
  <c r="U10" i="1"/>
  <c r="U24" i="1"/>
  <c r="U13" i="1"/>
  <c r="U43" i="1"/>
  <c r="U31" i="1"/>
  <c r="U21" i="1"/>
  <c r="U40" i="1"/>
  <c r="U14" i="1"/>
  <c r="U23" i="1"/>
  <c r="S38" i="1"/>
  <c r="S48" i="1"/>
  <c r="U47" i="1"/>
  <c r="U34" i="1"/>
  <c r="U42" i="1"/>
  <c r="U30" i="1"/>
  <c r="U45" i="1"/>
  <c r="U41" i="1"/>
  <c r="U25" i="1"/>
  <c r="Y7" i="1"/>
  <c r="Z7" i="1"/>
  <c r="U28" i="1"/>
  <c r="U33" i="1"/>
  <c r="U26" i="1"/>
  <c r="U44" i="1"/>
  <c r="AL13" i="1"/>
  <c r="U15" i="1"/>
  <c r="U39" i="1"/>
  <c r="U29" i="1"/>
  <c r="J7" i="1"/>
  <c r="T44" i="1"/>
  <c r="AL14" i="1"/>
  <c r="U22" i="1"/>
  <c r="U12" i="1"/>
  <c r="U7" i="1"/>
  <c r="U38" i="1"/>
  <c r="U16" i="1"/>
  <c r="U32" i="1"/>
  <c r="AL17" i="1"/>
  <c r="U35" i="1"/>
  <c r="AN17" i="1"/>
  <c r="U8" i="1"/>
  <c r="U18" i="1"/>
  <c r="AN16" i="1"/>
  <c r="AL15" i="1"/>
  <c r="AN12" i="1"/>
  <c r="AP24" i="1"/>
  <c r="AN13" i="1"/>
  <c r="T41" i="1"/>
  <c r="T35" i="1"/>
  <c r="T29" i="1"/>
  <c r="T26" i="1"/>
  <c r="T25" i="1"/>
  <c r="T19" i="1"/>
  <c r="T9" i="1"/>
  <c r="T47" i="1"/>
  <c r="T24" i="1"/>
  <c r="T17" i="1"/>
  <c r="T13" i="1"/>
  <c r="T45" i="1"/>
  <c r="T43" i="1"/>
  <c r="T37" i="1"/>
  <c r="T31" i="1"/>
  <c r="T21" i="1"/>
  <c r="X7" i="1"/>
  <c r="AS25" i="1" s="1"/>
  <c r="T11" i="1"/>
  <c r="T46" i="1"/>
  <c r="T40" i="1"/>
  <c r="T34" i="1"/>
  <c r="T28" i="1"/>
  <c r="T18" i="1"/>
  <c r="T14" i="1"/>
  <c r="T10" i="1"/>
  <c r="T23" i="1"/>
  <c r="T15" i="1"/>
  <c r="T42" i="1"/>
  <c r="T36" i="1"/>
  <c r="T30" i="1"/>
  <c r="T27" i="1"/>
  <c r="T20" i="1"/>
  <c r="T39" i="1"/>
  <c r="T33" i="1"/>
  <c r="AS24" i="1"/>
  <c r="T38" i="1"/>
  <c r="T32" i="1"/>
  <c r="T22" i="1"/>
  <c r="T16" i="1"/>
  <c r="T12" i="1"/>
  <c r="T7" i="1"/>
  <c r="AN15" i="1"/>
  <c r="AL16" i="1"/>
</calcChain>
</file>

<file path=xl/sharedStrings.xml><?xml version="1.0" encoding="utf-8"?>
<sst xmlns="http://schemas.openxmlformats.org/spreadsheetml/2006/main" count="116" uniqueCount="91">
  <si>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</si>
  <si>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</si>
  <si>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</si>
  <si>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</si>
  <si>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</si>
  <si>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Rf. '000)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</si>
  <si>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</si>
  <si>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</si>
  <si>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</si>
  <si>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</si>
  <si>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</si>
  <si>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</si>
  <si>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</si>
  <si>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</si>
  <si>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</si>
  <si>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</si>
  <si>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</si>
  <si>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</si>
  <si>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</si>
  <si>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</si>
  <si>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</si>
  <si>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</si>
  <si>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</si>
  <si>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</si>
  <si>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</si>
  <si>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</si>
  <si>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</si>
  <si>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</si>
  <si>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</si>
  <si>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</si>
  <si>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</si>
  <si>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</si>
  <si>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</si>
  <si>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</si>
  <si>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</si>
  <si>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</si>
  <si>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</si>
  <si>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</si>
  <si>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</si>
  <si>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</si>
  <si>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</si>
  <si>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</si>
  <si>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</si>
  <si>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</si>
  <si>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</si>
  <si>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</si>
  <si>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</si>
  <si>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</si>
  <si>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</si>
  <si>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Total Imports</t>
  </si>
  <si>
    <t>Indonesia</t>
  </si>
  <si>
    <t>WaixEnoDcnia</t>
  </si>
  <si>
    <t>% change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</si>
  <si>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</si>
  <si>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</si>
  <si>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</si>
  <si>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</si>
  <si>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</si>
  <si>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</si>
  <si>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</si>
  <si>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</si>
  <si>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</si>
  <si>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</si>
  <si>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</si>
  <si>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</si>
  <si>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</si>
  <si>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</si>
  <si>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</si>
  <si>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</si>
  <si>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</si>
  <si>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</si>
  <si>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</si>
  <si>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</si>
  <si>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</si>
  <si>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</si>
  <si>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</si>
  <si>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</si>
  <si>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</si>
  <si>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</si>
  <si>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</si>
  <si>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</si>
  <si>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</si>
  <si>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</si>
  <si>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</si>
  <si>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na</t>
  </si>
  <si>
    <t>Ijif</t>
  </si>
  <si>
    <t>Source:  Maldives Customs Services</t>
  </si>
  <si>
    <t xml:space="preserve">cswsivrWs cscmwTcswk cscviDclOm :ctWrwfivcaed utWmUluAwm     </t>
  </si>
  <si>
    <t>Data Compile: National Bureau of Statistics</t>
  </si>
  <si>
    <t>2019 - 2016 ,cawtumuawq unuverukeretea Wdum cSwaejcaWr : 15.1 ulwvWt</t>
  </si>
  <si>
    <t>Table  15.1 :  IMPORTS BY COUNTRY OF CONSIGNMENT,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</si>
</sst>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2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5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thin">
        <color theme="1" tint="4.9989318521683403E-2"/>
      </bottom>
      <diagonal/>
    </border>
    <border>
      <left/>
      <right/>
      <top style="dotted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0" borderId="23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24" applyNumberFormat="0" applyAlignment="0" applyProtection="0"/>
    <xf numFmtId="0" fontId="30" fillId="7" borderId="25" applyNumberFormat="0" applyAlignment="0" applyProtection="0"/>
    <xf numFmtId="0" fontId="31" fillId="7" borderId="24" applyNumberFormat="0" applyAlignment="0" applyProtection="0"/>
    <xf numFmtId="0" fontId="32" fillId="0" borderId="26" applyNumberFormat="0" applyFill="0" applyAlignment="0" applyProtection="0"/>
    <xf numFmtId="0" fontId="33" fillId="8" borderId="27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9" fillId="0" borderId="0"/>
    <xf numFmtId="172" fontId="9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</cellStyleXfs>
  <cellXfs count="141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1" fontId="8" fillId="2" borderId="0" xfId="0" applyNumberFormat="1" applyFont="1" applyFill="1" applyBorder="1"/>
    <xf numFmtId="164" fontId="8" fillId="2" borderId="0" xfId="1" applyNumberFormat="1" applyFont="1" applyFill="1" applyBorder="1"/>
    <xf numFmtId="0" fontId="11" fillId="2" borderId="1" xfId="0" applyFont="1" applyFill="1" applyBorder="1" applyAlignment="1" applyProtection="1">
      <alignment vertical="center"/>
    </xf>
    <xf numFmtId="0" fontId="12" fillId="2" borderId="5" xfId="0" applyFont="1" applyFill="1" applyBorder="1" applyAlignment="1" applyProtection="1">
      <alignment vertical="center"/>
    </xf>
    <xf numFmtId="0" fontId="13" fillId="2" borderId="0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164" fontId="5" fillId="2" borderId="0" xfId="1" applyNumberFormat="1" applyFont="1" applyFill="1" applyBorder="1"/>
    <xf numFmtId="3" fontId="10" fillId="2" borderId="0" xfId="0" applyNumberFormat="1" applyFont="1" applyFill="1" applyBorder="1" applyAlignment="1" applyProtection="1">
      <alignment horizontal="right" vertical="center"/>
    </xf>
    <xf numFmtId="3" fontId="10" fillId="2" borderId="12" xfId="0" applyNumberFormat="1" applyFont="1" applyFill="1" applyBorder="1" applyAlignment="1" applyProtection="1">
      <alignment horizontal="right" vertical="center"/>
    </xf>
    <xf numFmtId="165" fontId="10" fillId="2" borderId="0" xfId="0" applyNumberFormat="1" applyFont="1" applyFill="1" applyBorder="1" applyAlignment="1" applyProtection="1">
      <alignment horizontal="right" vertical="center"/>
    </xf>
    <xf numFmtId="4" fontId="10" fillId="2" borderId="0" xfId="0" applyNumberFormat="1" applyFont="1" applyFill="1" applyBorder="1" applyAlignment="1" applyProtection="1">
      <alignment horizontal="left"/>
    </xf>
    <xf numFmtId="3" fontId="10" fillId="2" borderId="0" xfId="0" applyNumberFormat="1" applyFont="1" applyFill="1" applyBorder="1" applyAlignment="1" applyProtection="1">
      <alignment horizontal="right"/>
    </xf>
    <xf numFmtId="4" fontId="13" fillId="2" borderId="0" xfId="0" applyNumberFormat="1" applyFont="1" applyFill="1" applyBorder="1" applyAlignment="1"/>
    <xf numFmtId="0" fontId="14" fillId="2" borderId="0" xfId="2" applyFont="1" applyFill="1" applyAlignment="1">
      <alignment vertical="center"/>
    </xf>
    <xf numFmtId="4" fontId="15" fillId="2" borderId="0" xfId="0" applyNumberFormat="1" applyFont="1" applyFill="1" applyBorder="1" applyAlignment="1" applyProtection="1">
      <alignment horizontal="left"/>
    </xf>
    <xf numFmtId="3" fontId="15" fillId="2" borderId="0" xfId="3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 applyProtection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0" fontId="13" fillId="2" borderId="0" xfId="2" applyFont="1" applyFill="1" applyAlignment="1">
      <alignment vertical="center"/>
    </xf>
    <xf numFmtId="3" fontId="14" fillId="2" borderId="0" xfId="1" applyNumberFormat="1" applyFont="1" applyFill="1" applyAlignment="1">
      <alignment vertical="center"/>
    </xf>
    <xf numFmtId="4" fontId="14" fillId="2" borderId="0" xfId="0" applyNumberFormat="1" applyFont="1" applyFill="1" applyBorder="1" applyAlignment="1"/>
    <xf numFmtId="165" fontId="10" fillId="2" borderId="12" xfId="0" applyNumberFormat="1" applyFont="1" applyFill="1" applyBorder="1" applyAlignment="1" applyProtection="1">
      <alignment horizontal="right" vertical="center"/>
    </xf>
    <xf numFmtId="165" fontId="14" fillId="2" borderId="0" xfId="0" applyNumberFormat="1" applyFont="1" applyFill="1" applyBorder="1" applyAlignment="1"/>
    <xf numFmtId="3" fontId="14" fillId="2" borderId="0" xfId="2" applyNumberFormat="1" applyFont="1" applyFill="1" applyAlignment="1">
      <alignment vertical="center"/>
    </xf>
    <xf numFmtId="3" fontId="10" fillId="2" borderId="0" xfId="0" applyNumberFormat="1" applyFont="1" applyFill="1" applyBorder="1" applyAlignment="1">
      <alignment horizontal="right"/>
    </xf>
    <xf numFmtId="3" fontId="10" fillId="2" borderId="0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/>
    <xf numFmtId="167" fontId="1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4" fontId="15" fillId="2" borderId="0" xfId="0" applyNumberFormat="1" applyFont="1" applyFill="1" applyBorder="1" applyAlignment="1" applyProtection="1">
      <alignment horizontal="right"/>
    </xf>
    <xf numFmtId="0" fontId="14" fillId="2" borderId="0" xfId="0" applyFont="1" applyFill="1" applyBorder="1" applyAlignment="1"/>
    <xf numFmtId="4" fontId="14" fillId="2" borderId="0" xfId="2" applyNumberFormat="1" applyFont="1" applyFill="1" applyAlignment="1">
      <alignment vertical="center"/>
    </xf>
    <xf numFmtId="43" fontId="17" fillId="2" borderId="0" xfId="1" applyFont="1" applyFill="1" applyBorder="1" applyAlignment="1">
      <alignment horizontal="right"/>
    </xf>
    <xf numFmtId="168" fontId="17" fillId="2" borderId="0" xfId="1" applyNumberFormat="1" applyFont="1" applyFill="1" applyBorder="1" applyAlignment="1">
      <alignment horizontal="right"/>
    </xf>
    <xf numFmtId="3" fontId="14" fillId="2" borderId="0" xfId="0" applyNumberFormat="1" applyFont="1" applyFill="1" applyBorder="1" applyAlignment="1"/>
    <xf numFmtId="169" fontId="4" fillId="2" borderId="0" xfId="0" applyNumberFormat="1" applyFont="1" applyFill="1" applyBorder="1" applyAlignment="1">
      <alignment horizontal="right"/>
    </xf>
    <xf numFmtId="168" fontId="4" fillId="2" borderId="0" xfId="0" applyNumberFormat="1" applyFont="1" applyFill="1" applyBorder="1" applyAlignment="1">
      <alignment horizontal="right"/>
    </xf>
    <xf numFmtId="4" fontId="10" fillId="2" borderId="0" xfId="0" applyNumberFormat="1" applyFont="1" applyFill="1" applyBorder="1" applyAlignment="1" applyProtection="1">
      <alignment horizontal="right"/>
    </xf>
    <xf numFmtId="3" fontId="10" fillId="2" borderId="0" xfId="3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/>
    <xf numFmtId="1" fontId="15" fillId="2" borderId="0" xfId="0" applyNumberFormat="1" applyFont="1" applyFill="1" applyBorder="1" applyAlignment="1"/>
    <xf numFmtId="1" fontId="15" fillId="2" borderId="0" xfId="0" applyNumberFormat="1" applyFont="1" applyFill="1" applyBorder="1" applyAlignment="1">
      <alignment horizontal="right"/>
    </xf>
    <xf numFmtId="4" fontId="10" fillId="2" borderId="0" xfId="0" applyNumberFormat="1" applyFont="1" applyFill="1" applyBorder="1" applyAlignment="1" applyProtection="1">
      <alignment horizontal="left" vertical="top"/>
    </xf>
    <xf numFmtId="4" fontId="10" fillId="2" borderId="0" xfId="0" applyNumberFormat="1" applyFont="1" applyFill="1" applyBorder="1" applyAlignment="1" applyProtection="1">
      <alignment horizontal="right" vertical="top"/>
    </xf>
    <xf numFmtId="3" fontId="10" fillId="2" borderId="0" xfId="0" applyNumberFormat="1" applyFont="1" applyFill="1" applyBorder="1" applyAlignment="1">
      <alignment horizontal="right" vertical="top"/>
    </xf>
    <xf numFmtId="3" fontId="10" fillId="2" borderId="0" xfId="3" applyNumberFormat="1" applyFont="1" applyFill="1" applyBorder="1" applyAlignment="1">
      <alignment horizontal="right" vertical="top"/>
    </xf>
    <xf numFmtId="1" fontId="18" fillId="2" borderId="0" xfId="0" applyNumberFormat="1" applyFont="1" applyFill="1" applyBorder="1" applyAlignment="1"/>
    <xf numFmtId="1" fontId="18" fillId="2" borderId="0" xfId="0" applyNumberFormat="1" applyFont="1" applyFill="1" applyBorder="1" applyAlignment="1">
      <alignment horizontal="right"/>
    </xf>
    <xf numFmtId="3" fontId="18" fillId="2" borderId="0" xfId="3" applyNumberFormat="1" applyFont="1" applyFill="1" applyBorder="1" applyAlignment="1">
      <alignment horizontal="right" vertical="justify"/>
    </xf>
    <xf numFmtId="3" fontId="18" fillId="2" borderId="0" xfId="3" applyNumberFormat="1" applyFont="1" applyFill="1" applyBorder="1" applyAlignment="1">
      <alignment horizontal="right" vertical="center"/>
    </xf>
    <xf numFmtId="4" fontId="18" fillId="2" borderId="0" xfId="0" applyNumberFormat="1" applyFont="1" applyFill="1" applyBorder="1" applyAlignment="1" applyProtection="1">
      <alignment horizontal="left"/>
    </xf>
    <xf numFmtId="4" fontId="18" fillId="2" borderId="0" xfId="0" applyNumberFormat="1" applyFont="1" applyFill="1" applyBorder="1" applyAlignment="1" applyProtection="1">
      <alignment horizontal="right"/>
    </xf>
    <xf numFmtId="4" fontId="19" fillId="2" borderId="0" xfId="0" applyNumberFormat="1" applyFont="1" applyFill="1" applyBorder="1" applyAlignment="1" applyProtection="1">
      <alignment horizontal="left"/>
    </xf>
    <xf numFmtId="4" fontId="19" fillId="2" borderId="0" xfId="0" applyNumberFormat="1" applyFont="1" applyFill="1" applyBorder="1" applyAlignment="1" applyProtection="1">
      <alignment horizontal="right"/>
    </xf>
    <xf numFmtId="3" fontId="19" fillId="2" borderId="0" xfId="0" applyNumberFormat="1" applyFont="1" applyFill="1" applyBorder="1" applyAlignment="1">
      <alignment horizontal="right" vertical="justify"/>
    </xf>
    <xf numFmtId="3" fontId="19" fillId="2" borderId="0" xfId="3" applyNumberFormat="1" applyFont="1" applyFill="1" applyBorder="1" applyAlignment="1">
      <alignment horizontal="right" vertical="justify"/>
    </xf>
    <xf numFmtId="3" fontId="19" fillId="2" borderId="0" xfId="3" applyNumberFormat="1" applyFont="1" applyFill="1" applyBorder="1" applyAlignment="1">
      <alignment horizontal="right" vertical="center"/>
    </xf>
    <xf numFmtId="3" fontId="19" fillId="2" borderId="0" xfId="0" applyNumberFormat="1" applyFont="1" applyFill="1" applyBorder="1" applyAlignment="1">
      <alignment horizontal="right"/>
    </xf>
    <xf numFmtId="4" fontId="18" fillId="2" borderId="10" xfId="0" applyNumberFormat="1" applyFont="1" applyFill="1" applyBorder="1" applyAlignment="1" applyProtection="1">
      <alignment horizontal="left"/>
    </xf>
    <xf numFmtId="4" fontId="18" fillId="2" borderId="10" xfId="0" applyNumberFormat="1" applyFont="1" applyFill="1" applyBorder="1" applyAlignment="1" applyProtection="1">
      <alignment horizontal="right"/>
    </xf>
    <xf numFmtId="43" fontId="18" fillId="2" borderId="10" xfId="3" applyNumberFormat="1" applyFont="1" applyFill="1" applyBorder="1" applyAlignment="1">
      <alignment horizontal="right" vertical="justify"/>
    </xf>
    <xf numFmtId="3" fontId="18" fillId="2" borderId="10" xfId="3" applyNumberFormat="1" applyFont="1" applyFill="1" applyBorder="1" applyAlignment="1">
      <alignment horizontal="right" vertical="justify"/>
    </xf>
    <xf numFmtId="3" fontId="18" fillId="2" borderId="10" xfId="3" applyNumberFormat="1" applyFont="1" applyFill="1" applyBorder="1" applyAlignment="1">
      <alignment horizontal="right" vertical="center"/>
    </xf>
    <xf numFmtId="3" fontId="15" fillId="2" borderId="10" xfId="0" applyNumberFormat="1" applyFont="1" applyFill="1" applyBorder="1" applyAlignment="1" applyProtection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165" fontId="15" fillId="2" borderId="10" xfId="0" applyNumberFormat="1" applyFont="1" applyFill="1" applyBorder="1" applyAlignment="1" applyProtection="1">
      <alignment horizontal="right" vertical="center"/>
    </xf>
    <xf numFmtId="165" fontId="15" fillId="2" borderId="16" xfId="0" applyNumberFormat="1" applyFont="1" applyFill="1" applyBorder="1" applyAlignment="1" applyProtection="1">
      <alignment horizontal="right" vertical="center"/>
    </xf>
    <xf numFmtId="0" fontId="20" fillId="2" borderId="0" xfId="0" applyFont="1" applyFill="1" applyBorder="1" applyAlignment="1" applyProtection="1">
      <alignment horizontal="left" vertical="center"/>
    </xf>
    <xf numFmtId="4" fontId="21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Alignment="1">
      <alignment vertical="center"/>
    </xf>
    <xf numFmtId="0" fontId="16" fillId="2" borderId="0" xfId="0" applyFont="1" applyFill="1" applyBorder="1" applyAlignment="1">
      <alignment horizontal="right"/>
    </xf>
    <xf numFmtId="0" fontId="14" fillId="2" borderId="0" xfId="0" applyFont="1" applyFill="1" applyBorder="1" applyAlignment="1">
      <alignment horizontal="right"/>
    </xf>
    <xf numFmtId="3" fontId="21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 applyBorder="1" applyAlignment="1"/>
    <xf numFmtId="0" fontId="22" fillId="2" borderId="0" xfId="0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67" fontId="4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right"/>
    </xf>
    <xf numFmtId="4" fontId="9" fillId="2" borderId="0" xfId="0" applyNumberFormat="1" applyFont="1" applyFill="1" applyBorder="1" applyAlignment="1" applyProtection="1">
      <alignment horizontal="left"/>
    </xf>
    <xf numFmtId="2" fontId="9" fillId="2" borderId="0" xfId="0" applyNumberFormat="1" applyFont="1" applyFill="1" applyBorder="1" applyAlignment="1">
      <alignment horizontal="right"/>
    </xf>
    <xf numFmtId="3" fontId="9" fillId="2" borderId="0" xfId="3" applyNumberFormat="1" applyFont="1" applyFill="1" applyBorder="1" applyAlignment="1">
      <alignment horizontal="right" vertical="center"/>
    </xf>
    <xf numFmtId="165" fontId="15" fillId="2" borderId="20" xfId="0" applyNumberFormat="1" applyFont="1" applyFill="1" applyBorder="1" applyAlignment="1" applyProtection="1">
      <alignment horizontal="right" vertical="center"/>
    </xf>
    <xf numFmtId="165" fontId="10" fillId="2" borderId="20" xfId="0" applyNumberFormat="1" applyFont="1" applyFill="1" applyBorder="1" applyAlignment="1" applyProtection="1">
      <alignment horizontal="right" vertical="center"/>
    </xf>
    <xf numFmtId="0" fontId="10" fillId="2" borderId="30" xfId="0" applyNumberFormat="1" applyFont="1" applyFill="1" applyBorder="1" applyAlignment="1">
      <alignment horizontal="right" vertical="center"/>
    </xf>
    <xf numFmtId="0" fontId="10" fillId="2" borderId="31" xfId="0" applyNumberFormat="1" applyFont="1" applyFill="1" applyBorder="1" applyAlignment="1">
      <alignment horizontal="right" vertical="center"/>
    </xf>
    <xf numFmtId="165" fontId="15" fillId="2" borderId="32" xfId="0" applyNumberFormat="1" applyFont="1" applyFill="1" applyBorder="1" applyAlignment="1" applyProtection="1">
      <alignment horizontal="right" vertical="center"/>
    </xf>
    <xf numFmtId="165" fontId="15" fillId="2" borderId="11" xfId="0" applyNumberFormat="1" applyFont="1" applyFill="1" applyBorder="1" applyAlignment="1" applyProtection="1">
      <alignment horizontal="right" vertical="center"/>
    </xf>
    <xf numFmtId="0" fontId="10" fillId="2" borderId="19" xfId="0" applyNumberFormat="1" applyFont="1" applyFill="1" applyBorder="1" applyAlignment="1">
      <alignment horizontal="right" vertical="center"/>
    </xf>
    <xf numFmtId="0" fontId="43" fillId="2" borderId="0" xfId="0" applyFont="1" applyFill="1" applyBorder="1" applyAlignment="1">
      <alignment horizontal="right" vertical="center"/>
    </xf>
    <xf numFmtId="0" fontId="41" fillId="2" borderId="13" xfId="0" applyFont="1" applyFill="1" applyBorder="1" applyAlignment="1">
      <alignment horizontal="right"/>
    </xf>
    <xf numFmtId="0" fontId="41" fillId="2" borderId="14" xfId="0" applyFont="1" applyFill="1" applyBorder="1" applyAlignment="1">
      <alignment horizontal="right"/>
    </xf>
    <xf numFmtId="0" fontId="44" fillId="2" borderId="14" xfId="0" applyFont="1" applyFill="1" applyBorder="1" applyAlignment="1">
      <alignment horizontal="right"/>
    </xf>
    <xf numFmtId="0" fontId="45" fillId="2" borderId="14" xfId="0" applyFont="1" applyFill="1" applyBorder="1" applyAlignment="1">
      <alignment horizontal="right"/>
    </xf>
    <xf numFmtId="0" fontId="45" fillId="2" borderId="15" xfId="0" applyFont="1" applyFill="1" applyBorder="1" applyAlignment="1">
      <alignment horizontal="right"/>
    </xf>
    <xf numFmtId="0" fontId="41" fillId="2" borderId="0" xfId="0" applyFont="1" applyFill="1" applyBorder="1" applyAlignment="1">
      <alignment horizontal="right" vertical="top"/>
    </xf>
    <xf numFmtId="0" fontId="45" fillId="2" borderId="13" xfId="0" applyFont="1" applyFill="1" applyBorder="1" applyAlignment="1">
      <alignment horizontal="right"/>
    </xf>
    <xf numFmtId="0" fontId="45" fillId="2" borderId="17" xfId="0" applyFont="1" applyFill="1" applyBorder="1" applyAlignment="1">
      <alignment horizontal="right"/>
    </xf>
    <xf numFmtId="0" fontId="45" fillId="2" borderId="13" xfId="0" applyFont="1" applyFill="1" applyBorder="1" applyAlignment="1">
      <alignment horizontal="right" readingOrder="2"/>
    </xf>
    <xf numFmtId="0" fontId="44" fillId="2" borderId="0" xfId="0" applyFont="1" applyFill="1" applyBorder="1" applyAlignment="1">
      <alignment horizontal="right"/>
    </xf>
    <xf numFmtId="0" fontId="46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 applyProtection="1">
      <alignment horizontal="left" vertical="center"/>
    </xf>
    <xf numFmtId="165" fontId="15" fillId="2" borderId="0" xfId="0" applyNumberFormat="1" applyFont="1" applyFill="1" applyBorder="1" applyAlignment="1" applyProtection="1">
      <alignment horizontal="right" vertical="center"/>
    </xf>
    <xf numFmtId="3" fontId="15" fillId="2" borderId="12" xfId="0" applyNumberFormat="1" applyFont="1" applyFill="1" applyBorder="1" applyAlignment="1">
      <alignment horizontal="right" vertical="center"/>
    </xf>
    <xf numFmtId="3" fontId="15" fillId="2" borderId="11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2" fontId="10" fillId="2" borderId="18" xfId="0" applyNumberFormat="1" applyFont="1" applyFill="1" applyBorder="1" applyAlignment="1" applyProtection="1">
      <alignment horizontal="center" vertical="center" wrapText="1"/>
    </xf>
    <xf numFmtId="2" fontId="10" fillId="2" borderId="6" xfId="0" applyNumberFormat="1" applyFont="1" applyFill="1" applyBorder="1" applyAlignment="1" applyProtection="1">
      <alignment horizontal="center" vertical="center" wrapText="1"/>
    </xf>
    <xf numFmtId="0" fontId="10" fillId="2" borderId="1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41" fillId="2" borderId="34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33" xfId="0" applyFont="1" applyFill="1" applyBorder="1" applyAlignment="1">
      <alignment horizontal="center" vertical="center"/>
    </xf>
    <xf numFmtId="0" fontId="4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8" xfId="0" applyFont="1" applyFill="1" applyBorder="1" applyAlignment="1" applyProtection="1">
      <alignment horizontal="left" vertical="center"/>
    </xf>
    <xf numFmtId="0" fontId="41" fillId="2" borderId="1" xfId="0" applyFont="1" applyFill="1" applyBorder="1" applyAlignment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41" fillId="2" borderId="8" xfId="0" applyFont="1" applyFill="1" applyBorder="1" applyAlignment="1">
      <alignment horizontal="right" vertical="center"/>
    </xf>
    <xf numFmtId="0" fontId="41" fillId="2" borderId="2" xfId="0" applyFont="1" applyFill="1" applyBorder="1" applyAlignment="1" applyProtection="1">
      <alignment horizontal="center" vertical="center"/>
    </xf>
    <xf numFmtId="0" fontId="41" fillId="2" borderId="3" xfId="0" applyFont="1" applyFill="1" applyBorder="1" applyAlignment="1" applyProtection="1">
      <alignment horizontal="center" vertical="center"/>
    </xf>
    <xf numFmtId="0" fontId="10" fillId="2" borderId="6" xfId="0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41" fillId="2" borderId="4" xfId="0" applyFont="1" applyFill="1" applyBorder="1" applyAlignment="1" applyProtection="1">
      <alignment horizontal="center" vertical="center" wrapText="1"/>
    </xf>
    <xf numFmtId="0" fontId="41" fillId="2" borderId="1" xfId="0" applyFont="1" applyFill="1" applyBorder="1" applyAlignment="1" applyProtection="1">
      <alignment horizontal="center" vertical="center" wrapText="1"/>
    </xf>
  </cellXfs>
  <cellStyles count="71">
    <cellStyle name="1" xfId="47"/>
    <cellStyle name="20% - Accent1" xfId="23" builtinId="30" customBuiltin="1"/>
    <cellStyle name="20% - Accent1 2" xfId="58"/>
    <cellStyle name="20% - Accent2" xfId="27" builtinId="34" customBuiltin="1"/>
    <cellStyle name="20% - Accent2 2" xfId="60"/>
    <cellStyle name="20% - Accent3" xfId="31" builtinId="38" customBuiltin="1"/>
    <cellStyle name="20% - Accent3 2" xfId="62"/>
    <cellStyle name="20% - Accent4" xfId="35" builtinId="42" customBuiltin="1"/>
    <cellStyle name="20% - Accent4 2" xfId="64"/>
    <cellStyle name="20% - Accent5" xfId="39" builtinId="46" customBuiltin="1"/>
    <cellStyle name="20% - Accent5 2" xfId="66"/>
    <cellStyle name="20% - Accent6" xfId="43" builtinId="50" customBuiltin="1"/>
    <cellStyle name="20% - Accent6 2" xfId="68"/>
    <cellStyle name="40% - Accent1" xfId="24" builtinId="31" customBuiltin="1"/>
    <cellStyle name="40% - Accent1 2" xfId="59"/>
    <cellStyle name="40% - Accent2" xfId="28" builtinId="35" customBuiltin="1"/>
    <cellStyle name="40% - Accent2 2" xfId="61"/>
    <cellStyle name="40% - Accent3" xfId="32" builtinId="39" customBuiltin="1"/>
    <cellStyle name="40% - Accent3 2" xfId="63"/>
    <cellStyle name="40% - Accent4" xfId="36" builtinId="43" customBuiltin="1"/>
    <cellStyle name="40% - Accent4 2" xfId="65"/>
    <cellStyle name="40% - Accent5" xfId="40" builtinId="47" customBuiltin="1"/>
    <cellStyle name="40% - Accent5 2" xfId="67"/>
    <cellStyle name="40% - Accent6" xfId="44" builtinId="51" customBuiltin="1"/>
    <cellStyle name="40% - Accent6 2" xfId="69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/>
    <cellStyle name="Comma 3" xfId="3"/>
    <cellStyle name="Comma 4" xfId="52"/>
    <cellStyle name="Comma 5" xfId="55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/>
    <cellStyle name="Normal 2" xfId="5"/>
    <cellStyle name="Normal 3" xfId="51"/>
    <cellStyle name="Normal 4" xfId="54"/>
    <cellStyle name="Normal 5" xfId="4"/>
    <cellStyle name="Normal 6" xfId="57"/>
    <cellStyle name="Normal 7" xfId="46"/>
    <cellStyle name="Normal_Indicators" xfId="2"/>
    <cellStyle name="Note 2" xfId="53"/>
    <cellStyle name="Note 3" xfId="56"/>
    <cellStyle name="Output" xfId="15" builtinId="21" customBuiltin="1"/>
    <cellStyle name="Percent 2" xfId="6"/>
    <cellStyle name="Title 2" xfId="50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2019  </a:t>
            </a:r>
          </a:p>
        </c:rich>
      </c:tx>
      <c:layout>
        <c:manualLayout>
          <c:xMode val="edge"/>
          <c:yMode val="edge"/>
          <c:x val="0.26033603599454119"/>
          <c:y val="3.52739015034159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711440242240692"/>
          <c:y val="0.1404590417360031"/>
          <c:w val="0.50946078374410764"/>
          <c:h val="0.81623105281429342"/>
        </c:manualLayout>
      </c:layout>
      <c:pieChart>
        <c:varyColors val="1"/>
        <c:ser>
          <c:idx val="0"/>
          <c:order val="0"/>
          <c:spPr>
            <a:solidFill>
              <a:srgbClr val="CB9763"/>
            </a:solidFill>
          </c:spPr>
          <c:dPt>
            <c:idx val="0"/>
            <c:bubble3D val="0"/>
            <c:spPr>
              <a:solidFill>
                <a:srgbClr val="7B5229"/>
              </a:solidFill>
            </c:spPr>
          </c:dPt>
          <c:dPt>
            <c:idx val="1"/>
            <c:bubble3D val="0"/>
            <c:spPr>
              <a:solidFill>
                <a:srgbClr val="996633"/>
              </a:solidFill>
            </c:spPr>
          </c:dPt>
          <c:dPt>
            <c:idx val="3"/>
            <c:bubble3D val="0"/>
            <c:spPr>
              <a:solidFill>
                <a:srgbClr val="DAB48E"/>
              </a:solidFill>
            </c:spPr>
          </c:dPt>
          <c:dPt>
            <c:idx val="4"/>
            <c:bubble3D val="0"/>
            <c:spPr>
              <a:solidFill>
                <a:srgbClr val="E8D1BA"/>
              </a:solidFill>
            </c:spPr>
          </c:dPt>
          <c:dPt>
            <c:idx val="5"/>
            <c:bubble3D val="0"/>
            <c:spPr>
              <a:solidFill>
                <a:srgbClr val="ECD9C6"/>
              </a:solidFill>
            </c:spPr>
          </c:dPt>
          <c:dLbls>
            <c:dLbl>
              <c:idx val="0"/>
              <c:layout>
                <c:manualLayout>
                  <c:x val="0.11276667151410262"/>
                  <c:y val="-0.147939710048644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'15.1'!$AK$12:$AK$17</c:f>
              <c:strCache>
                <c:ptCount val="6"/>
                <c:pt idx="0">
                  <c:v>Asia</c:v>
                </c:pt>
                <c:pt idx="1">
                  <c:v>Middle East</c:v>
                </c:pt>
                <c:pt idx="2">
                  <c:v>Europe</c:v>
                </c:pt>
                <c:pt idx="3">
                  <c:v>America</c:v>
                </c:pt>
                <c:pt idx="4">
                  <c:v>Oceania</c:v>
                </c:pt>
                <c:pt idx="5">
                  <c:v>Africa</c:v>
                </c:pt>
              </c:strCache>
            </c:strRef>
          </c:cat>
          <c:val>
            <c:numRef>
              <c:f>'15.1'!$AL$12:$AL$17</c:f>
              <c:numCache>
                <c:formatCode>#,##0.0</c:formatCode>
                <c:ptCount val="6"/>
                <c:pt idx="0">
                  <c:v>60.902422371613575</c:v>
                </c:pt>
                <c:pt idx="1">
                  <c:v>20.855224681159434</c:v>
                </c:pt>
                <c:pt idx="2">
                  <c:v>11.073395633717666</c:v>
                </c:pt>
                <c:pt idx="3">
                  <c:v>3.5737010737557222</c:v>
                </c:pt>
                <c:pt idx="4">
                  <c:v>2.7193426063455899</c:v>
                </c:pt>
                <c:pt idx="5">
                  <c:v>0.87591363340803596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4CF-4B4D-AAC0-D32873DA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'15.1'!$AJ$24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C78E55"/>
            </a:solidFill>
          </c:spPr>
          <c:invertIfNegative val="0"/>
          <c:cat>
            <c:numRef>
              <c:f>'15.1'!$AK$23:$AU$23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'15.1'!$AK$24:$AU$24</c:f>
              <c:numCache>
                <c:formatCode>_(* #,##0_);_(* \(#,##0\);_(* "-"??_);_(@_)</c:formatCode>
                <c:ptCount val="11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 formatCode="#,##0">
                  <c:v>26634885.396759901</c:v>
                </c:pt>
                <c:pt idx="5" formatCode="#,##0">
                  <c:v>30649233.308269795</c:v>
                </c:pt>
                <c:pt idx="6" formatCode="#,##0">
                  <c:v>29147779.394450299</c:v>
                </c:pt>
                <c:pt idx="7" formatCode="#,##0">
                  <c:v>32705613.741919942</c:v>
                </c:pt>
                <c:pt idx="8" formatCode="#,##0">
                  <c:v>36319895.400504716</c:v>
                </c:pt>
                <c:pt idx="9" formatCode="#,##0">
                  <c:v>45572679.692879952</c:v>
                </c:pt>
                <c:pt idx="10" formatCode="#,##0">
                  <c:v>44419161.239239857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5A3-4C48-A208-BAB4D7AB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63868200"/>
        <c:axId val="182418936"/>
      </c:barChart>
      <c:lineChart>
        <c:grouping val="standard"/>
        <c:varyColors val="0"/>
        <c:ser>
          <c:idx val="1"/>
          <c:order val="1"/>
          <c:tx>
            <c:strRef>
              <c:f>'15.1'!$AJ$25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rgbClr val="7B5229"/>
              </a:solidFill>
            </a:ln>
          </c:spPr>
          <c:marker>
            <c:spPr>
              <a:solidFill>
                <a:srgbClr val="7B5229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'15.1'!$AK$23:$AU$23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'15.1'!$AK$25:$AU$25</c:f>
              <c:numCache>
                <c:formatCode>_(* #,##0.0_);_(* \(#,##0.0\);_(* "-"??_);_(@_)</c:formatCode>
                <c:ptCount val="11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 formatCode="_(* #,##0_);_(* \(#,##0\);_(* &quot;-&quot;??_);_(@_)">
                  <c:v>16.588896551505599</c:v>
                </c:pt>
                <c:pt idx="4" formatCode="#,##0">
                  <c:v>12</c:v>
                </c:pt>
                <c:pt idx="5" formatCode="#,##0.0">
                  <c:v>15.071767164420516</c:v>
                </c:pt>
                <c:pt idx="6" formatCode="#,##0.0">
                  <c:v>-4.8988302536571844</c:v>
                </c:pt>
                <c:pt idx="7" formatCode="#,##0.0">
                  <c:v>12.206193478145542</c:v>
                </c:pt>
                <c:pt idx="8" formatCode="#,##0">
                  <c:v>11.050951946980959</c:v>
                </c:pt>
                <c:pt idx="9" formatCode="#,##0">
                  <c:v>25.475801046075304</c:v>
                </c:pt>
                <c:pt idx="10" formatCode="#,##0">
                  <c:v>-2.5311622257321766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5A3-4C48-A208-BAB4D7AB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40368"/>
        <c:axId val="431699320"/>
      </c:lineChart>
      <c:catAx>
        <c:axId val="363868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2418936"/>
        <c:crosses val="autoZero"/>
        <c:auto val="1"/>
        <c:lblAlgn val="ctr"/>
        <c:lblOffset val="100"/>
        <c:noMultiLvlLbl val="0"/>
      </c:catAx>
      <c:valAx>
        <c:axId val="18241893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638682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43169932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432140368"/>
        <c:crosses val="max"/>
        <c:crossBetween val="between"/>
      </c:valAx>
      <c:catAx>
        <c:axId val="43214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169932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10776752420401"/>
          <c:y val="0.20486996922230991"/>
          <c:w val="0.370286241692316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32790</xdr:colOff>
      <xdr:row>50</xdr:row>
      <xdr:rowOff>140798</xdr:rowOff>
    </xdr:from>
    <xdr:to>
      <xdr:col>24</xdr:col>
      <xdr:colOff>442365</xdr:colOff>
      <xdr:row>63</xdr:row>
      <xdr:rowOff>128418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899102</xdr:colOff>
      <xdr:row>64</xdr:row>
      <xdr:rowOff>79464</xdr:rowOff>
    </xdr:from>
    <xdr:to>
      <xdr:col>24</xdr:col>
      <xdr:colOff>337127</xdr:colOff>
      <xdr:row>77</xdr:row>
      <xdr:rowOff>158571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- 2019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0"/>
  <sheetViews>
    <sheetView tabSelected="1" topLeftCell="O1" zoomScale="95" zoomScaleNormal="95" workbookViewId="0">
      <selection activeCell="AC18" sqref="AC18"/>
    </sheetView>
  </sheetViews>
  <sheetFormatPr defaultColWidth="9.140625" defaultRowHeight="18.75"/>
  <cols>
    <col min="1" max="1" width="15" style="3" customWidth="1"/>
    <col min="2" max="4" width="10.85546875" style="40" hidden="1" customWidth="1"/>
    <col min="5" max="9" width="12.28515625" style="40" hidden="1" customWidth="1"/>
    <col min="10" max="11" width="13" style="40" hidden="1" customWidth="1"/>
    <col min="12" max="14" width="11.28515625" style="40" hidden="1" customWidth="1"/>
    <col min="15" max="15" width="11.28515625" style="40" customWidth="1"/>
    <col min="16" max="17" width="13.42578125" style="40" bestFit="1" customWidth="1"/>
    <col min="18" max="18" width="13" style="40" customWidth="1"/>
    <col min="19" max="20" width="9.42578125" style="40" customWidth="1"/>
    <col min="21" max="22" width="10.85546875" style="40" customWidth="1"/>
    <col min="23" max="26" width="9" style="40" customWidth="1"/>
    <col min="27" max="27" width="14.140625" style="112" customWidth="1"/>
    <col min="28" max="28" width="17.5703125" style="3" customWidth="1"/>
    <col min="29" max="29" width="32.7109375" style="3" customWidth="1"/>
    <col min="30" max="30" width="8.140625" style="3" customWidth="1"/>
    <col min="31" max="33" width="32.7109375" style="3" hidden="1" customWidth="1"/>
    <col min="34" max="34" width="71.5703125" style="3" customWidth="1"/>
    <col min="35" max="36" width="8" style="3" customWidth="1"/>
    <col min="37" max="38" width="11.5703125" style="3" customWidth="1"/>
    <col min="39" max="39" width="12.85546875" style="3" customWidth="1"/>
    <col min="40" max="40" width="11.5703125" style="3" customWidth="1"/>
    <col min="41" max="41" width="13.85546875" style="3" customWidth="1"/>
    <col min="42" max="42" width="11.5703125" style="3" customWidth="1"/>
    <col min="43" max="43" width="11.7109375" style="3" customWidth="1"/>
    <col min="44" max="44" width="12.140625" style="3" customWidth="1"/>
    <col min="45" max="45" width="10.28515625" style="3" bestFit="1" customWidth="1"/>
    <col min="46" max="46" width="12" style="3" customWidth="1"/>
    <col min="47" max="47" width="15.5703125" style="3" customWidth="1"/>
    <col min="48" max="16384" width="9.140625" style="3"/>
  </cols>
  <sheetData>
    <row r="1" spans="1:40">
      <c r="A1" s="127" t="s">
        <v>89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"/>
      <c r="AC1" s="2"/>
      <c r="AD1" s="2"/>
      <c r="AE1" s="2"/>
      <c r="AF1" s="2"/>
      <c r="AG1" s="2"/>
    </row>
    <row r="2" spans="1:40" s="5" customFormat="1" ht="15.75">
      <c r="A2" s="128" t="s">
        <v>90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4"/>
      <c r="AC2" s="113"/>
      <c r="AD2" s="113"/>
      <c r="AE2" s="113"/>
      <c r="AF2" s="113"/>
      <c r="AG2" s="113"/>
    </row>
    <row r="3" spans="1:40" ht="2.4500000000000002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118"/>
      <c r="W3" s="7"/>
      <c r="X3" s="7"/>
      <c r="Y3" s="7"/>
      <c r="Z3" s="7"/>
      <c r="AA3" s="101"/>
      <c r="AB3" s="8"/>
      <c r="AC3" s="8"/>
      <c r="AD3" s="8"/>
      <c r="AE3" s="8"/>
      <c r="AF3" s="8"/>
      <c r="AG3" s="8"/>
      <c r="AH3" s="9"/>
      <c r="AI3" s="8"/>
    </row>
    <row r="4" spans="1:40" ht="13.9" customHeight="1">
      <c r="A4" s="129" t="s">
        <v>0</v>
      </c>
      <c r="B4" s="10" t="s">
        <v>1</v>
      </c>
      <c r="C4" s="10" t="s">
        <v>1</v>
      </c>
      <c r="D4" s="10" t="s">
        <v>1</v>
      </c>
      <c r="E4" s="135" t="s">
        <v>1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6"/>
      <c r="S4" s="124" t="s">
        <v>2</v>
      </c>
      <c r="T4" s="125"/>
      <c r="U4" s="125"/>
      <c r="V4" s="126"/>
      <c r="W4" s="139" t="s">
        <v>3</v>
      </c>
      <c r="X4" s="140"/>
      <c r="Y4" s="140"/>
      <c r="Z4" s="140"/>
      <c r="AA4" s="132" t="s">
        <v>4</v>
      </c>
      <c r="AB4" s="8"/>
      <c r="AC4" s="8"/>
      <c r="AD4" s="8"/>
      <c r="AE4" s="8"/>
      <c r="AF4" s="8"/>
      <c r="AG4" s="8"/>
      <c r="AH4" s="9"/>
      <c r="AI4" s="8"/>
    </row>
    <row r="5" spans="1:40" s="12" customFormat="1" ht="15" customHeight="1">
      <c r="A5" s="130"/>
      <c r="B5" s="11" t="s">
        <v>5</v>
      </c>
      <c r="C5" s="11" t="s">
        <v>5</v>
      </c>
      <c r="D5" s="11" t="s">
        <v>5</v>
      </c>
      <c r="E5" s="137" t="s">
        <v>6</v>
      </c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8"/>
      <c r="S5" s="121" t="s">
        <v>7</v>
      </c>
      <c r="T5" s="122"/>
      <c r="U5" s="122"/>
      <c r="V5" s="123"/>
      <c r="W5" s="119" t="s">
        <v>8</v>
      </c>
      <c r="X5" s="120"/>
      <c r="Y5" s="120"/>
      <c r="Z5" s="120"/>
      <c r="AA5" s="133"/>
      <c r="AB5" s="8"/>
      <c r="AC5" s="8"/>
      <c r="AD5" s="8"/>
      <c r="AE5" s="8"/>
      <c r="AF5" s="8"/>
      <c r="AG5" s="8"/>
      <c r="AH5" s="9"/>
      <c r="AI5" s="8"/>
    </row>
    <row r="6" spans="1:40" s="12" customFormat="1" ht="14.45" customHeight="1">
      <c r="A6" s="131"/>
      <c r="B6" s="13">
        <v>2003</v>
      </c>
      <c r="C6" s="13"/>
      <c r="D6" s="13">
        <v>2005</v>
      </c>
      <c r="E6" s="14">
        <v>2006</v>
      </c>
      <c r="F6" s="14">
        <v>2007</v>
      </c>
      <c r="G6" s="14">
        <v>2008</v>
      </c>
      <c r="H6" s="14">
        <v>2009</v>
      </c>
      <c r="I6" s="14">
        <v>2010</v>
      </c>
      <c r="J6" s="14">
        <v>2011</v>
      </c>
      <c r="K6" s="14">
        <v>2012</v>
      </c>
      <c r="L6" s="14">
        <v>2013</v>
      </c>
      <c r="M6" s="14">
        <v>2014</v>
      </c>
      <c r="N6" s="15">
        <v>2015</v>
      </c>
      <c r="O6" s="15">
        <v>2016</v>
      </c>
      <c r="P6" s="14">
        <v>2017</v>
      </c>
      <c r="Q6" s="15">
        <v>2018</v>
      </c>
      <c r="R6" s="100">
        <v>2019</v>
      </c>
      <c r="S6" s="16">
        <v>2016</v>
      </c>
      <c r="T6" s="16">
        <v>2017</v>
      </c>
      <c r="U6" s="16">
        <v>2018</v>
      </c>
      <c r="V6" s="16">
        <v>2019</v>
      </c>
      <c r="W6" s="96">
        <v>2016</v>
      </c>
      <c r="X6" s="97">
        <v>2017</v>
      </c>
      <c r="Y6" s="97">
        <v>2018</v>
      </c>
      <c r="Z6" s="97">
        <v>2019</v>
      </c>
      <c r="AA6" s="134"/>
      <c r="AB6" s="17"/>
      <c r="AC6" s="8"/>
      <c r="AD6" s="8"/>
      <c r="AE6" s="8"/>
      <c r="AF6" s="8"/>
      <c r="AG6" s="8"/>
      <c r="AH6" s="18"/>
      <c r="AI6" s="17"/>
    </row>
    <row r="7" spans="1:40" s="12" customFormat="1" ht="16.5">
      <c r="A7" s="114" t="s">
        <v>9</v>
      </c>
      <c r="B7" s="19">
        <v>6586499.69759</v>
      </c>
      <c r="C7" s="19"/>
      <c r="D7" s="19">
        <v>9534267.6950000003</v>
      </c>
      <c r="E7" s="19">
        <v>11859520.142799899</v>
      </c>
      <c r="F7" s="19">
        <v>14032514.138460003</v>
      </c>
      <c r="G7" s="19">
        <v>17760114.4463</v>
      </c>
      <c r="H7" s="19">
        <v>12368528.392270003</v>
      </c>
      <c r="I7" s="19">
        <v>14017488.443949997</v>
      </c>
      <c r="J7" s="19">
        <f t="shared" ref="J7:N7" si="0">SUM(J8+J18+J28+J33+J39+J44)</f>
        <v>20486216.653159894</v>
      </c>
      <c r="K7" s="19">
        <f t="shared" si="0"/>
        <v>23884653.941069901</v>
      </c>
      <c r="L7" s="19">
        <f t="shared" si="0"/>
        <v>26634885.396759901</v>
      </c>
      <c r="M7" s="19">
        <f t="shared" si="0"/>
        <v>30649233.308269795</v>
      </c>
      <c r="N7" s="19">
        <f t="shared" si="0"/>
        <v>29147779.394450299</v>
      </c>
      <c r="O7" s="19">
        <f>SUM(O8+O18+O28+O33+O39+O44)</f>
        <v>32705613.741919942</v>
      </c>
      <c r="P7" s="19">
        <f>SUM(P8+P18+P28+P33+P39+P44)</f>
        <v>36319895.400504716</v>
      </c>
      <c r="Q7" s="19">
        <f>SUM(Q8+Q18+Q28+Q33+Q39+Q44)</f>
        <v>45572679.692879952</v>
      </c>
      <c r="R7" s="20">
        <f>SUM(R8+R18+R28+R33+R39+R44)</f>
        <v>44419161.239239857</v>
      </c>
      <c r="S7" s="21">
        <f>O7/$O$7*100</f>
        <v>100</v>
      </c>
      <c r="T7" s="21">
        <f>P7/$P$7*100</f>
        <v>100</v>
      </c>
      <c r="U7" s="21">
        <f>Q7/$Q$7*100</f>
        <v>100</v>
      </c>
      <c r="V7" s="21">
        <f>R7/$R$7*100</f>
        <v>100</v>
      </c>
      <c r="W7" s="95">
        <f>((O7-N7)/N7)*100</f>
        <v>12.206193478145542</v>
      </c>
      <c r="X7" s="21">
        <f t="shared" ref="W7:Z46" si="1">((P7-O7)/O7)*100</f>
        <v>11.050951946980959</v>
      </c>
      <c r="Y7" s="21">
        <f>((Q7-P7)/P7)*100</f>
        <v>25.475801046075304</v>
      </c>
      <c r="Z7" s="21">
        <f>((R7-Q7)/Q7)*100</f>
        <v>-2.5311622257321766</v>
      </c>
      <c r="AA7" s="102" t="s">
        <v>10</v>
      </c>
      <c r="AC7" s="8"/>
      <c r="AD7" s="8"/>
      <c r="AE7" s="8"/>
      <c r="AF7" s="8"/>
      <c r="AG7" s="8"/>
      <c r="AH7" s="18"/>
      <c r="AI7" s="17"/>
    </row>
    <row r="8" spans="1:40" s="24" customFormat="1" ht="16.5">
      <c r="A8" s="22" t="s">
        <v>11</v>
      </c>
      <c r="B8" s="23">
        <v>724457.13007999992</v>
      </c>
      <c r="C8" s="23"/>
      <c r="D8" s="23">
        <v>1441890.93512</v>
      </c>
      <c r="E8" s="23">
        <v>1106065.2204400001</v>
      </c>
      <c r="F8" s="23">
        <v>1320324.3924799999</v>
      </c>
      <c r="G8" s="23">
        <v>2139499.76682</v>
      </c>
      <c r="H8" s="19">
        <v>1271439.8798300002</v>
      </c>
      <c r="I8" s="19">
        <f t="shared" ref="I8:N8" si="2">SUM(I9:I17)</f>
        <v>1269415.9607500001</v>
      </c>
      <c r="J8" s="19">
        <f t="shared" si="2"/>
        <v>1953616.7700399999</v>
      </c>
      <c r="K8" s="19">
        <f t="shared" si="2"/>
        <v>1784234.5454200001</v>
      </c>
      <c r="L8" s="19">
        <f>SUM(L9:L17)</f>
        <v>2835607.2793399999</v>
      </c>
      <c r="M8" s="19">
        <f>SUM(M9:M17)</f>
        <v>2808402.624220001</v>
      </c>
      <c r="N8" s="19">
        <f t="shared" si="2"/>
        <v>3223794.6392099997</v>
      </c>
      <c r="O8" s="19">
        <f t="shared" ref="O8:Q8" si="3">SUM(O9:O17)</f>
        <v>3015259.4051899994</v>
      </c>
      <c r="P8" s="19">
        <f t="shared" si="3"/>
        <v>3401410.9120900016</v>
      </c>
      <c r="Q8" s="19">
        <f t="shared" si="3"/>
        <v>4681844.5684999963</v>
      </c>
      <c r="R8" s="20">
        <f t="shared" ref="R8" si="4">SUM(R9:R17)</f>
        <v>4918709.4611999961</v>
      </c>
      <c r="S8" s="21">
        <f t="shared" ref="S8:S48" si="5">O8/$O$7*100</f>
        <v>9.2193940434306381</v>
      </c>
      <c r="T8" s="21">
        <f t="shared" ref="T8:T48" si="6">P8/$P$7*100</f>
        <v>9.365145121102783</v>
      </c>
      <c r="U8" s="21">
        <f>Q8/$Q$7*100</f>
        <v>10.273358073414903</v>
      </c>
      <c r="V8" s="115">
        <f>R8/$R$7*100</f>
        <v>11.073395633717666</v>
      </c>
      <c r="W8" s="95">
        <f t="shared" si="1"/>
        <v>-6.4686264901508261</v>
      </c>
      <c r="X8" s="21">
        <f t="shared" si="1"/>
        <v>12.80657664927074</v>
      </c>
      <c r="Y8" s="21">
        <f t="shared" si="1"/>
        <v>37.644192057443313</v>
      </c>
      <c r="Z8" s="21">
        <f>((R8-Q8)/Q8)*100</f>
        <v>5.0592216216158636</v>
      </c>
      <c r="AA8" s="103" t="s">
        <v>12</v>
      </c>
      <c r="AC8" s="25"/>
      <c r="AD8" s="25"/>
      <c r="AE8" s="25"/>
      <c r="AF8" s="25"/>
      <c r="AG8" s="25"/>
      <c r="AH8" s="9"/>
      <c r="AI8" s="8"/>
    </row>
    <row r="9" spans="1:40" s="32" customFormat="1" ht="17.25">
      <c r="A9" s="26" t="s">
        <v>13</v>
      </c>
      <c r="B9" s="27">
        <v>136401.53137000001</v>
      </c>
      <c r="C9" s="27"/>
      <c r="D9" s="27">
        <v>166814.68523</v>
      </c>
      <c r="E9" s="27">
        <v>107575.10868</v>
      </c>
      <c r="F9" s="27">
        <v>100035.64253</v>
      </c>
      <c r="G9" s="27">
        <v>829764.09751999995</v>
      </c>
      <c r="H9" s="27">
        <v>105515.62663000001</v>
      </c>
      <c r="I9" s="27">
        <v>109553.65775</v>
      </c>
      <c r="J9" s="27">
        <f>150881815.36/1000</f>
        <v>150881.81536000001</v>
      </c>
      <c r="K9" s="28">
        <v>134476.43052000002</v>
      </c>
      <c r="L9" s="28">
        <v>172661.92727000001</v>
      </c>
      <c r="M9" s="28">
        <v>273576.47266999999</v>
      </c>
      <c r="N9" s="29">
        <v>278266.20718999999</v>
      </c>
      <c r="O9" s="29">
        <v>350116.56005999958</v>
      </c>
      <c r="P9" s="29">
        <v>321632.76900000044</v>
      </c>
      <c r="Q9" s="29">
        <v>361246.33152999979</v>
      </c>
      <c r="R9" s="116">
        <v>258177.02838000015</v>
      </c>
      <c r="S9" s="115">
        <f t="shared" si="5"/>
        <v>1.070509065577457</v>
      </c>
      <c r="T9" s="115">
        <f t="shared" si="6"/>
        <v>0.88555532843173024</v>
      </c>
      <c r="U9" s="115">
        <f t="shared" ref="U9:U48" si="7">Q9/$Q$7*100</f>
        <v>0.79268178646611176</v>
      </c>
      <c r="V9" s="115">
        <f t="shared" ref="V9:V48" si="8">R9/$R$7*100</f>
        <v>0.58122895880331649</v>
      </c>
      <c r="W9" s="94">
        <f t="shared" si="1"/>
        <v>25.82072526720437</v>
      </c>
      <c r="X9" s="115">
        <f t="shared" si="1"/>
        <v>-8.1355166562580958</v>
      </c>
      <c r="Y9" s="115">
        <f t="shared" si="1"/>
        <v>12.316395077890618</v>
      </c>
      <c r="Z9" s="115">
        <f>((R9-Q9)/Q9)*100</f>
        <v>-28.531584725986409</v>
      </c>
      <c r="AA9" s="104" t="s">
        <v>14</v>
      </c>
      <c r="AB9" s="30"/>
      <c r="AC9" s="31"/>
      <c r="AD9" s="31"/>
      <c r="AE9" s="31"/>
      <c r="AF9" s="31"/>
      <c r="AG9" s="31"/>
      <c r="AH9" s="9"/>
      <c r="AI9" s="8"/>
    </row>
    <row r="10" spans="1:40" s="32" customFormat="1" ht="16.5">
      <c r="A10" s="26" t="s">
        <v>15</v>
      </c>
      <c r="B10" s="27">
        <v>82463.79522</v>
      </c>
      <c r="C10" s="27"/>
      <c r="D10" s="27">
        <v>190737.38425</v>
      </c>
      <c r="E10" s="27">
        <v>196490.89924999999</v>
      </c>
      <c r="F10" s="27">
        <v>304602.41211000003</v>
      </c>
      <c r="G10" s="27">
        <v>347383.85016000003</v>
      </c>
      <c r="H10" s="27">
        <v>243452.74146000002</v>
      </c>
      <c r="I10" s="27">
        <v>258037.49448000002</v>
      </c>
      <c r="J10" s="27">
        <f>362329722.38/1000</f>
        <v>362329.72237999999</v>
      </c>
      <c r="K10" s="28">
        <v>439681.96124000003</v>
      </c>
      <c r="L10" s="28">
        <v>460973.95533999999</v>
      </c>
      <c r="M10" s="28">
        <v>535616.37011999998</v>
      </c>
      <c r="N10" s="29">
        <v>548547.2790499999</v>
      </c>
      <c r="O10" s="29">
        <v>794346.21262000047</v>
      </c>
      <c r="P10" s="29">
        <v>860260.4703600026</v>
      </c>
      <c r="Q10" s="29">
        <v>853110.38708999881</v>
      </c>
      <c r="R10" s="116">
        <v>975305.8839200004</v>
      </c>
      <c r="S10" s="115">
        <f t="shared" si="5"/>
        <v>2.4287763528554698</v>
      </c>
      <c r="T10" s="115">
        <f t="shared" si="6"/>
        <v>2.3685653850975794</v>
      </c>
      <c r="U10" s="115">
        <f t="shared" si="7"/>
        <v>1.8719776691632299</v>
      </c>
      <c r="V10" s="115">
        <f t="shared" si="8"/>
        <v>2.1956873041051836</v>
      </c>
      <c r="W10" s="94">
        <f t="shared" si="1"/>
        <v>44.809069875560553</v>
      </c>
      <c r="X10" s="115">
        <f t="shared" si="1"/>
        <v>8.2979256013063161</v>
      </c>
      <c r="Y10" s="115">
        <f t="shared" si="1"/>
        <v>-0.83115329790890113</v>
      </c>
      <c r="Z10" s="115">
        <f t="shared" si="1"/>
        <v>14.323527022899862</v>
      </c>
      <c r="AA10" s="105" t="s">
        <v>16</v>
      </c>
      <c r="AB10" s="25"/>
      <c r="AC10" s="31"/>
      <c r="AD10" s="31"/>
      <c r="AE10" s="31"/>
      <c r="AF10" s="31"/>
      <c r="AG10" s="31"/>
      <c r="AH10" s="9"/>
      <c r="AI10" s="8"/>
    </row>
    <row r="11" spans="1:40" s="32" customFormat="1" ht="16.5">
      <c r="A11" s="26" t="s">
        <v>17</v>
      </c>
      <c r="B11" s="27">
        <v>79914.145209999988</v>
      </c>
      <c r="C11" s="27"/>
      <c r="D11" s="27">
        <v>136538.31840000002</v>
      </c>
      <c r="E11" s="27">
        <v>150367.81219</v>
      </c>
      <c r="F11" s="27">
        <v>236312.23746999999</v>
      </c>
      <c r="G11" s="27">
        <v>214078.53977999999</v>
      </c>
      <c r="H11" s="27">
        <v>139228.73364000002</v>
      </c>
      <c r="I11" s="27">
        <v>186750.47189000002</v>
      </c>
      <c r="J11" s="27">
        <f>335039908.18/1000</f>
        <v>335039.90818000003</v>
      </c>
      <c r="K11" s="28">
        <v>240456.63500000001</v>
      </c>
      <c r="L11" s="28">
        <v>374995.01955000003</v>
      </c>
      <c r="M11" s="28">
        <v>455115.17531000002</v>
      </c>
      <c r="N11" s="29">
        <v>360806.4706</v>
      </c>
      <c r="O11" s="29">
        <v>516282.92729000002</v>
      </c>
      <c r="P11" s="29">
        <v>535528.10026999866</v>
      </c>
      <c r="Q11" s="29">
        <v>722838.40423999797</v>
      </c>
      <c r="R11" s="116">
        <v>679481.92537999758</v>
      </c>
      <c r="S11" s="115">
        <f t="shared" si="5"/>
        <v>1.5785758719099101</v>
      </c>
      <c r="T11" s="115">
        <f t="shared" si="6"/>
        <v>1.4744758881176645</v>
      </c>
      <c r="U11" s="115">
        <f t="shared" si="7"/>
        <v>1.5861222318092709</v>
      </c>
      <c r="V11" s="115">
        <f t="shared" si="8"/>
        <v>1.5297045383642762</v>
      </c>
      <c r="W11" s="94">
        <f t="shared" si="1"/>
        <v>43.091371513224743</v>
      </c>
      <c r="X11" s="115">
        <f t="shared" si="1"/>
        <v>3.7276407881658415</v>
      </c>
      <c r="Y11" s="115">
        <f t="shared" si="1"/>
        <v>34.97674610829246</v>
      </c>
      <c r="Z11" s="115">
        <f t="shared" si="1"/>
        <v>-5.9980873464499949</v>
      </c>
      <c r="AA11" s="105" t="s">
        <v>18</v>
      </c>
      <c r="AB11" s="31"/>
      <c r="AC11" s="31"/>
      <c r="AD11" s="31"/>
      <c r="AE11" s="31"/>
      <c r="AF11" s="31"/>
      <c r="AG11" s="31"/>
      <c r="AH11" s="9"/>
      <c r="AI11" s="8"/>
      <c r="AM11" s="32">
        <f>SUM(AM12:AM17)</f>
        <v>44419161.239239849</v>
      </c>
    </row>
    <row r="12" spans="1:40" s="32" customFormat="1" ht="17.25">
      <c r="A12" s="26" t="s">
        <v>19</v>
      </c>
      <c r="B12" s="27">
        <v>106025.40062</v>
      </c>
      <c r="C12" s="27"/>
      <c r="D12" s="27">
        <v>429205.17752999999</v>
      </c>
      <c r="E12" s="27">
        <v>184523.74211000002</v>
      </c>
      <c r="F12" s="27">
        <v>205801.33356</v>
      </c>
      <c r="G12" s="27">
        <v>206321.26871999999</v>
      </c>
      <c r="H12" s="27">
        <v>134215.62637000001</v>
      </c>
      <c r="I12" s="27">
        <v>127222.53084000001</v>
      </c>
      <c r="J12" s="27">
        <f>222389711.31/1000</f>
        <v>222389.71131000001</v>
      </c>
      <c r="K12" s="28">
        <v>259979.83046</v>
      </c>
      <c r="L12" s="28">
        <v>247282.44167999999</v>
      </c>
      <c r="M12" s="28">
        <v>415653.08711999998</v>
      </c>
      <c r="N12" s="29">
        <v>273174.27286999999</v>
      </c>
      <c r="O12" s="29">
        <v>296807.87488000002</v>
      </c>
      <c r="P12" s="29">
        <v>286104.1470600001</v>
      </c>
      <c r="Q12" s="29">
        <v>518317.78193999926</v>
      </c>
      <c r="R12" s="116">
        <v>452795.27419000032</v>
      </c>
      <c r="S12" s="115">
        <f t="shared" si="5"/>
        <v>0.90751354560141118</v>
      </c>
      <c r="T12" s="115">
        <f t="shared" si="6"/>
        <v>0.78773395106205157</v>
      </c>
      <c r="U12" s="115">
        <f t="shared" si="7"/>
        <v>1.137343218421669</v>
      </c>
      <c r="V12" s="115">
        <f t="shared" si="8"/>
        <v>1.0193692576752245</v>
      </c>
      <c r="W12" s="94">
        <f t="shared" si="1"/>
        <v>8.6514742994289762</v>
      </c>
      <c r="X12" s="115">
        <f t="shared" si="1"/>
        <v>-3.6062816137636005</v>
      </c>
      <c r="Y12" s="115">
        <f t="shared" si="1"/>
        <v>81.164022705095789</v>
      </c>
      <c r="Z12" s="115">
        <f t="shared" si="1"/>
        <v>-12.641377555050553</v>
      </c>
      <c r="AA12" s="105" t="s">
        <v>20</v>
      </c>
      <c r="AB12" s="31"/>
      <c r="AC12" s="31"/>
      <c r="AD12" s="31"/>
      <c r="AE12" s="31"/>
      <c r="AF12" s="31"/>
      <c r="AG12" s="31"/>
      <c r="AH12" s="9"/>
      <c r="AI12" s="8"/>
      <c r="AK12" s="3" t="s">
        <v>21</v>
      </c>
      <c r="AL12" s="33">
        <f>AM12/AM11*100</f>
        <v>60.902422371613575</v>
      </c>
      <c r="AM12" s="32">
        <f>R18</f>
        <v>27052345.191849913</v>
      </c>
      <c r="AN12" s="34">
        <f>AM12/AM11*100</f>
        <v>60.902422371613575</v>
      </c>
    </row>
    <row r="13" spans="1:40" s="32" customFormat="1" ht="17.25">
      <c r="A13" s="26" t="s">
        <v>22</v>
      </c>
      <c r="B13" s="27">
        <v>158553.14367000002</v>
      </c>
      <c r="C13" s="27"/>
      <c r="D13" s="27">
        <v>208078.34687000001</v>
      </c>
      <c r="E13" s="27">
        <v>216659.44318999999</v>
      </c>
      <c r="F13" s="27">
        <v>150619.15311000001</v>
      </c>
      <c r="G13" s="27">
        <v>191459.60828000001</v>
      </c>
      <c r="H13" s="27">
        <v>196518.49884000001</v>
      </c>
      <c r="I13" s="27">
        <v>146634.50446</v>
      </c>
      <c r="J13" s="27">
        <f>163724015.74/1000</f>
        <v>163724.01574</v>
      </c>
      <c r="K13" s="28">
        <v>244245.91387000002</v>
      </c>
      <c r="L13" s="28">
        <v>525415.29803000006</v>
      </c>
      <c r="M13" s="28">
        <v>270801.66201999999</v>
      </c>
      <c r="N13" s="29">
        <v>277462.37716999999</v>
      </c>
      <c r="O13" s="29">
        <v>268499.32834999979</v>
      </c>
      <c r="P13" s="29">
        <v>360506.93283000012</v>
      </c>
      <c r="Q13" s="29">
        <v>398064.65791000024</v>
      </c>
      <c r="R13" s="116">
        <v>715893.15832000109</v>
      </c>
      <c r="S13" s="115">
        <f t="shared" si="5"/>
        <v>0.82095792627139941</v>
      </c>
      <c r="T13" s="115">
        <f t="shared" si="6"/>
        <v>0.99258802607947594</v>
      </c>
      <c r="U13" s="115">
        <f t="shared" si="7"/>
        <v>0.87347213416592628</v>
      </c>
      <c r="V13" s="115">
        <f t="shared" si="8"/>
        <v>1.6116764440107925</v>
      </c>
      <c r="W13" s="94">
        <f t="shared" si="1"/>
        <v>-3.230365468435592</v>
      </c>
      <c r="X13" s="115">
        <f t="shared" si="1"/>
        <v>34.267349957786365</v>
      </c>
      <c r="Y13" s="115">
        <f t="shared" si="1"/>
        <v>10.418031294202811</v>
      </c>
      <c r="Z13" s="115">
        <f t="shared" si="1"/>
        <v>79.843436008292841</v>
      </c>
      <c r="AA13" s="105" t="s">
        <v>23</v>
      </c>
      <c r="AB13" s="31"/>
      <c r="AC13" s="35"/>
      <c r="AD13" s="35"/>
      <c r="AE13" s="35"/>
      <c r="AF13" s="35"/>
      <c r="AG13" s="35"/>
      <c r="AH13" s="9"/>
      <c r="AI13" s="8"/>
      <c r="AK13" s="3" t="s">
        <v>24</v>
      </c>
      <c r="AL13" s="33">
        <f>AM13/AM11*100</f>
        <v>20.855224681159434</v>
      </c>
      <c r="AM13" s="32">
        <f>R39</f>
        <v>9263715.8779299539</v>
      </c>
      <c r="AN13" s="34">
        <f>AM13/AM11*100</f>
        <v>20.855224681159434</v>
      </c>
    </row>
    <row r="14" spans="1:40" s="32" customFormat="1" ht="17.25">
      <c r="A14" s="26" t="s">
        <v>25</v>
      </c>
      <c r="B14" s="27">
        <v>32158.30413</v>
      </c>
      <c r="C14" s="27"/>
      <c r="D14" s="27">
        <v>100660.22996</v>
      </c>
      <c r="E14" s="27">
        <v>37362.967770000003</v>
      </c>
      <c r="F14" s="27">
        <v>42668.077960000002</v>
      </c>
      <c r="G14" s="27">
        <v>76458.093740000011</v>
      </c>
      <c r="H14" s="27">
        <v>166075.46039000002</v>
      </c>
      <c r="I14" s="27">
        <v>194611.14475000001</v>
      </c>
      <c r="J14" s="27">
        <f>336609951.1/1000</f>
        <v>336609.95110000001</v>
      </c>
      <c r="K14" s="28">
        <v>67517.055099999998</v>
      </c>
      <c r="L14" s="28">
        <v>90687.673569999999</v>
      </c>
      <c r="M14" s="28">
        <v>71769.403969999999</v>
      </c>
      <c r="N14" s="29">
        <v>73305.095239999995</v>
      </c>
      <c r="O14" s="29">
        <v>102611.90746000005</v>
      </c>
      <c r="P14" s="29">
        <v>83187.915789999926</v>
      </c>
      <c r="Q14" s="29">
        <v>85946.824929999973</v>
      </c>
      <c r="R14" s="116">
        <v>90092.507369999905</v>
      </c>
      <c r="S14" s="115">
        <f t="shared" si="5"/>
        <v>0.31374402042936972</v>
      </c>
      <c r="T14" s="115">
        <f t="shared" si="6"/>
        <v>0.22904227799302504</v>
      </c>
      <c r="U14" s="115">
        <f t="shared" si="7"/>
        <v>0.18859287079277867</v>
      </c>
      <c r="V14" s="115">
        <f t="shared" si="8"/>
        <v>0.2028235222289885</v>
      </c>
      <c r="W14" s="94">
        <f t="shared" si="1"/>
        <v>39.97922944380592</v>
      </c>
      <c r="X14" s="115">
        <f t="shared" si="1"/>
        <v>-18.929568849085022</v>
      </c>
      <c r="Y14" s="115">
        <f t="shared" si="1"/>
        <v>3.3164782574486589</v>
      </c>
      <c r="Z14" s="115">
        <f t="shared" si="1"/>
        <v>4.8235434448874788</v>
      </c>
      <c r="AA14" s="105" t="s">
        <v>26</v>
      </c>
      <c r="AB14" s="31"/>
      <c r="AC14" s="35"/>
      <c r="AD14" s="35"/>
      <c r="AE14" s="35"/>
      <c r="AF14" s="35"/>
      <c r="AG14" s="35"/>
      <c r="AH14" s="9"/>
      <c r="AI14" s="8"/>
      <c r="AK14" s="3" t="s">
        <v>11</v>
      </c>
      <c r="AL14" s="33">
        <f>AM14/AM11*100</f>
        <v>11.073395633717666</v>
      </c>
      <c r="AM14" s="32">
        <f>R8</f>
        <v>4918709.4611999961</v>
      </c>
      <c r="AN14" s="34">
        <f>AM14/AM11*100</f>
        <v>11.073395633717666</v>
      </c>
    </row>
    <row r="15" spans="1:40" s="32" customFormat="1" ht="18">
      <c r="A15" s="26" t="s">
        <v>27</v>
      </c>
      <c r="B15" s="27">
        <v>34414.419750000001</v>
      </c>
      <c r="C15" s="27"/>
      <c r="D15" s="27">
        <v>44604.329680000003</v>
      </c>
      <c r="E15" s="27">
        <v>58294.127740000004</v>
      </c>
      <c r="F15" s="27">
        <v>49105.857760000006</v>
      </c>
      <c r="G15" s="27">
        <v>73197.093709999986</v>
      </c>
      <c r="H15" s="27">
        <v>77928.116800000018</v>
      </c>
      <c r="I15" s="27">
        <v>64299.370869999999</v>
      </c>
      <c r="J15" s="27">
        <f>177466597.28/1000</f>
        <v>177466.59727999999</v>
      </c>
      <c r="K15" s="28">
        <v>118200.86898</v>
      </c>
      <c r="L15" s="28">
        <v>105685.85463000002</v>
      </c>
      <c r="M15" s="28">
        <v>118754.73579999999</v>
      </c>
      <c r="N15" s="29">
        <v>123172.79869</v>
      </c>
      <c r="O15" s="29">
        <v>82213.398739999859</v>
      </c>
      <c r="P15" s="29">
        <v>238402.14973000012</v>
      </c>
      <c r="Q15" s="29">
        <v>119412.02202000005</v>
      </c>
      <c r="R15" s="116">
        <v>210513.69507999951</v>
      </c>
      <c r="S15" s="115">
        <f t="shared" si="5"/>
        <v>0.2513739671383205</v>
      </c>
      <c r="T15" s="115">
        <f t="shared" si="6"/>
        <v>0.65639547443929913</v>
      </c>
      <c r="U15" s="115">
        <f t="shared" si="7"/>
        <v>0.26202545653389875</v>
      </c>
      <c r="V15" s="115">
        <f t="shared" si="8"/>
        <v>0.47392541688525147</v>
      </c>
      <c r="W15" s="94">
        <f t="shared" si="1"/>
        <v>-33.253608252489514</v>
      </c>
      <c r="X15" s="115">
        <f t="shared" si="1"/>
        <v>189.97967896199947</v>
      </c>
      <c r="Y15" s="115">
        <f t="shared" si="1"/>
        <v>-49.911516253004059</v>
      </c>
      <c r="Z15" s="115">
        <f t="shared" si="1"/>
        <v>76.29187708147262</v>
      </c>
      <c r="AA15" s="104" t="s">
        <v>28</v>
      </c>
      <c r="AB15" s="35"/>
      <c r="AC15" s="35"/>
      <c r="AD15" s="35"/>
      <c r="AE15" s="35"/>
      <c r="AF15" s="35"/>
      <c r="AG15" s="35"/>
      <c r="AH15" s="9"/>
      <c r="AI15" s="8"/>
      <c r="AK15" s="3" t="s">
        <v>29</v>
      </c>
      <c r="AL15" s="33">
        <f>AM15/AM11*100</f>
        <v>3.5737010737557222</v>
      </c>
      <c r="AM15" s="32">
        <f>R33</f>
        <v>1587408.04216</v>
      </c>
      <c r="AN15" s="34">
        <f>AM15/AM11*100</f>
        <v>3.5737010737557222</v>
      </c>
    </row>
    <row r="16" spans="1:40" s="32" customFormat="1" ht="18">
      <c r="A16" s="26" t="s">
        <v>30</v>
      </c>
      <c r="B16" s="27">
        <v>32108.451100000002</v>
      </c>
      <c r="C16" s="27"/>
      <c r="D16" s="27">
        <v>60778.957690000003</v>
      </c>
      <c r="E16" s="27">
        <v>65929.243369999997</v>
      </c>
      <c r="F16" s="27">
        <v>77543.677979999993</v>
      </c>
      <c r="G16" s="27">
        <v>55937.214909999995</v>
      </c>
      <c r="H16" s="27">
        <v>62311.574630000003</v>
      </c>
      <c r="I16" s="27">
        <v>42785.74422</v>
      </c>
      <c r="J16" s="27">
        <f>43474775.69/1000</f>
        <v>43474.775689999995</v>
      </c>
      <c r="K16" s="28">
        <v>26341.798910000001</v>
      </c>
      <c r="L16" s="28">
        <v>30693.213379999997</v>
      </c>
      <c r="M16" s="28">
        <v>57184.735710000001</v>
      </c>
      <c r="N16" s="29">
        <v>40071.536820000001</v>
      </c>
      <c r="O16" s="29">
        <v>44038.661949999987</v>
      </c>
      <c r="P16" s="29">
        <v>58627.86942000001</v>
      </c>
      <c r="Q16" s="29">
        <v>85281.880310000226</v>
      </c>
      <c r="R16" s="116">
        <v>88329.118209999913</v>
      </c>
      <c r="S16" s="115">
        <f t="shared" si="5"/>
        <v>0.13465169098341695</v>
      </c>
      <c r="T16" s="115">
        <f t="shared" si="6"/>
        <v>0.16142081020196244</v>
      </c>
      <c r="U16" s="115">
        <f t="shared" si="7"/>
        <v>0.18713378472524678</v>
      </c>
      <c r="V16" s="115">
        <f t="shared" si="8"/>
        <v>0.19885363826269198</v>
      </c>
      <c r="W16" s="94">
        <f t="shared" si="1"/>
        <v>9.90010727020573</v>
      </c>
      <c r="X16" s="115">
        <f t="shared" si="1"/>
        <v>33.128180612217776</v>
      </c>
      <c r="Y16" s="115">
        <f t="shared" si="1"/>
        <v>45.463038574803818</v>
      </c>
      <c r="Z16" s="115">
        <f t="shared" si="1"/>
        <v>3.5731363906646481</v>
      </c>
      <c r="AA16" s="104" t="s">
        <v>31</v>
      </c>
      <c r="AB16" s="35"/>
      <c r="AC16" s="35"/>
      <c r="AD16" s="35"/>
      <c r="AE16" s="35"/>
      <c r="AF16" s="35"/>
      <c r="AG16" s="35"/>
      <c r="AH16" s="9"/>
      <c r="AI16" s="8"/>
      <c r="AK16" s="3" t="s">
        <v>32</v>
      </c>
      <c r="AL16" s="33">
        <f>AM16/AM11*100</f>
        <v>2.7193426063455899</v>
      </c>
      <c r="AM16" s="32">
        <f>R44</f>
        <v>1207909.1769599949</v>
      </c>
      <c r="AN16" s="34">
        <f>AM16/AM11*100</f>
        <v>2.7193426063455899</v>
      </c>
    </row>
    <row r="17" spans="1:47" s="32" customFormat="1" ht="17.25">
      <c r="A17" s="26" t="s">
        <v>33</v>
      </c>
      <c r="B17" s="27">
        <v>62417.939010000002</v>
      </c>
      <c r="C17" s="27"/>
      <c r="D17" s="27">
        <v>104473.50550999999</v>
      </c>
      <c r="E17" s="27">
        <v>88861.876140000008</v>
      </c>
      <c r="F17" s="27">
        <v>153636</v>
      </c>
      <c r="G17" s="27">
        <v>144900</v>
      </c>
      <c r="H17" s="27">
        <v>146193.50107000023</v>
      </c>
      <c r="I17" s="27">
        <v>139521.04149</v>
      </c>
      <c r="J17" s="27">
        <f>161700273/1000</f>
        <v>161700.27299999999</v>
      </c>
      <c r="K17" s="28">
        <v>253334.05133999998</v>
      </c>
      <c r="L17" s="28">
        <v>827211.89588999981</v>
      </c>
      <c r="M17" s="28">
        <v>609930.98150000069</v>
      </c>
      <c r="N17" s="29">
        <v>1248988.60158</v>
      </c>
      <c r="O17" s="29">
        <v>560342.53383999993</v>
      </c>
      <c r="P17" s="29">
        <v>657160.55762999994</v>
      </c>
      <c r="Q17" s="29">
        <v>1537626.27853</v>
      </c>
      <c r="R17" s="116">
        <v>1448120.8703499974</v>
      </c>
      <c r="S17" s="115">
        <f t="shared" si="5"/>
        <v>1.7132916026638849</v>
      </c>
      <c r="T17" s="115">
        <f t="shared" si="6"/>
        <v>1.8093679796799962</v>
      </c>
      <c r="U17" s="115">
        <f t="shared" si="7"/>
        <v>3.3740089213367699</v>
      </c>
      <c r="V17" s="115">
        <f t="shared" si="8"/>
        <v>3.2601265533819408</v>
      </c>
      <c r="W17" s="94">
        <f t="shared" si="1"/>
        <v>-55.136297230322725</v>
      </c>
      <c r="X17" s="115">
        <f t="shared" si="1"/>
        <v>17.278364204571592</v>
      </c>
      <c r="Y17" s="115">
        <f>((Q17-P17)/P17)*100</f>
        <v>133.98030522028489</v>
      </c>
      <c r="Z17" s="115">
        <f>((R17-Q17)/Q17)*100</f>
        <v>-5.8210118693842476</v>
      </c>
      <c r="AA17" s="105" t="s">
        <v>34</v>
      </c>
      <c r="AB17" s="35"/>
      <c r="AC17" s="35"/>
      <c r="AD17" s="35"/>
      <c r="AE17" s="35"/>
      <c r="AF17" s="35"/>
      <c r="AG17" s="35"/>
      <c r="AH17" s="9"/>
      <c r="AI17" s="8"/>
      <c r="AK17" s="3" t="s">
        <v>35</v>
      </c>
      <c r="AL17" s="33">
        <f>AM17/AM11*100</f>
        <v>0.87591363340803596</v>
      </c>
      <c r="AM17" s="32">
        <f>R28</f>
        <v>389073.48913999973</v>
      </c>
      <c r="AN17" s="34">
        <f>AM17/AM11*100</f>
        <v>0.87591363340803596</v>
      </c>
    </row>
    <row r="18" spans="1:47" s="24" customFormat="1" ht="16.5">
      <c r="A18" s="22" t="s">
        <v>21</v>
      </c>
      <c r="B18" s="36">
        <v>4789979.6218900001</v>
      </c>
      <c r="C18" s="36"/>
      <c r="D18" s="36">
        <v>5778714.4967500009</v>
      </c>
      <c r="E18" s="36">
        <v>7284404.1557199992</v>
      </c>
      <c r="F18" s="36">
        <v>8781740.9746300019</v>
      </c>
      <c r="G18" s="36">
        <v>10278304.038429998</v>
      </c>
      <c r="H18" s="37">
        <v>7386809.2728600018</v>
      </c>
      <c r="I18" s="37">
        <f t="shared" ref="I18:N18" si="9">SUM(I19:I27)</f>
        <v>7806511.88607</v>
      </c>
      <c r="J18" s="37">
        <f t="shared" si="9"/>
        <v>11814906.077949997</v>
      </c>
      <c r="K18" s="37">
        <f t="shared" si="9"/>
        <v>12533310.363019899</v>
      </c>
      <c r="L18" s="19">
        <f t="shared" si="9"/>
        <v>13437499.188479898</v>
      </c>
      <c r="M18" s="19">
        <f t="shared" si="9"/>
        <v>16672164.337829998</v>
      </c>
      <c r="N18" s="19">
        <f t="shared" si="9"/>
        <v>18172639.102940198</v>
      </c>
      <c r="O18" s="19">
        <f t="shared" ref="O18:Q18" si="10">SUM(O19:O27)</f>
        <v>21008469.988669999</v>
      </c>
      <c r="P18" s="19">
        <f t="shared" si="10"/>
        <v>22551008.430829685</v>
      </c>
      <c r="Q18" s="19">
        <f t="shared" si="10"/>
        <v>28143742.830659926</v>
      </c>
      <c r="R18" s="20">
        <f t="shared" ref="R18" si="11">SUM(R19:R27)</f>
        <v>27052345.191849913</v>
      </c>
      <c r="S18" s="21">
        <f t="shared" si="5"/>
        <v>64.235058098734584</v>
      </c>
      <c r="T18" s="21">
        <f t="shared" si="6"/>
        <v>62.089959737373881</v>
      </c>
      <c r="U18" s="21">
        <f t="shared" si="7"/>
        <v>61.755733962374315</v>
      </c>
      <c r="V18" s="21">
        <f t="shared" si="8"/>
        <v>60.902422371613561</v>
      </c>
      <c r="W18" s="95">
        <f t="shared" si="1"/>
        <v>15.60494801919543</v>
      </c>
      <c r="X18" s="21">
        <f t="shared" si="1"/>
        <v>7.342459698357791</v>
      </c>
      <c r="Y18" s="21">
        <f t="shared" si="1"/>
        <v>24.800373859043763</v>
      </c>
      <c r="Z18" s="21">
        <f t="shared" si="1"/>
        <v>-3.8779406327613208</v>
      </c>
      <c r="AA18" s="103" t="s">
        <v>36</v>
      </c>
      <c r="AB18" s="35"/>
      <c r="AC18" s="31"/>
      <c r="AD18" s="31"/>
      <c r="AE18" s="31"/>
      <c r="AF18" s="31"/>
      <c r="AG18" s="31"/>
      <c r="AH18" s="38"/>
      <c r="AI18" s="17"/>
    </row>
    <row r="19" spans="1:47" s="32" customFormat="1" ht="17.25">
      <c r="A19" s="26" t="s">
        <v>37</v>
      </c>
      <c r="B19" s="27">
        <v>2058825.3031799998</v>
      </c>
      <c r="C19" s="27"/>
      <c r="D19" s="27">
        <v>2300753.0155500001</v>
      </c>
      <c r="E19" s="27">
        <v>2831152.5099499999</v>
      </c>
      <c r="F19" s="27">
        <v>3162178.6187600004</v>
      </c>
      <c r="G19" s="27">
        <v>3783295.9766099998</v>
      </c>
      <c r="H19" s="27">
        <v>2648934.0382600003</v>
      </c>
      <c r="I19" s="27">
        <v>2511896.74804</v>
      </c>
      <c r="J19" s="27">
        <f>4419220096.15/1000</f>
        <v>4419220.0961499996</v>
      </c>
      <c r="K19" s="28">
        <v>4335055.8927199002</v>
      </c>
      <c r="L19" s="28">
        <v>4317731.6091099996</v>
      </c>
      <c r="M19" s="28">
        <v>5375629.1245200001</v>
      </c>
      <c r="N19" s="29">
        <v>4997145.7407799</v>
      </c>
      <c r="O19" s="29">
        <v>4692806.479680025</v>
      </c>
      <c r="P19" s="29">
        <v>4897768.0799900014</v>
      </c>
      <c r="Q19" s="29">
        <v>5681714.5460599717</v>
      </c>
      <c r="R19" s="116">
        <v>5453956.1766699832</v>
      </c>
      <c r="S19" s="115">
        <f t="shared" si="5"/>
        <v>14.348626864828068</v>
      </c>
      <c r="T19" s="115">
        <f t="shared" si="6"/>
        <v>13.485083109358129</v>
      </c>
      <c r="U19" s="115">
        <f t="shared" si="7"/>
        <v>12.467369889920374</v>
      </c>
      <c r="V19" s="115">
        <f t="shared" si="8"/>
        <v>12.278386229076208</v>
      </c>
      <c r="W19" s="94">
        <f t="shared" si="1"/>
        <v>-6.0902618592103943</v>
      </c>
      <c r="X19" s="115">
        <f t="shared" si="1"/>
        <v>4.3675698368868501</v>
      </c>
      <c r="Y19" s="115">
        <f t="shared" si="1"/>
        <v>16.006198196129588</v>
      </c>
      <c r="Z19" s="115">
        <f t="shared" si="1"/>
        <v>-4.0086204180730842</v>
      </c>
      <c r="AA19" s="105" t="s">
        <v>38</v>
      </c>
      <c r="AB19" s="35"/>
      <c r="AC19" s="31"/>
      <c r="AD19" s="31"/>
      <c r="AE19" s="31"/>
      <c r="AF19" s="31"/>
      <c r="AG19" s="31"/>
      <c r="AH19" s="9"/>
      <c r="AI19" s="8"/>
      <c r="AJ19" s="39"/>
      <c r="AO19" s="40"/>
      <c r="AP19" s="40"/>
    </row>
    <row r="20" spans="1:47" s="42" customFormat="1" ht="17.25">
      <c r="A20" s="26" t="s">
        <v>39</v>
      </c>
      <c r="B20" s="41">
        <v>611124.35650999995</v>
      </c>
      <c r="C20" s="27"/>
      <c r="D20" s="27">
        <v>1073465.95633</v>
      </c>
      <c r="E20" s="27">
        <v>1118267.45083</v>
      </c>
      <c r="F20" s="27">
        <v>1611406.2819400001</v>
      </c>
      <c r="G20" s="27">
        <v>1850507.2654899997</v>
      </c>
      <c r="H20" s="27">
        <v>1497094.1271800001</v>
      </c>
      <c r="I20" s="27">
        <v>1613259.4594099999</v>
      </c>
      <c r="J20" s="27">
        <f>2068717049.52/1000</f>
        <v>2068717.0495199999</v>
      </c>
      <c r="K20" s="28">
        <v>2269211.11155</v>
      </c>
      <c r="L20" s="28">
        <v>2366975.3489699997</v>
      </c>
      <c r="M20" s="28">
        <v>2623537.3411599998</v>
      </c>
      <c r="N20" s="29">
        <v>3482072.7142502</v>
      </c>
      <c r="O20" s="29">
        <v>4236536.1583699901</v>
      </c>
      <c r="P20" s="29">
        <v>4424615.0572196795</v>
      </c>
      <c r="Q20" s="29">
        <v>4412159.0999900065</v>
      </c>
      <c r="R20" s="116">
        <v>4466600.6893099882</v>
      </c>
      <c r="S20" s="115">
        <f t="shared" si="5"/>
        <v>12.953544280809112</v>
      </c>
      <c r="T20" s="115">
        <f t="shared" si="6"/>
        <v>12.182345264018005</v>
      </c>
      <c r="U20" s="115">
        <f t="shared" si="7"/>
        <v>9.6815880253785913</v>
      </c>
      <c r="V20" s="115">
        <f t="shared" si="8"/>
        <v>10.055571885414613</v>
      </c>
      <c r="W20" s="94">
        <f t="shared" si="1"/>
        <v>21.667078950769408</v>
      </c>
      <c r="X20" s="115">
        <f t="shared" si="1"/>
        <v>4.4394498670360196</v>
      </c>
      <c r="Y20" s="115">
        <f t="shared" si="1"/>
        <v>-0.28151504862210436</v>
      </c>
      <c r="Z20" s="115">
        <f t="shared" si="1"/>
        <v>1.2338990522827009</v>
      </c>
      <c r="AA20" s="105" t="s">
        <v>40</v>
      </c>
      <c r="AB20" s="31"/>
      <c r="AC20" s="35"/>
      <c r="AD20" s="35"/>
      <c r="AE20" s="35"/>
      <c r="AF20" s="35"/>
      <c r="AG20" s="35"/>
      <c r="AH20" s="9"/>
      <c r="AI20" s="8"/>
      <c r="AJ20" s="39"/>
      <c r="AO20" s="40"/>
      <c r="AP20" s="40"/>
    </row>
    <row r="21" spans="1:47" s="32" customFormat="1" ht="17.25">
      <c r="A21" s="26" t="s">
        <v>41</v>
      </c>
      <c r="B21" s="41">
        <v>462974.66237999999</v>
      </c>
      <c r="C21" s="27"/>
      <c r="D21" s="27">
        <v>684025.03361000004</v>
      </c>
      <c r="E21" s="27">
        <v>780107.42845000001</v>
      </c>
      <c r="F21" s="27">
        <v>1195494.4154999999</v>
      </c>
      <c r="G21" s="27">
        <v>1361258.0506</v>
      </c>
      <c r="H21" s="27">
        <v>811071.45733</v>
      </c>
      <c r="I21" s="27">
        <v>999246.03966999997</v>
      </c>
      <c r="J21" s="27">
        <f>1105545109.72/1000</f>
        <v>1105545.1097200001</v>
      </c>
      <c r="K21" s="28">
        <v>1311909.1848499998</v>
      </c>
      <c r="L21" s="28">
        <v>1309799.2884</v>
      </c>
      <c r="M21" s="28">
        <v>2232381.2488099998</v>
      </c>
      <c r="N21" s="29">
        <v>2181170.3399899998</v>
      </c>
      <c r="O21" s="29">
        <v>1857727.5844999996</v>
      </c>
      <c r="P21" s="29">
        <v>2676860.6926400121</v>
      </c>
      <c r="Q21" s="29">
        <v>3575094.8297199877</v>
      </c>
      <c r="R21" s="116">
        <v>2945546.690809994</v>
      </c>
      <c r="S21" s="115">
        <f t="shared" si="5"/>
        <v>5.6801489773570104</v>
      </c>
      <c r="T21" s="115">
        <f t="shared" si="6"/>
        <v>7.3702323839919801</v>
      </c>
      <c r="U21" s="115">
        <f t="shared" si="7"/>
        <v>7.844820304210776</v>
      </c>
      <c r="V21" s="115">
        <f t="shared" si="8"/>
        <v>6.6312523889080097</v>
      </c>
      <c r="W21" s="94">
        <f t="shared" si="1"/>
        <v>-14.828862723829403</v>
      </c>
      <c r="X21" s="115">
        <f t="shared" si="1"/>
        <v>44.093284450016881</v>
      </c>
      <c r="Y21" s="115">
        <f t="shared" si="1"/>
        <v>33.555505504999076</v>
      </c>
      <c r="Z21" s="115">
        <f t="shared" si="1"/>
        <v>-17.609271051400384</v>
      </c>
      <c r="AA21" s="105" t="s">
        <v>42</v>
      </c>
      <c r="AB21" s="31"/>
      <c r="AC21" s="35"/>
      <c r="AD21" s="35"/>
      <c r="AE21" s="35"/>
      <c r="AF21" s="35"/>
      <c r="AG21" s="35"/>
      <c r="AH21" s="9"/>
      <c r="AI21" s="8"/>
      <c r="AJ21" s="40"/>
      <c r="AO21" s="40"/>
      <c r="AP21" s="40"/>
    </row>
    <row r="22" spans="1:47" s="32" customFormat="1" ht="17.25">
      <c r="A22" s="26" t="s">
        <v>43</v>
      </c>
      <c r="B22" s="41">
        <v>828019.09823</v>
      </c>
      <c r="C22" s="27"/>
      <c r="D22" s="27">
        <v>544967.99820999999</v>
      </c>
      <c r="E22" s="27">
        <v>722190.97115999996</v>
      </c>
      <c r="F22" s="27">
        <v>972379.11656000011</v>
      </c>
      <c r="G22" s="27">
        <v>1042350.1825699999</v>
      </c>
      <c r="H22" s="27">
        <v>804389.65598000004</v>
      </c>
      <c r="I22" s="27">
        <v>815444.16940000001</v>
      </c>
      <c r="J22" s="27">
        <f>1145274148.14/1000</f>
        <v>1145274.1481400002</v>
      </c>
      <c r="K22" s="28">
        <v>1402967.4448800001</v>
      </c>
      <c r="L22" s="28">
        <v>1564274.6302199</v>
      </c>
      <c r="M22" s="28">
        <v>1993034.0143299999</v>
      </c>
      <c r="N22" s="29">
        <v>2048074.2560099999</v>
      </c>
      <c r="O22" s="29">
        <v>2065583.8323900024</v>
      </c>
      <c r="P22" s="29">
        <v>2376884.430870004</v>
      </c>
      <c r="Q22" s="29">
        <v>2544912.7784099951</v>
      </c>
      <c r="R22" s="116">
        <v>2545413.8107299991</v>
      </c>
      <c r="S22" s="115">
        <f t="shared" si="5"/>
        <v>6.3156858901640813</v>
      </c>
      <c r="T22" s="115">
        <f t="shared" si="6"/>
        <v>6.5443041745020389</v>
      </c>
      <c r="U22" s="115">
        <f t="shared" si="7"/>
        <v>5.5842947914418986</v>
      </c>
      <c r="V22" s="115">
        <f t="shared" si="8"/>
        <v>5.7304409622246135</v>
      </c>
      <c r="W22" s="94">
        <f t="shared" si="1"/>
        <v>0.85492878632800173</v>
      </c>
      <c r="X22" s="115">
        <f t="shared" si="1"/>
        <v>15.070828576335648</v>
      </c>
      <c r="Y22" s="115">
        <f t="shared" si="1"/>
        <v>7.0692687182307896</v>
      </c>
      <c r="Z22" s="115">
        <f t="shared" si="1"/>
        <v>1.9687602822953735E-2</v>
      </c>
      <c r="AA22" s="105" t="s">
        <v>44</v>
      </c>
      <c r="AB22" s="35"/>
      <c r="AC22" s="43"/>
      <c r="AD22" s="43"/>
      <c r="AE22" s="43"/>
      <c r="AF22" s="43"/>
      <c r="AG22" s="43"/>
      <c r="AH22" s="9"/>
      <c r="AI22" s="8"/>
      <c r="AJ22" s="44"/>
      <c r="AK22" s="40"/>
      <c r="AL22" s="40"/>
      <c r="AM22" s="40"/>
      <c r="AN22" s="40"/>
      <c r="AO22" s="40"/>
      <c r="AP22" s="40"/>
    </row>
    <row r="23" spans="1:47" s="42" customFormat="1" ht="17.25">
      <c r="A23" s="26" t="s">
        <v>45</v>
      </c>
      <c r="B23" s="41">
        <v>305770.06088</v>
      </c>
      <c r="C23" s="27"/>
      <c r="D23" s="27">
        <v>364776.14912000002</v>
      </c>
      <c r="E23" s="27">
        <v>717375.03451999999</v>
      </c>
      <c r="F23" s="27">
        <v>678575.26829000004</v>
      </c>
      <c r="G23" s="27">
        <v>767992.82328000013</v>
      </c>
      <c r="H23" s="27">
        <v>620279.23992999992</v>
      </c>
      <c r="I23" s="27">
        <v>736315.07332000008</v>
      </c>
      <c r="J23" s="27">
        <f>861427418.79/1000</f>
        <v>861427.41878999991</v>
      </c>
      <c r="K23" s="28">
        <v>1142622.12252</v>
      </c>
      <c r="L23" s="28">
        <v>1321005.9100299999</v>
      </c>
      <c r="M23" s="28">
        <v>1347402.01321</v>
      </c>
      <c r="N23" s="29">
        <v>1399326.5378301002</v>
      </c>
      <c r="O23" s="29">
        <v>1526999.9150599907</v>
      </c>
      <c r="P23" s="29">
        <v>1693528.7112799997</v>
      </c>
      <c r="Q23" s="29">
        <v>1912015.6626200024</v>
      </c>
      <c r="R23" s="116">
        <v>1835671.9262900061</v>
      </c>
      <c r="S23" s="115">
        <f t="shared" si="5"/>
        <v>4.6689229779008272</v>
      </c>
      <c r="T23" s="115">
        <f t="shared" si="6"/>
        <v>4.6628127438287326</v>
      </c>
      <c r="U23" s="115">
        <f t="shared" si="7"/>
        <v>4.1955304702407616</v>
      </c>
      <c r="V23" s="115">
        <f t="shared" si="8"/>
        <v>4.1326127623237845</v>
      </c>
      <c r="W23" s="94">
        <f t="shared" si="1"/>
        <v>9.1239159537323147</v>
      </c>
      <c r="X23" s="115">
        <f t="shared" si="1"/>
        <v>10.905619219596788</v>
      </c>
      <c r="Y23" s="115">
        <f t="shared" si="1"/>
        <v>12.90128415802684</v>
      </c>
      <c r="Z23" s="115">
        <f t="shared" si="1"/>
        <v>-3.9928405306776487</v>
      </c>
      <c r="AA23" s="105" t="s">
        <v>46</v>
      </c>
      <c r="AB23" s="35"/>
      <c r="AC23" s="8"/>
      <c r="AD23" s="8"/>
      <c r="AE23" s="8"/>
      <c r="AF23" s="8"/>
      <c r="AG23" s="8"/>
      <c r="AH23" s="9"/>
      <c r="AI23" s="8"/>
      <c r="AJ23" s="40"/>
      <c r="AK23" s="40">
        <v>2009</v>
      </c>
      <c r="AL23" s="40">
        <v>2010</v>
      </c>
      <c r="AM23" s="40">
        <v>2011</v>
      </c>
      <c r="AN23" s="40">
        <v>2012</v>
      </c>
      <c r="AO23" s="40">
        <v>2013</v>
      </c>
      <c r="AP23" s="42">
        <v>2014</v>
      </c>
      <c r="AQ23" s="42">
        <v>2015</v>
      </c>
      <c r="AR23" s="40">
        <v>2016</v>
      </c>
      <c r="AS23" s="42">
        <v>2017</v>
      </c>
      <c r="AT23" s="40">
        <v>2018</v>
      </c>
      <c r="AU23" s="42">
        <v>2019</v>
      </c>
    </row>
    <row r="24" spans="1:47" s="42" customFormat="1" ht="17.25">
      <c r="A24" s="26" t="s">
        <v>47</v>
      </c>
      <c r="B24" s="41">
        <v>36981.119650000001</v>
      </c>
      <c r="C24" s="27"/>
      <c r="D24" s="27">
        <v>204905.12078</v>
      </c>
      <c r="E24" s="27">
        <v>223983.35793999999</v>
      </c>
      <c r="F24" s="27">
        <v>313059.43513</v>
      </c>
      <c r="G24" s="27">
        <v>374564.62523999996</v>
      </c>
      <c r="H24" s="27">
        <v>328236.84181000001</v>
      </c>
      <c r="I24" s="27">
        <v>404144.07727000001</v>
      </c>
      <c r="J24" s="27">
        <f>1063036566.25/1000</f>
        <v>1063036.5662499999</v>
      </c>
      <c r="K24" s="28">
        <v>1052606.23284</v>
      </c>
      <c r="L24" s="28">
        <v>1252701.1725000001</v>
      </c>
      <c r="M24" s="28">
        <v>1616226.8933599999</v>
      </c>
      <c r="N24" s="29">
        <v>2264027.6578699998</v>
      </c>
      <c r="O24" s="29">
        <v>4389838.6802499853</v>
      </c>
      <c r="P24" s="29">
        <v>4317657.572809997</v>
      </c>
      <c r="Q24" s="29">
        <v>7516024.4676699685</v>
      </c>
      <c r="R24" s="116">
        <v>7222029.9398099482</v>
      </c>
      <c r="S24" s="115">
        <f t="shared" si="5"/>
        <v>13.422278862858866</v>
      </c>
      <c r="T24" s="115">
        <f t="shared" si="6"/>
        <v>11.887857950025916</v>
      </c>
      <c r="U24" s="115">
        <f t="shared" si="7"/>
        <v>16.492390876115707</v>
      </c>
      <c r="V24" s="115">
        <f t="shared" si="8"/>
        <v>16.258816551965893</v>
      </c>
      <c r="W24" s="94">
        <f t="shared" si="1"/>
        <v>93.895099513932237</v>
      </c>
      <c r="X24" s="115">
        <f t="shared" si="1"/>
        <v>-1.6442769927909477</v>
      </c>
      <c r="Y24" s="115">
        <f t="shared" si="1"/>
        <v>74.076437070909861</v>
      </c>
      <c r="Z24" s="115">
        <f t="shared" si="1"/>
        <v>-3.9115695953975669</v>
      </c>
      <c r="AA24" s="105" t="s">
        <v>48</v>
      </c>
      <c r="AB24" s="43"/>
      <c r="AC24" s="8"/>
      <c r="AD24" s="8"/>
      <c r="AE24" s="8"/>
      <c r="AF24" s="8"/>
      <c r="AG24" s="8"/>
      <c r="AH24" s="9"/>
      <c r="AI24" s="8"/>
      <c r="AJ24" s="40" t="s">
        <v>49</v>
      </c>
      <c r="AK24" s="45">
        <v>12368528.392270003</v>
      </c>
      <c r="AL24" s="45">
        <v>14017488.443949997</v>
      </c>
      <c r="AM24" s="45">
        <v>20486216.653159894</v>
      </c>
      <c r="AN24" s="45">
        <v>23884653.941069901</v>
      </c>
      <c r="AO24" s="46">
        <f t="shared" ref="AO24:AT24" si="12">L7</f>
        <v>26634885.396759901</v>
      </c>
      <c r="AP24" s="46">
        <f t="shared" si="12"/>
        <v>30649233.308269795</v>
      </c>
      <c r="AQ24" s="46">
        <f t="shared" si="12"/>
        <v>29147779.394450299</v>
      </c>
      <c r="AR24" s="46">
        <f t="shared" si="12"/>
        <v>32705613.741919942</v>
      </c>
      <c r="AS24" s="46">
        <f t="shared" si="12"/>
        <v>36319895.400504716</v>
      </c>
      <c r="AT24" s="46">
        <f t="shared" si="12"/>
        <v>45572679.692879952</v>
      </c>
      <c r="AU24" s="46">
        <f>R7</f>
        <v>44419161.239239857</v>
      </c>
    </row>
    <row r="25" spans="1:47" s="42" customFormat="1" ht="17.25">
      <c r="A25" s="26" t="s">
        <v>50</v>
      </c>
      <c r="B25" s="41">
        <v>158736.20536000002</v>
      </c>
      <c r="C25" s="27"/>
      <c r="D25" s="27">
        <v>232368.09434000001</v>
      </c>
      <c r="E25" s="27">
        <v>240112.05981999999</v>
      </c>
      <c r="F25" s="27">
        <v>332785.44084000005</v>
      </c>
      <c r="G25" s="27">
        <v>369617.76980000001</v>
      </c>
      <c r="H25" s="27">
        <v>246471.08593999999</v>
      </c>
      <c r="I25" s="27">
        <v>268007.48823000002</v>
      </c>
      <c r="J25" s="27">
        <f>286543119.04/1000</f>
        <v>286543.11904000002</v>
      </c>
      <c r="K25" s="28">
        <v>389872.24851999996</v>
      </c>
      <c r="L25" s="28">
        <v>397080.27665000001</v>
      </c>
      <c r="M25" s="28">
        <v>521709.52812000003</v>
      </c>
      <c r="N25" s="29">
        <v>559111.29359000002</v>
      </c>
      <c r="O25" s="29">
        <v>703975.53000000049</v>
      </c>
      <c r="P25" s="29">
        <v>711309.59093999816</v>
      </c>
      <c r="Q25" s="29">
        <v>968624.93123999774</v>
      </c>
      <c r="R25" s="116">
        <v>874723.88217999809</v>
      </c>
      <c r="S25" s="115">
        <f t="shared" si="5"/>
        <v>2.1524608452697835</v>
      </c>
      <c r="T25" s="115">
        <f t="shared" si="6"/>
        <v>1.9584571571484028</v>
      </c>
      <c r="U25" s="115">
        <f t="shared" si="7"/>
        <v>2.1254509012146832</v>
      </c>
      <c r="V25" s="115">
        <f t="shared" si="8"/>
        <v>1.9692489857446198</v>
      </c>
      <c r="W25" s="94">
        <f t="shared" si="1"/>
        <v>25.909731760172665</v>
      </c>
      <c r="X25" s="115">
        <f t="shared" si="1"/>
        <v>1.0418062315316077</v>
      </c>
      <c r="Y25" s="115">
        <f t="shared" si="1"/>
        <v>36.174872879185621</v>
      </c>
      <c r="Z25" s="115">
        <f t="shared" si="1"/>
        <v>-9.6942630766060294</v>
      </c>
      <c r="AA25" s="105" t="s">
        <v>51</v>
      </c>
      <c r="AB25" s="8"/>
      <c r="AC25" s="8"/>
      <c r="AD25" s="8"/>
      <c r="AE25" s="8"/>
      <c r="AF25" s="8"/>
      <c r="AG25" s="8"/>
      <c r="AH25" s="9"/>
      <c r="AI25" s="8"/>
      <c r="AJ25" s="40" t="s">
        <v>52</v>
      </c>
      <c r="AK25" s="47">
        <v>-30.357833956150195</v>
      </c>
      <c r="AL25" s="47">
        <v>13.33190173788622</v>
      </c>
      <c r="AM25" s="47">
        <v>46.14755514210411</v>
      </c>
      <c r="AN25" s="48">
        <v>16.588896551505599</v>
      </c>
      <c r="AO25" s="46">
        <v>12</v>
      </c>
      <c r="AP25" s="95">
        <f>((M7-L7)/L7)*100</f>
        <v>15.071767164420516</v>
      </c>
      <c r="AQ25" s="95">
        <f>((N7-M7)/M7)*100</f>
        <v>-4.8988302536571844</v>
      </c>
      <c r="AR25" s="95">
        <f>((O7-N7)/N7)*100</f>
        <v>12.206193478145542</v>
      </c>
      <c r="AS25" s="46">
        <f>X7</f>
        <v>11.050951946980959</v>
      </c>
      <c r="AT25" s="46">
        <f>Y7</f>
        <v>25.475801046075304</v>
      </c>
      <c r="AU25" s="46">
        <f>Z7</f>
        <v>-2.5311622257321766</v>
      </c>
    </row>
    <row r="26" spans="1:47" s="42" customFormat="1" ht="17.25">
      <c r="A26" s="26" t="s">
        <v>53</v>
      </c>
      <c r="B26" s="41">
        <v>132527.81570000001</v>
      </c>
      <c r="C26" s="27"/>
      <c r="D26" s="27">
        <v>171266.11396000002</v>
      </c>
      <c r="E26" s="27">
        <v>419575.63894999999</v>
      </c>
      <c r="F26" s="27">
        <v>264587.25998000003</v>
      </c>
      <c r="G26" s="27">
        <v>331026.82459000003</v>
      </c>
      <c r="H26" s="27">
        <v>162167.47761999999</v>
      </c>
      <c r="I26" s="27">
        <v>131118.73741</v>
      </c>
      <c r="J26" s="27">
        <f>477298382.34/1000</f>
        <v>477298.38233999995</v>
      </c>
      <c r="K26" s="28">
        <v>172531.87412999998</v>
      </c>
      <c r="L26" s="28">
        <v>213850.14776999998</v>
      </c>
      <c r="M26" s="28">
        <v>245570.35765000002</v>
      </c>
      <c r="N26" s="29">
        <v>259534.94605</v>
      </c>
      <c r="O26" s="29">
        <v>320056.38508000044</v>
      </c>
      <c r="P26" s="29">
        <v>359290.91390999948</v>
      </c>
      <c r="Q26" s="29">
        <v>317407.52254000033</v>
      </c>
      <c r="R26" s="116">
        <v>542973.62313000008</v>
      </c>
      <c r="S26" s="115">
        <f t="shared" si="5"/>
        <v>0.97859770376292565</v>
      </c>
      <c r="T26" s="115">
        <f t="shared" si="6"/>
        <v>0.98923994672354321</v>
      </c>
      <c r="U26" s="115">
        <f t="shared" si="7"/>
        <v>0.69648641396347499</v>
      </c>
      <c r="V26" s="115">
        <f t="shared" si="8"/>
        <v>1.2223860333732226</v>
      </c>
      <c r="W26" s="94">
        <f t="shared" si="1"/>
        <v>23.319186857534344</v>
      </c>
      <c r="X26" s="115">
        <f t="shared" si="1"/>
        <v>12.258630247352222</v>
      </c>
      <c r="Y26" s="115">
        <f t="shared" si="1"/>
        <v>-11.657236447813631</v>
      </c>
      <c r="Z26" s="115">
        <f t="shared" si="1"/>
        <v>71.065140102838441</v>
      </c>
      <c r="AA26" s="105" t="s">
        <v>54</v>
      </c>
      <c r="AB26" s="8"/>
      <c r="AC26" s="8"/>
      <c r="AD26" s="8"/>
      <c r="AE26" s="8"/>
      <c r="AF26" s="8"/>
      <c r="AG26" s="8"/>
      <c r="AH26" s="9"/>
      <c r="AI26" s="8"/>
      <c r="AJ26" s="40"/>
      <c r="AK26" s="40"/>
      <c r="AL26" s="40"/>
      <c r="AM26" s="40"/>
      <c r="AN26" s="40"/>
      <c r="AO26" s="95"/>
      <c r="AS26" s="95"/>
      <c r="AT26" s="95"/>
      <c r="AU26" s="95"/>
    </row>
    <row r="27" spans="1:47" s="42" customFormat="1" ht="18">
      <c r="A27" s="26" t="s">
        <v>33</v>
      </c>
      <c r="B27" s="41">
        <v>195021</v>
      </c>
      <c r="C27" s="27"/>
      <c r="D27" s="27">
        <v>202187.01485000001</v>
      </c>
      <c r="E27" s="27">
        <v>231639.7041</v>
      </c>
      <c r="F27" s="27">
        <v>251275.13762999998</v>
      </c>
      <c r="G27" s="27">
        <v>397690.52025000006</v>
      </c>
      <c r="H27" s="27">
        <v>268165.34881000128</v>
      </c>
      <c r="I27" s="27">
        <v>327080.09331999999</v>
      </c>
      <c r="J27" s="27">
        <f>387844188/1000</f>
        <v>387844.18800000002</v>
      </c>
      <c r="K27" s="28">
        <v>456534.25101000001</v>
      </c>
      <c r="L27" s="28">
        <v>694080.80483000015</v>
      </c>
      <c r="M27" s="28">
        <v>716673.81666999683</v>
      </c>
      <c r="N27" s="29">
        <v>982175.61657000007</v>
      </c>
      <c r="O27" s="29">
        <v>1214945.4233399995</v>
      </c>
      <c r="P27" s="29">
        <v>1093093.3811699986</v>
      </c>
      <c r="Q27" s="29">
        <v>1215788.9924100002</v>
      </c>
      <c r="R27" s="116">
        <v>1165428.4529199982</v>
      </c>
      <c r="S27" s="115">
        <f t="shared" si="5"/>
        <v>3.7147916957838985</v>
      </c>
      <c r="T27" s="115">
        <f t="shared" si="6"/>
        <v>3.0096270077771434</v>
      </c>
      <c r="U27" s="115">
        <f t="shared" si="7"/>
        <v>2.6678022898880553</v>
      </c>
      <c r="V27" s="115">
        <f t="shared" si="8"/>
        <v>2.6237065725825985</v>
      </c>
      <c r="W27" s="94">
        <f t="shared" si="1"/>
        <v>23.699408012478372</v>
      </c>
      <c r="X27" s="115">
        <f t="shared" si="1"/>
        <v>-10.029425176566221</v>
      </c>
      <c r="Y27" s="115">
        <f t="shared" si="1"/>
        <v>11.224623015160306</v>
      </c>
      <c r="Z27" s="115">
        <f t="shared" si="1"/>
        <v>-4.1422105155085092</v>
      </c>
      <c r="AA27" s="104" t="s">
        <v>34</v>
      </c>
      <c r="AB27" s="8"/>
      <c r="AC27" s="8"/>
      <c r="AD27" s="8"/>
      <c r="AE27" s="8"/>
      <c r="AF27" s="8"/>
      <c r="AG27" s="8"/>
      <c r="AH27" s="9"/>
      <c r="AI27" s="8"/>
      <c r="AJ27" s="40"/>
      <c r="AK27" s="40"/>
      <c r="AL27" s="40"/>
      <c r="AM27" s="40"/>
      <c r="AN27" s="40"/>
      <c r="AO27" s="40"/>
      <c r="AP27" s="40"/>
    </row>
    <row r="28" spans="1:47" s="51" customFormat="1" ht="16.5">
      <c r="A28" s="22" t="s">
        <v>35</v>
      </c>
      <c r="B28" s="49">
        <v>177392.72396</v>
      </c>
      <c r="C28" s="36"/>
      <c r="D28" s="36">
        <v>50743.47258999999</v>
      </c>
      <c r="E28" s="50">
        <v>40670.563159999998</v>
      </c>
      <c r="F28" s="50">
        <v>99708.049870000003</v>
      </c>
      <c r="G28" s="50">
        <v>82281.262900000002</v>
      </c>
      <c r="H28" s="50">
        <v>70536.000150000007</v>
      </c>
      <c r="I28" s="50">
        <v>197529.15637000001</v>
      </c>
      <c r="J28" s="50">
        <f t="shared" ref="J28:Q28" si="13">SUM(J29:J32)</f>
        <v>115294.55946</v>
      </c>
      <c r="K28" s="50">
        <f t="shared" si="13"/>
        <v>113123.34048</v>
      </c>
      <c r="L28" s="19">
        <f t="shared" si="13"/>
        <v>140867.40557</v>
      </c>
      <c r="M28" s="19">
        <f t="shared" si="13"/>
        <v>161727.68485000002</v>
      </c>
      <c r="N28" s="19">
        <f t="shared" si="13"/>
        <v>187511.24640999999</v>
      </c>
      <c r="O28" s="19">
        <f t="shared" si="13"/>
        <v>309018.0944</v>
      </c>
      <c r="P28" s="19">
        <f t="shared" si="13"/>
        <v>269290.94461000018</v>
      </c>
      <c r="Q28" s="19">
        <f t="shared" si="13"/>
        <v>327869.58846000029</v>
      </c>
      <c r="R28" s="20">
        <f t="shared" ref="R28" si="14">SUM(R29:R32)</f>
        <v>389073.48913999973</v>
      </c>
      <c r="S28" s="21">
        <f t="shared" si="5"/>
        <v>0.94484725722765017</v>
      </c>
      <c r="T28" s="21">
        <f t="shared" si="6"/>
        <v>0.74144196077794322</v>
      </c>
      <c r="U28" s="21">
        <f t="shared" si="7"/>
        <v>0.71944329512671823</v>
      </c>
      <c r="V28" s="21">
        <f t="shared" si="8"/>
        <v>0.87591363340803574</v>
      </c>
      <c r="W28" s="95">
        <f t="shared" si="1"/>
        <v>64.799765516101886</v>
      </c>
      <c r="X28" s="21">
        <f t="shared" si="1"/>
        <v>-12.855929963303737</v>
      </c>
      <c r="Y28" s="21">
        <f t="shared" si="1"/>
        <v>21.75292003778161</v>
      </c>
      <c r="Z28" s="21">
        <f t="shared" si="1"/>
        <v>18.667147803330423</v>
      </c>
      <c r="AA28" s="103" t="s">
        <v>55</v>
      </c>
      <c r="AB28" s="8"/>
      <c r="AC28" s="17"/>
      <c r="AD28" s="17"/>
      <c r="AE28" s="17"/>
      <c r="AF28" s="17"/>
      <c r="AG28" s="17"/>
      <c r="AH28" s="18"/>
      <c r="AI28" s="8"/>
      <c r="AJ28" s="32"/>
      <c r="AK28" s="32"/>
      <c r="AL28" s="32"/>
      <c r="AM28" s="32"/>
      <c r="AN28" s="32"/>
      <c r="AO28" s="32"/>
    </row>
    <row r="29" spans="1:47" s="42" customFormat="1" ht="16.5">
      <c r="A29" s="26" t="s">
        <v>56</v>
      </c>
      <c r="B29" s="41">
        <v>151069.43575</v>
      </c>
      <c r="C29" s="27"/>
      <c r="D29" s="27">
        <v>38346.527759999997</v>
      </c>
      <c r="E29" s="27">
        <v>31034.936600000001</v>
      </c>
      <c r="F29" s="27">
        <v>37296.811710000002</v>
      </c>
      <c r="G29" s="27">
        <v>28430.789270000001</v>
      </c>
      <c r="H29" s="27">
        <v>33711.194409999996</v>
      </c>
      <c r="I29" s="27">
        <v>85784.349329999997</v>
      </c>
      <c r="J29" s="27">
        <f>52034140.31/1000</f>
        <v>52034.140310000003</v>
      </c>
      <c r="K29" s="28">
        <v>62698.846259999998</v>
      </c>
      <c r="L29" s="28">
        <v>79432.942850000007</v>
      </c>
      <c r="M29" s="28">
        <v>94213.690300000002</v>
      </c>
      <c r="N29" s="29">
        <v>95648.86464</v>
      </c>
      <c r="O29" s="29">
        <v>160024.25624000008</v>
      </c>
      <c r="P29" s="29">
        <v>138067.68432000012</v>
      </c>
      <c r="Q29" s="29">
        <v>191187.71241000015</v>
      </c>
      <c r="R29" s="116">
        <v>204009.01861999978</v>
      </c>
      <c r="S29" s="115">
        <f t="shared" si="5"/>
        <v>0.48928681633297505</v>
      </c>
      <c r="T29" s="115">
        <f t="shared" si="6"/>
        <v>0.38014339743412773</v>
      </c>
      <c r="U29" s="115">
        <f t="shared" si="7"/>
        <v>0.4195226475564709</v>
      </c>
      <c r="V29" s="115">
        <f t="shared" si="8"/>
        <v>0.45928156437086964</v>
      </c>
      <c r="W29" s="94">
        <f t="shared" si="1"/>
        <v>67.303874272103513</v>
      </c>
      <c r="X29" s="115">
        <f t="shared" si="1"/>
        <v>-13.720777359571091</v>
      </c>
      <c r="Y29" s="115">
        <f t="shared" si="1"/>
        <v>38.473903833197852</v>
      </c>
      <c r="Z29" s="115">
        <f t="shared" si="1"/>
        <v>6.7061350587764066</v>
      </c>
      <c r="AA29" s="105" t="s">
        <v>57</v>
      </c>
      <c r="AB29" s="8"/>
      <c r="AC29" s="8"/>
      <c r="AD29" s="8"/>
      <c r="AE29" s="8"/>
      <c r="AF29" s="8"/>
      <c r="AG29" s="8"/>
      <c r="AH29" s="9"/>
      <c r="AI29" s="8"/>
    </row>
    <row r="30" spans="1:47" s="42" customFormat="1" ht="16.5">
      <c r="A30" s="52" t="s">
        <v>58</v>
      </c>
      <c r="B30" s="53">
        <v>23891.863980000002</v>
      </c>
      <c r="C30" s="27"/>
      <c r="D30" s="27">
        <v>6986.2178400000003</v>
      </c>
      <c r="E30" s="27">
        <v>407.58671000000004</v>
      </c>
      <c r="F30" s="27">
        <v>15456.462810000001</v>
      </c>
      <c r="G30" s="27">
        <v>27831.32747</v>
      </c>
      <c r="H30" s="27">
        <v>3478.5605499999997</v>
      </c>
      <c r="I30" s="27">
        <v>82527.45478</v>
      </c>
      <c r="J30" s="27">
        <f>8259437.77/1000</f>
        <v>8259.4377700000005</v>
      </c>
      <c r="K30" s="28">
        <v>10070.94449</v>
      </c>
      <c r="L30" s="28">
        <v>11788.32286</v>
      </c>
      <c r="M30" s="28">
        <v>23047.258969999999</v>
      </c>
      <c r="N30" s="29">
        <v>18942.335520000001</v>
      </c>
      <c r="O30" s="29">
        <v>44694.516859999952</v>
      </c>
      <c r="P30" s="29">
        <v>53064.23605</v>
      </c>
      <c r="Q30" s="29">
        <v>32939.792019999979</v>
      </c>
      <c r="R30" s="116">
        <v>65966.815880000038</v>
      </c>
      <c r="S30" s="115">
        <f t="shared" si="5"/>
        <v>0.136657019228211</v>
      </c>
      <c r="T30" s="115">
        <f t="shared" si="6"/>
        <v>0.14610239226972718</v>
      </c>
      <c r="U30" s="115">
        <f t="shared" si="7"/>
        <v>7.2279690906888516E-2</v>
      </c>
      <c r="V30" s="115">
        <f t="shared" si="8"/>
        <v>0.14850981882504571</v>
      </c>
      <c r="W30" s="94">
        <f t="shared" si="1"/>
        <v>135.95040227647678</v>
      </c>
      <c r="X30" s="115">
        <f t="shared" si="1"/>
        <v>18.726501096806032</v>
      </c>
      <c r="Y30" s="115">
        <f t="shared" si="1"/>
        <v>-37.924684359985278</v>
      </c>
      <c r="Z30" s="115">
        <f>((R30-Q30)/Q30)*100</f>
        <v>100.26482207279</v>
      </c>
      <c r="AA30" s="105" t="s">
        <v>59</v>
      </c>
      <c r="AB30" s="17"/>
      <c r="AC30" s="8"/>
      <c r="AD30" s="8"/>
      <c r="AE30" s="8"/>
      <c r="AF30" s="8"/>
      <c r="AG30" s="8"/>
      <c r="AH30" s="9"/>
      <c r="AI30" s="8"/>
      <c r="AJ30" s="32"/>
      <c r="AK30" s="32"/>
      <c r="AL30" s="32"/>
      <c r="AM30" s="32"/>
      <c r="AN30" s="32"/>
      <c r="AO30" s="32"/>
    </row>
    <row r="31" spans="1:47" s="42" customFormat="1" ht="16.5">
      <c r="A31" s="52" t="s">
        <v>60</v>
      </c>
      <c r="B31" s="53">
        <v>1787.4242300000001</v>
      </c>
      <c r="C31" s="27"/>
      <c r="D31" s="27">
        <v>4931.5676299999996</v>
      </c>
      <c r="E31" s="27">
        <v>8514.997949999999</v>
      </c>
      <c r="F31" s="27">
        <v>46551.353630000005</v>
      </c>
      <c r="G31" s="27">
        <v>19941.772390000002</v>
      </c>
      <c r="H31" s="27">
        <v>22117.139589999999</v>
      </c>
      <c r="I31" s="27">
        <v>27795.462829999997</v>
      </c>
      <c r="J31" s="27">
        <f>49299284.38/1000</f>
        <v>49299.284380000005</v>
      </c>
      <c r="K31" s="28">
        <v>35096.331749999998</v>
      </c>
      <c r="L31" s="28">
        <v>38466.57417</v>
      </c>
      <c r="M31" s="28">
        <v>34649.458210000004</v>
      </c>
      <c r="N31" s="29">
        <v>59019.160109999997</v>
      </c>
      <c r="O31" s="29">
        <v>72205.682499999995</v>
      </c>
      <c r="P31" s="29">
        <v>62817.488380000046</v>
      </c>
      <c r="Q31" s="29">
        <v>80301.477780000161</v>
      </c>
      <c r="R31" s="116">
        <v>83870.717819999962</v>
      </c>
      <c r="S31" s="115">
        <f t="shared" si="5"/>
        <v>0.22077458343932993</v>
      </c>
      <c r="T31" s="115">
        <f t="shared" si="6"/>
        <v>0.17295613791643</v>
      </c>
      <c r="U31" s="115">
        <f t="shared" si="7"/>
        <v>0.17620530177545399</v>
      </c>
      <c r="V31" s="115">
        <f t="shared" si="8"/>
        <v>0.18881652755277292</v>
      </c>
      <c r="W31" s="94">
        <f t="shared" si="1"/>
        <v>22.342782183655167</v>
      </c>
      <c r="X31" s="115">
        <f t="shared" si="1"/>
        <v>-13.002015623908756</v>
      </c>
      <c r="Y31" s="115">
        <f t="shared" si="1"/>
        <v>27.832996592023413</v>
      </c>
      <c r="Z31" s="115">
        <f t="shared" si="1"/>
        <v>4.4447999447511455</v>
      </c>
      <c r="AA31" s="105" t="s">
        <v>61</v>
      </c>
      <c r="AB31" s="8"/>
      <c r="AC31" s="8"/>
      <c r="AD31" s="8"/>
      <c r="AE31" s="8"/>
      <c r="AF31" s="8"/>
      <c r="AG31" s="8"/>
      <c r="AH31" s="9"/>
      <c r="AI31" s="8"/>
      <c r="AJ31" s="32"/>
      <c r="AK31" s="32"/>
      <c r="AL31" s="32"/>
      <c r="AM31" s="32"/>
      <c r="AN31" s="32"/>
      <c r="AO31" s="32"/>
    </row>
    <row r="32" spans="1:47" s="42" customFormat="1" ht="16.5">
      <c r="A32" s="26" t="s">
        <v>33</v>
      </c>
      <c r="B32" s="41">
        <v>644</v>
      </c>
      <c r="C32" s="27"/>
      <c r="D32" s="27">
        <v>479.15935999999999</v>
      </c>
      <c r="E32" s="27">
        <v>714.04190000000006</v>
      </c>
      <c r="F32" s="27">
        <v>403.42171999999999</v>
      </c>
      <c r="G32" s="27">
        <v>6077.3737700000001</v>
      </c>
      <c r="H32" s="27">
        <v>11229.10560000001</v>
      </c>
      <c r="I32" s="27">
        <v>1539.06142</v>
      </c>
      <c r="J32" s="27">
        <f>5701697/1000</f>
        <v>5701.6970000000001</v>
      </c>
      <c r="K32" s="28">
        <v>5257.2179800000004</v>
      </c>
      <c r="L32" s="28">
        <v>11179.565689999999</v>
      </c>
      <c r="M32" s="28">
        <v>9817.2773700000253</v>
      </c>
      <c r="N32" s="29">
        <v>13900.886139999999</v>
      </c>
      <c r="O32" s="29">
        <v>32093.638799999997</v>
      </c>
      <c r="P32" s="29">
        <v>15341.535860000004</v>
      </c>
      <c r="Q32" s="29">
        <v>23440.606249999997</v>
      </c>
      <c r="R32" s="116">
        <v>35226.93681999993</v>
      </c>
      <c r="S32" s="115">
        <f t="shared" si="5"/>
        <v>9.812883822713421E-2</v>
      </c>
      <c r="T32" s="115">
        <f t="shared" si="6"/>
        <v>4.2240033157658299E-2</v>
      </c>
      <c r="U32" s="115">
        <f t="shared" si="7"/>
        <v>5.1435654887904775E-2</v>
      </c>
      <c r="V32" s="115">
        <f t="shared" si="8"/>
        <v>7.9305722659347461E-2</v>
      </c>
      <c r="W32" s="94">
        <f t="shared" si="1"/>
        <v>130.87476925409879</v>
      </c>
      <c r="X32" s="115">
        <f t="shared" si="1"/>
        <v>-52.197580475044155</v>
      </c>
      <c r="Y32" s="115">
        <f t="shared" si="1"/>
        <v>52.791783455766669</v>
      </c>
      <c r="Z32" s="115">
        <f t="shared" si="1"/>
        <v>50.281679766707974</v>
      </c>
      <c r="AA32" s="106" t="s">
        <v>34</v>
      </c>
      <c r="AB32" s="8"/>
      <c r="AC32" s="8"/>
      <c r="AD32" s="8"/>
      <c r="AE32" s="8"/>
      <c r="AF32" s="8"/>
      <c r="AG32" s="8"/>
      <c r="AH32" s="9"/>
      <c r="AI32" s="8"/>
    </row>
    <row r="33" spans="1:41" s="51" customFormat="1" ht="15.75" customHeight="1">
      <c r="A33" s="54" t="s">
        <v>29</v>
      </c>
      <c r="B33" s="55">
        <v>169026.35123000003</v>
      </c>
      <c r="C33" s="56"/>
      <c r="D33" s="56">
        <v>194692.13733999999</v>
      </c>
      <c r="E33" s="57">
        <v>451966.10702000005</v>
      </c>
      <c r="F33" s="57">
        <v>481155.50152999995</v>
      </c>
      <c r="G33" s="57">
        <v>1335920.0806499999</v>
      </c>
      <c r="H33" s="50">
        <v>1181771.65851</v>
      </c>
      <c r="I33" s="50">
        <v>1329286.9016400003</v>
      </c>
      <c r="J33" s="50">
        <f>SUM(J34:J38)</f>
        <v>1080288.22086</v>
      </c>
      <c r="K33" s="19">
        <v>1472452.5533899998</v>
      </c>
      <c r="L33" s="19">
        <f t="shared" ref="L33:Q33" si="15">SUM(L34:L38)</f>
        <v>1192593.4716700001</v>
      </c>
      <c r="M33" s="19">
        <f t="shared" si="15"/>
        <v>1221496.6468100001</v>
      </c>
      <c r="N33" s="19">
        <f t="shared" si="15"/>
        <v>1070491.8970799998</v>
      </c>
      <c r="O33" s="19">
        <f t="shared" si="15"/>
        <v>1168682.3626299989</v>
      </c>
      <c r="P33" s="19">
        <f t="shared" si="15"/>
        <v>1415953.0414900023</v>
      </c>
      <c r="Q33" s="19">
        <f t="shared" si="15"/>
        <v>1340198.6867899986</v>
      </c>
      <c r="R33" s="20">
        <f t="shared" ref="R33" si="16">SUM(R34:R38)</f>
        <v>1587408.04216</v>
      </c>
      <c r="S33" s="21">
        <f t="shared" si="5"/>
        <v>3.5733387297118884</v>
      </c>
      <c r="T33" s="21">
        <f t="shared" si="6"/>
        <v>3.8985603506730517</v>
      </c>
      <c r="U33" s="21">
        <f t="shared" si="7"/>
        <v>2.9407941245100506</v>
      </c>
      <c r="V33" s="21">
        <f t="shared" si="8"/>
        <v>3.5737010737557218</v>
      </c>
      <c r="W33" s="95">
        <f t="shared" si="1"/>
        <v>9.1724622874619666</v>
      </c>
      <c r="X33" s="21">
        <f t="shared" si="1"/>
        <v>21.158073978591261</v>
      </c>
      <c r="Y33" s="21">
        <f t="shared" si="1"/>
        <v>-5.3500612294520531</v>
      </c>
      <c r="Z33" s="21">
        <f t="shared" si="1"/>
        <v>18.445724339732745</v>
      </c>
      <c r="AA33" s="107" t="s">
        <v>62</v>
      </c>
      <c r="AB33" s="8"/>
      <c r="AC33" s="17"/>
      <c r="AD33" s="17"/>
      <c r="AE33" s="17"/>
      <c r="AF33" s="17"/>
      <c r="AG33" s="17"/>
      <c r="AH33" s="18"/>
      <c r="AI33" s="8"/>
      <c r="AJ33" s="32"/>
      <c r="AK33" s="32"/>
      <c r="AL33" s="32"/>
      <c r="AM33" s="32"/>
      <c r="AN33" s="32"/>
      <c r="AO33" s="32"/>
    </row>
    <row r="34" spans="1:41" s="42" customFormat="1" ht="16.5">
      <c r="A34" s="58" t="s">
        <v>63</v>
      </c>
      <c r="B34" s="59">
        <v>268.90504999999996</v>
      </c>
      <c r="C34" s="60"/>
      <c r="D34" s="60">
        <v>651.38883999999996</v>
      </c>
      <c r="E34" s="60">
        <v>46.079180000000001</v>
      </c>
      <c r="F34" s="60">
        <v>106254.7395</v>
      </c>
      <c r="G34" s="60">
        <v>751303.79208000004</v>
      </c>
      <c r="H34" s="61">
        <v>596853.45087000006</v>
      </c>
      <c r="I34" s="61">
        <v>793920.12556999992</v>
      </c>
      <c r="J34" s="61">
        <f>235201935.37/1000</f>
        <v>235201.93536999999</v>
      </c>
      <c r="K34" s="28">
        <v>473426.15950999997</v>
      </c>
      <c r="L34" s="28">
        <v>310676.92767</v>
      </c>
      <c r="M34" s="28">
        <v>2873.1332400000001</v>
      </c>
      <c r="N34" s="29">
        <v>1610.03883</v>
      </c>
      <c r="O34" s="29">
        <v>1229.60123</v>
      </c>
      <c r="P34" s="29">
        <v>1285.32476</v>
      </c>
      <c r="Q34" s="29">
        <v>864.25310000000002</v>
      </c>
      <c r="R34" s="116">
        <v>2118.9905100000005</v>
      </c>
      <c r="S34" s="115">
        <f t="shared" si="5"/>
        <v>3.7596029834596149E-3</v>
      </c>
      <c r="T34" s="115">
        <f t="shared" si="6"/>
        <v>3.5388999495360291E-3</v>
      </c>
      <c r="U34" s="115">
        <f t="shared" si="7"/>
        <v>1.8964280920593455E-3</v>
      </c>
      <c r="V34" s="115">
        <f t="shared" si="8"/>
        <v>4.770442419178518E-3</v>
      </c>
      <c r="W34" s="94">
        <f t="shared" si="1"/>
        <v>-23.629094709473559</v>
      </c>
      <c r="X34" s="115">
        <f t="shared" si="1"/>
        <v>4.5318375291475581</v>
      </c>
      <c r="Y34" s="115">
        <f t="shared" si="1"/>
        <v>-32.759943097960701</v>
      </c>
      <c r="Z34" s="115">
        <f t="shared" si="1"/>
        <v>145.18170776593112</v>
      </c>
      <c r="AA34" s="108" t="s">
        <v>64</v>
      </c>
      <c r="AB34" s="8"/>
      <c r="AC34" s="8"/>
      <c r="AD34" s="8"/>
      <c r="AE34" s="8"/>
      <c r="AF34" s="8"/>
      <c r="AG34" s="8"/>
      <c r="AH34" s="9"/>
      <c r="AI34" s="8"/>
      <c r="AJ34" s="32"/>
      <c r="AK34" s="32"/>
      <c r="AL34" s="32"/>
      <c r="AM34" s="32"/>
      <c r="AN34" s="32"/>
      <c r="AO34" s="32"/>
    </row>
    <row r="35" spans="1:41" s="42" customFormat="1" ht="16.5">
      <c r="A35" s="62" t="s">
        <v>65</v>
      </c>
      <c r="B35" s="63">
        <v>76074.195890000003</v>
      </c>
      <c r="C35" s="60"/>
      <c r="D35" s="60">
        <v>108572.70565</v>
      </c>
      <c r="E35" s="60">
        <v>309716.70547000004</v>
      </c>
      <c r="F35" s="60">
        <v>285779.95662000001</v>
      </c>
      <c r="G35" s="60">
        <v>410623.60590999998</v>
      </c>
      <c r="H35" s="61">
        <v>311270.87014999997</v>
      </c>
      <c r="I35" s="61">
        <v>357529.20575999998</v>
      </c>
      <c r="J35" s="61">
        <f>425304070.68/1000</f>
        <v>425304.07068</v>
      </c>
      <c r="K35" s="28">
        <v>700377.18929999997</v>
      </c>
      <c r="L35" s="28">
        <v>464155.52649000002</v>
      </c>
      <c r="M35" s="28">
        <v>515034.34886999999</v>
      </c>
      <c r="N35" s="29">
        <v>575452.14727999992</v>
      </c>
      <c r="O35" s="29">
        <v>648846.3886299989</v>
      </c>
      <c r="P35" s="29">
        <v>671386.44107000227</v>
      </c>
      <c r="Q35" s="29">
        <v>774070.80221999867</v>
      </c>
      <c r="R35" s="116">
        <v>863337.38879999949</v>
      </c>
      <c r="S35" s="115">
        <f t="shared" si="5"/>
        <v>1.9838991365520517</v>
      </c>
      <c r="T35" s="115">
        <f t="shared" si="6"/>
        <v>1.8485362737599524</v>
      </c>
      <c r="U35" s="115">
        <f t="shared" si="7"/>
        <v>1.6985413353714542</v>
      </c>
      <c r="V35" s="115">
        <f t="shared" si="8"/>
        <v>1.9436147930621612</v>
      </c>
      <c r="W35" s="94">
        <f t="shared" si="1"/>
        <v>12.754186720288189</v>
      </c>
      <c r="X35" s="115">
        <f t="shared" si="1"/>
        <v>3.4738657461892286</v>
      </c>
      <c r="Y35" s="115">
        <f t="shared" si="1"/>
        <v>15.294375171822988</v>
      </c>
      <c r="Z35" s="115">
        <f t="shared" si="1"/>
        <v>11.532095813973147</v>
      </c>
      <c r="AA35" s="105" t="s">
        <v>66</v>
      </c>
      <c r="AB35" s="17"/>
      <c r="AI35" s="8"/>
    </row>
    <row r="36" spans="1:41" s="42" customFormat="1" ht="17.25">
      <c r="A36" s="62" t="s">
        <v>67</v>
      </c>
      <c r="B36" s="63">
        <v>86560.983800000002</v>
      </c>
      <c r="C36" s="60"/>
      <c r="D36" s="60">
        <v>69624.983779999995</v>
      </c>
      <c r="E36" s="60">
        <v>120431.67971</v>
      </c>
      <c r="F36" s="60">
        <v>59125.244679999996</v>
      </c>
      <c r="G36" s="60">
        <v>104388.06092</v>
      </c>
      <c r="H36" s="61">
        <v>192849.56232999999</v>
      </c>
      <c r="I36" s="61">
        <v>94793.440600000002</v>
      </c>
      <c r="J36" s="61">
        <f>270874232.28/1000</f>
        <v>270874.23228</v>
      </c>
      <c r="K36" s="28">
        <v>109903.20924</v>
      </c>
      <c r="L36" s="28">
        <v>99990.094430000012</v>
      </c>
      <c r="M36" s="28">
        <v>430729.45551999996</v>
      </c>
      <c r="N36" s="29">
        <v>236474.75205000001</v>
      </c>
      <c r="O36" s="29">
        <v>231974.68576000011</v>
      </c>
      <c r="P36" s="29">
        <v>420211.27243000013</v>
      </c>
      <c r="Q36" s="29">
        <v>280444.37696999998</v>
      </c>
      <c r="R36" s="116">
        <v>445326.62298000004</v>
      </c>
      <c r="S36" s="115">
        <f t="shared" si="5"/>
        <v>0.70928094360348282</v>
      </c>
      <c r="T36" s="115">
        <f t="shared" si="6"/>
        <v>1.1569726944317154</v>
      </c>
      <c r="U36" s="115">
        <f t="shared" si="7"/>
        <v>0.61537828993148991</v>
      </c>
      <c r="V36" s="115">
        <f t="shared" si="8"/>
        <v>1.0025552274197351</v>
      </c>
      <c r="W36" s="94">
        <f t="shared" si="1"/>
        <v>-1.9029795997199779</v>
      </c>
      <c r="X36" s="115">
        <f t="shared" si="1"/>
        <v>81.145313788569453</v>
      </c>
      <c r="Y36" s="115">
        <f t="shared" si="1"/>
        <v>-33.261100934240851</v>
      </c>
      <c r="Z36" s="115">
        <f t="shared" si="1"/>
        <v>58.793208047682853</v>
      </c>
      <c r="AA36" s="104" t="s">
        <v>68</v>
      </c>
      <c r="AB36" s="8"/>
      <c r="AI36" s="8"/>
      <c r="AJ36" s="32"/>
      <c r="AK36" s="32"/>
      <c r="AL36" s="32"/>
      <c r="AM36" s="32"/>
      <c r="AN36" s="32"/>
      <c r="AO36" s="32"/>
    </row>
    <row r="37" spans="1:41" s="42" customFormat="1" ht="17.25">
      <c r="A37" s="58" t="s">
        <v>69</v>
      </c>
      <c r="B37" s="59">
        <v>5763.26649</v>
      </c>
      <c r="C37" s="60"/>
      <c r="D37" s="60">
        <v>14870.09532</v>
      </c>
      <c r="E37" s="60">
        <v>18986.897100000002</v>
      </c>
      <c r="F37" s="60">
        <v>28262.164129999997</v>
      </c>
      <c r="G37" s="60">
        <v>40556.87945</v>
      </c>
      <c r="H37" s="61">
        <v>41794.94363999999</v>
      </c>
      <c r="I37" s="61">
        <v>78402.442040000009</v>
      </c>
      <c r="J37" s="61">
        <f>134394346.53/1000</f>
        <v>134394.34653000001</v>
      </c>
      <c r="K37" s="28">
        <v>161911.44077000002</v>
      </c>
      <c r="L37" s="28">
        <v>280824.13675000001</v>
      </c>
      <c r="M37" s="28">
        <v>248811.23768000002</v>
      </c>
      <c r="N37" s="29">
        <v>231415.90796000001</v>
      </c>
      <c r="O37" s="29">
        <v>249254.51366999999</v>
      </c>
      <c r="P37" s="29">
        <v>273042.73187000002</v>
      </c>
      <c r="Q37" s="29">
        <v>240687.16187000001</v>
      </c>
      <c r="R37" s="116">
        <v>232669.13011999996</v>
      </c>
      <c r="S37" s="115">
        <f t="shared" si="5"/>
        <v>0.76211538372851773</v>
      </c>
      <c r="T37" s="115">
        <f t="shared" si="6"/>
        <v>0.75177180126517018</v>
      </c>
      <c r="U37" s="115">
        <f t="shared" si="7"/>
        <v>0.52813914716453192</v>
      </c>
      <c r="V37" s="115">
        <f t="shared" si="8"/>
        <v>0.5238035199873613</v>
      </c>
      <c r="W37" s="94">
        <f t="shared" si="1"/>
        <v>7.7084613012357641</v>
      </c>
      <c r="X37" s="115">
        <f t="shared" si="1"/>
        <v>9.5437462093442349</v>
      </c>
      <c r="Y37" s="115">
        <f t="shared" si="1"/>
        <v>-11.850002297590915</v>
      </c>
      <c r="Z37" s="115">
        <f t="shared" si="1"/>
        <v>-3.3313084452467612</v>
      </c>
      <c r="AA37" s="104" t="s">
        <v>70</v>
      </c>
      <c r="AI37" s="8"/>
      <c r="AJ37" s="32"/>
      <c r="AK37" s="32"/>
      <c r="AL37" s="32"/>
      <c r="AM37" s="32"/>
      <c r="AN37" s="32"/>
      <c r="AO37" s="32"/>
    </row>
    <row r="38" spans="1:41" s="42" customFormat="1" ht="16.5">
      <c r="A38" s="62" t="s">
        <v>33</v>
      </c>
      <c r="B38" s="63">
        <v>359</v>
      </c>
      <c r="C38" s="60"/>
      <c r="D38" s="60">
        <v>972.96375000000012</v>
      </c>
      <c r="E38" s="60">
        <v>2784.7455600000003</v>
      </c>
      <c r="F38" s="60">
        <v>1733.3965999999998</v>
      </c>
      <c r="G38" s="60">
        <v>29047.742289999998</v>
      </c>
      <c r="H38" s="61">
        <v>39002.831520000007</v>
      </c>
      <c r="I38" s="61">
        <v>4641.6876700000003</v>
      </c>
      <c r="J38" s="61">
        <f>14513636/1000</f>
        <v>14513.636</v>
      </c>
      <c r="K38" s="28">
        <v>26834.55457</v>
      </c>
      <c r="L38" s="28">
        <v>36946.786330000003</v>
      </c>
      <c r="M38" s="28">
        <v>24048.471500000218</v>
      </c>
      <c r="N38" s="29">
        <v>25539.05096</v>
      </c>
      <c r="O38" s="29">
        <v>37377.173340000008</v>
      </c>
      <c r="P38" s="29">
        <v>50027.271359999992</v>
      </c>
      <c r="Q38" s="29">
        <v>44132.092630000014</v>
      </c>
      <c r="R38" s="116">
        <v>43955.909750000479</v>
      </c>
      <c r="S38" s="115">
        <f t="shared" si="5"/>
        <v>0.11428366284437697</v>
      </c>
      <c r="T38" s="115">
        <f t="shared" si="6"/>
        <v>0.13774068126667785</v>
      </c>
      <c r="U38" s="115">
        <f t="shared" si="7"/>
        <v>9.6838923950515451E-2</v>
      </c>
      <c r="V38" s="115">
        <f t="shared" si="8"/>
        <v>9.895709086728513E-2</v>
      </c>
      <c r="W38" s="94">
        <f t="shared" si="1"/>
        <v>46.353023840005712</v>
      </c>
      <c r="X38" s="115">
        <f t="shared" si="1"/>
        <v>33.844448067083235</v>
      </c>
      <c r="Y38" s="115">
        <f t="shared" si="1"/>
        <v>-11.783930183954727</v>
      </c>
      <c r="Z38" s="115">
        <f t="shared" si="1"/>
        <v>-0.39921714448629936</v>
      </c>
      <c r="AA38" s="105" t="s">
        <v>34</v>
      </c>
      <c r="AC38" s="8"/>
      <c r="AD38" s="8"/>
      <c r="AE38" s="8"/>
      <c r="AF38" s="8"/>
      <c r="AG38" s="8"/>
      <c r="AI38" s="8"/>
    </row>
    <row r="39" spans="1:41" s="51" customFormat="1" ht="16.5">
      <c r="A39" s="64" t="s">
        <v>24</v>
      </c>
      <c r="B39" s="65">
        <v>490423.87167999998</v>
      </c>
      <c r="C39" s="66"/>
      <c r="D39" s="66">
        <v>1787385.9395900001</v>
      </c>
      <c r="E39" s="67">
        <v>2568857.9006199003</v>
      </c>
      <c r="F39" s="67">
        <v>2793284.56269</v>
      </c>
      <c r="G39" s="67">
        <v>3381833.6904100007</v>
      </c>
      <c r="H39" s="68">
        <v>2034750.5645699999</v>
      </c>
      <c r="I39" s="68">
        <v>2866431.6570799998</v>
      </c>
      <c r="J39" s="68">
        <f>SUM(J40:J43)</f>
        <v>4963204.1366999</v>
      </c>
      <c r="K39" s="19">
        <v>7382049.84638</v>
      </c>
      <c r="L39" s="19">
        <f t="shared" ref="L39:Q39" si="17">SUM(L40:L43)</f>
        <v>8333078.04079</v>
      </c>
      <c r="M39" s="19">
        <f t="shared" si="17"/>
        <v>8910104.6803598013</v>
      </c>
      <c r="N39" s="19">
        <f t="shared" si="17"/>
        <v>5664646.5532001005</v>
      </c>
      <c r="O39" s="19">
        <f t="shared" si="17"/>
        <v>6432764.1997599453</v>
      </c>
      <c r="P39" s="19">
        <f t="shared" si="17"/>
        <v>7679425.4968550289</v>
      </c>
      <c r="Q39" s="19">
        <f t="shared" si="17"/>
        <v>10057780.652160024</v>
      </c>
      <c r="R39" s="20">
        <f t="shared" ref="R39" si="18">SUM(R40:R43)</f>
        <v>9263715.8779299539</v>
      </c>
      <c r="S39" s="21">
        <f t="shared" si="5"/>
        <v>19.668685169833225</v>
      </c>
      <c r="T39" s="21">
        <f t="shared" si="6"/>
        <v>21.143853560625377</v>
      </c>
      <c r="U39" s="21">
        <f t="shared" si="7"/>
        <v>22.069759162596274</v>
      </c>
      <c r="V39" s="21">
        <f t="shared" si="8"/>
        <v>20.855224681159431</v>
      </c>
      <c r="W39" s="95">
        <f t="shared" si="1"/>
        <v>13.559851251900543</v>
      </c>
      <c r="X39" s="21">
        <f t="shared" si="1"/>
        <v>19.379869343595804</v>
      </c>
      <c r="Y39" s="21">
        <f t="shared" si="1"/>
        <v>30.970482834673092</v>
      </c>
      <c r="Z39" s="21">
        <f t="shared" si="1"/>
        <v>-7.895029745548646</v>
      </c>
      <c r="AA39" s="103" t="s">
        <v>71</v>
      </c>
      <c r="AB39" s="42"/>
      <c r="AC39" s="17"/>
      <c r="AD39" s="17"/>
      <c r="AE39" s="17"/>
      <c r="AF39" s="17"/>
      <c r="AG39" s="17"/>
      <c r="AH39" s="18"/>
      <c r="AI39" s="8"/>
      <c r="AJ39" s="32"/>
      <c r="AK39" s="32"/>
      <c r="AL39" s="32"/>
      <c r="AM39" s="32"/>
      <c r="AN39" s="32"/>
      <c r="AO39" s="32"/>
    </row>
    <row r="40" spans="1:41" s="42" customFormat="1" ht="16.5">
      <c r="A40" s="62" t="s">
        <v>72</v>
      </c>
      <c r="B40" s="63">
        <v>455615.66120999999</v>
      </c>
      <c r="C40" s="60"/>
      <c r="D40" s="60">
        <v>1499691.8152100001</v>
      </c>
      <c r="E40" s="60">
        <v>2498954.0739299003</v>
      </c>
      <c r="F40" s="60">
        <v>2684515.97536</v>
      </c>
      <c r="G40" s="60">
        <v>3201066.5003000004</v>
      </c>
      <c r="H40" s="61">
        <v>1944416.2182700001</v>
      </c>
      <c r="I40" s="61">
        <v>2631062.0756700002</v>
      </c>
      <c r="J40" s="61">
        <f>4475246142.8999/1000</f>
        <v>4475246.1428999007</v>
      </c>
      <c r="K40" s="28">
        <v>7147037.9156599995</v>
      </c>
      <c r="L40" s="28">
        <v>7551355.1546299998</v>
      </c>
      <c r="M40" s="28">
        <v>7272418.7681798004</v>
      </c>
      <c r="N40" s="29">
        <v>4872351.5862101</v>
      </c>
      <c r="O40" s="29">
        <v>5126473.3967399448</v>
      </c>
      <c r="P40" s="29">
        <v>6682101.2809250262</v>
      </c>
      <c r="Q40" s="29">
        <v>8261155.0778400246</v>
      </c>
      <c r="R40" s="116">
        <v>8359593.4175699549</v>
      </c>
      <c r="S40" s="115">
        <f t="shared" si="5"/>
        <v>15.674597753134847</v>
      </c>
      <c r="T40" s="115">
        <f t="shared" si="6"/>
        <v>18.397908934595026</v>
      </c>
      <c r="U40" s="115">
        <f t="shared" si="7"/>
        <v>18.127428831293205</v>
      </c>
      <c r="V40" s="115">
        <f t="shared" si="8"/>
        <v>18.819791244020827</v>
      </c>
      <c r="W40" s="94">
        <f t="shared" si="1"/>
        <v>5.2155885311944497</v>
      </c>
      <c r="X40" s="115">
        <f t="shared" si="1"/>
        <v>30.344990869831584</v>
      </c>
      <c r="Y40" s="115">
        <f t="shared" si="1"/>
        <v>23.631096425051563</v>
      </c>
      <c r="Z40" s="115">
        <f t="shared" si="1"/>
        <v>1.191580823775894</v>
      </c>
      <c r="AA40" s="105" t="s">
        <v>73</v>
      </c>
      <c r="AB40" s="8"/>
      <c r="AC40" s="8"/>
      <c r="AD40" s="8"/>
      <c r="AE40" s="8"/>
      <c r="AF40" s="8"/>
      <c r="AG40" s="8"/>
      <c r="AH40" s="9"/>
      <c r="AI40" s="8"/>
    </row>
    <row r="41" spans="1:41" s="42" customFormat="1" ht="16.5">
      <c r="A41" s="62" t="s">
        <v>74</v>
      </c>
      <c r="B41" s="63">
        <v>6331.6839300000001</v>
      </c>
      <c r="C41" s="60"/>
      <c r="D41" s="60">
        <v>3935.34429</v>
      </c>
      <c r="E41" s="60">
        <v>20284.0537</v>
      </c>
      <c r="F41" s="60">
        <v>4433.24442</v>
      </c>
      <c r="G41" s="60">
        <v>62766.989370000003</v>
      </c>
      <c r="H41" s="61">
        <v>7451.5884100000003</v>
      </c>
      <c r="I41" s="61">
        <v>26724.82677</v>
      </c>
      <c r="J41" s="61">
        <f>67682138.83/1000</f>
        <v>67682.138829999996</v>
      </c>
      <c r="K41" s="28">
        <v>62021.306600000004</v>
      </c>
      <c r="L41" s="28">
        <v>123963.49541</v>
      </c>
      <c r="M41" s="28">
        <v>186104.56685</v>
      </c>
      <c r="N41" s="29">
        <v>68738.916069999992</v>
      </c>
      <c r="O41" s="29">
        <v>119151.79522999983</v>
      </c>
      <c r="P41" s="29">
        <v>109627.61198999995</v>
      </c>
      <c r="Q41" s="29">
        <v>160259.57405000005</v>
      </c>
      <c r="R41" s="116">
        <v>279326.08016999991</v>
      </c>
      <c r="S41" s="115">
        <f t="shared" si="5"/>
        <v>0.36431603507039145</v>
      </c>
      <c r="T41" s="115">
        <f t="shared" si="6"/>
        <v>0.30183900801783842</v>
      </c>
      <c r="U41" s="115">
        <f t="shared" si="7"/>
        <v>0.35165712249095199</v>
      </c>
      <c r="V41" s="115">
        <f t="shared" si="8"/>
        <v>0.62884141072714239</v>
      </c>
      <c r="W41" s="94">
        <f t="shared" si="1"/>
        <v>73.339648109466964</v>
      </c>
      <c r="X41" s="115">
        <f t="shared" si="1"/>
        <v>-7.9933191284405432</v>
      </c>
      <c r="Y41" s="115">
        <f t="shared" si="1"/>
        <v>46.185409990157105</v>
      </c>
      <c r="Z41" s="115">
        <f t="shared" si="1"/>
        <v>74.296033061245879</v>
      </c>
      <c r="AA41" s="105" t="s">
        <v>75</v>
      </c>
      <c r="AB41" s="17"/>
      <c r="AC41" s="8"/>
      <c r="AD41" s="8"/>
      <c r="AE41" s="8"/>
      <c r="AF41" s="8"/>
      <c r="AG41" s="8"/>
      <c r="AH41" s="9"/>
      <c r="AI41" s="8"/>
    </row>
    <row r="42" spans="1:41" s="42" customFormat="1" ht="16.5">
      <c r="A42" s="62" t="s">
        <v>76</v>
      </c>
      <c r="B42" s="63">
        <v>10225.526540000001</v>
      </c>
      <c r="C42" s="60"/>
      <c r="D42" s="60">
        <v>192060.77072</v>
      </c>
      <c r="E42" s="60">
        <v>175.76229999999998</v>
      </c>
      <c r="F42" s="60">
        <v>51897.619210000004</v>
      </c>
      <c r="G42" s="60">
        <v>48746.367439999995</v>
      </c>
      <c r="H42" s="61">
        <v>645.68739000000005</v>
      </c>
      <c r="I42" s="61">
        <v>83375.757440000001</v>
      </c>
      <c r="J42" s="61">
        <f>241054051.17/1000</f>
        <v>241054.05116999999</v>
      </c>
      <c r="K42" s="28">
        <v>2141.2748999999999</v>
      </c>
      <c r="L42" s="28">
        <v>493066.62354</v>
      </c>
      <c r="M42" s="28">
        <v>1234074.0657000002</v>
      </c>
      <c r="N42" s="29">
        <v>334613.03081000003</v>
      </c>
      <c r="O42" s="29">
        <v>349543.13528000016</v>
      </c>
      <c r="P42" s="29">
        <v>21032.909509999998</v>
      </c>
      <c r="Q42" s="29">
        <v>35781.251859999997</v>
      </c>
      <c r="R42" s="116">
        <v>2933.1176800000003</v>
      </c>
      <c r="S42" s="115">
        <f t="shared" si="5"/>
        <v>1.0687557739727671</v>
      </c>
      <c r="T42" s="115">
        <f t="shared" si="6"/>
        <v>5.7910159922177851E-2</v>
      </c>
      <c r="U42" s="115">
        <f t="shared" si="7"/>
        <v>7.8514698062818286E-2</v>
      </c>
      <c r="V42" s="115">
        <f t="shared" si="8"/>
        <v>6.6032711968655681E-3</v>
      </c>
      <c r="W42" s="94">
        <f t="shared" si="1"/>
        <v>4.4619016880062121</v>
      </c>
      <c r="X42" s="115">
        <f t="shared" si="1"/>
        <v>-93.98274278991299</v>
      </c>
      <c r="Y42" s="115">
        <f t="shared" si="1"/>
        <v>70.120314752402507</v>
      </c>
      <c r="Z42" s="115">
        <f t="shared" si="1"/>
        <v>-91.802640971097631</v>
      </c>
      <c r="AA42" s="105" t="s">
        <v>77</v>
      </c>
      <c r="AB42" s="8"/>
      <c r="AC42" s="8"/>
      <c r="AD42" s="8"/>
      <c r="AE42" s="8"/>
      <c r="AF42" s="8"/>
      <c r="AG42" s="8"/>
      <c r="AH42" s="9"/>
      <c r="AI42" s="8"/>
    </row>
    <row r="43" spans="1:41" s="42" customFormat="1" ht="17.25">
      <c r="A43" s="62" t="s">
        <v>33</v>
      </c>
      <c r="B43" s="63">
        <v>18251</v>
      </c>
      <c r="C43" s="60"/>
      <c r="D43" s="60">
        <v>91698.00937</v>
      </c>
      <c r="E43" s="60">
        <v>49444.010689999996</v>
      </c>
      <c r="F43" s="60">
        <v>52437.723700000002</v>
      </c>
      <c r="G43" s="60">
        <v>69253.833299999998</v>
      </c>
      <c r="H43" s="61">
        <v>82237.070499999681</v>
      </c>
      <c r="I43" s="61">
        <v>125268.99720000001</v>
      </c>
      <c r="J43" s="61">
        <f>179221803.8/1000</f>
        <v>179221.80380000002</v>
      </c>
      <c r="K43" s="28">
        <v>170849.34922</v>
      </c>
      <c r="L43" s="28">
        <v>164692.76721000002</v>
      </c>
      <c r="M43" s="28">
        <v>217507.27962999977</v>
      </c>
      <c r="N43" s="29">
        <v>388943.02011000004</v>
      </c>
      <c r="O43" s="29">
        <v>837595.87250999978</v>
      </c>
      <c r="P43" s="29">
        <v>866663.69443000294</v>
      </c>
      <c r="Q43" s="29">
        <v>1600584.7484099988</v>
      </c>
      <c r="R43" s="116">
        <v>621863.26251000026</v>
      </c>
      <c r="S43" s="115">
        <f t="shared" si="5"/>
        <v>2.5610156076552189</v>
      </c>
      <c r="T43" s="115">
        <f t="shared" si="6"/>
        <v>2.3861954580903322</v>
      </c>
      <c r="U43" s="115">
        <f t="shared" si="7"/>
        <v>3.5121585107492947</v>
      </c>
      <c r="V43" s="115">
        <f t="shared" si="8"/>
        <v>1.3999887552146002</v>
      </c>
      <c r="W43" s="94">
        <f t="shared" si="1"/>
        <v>115.35181998461181</v>
      </c>
      <c r="X43" s="115">
        <f t="shared" si="1"/>
        <v>3.4703874355178521</v>
      </c>
      <c r="Y43" s="115">
        <f t="shared" si="1"/>
        <v>84.683488958504171</v>
      </c>
      <c r="Z43" s="115">
        <f t="shared" si="1"/>
        <v>-61.147745339461004</v>
      </c>
      <c r="AA43" s="104" t="s">
        <v>34</v>
      </c>
      <c r="AB43" s="8"/>
      <c r="AC43" s="8"/>
      <c r="AD43" s="8"/>
      <c r="AE43" s="8"/>
      <c r="AF43" s="8"/>
      <c r="AG43" s="8"/>
      <c r="AH43" s="9"/>
      <c r="AI43" s="8"/>
    </row>
    <row r="44" spans="1:41" s="51" customFormat="1" ht="16.5">
      <c r="A44" s="64" t="s">
        <v>32</v>
      </c>
      <c r="B44" s="69">
        <v>235219.99874999997</v>
      </c>
      <c r="C44" s="66"/>
      <c r="D44" s="66">
        <v>280840.71360999998</v>
      </c>
      <c r="E44" s="67">
        <v>407556.19584000006</v>
      </c>
      <c r="F44" s="67">
        <v>556300.65726000001</v>
      </c>
      <c r="G44" s="67">
        <v>542275.60709000006</v>
      </c>
      <c r="H44" s="68">
        <v>423221.01634999993</v>
      </c>
      <c r="I44" s="68">
        <v>548195.71004999999</v>
      </c>
      <c r="J44" s="68">
        <f>SUM(J45:J47)</f>
        <v>558906.88815000001</v>
      </c>
      <c r="K44" s="19">
        <v>599483.29238</v>
      </c>
      <c r="L44" s="19">
        <f>SUM(L45:L47)</f>
        <v>695240.01090999995</v>
      </c>
      <c r="M44" s="19">
        <f>SUM(M45:M47)</f>
        <v>875337.33420000016</v>
      </c>
      <c r="N44" s="19">
        <f>SUM(N45:N47)</f>
        <v>828695.95561000006</v>
      </c>
      <c r="O44" s="19">
        <f>SUM(O45:O48)</f>
        <v>771419.69127000193</v>
      </c>
      <c r="P44" s="19">
        <f>SUM(P45:P48)</f>
        <v>1002806.574630001</v>
      </c>
      <c r="Q44" s="19">
        <f>SUM(Q45:Q48)</f>
        <v>1021243.3663099986</v>
      </c>
      <c r="R44" s="20">
        <f>SUM(R45:R48)</f>
        <v>1207909.1769599949</v>
      </c>
      <c r="S44" s="21">
        <f t="shared" si="5"/>
        <v>2.3586767010620138</v>
      </c>
      <c r="T44" s="21">
        <f t="shared" si="6"/>
        <v>2.7610392694469752</v>
      </c>
      <c r="U44" s="21">
        <f t="shared" si="7"/>
        <v>2.240911381977726</v>
      </c>
      <c r="V44" s="21">
        <f t="shared" si="8"/>
        <v>2.7193426063455894</v>
      </c>
      <c r="W44" s="95">
        <f t="shared" si="1"/>
        <v>-6.9116138376513838</v>
      </c>
      <c r="X44" s="21">
        <f t="shared" si="1"/>
        <v>29.994941272378295</v>
      </c>
      <c r="Y44" s="21">
        <f t="shared" si="1"/>
        <v>1.8385192265816648</v>
      </c>
      <c r="Z44" s="21">
        <f t="shared" si="1"/>
        <v>18.278288682987046</v>
      </c>
      <c r="AA44" s="103" t="s">
        <v>78</v>
      </c>
      <c r="AB44" s="8"/>
      <c r="AC44" s="17"/>
      <c r="AD44" s="17"/>
      <c r="AE44" s="17"/>
      <c r="AF44" s="17"/>
      <c r="AG44" s="17"/>
      <c r="AH44" s="18"/>
      <c r="AI44" s="17"/>
    </row>
    <row r="45" spans="1:41" s="42" customFormat="1" ht="16.5">
      <c r="A45" s="62" t="s">
        <v>79</v>
      </c>
      <c r="B45" s="61">
        <v>195891.04432999998</v>
      </c>
      <c r="C45" s="60"/>
      <c r="D45" s="60">
        <v>203300.3879</v>
      </c>
      <c r="E45" s="60">
        <v>265394.56141000002</v>
      </c>
      <c r="F45" s="60">
        <v>326545.99301999999</v>
      </c>
      <c r="G45" s="60">
        <v>347495.04765000002</v>
      </c>
      <c r="H45" s="61">
        <v>341128.37851999997</v>
      </c>
      <c r="I45" s="61">
        <v>388993.97334000003</v>
      </c>
      <c r="J45" s="61">
        <f>447037316.74/1000</f>
        <v>447037.31674000004</v>
      </c>
      <c r="K45" s="28">
        <v>481298.19501999998</v>
      </c>
      <c r="L45" s="28">
        <v>498078.70767999999</v>
      </c>
      <c r="M45" s="28">
        <v>564959.35370000009</v>
      </c>
      <c r="N45" s="29">
        <v>493651.14</v>
      </c>
      <c r="O45" s="29">
        <v>530302.52127000177</v>
      </c>
      <c r="P45" s="29">
        <v>623690.12402000092</v>
      </c>
      <c r="Q45" s="29">
        <v>661419.75911999831</v>
      </c>
      <c r="R45" s="116">
        <v>733146.0403499949</v>
      </c>
      <c r="S45" s="115">
        <f t="shared" si="5"/>
        <v>1.6214418890121434</v>
      </c>
      <c r="T45" s="115">
        <f t="shared" si="6"/>
        <v>1.7172134367196823</v>
      </c>
      <c r="U45" s="115">
        <f t="shared" si="7"/>
        <v>1.4513514754396486</v>
      </c>
      <c r="V45" s="115">
        <f t="shared" si="8"/>
        <v>1.6505175241857881</v>
      </c>
      <c r="W45" s="94">
        <f t="shared" si="1"/>
        <v>7.4245511253152898</v>
      </c>
      <c r="X45" s="115">
        <f t="shared" si="1"/>
        <v>17.61025056534686</v>
      </c>
      <c r="Y45" s="115">
        <f t="shared" si="1"/>
        <v>6.0494199999208993</v>
      </c>
      <c r="Z45" s="115">
        <f t="shared" si="1"/>
        <v>10.84429067033415</v>
      </c>
      <c r="AA45" s="105" t="s">
        <v>80</v>
      </c>
      <c r="AB45" s="8"/>
      <c r="AC45" s="8"/>
      <c r="AD45" s="8"/>
      <c r="AE45" s="8"/>
      <c r="AF45" s="8"/>
      <c r="AG45" s="8"/>
      <c r="AI45" s="8"/>
    </row>
    <row r="46" spans="1:41" s="42" customFormat="1" ht="16.5">
      <c r="A46" s="62" t="s">
        <v>81</v>
      </c>
      <c r="B46" s="61">
        <v>39328.954420000002</v>
      </c>
      <c r="C46" s="60"/>
      <c r="D46" s="60">
        <v>77540.32570999999</v>
      </c>
      <c r="E46" s="60">
        <v>142161.63443000001</v>
      </c>
      <c r="F46" s="60">
        <v>203939.01424000002</v>
      </c>
      <c r="G46" s="60">
        <v>194276.36552000002</v>
      </c>
      <c r="H46" s="61">
        <v>82092.637829999992</v>
      </c>
      <c r="I46" s="61">
        <v>159201.73670999997</v>
      </c>
      <c r="J46" s="61">
        <f>111869571.41/1000</f>
        <v>111869.57140999999</v>
      </c>
      <c r="K46" s="28">
        <v>118185.09736</v>
      </c>
      <c r="L46" s="28">
        <v>197161.30322999999</v>
      </c>
      <c r="M46" s="28">
        <v>310107.57220999995</v>
      </c>
      <c r="N46" s="29">
        <v>335044.81560999999</v>
      </c>
      <c r="O46" s="29">
        <v>240493.51027000026</v>
      </c>
      <c r="P46" s="29">
        <v>377837.47268000001</v>
      </c>
      <c r="Q46" s="29">
        <v>358327.35065000021</v>
      </c>
      <c r="R46" s="116">
        <v>473314.19823000015</v>
      </c>
      <c r="S46" s="115">
        <f t="shared" si="5"/>
        <v>0.73532792311355166</v>
      </c>
      <c r="T46" s="115">
        <f t="shared" si="6"/>
        <v>1.0403044075802856</v>
      </c>
      <c r="U46" s="115">
        <f t="shared" si="7"/>
        <v>0.78627667511503274</v>
      </c>
      <c r="V46" s="115">
        <f t="shared" si="8"/>
        <v>1.0655631151627301</v>
      </c>
      <c r="W46" s="94">
        <f t="shared" si="1"/>
        <v>-28.220494971054755</v>
      </c>
      <c r="X46" s="115">
        <f t="shared" si="1"/>
        <v>57.109217731407682</v>
      </c>
      <c r="Y46" s="115">
        <f t="shared" si="1"/>
        <v>-5.1636281313270915</v>
      </c>
      <c r="Z46" s="115">
        <f t="shared" si="1"/>
        <v>32.089888581325319</v>
      </c>
      <c r="AA46" s="105" t="s">
        <v>82</v>
      </c>
      <c r="AB46" s="17"/>
      <c r="AC46" s="8"/>
      <c r="AD46" s="8"/>
      <c r="AE46" s="8"/>
      <c r="AF46" s="8"/>
      <c r="AG46" s="8"/>
      <c r="AH46" s="9"/>
      <c r="AI46" s="8"/>
    </row>
    <row r="47" spans="1:41" s="42" customFormat="1" ht="16.5">
      <c r="A47" s="62" t="s">
        <v>83</v>
      </c>
      <c r="B47" s="61"/>
      <c r="C47" s="60"/>
      <c r="D47" s="60">
        <v>0</v>
      </c>
      <c r="E47" s="60">
        <v>0</v>
      </c>
      <c r="F47" s="60">
        <v>25815.65</v>
      </c>
      <c r="G47" s="60">
        <v>504.19391999999999</v>
      </c>
      <c r="H47" s="61">
        <v>0</v>
      </c>
      <c r="I47" s="61">
        <v>0</v>
      </c>
      <c r="J47" s="61">
        <v>0</v>
      </c>
      <c r="K47" s="28">
        <v>0</v>
      </c>
      <c r="L47" s="28">
        <v>0</v>
      </c>
      <c r="M47" s="28">
        <v>270.40829000016674</v>
      </c>
      <c r="N47" s="29">
        <v>0</v>
      </c>
      <c r="O47" s="29">
        <v>541.22958999999992</v>
      </c>
      <c r="P47" s="29">
        <v>1278.97793</v>
      </c>
      <c r="Q47" s="29">
        <v>1496.2565400000001</v>
      </c>
      <c r="R47" s="116">
        <v>1448.9383799999998</v>
      </c>
      <c r="S47" s="115">
        <f t="shared" si="5"/>
        <v>1.6548522656411328E-3</v>
      </c>
      <c r="T47" s="115">
        <f t="shared" si="6"/>
        <v>3.5214251470069673E-3</v>
      </c>
      <c r="U47" s="115">
        <f t="shared" si="7"/>
        <v>3.2832314230443809E-3</v>
      </c>
      <c r="V47" s="115">
        <f t="shared" si="8"/>
        <v>3.2619669970715449E-3</v>
      </c>
      <c r="W47" s="94" t="s">
        <v>84</v>
      </c>
      <c r="X47" s="115">
        <f>((P47-O47)/O47)*100</f>
        <v>136.30968328985858</v>
      </c>
      <c r="Y47" s="115">
        <f>((Q47-P47)/P47)*100</f>
        <v>16.988456556087726</v>
      </c>
      <c r="Z47" s="115">
        <f>((R47-Q47)/Q47)*100</f>
        <v>-3.1624363025340734</v>
      </c>
      <c r="AA47" s="105" t="s">
        <v>85</v>
      </c>
      <c r="AB47" s="8"/>
      <c r="AC47" s="8"/>
      <c r="AD47" s="8"/>
      <c r="AE47" s="8"/>
      <c r="AF47" s="8"/>
      <c r="AG47" s="8"/>
      <c r="AH47" s="9"/>
      <c r="AI47" s="8"/>
    </row>
    <row r="48" spans="1:41" s="42" customFormat="1" ht="16.5">
      <c r="A48" s="70" t="s">
        <v>33</v>
      </c>
      <c r="B48" s="71"/>
      <c r="C48" s="72"/>
      <c r="D48" s="72"/>
      <c r="E48" s="73"/>
      <c r="F48" s="73"/>
      <c r="G48" s="73"/>
      <c r="H48" s="74"/>
      <c r="I48" s="74"/>
      <c r="J48" s="74"/>
      <c r="K48" s="75"/>
      <c r="L48" s="75">
        <v>0</v>
      </c>
      <c r="M48" s="75">
        <v>0</v>
      </c>
      <c r="N48" s="76">
        <v>0</v>
      </c>
      <c r="O48" s="76">
        <v>82.430139999999994</v>
      </c>
      <c r="P48" s="76">
        <v>0</v>
      </c>
      <c r="Q48" s="76">
        <v>0</v>
      </c>
      <c r="R48" s="117">
        <v>0</v>
      </c>
      <c r="S48" s="77">
        <f t="shared" si="5"/>
        <v>2.5203667067817892E-4</v>
      </c>
      <c r="T48" s="77">
        <f t="shared" si="6"/>
        <v>0</v>
      </c>
      <c r="U48" s="77">
        <f t="shared" si="7"/>
        <v>0</v>
      </c>
      <c r="V48" s="99">
        <f t="shared" si="8"/>
        <v>0</v>
      </c>
      <c r="W48" s="98" t="s">
        <v>84</v>
      </c>
      <c r="X48" s="78" t="s">
        <v>84</v>
      </c>
      <c r="Y48" s="78" t="s">
        <v>84</v>
      </c>
      <c r="Z48" s="78" t="s">
        <v>84</v>
      </c>
      <c r="AA48" s="109" t="s">
        <v>34</v>
      </c>
      <c r="AB48" s="8"/>
      <c r="AC48" s="8"/>
      <c r="AD48" s="8"/>
      <c r="AE48" s="8"/>
      <c r="AF48" s="8"/>
      <c r="AG48" s="8"/>
      <c r="AH48" s="9"/>
      <c r="AI48" s="8"/>
    </row>
    <row r="49" spans="1:38" s="82" customFormat="1" ht="16.5">
      <c r="A49" s="79" t="s">
        <v>86</v>
      </c>
      <c r="B49" s="80"/>
      <c r="C49" s="80"/>
      <c r="D49" s="80"/>
      <c r="E49" s="81"/>
      <c r="F49" s="81"/>
      <c r="G49" s="81"/>
      <c r="H49" s="81"/>
      <c r="I49" s="81"/>
      <c r="J49" s="81"/>
      <c r="K49" s="81"/>
      <c r="L49" s="81"/>
      <c r="M49" s="81"/>
      <c r="N49" s="80"/>
      <c r="O49" s="80"/>
      <c r="P49" s="80"/>
      <c r="Q49" s="80"/>
      <c r="R49" s="80"/>
      <c r="S49" s="80"/>
      <c r="T49" s="80"/>
      <c r="U49" s="80"/>
      <c r="V49" s="80"/>
      <c r="W49" s="21"/>
      <c r="X49" s="21"/>
      <c r="Y49" s="21"/>
      <c r="Z49" s="21"/>
      <c r="AA49" s="110" t="s">
        <v>87</v>
      </c>
      <c r="AB49" s="8"/>
      <c r="AC49" s="8"/>
      <c r="AD49" s="8"/>
      <c r="AE49" s="8"/>
      <c r="AF49" s="8"/>
      <c r="AG49" s="8"/>
      <c r="AH49" s="9"/>
      <c r="AI49" s="8"/>
      <c r="AL49" s="83"/>
    </row>
    <row r="50" spans="1:38" s="42" customFormat="1" ht="18">
      <c r="A50" s="79" t="s">
        <v>88</v>
      </c>
      <c r="B50" s="40"/>
      <c r="C50" s="40"/>
      <c r="D50" s="40"/>
      <c r="E50" s="84"/>
      <c r="F50" s="84"/>
      <c r="G50" s="84"/>
      <c r="H50" s="84"/>
      <c r="I50" s="84"/>
      <c r="J50" s="84"/>
      <c r="K50" s="84"/>
      <c r="L50" s="84"/>
      <c r="M50" s="84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111"/>
      <c r="AB50" s="8"/>
      <c r="AC50" s="8"/>
      <c r="AD50" s="8"/>
      <c r="AE50" s="8"/>
      <c r="AF50" s="8"/>
      <c r="AG50" s="8"/>
      <c r="AH50" s="9"/>
      <c r="AI50" s="8"/>
    </row>
    <row r="51" spans="1:38">
      <c r="AB51" s="40"/>
      <c r="AC51" s="8"/>
      <c r="AD51" s="8"/>
      <c r="AE51" s="8"/>
      <c r="AF51" s="8"/>
      <c r="AG51" s="8"/>
      <c r="AI51" s="8"/>
    </row>
    <row r="52" spans="1:38">
      <c r="N52" s="85"/>
      <c r="O52" s="85"/>
      <c r="P52" s="85"/>
      <c r="Q52" s="85"/>
      <c r="R52" s="85"/>
      <c r="AB52" s="40"/>
      <c r="AC52" s="8"/>
      <c r="AD52" s="8"/>
      <c r="AE52" s="8"/>
      <c r="AF52" s="8"/>
      <c r="AG52" s="8"/>
      <c r="AI52" s="8"/>
    </row>
    <row r="53" spans="1:38">
      <c r="N53" s="85"/>
      <c r="O53" s="85"/>
      <c r="P53" s="85"/>
      <c r="Q53" s="85"/>
      <c r="R53" s="85"/>
      <c r="AB53" s="40"/>
      <c r="AC53" s="8"/>
      <c r="AD53" s="8"/>
      <c r="AE53" s="8"/>
      <c r="AF53" s="8"/>
      <c r="AG53" s="8"/>
      <c r="AH53" s="18"/>
      <c r="AI53" s="8"/>
    </row>
    <row r="54" spans="1:38">
      <c r="N54" s="85"/>
      <c r="O54" s="85"/>
      <c r="P54" s="85"/>
      <c r="Q54" s="85"/>
      <c r="R54" s="85"/>
      <c r="AB54" s="40"/>
      <c r="AC54" s="8"/>
      <c r="AD54" s="8"/>
      <c r="AE54" s="8"/>
      <c r="AF54" s="8"/>
      <c r="AG54" s="8"/>
    </row>
    <row r="55" spans="1:38">
      <c r="N55" s="85"/>
      <c r="O55" s="85"/>
      <c r="P55" s="85"/>
      <c r="Q55" s="85"/>
      <c r="R55" s="85"/>
      <c r="AB55" s="40"/>
      <c r="AC55" s="8"/>
      <c r="AD55" s="8"/>
      <c r="AE55" s="8"/>
      <c r="AF55" s="8"/>
      <c r="AG55" s="8"/>
      <c r="AH55" s="86"/>
    </row>
    <row r="56" spans="1:38">
      <c r="AB56" s="40"/>
      <c r="AC56" s="8"/>
      <c r="AD56" s="8"/>
      <c r="AE56" s="8"/>
      <c r="AF56" s="8"/>
      <c r="AG56" s="8"/>
    </row>
    <row r="57" spans="1:38">
      <c r="G57" s="87"/>
      <c r="AB57" s="40"/>
      <c r="AC57" s="8"/>
      <c r="AD57" s="8"/>
      <c r="AE57" s="8"/>
      <c r="AF57" s="8"/>
      <c r="AG57" s="8"/>
    </row>
    <row r="58" spans="1:38">
      <c r="G58" s="88"/>
      <c r="AB58" s="40"/>
      <c r="AC58" s="8"/>
      <c r="AD58" s="8"/>
      <c r="AE58" s="8"/>
      <c r="AF58" s="8"/>
      <c r="AG58" s="8"/>
    </row>
    <row r="59" spans="1:38">
      <c r="G59" s="88"/>
      <c r="AB59" s="40"/>
      <c r="AC59" s="8"/>
      <c r="AD59" s="8"/>
      <c r="AE59" s="8"/>
      <c r="AF59" s="8"/>
      <c r="AG59" s="8"/>
    </row>
    <row r="60" spans="1:38">
      <c r="G60" s="88"/>
      <c r="AB60" s="40"/>
      <c r="AC60" s="8"/>
      <c r="AD60" s="8"/>
      <c r="AE60" s="8"/>
      <c r="AF60" s="8"/>
      <c r="AG60" s="8"/>
    </row>
    <row r="61" spans="1:38">
      <c r="G61" s="88"/>
      <c r="H61" s="84"/>
      <c r="I61" s="84"/>
      <c r="J61" s="84"/>
      <c r="K61" s="84"/>
      <c r="L61" s="84"/>
      <c r="M61" s="84"/>
      <c r="AB61" s="40"/>
      <c r="AC61" s="8"/>
      <c r="AD61" s="8"/>
      <c r="AE61" s="8"/>
      <c r="AF61" s="8"/>
      <c r="AG61" s="8"/>
    </row>
    <row r="62" spans="1:38">
      <c r="G62" s="88"/>
      <c r="H62" s="85"/>
      <c r="I62" s="85"/>
      <c r="J62" s="85"/>
      <c r="K62" s="85"/>
      <c r="L62" s="85"/>
      <c r="M62" s="85"/>
      <c r="N62" s="89"/>
      <c r="O62" s="89"/>
      <c r="P62" s="89"/>
      <c r="Q62" s="89"/>
      <c r="R62" s="89"/>
      <c r="AB62" s="40"/>
      <c r="AC62" s="8"/>
      <c r="AD62" s="8"/>
      <c r="AE62" s="8"/>
      <c r="AF62" s="8"/>
      <c r="AG62" s="8"/>
    </row>
    <row r="63" spans="1:38">
      <c r="F63" s="90"/>
      <c r="G63" s="88"/>
      <c r="H63" s="85"/>
      <c r="I63" s="85"/>
      <c r="J63" s="85"/>
      <c r="K63" s="85"/>
      <c r="L63" s="85"/>
      <c r="M63" s="85"/>
      <c r="N63" s="89"/>
      <c r="O63" s="89"/>
      <c r="P63" s="89"/>
      <c r="Q63" s="89"/>
      <c r="R63" s="89"/>
      <c r="AB63" s="40"/>
      <c r="AC63" s="8"/>
      <c r="AD63" s="8"/>
      <c r="AE63" s="8"/>
      <c r="AF63" s="8"/>
      <c r="AG63" s="8"/>
    </row>
    <row r="64" spans="1:38">
      <c r="A64" s="91"/>
      <c r="B64" s="92"/>
      <c r="C64" s="93"/>
      <c r="D64" s="93"/>
      <c r="E64" s="90"/>
      <c r="F64" s="90"/>
      <c r="G64" s="88"/>
      <c r="H64" s="85"/>
      <c r="I64" s="85"/>
      <c r="J64" s="85"/>
      <c r="K64" s="85"/>
      <c r="L64" s="85"/>
      <c r="M64" s="85"/>
      <c r="N64" s="89"/>
      <c r="O64" s="89"/>
      <c r="P64" s="89"/>
      <c r="Q64" s="89"/>
      <c r="R64" s="89"/>
      <c r="AB64" s="40"/>
      <c r="AC64" s="8"/>
      <c r="AD64" s="8"/>
      <c r="AE64" s="8"/>
      <c r="AF64" s="8"/>
      <c r="AG64" s="8"/>
    </row>
    <row r="65" spans="1:33">
      <c r="A65" s="91"/>
      <c r="B65" s="92"/>
      <c r="C65" s="93"/>
      <c r="D65" s="93"/>
      <c r="E65" s="90"/>
      <c r="F65" s="90"/>
      <c r="G65" s="88"/>
      <c r="H65" s="85"/>
      <c r="I65" s="85"/>
      <c r="J65" s="85"/>
      <c r="K65" s="85"/>
      <c r="L65" s="85"/>
      <c r="M65" s="85"/>
      <c r="N65" s="89"/>
      <c r="O65" s="89"/>
      <c r="P65" s="89"/>
      <c r="Q65" s="89"/>
      <c r="R65" s="89"/>
      <c r="AB65" s="40"/>
      <c r="AC65" s="8"/>
      <c r="AD65" s="8"/>
      <c r="AE65" s="8"/>
      <c r="AF65" s="8"/>
      <c r="AG65" s="8"/>
    </row>
    <row r="66" spans="1:33">
      <c r="F66" s="85"/>
      <c r="G66" s="85"/>
      <c r="H66" s="85"/>
      <c r="I66" s="85"/>
      <c r="J66" s="85"/>
      <c r="K66" s="85"/>
      <c r="L66" s="85"/>
      <c r="M66" s="85"/>
      <c r="N66" s="89"/>
      <c r="O66" s="89"/>
      <c r="P66" s="89"/>
      <c r="Q66" s="89"/>
      <c r="R66" s="89"/>
      <c r="AB66" s="40"/>
    </row>
    <row r="67" spans="1:33">
      <c r="F67" s="85"/>
      <c r="G67" s="85"/>
      <c r="H67" s="85"/>
      <c r="I67" s="85"/>
      <c r="J67" s="85"/>
      <c r="K67" s="85"/>
      <c r="L67" s="85"/>
      <c r="M67" s="85"/>
      <c r="N67" s="89"/>
      <c r="O67" s="89"/>
      <c r="P67" s="89"/>
      <c r="Q67" s="89"/>
      <c r="R67" s="89"/>
      <c r="AB67" s="40"/>
    </row>
    <row r="68" spans="1:33">
      <c r="F68" s="85"/>
      <c r="G68" s="85"/>
      <c r="H68" s="85"/>
      <c r="I68" s="85"/>
      <c r="J68" s="85"/>
      <c r="K68" s="85"/>
      <c r="L68" s="85"/>
      <c r="M68" s="85"/>
      <c r="N68" s="89"/>
      <c r="O68" s="89"/>
      <c r="P68" s="89"/>
      <c r="Q68" s="89"/>
      <c r="R68" s="89"/>
      <c r="AB68" s="40"/>
    </row>
    <row r="69" spans="1:33">
      <c r="AB69" s="40"/>
    </row>
    <row r="70" spans="1:33">
      <c r="AB70" s="40"/>
    </row>
    <row r="71" spans="1:33">
      <c r="AB71" s="40"/>
    </row>
    <row r="72" spans="1:33">
      <c r="AB72" s="40"/>
    </row>
    <row r="73" spans="1:33">
      <c r="AB73" s="40"/>
    </row>
    <row r="74" spans="1:33">
      <c r="AB74" s="40"/>
    </row>
    <row r="75" spans="1:33">
      <c r="AB75" s="40"/>
    </row>
    <row r="76" spans="1:33">
      <c r="AB76" s="40"/>
    </row>
    <row r="77" spans="1:33">
      <c r="AB77" s="40"/>
    </row>
    <row r="78" spans="1:33">
      <c r="AB78" s="40"/>
    </row>
    <row r="79" spans="1:33">
      <c r="AB79" s="40"/>
    </row>
    <row r="80" spans="1:33">
      <c r="AB80" s="40"/>
    </row>
  </sheetData>
  <mergeCells count="10">
    <mergeCell ref="W5:Z5"/>
    <mergeCell ref="S5:V5"/>
    <mergeCell ref="S4:V4"/>
    <mergeCell ref="A1:AA1"/>
    <mergeCell ref="A2:AA2"/>
    <mergeCell ref="A4:A6"/>
    <mergeCell ref="AA4:AA6"/>
    <mergeCell ref="E4:R4"/>
    <mergeCell ref="E5:R5"/>
    <mergeCell ref="W4:Z4"/>
  </mergeCells>
  <pageMargins left="0.7" right="0.7" top="0.75" bottom="0.75" header="0.3" footer="0.3"/>
  <pageSetup paperSize="9" scale="5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2020-10-20T04:22:43Z</cp:lastPrinted>
  <dcterms:created xsi:type="dcterms:W3CDTF">2019-12-05T04:01:34Z</dcterms:created>
  <dcterms:modified xsi:type="dcterms:W3CDTF">2020-10-20T04:23:30Z</dcterms:modified>
</cp:coreProperties>
</file>