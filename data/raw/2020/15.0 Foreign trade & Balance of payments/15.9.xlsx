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ohamed\Desktop\yearbook 2020 =update\web\15\"/>
    </mc:Choice>
  </mc:AlternateContent>
  <bookViews>
    <workbookView xWindow="0" yWindow="0" windowWidth="28800" windowHeight="12435" tabRatio="817"/>
  </bookViews>
  <sheets>
    <sheet name="15.9" sheetId="9" r:id="rId1"/>
  </sheets>
  <definedNames>
    <definedName name="_xlnm.Print_Area" localSheetId="0">'15.9'!$A$1:$H$65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24" i="9" l="1"/>
  <c r="W23" i="9" l="1"/>
  <c r="W22" i="9" l="1"/>
  <c r="W21" i="9"/>
  <c r="W20" i="9"/>
  <c r="W19" i="9"/>
  <c r="W18" i="9"/>
  <c r="W17" i="9"/>
  <c r="W16" i="9"/>
  <c r="W15" i="9"/>
  <c r="W14" i="9"/>
  <c r="W13" i="9"/>
  <c r="W12" i="9"/>
  <c r="W11" i="9"/>
  <c r="W10" i="9"/>
  <c r="W9" i="9"/>
  <c r="W8" i="9"/>
  <c r="W7" i="9"/>
  <c r="W6" i="9"/>
  <c r="W5" i="9"/>
</calcChain>
</file>

<file path=xl/sharedStrings.xml><?xml version="1.0" encoding="utf-8"?>
<sst xmlns="http://schemas.openxmlformats.org/spreadsheetml/2006/main" count="13" uniqueCount="13">
  <si>
    <t>Source:  Maldives Customs Services</t>
  </si>
  <si>
    <t>-</t>
  </si>
  <si>
    <t>Year</t>
  </si>
  <si>
    <t xml:space="preserve">Tobacco Leaves (Kgs) </t>
  </si>
  <si>
    <t xml:space="preserve">Number of cigars </t>
  </si>
  <si>
    <t>Number of cheroots / Cigarillo</t>
  </si>
  <si>
    <t xml:space="preserve">Number of cigarettes </t>
  </si>
  <si>
    <t>Chewing tobacco by weight (Kgs)</t>
  </si>
  <si>
    <t>Smoking tobacco by weight (Kgs)</t>
  </si>
  <si>
    <t>Pipe tobacco by weight (Kgs)</t>
  </si>
  <si>
    <t>މަޢުލޫމާތު ދެއްވީ: މޯލްޑިވްސް ކަސްޓަމްސް ސާރވިސް</t>
  </si>
  <si>
    <t>Table 15.9: IMPORTS OF TOBACCO AND TOBACCO PRODUCTS, 2000 - 2019</t>
  </si>
  <si>
    <t>ތާވަލު 15.9: ރާއްޖެއަށް ދުންފަތުގެ ބާވަތްތައް އެތެރެކުރެވުނު މިންވަރު، 2000- 2019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</si>
</sst>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7" formatCode="0.0"/>
    <numFmt numFmtId="171" formatCode="General_)"/>
    <numFmt numFmtId="172" formatCode="_-* #,##0.00\ _ރ_._-;_-* #,##0.00\ _ރ_.\-;_-* &quot;-&quot;??\ _ރ_._-;_-@_-"/>
    <numFmt numFmtId="173" formatCode="0.00_)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sz val="10"/>
      <name val="Faruma"/>
    </font>
    <font>
      <sz val="10"/>
      <name val="Courier"/>
      <family val="3"/>
    </font>
    <font>
      <sz val="10"/>
      <name val="MS Sans Serif"/>
      <family val="2"/>
    </font>
    <font>
      <b/>
      <sz val="12"/>
      <name val="Calibri"/>
      <family val="2"/>
      <scheme val="minor"/>
    </font>
    <font>
      <b/>
      <sz val="12"/>
      <name val="Faruma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i/>
      <sz val="16"/>
      <name val="Helv"/>
    </font>
    <font>
      <b/>
      <sz val="18"/>
      <color theme="3"/>
      <name val="Calibri Light"/>
      <family val="2"/>
      <scheme val="major"/>
    </font>
    <font>
      <sz val="11"/>
      <color indexed="8"/>
      <name val="Calibri"/>
      <family val="2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7"/>
        <bgColor indexed="47"/>
      </patternFill>
    </fill>
  </fills>
  <borders count="2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/>
      <bottom/>
      <diagonal/>
    </border>
    <border>
      <left/>
      <right style="thin">
        <color theme="0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9">
    <xf numFmtId="0" fontId="0" fillId="0" borderId="0"/>
    <xf numFmtId="43" fontId="3" fillId="0" borderId="0" applyFont="0" applyFill="0" applyBorder="0" applyAlignment="0" applyProtection="0"/>
    <xf numFmtId="0" fontId="1" fillId="0" borderId="0"/>
    <xf numFmtId="0" fontId="3" fillId="0" borderId="0"/>
    <xf numFmtId="9" fontId="3" fillId="0" borderId="0" applyFont="0" applyFill="0" applyBorder="0" applyAlignment="0" applyProtection="0"/>
    <xf numFmtId="0" fontId="12" fillId="0" borderId="17" applyNumberFormat="0" applyFill="0" applyAlignment="0" applyProtection="0"/>
    <xf numFmtId="0" fontId="13" fillId="0" borderId="18" applyNumberFormat="0" applyFill="0" applyAlignment="0" applyProtection="0"/>
    <xf numFmtId="0" fontId="14" fillId="0" borderId="19" applyNumberFormat="0" applyFill="0" applyAlignment="0" applyProtection="0"/>
    <xf numFmtId="0" fontId="14" fillId="0" borderId="0" applyNumberFormat="0" applyFill="0" applyBorder="0" applyAlignment="0" applyProtection="0"/>
    <xf numFmtId="0" fontId="15" fillId="3" borderId="0" applyNumberFormat="0" applyBorder="0" applyAlignment="0" applyProtection="0"/>
    <xf numFmtId="0" fontId="16" fillId="4" borderId="0" applyNumberFormat="0" applyBorder="0" applyAlignment="0" applyProtection="0"/>
    <xf numFmtId="0" fontId="17" fillId="5" borderId="0" applyNumberFormat="0" applyBorder="0" applyAlignment="0" applyProtection="0"/>
    <xf numFmtId="0" fontId="18" fillId="6" borderId="20" applyNumberFormat="0" applyAlignment="0" applyProtection="0"/>
    <xf numFmtId="0" fontId="19" fillId="7" borderId="21" applyNumberFormat="0" applyAlignment="0" applyProtection="0"/>
    <xf numFmtId="0" fontId="20" fillId="7" borderId="20" applyNumberFormat="0" applyAlignment="0" applyProtection="0"/>
    <xf numFmtId="0" fontId="21" fillId="0" borderId="22" applyNumberFormat="0" applyFill="0" applyAlignment="0" applyProtection="0"/>
    <xf numFmtId="0" fontId="22" fillId="8" borderId="23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25" applyNumberFormat="0" applyFill="0" applyAlignment="0" applyProtection="0"/>
    <xf numFmtId="0" fontId="25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25" fillId="13" borderId="0" applyNumberFormat="0" applyBorder="0" applyAlignment="0" applyProtection="0"/>
    <xf numFmtId="0" fontId="25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25" fillId="17" borderId="0" applyNumberFormat="0" applyBorder="0" applyAlignment="0" applyProtection="0"/>
    <xf numFmtId="0" fontId="25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25" fillId="21" borderId="0" applyNumberFormat="0" applyBorder="0" applyAlignment="0" applyProtection="0"/>
    <xf numFmtId="0" fontId="25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25" fillId="25" borderId="0" applyNumberFormat="0" applyBorder="0" applyAlignment="0" applyProtection="0"/>
    <xf numFmtId="0" fontId="25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25" fillId="29" borderId="0" applyNumberFormat="0" applyBorder="0" applyAlignment="0" applyProtection="0"/>
    <xf numFmtId="0" fontId="25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5" fillId="33" borderId="0" applyNumberFormat="0" applyBorder="0" applyAlignment="0" applyProtection="0"/>
    <xf numFmtId="0" fontId="26" fillId="0" borderId="0"/>
    <xf numFmtId="0" fontId="3" fillId="0" borderId="0"/>
    <xf numFmtId="172" fontId="3" fillId="0" borderId="0" applyFont="0" applyFill="0" applyBorder="0" applyAlignment="0" applyProtection="0"/>
    <xf numFmtId="173" fontId="27" fillId="0" borderId="0"/>
    <xf numFmtId="0" fontId="28" fillId="0" borderId="0" applyNumberForma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9" borderId="24" applyNumberFormat="0" applyFont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9" borderId="24" applyNumberFormat="0" applyFont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9" fillId="34" borderId="0" applyNumberFormat="0" applyBorder="0" applyAlignment="0" applyProtection="0"/>
  </cellStyleXfs>
  <cellXfs count="54">
    <xf numFmtId="0" fontId="0" fillId="0" borderId="0" xfId="0"/>
    <xf numFmtId="3" fontId="5" fillId="2" borderId="0" xfId="1" applyNumberFormat="1" applyFont="1" applyFill="1" applyBorder="1" applyAlignment="1">
      <alignment horizontal="right" vertical="center"/>
    </xf>
    <xf numFmtId="3" fontId="5" fillId="2" borderId="6" xfId="1" applyNumberFormat="1" applyFont="1" applyFill="1" applyBorder="1" applyAlignment="1">
      <alignment horizontal="right" vertical="center"/>
    </xf>
    <xf numFmtId="0" fontId="0" fillId="2" borderId="7" xfId="0" applyFill="1" applyBorder="1"/>
    <xf numFmtId="0" fontId="0" fillId="2" borderId="6" xfId="0" applyFill="1" applyBorder="1"/>
    <xf numFmtId="0" fontId="4" fillId="2" borderId="10" xfId="0" applyFont="1" applyFill="1" applyBorder="1" applyAlignment="1">
      <alignment horizontal="center"/>
    </xf>
    <xf numFmtId="0" fontId="4" fillId="2" borderId="8" xfId="0" applyFont="1" applyFill="1" applyBorder="1" applyAlignment="1" applyProtection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right" vertical="center" wrapText="1"/>
    </xf>
    <xf numFmtId="0" fontId="4" fillId="2" borderId="14" xfId="0" applyFont="1" applyFill="1" applyBorder="1" applyAlignment="1">
      <alignment horizontal="right" vertical="center" wrapText="1"/>
    </xf>
    <xf numFmtId="0" fontId="4" fillId="2" borderId="15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/>
    </xf>
    <xf numFmtId="3" fontId="5" fillId="2" borderId="9" xfId="0" applyNumberFormat="1" applyFont="1" applyFill="1" applyBorder="1" applyAlignment="1">
      <alignment horizontal="right" vertical="center"/>
    </xf>
    <xf numFmtId="3" fontId="5" fillId="2" borderId="9" xfId="1" applyNumberFormat="1" applyFont="1" applyFill="1" applyBorder="1" applyAlignment="1">
      <alignment horizontal="right" vertical="center"/>
    </xf>
    <xf numFmtId="3" fontId="5" fillId="2" borderId="2" xfId="1" applyNumberFormat="1" applyFont="1" applyFill="1" applyBorder="1" applyAlignment="1">
      <alignment horizontal="right" vertical="center" indent="2"/>
    </xf>
    <xf numFmtId="0" fontId="0" fillId="2" borderId="6" xfId="0" applyFill="1" applyBorder="1" applyAlignment="1">
      <alignment vertical="center"/>
    </xf>
    <xf numFmtId="0" fontId="0" fillId="2" borderId="9" xfId="0" applyFill="1" applyBorder="1" applyAlignment="1">
      <alignment vertical="center"/>
    </xf>
    <xf numFmtId="43" fontId="5" fillId="2" borderId="9" xfId="1" applyFont="1" applyFill="1" applyBorder="1" applyAlignment="1">
      <alignment vertical="center"/>
    </xf>
    <xf numFmtId="0" fontId="5" fillId="2" borderId="6" xfId="0" applyFont="1" applyFill="1" applyBorder="1" applyAlignment="1">
      <alignment horizontal="center" vertical="center"/>
    </xf>
    <xf numFmtId="3" fontId="5" fillId="2" borderId="6" xfId="1" applyNumberFormat="1" applyFont="1" applyFill="1" applyBorder="1" applyAlignment="1">
      <alignment horizontal="right" vertical="center" indent="2"/>
    </xf>
    <xf numFmtId="0" fontId="5" fillId="2" borderId="8" xfId="0" applyFont="1" applyFill="1" applyBorder="1" applyAlignment="1">
      <alignment horizontal="center" vertical="center"/>
    </xf>
    <xf numFmtId="3" fontId="5" fillId="2" borderId="8" xfId="1" applyNumberFormat="1" applyFont="1" applyFill="1" applyBorder="1" applyAlignment="1">
      <alignment horizontal="right" vertical="center"/>
    </xf>
    <xf numFmtId="3" fontId="5" fillId="2" borderId="8" xfId="1" applyNumberFormat="1" applyFont="1" applyFill="1" applyBorder="1" applyAlignment="1">
      <alignment horizontal="right" vertical="center" indent="2"/>
    </xf>
    <xf numFmtId="0" fontId="0" fillId="2" borderId="8" xfId="0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3" fontId="5" fillId="2" borderId="0" xfId="1" applyNumberFormat="1" applyFont="1" applyFill="1" applyBorder="1" applyAlignment="1">
      <alignment horizontal="right" vertical="center" indent="2"/>
    </xf>
    <xf numFmtId="0" fontId="0" fillId="2" borderId="0" xfId="0" applyFill="1" applyBorder="1" applyAlignment="1">
      <alignment vertical="center"/>
    </xf>
    <xf numFmtId="0" fontId="5" fillId="2" borderId="15" xfId="0" applyFont="1" applyFill="1" applyBorder="1" applyAlignment="1">
      <alignment horizontal="center" vertical="center"/>
    </xf>
    <xf numFmtId="3" fontId="5" fillId="2" borderId="11" xfId="1" applyNumberFormat="1" applyFont="1" applyFill="1" applyBorder="1" applyAlignment="1">
      <alignment horizontal="right" vertical="center"/>
    </xf>
    <xf numFmtId="3" fontId="5" fillId="2" borderId="11" xfId="1" applyNumberFormat="1" applyFont="1" applyFill="1" applyBorder="1" applyAlignment="1">
      <alignment horizontal="right" vertical="center" indent="2"/>
    </xf>
    <xf numFmtId="0" fontId="0" fillId="2" borderId="15" xfId="0" applyFill="1" applyBorder="1" applyAlignment="1">
      <alignment vertical="center"/>
    </xf>
    <xf numFmtId="43" fontId="5" fillId="2" borderId="11" xfId="1" applyFont="1" applyFill="1" applyBorder="1" applyAlignment="1">
      <alignment vertical="center"/>
    </xf>
    <xf numFmtId="0" fontId="0" fillId="2" borderId="11" xfId="0" applyFill="1" applyBorder="1" applyAlignment="1">
      <alignment vertical="center"/>
    </xf>
    <xf numFmtId="43" fontId="5" fillId="2" borderId="0" xfId="1" applyFont="1" applyFill="1" applyBorder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4" fontId="6" fillId="2" borderId="9" xfId="0" applyNumberFormat="1" applyFont="1" applyFill="1" applyBorder="1" applyAlignment="1">
      <alignment horizontal="left" vertical="center"/>
    </xf>
    <xf numFmtId="0" fontId="0" fillId="2" borderId="9" xfId="0" applyFill="1" applyBorder="1"/>
    <xf numFmtId="43" fontId="0" fillId="2" borderId="9" xfId="1" applyFont="1" applyFill="1" applyBorder="1"/>
    <xf numFmtId="0" fontId="7" fillId="2" borderId="9" xfId="0" applyFont="1" applyFill="1" applyBorder="1"/>
    <xf numFmtId="0" fontId="0" fillId="0" borderId="0" xfId="0" applyNumberFormat="1"/>
    <xf numFmtId="0" fontId="0" fillId="2" borderId="8" xfId="0" applyFill="1" applyBorder="1" applyAlignment="1"/>
    <xf numFmtId="0" fontId="0" fillId="2" borderId="11" xfId="0" applyFill="1" applyBorder="1" applyAlignment="1"/>
    <xf numFmtId="0" fontId="0" fillId="2" borderId="9" xfId="0" applyFill="1" applyBorder="1" applyAlignment="1"/>
    <xf numFmtId="2" fontId="0" fillId="2" borderId="6" xfId="0" applyNumberFormat="1" applyFill="1" applyBorder="1"/>
    <xf numFmtId="3" fontId="0" fillId="2" borderId="6" xfId="0" applyNumberFormat="1" applyFill="1" applyBorder="1" applyAlignment="1">
      <alignment vertical="center"/>
    </xf>
    <xf numFmtId="3" fontId="5" fillId="2" borderId="1" xfId="1" applyNumberFormat="1" applyFont="1" applyFill="1" applyBorder="1" applyAlignment="1">
      <alignment horizontal="right" vertical="center"/>
    </xf>
    <xf numFmtId="3" fontId="5" fillId="2" borderId="16" xfId="1" applyNumberFormat="1" applyFont="1" applyFill="1" applyBorder="1" applyAlignment="1">
      <alignment horizontal="right" vertical="center" indent="2"/>
    </xf>
    <xf numFmtId="0" fontId="11" fillId="2" borderId="3" xfId="0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/>
    </xf>
    <xf numFmtId="0" fontId="11" fillId="2" borderId="5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/>
    </xf>
    <xf numFmtId="0" fontId="10" fillId="2" borderId="12" xfId="0" applyFont="1" applyFill="1" applyBorder="1" applyAlignment="1">
      <alignment horizontal="center"/>
    </xf>
    <xf numFmtId="0" fontId="10" fillId="2" borderId="10" xfId="0" applyFont="1" applyFill="1" applyBorder="1" applyAlignment="1">
      <alignment horizontal="center"/>
    </xf>
    <xf numFmtId="0" fontId="4" fillId="2" borderId="8" xfId="0" applyFont="1" applyFill="1" applyBorder="1" applyAlignment="1" applyProtection="1">
      <alignment horizontal="center" vertical="center"/>
    </xf>
  </cellXfs>
  <cellStyles count="69">
    <cellStyle name="1" xfId="45"/>
    <cellStyle name="20% - Accent1" xfId="21" builtinId="30" customBuiltin="1"/>
    <cellStyle name="20% - Accent1 2" xfId="56"/>
    <cellStyle name="20% - Accent2" xfId="25" builtinId="34" customBuiltin="1"/>
    <cellStyle name="20% - Accent2 2" xfId="58"/>
    <cellStyle name="20% - Accent3" xfId="29" builtinId="38" customBuiltin="1"/>
    <cellStyle name="20% - Accent3 2" xfId="60"/>
    <cellStyle name="20% - Accent4" xfId="33" builtinId="42" customBuiltin="1"/>
    <cellStyle name="20% - Accent4 2" xfId="62"/>
    <cellStyle name="20% - Accent5" xfId="37" builtinId="46" customBuiltin="1"/>
    <cellStyle name="20% - Accent5 2" xfId="64"/>
    <cellStyle name="20% - Accent6" xfId="41" builtinId="50" customBuiltin="1"/>
    <cellStyle name="20% - Accent6 2" xfId="66"/>
    <cellStyle name="40% - Accent1" xfId="22" builtinId="31" customBuiltin="1"/>
    <cellStyle name="40% - Accent1 2" xfId="57"/>
    <cellStyle name="40% - Accent2" xfId="26" builtinId="35" customBuiltin="1"/>
    <cellStyle name="40% - Accent2 2" xfId="59"/>
    <cellStyle name="40% - Accent3" xfId="30" builtinId="39" customBuiltin="1"/>
    <cellStyle name="40% - Accent3 2" xfId="61"/>
    <cellStyle name="40% - Accent4" xfId="34" builtinId="43" customBuiltin="1"/>
    <cellStyle name="40% - Accent4 2" xfId="63"/>
    <cellStyle name="40% - Accent5" xfId="38" builtinId="47" customBuiltin="1"/>
    <cellStyle name="40% - Accent5 2" xfId="65"/>
    <cellStyle name="40% - Accent6" xfId="42" builtinId="51" customBuiltin="1"/>
    <cellStyle name="40% - Accent6 2" xfId="67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1 - 20%" xfId="68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10" builtinId="27" customBuiltin="1"/>
    <cellStyle name="Calculation" xfId="14" builtinId="22" customBuiltin="1"/>
    <cellStyle name="Check Cell" xfId="16" builtinId="23" customBuiltin="1"/>
    <cellStyle name="Comma 2" xfId="46"/>
    <cellStyle name="Comma 3" xfId="1"/>
    <cellStyle name="Comma 4" xfId="50"/>
    <cellStyle name="Comma 5" xfId="53"/>
    <cellStyle name="Explanatory Text" xfId="18" builtinId="53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Input" xfId="12" builtinId="20" customBuiltin="1"/>
    <cellStyle name="Linked Cell" xfId="15" builtinId="24" customBuiltin="1"/>
    <cellStyle name="Neutral" xfId="11" builtinId="28" customBuiltin="1"/>
    <cellStyle name="Normal" xfId="0" builtinId="0"/>
    <cellStyle name="Normal - Style1" xfId="47"/>
    <cellStyle name="Normal 2" xfId="3"/>
    <cellStyle name="Normal 3" xfId="49"/>
    <cellStyle name="Normal 4" xfId="52"/>
    <cellStyle name="Normal 5" xfId="2"/>
    <cellStyle name="Normal 6" xfId="55"/>
    <cellStyle name="Normal 7" xfId="44"/>
    <cellStyle name="Note 2" xfId="51"/>
    <cellStyle name="Note 3" xfId="54"/>
    <cellStyle name="Output" xfId="13" builtinId="21" customBuiltin="1"/>
    <cellStyle name="Percent 2" xfId="4"/>
    <cellStyle name="Title 2" xfId="48"/>
    <cellStyle name="Total" xfId="19" builtinId="25" customBuiltin="1"/>
    <cellStyle name="Warning Text" xfId="17" builtinId="11" customBuiltin="1"/>
  </cellStyles>
  <dxfs count="0"/>
  <tableStyles count="0" defaultTableStyle="TableStyleMedium2" defaultPivotStyle="PivotStyleLight16"/>
  <colors>
    <mruColors>
      <color rgb="FFCB9763"/>
      <color rgb="FF7B5229"/>
      <color rgb="FFECD9C6"/>
      <color rgb="FFE8D1BA"/>
      <color rgb="FFDAB48E"/>
      <color rgb="FF996633"/>
      <color rgb="FFC78E5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US" sz="1200"/>
              <a:t>Figure 15.5: Annual Imports of Tobacco,  2000 - 2019</a:t>
            </a:r>
          </a:p>
        </c:rich>
      </c:tx>
      <c:layout>
        <c:manualLayout>
          <c:xMode val="edge"/>
          <c:yMode val="edge"/>
          <c:x val="0.21635755329578774"/>
          <c:y val="5.18227199212038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9.6162527422765626E-2"/>
          <c:y val="0.17813687468170955"/>
          <c:w val="0.8888898832262615"/>
          <c:h val="0.69660214814184929"/>
        </c:manualLayout>
      </c:layout>
      <c:lineChart>
        <c:grouping val="standard"/>
        <c:varyColors val="0"/>
        <c:ser>
          <c:idx val="0"/>
          <c:order val="0"/>
          <c:spPr>
            <a:ln>
              <a:solidFill>
                <a:srgbClr val="7B5229"/>
              </a:solidFill>
            </a:ln>
          </c:spPr>
          <c:marker>
            <c:spPr>
              <a:solidFill>
                <a:srgbClr val="CB9763"/>
              </a:solidFill>
              <a:ln>
                <a:solidFill>
                  <a:schemeClr val="accent4">
                    <a:lumMod val="50000"/>
                  </a:schemeClr>
                </a:solidFill>
              </a:ln>
            </c:spPr>
          </c:marker>
          <c:cat>
            <c:numRef>
              <c:f>'15.9'!$V$12:$V$24</c:f>
              <c:numCache>
                <c:formatCode>General</c:formatCode>
                <c:ptCount val="13"/>
                <c:pt idx="0">
                  <c:v>2007</c:v>
                </c:pt>
                <c:pt idx="1">
                  <c:v>2008</c:v>
                </c:pt>
                <c:pt idx="2">
                  <c:v>2009</c:v>
                </c:pt>
                <c:pt idx="3">
                  <c:v>2010</c:v>
                </c:pt>
                <c:pt idx="4">
                  <c:v>2011</c:v>
                </c:pt>
                <c:pt idx="5">
                  <c:v>2012</c:v>
                </c:pt>
                <c:pt idx="6">
                  <c:v>2013</c:v>
                </c:pt>
                <c:pt idx="7">
                  <c:v>2014</c:v>
                </c:pt>
                <c:pt idx="8">
                  <c:v>2015</c:v>
                </c:pt>
                <c:pt idx="9">
                  <c:v>2016</c:v>
                </c:pt>
                <c:pt idx="10">
                  <c:v>2017</c:v>
                </c:pt>
                <c:pt idx="11">
                  <c:v>2018</c:v>
                </c:pt>
                <c:pt idx="12">
                  <c:v>2019</c:v>
                </c:pt>
              </c:numCache>
            </c:numRef>
          </c:cat>
          <c:val>
            <c:numRef>
              <c:f>'15.9'!$W$12:$W$24</c:f>
              <c:numCache>
                <c:formatCode>_(* #,##0.00_);_(* \(#,##0.00\);_(* "-"??_);_(@_)</c:formatCode>
                <c:ptCount val="13"/>
                <c:pt idx="0">
                  <c:v>46213.54</c:v>
                </c:pt>
                <c:pt idx="1">
                  <c:v>59972.350000000006</c:v>
                </c:pt>
                <c:pt idx="2">
                  <c:v>35592.26</c:v>
                </c:pt>
                <c:pt idx="3">
                  <c:v>58129.31</c:v>
                </c:pt>
                <c:pt idx="4">
                  <c:v>55852.49</c:v>
                </c:pt>
                <c:pt idx="5">
                  <c:v>40990.679999999993</c:v>
                </c:pt>
                <c:pt idx="6">
                  <c:v>53163.93</c:v>
                </c:pt>
                <c:pt idx="7">
                  <c:v>45140.44</c:v>
                </c:pt>
                <c:pt idx="8">
                  <c:v>50901.64</c:v>
                </c:pt>
                <c:pt idx="9">
                  <c:v>48264.5</c:v>
                </c:pt>
                <c:pt idx="10">
                  <c:v>61782.206722726449</c:v>
                </c:pt>
                <c:pt idx="11">
                  <c:v>59740.629174545444</c:v>
                </c:pt>
                <c:pt idx="12">
                  <c:v>62730.429999799999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1CD9-4E3E-A32B-80F7705AAE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7471592"/>
        <c:axId val="157470808"/>
      </c:lineChart>
      <c:catAx>
        <c:axId val="157471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157470808"/>
        <c:crosses val="autoZero"/>
        <c:auto val="1"/>
        <c:lblAlgn val="ctr"/>
        <c:lblOffset val="100"/>
        <c:noMultiLvlLbl val="0"/>
      </c:catAx>
      <c:valAx>
        <c:axId val="157470808"/>
        <c:scaling>
          <c:orientation val="minMax"/>
          <c:min val="0"/>
        </c:scaling>
        <c:delete val="0"/>
        <c:axPos val="l"/>
        <c:majorGridlines>
          <c:spPr>
            <a:ln>
              <a:noFill/>
            </a:ln>
          </c:spPr>
        </c:majorGridlines>
        <c:numFmt formatCode="#,##0" sourceLinked="0"/>
        <c:majorTickMark val="none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157471592"/>
        <c:crosses val="autoZero"/>
        <c:crossBetween val="between"/>
      </c:valAx>
      <c:spPr>
        <a:ln>
          <a:solidFill>
            <a:schemeClr val="bg1">
              <a:lumMod val="50000"/>
            </a:schemeClr>
          </a:solidFill>
        </a:ln>
      </c:spPr>
    </c:plotArea>
    <c:plotVisOnly val="1"/>
    <c:dispBlanksAs val="gap"/>
    <c:showDLblsOverMax val="0"/>
  </c:chart>
  <c:printSettings>
    <c:headerFooter/>
    <c:pageMargins b="0.750000000000001" l="0.70000000000000062" r="0.70000000000000062" t="0.750000000000001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US" sz="1200"/>
              <a:t>Figure 15.6: Annual imports of Tobacco Products, 2007 - 2019</a:t>
            </a:r>
          </a:p>
        </c:rich>
      </c:tx>
      <c:layout>
        <c:manualLayout>
          <c:xMode val="edge"/>
          <c:yMode val="edge"/>
          <c:x val="0.21319079799018034"/>
          <c:y val="2.930037718795084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003455832697196"/>
          <c:y val="0.14370826163285882"/>
          <c:w val="0.88474705505823847"/>
          <c:h val="0.7181853261719768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'15.9'!$C$4</c:f>
              <c:strCache>
                <c:ptCount val="1"/>
                <c:pt idx="0">
                  <c:v>Number of cigars </c:v>
                </c:pt>
              </c:strCache>
            </c:strRef>
          </c:tx>
          <c:spPr>
            <a:solidFill>
              <a:srgbClr val="ECD9C6"/>
            </a:solidFill>
          </c:spPr>
          <c:invertIfNegative val="0"/>
          <c:cat>
            <c:numRef>
              <c:f>'15.9'!$A$12:$A$24</c:f>
              <c:numCache>
                <c:formatCode>General</c:formatCode>
                <c:ptCount val="13"/>
                <c:pt idx="0">
                  <c:v>2007</c:v>
                </c:pt>
                <c:pt idx="1">
                  <c:v>2008</c:v>
                </c:pt>
                <c:pt idx="2">
                  <c:v>2009</c:v>
                </c:pt>
                <c:pt idx="3">
                  <c:v>2010</c:v>
                </c:pt>
                <c:pt idx="4">
                  <c:v>2011</c:v>
                </c:pt>
                <c:pt idx="5">
                  <c:v>2012</c:v>
                </c:pt>
                <c:pt idx="6">
                  <c:v>2013</c:v>
                </c:pt>
                <c:pt idx="7">
                  <c:v>2014</c:v>
                </c:pt>
                <c:pt idx="8">
                  <c:v>2015</c:v>
                </c:pt>
                <c:pt idx="9">
                  <c:v>2016</c:v>
                </c:pt>
                <c:pt idx="10">
                  <c:v>2017</c:v>
                </c:pt>
                <c:pt idx="11">
                  <c:v>2018</c:v>
                </c:pt>
                <c:pt idx="12">
                  <c:v>2019</c:v>
                </c:pt>
              </c:numCache>
            </c:numRef>
          </c:cat>
          <c:val>
            <c:numRef>
              <c:f>'15.9'!$C$12:$C$24</c:f>
              <c:numCache>
                <c:formatCode>#,##0</c:formatCode>
                <c:ptCount val="13"/>
                <c:pt idx="0">
                  <c:v>316207</c:v>
                </c:pt>
                <c:pt idx="1">
                  <c:v>586111</c:v>
                </c:pt>
                <c:pt idx="2">
                  <c:v>366317</c:v>
                </c:pt>
                <c:pt idx="3">
                  <c:v>237074</c:v>
                </c:pt>
                <c:pt idx="4">
                  <c:v>331789</c:v>
                </c:pt>
                <c:pt idx="5">
                  <c:v>2629692</c:v>
                </c:pt>
                <c:pt idx="6">
                  <c:v>508117</c:v>
                </c:pt>
                <c:pt idx="7">
                  <c:v>170244</c:v>
                </c:pt>
                <c:pt idx="8">
                  <c:v>14806333</c:v>
                </c:pt>
                <c:pt idx="9">
                  <c:v>116097556</c:v>
                </c:pt>
                <c:pt idx="10">
                  <c:v>116585187</c:v>
                </c:pt>
                <c:pt idx="11">
                  <c:v>100841542</c:v>
                </c:pt>
                <c:pt idx="12">
                  <c:v>124555454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458-42FA-B595-51AD5EE2F0B5}"/>
            </c:ext>
          </c:extLst>
        </c:ser>
        <c:ser>
          <c:idx val="1"/>
          <c:order val="1"/>
          <c:tx>
            <c:strRef>
              <c:f>'15.9'!$D$4</c:f>
              <c:strCache>
                <c:ptCount val="1"/>
                <c:pt idx="0">
                  <c:v>Number of cheroots / Cigarillo</c:v>
                </c:pt>
              </c:strCache>
            </c:strRef>
          </c:tx>
          <c:spPr>
            <a:solidFill>
              <a:srgbClr val="7B5229"/>
            </a:solidFill>
          </c:spPr>
          <c:invertIfNegative val="0"/>
          <c:cat>
            <c:numRef>
              <c:f>'15.9'!$A$12:$A$24</c:f>
              <c:numCache>
                <c:formatCode>General</c:formatCode>
                <c:ptCount val="13"/>
                <c:pt idx="0">
                  <c:v>2007</c:v>
                </c:pt>
                <c:pt idx="1">
                  <c:v>2008</c:v>
                </c:pt>
                <c:pt idx="2">
                  <c:v>2009</c:v>
                </c:pt>
                <c:pt idx="3">
                  <c:v>2010</c:v>
                </c:pt>
                <c:pt idx="4">
                  <c:v>2011</c:v>
                </c:pt>
                <c:pt idx="5">
                  <c:v>2012</c:v>
                </c:pt>
                <c:pt idx="6">
                  <c:v>2013</c:v>
                </c:pt>
                <c:pt idx="7">
                  <c:v>2014</c:v>
                </c:pt>
                <c:pt idx="8">
                  <c:v>2015</c:v>
                </c:pt>
                <c:pt idx="9">
                  <c:v>2016</c:v>
                </c:pt>
                <c:pt idx="10">
                  <c:v>2017</c:v>
                </c:pt>
                <c:pt idx="11">
                  <c:v>2018</c:v>
                </c:pt>
                <c:pt idx="12">
                  <c:v>2019</c:v>
                </c:pt>
              </c:numCache>
            </c:numRef>
          </c:cat>
          <c:val>
            <c:numRef>
              <c:f>'15.9'!$D$12:$D$24</c:f>
              <c:numCache>
                <c:formatCode>#,##0</c:formatCode>
                <c:ptCount val="13"/>
                <c:pt idx="0">
                  <c:v>29513560</c:v>
                </c:pt>
                <c:pt idx="1">
                  <c:v>37161335</c:v>
                </c:pt>
                <c:pt idx="2">
                  <c:v>30780355</c:v>
                </c:pt>
                <c:pt idx="3">
                  <c:v>22606045</c:v>
                </c:pt>
                <c:pt idx="4">
                  <c:v>21002520</c:v>
                </c:pt>
                <c:pt idx="5">
                  <c:v>57698505</c:v>
                </c:pt>
                <c:pt idx="6">
                  <c:v>58995480</c:v>
                </c:pt>
                <c:pt idx="7">
                  <c:v>54664290</c:v>
                </c:pt>
                <c:pt idx="8">
                  <c:v>64802049</c:v>
                </c:pt>
                <c:pt idx="9">
                  <c:v>50405000</c:v>
                </c:pt>
                <c:pt idx="10">
                  <c:v>0</c:v>
                </c:pt>
                <c:pt idx="11">
                  <c:v>16805750</c:v>
                </c:pt>
                <c:pt idx="12">
                  <c:v>288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458-42FA-B595-51AD5EE2F0B5}"/>
            </c:ext>
          </c:extLst>
        </c:ser>
        <c:ser>
          <c:idx val="2"/>
          <c:order val="2"/>
          <c:tx>
            <c:strRef>
              <c:f>'15.9'!$E$4</c:f>
              <c:strCache>
                <c:ptCount val="1"/>
                <c:pt idx="0">
                  <c:v>Number of cigarettes </c:v>
                </c:pt>
              </c:strCache>
            </c:strRef>
          </c:tx>
          <c:spPr>
            <a:solidFill>
              <a:srgbClr val="CB9763"/>
            </a:solidFill>
          </c:spPr>
          <c:invertIfNegative val="0"/>
          <c:cat>
            <c:numRef>
              <c:f>'15.9'!$A$12:$A$24</c:f>
              <c:numCache>
                <c:formatCode>General</c:formatCode>
                <c:ptCount val="13"/>
                <c:pt idx="0">
                  <c:v>2007</c:v>
                </c:pt>
                <c:pt idx="1">
                  <c:v>2008</c:v>
                </c:pt>
                <c:pt idx="2">
                  <c:v>2009</c:v>
                </c:pt>
                <c:pt idx="3">
                  <c:v>2010</c:v>
                </c:pt>
                <c:pt idx="4">
                  <c:v>2011</c:v>
                </c:pt>
                <c:pt idx="5">
                  <c:v>2012</c:v>
                </c:pt>
                <c:pt idx="6">
                  <c:v>2013</c:v>
                </c:pt>
                <c:pt idx="7">
                  <c:v>2014</c:v>
                </c:pt>
                <c:pt idx="8">
                  <c:v>2015</c:v>
                </c:pt>
                <c:pt idx="9">
                  <c:v>2016</c:v>
                </c:pt>
                <c:pt idx="10">
                  <c:v>2017</c:v>
                </c:pt>
                <c:pt idx="11">
                  <c:v>2018</c:v>
                </c:pt>
                <c:pt idx="12">
                  <c:v>2019</c:v>
                </c:pt>
              </c:numCache>
            </c:numRef>
          </c:cat>
          <c:val>
            <c:numRef>
              <c:f>'15.9'!$E$12:$E$24</c:f>
              <c:numCache>
                <c:formatCode>#,##0</c:formatCode>
                <c:ptCount val="13"/>
                <c:pt idx="0">
                  <c:v>286444050</c:v>
                </c:pt>
                <c:pt idx="1">
                  <c:v>334128160</c:v>
                </c:pt>
                <c:pt idx="2">
                  <c:v>348020191</c:v>
                </c:pt>
                <c:pt idx="3">
                  <c:v>346371400</c:v>
                </c:pt>
                <c:pt idx="4">
                  <c:v>454893880</c:v>
                </c:pt>
                <c:pt idx="5">
                  <c:v>402124770</c:v>
                </c:pt>
                <c:pt idx="6">
                  <c:v>439602400</c:v>
                </c:pt>
                <c:pt idx="7">
                  <c:v>486717110</c:v>
                </c:pt>
                <c:pt idx="8">
                  <c:v>460682600</c:v>
                </c:pt>
                <c:pt idx="9">
                  <c:v>497867750</c:v>
                </c:pt>
                <c:pt idx="10">
                  <c:v>427827850</c:v>
                </c:pt>
                <c:pt idx="11">
                  <c:v>465597841</c:v>
                </c:pt>
                <c:pt idx="12">
                  <c:v>474972430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C458-42FA-B595-51AD5EE2F0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1"/>
        <c:overlap val="-16"/>
        <c:axId val="157474336"/>
        <c:axId val="427979624"/>
      </c:barChart>
      <c:catAx>
        <c:axId val="157474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427979624"/>
        <c:crosses val="autoZero"/>
        <c:auto val="1"/>
        <c:lblAlgn val="ctr"/>
        <c:lblOffset val="100"/>
        <c:noMultiLvlLbl val="0"/>
      </c:catAx>
      <c:valAx>
        <c:axId val="427979624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numFmt formatCode="#,##0" sourceLinked="0"/>
        <c:majorTickMark val="none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157474336"/>
        <c:crosses val="autoZero"/>
        <c:crossBetween val="between"/>
        <c:dispUnits>
          <c:builtInUnit val="millions"/>
          <c:dispUnitsLbl>
            <c:layout>
              <c:manualLayout>
                <c:xMode val="edge"/>
                <c:yMode val="edge"/>
                <c:x val="3.8136544572317599E-3"/>
                <c:y val="0.35615233526272788"/>
              </c:manualLayout>
            </c:layout>
            <c:txPr>
              <a:bodyPr rot="-5400000" vert="horz"/>
              <a:lstStyle/>
              <a:p>
                <a:pPr>
                  <a:defRPr/>
                </a:pPr>
                <a:endParaRPr lang="en-US"/>
              </a:p>
            </c:txPr>
          </c:dispUnitsLbl>
        </c:dispUnits>
      </c:valAx>
      <c:spPr>
        <a:ln>
          <a:solidFill>
            <a:schemeClr val="bg1">
              <a:lumMod val="50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12133415392851137"/>
          <c:y val="0.18088230693017676"/>
          <c:w val="0.77729311008213875"/>
          <c:h val="7.5188680885088024E-2"/>
        </c:manualLayout>
      </c:layout>
      <c:overlay val="1"/>
    </c:legend>
    <c:plotVisOnly val="1"/>
    <c:dispBlanksAs val="gap"/>
    <c:showDLblsOverMax val="0"/>
  </c:chart>
  <c:printSettings>
    <c:headerFooter/>
    <c:pageMargins b="0.750000000000001" l="0.70000000000000062" r="0.70000000000000062" t="0.750000000000001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655320</xdr:colOff>
      <xdr:row>26</xdr:row>
      <xdr:rowOff>47625</xdr:rowOff>
    </xdr:from>
    <xdr:to>
      <xdr:col>7</xdr:col>
      <xdr:colOff>579120</xdr:colOff>
      <xdr:row>45</xdr:row>
      <xdr:rowOff>30480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701040</xdr:colOff>
      <xdr:row>46</xdr:row>
      <xdr:rowOff>144780</xdr:rowOff>
    </xdr:from>
    <xdr:to>
      <xdr:col>7</xdr:col>
      <xdr:colOff>617220</xdr:colOff>
      <xdr:row>64</xdr:row>
      <xdr:rowOff>106680</xdr:rowOff>
    </xdr:to>
    <xdr:graphicFrame macro="">
      <xdr:nvGraphicFramePr>
        <xdr:cNvPr id="3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0.01179</cdr:x>
      <cdr:y>0.09254</cdr:y>
    </cdr:from>
    <cdr:to>
      <cdr:x>0.08711</cdr:x>
      <cdr:y>0.14891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66999" y="333375"/>
          <a:ext cx="428007" cy="20305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r"/>
          <a:r>
            <a:rPr lang="en-US" sz="1000" b="1"/>
            <a:t>in Kg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88"/>
  <sheetViews>
    <sheetView tabSelected="1" zoomScale="130" zoomScaleNormal="130" workbookViewId="0">
      <selection activeCell="J23" sqref="J23"/>
    </sheetView>
  </sheetViews>
  <sheetFormatPr defaultColWidth="9.140625" defaultRowHeight="15" x14ac:dyDescent="0.25"/>
  <cols>
    <col min="1" max="1" width="11.85546875" style="4" customWidth="1"/>
    <col min="2" max="7" width="12.42578125" style="4" customWidth="1"/>
    <col min="8" max="8" width="15.28515625" style="4" customWidth="1"/>
    <col min="9" max="9" width="15" style="4" bestFit="1" customWidth="1"/>
    <col min="10" max="21" width="15" style="4" customWidth="1"/>
    <col min="22" max="22" width="9.140625" style="4"/>
    <col min="23" max="23" width="10" style="4" bestFit="1" customWidth="1"/>
    <col min="24" max="24" width="11.28515625" style="4" customWidth="1"/>
    <col min="25" max="25" width="12.42578125" style="4" bestFit="1" customWidth="1"/>
    <col min="26" max="16384" width="9.140625" style="4"/>
  </cols>
  <sheetData>
    <row r="1" spans="1:29" ht="25.5" customHeight="1" x14ac:dyDescent="0.25">
      <c r="A1" s="47" t="s">
        <v>12</v>
      </c>
      <c r="B1" s="48"/>
      <c r="C1" s="48"/>
      <c r="D1" s="48"/>
      <c r="E1" s="48"/>
      <c r="F1" s="48"/>
      <c r="G1" s="48"/>
      <c r="H1" s="49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9" ht="15.75" x14ac:dyDescent="0.25">
      <c r="A2" s="50" t="s">
        <v>11</v>
      </c>
      <c r="B2" s="51"/>
      <c r="C2" s="51"/>
      <c r="D2" s="51"/>
      <c r="E2" s="51"/>
      <c r="F2" s="51"/>
      <c r="G2" s="51"/>
      <c r="H2" s="52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</row>
    <row r="3" spans="1:29" x14ac:dyDescent="0.25">
      <c r="A3" s="53"/>
      <c r="B3" s="53"/>
      <c r="C3" s="53"/>
      <c r="D3" s="53"/>
      <c r="E3" s="53"/>
      <c r="F3" s="53"/>
      <c r="G3" s="53"/>
      <c r="H3" s="53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 spans="1:29" ht="38.25" x14ac:dyDescent="0.25">
      <c r="A4" s="7" t="s">
        <v>2</v>
      </c>
      <c r="B4" s="8" t="s">
        <v>3</v>
      </c>
      <c r="C4" s="8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9" t="s">
        <v>9</v>
      </c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1:29" s="15" customFormat="1" ht="25.5" customHeight="1" x14ac:dyDescent="0.25">
      <c r="A5" s="11">
        <v>2000</v>
      </c>
      <c r="B5" s="12">
        <v>24449.06</v>
      </c>
      <c r="C5" s="13">
        <v>304266</v>
      </c>
      <c r="D5" s="13">
        <v>2188139</v>
      </c>
      <c r="E5" s="13">
        <v>252638840</v>
      </c>
      <c r="F5" s="12">
        <v>3246.65</v>
      </c>
      <c r="G5" s="13">
        <v>3127.08</v>
      </c>
      <c r="H5" s="14">
        <v>3.5</v>
      </c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1">
        <v>2000</v>
      </c>
      <c r="W5" s="17">
        <f t="shared" ref="W5:W22" si="0">SUM(F5:H5)+B5</f>
        <v>30826.29</v>
      </c>
    </row>
    <row r="6" spans="1:29" s="15" customFormat="1" ht="25.5" customHeight="1" x14ac:dyDescent="0.25">
      <c r="A6" s="18">
        <v>2001</v>
      </c>
      <c r="B6" s="2">
        <v>44168.7</v>
      </c>
      <c r="C6" s="2">
        <v>187156</v>
      </c>
      <c r="D6" s="2">
        <v>5703050</v>
      </c>
      <c r="E6" s="2">
        <v>223540520</v>
      </c>
      <c r="F6" s="2">
        <v>2405.2800000000002</v>
      </c>
      <c r="G6" s="2">
        <v>2988.0599999999995</v>
      </c>
      <c r="H6" s="19">
        <v>0.4</v>
      </c>
      <c r="V6" s="18">
        <v>2001</v>
      </c>
      <c r="W6" s="17">
        <f t="shared" si="0"/>
        <v>49562.439999999995</v>
      </c>
    </row>
    <row r="7" spans="1:29" s="15" customFormat="1" ht="25.5" customHeight="1" x14ac:dyDescent="0.25">
      <c r="A7" s="18">
        <v>2002</v>
      </c>
      <c r="B7" s="2">
        <v>45533.880000000005</v>
      </c>
      <c r="C7" s="2">
        <v>315080</v>
      </c>
      <c r="D7" s="2">
        <v>4750600</v>
      </c>
      <c r="E7" s="2">
        <v>229788400</v>
      </c>
      <c r="F7" s="2">
        <v>8398.1299999999992</v>
      </c>
      <c r="G7" s="2">
        <v>6247.8</v>
      </c>
      <c r="H7" s="19">
        <v>12</v>
      </c>
      <c r="V7" s="18">
        <v>2002</v>
      </c>
      <c r="W7" s="17">
        <f t="shared" si="0"/>
        <v>60191.810000000005</v>
      </c>
    </row>
    <row r="8" spans="1:29" s="15" customFormat="1" ht="25.5" customHeight="1" x14ac:dyDescent="0.25">
      <c r="A8" s="18">
        <v>2003</v>
      </c>
      <c r="B8" s="2">
        <v>30598.25</v>
      </c>
      <c r="C8" s="2">
        <v>289183</v>
      </c>
      <c r="D8" s="2">
        <v>6108585</v>
      </c>
      <c r="E8" s="2">
        <v>226903220</v>
      </c>
      <c r="F8" s="2">
        <v>4718.08</v>
      </c>
      <c r="G8" s="2">
        <v>6470.4</v>
      </c>
      <c r="H8" s="19">
        <v>17.5</v>
      </c>
      <c r="V8" s="18">
        <v>2003</v>
      </c>
      <c r="W8" s="17">
        <f t="shared" si="0"/>
        <v>41804.229999999996</v>
      </c>
    </row>
    <row r="9" spans="1:29" s="15" customFormat="1" ht="25.5" customHeight="1" x14ac:dyDescent="0.25">
      <c r="A9" s="18">
        <v>2004</v>
      </c>
      <c r="B9" s="2">
        <v>63056.020000000004</v>
      </c>
      <c r="C9" s="2">
        <v>226473</v>
      </c>
      <c r="D9" s="2">
        <v>8219973</v>
      </c>
      <c r="E9" s="2">
        <v>256676880</v>
      </c>
      <c r="F9" s="2">
        <v>7900.91</v>
      </c>
      <c r="G9" s="2">
        <v>3321.25</v>
      </c>
      <c r="H9" s="19">
        <v>55.6</v>
      </c>
      <c r="V9" s="18">
        <v>2004</v>
      </c>
      <c r="W9" s="17">
        <f t="shared" si="0"/>
        <v>74333.78</v>
      </c>
    </row>
    <row r="10" spans="1:29" s="15" customFormat="1" ht="25.5" customHeight="1" x14ac:dyDescent="0.25">
      <c r="A10" s="18">
        <v>2005</v>
      </c>
      <c r="B10" s="2">
        <v>45505.149999999994</v>
      </c>
      <c r="C10" s="2">
        <v>200968</v>
      </c>
      <c r="D10" s="2">
        <v>43685700</v>
      </c>
      <c r="E10" s="2">
        <v>263461671</v>
      </c>
      <c r="F10" s="2">
        <v>11976.92</v>
      </c>
      <c r="G10" s="2">
        <v>4698.6899999999996</v>
      </c>
      <c r="H10" s="19">
        <v>62.6</v>
      </c>
      <c r="V10" s="18">
        <v>2005</v>
      </c>
      <c r="W10" s="17">
        <f t="shared" si="0"/>
        <v>62243.359999999993</v>
      </c>
    </row>
    <row r="11" spans="1:29" s="15" customFormat="1" ht="25.5" customHeight="1" x14ac:dyDescent="0.25">
      <c r="A11" s="18">
        <v>2006</v>
      </c>
      <c r="B11" s="2">
        <v>36034.29</v>
      </c>
      <c r="C11" s="2">
        <v>836168</v>
      </c>
      <c r="D11" s="2">
        <v>15916005</v>
      </c>
      <c r="E11" s="2">
        <v>255544900</v>
      </c>
      <c r="F11" s="2">
        <v>22019.040000000001</v>
      </c>
      <c r="G11" s="2">
        <v>3067.6800000000003</v>
      </c>
      <c r="H11" s="19">
        <v>1.55</v>
      </c>
      <c r="V11" s="18">
        <v>2006</v>
      </c>
      <c r="W11" s="17">
        <f t="shared" si="0"/>
        <v>61122.559999999998</v>
      </c>
    </row>
    <row r="12" spans="1:29" s="15" customFormat="1" ht="25.5" customHeight="1" x14ac:dyDescent="0.25">
      <c r="A12" s="18">
        <v>2007</v>
      </c>
      <c r="B12" s="2">
        <v>24493.13</v>
      </c>
      <c r="C12" s="2">
        <v>316207</v>
      </c>
      <c r="D12" s="2">
        <v>29513560</v>
      </c>
      <c r="E12" s="2">
        <v>286444050</v>
      </c>
      <c r="F12" s="2">
        <v>17949.77</v>
      </c>
      <c r="G12" s="2">
        <v>3742.45</v>
      </c>
      <c r="H12" s="19">
        <v>28.19</v>
      </c>
      <c r="V12" s="18">
        <v>2007</v>
      </c>
      <c r="W12" s="17">
        <f t="shared" si="0"/>
        <v>46213.54</v>
      </c>
    </row>
    <row r="13" spans="1:29" s="15" customFormat="1" ht="25.5" customHeight="1" x14ac:dyDescent="0.25">
      <c r="A13" s="18">
        <v>2008</v>
      </c>
      <c r="B13" s="2">
        <v>29810.81</v>
      </c>
      <c r="C13" s="2">
        <v>586111</v>
      </c>
      <c r="D13" s="2">
        <v>37161335</v>
      </c>
      <c r="E13" s="2">
        <v>334128160</v>
      </c>
      <c r="F13" s="2">
        <v>25511.08</v>
      </c>
      <c r="G13" s="2">
        <v>4375.5</v>
      </c>
      <c r="H13" s="19">
        <v>274.96000000000004</v>
      </c>
      <c r="V13" s="18">
        <v>2008</v>
      </c>
      <c r="W13" s="17">
        <f t="shared" si="0"/>
        <v>59972.350000000006</v>
      </c>
    </row>
    <row r="14" spans="1:29" s="15" customFormat="1" ht="25.5" customHeight="1" x14ac:dyDescent="0.25">
      <c r="A14" s="18">
        <v>2009</v>
      </c>
      <c r="B14" s="2">
        <v>10654.61</v>
      </c>
      <c r="C14" s="2">
        <v>366317</v>
      </c>
      <c r="D14" s="2">
        <v>30780355</v>
      </c>
      <c r="E14" s="2">
        <v>348020191</v>
      </c>
      <c r="F14" s="2">
        <v>24325.16</v>
      </c>
      <c r="G14" s="2">
        <v>540.5</v>
      </c>
      <c r="H14" s="19">
        <v>71.989999999999995</v>
      </c>
      <c r="V14" s="18">
        <v>2009</v>
      </c>
      <c r="W14" s="17">
        <f t="shared" si="0"/>
        <v>35592.26</v>
      </c>
    </row>
    <row r="15" spans="1:29" s="23" customFormat="1" ht="25.5" customHeight="1" x14ac:dyDescent="0.25">
      <c r="A15" s="20">
        <v>2010</v>
      </c>
      <c r="B15" s="21">
        <v>32827.75</v>
      </c>
      <c r="C15" s="21">
        <v>237074</v>
      </c>
      <c r="D15" s="21">
        <v>22606045</v>
      </c>
      <c r="E15" s="21">
        <v>346371400</v>
      </c>
      <c r="F15" s="21">
        <v>20447.78</v>
      </c>
      <c r="G15" s="21">
        <v>4786.88</v>
      </c>
      <c r="H15" s="22">
        <v>66.900000000000006</v>
      </c>
      <c r="I15" s="15"/>
      <c r="V15" s="20">
        <v>2010</v>
      </c>
      <c r="W15" s="17">
        <f t="shared" si="0"/>
        <v>58129.31</v>
      </c>
      <c r="X15" s="15"/>
      <c r="Y15" s="15"/>
      <c r="Z15" s="15"/>
      <c r="AA15" s="15"/>
      <c r="AB15" s="15"/>
      <c r="AC15" s="15"/>
    </row>
    <row r="16" spans="1:29" s="26" customFormat="1" ht="25.5" customHeight="1" x14ac:dyDescent="0.25">
      <c r="A16" s="24">
        <v>2011</v>
      </c>
      <c r="B16" s="1">
        <v>21879.4</v>
      </c>
      <c r="C16" s="1">
        <v>331789</v>
      </c>
      <c r="D16" s="1">
        <v>21002520</v>
      </c>
      <c r="E16" s="1">
        <v>454893880</v>
      </c>
      <c r="F16" s="1">
        <v>30280.85</v>
      </c>
      <c r="G16" s="1">
        <v>3674.39</v>
      </c>
      <c r="H16" s="25">
        <v>17.850000000000001</v>
      </c>
      <c r="I16" s="15"/>
      <c r="V16" s="24">
        <v>2011</v>
      </c>
      <c r="W16" s="17">
        <f t="shared" si="0"/>
        <v>55852.49</v>
      </c>
      <c r="X16" s="15"/>
      <c r="Y16" s="15"/>
      <c r="Z16" s="15"/>
      <c r="AA16" s="15"/>
      <c r="AB16" s="15"/>
      <c r="AC16" s="15"/>
    </row>
    <row r="17" spans="1:29" s="32" customFormat="1" ht="25.5" customHeight="1" x14ac:dyDescent="0.25">
      <c r="A17" s="27">
        <v>2012</v>
      </c>
      <c r="B17" s="28">
        <v>9066.2000000000007</v>
      </c>
      <c r="C17" s="28">
        <v>2629692</v>
      </c>
      <c r="D17" s="28">
        <v>57698505</v>
      </c>
      <c r="E17" s="28">
        <v>402124770</v>
      </c>
      <c r="F17" s="28">
        <v>24137.85</v>
      </c>
      <c r="G17" s="28">
        <v>7736.28</v>
      </c>
      <c r="H17" s="29">
        <v>50.35</v>
      </c>
      <c r="I17" s="15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27">
        <v>2012</v>
      </c>
      <c r="W17" s="31">
        <f t="shared" si="0"/>
        <v>40990.679999999993</v>
      </c>
      <c r="X17" s="15"/>
      <c r="Y17" s="15"/>
      <c r="Z17" s="15"/>
      <c r="AA17" s="15"/>
      <c r="AB17" s="15"/>
      <c r="AC17" s="15"/>
    </row>
    <row r="18" spans="1:29" s="26" customFormat="1" ht="25.5" customHeight="1" x14ac:dyDescent="0.25">
      <c r="A18" s="24">
        <v>2013</v>
      </c>
      <c r="B18" s="1">
        <v>28182.17</v>
      </c>
      <c r="C18" s="1">
        <v>508117</v>
      </c>
      <c r="D18" s="1">
        <v>58995480</v>
      </c>
      <c r="E18" s="1">
        <v>439602400</v>
      </c>
      <c r="F18" s="1">
        <v>20289.060000000001</v>
      </c>
      <c r="G18" s="1">
        <v>4677.95</v>
      </c>
      <c r="H18" s="25">
        <v>14.75</v>
      </c>
      <c r="I18" s="15"/>
      <c r="V18" s="24">
        <v>2013</v>
      </c>
      <c r="W18" s="33">
        <f t="shared" si="0"/>
        <v>53163.93</v>
      </c>
      <c r="X18" s="15"/>
      <c r="Y18" s="15"/>
      <c r="Z18" s="15"/>
      <c r="AA18" s="15"/>
      <c r="AB18" s="15"/>
      <c r="AC18" s="15"/>
    </row>
    <row r="19" spans="1:29" s="32" customFormat="1" ht="25.5" customHeight="1" x14ac:dyDescent="0.25">
      <c r="A19" s="24">
        <v>2014</v>
      </c>
      <c r="B19" s="1">
        <v>21538.25</v>
      </c>
      <c r="C19" s="1">
        <v>170244</v>
      </c>
      <c r="D19" s="1">
        <v>54664290</v>
      </c>
      <c r="E19" s="1">
        <v>486717110</v>
      </c>
      <c r="F19" s="1">
        <v>22424.03</v>
      </c>
      <c r="G19" s="1">
        <v>1010.16</v>
      </c>
      <c r="H19" s="25">
        <v>168</v>
      </c>
      <c r="I19" s="15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27">
        <v>2014</v>
      </c>
      <c r="W19" s="31">
        <f t="shared" si="0"/>
        <v>45140.44</v>
      </c>
      <c r="X19" s="15"/>
      <c r="Y19" s="15"/>
      <c r="Z19" s="15"/>
      <c r="AA19" s="15"/>
      <c r="AB19" s="15"/>
      <c r="AC19" s="15"/>
    </row>
    <row r="20" spans="1:29" s="26" customFormat="1" ht="25.5" customHeight="1" x14ac:dyDescent="0.25">
      <c r="A20" s="24">
        <v>2015</v>
      </c>
      <c r="B20" s="1">
        <v>22172</v>
      </c>
      <c r="C20" s="1">
        <v>14806333</v>
      </c>
      <c r="D20" s="1">
        <v>64802049</v>
      </c>
      <c r="E20" s="1">
        <v>460682600</v>
      </c>
      <c r="F20" s="1">
        <v>24803.23</v>
      </c>
      <c r="G20" s="1">
        <v>3736.2</v>
      </c>
      <c r="H20" s="25">
        <v>190.21</v>
      </c>
      <c r="I20" s="15"/>
      <c r="V20" s="24">
        <v>2015</v>
      </c>
      <c r="W20" s="33">
        <f t="shared" si="0"/>
        <v>50901.64</v>
      </c>
      <c r="X20" s="15"/>
      <c r="Y20" s="15"/>
      <c r="Z20" s="15"/>
      <c r="AA20" s="15"/>
      <c r="AB20" s="15"/>
      <c r="AC20" s="15"/>
    </row>
    <row r="21" spans="1:29" s="16" customFormat="1" ht="25.5" customHeight="1" x14ac:dyDescent="0.25">
      <c r="A21" s="24">
        <v>2016</v>
      </c>
      <c r="B21" s="1">
        <v>18719.5</v>
      </c>
      <c r="C21" s="1">
        <v>116097556</v>
      </c>
      <c r="D21" s="1">
        <v>50405000</v>
      </c>
      <c r="E21" s="1">
        <v>497867750</v>
      </c>
      <c r="F21" s="1">
        <v>26476.07</v>
      </c>
      <c r="G21" s="1">
        <v>2346.1299999999997</v>
      </c>
      <c r="H21" s="25">
        <v>722.8</v>
      </c>
      <c r="I21" s="15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27">
        <v>2016</v>
      </c>
      <c r="W21" s="33">
        <f t="shared" si="0"/>
        <v>48264.5</v>
      </c>
      <c r="X21" s="15"/>
      <c r="Y21" s="15"/>
      <c r="Z21" s="15"/>
      <c r="AA21" s="15"/>
      <c r="AB21" s="15"/>
      <c r="AC21" s="15"/>
    </row>
    <row r="22" spans="1:29" s="16" customFormat="1" ht="25.5" customHeight="1" x14ac:dyDescent="0.25">
      <c r="A22" s="24">
        <v>2017</v>
      </c>
      <c r="B22" s="1">
        <v>30737.25</v>
      </c>
      <c r="C22" s="1">
        <v>116585187</v>
      </c>
      <c r="D22" s="1" t="s">
        <v>1</v>
      </c>
      <c r="E22" s="1">
        <v>427827850</v>
      </c>
      <c r="F22" s="1">
        <v>29040.316722726449</v>
      </c>
      <c r="G22" s="1">
        <v>1318.64</v>
      </c>
      <c r="H22" s="25">
        <v>686</v>
      </c>
      <c r="I22" s="15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4">
        <v>2017</v>
      </c>
      <c r="W22" s="33">
        <f t="shared" si="0"/>
        <v>61782.206722726449</v>
      </c>
      <c r="X22" s="15"/>
      <c r="Z22" s="15"/>
      <c r="AA22" s="15"/>
      <c r="AB22" s="15"/>
      <c r="AC22" s="4"/>
    </row>
    <row r="23" spans="1:29" s="16" customFormat="1" ht="25.5" customHeight="1" x14ac:dyDescent="0.25">
      <c r="A23" s="24">
        <v>2018</v>
      </c>
      <c r="B23" s="1">
        <v>22260.5</v>
      </c>
      <c r="C23" s="1">
        <v>100841542</v>
      </c>
      <c r="D23" s="1">
        <v>16805750</v>
      </c>
      <c r="E23" s="1">
        <v>465597841</v>
      </c>
      <c r="F23" s="1">
        <v>30494.079174545441</v>
      </c>
      <c r="G23" s="1">
        <v>2025.075</v>
      </c>
      <c r="H23" s="25">
        <v>4960.9750000000004</v>
      </c>
      <c r="I23" s="15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4">
        <v>2018</v>
      </c>
      <c r="W23" s="33">
        <f>SUM(F23:H23)+B23</f>
        <v>59740.629174545444</v>
      </c>
      <c r="X23" s="15"/>
      <c r="Y23" s="44"/>
      <c r="Z23" s="15"/>
      <c r="AA23" s="15"/>
      <c r="AB23" s="15"/>
      <c r="AC23" s="4"/>
    </row>
    <row r="24" spans="1:29" s="16" customFormat="1" ht="25.5" customHeight="1" x14ac:dyDescent="0.25">
      <c r="A24" s="34">
        <v>2019</v>
      </c>
      <c r="B24" s="45">
        <v>24680</v>
      </c>
      <c r="C24" s="45">
        <v>124555454</v>
      </c>
      <c r="D24" s="45">
        <v>288</v>
      </c>
      <c r="E24" s="45">
        <v>474972430</v>
      </c>
      <c r="F24" s="45">
        <v>29416</v>
      </c>
      <c r="G24" s="45">
        <v>5409.2799998</v>
      </c>
      <c r="H24" s="46">
        <v>3225.15</v>
      </c>
      <c r="I24" s="15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27">
        <v>2019</v>
      </c>
      <c r="W24" s="33">
        <f>SUM(F24:H24)+B24</f>
        <v>62730.429999799999</v>
      </c>
      <c r="Y24" s="44"/>
      <c r="AA24" s="4"/>
      <c r="AB24" s="4"/>
      <c r="AC24" s="4"/>
    </row>
    <row r="25" spans="1:29" ht="18.75" x14ac:dyDescent="0.5">
      <c r="A25" s="35" t="s">
        <v>0</v>
      </c>
      <c r="B25" s="36"/>
      <c r="C25" s="36"/>
      <c r="D25" s="36"/>
      <c r="E25" s="37"/>
      <c r="F25" s="37"/>
      <c r="G25" s="36"/>
      <c r="H25" s="38" t="s">
        <v>10</v>
      </c>
      <c r="I25" s="15"/>
      <c r="V25" s="27"/>
      <c r="W25" s="33"/>
      <c r="Y25" s="44"/>
    </row>
    <row r="26" spans="1:29" x14ac:dyDescent="0.25">
      <c r="I26" s="15"/>
    </row>
    <row r="27" spans="1:29" x14ac:dyDescent="0.25">
      <c r="A27" s="36"/>
      <c r="I27" s="15"/>
    </row>
    <row r="31" spans="1:29" x14ac:dyDescent="0.25">
      <c r="AC31" s="39"/>
    </row>
    <row r="44" spans="9:21" x14ac:dyDescent="0.25"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</row>
    <row r="45" spans="9:21" x14ac:dyDescent="0.25"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9:21" x14ac:dyDescent="0.25"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</row>
    <row r="47" spans="9:21" x14ac:dyDescent="0.25"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</row>
    <row r="48" spans="9:21" x14ac:dyDescent="0.25"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</row>
    <row r="49" spans="9:21" x14ac:dyDescent="0.25"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</row>
    <row r="50" spans="9:21" x14ac:dyDescent="0.25"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</row>
    <row r="51" spans="9:21" x14ac:dyDescent="0.25"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</row>
    <row r="52" spans="9:21" x14ac:dyDescent="0.25"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</row>
    <row r="53" spans="9:21" x14ac:dyDescent="0.25"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</row>
    <row r="54" spans="9:21" x14ac:dyDescent="0.25"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</row>
    <row r="55" spans="9:21" x14ac:dyDescent="0.25"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</row>
    <row r="56" spans="9:21" x14ac:dyDescent="0.25"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</row>
    <row r="57" spans="9:21" x14ac:dyDescent="0.25"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</row>
    <row r="58" spans="9:21" x14ac:dyDescent="0.25"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</row>
    <row r="59" spans="9:21" x14ac:dyDescent="0.25"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</row>
    <row r="60" spans="9:21" x14ac:dyDescent="0.25"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</row>
    <row r="61" spans="9:21" x14ac:dyDescent="0.25"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</row>
    <row r="87" spans="2:2" x14ac:dyDescent="0.25">
      <c r="B87" s="43"/>
    </row>
    <row r="88" spans="2:2" x14ac:dyDescent="0.25">
      <c r="B88" s="43"/>
    </row>
  </sheetData>
  <mergeCells count="3">
    <mergeCell ref="A1:H1"/>
    <mergeCell ref="A2:H2"/>
    <mergeCell ref="A3:H3"/>
  </mergeCells>
  <pageMargins left="0.7" right="0.7" top="0.75" bottom="0.75" header="0.3" footer="0.3"/>
  <pageSetup scale="57" orientation="portrait" r:id="rId1"/>
  <rowBreaks count="1" manualBreakCount="1">
    <brk id="65" max="7" man="1"/>
  </rowBreaks>
  <colBreaks count="1" manualBreakCount="1">
    <brk id="8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15.9</vt:lpstr>
      <vt:lpstr>'15.9'!Print_Area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mohamed</cp:lastModifiedBy>
  <cp:lastPrinted>2020-10-20T04:41:11Z</cp:lastPrinted>
  <dcterms:created xsi:type="dcterms:W3CDTF">2019-12-05T04:01:34Z</dcterms:created>
  <dcterms:modified xsi:type="dcterms:W3CDTF">2020-10-20T04:41:27Z</dcterms:modified>
</cp:coreProperties>
</file>