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ohamed\Desktop\yearbook 2020 =update\web\19. HUMAN RIGHTS\"/>
    </mc:Choice>
  </mc:AlternateContent>
  <bookViews>
    <workbookView xWindow="0" yWindow="0" windowWidth="28800" windowHeight="12435"/>
  </bookViews>
  <sheets>
    <sheet name="19.3" sheetId="3" r:id="rId1"/>
  </sheets>
  <definedNames>
    <definedName name="_xlnm.Print_Area" localSheetId="0">'19.3'!$A$1:$O$90</definedName>
    <definedName name="_xlnm.Print_Titles" localSheetId="0">'19.3'!$4:$6</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7" i="3" l="1"/>
  <c r="L7" i="3" l="1"/>
  <c r="M7" i="3"/>
  <c r="E88" i="3" l="1"/>
  <c r="E87" i="3"/>
  <c r="E86" i="3"/>
  <c r="E85" i="3"/>
  <c r="E84" i="3"/>
  <c r="E83" i="3"/>
  <c r="E82" i="3"/>
  <c r="E81" i="3"/>
  <c r="E80" i="3"/>
  <c r="E79" i="3"/>
  <c r="E77" i="3"/>
  <c r="E76" i="3"/>
  <c r="E75" i="3"/>
  <c r="E73" i="3"/>
  <c r="E72" i="3"/>
  <c r="E71" i="3"/>
  <c r="E70" i="3"/>
  <c r="E69" i="3"/>
  <c r="E68" i="3"/>
  <c r="E67" i="3"/>
  <c r="I66" i="3"/>
  <c r="E66" i="3"/>
  <c r="E61" i="3"/>
  <c r="E58" i="3"/>
  <c r="E57" i="3"/>
  <c r="E56" i="3"/>
  <c r="E55" i="3"/>
  <c r="E54" i="3"/>
  <c r="E53" i="3"/>
  <c r="E52" i="3"/>
  <c r="E51" i="3"/>
  <c r="E50" i="3"/>
  <c r="E49" i="3"/>
  <c r="E46" i="3"/>
  <c r="E45" i="3"/>
  <c r="J43" i="3"/>
  <c r="I43" i="3"/>
  <c r="E43" i="3"/>
  <c r="E42" i="3"/>
  <c r="E41" i="3"/>
  <c r="E38" i="3"/>
  <c r="E37" i="3"/>
  <c r="J36" i="3"/>
  <c r="I36" i="3"/>
  <c r="E36" i="3"/>
  <c r="J35" i="3"/>
  <c r="I35" i="3"/>
  <c r="E35" i="3"/>
  <c r="E34" i="3"/>
  <c r="E33" i="3"/>
  <c r="E32" i="3"/>
  <c r="E31" i="3"/>
  <c r="E30" i="3"/>
  <c r="E29" i="3"/>
  <c r="E28" i="3"/>
  <c r="E27" i="3"/>
  <c r="E26" i="3"/>
  <c r="E25" i="3"/>
  <c r="E24" i="3"/>
  <c r="E23" i="3"/>
  <c r="E22" i="3"/>
  <c r="E21" i="3"/>
  <c r="E20" i="3"/>
  <c r="E18" i="3"/>
  <c r="E17" i="3"/>
  <c r="E16" i="3"/>
  <c r="J15" i="3"/>
  <c r="E15" i="3"/>
  <c r="E14" i="3"/>
  <c r="E13" i="3"/>
  <c r="E11" i="3"/>
  <c r="E10" i="3"/>
  <c r="E9" i="3"/>
  <c r="E8" i="3"/>
  <c r="H7" i="3"/>
  <c r="G7" i="3"/>
  <c r="F7" i="3"/>
  <c r="D7" i="3"/>
  <c r="E7" i="3" l="1"/>
  <c r="J7" i="3"/>
  <c r="I7" i="3"/>
</calcChain>
</file>

<file path=xl/sharedStrings.xml><?xml version="1.0" encoding="utf-8"?>
<sst xmlns="http://schemas.openxmlformats.org/spreadsheetml/2006/main" count="267" uniqueCount="220">
  <si>
    <t>މައްސަލަތަކުގެ ބާވަތް</t>
  </si>
  <si>
    <t>Total</t>
  </si>
  <si>
    <t>ޖުމްލަ</t>
  </si>
  <si>
    <t>Non-discrimination</t>
  </si>
  <si>
    <t>ތަފާތުނުކުރުން</t>
  </si>
  <si>
    <t>Duty of the State</t>
  </si>
  <si>
    <t>ދައުލަތުގެ ވާޖިބު</t>
  </si>
  <si>
    <t>Equality</t>
  </si>
  <si>
    <t>ހަމަހަމަކަން</t>
  </si>
  <si>
    <t>Right to life</t>
  </si>
  <si>
    <t>ދިރިހުރުމުގެ ޙައްޤު</t>
  </si>
  <si>
    <t>Economic and social rights</t>
  </si>
  <si>
    <t>އިޤްތިޞާދީ އަދި އިޖްތިމާޢީ ޙައްގުތައް</t>
  </si>
  <si>
    <t>Privacy</t>
  </si>
  <si>
    <t>ޒާތީ ދިރިއުޅުން</t>
  </si>
  <si>
    <t>އަޅުވެތިނުކުރުމާއި، ގަދަކަމުން މަސައްކަތްނުކުރުވުން</t>
  </si>
  <si>
    <t>Rights to vote and run for public office</t>
  </si>
  <si>
    <t>ވޯޓުދިނުމުގެ ޙައްޤާއި އިންތިޚާބުތަކަށް ކުރިމަތިލުމުގެ ޙައްޤު</t>
  </si>
  <si>
    <t>Freedom of expression</t>
  </si>
  <si>
    <t>ޚިޔާލުފާޅުކުރުމުގެ މިނިވަންކަން</t>
  </si>
  <si>
    <t>Freedom of the media</t>
  </si>
  <si>
    <t>ނޫސްވެރިކަމުގެ މިނިވަންކަން</t>
  </si>
  <si>
    <t xml:space="preserve">Freedom of acquiring and imparting knowledge </t>
  </si>
  <si>
    <t>މަޢުލޫމާތު ހޯދުމާއި މަޢުލޫމާތު ދިނުމުގެ މިނިވަންކަން</t>
  </si>
  <si>
    <t>Freedom to form political parties, associations and societies</t>
  </si>
  <si>
    <t>ސިޔާސީ ޕާޓީތަކާއި، ޖަމްޢިއްޔާތައް ހެދުމުގެ މިނިވަންކަން</t>
  </si>
  <si>
    <t>ހަޅުތާލުކުރުމުގެ ޙައްޤު</t>
  </si>
  <si>
    <t>Freedom of Assembly</t>
  </si>
  <si>
    <t>Right to protect reputation &amp; name</t>
  </si>
  <si>
    <t>ނަމާއި އަބުރު ރައްކާތެރިކުރުމުގެ ޙައްޤު</t>
  </si>
  <si>
    <t>Right to marry and establishment of the family</t>
  </si>
  <si>
    <t>ކައިވެނިކުރުމާއި ޢާއިލާ ޤާއިމްކުރުމުގެ ޙައްޤު</t>
  </si>
  <si>
    <t>Social protection to children, young, elderly and disadvantaged people</t>
  </si>
  <si>
    <t>ކުޑަކުދީންނާއި ޅަފުރާގެ ކުދީންނާއި ޢުމުރުން ދުވަސްވީ މީހުންނާއި ޙާއްޞަ އެހީއަށް ބޭނުންވާ މީހުންނަށް ލިބޭ ޙާއްޞަ ރައްކާތެރިކަން</t>
  </si>
  <si>
    <t>Right to education</t>
  </si>
  <si>
    <t>އުނގެނުމުގެ ޙައްޤު</t>
  </si>
  <si>
    <t>Right to work</t>
  </si>
  <si>
    <t>މަސައްކަތްކުރުމުގެ ޙައްޤު</t>
  </si>
  <si>
    <t>ޕެންޝަން ލިބުމުގެ ޙައްޤު</t>
  </si>
  <si>
    <t>Right to acquire and hold property</t>
  </si>
  <si>
    <t>މުދާ ހޯދުމާއި މުދާ ގެންގުޅުމުގެ ޙައްޤު</t>
  </si>
  <si>
    <t>Freedom of movement and establishment</t>
  </si>
  <si>
    <t>ދަތުރުފަތުރުކުރުމާއި ވަޒަންވެރިވުމުގެ މިނިވަންކަން</t>
  </si>
  <si>
    <t xml:space="preserve">Fair and transparent hearings </t>
  </si>
  <si>
    <t>ޢަދުލުރިވެރިކަމާއި ހާމަކަމާއެކު ޝަރީޢަތްކުރުން</t>
  </si>
  <si>
    <t xml:space="preserve">Fair administrative action </t>
  </si>
  <si>
    <t>ޢަދުލުވެރިކަމާއެކު އިދާރީ ފިޔަވަޅުތައްއެޅުން</t>
  </si>
  <si>
    <t>No unlawful arrest or detention</t>
  </si>
  <si>
    <t>ޤާނޫނާ ޚިލާފަށް ހައްޔަރުނުކުރުމާއި ބަންދުނުކުރުން</t>
  </si>
  <si>
    <t>Search and Seizure</t>
  </si>
  <si>
    <t>ހިފެހެއްޓުމާއި ފާސްކުރުމާއި މުދާ އަތުލުން.</t>
  </si>
  <si>
    <t xml:space="preserve">Rights on arrest or detention </t>
  </si>
  <si>
    <t>ހައްޔަރުކުރެވޭ މީހުންނާއި ބަންދުކުރެވޭ މީހުންގެ ޙައްޤުތައް</t>
  </si>
  <si>
    <t xml:space="preserve">Prompt investigation and prosecution </t>
  </si>
  <si>
    <t>އަވަހަށް މައްސަލަތައް ތަޙްޤީޤުކޮށް ދަޢުވާ ކުރުން</t>
  </si>
  <si>
    <t>Rights of the accused</t>
  </si>
  <si>
    <t>ކުށެއް ކުރިކަމުގެ ދަޢުވާ އުފުލިފައިވާ މީހުންގެ ޙައްޤުތައް</t>
  </si>
  <si>
    <t>Assistance of legal counsel</t>
  </si>
  <si>
    <t>ޤާނޫނީ ވަކީލެއްގެ އެހީތެރިކަން</t>
  </si>
  <si>
    <t>No degrading treatment or torture</t>
  </si>
  <si>
    <t>ލާއިންސާނީ އަދަބު ނުދިނުން</t>
  </si>
  <si>
    <t>Right to appeal</t>
  </si>
  <si>
    <t>Humane treatment of arrested or detained persons</t>
  </si>
  <si>
    <t>ބަންދުކުރެވިފައިވާ މީހުންނާ އިޙްތިރާމާއެކު މުޢާމަލަތުކުރުން</t>
  </si>
  <si>
    <t>ބަދަލު ލިބިދިނުން</t>
  </si>
  <si>
    <t>Retention of other rights</t>
  </si>
  <si>
    <t>އެހެނިހެން ޙައްޤުތައް ލިބިދިނުން</t>
  </si>
  <si>
    <t>Responsibilities and Duties</t>
  </si>
  <si>
    <t>މަސްއޫލިއްޔަތުތަކާއި ވާޖިބުތައް</t>
  </si>
  <si>
    <t>ނަން އިޝޫ</t>
  </si>
  <si>
    <t>Source: Human Rights Commission of the Maldives</t>
  </si>
  <si>
    <t xml:space="preserve">Total Number of Cases submitted </t>
  </si>
  <si>
    <t xml:space="preserve"> އަހަރުތެރޭގައި ހުށަހެޅުނު މައްސަލަތަކުގެ ޖުމްލަ </t>
  </si>
  <si>
    <t>Type of cases</t>
  </si>
  <si>
    <t>Ongoing</t>
  </si>
  <si>
    <t>Completed</t>
  </si>
  <si>
    <t xml:space="preserve">ބަލަމުންދާ މައްސަލަތައް </t>
  </si>
  <si>
    <t xml:space="preserve">ނިމުނު މައްސަލަތައް </t>
  </si>
  <si>
    <t>23(a)</t>
  </si>
  <si>
    <t>adequate and nutritious food and clean water</t>
  </si>
  <si>
    <t>ރަނގަޅު ކާނާއާއި، ސާފު ފެން ފުދޭ މިންވަރަށް ލިބުން</t>
  </si>
  <si>
    <t>23(b)</t>
  </si>
  <si>
    <t>clothing and housing</t>
  </si>
  <si>
    <t>ފޭރާމާއި ހިޔާވަހިކަން ލިބުން</t>
  </si>
  <si>
    <t>23(c )</t>
  </si>
  <si>
    <t>good standards of health care, physical and menta</t>
  </si>
  <si>
    <t>ރަނގަޅު ފެންވަރުގެ ޞިއްޙީ ޙިދުމަތްތައް ލިބުން</t>
  </si>
  <si>
    <t>23(d)</t>
  </si>
  <si>
    <t>a healthy and ecologically balanced environment</t>
  </si>
  <si>
    <t>ދިރިއުޅޭނޭ ސާފު އަދި ޞިއްޙަތަށް ރަނގަޅު މާޙާއުލެއް ލިބުން</t>
  </si>
  <si>
    <t>23(e )</t>
  </si>
  <si>
    <t>equal access to means of communication, he State media, transportation facilities, and the natural recources of the country</t>
  </si>
  <si>
    <t>ދިވެހިރާއްޖޭގެ ތަބިއީ މުއްސަނދިކަމާއި، ދަތުރުފަތުރު ކުރުމުގެ ވަސީލަތްތަކާއި، ދައުލަތުގެ ޙަބަރު ފަތުރާ ވަސީލަތްތަކާއި، ހުރިހައި ބާވަތެއްގެ މުއާޟަލާތީ ޚިދުމަތްތައް ހަމަހަމަކަމާއެކު ބޭނުންކުރުމުގެ ފުރުޞަތު ލިބުން</t>
  </si>
  <si>
    <t>23(f)</t>
  </si>
  <si>
    <t>the establishment of a sewage system of a resonably adequate standard on every inhabited island;</t>
  </si>
  <si>
    <t>މީހުން ދިރިއުޅޭ ކޮންމެ ރަށެއްގައިވެސް އެ ރަށަކާ އެކަށީގެންވާ މިންވަރުގެ ނަރުދަމާ ނިޒާމެއް ޤާއިމްވެފައިއޮތުން</t>
  </si>
  <si>
    <t>23(g)</t>
  </si>
  <si>
    <t>the establishment of an electricity system of a reasonably adequate standard on every inhabited island that is commensurate to that island</t>
  </si>
  <si>
    <t>މީހުން ދިރިއުޅޭ ކޮންމެ ރަށެއްގައިވެސް އެ ރަށަކާ އެކަށީގެންވާ މިންވަރަށް ކަރަންޓުގެ ޚިދުމަތް ޤާއިމްވެފައިއޮތުން</t>
  </si>
  <si>
    <t>No slavery or forced labour</t>
  </si>
  <si>
    <t>Freedom of assembly</t>
  </si>
  <si>
    <t>ދައުލަތުގެ ހުއްދައެއް ކުރީން ހޯދުމަކާނުލައި ސުލްޙަވެރިކަމާއެކު އެއްވެއުޅުމުގެ މިނިވަންކަން ކޮންމެ މީހަކަށްމެ ލިބިގެންވުން</t>
  </si>
  <si>
    <t>34(a)</t>
  </si>
  <si>
    <t>Every person of marriageable age as determined by law has the right to marry, and to establish a family as specified in law. The family, being the natural and fundamental unit of society, is entitled to special protection by society and the State</t>
  </si>
  <si>
    <t>ޤާނޫނުގައި ކައިވެނިކުރެވޭ ޢުމުރުކަމުގައި ކަނޑައަޅާފައިވާ ޢުމުރުގެ ކޮންމެ މީހަކަށްމެ، ޤާނޫނުގައި ކަނޑައަޅައިފައިވާ ގޮތުގެމަތީން ކައިވެނިކުރުމާއި، ޢާއިލާ ޤާއިމްކުރުމުގެ ޙައްޤު ލިބިގެންވުން. އައި ޢާއިލާއަކީ މުޖްތަމަޢުގެ ތަބީޢީ އަދި އަސާސީ ބިންގާކަމަށް ވީހިނދު، ކޮންމެ ޢާއިލާއަކަށްމެ މުޖްތަމަޢާއި ދައުލަތުގެ ޙާއްޞަ ރައްކާތެރިކަން ލިބިގެންވުން</t>
  </si>
  <si>
    <t>34(b)</t>
  </si>
  <si>
    <t>Children must be afforded special protection as specified in law in the event of a marital breakdown of the parents</t>
  </si>
  <si>
    <t>ކައިވެންޏެއް ރޫޅިއްޖެ ޙާލަތެއްގައި ދަރީން ތިބިނަމަ، އެ ދަރީންނަށް ޤާނޫނުގައިވާ ގޮތުގެމަތީން ޙާއްޞަ ރައްކާތެރިކަން ލިބިދޭންވާނެ</t>
  </si>
  <si>
    <t>35(a)</t>
  </si>
  <si>
    <t>Children and young people are entitled to special protection and special assistance from the family, the community and the State. Children and young people shall not be harmed, sexually abused, or discriminated against in any manner and shall be free from unsuited social and economic exploitation. No person shall obtain undue benefit from their labour</t>
  </si>
  <si>
    <t>ޢާއިލާގެ ފަރާތުންނާއި ޖަމާޢަތުގެ ފަރާތުންނާއި ދައުލަތުގެ ފަރާތުން ޙާއްޞަ އެހީތެރިކަމާއި ޙާއްޞަ ރައްކާތެރިކަން ލިބުމަކީ ކުޑަކުދިންނާއި ޅަފުރައިގެ ކުދީންނަށް ލިބިގެންވާ ޙައްޤެއް. އަދި ކުޑަކުދީންނާއި ޅަފުރައިގެ ކުދީންނަށް އެއްވެސްގޮތަކުން ހާނިއްކަކޮށް، ޖިންސީގޮތުން އަނިޔާކޮށް އެއްވެސްގޮތަކުން ތަފާތުކޮށް އެކަށީގެންނުވާ އިޤްތިޞާދީ، އިޖްތިމާޢީ ކަންތައްތަކުގައި ބައިވެރިކޮށް އެ މީހުންގެ ފުށުން ނާޖާއިޒް މަންފާތަށް ޙާޞިލްކުރުމަށް ހަމަ އެކަކުވެސް މަސައްކަތްކޮށްގެން ނުވާނެކަން</t>
  </si>
  <si>
    <t>35(b)</t>
  </si>
  <si>
    <t>Elderly and disadvantaged persons are entitled to protection and special assistance from the family, the community and the State</t>
  </si>
  <si>
    <t>ޢާއިލާގެ ފަރާތުންނާއި ޖަމާޢަތުގެ ފަރާތުންނާއި ދައުލަތުގެ ފަރާތުން ޙާއްޞަ އެހީތެރިކަމާއި ޙާއްޞަ ރައްކާތެރިކަން ލިބުމަކީ ޢުމުރުން ދުވަސްވީ މީހުންނާއި، ޙާއްޞައެހީއަށް ބޭނުންވާ މީހުންނަށް ލިބިގެންވާ ޙައްގެއް</t>
  </si>
  <si>
    <t>36(a)</t>
  </si>
  <si>
    <t>Everyone has the right to education without discrimination of any kind</t>
  </si>
  <si>
    <t>އެއްވެސް ބާވަތެއްގެ ތަފާތުކުރުމެއް ނެތި އުނގެނުމުގެ ޙައްޤު ކޮންމެ މީހަކަށްމެ ލިބިގެންވާކަން</t>
  </si>
  <si>
    <t>36(b)</t>
  </si>
  <si>
    <t>Primary and secondary education shall be freely provided by the State. It is imperative on parents and the State to provide children with primary and secondary education. Opportunity for higher education shall be generally accessible to all citizens.</t>
  </si>
  <si>
    <t xml:space="preserve">ފަށާ ތައުލީމާއި މެދުމަދަރަސީ ތައުލީމު ދައުލަތުން ހިލޭ ފޯރި ކޮށްދޭން ވާނެއެވެ. ކުދީންނަށް ފަށާ ތައުލީމާއި މެދު މަދަރުސީ ތައުލީމު ދިނުމަކީ އެކުދިންގެ މައިންބަފައިންނާއި ދައުލަތުގެ މައްޗަށް ލާޒިމް ކަމެކެވެ. އަދި މަތީ ތައުލީމު އުނގެނުމުގެ ފުރުސަތު އެންމެހާ ރައްޔިތުންނަށް އާއްމުކޮށް ހުޅުވާލެވިފައި އޮންނަންވާނެއެވެ. </t>
  </si>
  <si>
    <t>36©</t>
  </si>
  <si>
    <t>Education shall strive to inculcate obedience to Islam, instil love for Islam, foster respect for human rights, and promote understanding, tolerance and friendship among all people.</t>
  </si>
  <si>
    <t>ތަޢުލީމީ ނިޒާމުގެ ތެރެއިން އިސްލާމްދީނަށް ބޯލަނބައި ކިޔަމަންގަތުމަށް ބާރުއެޅުމަށާއި، އިސްލާމްދީނަށް ލޯބިޖެއްސުމަށާއި، އިންސާނީ ޙައްޤުކަށް އިޙްތިރާމް ކުރުމަށާއި، ޢާންމުކޮށް އެންމެންގެ މެދުގައި ސުލްޙަމަސަލަސް ކަމާއި ރަހުމަތްތެރިކަން ބާއްވައިގެން އުޅުމުގެ މުހިންމުކަން އުނގަންނައިދީ، މިކަންކަން ކުރިއެރުވުމަށް ބާރުއަޅަންވާނެއެވެ.</t>
  </si>
  <si>
    <t>36(c )</t>
  </si>
  <si>
    <t>37(a)</t>
  </si>
  <si>
    <t>Every citizen has the right to engage in any employment or occupation</t>
  </si>
  <si>
    <t>ކޮންމެ ރައްޔިތަކަށްމެ އެ މީހަކު އިޚްތިޔާރުކުރާ ވަޒީފާއެއް އަދާކުރުމުގެ ނުވަތަ މަސައްކަތެއް ކުރުމުގެ ޙައްޤު ލިބިގެންވާކަން</t>
  </si>
  <si>
    <t>37(b)</t>
  </si>
  <si>
    <t>Everyone is entitled to just and safe conditions of work, fair wages, equal remuneration for work of equal value, and equal opportunity for promotion</t>
  </si>
  <si>
    <t>ހަމަހަމަކަމާއެކު މުޢާމަލާތުކުރެވޭ، ރައްކާތެރި މާޙައުލެއްގައި މަސައްކަތްކުރުމާއި، ކުރާ މަސައްކަތާ އެކަށީގެންވާ އުޖޫރައެއް ލިބުމާއި، ކުރާ މަސައްކަތް އެއް މިންގަނޑަކުން ވަޒަންކުރެވި އެއް ނިސްބަތަކުން ހަމަހަމަކަމާއެކު އުޖޫރަ ލިބުމާއި، އެއް ހަމައަކުން ވަޒީފާގެ އުޖޫރަ ލިބުމާއި، އެއްހަމައަކުން ވަޒީފާގެ ކުރިންއެރުން ލިބުމުގެ ޙައްޤު ކޮންމެ މީހަކަށްމެ ލިބިގެންވާކަން</t>
  </si>
  <si>
    <t>37(c )</t>
  </si>
  <si>
    <t>Everyone has the right to rest and leisure, including limits on hours of work and periodic holidays with pay.</t>
  </si>
  <si>
    <t>ވަޒީފާއެއް އަދާކުރާ ކޮންމެ މީހަކަށްމެ، މަސައްކަތްކުރަންޖެހޭ ވަގުތު ކަނޑައެޅިފައިވުމާއި، އަރާމުކުރުމާއި މުނިފޫހިފިލުވުމަށް ވަގުތު ލިބުމުގެ ޙައްޤު ލިބިގެންވެއެވެ. އޭގެތެރޭގައި ވަކި މުއްދަތަކަށް މުސާރައާއެކު ޗުއްޓީ ލިބުމުގެ ޙައްޤުވެސް ހިމެނެއެވެ.</t>
  </si>
  <si>
    <t>Every one engaged in employment with the State shall have the right of pension as provided by law</t>
  </si>
  <si>
    <t>40(a)</t>
  </si>
  <si>
    <t>Every citizen has the right to acquire, own, inherit, transfer or otherwise transact of such property.</t>
  </si>
  <si>
    <t>މުދާ ހޯދުމައި، މިލްކުކުރުމާއި، ވާރުތަކުރުމާއި، ދިނުމާއި، މުދަލުން މުޢާމަލާތުކުރުމުގެ ޙައްޤު ކޮންމެ ރައްޔިތަކަށްމެ ލިބިގެންވެއެވެ.</t>
  </si>
  <si>
    <t>Private property shall be inviolable, and may only be compulsorily acquired by the State for the public good, as expressly prescribed by law, and as authorised by order of the court. Fair and adequate compensation shall be paid in all cases, as determined by the court</t>
  </si>
  <si>
    <t>މީސްމީހުންގެ މުދަލަކީ ނިގުޅައިގަނެގެންވާނެ ތަކެއްޗެއް ނޫނެވެ. ފަހެ، ޢާންމުވެގެންވާ މަންފާއަށްޓަކައި، ޤާނޫނުގައި ކަނޑައެޅި ބަޔާންކޮށްފައިވާ ގޮތެއްމަތީން، އަދި އެކަމަށްޓަކައި ކޯޓަކުން ކުރާ ޙުކުމެއް މެނުވީ އެއްވެސް މީހެއްގެ މުދަލެއް އެމީހެއްގެ ރުހުންނެތި ދައުލަތަށް ނަގައިގެނެއް ނުވާނެއެވެ. އަދި މީހެއްގެ މުދަލެއް ދައުލަތަށް ނަގާންވާނީ ކޯޓުން ކަނޑައަޅާ ޢަދުލުވެރި ބަދަލެއް އެ މުދަލެއްގެ ވެރިފަރާތަށް ދިނުމަށްފަހުގައެވެ.</t>
  </si>
  <si>
    <t>40(b)</t>
  </si>
  <si>
    <t>42(a)</t>
  </si>
  <si>
    <t>In the determination of one’s civil rights and obligations or of any criminal charge, everyone is entitled to a fair and public hearing within a reasonable time by an independent court or tribunal established by law</t>
  </si>
  <si>
    <t>ކޮންމެ މީހެއްގެމެ މަދަނީ ޙައްޤުތަކާއި ވާޖިބުތައް ކަނޑައެޅުމުގައި ނުވަތަ ޖިނާއީ ކުށެއްގެ ދަޢުވާ މީހެއްގެ މައްޗަށް އުފުލުމުގައި، ޤާނޫނަކުން ޤާއިމްކޮށްފައިވާ މިނިވަން އަދި މުސްތަޤިއްލު ކޯޓެއްގައި ނުވަތަ ޓްރައިބިއުނަލެއްގައި އެކަށީގެންވާ މުއްދަތެއްގެ ތެރޭގައި، ޢާންމުކޮށް ހުޅުވައިލެވިގެން ބާއްވާ، އަޑުއެހުމެއްގައި އިންޞާފުން ޝާރީޢަތްކުރެވުމުގެ ޙައްޤު ކޮންމެ މީހަކަމަށްމެ ލިބިގެންވާކަން</t>
  </si>
  <si>
    <t>42(b)</t>
  </si>
  <si>
    <t>All judicial proceedings in the Maldives shall be conducted with justice, transparency and impartiality</t>
  </si>
  <si>
    <t>ދިވެހިރާއްޖޭގައި ހިންގާ އެންމެހައި ޝާރީޢަތްތައް ހިންގާންވާނީ ޢަދުލުވެރިކަމާއެކު، ވަކިފަރާތަކަށް ނުޖެހި، ހަމަހަމަކާއެކުގަކަން</t>
  </si>
  <si>
    <t>43(a)</t>
  </si>
  <si>
    <t>Everyone has the right to administrative action that is lawful, procedurally fair, and expeditious</t>
  </si>
  <si>
    <t>އިދާރީ ހިންގުމުގެ ދާއިރާއިން ކޮންމެ މީހަކާމެދުވެސް ޤާނޫނާ އެއްގޮތަވާގޮތުގެ މަތީން، ޢަދުލު އިންޞާފުގެ ހަމަތަކާ އެއްގޮތަށް އެކަށީގެންވާ އަވަސް މިނެއްގައި ކަންކުރެވުމަކީ އެމީހަކަށް ލިބިގެންވާ ޙައްޤެއްކަން</t>
  </si>
  <si>
    <t>43(b)</t>
  </si>
  <si>
    <t>Everyone whose rights have been adversely affected by administrative action has the right to be given written reasons</t>
  </si>
  <si>
    <t>އިދާރީ ގޮތުން އަޅާ ފިޔަވަޅެއްގެ ސަބަބުން އެއްވެސް މީހެއްގެ ޙައްޤަކަށް އުނިކަމެއް ލިބިއްޖެކަމަށް ފެނިއްޖެނަމަ، އެ ފިޔަވަޅެއް އެޅި ސަބަބު ލިޔުމުން ލިބުމުގެ ޙައްޤު އެ މީހަކަށް ލިބިގެންވާކަން</t>
  </si>
  <si>
    <t>Power of arrest and detention</t>
  </si>
  <si>
    <t>ހައްޔަރުކުރުމާއި ބަންދުކުރުމުގެ ބާރު</t>
  </si>
  <si>
    <t>47(a)</t>
  </si>
  <si>
    <t>No person shall be subject to search or seizure unless there is reasonable cause.</t>
  </si>
  <si>
    <t>އެކަށީގެންވާ ސަބަބެއްނެތި އެއްވެސް މީހެއްގެ ގަޔަށް އަތްލައި، ފާސްކޮށް، މީހެއްގެ އެއްޗެއް ގަދަކަމުން އަތުލައިގެނެއް ނުވާނެއެވެ.</t>
  </si>
  <si>
    <t>47(b)</t>
  </si>
  <si>
    <t>Residential property shall be inviolable, and shall not be entered without consent of the resident, except to prevent immediate and serious harm to life or property, or under the express authorisation of an order of the Court.</t>
  </si>
  <si>
    <t>ގޮވަށި ގެދޮރާއި މީހުން ދިރިއުޅޭ ތަންތަނަކީ ޙުމަތްތެރިވެގެންވާ ތަންތަނެވެ. ވަގުތުން ފިޔަވަޅެއް ނާޅައިފިނަމަ މީހެއްގެ މުދަލަކަށް ނުވަތަ މީހަކަށް ލިބިދާނެ ނުރައްކާތެރި ގެއްލުމަކަށް އެ މުދަލެއް ނުވަތަ އެ މީހަކު ސަލާމަތްކުރުމަށްޓަކައި، ނުވަތަ ކޯޓުގެ އަމުރަކުން ހުއްދަ ލިބިގެން މެނުވީ އެއްވެސް މީހަކު ދިރިއުޅޭ ތަނަކަށް އެ މީހެއްގެ ނުރުހުމުގައި ވަދެގެނެއް ނުވާނެއެވެ.</t>
  </si>
  <si>
    <t>48(a)</t>
  </si>
  <si>
    <t>to be informed immediately of the reasons therefore, and in writing within at least twenty four hours;</t>
  </si>
  <si>
    <t>އެ މީހަކު ހައްޔަރުކުރެވުނު ސަބަބު ވަގުތުން އެ މީހަކަށް އަންގަންވާނެއެވެ. އަދި ގިނަވެގެން ސައުވީސް ގަޑިއިރުތެރޭގައި ހައްޔަރުކުރެވުނު ސަބަބު ލިޔުމުން އެ މީހަކަށް ދޭންވާނެއެވެ.</t>
  </si>
  <si>
    <t>48(b)</t>
  </si>
  <si>
    <t>to retain and instruct legal counsel without delay and to be informed of this right, and to have access to legal counsel facilitated until the conclusion of the matter for which he is under arrest or detention;</t>
  </si>
  <si>
    <t>ޤާނޫނީ ވަކީލެއްގެ އެހީތެރިކަން ހޯދުމުގެ ޙައްޤު ލިބިގެންވާކަން އެ މީހަކަށް އަންގަންވާނެއެވެ. އަދި ލަސްކުރުމެއް ނެތި ޤާނޫނީ ވަކީލެއްގެ އެހީތެރިކަން ހޯދައި، އެ މީހަކު އެ ހައްޔަރު ކުރެވުނު ނުވަތަ ބަންދުކުރެވުނު މައްސަލައެއް ނިމޭންދެން ޤާނޫނީ ވަކީލުގެ އެހީތެރިކަން ދެމެހެއްޓުމުގެ ފުރުޞަތު އެ މީހަކަށް ފަހިކޮށްދޭންވާނެއެވެ.</t>
  </si>
  <si>
    <t>to be brought within twenty four hours before a Judge, who has power to determine the validity of the detention, to release the person with or without conditions, or to order the continued detention of the accused</t>
  </si>
  <si>
    <t>ކުށެއްގެ ތުހުމަތުގައި ބަންދުކޮށްފައިވާ މީހާ ބަންދުކޮށްފައި ވަނީ ޤާނޫނީ ހަމަތަކުގެ މަތީންތޯ ކަނޑައެޅުމަށް، އެ މީހަކު ހައްޔަރުކުރެވުނުތާ ގިނަވެގެން ސައުވީސް ގަޑިއިރުގެ ތެރޭގައި، ފަނޑިޔާރެއްގެ ކުރިމައްޗަށް ހާޒިރުކުރާން ވާނެއެވެ. އަދި ޝަރުޠަކާއެކު ނުވަތަ ޝަރުޠަކާ ނުލައި އެ މީހަކު ދޫކޮށްލުމަށް، ނުވަތަ ބަންދުގައި ބެހެއްޓުމަށް އަމުރެއް ނެރުމުގެ ބާރު އެ ފަނޑިޔާރަކަށް ލިބިގެންވެއެވެ.</t>
  </si>
  <si>
    <t>48(d)</t>
  </si>
  <si>
    <t>51(b)</t>
  </si>
  <si>
    <t>to be tried within a reasonable time</t>
  </si>
  <si>
    <t>އެކަށީގެންވާ މުއްދަތެއްގެތެރޭގައި އެ މީހަކާމެދު ޝާރީޢަތްކޮށް ނިންމުމުގެ ޙައްޤުލިބިގެންވުން</t>
  </si>
  <si>
    <t>51(c )</t>
  </si>
  <si>
    <t>not to be compelled to testify</t>
  </si>
  <si>
    <t>ތިމާއާ ދެކޮޅަށް ޝާރީޢަތުގައި ބަޔާނެއް ނުދިނުމުގެ ޙައްޤު ލިބިގެންވުން</t>
  </si>
  <si>
    <t>51(d)</t>
  </si>
  <si>
    <t>to an interpreter to be provided by the State where he does not speak the language in which the proceedings are conducted, or is deaf or mute</t>
  </si>
  <si>
    <t>އެމީހަކީ ޝާރީޢަތްކުރެވޭ ބަސް ނޭނގޭ މީހަކުނަމަ، ނުވަތަ ބީރު މީހަކު ނަމަ، ނުވަތަ މަންމަނު މީހަކު ނަމަ، އެމީހަކަށް ދައުލަތުގެ ފަރާތުން ތަރުޖަމާނަކު ހޯދުމުގެ ޙައްޤު ލިބިގެންވުން</t>
  </si>
  <si>
    <t>51(e )</t>
  </si>
  <si>
    <t>to have adequate time and facilities for the preparation of his defence and to communicate with and instruct legal counsel of his own choosing</t>
  </si>
  <si>
    <t>ކުށުން ބަރީއަވުމަށް މަސައްކަތްކުރުމަށްޓަކައި އެކަށީގެންވާ ވަގުތާއި، އެކަށީގެންވާ ވަސީލަތްތައް ލިބެންވާނެކަން. އަދި އެ މީހަކު އިޙްތިޔާރުކުރާ ޤާނޫނީ ވަކީލަކާ މަޝްވަރާކުރުމަށް ފުރުޟަތު ދިނުން</t>
  </si>
  <si>
    <t>51(f)</t>
  </si>
  <si>
    <t>to be tried in person, and to defend himself through legal counsel of his own choosing</t>
  </si>
  <si>
    <t>އެ މީހެއްގެ ހާޒިރުގައި ޝާރީޢަތް ކުރެވުމާއި، އެ މީހަކު އިޙްތިޔާރުކުރާ ޤާނޫނީ ވަކީލެއްގެ އެހީގައި ކުށުން ބަރީއަވުމަށް މަސައްކަތްކުރުމުގެ ޙައްޤު ލިބިގެންވުން</t>
  </si>
  <si>
    <t>51(g)</t>
  </si>
  <si>
    <t xml:space="preserve">to examine the witnesses against him and to obtain the attendance and examination of witnesses </t>
  </si>
  <si>
    <t>ދަޢުވާ ހުށަހަޅާ ފަރާތުން ޝަރީޢަތަށް ހާޒިރުކުރާ ހެކީންނާ ސުވާލުކުރުމާއި، އެ މީހަކު ބޭނުން ހެކީން ޝަރީޢަތަށް ހާޒިރުކޮށްދިނުމަށް ކޯޓުގައި އެދުމާއި، އެ ހެކީންނާ ޝަރީޢަތުގެ މަޖިލީހުގައި ސުވާލު ކުރުމުގެ ޙައްޤު ލިބިގެންވުން</t>
  </si>
  <si>
    <t>51(h)</t>
  </si>
  <si>
    <t>to be presumed innocent until proven guilty beyond a reasonable doubt</t>
  </si>
  <si>
    <t>އެ މީހަކު ކުށެއްކޮށްފިކަން، އެކަށީގެންވާ މިންވަރެއްގެ ޝައްކެއްނެތި، ޝަރީޢަތުގައި ސާބިތުކުރެވޭ ނަމަ އެ މީހަކު ކުށެއް ނެތް މީހަކު ކަމުގައި ބެލުމުގެ ޙައްޤު ލިބިގެންވެއެވެ.</t>
  </si>
  <si>
    <t>No confession shall be admissable in evidence unless made in court by an accused who is in a sound state of mind. No statement or evidence must be obtained from any source by compulsion or by unlawful means and such statement or evidence is inadmissible in evidence.</t>
  </si>
  <si>
    <t>ތުހުމަތުކުރެވޭ މިހާ ބުއްދި ސަލާމަތުން ހުރެ ޝަރީޢަތުގެ މަޖިލީހުގައި ވާ އިޢުތިރާފު ފިޔަވައި، އެހެން އިޢުތިރާފުތަކަކީ ހެއްކެއްކަމުގައެއް ނުބެލެވޭނެއެވެ. މީހަކަށް މަޖުބޫރުކޮށްގެން ބަޔާން ހޯދުމަކީ އެއްވެސް ފަރާތަކުން ކޮށްގެން ވާނޭ ކަންކަމެއް ނޫނެވެ. އެގޮތަށް ހޯދާ ބަޔާންތަކާއި ހެކިތައް ޝަރީޢަތަށް ޤަބޫލުކޮށްގެނެއް ނުވާނެއެވެ.</t>
  </si>
  <si>
    <t>53(a)</t>
  </si>
  <si>
    <t>Everyone has the right to retain and instruct legal counsel at any instance where legal assistance is required</t>
  </si>
  <si>
    <t>ޤާނޫނީ ވަކީލެއްގެ އެހީއަކަށް ބޭނުންވެއްޖެ ކޮންމެ ހިނދެއްގައި އެފަދަ އެހީ ހޯދައި ލިބިގަތުމުގެ ޙައްޤު ކޮންމެ މީހަކަށްމެ ލިބިގެންވުން</t>
  </si>
  <si>
    <t>In serious criminal cases, the State shall provide a lawyer for an accused person who cannot afford to engage one</t>
  </si>
  <si>
    <t>ޖިނާއީ ބޮޑެތި މައްސަލަތަކުގައި، ތުހުމަތުކުރެވޭ މީހާއަކީ ޤާނޫނީ ވަކީލެއްގެ އެހީތެރިކަން ހޯދޭ ފަދަ މާލީ ތަނަވަސްކަމެއް ނެތް މީހެއް ނަމަ، އޭނާއަށް ދައުލަތުން ޤާނޫނީ ވަކީލަކު ޢައްޔަން ކޮށްދޭން ވާނެއެވެ.</t>
  </si>
  <si>
    <t>53(b)</t>
  </si>
  <si>
    <t>އިސްތިއުނާފު ކުރުމުގެ ޙައްޤު</t>
  </si>
  <si>
    <t>Compensation collected</t>
  </si>
  <si>
    <t>62(a)</t>
  </si>
  <si>
    <t>The enumeration of rights and freedoms in this Chapter are guaranteed equally to female and male persons.</t>
  </si>
  <si>
    <t>މި ބާބުގައި ބަޔާންކުރެވިފައިވާ އެންމެހައި ޙައްޤުތަކާއި މިނިވަންކަން އަންހުނުންނަށާއި ފިރިހެނުންނަށް ހަމަހަމަކަމާއެކު ލިބިގެންވުން</t>
  </si>
  <si>
    <t>62(b)</t>
  </si>
  <si>
    <t>The enumeration of rights and freedoms individually in this Chapter shall not be construed to deny or negate other rights retained by the people which are not specified in this Chapter.</t>
  </si>
  <si>
    <t>މި ބާބުގައި ވަކިވަކީން ޙައްޤުތަކާއި މިނިވަންކަން ކަނޑައެޅި، ބަޔާންކުރެވިފައިވުމަކީ މި ބާބުގައި ނުހިމެނޭ އެހެނިހެން ޙައްޤުތަކާއި މިނިވަންކަން ހޯދުމަށް ނުވަތަ ލިބިގަތުމަށް ހުރަސްއަޅާ ކަމެއް ނޫންކަން</t>
  </si>
  <si>
    <t>Non-compliance with unlawful orders</t>
  </si>
  <si>
    <t>ޢައިރު ގާނޫނީ އަމުރުތަކަށް ތަބާނުވުމުން</t>
  </si>
  <si>
    <t>Non-issue</t>
  </si>
  <si>
    <t>Note: Ongoin cases includes cases which were not competed in  previous years.</t>
  </si>
  <si>
    <t xml:space="preserve">ނޯޓް: ބަލަމުންދާ މައްސަލަތަކުގެ ތެރޭގައި ވޭތުވެދިޔަ އަހަރުތަކުގެ ނުނިމި ހުރި މައްސަލަތައްވެސް ހިމެނޭނެއެވެ. </t>
  </si>
  <si>
    <t>މަޢުލޫމާތު ދެއްވި ފަރާތް: ހިއުމަން ރައިޓްސް އޮފް ދި މޯލްޑިވްސް</t>
  </si>
  <si>
    <t>ހައްޤު</t>
  </si>
  <si>
    <t>rights</t>
  </si>
  <si>
    <t>ތާވަލު 19.3: ހިއުމަން ރައިޓްސް ކޮމިޝަނަށް ހުށައެޅުނު އަދި ބެލުނު މައްސަލަތައް، 2017 - 2019</t>
  </si>
  <si>
    <t>TABLE 19.3:  NUMBER OF CASES SUBMITTED AND COMPLETED BY THE HUMAN RIGHTS COMMISSION,  2017 - 2019</t>
  </si>
  <si>
    <t>ތިމާވެށި ހިމާޔަތްކުރުން</t>
  </si>
  <si>
    <t>Protection of the environment</t>
  </si>
  <si>
    <t>ކުށްކުށަށް ތުހުމަތުކުރެވޭ މީހުން މިނިވަންކުރުން</t>
  </si>
  <si>
    <t>Release of accused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</si>
</sst>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0\ [$€-1];[Red]\-#,##0\ [$€-1]"/>
  </numFmts>
  <fonts count="13" x14ac:knownFonts="1">
    <font>
      <sz val="11"/>
      <color theme="1"/>
      <name val="Calibri"/>
      <family val="2"/>
      <scheme val="minor"/>
    </font>
    <font>
      <sz val="12"/>
      <name val="Calibri"/>
      <family val="2"/>
      <scheme val="minor"/>
    </font>
    <font>
      <sz val="11"/>
      <name val="Calibri"/>
      <family val="2"/>
      <scheme val="minor"/>
    </font>
    <font>
      <sz val="11"/>
      <name val="Faruma"/>
    </font>
    <font>
      <b/>
      <sz val="11"/>
      <name val="Faruma"/>
    </font>
    <font>
      <b/>
      <sz val="11"/>
      <name val="Calibri"/>
      <family val="2"/>
      <scheme val="minor"/>
    </font>
    <font>
      <b/>
      <sz val="10"/>
      <name val="Calibri"/>
      <family val="2"/>
      <scheme val="minor"/>
    </font>
    <font>
      <b/>
      <sz val="10"/>
      <name val="Faruma"/>
    </font>
    <font>
      <b/>
      <sz val="8"/>
      <name val="Faruma"/>
    </font>
    <font>
      <sz val="12"/>
      <name val="Faruma"/>
    </font>
    <font>
      <i/>
      <sz val="9"/>
      <name val="Calibri"/>
      <family val="2"/>
      <scheme val="minor"/>
    </font>
    <font>
      <sz val="9"/>
      <name val="Calibri"/>
      <family val="2"/>
      <scheme val="minor"/>
    </font>
    <font>
      <sz val="9"/>
      <name val="Faruma"/>
    </font>
  </fonts>
  <fills count="3">
    <fill>
      <patternFill patternType="none"/>
    </fill>
    <fill>
      <patternFill patternType="gray125"/>
    </fill>
    <fill>
      <patternFill patternType="solid">
        <fgColor theme="0"/>
        <bgColor indexed="64"/>
      </patternFill>
    </fill>
  </fills>
  <borders count="10">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top/>
      <bottom style="hair">
        <color auto="1"/>
      </bottom>
      <diagonal/>
    </border>
    <border>
      <left/>
      <right/>
      <top/>
      <bottom style="dotted">
        <color indexed="64"/>
      </bottom>
      <diagonal/>
    </border>
    <border>
      <left style="thin">
        <color indexed="64"/>
      </left>
      <right/>
      <top/>
      <bottom style="hair">
        <color auto="1"/>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s>
  <cellStyleXfs count="1">
    <xf numFmtId="0" fontId="0" fillId="0" borderId="0"/>
  </cellStyleXfs>
  <cellXfs count="63">
    <xf numFmtId="0" fontId="0" fillId="0" borderId="0" xfId="0"/>
    <xf numFmtId="0" fontId="3" fillId="2" borderId="0" xfId="0" applyFont="1" applyFill="1" applyBorder="1" applyAlignment="1">
      <alignment horizontal="right" vertical="center" wrapText="1" indent="1" readingOrder="2"/>
    </xf>
    <xf numFmtId="0" fontId="2" fillId="2" borderId="0" xfId="0" applyFont="1" applyFill="1" applyBorder="1" applyAlignment="1">
      <alignment horizontal="right" vertical="center" wrapText="1"/>
    </xf>
    <xf numFmtId="0" fontId="2" fillId="2" borderId="0" xfId="0" applyFont="1" applyFill="1" applyBorder="1" applyAlignment="1">
      <alignment horizontal="right" vertical="center"/>
    </xf>
    <xf numFmtId="0" fontId="2" fillId="2" borderId="9" xfId="0" applyFont="1" applyFill="1" applyBorder="1" applyAlignment="1">
      <alignment horizontal="right" vertical="center" wrapText="1"/>
    </xf>
    <xf numFmtId="0" fontId="2" fillId="2" borderId="0" xfId="0" applyFont="1" applyFill="1" applyBorder="1"/>
    <xf numFmtId="0" fontId="2" fillId="2" borderId="9" xfId="0" applyFont="1" applyFill="1" applyBorder="1" applyAlignment="1">
      <alignment horizontal="right" vertical="center"/>
    </xf>
    <xf numFmtId="0" fontId="1" fillId="2" borderId="9" xfId="0" applyFont="1" applyFill="1" applyBorder="1" applyAlignment="1">
      <alignment horizontal="right" vertical="center" wrapText="1"/>
    </xf>
    <xf numFmtId="0" fontId="2" fillId="2" borderId="8" xfId="0" applyFont="1" applyFill="1" applyBorder="1" applyAlignment="1">
      <alignment horizontal="right" vertical="center" wrapText="1"/>
    </xf>
    <xf numFmtId="0" fontId="2" fillId="2" borderId="0" xfId="0" applyFont="1" applyFill="1" applyBorder="1" applyAlignment="1">
      <alignment horizontal="center" vertical="top"/>
    </xf>
    <xf numFmtId="0" fontId="2" fillId="2" borderId="0" xfId="0" applyFont="1" applyFill="1" applyAlignment="1">
      <alignment vertical="center" wrapText="1"/>
    </xf>
    <xf numFmtId="0" fontId="2" fillId="2" borderId="0" xfId="0" applyFont="1" applyFill="1" applyBorder="1" applyAlignment="1">
      <alignment horizontal="center" vertical="center"/>
    </xf>
    <xf numFmtId="0" fontId="2" fillId="2" borderId="0" xfId="0" applyFont="1" applyFill="1" applyBorder="1" applyAlignment="1">
      <alignment vertical="center"/>
    </xf>
    <xf numFmtId="0" fontId="2" fillId="2" borderId="2" xfId="0" applyFont="1" applyFill="1" applyBorder="1" applyAlignment="1">
      <alignment horizontal="center" vertical="center"/>
    </xf>
    <xf numFmtId="0" fontId="6" fillId="2" borderId="2" xfId="0" applyFont="1" applyFill="1" applyBorder="1" applyAlignment="1">
      <alignment horizontal="right" vertical="center"/>
    </xf>
    <xf numFmtId="0" fontId="6" fillId="2" borderId="3" xfId="0" applyFont="1" applyFill="1" applyBorder="1" applyAlignment="1">
      <alignment horizontal="right" vertical="center" wrapText="1"/>
    </xf>
    <xf numFmtId="0" fontId="3" fillId="2" borderId="0" xfId="0" applyFont="1" applyFill="1" applyBorder="1" applyAlignment="1">
      <alignment horizontal="center" vertical="center" wrapText="1"/>
    </xf>
    <xf numFmtId="0" fontId="7" fillId="2" borderId="4" xfId="0" applyFont="1" applyFill="1" applyBorder="1" applyAlignment="1">
      <alignment horizontal="right" vertical="center" wrapText="1"/>
    </xf>
    <xf numFmtId="0" fontId="7" fillId="2" borderId="5" xfId="0" applyFont="1" applyFill="1" applyBorder="1" applyAlignment="1">
      <alignment horizontal="right" vertical="center" wrapText="1"/>
    </xf>
    <xf numFmtId="0" fontId="8" fillId="2" borderId="6" xfId="0" applyFont="1" applyFill="1" applyBorder="1" applyAlignment="1">
      <alignment horizontal="right" vertical="center" wrapText="1"/>
    </xf>
    <xf numFmtId="0" fontId="7" fillId="2" borderId="0" xfId="0" applyFont="1" applyFill="1" applyBorder="1" applyAlignment="1">
      <alignment horizontal="right" vertical="center" wrapText="1"/>
    </xf>
    <xf numFmtId="0" fontId="5" fillId="2" borderId="1" xfId="0" applyFont="1" applyFill="1" applyBorder="1" applyAlignment="1">
      <alignment horizontal="center" vertical="center"/>
    </xf>
    <xf numFmtId="0" fontId="5" fillId="2" borderId="1" xfId="0" applyFont="1" applyFill="1" applyBorder="1" applyAlignment="1">
      <alignment horizontal="center"/>
    </xf>
    <xf numFmtId="0" fontId="5" fillId="2" borderId="0" xfId="0" applyFont="1" applyFill="1" applyBorder="1"/>
    <xf numFmtId="0" fontId="5" fillId="2" borderId="2" xfId="0" applyFont="1" applyFill="1" applyBorder="1" applyAlignment="1">
      <alignment horizontal="left" vertical="center" wrapText="1"/>
    </xf>
    <xf numFmtId="0" fontId="5" fillId="2" borderId="2" xfId="0" applyFont="1" applyFill="1" applyBorder="1" applyAlignment="1">
      <alignment horizontal="right" vertical="center" wrapText="1"/>
    </xf>
    <xf numFmtId="0" fontId="5" fillId="2" borderId="3" xfId="0" applyFont="1" applyFill="1" applyBorder="1" applyAlignment="1">
      <alignment horizontal="right" vertical="center" wrapText="1"/>
    </xf>
    <xf numFmtId="0" fontId="4" fillId="2" borderId="2" xfId="0" applyFont="1" applyFill="1" applyBorder="1" applyAlignment="1">
      <alignment horizontal="right" vertical="center" wrapText="1"/>
    </xf>
    <xf numFmtId="0" fontId="2" fillId="2" borderId="0" xfId="0" applyFont="1" applyFill="1" applyBorder="1" applyAlignment="1">
      <alignment horizontal="left" vertical="center" wrapText="1"/>
    </xf>
    <xf numFmtId="0" fontId="2" fillId="2" borderId="0" xfId="0" applyFont="1" applyFill="1" applyAlignment="1">
      <alignment vertical="center"/>
    </xf>
    <xf numFmtId="0" fontId="1" fillId="2" borderId="0" xfId="0" applyFont="1" applyFill="1" applyBorder="1" applyAlignment="1">
      <alignment horizontal="left" vertical="center" wrapText="1"/>
    </xf>
    <xf numFmtId="0" fontId="3" fillId="2" borderId="0" xfId="0" applyFont="1" applyFill="1" applyBorder="1" applyAlignment="1">
      <alignment horizontal="right" vertical="center" wrapText="1" indent="1"/>
    </xf>
    <xf numFmtId="165" fontId="2" fillId="2" borderId="0" xfId="0" applyNumberFormat="1" applyFont="1" applyFill="1" applyBorder="1" applyAlignment="1">
      <alignment horizontal="center" vertical="center"/>
    </xf>
    <xf numFmtId="165" fontId="2" fillId="2" borderId="0" xfId="0" applyNumberFormat="1" applyFont="1" applyFill="1" applyBorder="1" applyAlignment="1">
      <alignment horizontal="center" vertical="top"/>
    </xf>
    <xf numFmtId="0" fontId="9" fillId="2" borderId="0" xfId="0" applyFont="1" applyFill="1" applyBorder="1" applyAlignment="1">
      <alignment horizontal="right" vertical="center" wrapText="1" readingOrder="2"/>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wrapText="1"/>
    </xf>
    <xf numFmtId="0" fontId="2" fillId="2" borderId="1" xfId="0" applyFont="1" applyFill="1" applyBorder="1" applyAlignment="1">
      <alignment horizontal="right" vertical="center"/>
    </xf>
    <xf numFmtId="0" fontId="3" fillId="2" borderId="1" xfId="0" applyFont="1" applyFill="1" applyBorder="1" applyAlignment="1">
      <alignment horizontal="right" vertical="center" wrapText="1" indent="1"/>
    </xf>
    <xf numFmtId="0" fontId="2" fillId="2" borderId="1" xfId="0" applyFont="1" applyFill="1" applyBorder="1" applyAlignment="1">
      <alignment horizontal="center" vertical="top"/>
    </xf>
    <xf numFmtId="0" fontId="10" fillId="2" borderId="0" xfId="0" applyFont="1" applyFill="1" applyBorder="1" applyAlignment="1">
      <alignment horizontal="left" vertical="center"/>
    </xf>
    <xf numFmtId="0" fontId="10" fillId="2" borderId="0" xfId="0" applyFont="1" applyFill="1" applyBorder="1" applyAlignment="1">
      <alignment horizontal="right" vertical="center"/>
    </xf>
    <xf numFmtId="0" fontId="11" fillId="2" borderId="0" xfId="0" applyFont="1" applyFill="1" applyBorder="1" applyAlignment="1">
      <alignment horizontal="right" vertical="center"/>
    </xf>
    <xf numFmtId="0" fontId="12" fillId="2" borderId="0" xfId="0" applyFont="1" applyFill="1" applyBorder="1" applyAlignment="1">
      <alignment vertical="center"/>
    </xf>
    <xf numFmtId="0" fontId="10" fillId="2" borderId="0" xfId="0" applyFont="1" applyFill="1" applyBorder="1" applyAlignment="1">
      <alignment vertical="center"/>
    </xf>
    <xf numFmtId="0" fontId="11" fillId="2" borderId="0" xfId="0" applyFont="1" applyFill="1" applyBorder="1" applyAlignment="1">
      <alignment vertical="center"/>
    </xf>
    <xf numFmtId="0" fontId="0" fillId="2" borderId="0" xfId="0" applyFont="1" applyFill="1" applyBorder="1" applyAlignment="1">
      <alignment horizontal="right" vertical="center"/>
    </xf>
    <xf numFmtId="0" fontId="0" fillId="2" borderId="0" xfId="0" applyFont="1" applyFill="1" applyBorder="1" applyAlignment="1">
      <alignment horizontal="right" vertical="center" wrapText="1"/>
    </xf>
    <xf numFmtId="0" fontId="0" fillId="2" borderId="1" xfId="0" applyFont="1" applyFill="1" applyBorder="1" applyAlignment="1">
      <alignment horizontal="right" vertical="center"/>
    </xf>
    <xf numFmtId="0" fontId="4" fillId="2" borderId="2"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0" xfId="0" applyFont="1" applyFill="1" applyBorder="1" applyAlignment="1">
      <alignment horizontal="center" vertical="center"/>
    </xf>
    <xf numFmtId="0" fontId="5" fillId="2" borderId="0" xfId="0" applyFont="1" applyFill="1" applyBorder="1" applyAlignment="1">
      <alignment horizontal="center" vertical="center"/>
    </xf>
    <xf numFmtId="0" fontId="6" fillId="2" borderId="2" xfId="0" applyFont="1" applyFill="1" applyBorder="1" applyAlignment="1">
      <alignment horizontal="left" vertical="center"/>
    </xf>
    <xf numFmtId="0" fontId="6" fillId="2" borderId="0" xfId="0" applyFont="1" applyFill="1" applyBorder="1" applyAlignment="1">
      <alignment horizontal="left" vertical="center"/>
    </xf>
    <xf numFmtId="0" fontId="6" fillId="2" borderId="1" xfId="0" applyFont="1" applyFill="1" applyBorder="1" applyAlignment="1">
      <alignment horizontal="left" vertical="center"/>
    </xf>
    <xf numFmtId="0" fontId="7" fillId="2" borderId="2" xfId="0" applyFont="1" applyFill="1" applyBorder="1" applyAlignment="1">
      <alignment horizontal="right" vertical="center"/>
    </xf>
    <xf numFmtId="0" fontId="7" fillId="2" borderId="0" xfId="0" applyFont="1" applyFill="1" applyBorder="1" applyAlignment="1">
      <alignment horizontal="right" vertical="center"/>
    </xf>
    <xf numFmtId="0" fontId="7" fillId="2" borderId="1" xfId="0" applyFont="1" applyFill="1" applyBorder="1" applyAlignment="1">
      <alignment horizontal="right" vertical="center"/>
    </xf>
    <xf numFmtId="0" fontId="5" fillId="2" borderId="8" xfId="0" applyFont="1" applyFill="1" applyBorder="1" applyAlignment="1">
      <alignment horizontal="center"/>
    </xf>
    <xf numFmtId="0" fontId="5" fillId="2" borderId="1" xfId="0" applyFont="1" applyFill="1" applyBorder="1" applyAlignment="1">
      <alignment horizontal="center"/>
    </xf>
    <xf numFmtId="0" fontId="5" fillId="2" borderId="7"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FFFB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0"/>
  <sheetViews>
    <sheetView tabSelected="1" zoomScaleNormal="100" workbookViewId="0">
      <selection activeCell="P9" sqref="P9"/>
    </sheetView>
  </sheetViews>
  <sheetFormatPr defaultColWidth="11.85546875" defaultRowHeight="15" x14ac:dyDescent="0.25"/>
  <cols>
    <col min="1" max="1" width="6.28515625" style="11" customWidth="1"/>
    <col min="2" max="2" width="45.140625" style="12" customWidth="1"/>
    <col min="3" max="3" width="13.28515625" style="3" customWidth="1"/>
    <col min="4" max="5" width="9.85546875" style="3" customWidth="1"/>
    <col min="6" max="7" width="10.7109375" style="5" hidden="1" customWidth="1"/>
    <col min="8" max="8" width="13.28515625" style="3" customWidth="1"/>
    <col min="9" max="9" width="9.85546875" style="3" customWidth="1"/>
    <col min="10" max="10" width="9.7109375" style="3" bestFit="1" customWidth="1"/>
    <col min="11" max="11" width="13.28515625" style="3" customWidth="1"/>
    <col min="12" max="12" width="9.85546875" style="3" customWidth="1"/>
    <col min="13" max="13" width="9.7109375" style="3" bestFit="1" customWidth="1"/>
    <col min="14" max="14" width="48.7109375" style="5" customWidth="1"/>
    <col min="15" max="15" width="7" style="9" customWidth="1"/>
    <col min="16" max="16" width="28.28515625" style="5" customWidth="1"/>
    <col min="17" max="16384" width="11.85546875" style="5"/>
  </cols>
  <sheetData>
    <row r="1" spans="1:15" ht="18.75" customHeight="1" x14ac:dyDescent="0.25">
      <c r="B1" s="52" t="s">
        <v>214</v>
      </c>
      <c r="C1" s="52"/>
      <c r="D1" s="52"/>
      <c r="E1" s="52"/>
      <c r="F1" s="52"/>
      <c r="G1" s="52"/>
      <c r="H1" s="52"/>
      <c r="I1" s="52"/>
      <c r="J1" s="52"/>
      <c r="K1" s="52"/>
      <c r="L1" s="52"/>
      <c r="M1" s="52"/>
      <c r="N1" s="52"/>
    </row>
    <row r="2" spans="1:15" ht="18.75" customHeight="1" x14ac:dyDescent="0.25">
      <c r="B2" s="53" t="s">
        <v>215</v>
      </c>
      <c r="C2" s="53"/>
      <c r="D2" s="53"/>
      <c r="E2" s="53"/>
      <c r="F2" s="53"/>
      <c r="G2" s="53"/>
      <c r="H2" s="53"/>
      <c r="I2" s="53"/>
      <c r="J2" s="53"/>
      <c r="K2" s="53"/>
      <c r="L2" s="53"/>
      <c r="M2" s="53"/>
      <c r="N2" s="53"/>
    </row>
    <row r="3" spans="1:15" ht="6.75" customHeight="1" x14ac:dyDescent="0.25"/>
    <row r="4" spans="1:15" s="11" customFormat="1" ht="36.75" customHeight="1" x14ac:dyDescent="0.25">
      <c r="A4" s="13"/>
      <c r="B4" s="54" t="s">
        <v>73</v>
      </c>
      <c r="C4" s="15" t="s">
        <v>71</v>
      </c>
      <c r="D4" s="14" t="s">
        <v>74</v>
      </c>
      <c r="E4" s="14" t="s">
        <v>75</v>
      </c>
      <c r="G4" s="14"/>
      <c r="H4" s="15" t="s">
        <v>71</v>
      </c>
      <c r="I4" s="14" t="s">
        <v>74</v>
      </c>
      <c r="J4" s="14" t="s">
        <v>75</v>
      </c>
      <c r="K4" s="15" t="s">
        <v>71</v>
      </c>
      <c r="L4" s="14" t="s">
        <v>74</v>
      </c>
      <c r="M4" s="14" t="s">
        <v>75</v>
      </c>
      <c r="N4" s="57" t="s">
        <v>0</v>
      </c>
      <c r="O4" s="49" t="s">
        <v>212</v>
      </c>
    </row>
    <row r="5" spans="1:15" s="16" customFormat="1" ht="45.75" customHeight="1" x14ac:dyDescent="0.25">
      <c r="B5" s="55"/>
      <c r="C5" s="19" t="s">
        <v>72</v>
      </c>
      <c r="D5" s="17" t="s">
        <v>76</v>
      </c>
      <c r="E5" s="18" t="s">
        <v>77</v>
      </c>
      <c r="G5" s="20"/>
      <c r="H5" s="19" t="s">
        <v>72</v>
      </c>
      <c r="I5" s="17" t="s">
        <v>76</v>
      </c>
      <c r="J5" s="18" t="s">
        <v>77</v>
      </c>
      <c r="K5" s="19" t="s">
        <v>72</v>
      </c>
      <c r="L5" s="17" t="s">
        <v>76</v>
      </c>
      <c r="M5" s="18" t="s">
        <v>77</v>
      </c>
      <c r="N5" s="58"/>
      <c r="O5" s="50"/>
    </row>
    <row r="6" spans="1:15" s="23" customFormat="1" ht="18.75" customHeight="1" x14ac:dyDescent="0.25">
      <c r="A6" s="21"/>
      <c r="B6" s="56"/>
      <c r="C6" s="60">
        <v>2017</v>
      </c>
      <c r="D6" s="61"/>
      <c r="E6" s="61"/>
      <c r="F6" s="62"/>
      <c r="G6" s="22"/>
      <c r="H6" s="60">
        <v>2018</v>
      </c>
      <c r="I6" s="61"/>
      <c r="J6" s="61"/>
      <c r="K6" s="60">
        <v>2019</v>
      </c>
      <c r="L6" s="61"/>
      <c r="M6" s="61"/>
      <c r="N6" s="59"/>
      <c r="O6" s="51"/>
    </row>
    <row r="7" spans="1:15" ht="18.75" customHeight="1" x14ac:dyDescent="0.25">
      <c r="A7" s="11" t="s">
        <v>213</v>
      </c>
      <c r="B7" s="24" t="s">
        <v>1</v>
      </c>
      <c r="C7" s="26">
        <v>365</v>
      </c>
      <c r="D7" s="25">
        <f t="shared" ref="D7:M7" si="0">SUM(D8:D88)</f>
        <v>164</v>
      </c>
      <c r="E7" s="25">
        <f t="shared" si="0"/>
        <v>576</v>
      </c>
      <c r="F7" s="25">
        <f t="shared" si="0"/>
        <v>462</v>
      </c>
      <c r="G7" s="25">
        <f t="shared" si="0"/>
        <v>114</v>
      </c>
      <c r="H7" s="26">
        <f t="shared" si="0"/>
        <v>396</v>
      </c>
      <c r="I7" s="25">
        <f t="shared" si="0"/>
        <v>152</v>
      </c>
      <c r="J7" s="25">
        <f t="shared" si="0"/>
        <v>400</v>
      </c>
      <c r="K7" s="26">
        <f t="shared" si="0"/>
        <v>562</v>
      </c>
      <c r="L7" s="25">
        <f t="shared" si="0"/>
        <v>294</v>
      </c>
      <c r="M7" s="25">
        <f t="shared" si="0"/>
        <v>352</v>
      </c>
      <c r="N7" s="27" t="s">
        <v>2</v>
      </c>
    </row>
    <row r="8" spans="1:15" ht="24" customHeight="1" x14ac:dyDescent="0.25">
      <c r="A8" s="11">
        <v>17</v>
      </c>
      <c r="B8" s="28" t="s">
        <v>3</v>
      </c>
      <c r="C8" s="4">
        <v>0</v>
      </c>
      <c r="D8" s="3">
        <v>0</v>
      </c>
      <c r="E8" s="3">
        <f>G8+F8</f>
        <v>3</v>
      </c>
      <c r="F8" s="3"/>
      <c r="G8" s="3">
        <v>3</v>
      </c>
      <c r="H8" s="4">
        <v>1</v>
      </c>
      <c r="I8" s="3">
        <v>0</v>
      </c>
      <c r="J8" s="3">
        <v>1</v>
      </c>
      <c r="K8" s="4">
        <v>1</v>
      </c>
      <c r="L8" s="46">
        <v>0</v>
      </c>
      <c r="M8" s="3">
        <v>1</v>
      </c>
      <c r="N8" s="1" t="s">
        <v>4</v>
      </c>
      <c r="O8" s="9">
        <v>17</v>
      </c>
    </row>
    <row r="9" spans="1:15" ht="24" customHeight="1" x14ac:dyDescent="0.25">
      <c r="A9" s="11">
        <v>18</v>
      </c>
      <c r="B9" s="28" t="s">
        <v>5</v>
      </c>
      <c r="C9" s="4">
        <v>0</v>
      </c>
      <c r="D9" s="3">
        <v>0</v>
      </c>
      <c r="E9" s="3">
        <f t="shared" ref="E9:E86" si="1">G9+F9</f>
        <v>1</v>
      </c>
      <c r="F9" s="3">
        <v>1</v>
      </c>
      <c r="G9" s="3"/>
      <c r="H9" s="4">
        <v>0</v>
      </c>
      <c r="I9" s="3">
        <v>1</v>
      </c>
      <c r="J9" s="3">
        <v>0</v>
      </c>
      <c r="K9" s="4">
        <v>0</v>
      </c>
      <c r="L9" s="46">
        <v>0</v>
      </c>
      <c r="M9" s="3">
        <v>0</v>
      </c>
      <c r="N9" s="1" t="s">
        <v>6</v>
      </c>
      <c r="O9" s="9">
        <v>18</v>
      </c>
    </row>
    <row r="10" spans="1:15" ht="24" customHeight="1" x14ac:dyDescent="0.25">
      <c r="A10" s="11">
        <v>20</v>
      </c>
      <c r="B10" s="28" t="s">
        <v>7</v>
      </c>
      <c r="C10" s="4">
        <v>0</v>
      </c>
      <c r="D10" s="3">
        <v>0</v>
      </c>
      <c r="E10" s="3">
        <f t="shared" si="1"/>
        <v>1</v>
      </c>
      <c r="F10" s="3">
        <v>1</v>
      </c>
      <c r="G10" s="3"/>
      <c r="H10" s="4">
        <v>0</v>
      </c>
      <c r="I10" s="3">
        <v>0</v>
      </c>
      <c r="J10" s="3">
        <v>0</v>
      </c>
      <c r="K10" s="4">
        <v>0</v>
      </c>
      <c r="L10" s="46">
        <v>0</v>
      </c>
      <c r="M10" s="3">
        <v>0</v>
      </c>
      <c r="N10" s="1" t="s">
        <v>8</v>
      </c>
      <c r="O10" s="9">
        <v>20</v>
      </c>
    </row>
    <row r="11" spans="1:15" ht="24" customHeight="1" x14ac:dyDescent="0.25">
      <c r="A11" s="11">
        <v>21</v>
      </c>
      <c r="B11" s="28" t="s">
        <v>9</v>
      </c>
      <c r="C11" s="4">
        <v>7</v>
      </c>
      <c r="D11" s="3">
        <v>8</v>
      </c>
      <c r="E11" s="3">
        <f t="shared" si="1"/>
        <v>5</v>
      </c>
      <c r="F11" s="3">
        <v>5</v>
      </c>
      <c r="G11" s="3"/>
      <c r="H11" s="4">
        <v>13</v>
      </c>
      <c r="I11" s="3">
        <v>6</v>
      </c>
      <c r="J11" s="3">
        <v>12</v>
      </c>
      <c r="K11" s="4">
        <v>31</v>
      </c>
      <c r="L11" s="46">
        <v>15</v>
      </c>
      <c r="M11" s="3">
        <v>19</v>
      </c>
      <c r="N11" s="1" t="s">
        <v>10</v>
      </c>
      <c r="O11" s="9">
        <v>21</v>
      </c>
    </row>
    <row r="12" spans="1:15" ht="24" customHeight="1" x14ac:dyDescent="0.25">
      <c r="A12" s="11">
        <v>22</v>
      </c>
      <c r="B12" s="28" t="s">
        <v>217</v>
      </c>
      <c r="C12" s="4">
        <v>0</v>
      </c>
      <c r="D12" s="3">
        <v>0</v>
      </c>
      <c r="E12" s="3">
        <v>0</v>
      </c>
      <c r="F12" s="3"/>
      <c r="G12" s="3"/>
      <c r="H12" s="4">
        <v>0</v>
      </c>
      <c r="I12" s="3">
        <v>0</v>
      </c>
      <c r="J12" s="3">
        <v>0</v>
      </c>
      <c r="K12" s="4">
        <v>1</v>
      </c>
      <c r="L12" s="46">
        <v>2</v>
      </c>
      <c r="M12" s="3">
        <v>0</v>
      </c>
      <c r="N12" s="1" t="s">
        <v>216</v>
      </c>
      <c r="O12" s="9">
        <v>22</v>
      </c>
    </row>
    <row r="13" spans="1:15" ht="24" hidden="1" customHeight="1" x14ac:dyDescent="0.25">
      <c r="A13" s="11">
        <v>23</v>
      </c>
      <c r="B13" s="28" t="s">
        <v>11</v>
      </c>
      <c r="C13" s="4">
        <v>0</v>
      </c>
      <c r="D13" s="3">
        <v>0</v>
      </c>
      <c r="E13" s="3">
        <f>G13+F13</f>
        <v>0</v>
      </c>
      <c r="F13" s="3"/>
      <c r="G13" s="3"/>
      <c r="H13" s="4"/>
      <c r="K13" s="4"/>
      <c r="L13" s="46"/>
      <c r="N13" s="1" t="s">
        <v>12</v>
      </c>
      <c r="O13" s="9">
        <v>23</v>
      </c>
    </row>
    <row r="14" spans="1:15" ht="24" customHeight="1" x14ac:dyDescent="0.25">
      <c r="A14" s="11" t="s">
        <v>78</v>
      </c>
      <c r="B14" s="29" t="s">
        <v>79</v>
      </c>
      <c r="C14" s="6">
        <v>0</v>
      </c>
      <c r="E14" s="3">
        <f t="shared" si="1"/>
        <v>1</v>
      </c>
      <c r="F14" s="3">
        <v>1</v>
      </c>
      <c r="G14" s="3"/>
      <c r="H14" s="6">
        <v>0</v>
      </c>
      <c r="I14" s="3">
        <v>0</v>
      </c>
      <c r="J14" s="3">
        <v>0</v>
      </c>
      <c r="K14" s="6">
        <v>3</v>
      </c>
      <c r="L14" s="46">
        <v>1</v>
      </c>
      <c r="M14" s="3">
        <v>1</v>
      </c>
      <c r="N14" s="1" t="s">
        <v>80</v>
      </c>
      <c r="O14" s="9" t="s">
        <v>78</v>
      </c>
    </row>
    <row r="15" spans="1:15" ht="24" customHeight="1" x14ac:dyDescent="0.25">
      <c r="A15" s="11" t="s">
        <v>81</v>
      </c>
      <c r="B15" s="29" t="s">
        <v>82</v>
      </c>
      <c r="C15" s="6">
        <v>11</v>
      </c>
      <c r="D15" s="3">
        <v>7</v>
      </c>
      <c r="E15" s="3">
        <f t="shared" si="1"/>
        <v>8</v>
      </c>
      <c r="F15" s="3">
        <v>5</v>
      </c>
      <c r="G15" s="3">
        <v>3</v>
      </c>
      <c r="H15" s="6">
        <v>14</v>
      </c>
      <c r="I15" s="3">
        <v>2</v>
      </c>
      <c r="J15" s="3">
        <f>16+1</f>
        <v>17</v>
      </c>
      <c r="K15" s="6">
        <v>15</v>
      </c>
      <c r="L15" s="46">
        <v>5</v>
      </c>
      <c r="M15" s="3">
        <v>8</v>
      </c>
      <c r="N15" s="1" t="s">
        <v>83</v>
      </c>
      <c r="O15" s="9" t="s">
        <v>81</v>
      </c>
    </row>
    <row r="16" spans="1:15" ht="24" customHeight="1" x14ac:dyDescent="0.25">
      <c r="A16" s="11" t="s">
        <v>84</v>
      </c>
      <c r="B16" s="29" t="s">
        <v>85</v>
      </c>
      <c r="C16" s="6">
        <v>71</v>
      </c>
      <c r="D16" s="3">
        <v>40</v>
      </c>
      <c r="E16" s="3">
        <f t="shared" si="1"/>
        <v>101</v>
      </c>
      <c r="F16" s="3">
        <v>94</v>
      </c>
      <c r="G16" s="3">
        <v>7</v>
      </c>
      <c r="H16" s="6">
        <v>96</v>
      </c>
      <c r="I16" s="3">
        <v>46</v>
      </c>
      <c r="J16" s="3">
        <v>88</v>
      </c>
      <c r="K16" s="6">
        <v>148</v>
      </c>
      <c r="L16" s="46">
        <v>90</v>
      </c>
      <c r="M16" s="3">
        <v>104</v>
      </c>
      <c r="N16" s="1" t="s">
        <v>86</v>
      </c>
      <c r="O16" s="9" t="s">
        <v>84</v>
      </c>
    </row>
    <row r="17" spans="1:15" ht="24" customHeight="1" x14ac:dyDescent="0.25">
      <c r="A17" s="11" t="s">
        <v>87</v>
      </c>
      <c r="B17" s="29" t="s">
        <v>88</v>
      </c>
      <c r="C17" s="6">
        <v>1</v>
      </c>
      <c r="D17" s="3">
        <v>3</v>
      </c>
      <c r="E17" s="3">
        <f t="shared" si="1"/>
        <v>5</v>
      </c>
      <c r="F17" s="3">
        <v>4</v>
      </c>
      <c r="G17" s="3">
        <v>1</v>
      </c>
      <c r="H17" s="6">
        <v>9</v>
      </c>
      <c r="I17" s="3">
        <v>3</v>
      </c>
      <c r="J17" s="3">
        <v>10</v>
      </c>
      <c r="K17" s="6">
        <v>8</v>
      </c>
      <c r="L17" s="46">
        <v>8</v>
      </c>
      <c r="M17" s="3">
        <v>4</v>
      </c>
      <c r="N17" s="1" t="s">
        <v>89</v>
      </c>
      <c r="O17" s="9" t="s">
        <v>87</v>
      </c>
    </row>
    <row r="18" spans="1:15" ht="78.75" customHeight="1" x14ac:dyDescent="0.25">
      <c r="A18" s="11" t="s">
        <v>90</v>
      </c>
      <c r="B18" s="10" t="s">
        <v>91</v>
      </c>
      <c r="C18" s="6">
        <v>1</v>
      </c>
      <c r="D18" s="3">
        <v>0</v>
      </c>
      <c r="E18" s="3">
        <f t="shared" si="1"/>
        <v>1</v>
      </c>
      <c r="F18" s="3">
        <v>1</v>
      </c>
      <c r="G18" s="3"/>
      <c r="H18" s="6">
        <v>0</v>
      </c>
      <c r="I18" s="3">
        <v>0</v>
      </c>
      <c r="J18" s="3">
        <v>0</v>
      </c>
      <c r="K18" s="6">
        <v>0</v>
      </c>
      <c r="L18" s="46">
        <v>0</v>
      </c>
      <c r="M18" s="3">
        <v>0</v>
      </c>
      <c r="N18" s="1" t="s">
        <v>92</v>
      </c>
      <c r="O18" s="9" t="s">
        <v>90</v>
      </c>
    </row>
    <row r="19" spans="1:15" ht="45" x14ac:dyDescent="0.25">
      <c r="A19" s="11" t="s">
        <v>93</v>
      </c>
      <c r="B19" s="10" t="s">
        <v>94</v>
      </c>
      <c r="C19" s="6">
        <v>0</v>
      </c>
      <c r="D19" s="3">
        <v>0</v>
      </c>
      <c r="E19" s="3">
        <v>0</v>
      </c>
      <c r="F19" s="3"/>
      <c r="G19" s="3"/>
      <c r="H19" s="6">
        <v>0</v>
      </c>
      <c r="I19" s="3">
        <v>0</v>
      </c>
      <c r="J19" s="3">
        <v>0</v>
      </c>
      <c r="K19" s="6">
        <v>1</v>
      </c>
      <c r="L19" s="46">
        <v>0</v>
      </c>
      <c r="M19" s="3">
        <v>1</v>
      </c>
      <c r="N19" s="1" t="s">
        <v>95</v>
      </c>
      <c r="O19" s="9" t="s">
        <v>93</v>
      </c>
    </row>
    <row r="20" spans="1:15" ht="45.75" customHeight="1" x14ac:dyDescent="0.25">
      <c r="A20" s="11" t="s">
        <v>96</v>
      </c>
      <c r="B20" s="10" t="s">
        <v>97</v>
      </c>
      <c r="C20" s="4">
        <v>0</v>
      </c>
      <c r="D20" s="3">
        <v>0</v>
      </c>
      <c r="E20" s="3">
        <f t="shared" si="1"/>
        <v>1</v>
      </c>
      <c r="F20" s="3">
        <v>1</v>
      </c>
      <c r="G20" s="3"/>
      <c r="H20" s="4">
        <v>0</v>
      </c>
      <c r="I20" s="3">
        <v>0</v>
      </c>
      <c r="J20" s="3">
        <v>0</v>
      </c>
      <c r="K20" s="4">
        <v>1</v>
      </c>
      <c r="L20" s="46">
        <v>2</v>
      </c>
      <c r="M20" s="3">
        <v>1</v>
      </c>
      <c r="N20" s="1" t="s">
        <v>98</v>
      </c>
      <c r="O20" s="9" t="s">
        <v>96</v>
      </c>
    </row>
    <row r="21" spans="1:15" ht="24" customHeight="1" x14ac:dyDescent="0.25">
      <c r="A21" s="11">
        <v>24</v>
      </c>
      <c r="B21" s="28" t="s">
        <v>13</v>
      </c>
      <c r="C21" s="4">
        <v>1</v>
      </c>
      <c r="D21" s="3">
        <v>1</v>
      </c>
      <c r="E21" s="3">
        <f t="shared" si="1"/>
        <v>0</v>
      </c>
      <c r="F21" s="3"/>
      <c r="G21" s="3"/>
      <c r="H21" s="4">
        <v>5</v>
      </c>
      <c r="I21" s="3">
        <v>0</v>
      </c>
      <c r="J21" s="3">
        <v>6</v>
      </c>
      <c r="K21" s="4">
        <v>3</v>
      </c>
      <c r="L21" s="46">
        <v>1</v>
      </c>
      <c r="M21" s="3">
        <v>1</v>
      </c>
      <c r="N21" s="1" t="s">
        <v>14</v>
      </c>
      <c r="O21" s="9">
        <v>24</v>
      </c>
    </row>
    <row r="22" spans="1:15" ht="24" customHeight="1" x14ac:dyDescent="0.25">
      <c r="A22" s="11">
        <v>25</v>
      </c>
      <c r="B22" s="28" t="s">
        <v>99</v>
      </c>
      <c r="C22" s="4">
        <v>1</v>
      </c>
      <c r="D22" s="3">
        <v>0</v>
      </c>
      <c r="E22" s="3">
        <f t="shared" si="1"/>
        <v>0</v>
      </c>
      <c r="F22" s="3"/>
      <c r="G22" s="3"/>
      <c r="H22" s="4">
        <v>0</v>
      </c>
      <c r="I22" s="3">
        <v>0</v>
      </c>
      <c r="J22" s="3">
        <v>0</v>
      </c>
      <c r="K22" s="4">
        <v>0</v>
      </c>
      <c r="L22" s="46">
        <v>0</v>
      </c>
      <c r="M22" s="3">
        <v>0</v>
      </c>
      <c r="N22" s="1" t="s">
        <v>15</v>
      </c>
      <c r="O22" s="9">
        <v>25</v>
      </c>
    </row>
    <row r="23" spans="1:15" ht="24" customHeight="1" x14ac:dyDescent="0.25">
      <c r="A23" s="11">
        <v>26</v>
      </c>
      <c r="B23" s="28" t="s">
        <v>16</v>
      </c>
      <c r="C23" s="4">
        <v>1</v>
      </c>
      <c r="D23" s="3">
        <v>0</v>
      </c>
      <c r="E23" s="3">
        <f t="shared" si="1"/>
        <v>1</v>
      </c>
      <c r="F23" s="3"/>
      <c r="G23" s="3">
        <v>1</v>
      </c>
      <c r="H23" s="4">
        <v>12</v>
      </c>
      <c r="I23" s="3">
        <v>3</v>
      </c>
      <c r="J23" s="3">
        <v>9</v>
      </c>
      <c r="K23" s="4">
        <v>0</v>
      </c>
      <c r="L23" s="46">
        <v>1</v>
      </c>
      <c r="M23" s="3">
        <v>1</v>
      </c>
      <c r="N23" s="1" t="s">
        <v>17</v>
      </c>
      <c r="O23" s="9">
        <v>26</v>
      </c>
    </row>
    <row r="24" spans="1:15" ht="24" hidden="1" customHeight="1" x14ac:dyDescent="0.25">
      <c r="A24" s="11">
        <v>27</v>
      </c>
      <c r="B24" s="28" t="s">
        <v>18</v>
      </c>
      <c r="C24" s="4">
        <v>0</v>
      </c>
      <c r="D24" s="3">
        <v>0</v>
      </c>
      <c r="E24" s="3">
        <f t="shared" si="1"/>
        <v>0</v>
      </c>
      <c r="F24" s="3"/>
      <c r="G24" s="3"/>
      <c r="H24" s="4">
        <v>0</v>
      </c>
      <c r="I24" s="3">
        <v>0</v>
      </c>
      <c r="J24" s="3">
        <v>0</v>
      </c>
      <c r="K24" s="4">
        <v>0</v>
      </c>
      <c r="L24" s="46"/>
      <c r="M24" s="3">
        <v>0</v>
      </c>
      <c r="N24" s="1" t="s">
        <v>19</v>
      </c>
      <c r="O24" s="9">
        <v>27</v>
      </c>
    </row>
    <row r="25" spans="1:15" ht="24" customHeight="1" x14ac:dyDescent="0.25">
      <c r="A25" s="11">
        <v>28</v>
      </c>
      <c r="B25" s="30" t="s">
        <v>20</v>
      </c>
      <c r="C25" s="7">
        <v>0</v>
      </c>
      <c r="D25" s="3">
        <v>0</v>
      </c>
      <c r="E25" s="3">
        <f t="shared" si="1"/>
        <v>0</v>
      </c>
      <c r="F25" s="3"/>
      <c r="G25" s="3"/>
      <c r="H25" s="7">
        <v>1</v>
      </c>
      <c r="I25" s="3">
        <v>0</v>
      </c>
      <c r="J25" s="3">
        <v>1</v>
      </c>
      <c r="K25" s="7">
        <v>0</v>
      </c>
      <c r="L25" s="46">
        <v>0</v>
      </c>
      <c r="M25" s="3">
        <v>0</v>
      </c>
      <c r="N25" s="1" t="s">
        <v>21</v>
      </c>
      <c r="O25" s="9">
        <v>28</v>
      </c>
    </row>
    <row r="26" spans="1:15" ht="21.75" hidden="1" customHeight="1" x14ac:dyDescent="0.25">
      <c r="A26" s="11">
        <v>29</v>
      </c>
      <c r="B26" s="28" t="s">
        <v>22</v>
      </c>
      <c r="C26" s="4">
        <v>0</v>
      </c>
      <c r="D26" s="3">
        <v>0</v>
      </c>
      <c r="E26" s="3">
        <f t="shared" si="1"/>
        <v>0</v>
      </c>
      <c r="F26" s="3"/>
      <c r="G26" s="3"/>
      <c r="H26" s="4">
        <v>0</v>
      </c>
      <c r="I26" s="3">
        <v>0</v>
      </c>
      <c r="J26" s="3">
        <v>0</v>
      </c>
      <c r="K26" s="4">
        <v>0</v>
      </c>
      <c r="L26" s="46">
        <v>0</v>
      </c>
      <c r="M26" s="3">
        <v>0</v>
      </c>
      <c r="N26" s="1" t="s">
        <v>23</v>
      </c>
      <c r="O26" s="9">
        <v>29</v>
      </c>
    </row>
    <row r="27" spans="1:15" ht="32.25" customHeight="1" x14ac:dyDescent="0.25">
      <c r="A27" s="11">
        <v>30</v>
      </c>
      <c r="B27" s="30" t="s">
        <v>24</v>
      </c>
      <c r="C27" s="7">
        <v>2</v>
      </c>
      <c r="D27" s="3">
        <v>1</v>
      </c>
      <c r="E27" s="3">
        <f t="shared" si="1"/>
        <v>1</v>
      </c>
      <c r="F27" s="3"/>
      <c r="G27" s="3">
        <v>1</v>
      </c>
      <c r="H27" s="7">
        <v>2</v>
      </c>
      <c r="I27" s="3">
        <v>1</v>
      </c>
      <c r="J27" s="3">
        <v>1</v>
      </c>
      <c r="K27" s="7">
        <v>0</v>
      </c>
      <c r="L27" s="46">
        <v>0</v>
      </c>
      <c r="M27" s="3">
        <v>0</v>
      </c>
      <c r="N27" s="1" t="s">
        <v>25</v>
      </c>
      <c r="O27" s="9">
        <v>30</v>
      </c>
    </row>
    <row r="28" spans="1:15" ht="24" hidden="1" customHeight="1" x14ac:dyDescent="0.25">
      <c r="A28" s="11">
        <v>31</v>
      </c>
      <c r="B28" s="28" t="s">
        <v>27</v>
      </c>
      <c r="C28" s="4">
        <v>0</v>
      </c>
      <c r="D28" s="3">
        <v>0</v>
      </c>
      <c r="E28" s="3">
        <f t="shared" si="1"/>
        <v>0</v>
      </c>
      <c r="F28" s="3"/>
      <c r="G28" s="3"/>
      <c r="H28" s="4"/>
      <c r="J28" s="3">
        <v>0</v>
      </c>
      <c r="K28" s="4">
        <v>0</v>
      </c>
      <c r="L28" s="46"/>
      <c r="M28" s="3">
        <v>0</v>
      </c>
      <c r="N28" s="1" t="s">
        <v>26</v>
      </c>
      <c r="O28" s="9">
        <v>31</v>
      </c>
    </row>
    <row r="29" spans="1:15" ht="42.75" customHeight="1" x14ac:dyDescent="0.25">
      <c r="A29" s="11">
        <v>32</v>
      </c>
      <c r="B29" s="29" t="s">
        <v>100</v>
      </c>
      <c r="C29" s="6">
        <v>1</v>
      </c>
      <c r="D29" s="3">
        <v>0</v>
      </c>
      <c r="E29" s="3">
        <f t="shared" si="1"/>
        <v>2</v>
      </c>
      <c r="F29" s="3">
        <v>2</v>
      </c>
      <c r="G29" s="3"/>
      <c r="H29" s="6">
        <v>0</v>
      </c>
      <c r="I29" s="3">
        <v>0</v>
      </c>
      <c r="J29" s="3">
        <v>0</v>
      </c>
      <c r="K29" s="6">
        <v>0</v>
      </c>
      <c r="L29" s="46">
        <v>0</v>
      </c>
      <c r="M29" s="3">
        <v>0</v>
      </c>
      <c r="N29" s="1" t="s">
        <v>101</v>
      </c>
      <c r="O29" s="9">
        <v>32</v>
      </c>
    </row>
    <row r="30" spans="1:15" ht="24" customHeight="1" x14ac:dyDescent="0.25">
      <c r="A30" s="11">
        <v>33</v>
      </c>
      <c r="B30" s="28" t="s">
        <v>28</v>
      </c>
      <c r="C30" s="4">
        <v>0</v>
      </c>
      <c r="D30" s="3">
        <v>0</v>
      </c>
      <c r="E30" s="3">
        <f t="shared" si="1"/>
        <v>2</v>
      </c>
      <c r="F30" s="3">
        <v>2</v>
      </c>
      <c r="G30" s="3"/>
      <c r="H30" s="4">
        <v>0</v>
      </c>
      <c r="I30" s="3">
        <v>0</v>
      </c>
      <c r="J30" s="3">
        <v>0</v>
      </c>
      <c r="K30" s="4">
        <v>1</v>
      </c>
      <c r="L30" s="46">
        <v>1</v>
      </c>
      <c r="M30" s="3">
        <v>1</v>
      </c>
      <c r="N30" s="1" t="s">
        <v>29</v>
      </c>
      <c r="O30" s="9">
        <v>33</v>
      </c>
    </row>
    <row r="31" spans="1:15" ht="24" hidden="1" customHeight="1" x14ac:dyDescent="0.25">
      <c r="A31" s="11">
        <v>34</v>
      </c>
      <c r="B31" s="28" t="s">
        <v>30</v>
      </c>
      <c r="C31" s="4">
        <v>0</v>
      </c>
      <c r="D31" s="3">
        <v>0</v>
      </c>
      <c r="E31" s="3">
        <f t="shared" si="1"/>
        <v>0</v>
      </c>
      <c r="H31" s="4"/>
      <c r="K31" s="4"/>
      <c r="L31" s="46"/>
      <c r="N31" s="1" t="s">
        <v>31</v>
      </c>
      <c r="O31" s="9">
        <v>34</v>
      </c>
    </row>
    <row r="32" spans="1:15" ht="124.5" customHeight="1" x14ac:dyDescent="0.25">
      <c r="A32" s="11" t="s">
        <v>102</v>
      </c>
      <c r="B32" s="10" t="s">
        <v>103</v>
      </c>
      <c r="C32" s="4">
        <v>0</v>
      </c>
      <c r="D32" s="3">
        <v>5</v>
      </c>
      <c r="E32" s="3">
        <f t="shared" si="1"/>
        <v>2</v>
      </c>
      <c r="F32" s="3">
        <v>2</v>
      </c>
      <c r="G32" s="3"/>
      <c r="H32" s="4">
        <v>3</v>
      </c>
      <c r="I32" s="3">
        <v>0</v>
      </c>
      <c r="J32" s="3">
        <v>8</v>
      </c>
      <c r="K32" s="4">
        <v>2</v>
      </c>
      <c r="L32" s="46">
        <v>2</v>
      </c>
      <c r="M32" s="3">
        <v>1</v>
      </c>
      <c r="N32" s="1" t="s">
        <v>104</v>
      </c>
      <c r="O32" s="9" t="s">
        <v>102</v>
      </c>
    </row>
    <row r="33" spans="1:15" ht="45" x14ac:dyDescent="0.25">
      <c r="A33" s="11" t="s">
        <v>105</v>
      </c>
      <c r="B33" s="10" t="s">
        <v>106</v>
      </c>
      <c r="C33" s="4">
        <v>0</v>
      </c>
      <c r="D33" s="3">
        <v>0</v>
      </c>
      <c r="E33" s="3">
        <f t="shared" si="1"/>
        <v>4</v>
      </c>
      <c r="F33" s="3">
        <v>4</v>
      </c>
      <c r="G33" s="3"/>
      <c r="H33" s="4">
        <v>0</v>
      </c>
      <c r="I33" s="3">
        <v>0</v>
      </c>
      <c r="J33" s="3">
        <v>3</v>
      </c>
      <c r="K33" s="4">
        <v>7</v>
      </c>
      <c r="L33" s="47">
        <v>0</v>
      </c>
      <c r="M33" s="3">
        <v>4</v>
      </c>
      <c r="N33" s="1" t="s">
        <v>107</v>
      </c>
      <c r="O33" s="9" t="s">
        <v>105</v>
      </c>
    </row>
    <row r="34" spans="1:15" ht="45.75" hidden="1" customHeight="1" x14ac:dyDescent="0.25">
      <c r="A34" s="11">
        <v>35</v>
      </c>
      <c r="B34" s="28" t="s">
        <v>32</v>
      </c>
      <c r="C34" s="4">
        <v>0</v>
      </c>
      <c r="D34" s="2">
        <v>0</v>
      </c>
      <c r="E34" s="3">
        <f t="shared" si="1"/>
        <v>0</v>
      </c>
      <c r="F34" s="2"/>
      <c r="G34" s="2"/>
      <c r="H34" s="4"/>
      <c r="I34" s="2"/>
      <c r="K34" s="4"/>
      <c r="L34" s="47"/>
      <c r="N34" s="31" t="s">
        <v>33</v>
      </c>
      <c r="O34" s="9">
        <v>35</v>
      </c>
    </row>
    <row r="35" spans="1:15" ht="165" customHeight="1" x14ac:dyDescent="0.25">
      <c r="A35" s="11" t="s">
        <v>108</v>
      </c>
      <c r="B35" s="10" t="s">
        <v>109</v>
      </c>
      <c r="C35" s="4">
        <v>37</v>
      </c>
      <c r="D35" s="2">
        <v>43</v>
      </c>
      <c r="E35" s="3">
        <f t="shared" si="1"/>
        <v>93</v>
      </c>
      <c r="F35" s="2">
        <v>87</v>
      </c>
      <c r="G35" s="2">
        <v>6</v>
      </c>
      <c r="H35" s="4">
        <v>25</v>
      </c>
      <c r="I35" s="2">
        <f>7+7</f>
        <v>14</v>
      </c>
      <c r="J35" s="3">
        <f>37+4</f>
        <v>41</v>
      </c>
      <c r="K35" s="4">
        <v>38</v>
      </c>
      <c r="L35" s="47">
        <v>41</v>
      </c>
      <c r="M35" s="3">
        <v>10</v>
      </c>
      <c r="N35" s="31" t="s">
        <v>110</v>
      </c>
      <c r="O35" s="9" t="s">
        <v>108</v>
      </c>
    </row>
    <row r="36" spans="1:15" ht="81" customHeight="1" x14ac:dyDescent="0.25">
      <c r="A36" s="11" t="s">
        <v>111</v>
      </c>
      <c r="B36" s="10" t="s">
        <v>112</v>
      </c>
      <c r="C36" s="4">
        <v>20</v>
      </c>
      <c r="D36" s="2">
        <v>11</v>
      </c>
      <c r="E36" s="3">
        <f t="shared" si="1"/>
        <v>27</v>
      </c>
      <c r="F36" s="2">
        <v>19</v>
      </c>
      <c r="G36" s="2">
        <v>8</v>
      </c>
      <c r="H36" s="4">
        <v>28</v>
      </c>
      <c r="I36" s="2">
        <f>8+8</f>
        <v>16</v>
      </c>
      <c r="J36" s="3">
        <f>22+1</f>
        <v>23</v>
      </c>
      <c r="K36" s="4">
        <v>33</v>
      </c>
      <c r="L36" s="46">
        <v>18</v>
      </c>
      <c r="M36" s="3">
        <v>10</v>
      </c>
      <c r="N36" s="31" t="s">
        <v>113</v>
      </c>
      <c r="O36" s="9" t="s">
        <v>111</v>
      </c>
    </row>
    <row r="37" spans="1:15" ht="24" hidden="1" customHeight="1" x14ac:dyDescent="0.25">
      <c r="A37" s="11">
        <v>36</v>
      </c>
      <c r="B37" s="28" t="s">
        <v>34</v>
      </c>
      <c r="C37" s="4">
        <v>0</v>
      </c>
      <c r="D37" s="3">
        <v>0</v>
      </c>
      <c r="E37" s="3">
        <f t="shared" si="1"/>
        <v>0</v>
      </c>
      <c r="F37" s="3"/>
      <c r="G37" s="3"/>
      <c r="H37" s="4"/>
      <c r="K37" s="4"/>
      <c r="L37" s="46"/>
      <c r="N37" s="1" t="s">
        <v>35</v>
      </c>
      <c r="O37" s="9">
        <v>36</v>
      </c>
    </row>
    <row r="38" spans="1:15" ht="49.5" customHeight="1" x14ac:dyDescent="0.25">
      <c r="A38" s="11" t="s">
        <v>114</v>
      </c>
      <c r="B38" s="10" t="s">
        <v>115</v>
      </c>
      <c r="C38" s="4">
        <v>3</v>
      </c>
      <c r="D38" s="3">
        <v>1</v>
      </c>
      <c r="E38" s="3">
        <f t="shared" si="1"/>
        <v>4</v>
      </c>
      <c r="F38" s="3">
        <v>1</v>
      </c>
      <c r="G38" s="3">
        <v>3</v>
      </c>
      <c r="H38" s="4">
        <v>4</v>
      </c>
      <c r="I38" s="3">
        <v>0</v>
      </c>
      <c r="J38" s="3">
        <v>4</v>
      </c>
      <c r="K38" s="4">
        <v>1</v>
      </c>
      <c r="L38" s="46">
        <v>2</v>
      </c>
      <c r="M38" s="3">
        <v>1</v>
      </c>
      <c r="N38" s="1" t="s">
        <v>116</v>
      </c>
      <c r="O38" s="9" t="s">
        <v>114</v>
      </c>
    </row>
    <row r="39" spans="1:15" ht="102.6" customHeight="1" x14ac:dyDescent="0.25">
      <c r="A39" s="11" t="s">
        <v>117</v>
      </c>
      <c r="B39" s="10" t="s">
        <v>118</v>
      </c>
      <c r="C39" s="4">
        <v>0</v>
      </c>
      <c r="D39" s="3">
        <v>0</v>
      </c>
      <c r="E39" s="3">
        <v>0</v>
      </c>
      <c r="F39" s="3"/>
      <c r="G39" s="3"/>
      <c r="H39" s="4">
        <v>0</v>
      </c>
      <c r="I39" s="3">
        <v>0</v>
      </c>
      <c r="J39" s="3">
        <v>0</v>
      </c>
      <c r="K39" s="4">
        <v>2</v>
      </c>
      <c r="L39" s="46">
        <v>0</v>
      </c>
      <c r="M39" s="3">
        <v>0</v>
      </c>
      <c r="N39" s="1" t="s">
        <v>119</v>
      </c>
      <c r="O39" s="9" t="s">
        <v>117</v>
      </c>
    </row>
    <row r="40" spans="1:15" ht="102.6" customHeight="1" x14ac:dyDescent="0.25">
      <c r="A40" s="11" t="s">
        <v>120</v>
      </c>
      <c r="B40" s="10" t="s">
        <v>121</v>
      </c>
      <c r="C40" s="4">
        <v>0</v>
      </c>
      <c r="D40" s="3">
        <v>0</v>
      </c>
      <c r="E40" s="3">
        <v>0</v>
      </c>
      <c r="F40" s="3"/>
      <c r="G40" s="3"/>
      <c r="H40" s="4">
        <v>1</v>
      </c>
      <c r="I40" s="3">
        <v>1</v>
      </c>
      <c r="J40" s="3">
        <v>0</v>
      </c>
      <c r="K40" s="4">
        <v>0</v>
      </c>
      <c r="L40" s="46">
        <v>0</v>
      </c>
      <c r="M40" s="3">
        <v>0</v>
      </c>
      <c r="N40" s="1" t="s">
        <v>122</v>
      </c>
      <c r="O40" s="9" t="s">
        <v>123</v>
      </c>
    </row>
    <row r="41" spans="1:15" ht="24" hidden="1" customHeight="1" x14ac:dyDescent="0.25">
      <c r="A41" s="11">
        <v>37</v>
      </c>
      <c r="B41" s="28" t="s">
        <v>36</v>
      </c>
      <c r="C41" s="4">
        <v>0</v>
      </c>
      <c r="D41" s="3">
        <v>0</v>
      </c>
      <c r="E41" s="3">
        <f t="shared" si="1"/>
        <v>0</v>
      </c>
      <c r="F41" s="3"/>
      <c r="G41" s="3"/>
      <c r="H41" s="4"/>
      <c r="K41" s="4"/>
      <c r="L41" s="46"/>
      <c r="N41" s="1" t="s">
        <v>37</v>
      </c>
      <c r="O41" s="9">
        <v>37</v>
      </c>
    </row>
    <row r="42" spans="1:15" ht="51" customHeight="1" x14ac:dyDescent="0.25">
      <c r="A42" s="11" t="s">
        <v>124</v>
      </c>
      <c r="B42" s="10" t="s">
        <v>125</v>
      </c>
      <c r="C42" s="4">
        <v>3</v>
      </c>
      <c r="D42" s="3">
        <v>0</v>
      </c>
      <c r="E42" s="3">
        <f t="shared" si="1"/>
        <v>4</v>
      </c>
      <c r="F42" s="3">
        <v>2</v>
      </c>
      <c r="G42" s="3">
        <v>2</v>
      </c>
      <c r="H42" s="4">
        <v>2</v>
      </c>
      <c r="I42" s="3">
        <v>0</v>
      </c>
      <c r="J42" s="3">
        <v>2</v>
      </c>
      <c r="K42" s="4">
        <v>9</v>
      </c>
      <c r="L42" s="46">
        <v>1</v>
      </c>
      <c r="M42" s="3">
        <v>4</v>
      </c>
      <c r="N42" s="1" t="s">
        <v>126</v>
      </c>
      <c r="O42" s="9" t="s">
        <v>124</v>
      </c>
    </row>
    <row r="43" spans="1:15" ht="127.5" customHeight="1" x14ac:dyDescent="0.25">
      <c r="A43" s="11" t="s">
        <v>127</v>
      </c>
      <c r="B43" s="10" t="s">
        <v>128</v>
      </c>
      <c r="C43" s="4">
        <v>10</v>
      </c>
      <c r="D43" s="3">
        <v>5</v>
      </c>
      <c r="E43" s="3">
        <f t="shared" si="1"/>
        <v>18</v>
      </c>
      <c r="F43" s="3">
        <v>15</v>
      </c>
      <c r="G43" s="3">
        <v>3</v>
      </c>
      <c r="H43" s="4">
        <v>15</v>
      </c>
      <c r="I43" s="3">
        <f>5+1</f>
        <v>6</v>
      </c>
      <c r="J43" s="3">
        <f>10+6</f>
        <v>16</v>
      </c>
      <c r="K43" s="4">
        <v>28</v>
      </c>
      <c r="L43" s="46">
        <v>10</v>
      </c>
      <c r="M43" s="3">
        <v>23</v>
      </c>
      <c r="N43" s="1" t="s">
        <v>129</v>
      </c>
      <c r="O43" s="9" t="s">
        <v>127</v>
      </c>
    </row>
    <row r="44" spans="1:15" ht="84" hidden="1" x14ac:dyDescent="0.25">
      <c r="A44" s="11" t="s">
        <v>130</v>
      </c>
      <c r="B44" s="10" t="s">
        <v>131</v>
      </c>
      <c r="C44" s="4">
        <v>0</v>
      </c>
      <c r="D44" s="3">
        <v>0</v>
      </c>
      <c r="E44" s="3">
        <v>0</v>
      </c>
      <c r="F44" s="3"/>
      <c r="G44" s="3"/>
      <c r="H44" s="4">
        <v>0</v>
      </c>
      <c r="I44" s="3">
        <v>0</v>
      </c>
      <c r="J44" s="3">
        <v>0</v>
      </c>
      <c r="K44" s="4">
        <v>0</v>
      </c>
      <c r="L44" s="46">
        <v>0</v>
      </c>
      <c r="M44" s="3">
        <v>0</v>
      </c>
      <c r="N44" s="1" t="s">
        <v>132</v>
      </c>
      <c r="O44" s="9" t="s">
        <v>130</v>
      </c>
    </row>
    <row r="45" spans="1:15" ht="40.5" customHeight="1" x14ac:dyDescent="0.25">
      <c r="A45" s="11">
        <v>38</v>
      </c>
      <c r="B45" s="10" t="s">
        <v>133</v>
      </c>
      <c r="C45" s="4">
        <v>0</v>
      </c>
      <c r="D45" s="3">
        <v>3</v>
      </c>
      <c r="E45" s="3">
        <f t="shared" si="1"/>
        <v>0</v>
      </c>
      <c r="F45" s="3"/>
      <c r="G45" s="3"/>
      <c r="H45" s="4">
        <v>3</v>
      </c>
      <c r="I45" s="3">
        <v>0</v>
      </c>
      <c r="J45" s="3">
        <v>6</v>
      </c>
      <c r="K45" s="4">
        <v>1</v>
      </c>
      <c r="L45" s="46">
        <v>0</v>
      </c>
      <c r="M45" s="3">
        <v>0</v>
      </c>
      <c r="N45" s="1" t="s">
        <v>38</v>
      </c>
      <c r="O45" s="9">
        <v>38</v>
      </c>
    </row>
    <row r="46" spans="1:15" ht="24" customHeight="1" x14ac:dyDescent="0.25">
      <c r="A46" s="11">
        <v>40</v>
      </c>
      <c r="B46" s="28" t="s">
        <v>39</v>
      </c>
      <c r="C46" s="4">
        <v>4</v>
      </c>
      <c r="D46" s="3">
        <v>0</v>
      </c>
      <c r="E46" s="3">
        <f t="shared" si="1"/>
        <v>2</v>
      </c>
      <c r="F46" s="3"/>
      <c r="G46" s="3">
        <v>2</v>
      </c>
      <c r="H46" s="4">
        <v>0</v>
      </c>
      <c r="I46" s="3">
        <v>0</v>
      </c>
      <c r="J46" s="3">
        <v>0</v>
      </c>
      <c r="K46" s="4">
        <v>0</v>
      </c>
      <c r="L46" s="46">
        <v>0</v>
      </c>
      <c r="M46" s="3">
        <v>0</v>
      </c>
      <c r="N46" s="1" t="s">
        <v>40</v>
      </c>
      <c r="O46" s="9">
        <v>40</v>
      </c>
    </row>
    <row r="47" spans="1:15" ht="45" x14ac:dyDescent="0.25">
      <c r="A47" s="11" t="s">
        <v>134</v>
      </c>
      <c r="B47" s="28" t="s">
        <v>135</v>
      </c>
      <c r="C47" s="4">
        <v>0</v>
      </c>
      <c r="D47" s="3">
        <v>1</v>
      </c>
      <c r="E47" s="3">
        <v>0</v>
      </c>
      <c r="F47" s="3"/>
      <c r="G47" s="3"/>
      <c r="H47" s="4">
        <v>1</v>
      </c>
      <c r="I47" s="3">
        <v>1</v>
      </c>
      <c r="J47" s="3">
        <v>0</v>
      </c>
      <c r="K47" s="4">
        <v>0</v>
      </c>
      <c r="L47" s="46">
        <v>1</v>
      </c>
      <c r="M47" s="3">
        <v>0</v>
      </c>
      <c r="N47" s="1" t="s">
        <v>136</v>
      </c>
      <c r="O47" s="9" t="s">
        <v>134</v>
      </c>
    </row>
    <row r="48" spans="1:15" ht="147" x14ac:dyDescent="0.25">
      <c r="B48" s="28" t="s">
        <v>137</v>
      </c>
      <c r="C48" s="4">
        <v>0</v>
      </c>
      <c r="D48" s="3">
        <v>0</v>
      </c>
      <c r="E48" s="3">
        <v>0</v>
      </c>
      <c r="F48" s="3"/>
      <c r="G48" s="3"/>
      <c r="H48" s="4">
        <v>0</v>
      </c>
      <c r="I48" s="3">
        <v>0</v>
      </c>
      <c r="J48" s="3">
        <v>2</v>
      </c>
      <c r="K48" s="4">
        <v>3</v>
      </c>
      <c r="L48" s="46">
        <v>1</v>
      </c>
      <c r="M48" s="3">
        <v>2</v>
      </c>
      <c r="N48" s="1" t="s">
        <v>138</v>
      </c>
      <c r="O48" s="9" t="s">
        <v>139</v>
      </c>
    </row>
    <row r="49" spans="1:15" ht="24" customHeight="1" x14ac:dyDescent="0.25">
      <c r="A49" s="11">
        <v>41</v>
      </c>
      <c r="B49" s="28" t="s">
        <v>41</v>
      </c>
      <c r="C49" s="4">
        <v>3</v>
      </c>
      <c r="D49" s="3">
        <v>0</v>
      </c>
      <c r="E49" s="3">
        <f t="shared" si="1"/>
        <v>10</v>
      </c>
      <c r="F49" s="3">
        <v>9</v>
      </c>
      <c r="G49" s="3">
        <v>1</v>
      </c>
      <c r="H49" s="4">
        <v>2</v>
      </c>
      <c r="I49" s="3">
        <v>1</v>
      </c>
      <c r="J49" s="3">
        <v>1</v>
      </c>
      <c r="K49" s="4">
        <v>5</v>
      </c>
      <c r="L49" s="46">
        <v>1</v>
      </c>
      <c r="M49" s="3">
        <v>3</v>
      </c>
      <c r="N49" s="1" t="s">
        <v>42</v>
      </c>
      <c r="O49" s="9">
        <v>41</v>
      </c>
    </row>
    <row r="50" spans="1:15" ht="24" hidden="1" customHeight="1" x14ac:dyDescent="0.25">
      <c r="A50" s="11">
        <v>42</v>
      </c>
      <c r="B50" s="28" t="s">
        <v>43</v>
      </c>
      <c r="C50" s="4">
        <v>0</v>
      </c>
      <c r="D50" s="3">
        <v>0</v>
      </c>
      <c r="E50" s="3">
        <f t="shared" si="1"/>
        <v>0</v>
      </c>
      <c r="F50" s="3"/>
      <c r="G50" s="3"/>
      <c r="H50" s="4"/>
      <c r="K50" s="4"/>
      <c r="L50" s="46"/>
      <c r="N50" s="1" t="s">
        <v>44</v>
      </c>
      <c r="O50" s="9">
        <v>42</v>
      </c>
    </row>
    <row r="51" spans="1:15" ht="134.25" customHeight="1" x14ac:dyDescent="0.25">
      <c r="A51" s="11" t="s">
        <v>140</v>
      </c>
      <c r="B51" s="10" t="s">
        <v>141</v>
      </c>
      <c r="C51" s="4">
        <v>4</v>
      </c>
      <c r="D51" s="3">
        <v>0</v>
      </c>
      <c r="E51" s="3">
        <f t="shared" si="1"/>
        <v>4</v>
      </c>
      <c r="F51" s="3"/>
      <c r="G51" s="3">
        <v>4</v>
      </c>
      <c r="H51" s="4">
        <v>1</v>
      </c>
      <c r="I51" s="3">
        <v>0</v>
      </c>
      <c r="J51" s="3">
        <v>1</v>
      </c>
      <c r="K51" s="4">
        <v>5</v>
      </c>
      <c r="L51" s="46">
        <v>17</v>
      </c>
      <c r="M51" s="3">
        <v>3</v>
      </c>
      <c r="N51" s="1" t="s">
        <v>142</v>
      </c>
      <c r="O51" s="9" t="s">
        <v>140</v>
      </c>
    </row>
    <row r="52" spans="1:15" ht="47.25" customHeight="1" x14ac:dyDescent="0.25">
      <c r="A52" s="11" t="s">
        <v>143</v>
      </c>
      <c r="B52" s="10" t="s">
        <v>144</v>
      </c>
      <c r="C52" s="4">
        <v>1</v>
      </c>
      <c r="D52" s="3">
        <v>0</v>
      </c>
      <c r="E52" s="3">
        <f t="shared" si="1"/>
        <v>3</v>
      </c>
      <c r="F52" s="3">
        <v>2</v>
      </c>
      <c r="G52" s="3">
        <v>1</v>
      </c>
      <c r="H52" s="4">
        <v>0</v>
      </c>
      <c r="I52" s="3">
        <v>0</v>
      </c>
      <c r="J52" s="3">
        <v>0</v>
      </c>
      <c r="K52" s="4">
        <v>2</v>
      </c>
      <c r="L52" s="46">
        <v>0</v>
      </c>
      <c r="M52" s="3">
        <v>1</v>
      </c>
      <c r="N52" s="1" t="s">
        <v>145</v>
      </c>
      <c r="O52" s="9" t="s">
        <v>143</v>
      </c>
    </row>
    <row r="53" spans="1:15" ht="24" hidden="1" customHeight="1" x14ac:dyDescent="0.25">
      <c r="A53" s="11">
        <v>43</v>
      </c>
      <c r="B53" s="28" t="s">
        <v>45</v>
      </c>
      <c r="C53" s="4">
        <v>0</v>
      </c>
      <c r="D53" s="3">
        <v>0</v>
      </c>
      <c r="E53" s="3">
        <f t="shared" si="1"/>
        <v>0</v>
      </c>
      <c r="F53" s="3"/>
      <c r="G53" s="3"/>
      <c r="H53" s="4"/>
      <c r="K53" s="4"/>
      <c r="L53" s="46"/>
      <c r="N53" s="1" t="s">
        <v>46</v>
      </c>
      <c r="O53" s="9">
        <v>43</v>
      </c>
    </row>
    <row r="54" spans="1:15" ht="81.75" customHeight="1" x14ac:dyDescent="0.25">
      <c r="A54" s="11" t="s">
        <v>146</v>
      </c>
      <c r="B54" s="10" t="s">
        <v>147</v>
      </c>
      <c r="C54" s="4">
        <v>83</v>
      </c>
      <c r="D54" s="3">
        <v>21</v>
      </c>
      <c r="E54" s="3">
        <f t="shared" si="1"/>
        <v>104</v>
      </c>
      <c r="F54" s="3">
        <v>72</v>
      </c>
      <c r="G54" s="3">
        <v>32</v>
      </c>
      <c r="H54" s="4">
        <v>75</v>
      </c>
      <c r="I54" s="3">
        <v>33</v>
      </c>
      <c r="J54" s="3">
        <v>60</v>
      </c>
      <c r="K54" s="4">
        <v>83</v>
      </c>
      <c r="L54" s="46">
        <v>33</v>
      </c>
      <c r="M54" s="3">
        <v>65</v>
      </c>
      <c r="N54" s="1" t="s">
        <v>148</v>
      </c>
      <c r="O54" s="9" t="s">
        <v>146</v>
      </c>
    </row>
    <row r="55" spans="1:15" ht="69" customHeight="1" x14ac:dyDescent="0.25">
      <c r="A55" s="11" t="s">
        <v>149</v>
      </c>
      <c r="B55" s="10" t="s">
        <v>150</v>
      </c>
      <c r="C55" s="4">
        <v>0</v>
      </c>
      <c r="D55" s="3">
        <v>1</v>
      </c>
      <c r="E55" s="3">
        <f t="shared" si="1"/>
        <v>0</v>
      </c>
      <c r="F55" s="3"/>
      <c r="G55" s="3"/>
      <c r="H55" s="4">
        <v>0</v>
      </c>
      <c r="I55" s="3">
        <v>0</v>
      </c>
      <c r="J55" s="3">
        <v>1</v>
      </c>
      <c r="K55" s="4">
        <v>0</v>
      </c>
      <c r="L55" s="46">
        <v>0</v>
      </c>
      <c r="M55" s="3">
        <v>0</v>
      </c>
      <c r="N55" s="1" t="s">
        <v>151</v>
      </c>
      <c r="O55" s="9" t="s">
        <v>149</v>
      </c>
    </row>
    <row r="56" spans="1:15" ht="24" customHeight="1" x14ac:dyDescent="0.25">
      <c r="A56" s="11">
        <v>45</v>
      </c>
      <c r="B56" s="28" t="s">
        <v>47</v>
      </c>
      <c r="C56" s="4">
        <v>9</v>
      </c>
      <c r="D56" s="3">
        <v>3</v>
      </c>
      <c r="E56" s="3">
        <f t="shared" si="1"/>
        <v>13</v>
      </c>
      <c r="F56" s="3">
        <v>8</v>
      </c>
      <c r="G56" s="3">
        <v>5</v>
      </c>
      <c r="H56" s="4">
        <v>2</v>
      </c>
      <c r="I56" s="3">
        <v>0</v>
      </c>
      <c r="J56" s="3">
        <v>3</v>
      </c>
      <c r="K56" s="4">
        <v>5</v>
      </c>
      <c r="L56" s="46">
        <v>3</v>
      </c>
      <c r="M56" s="3">
        <v>2</v>
      </c>
      <c r="N56" s="1" t="s">
        <v>48</v>
      </c>
      <c r="O56" s="9">
        <v>45</v>
      </c>
    </row>
    <row r="57" spans="1:15" ht="24" customHeight="1" x14ac:dyDescent="0.25">
      <c r="A57" s="11">
        <v>46</v>
      </c>
      <c r="B57" s="28" t="s">
        <v>152</v>
      </c>
      <c r="C57" s="4">
        <v>0</v>
      </c>
      <c r="D57" s="3">
        <v>0</v>
      </c>
      <c r="E57" s="3">
        <f t="shared" si="1"/>
        <v>0</v>
      </c>
      <c r="F57" s="3"/>
      <c r="G57" s="3"/>
      <c r="H57" s="4">
        <v>0</v>
      </c>
      <c r="I57" s="3">
        <v>0</v>
      </c>
      <c r="J57" s="3">
        <v>0</v>
      </c>
      <c r="K57" s="4">
        <v>3</v>
      </c>
      <c r="L57" s="46">
        <v>0</v>
      </c>
      <c r="M57" s="3">
        <v>1</v>
      </c>
      <c r="N57" s="1" t="s">
        <v>153</v>
      </c>
      <c r="O57" s="9">
        <v>46</v>
      </c>
    </row>
    <row r="58" spans="1:15" ht="24" customHeight="1" x14ac:dyDescent="0.25">
      <c r="A58" s="11">
        <v>47</v>
      </c>
      <c r="B58" s="28" t="s">
        <v>49</v>
      </c>
      <c r="C58" s="4">
        <v>3</v>
      </c>
      <c r="D58" s="3">
        <v>0</v>
      </c>
      <c r="E58" s="3">
        <f t="shared" si="1"/>
        <v>3</v>
      </c>
      <c r="F58" s="3"/>
      <c r="G58" s="3">
        <v>3</v>
      </c>
      <c r="H58" s="4">
        <v>0</v>
      </c>
      <c r="I58" s="3">
        <v>0</v>
      </c>
      <c r="J58" s="3">
        <v>0</v>
      </c>
      <c r="K58" s="4">
        <v>0</v>
      </c>
      <c r="L58" s="46">
        <v>0</v>
      </c>
      <c r="M58" s="3">
        <v>0</v>
      </c>
      <c r="N58" s="1" t="s">
        <v>50</v>
      </c>
      <c r="O58" s="9">
        <v>47</v>
      </c>
    </row>
    <row r="59" spans="1:15" ht="42" hidden="1" x14ac:dyDescent="0.25">
      <c r="A59" s="11" t="s">
        <v>154</v>
      </c>
      <c r="B59" s="28" t="s">
        <v>155</v>
      </c>
      <c r="C59" s="4">
        <v>0</v>
      </c>
      <c r="D59" s="3">
        <v>0</v>
      </c>
      <c r="E59" s="3">
        <v>0</v>
      </c>
      <c r="F59" s="3"/>
      <c r="G59" s="3"/>
      <c r="H59" s="4">
        <v>0</v>
      </c>
      <c r="I59" s="3">
        <v>0</v>
      </c>
      <c r="J59" s="3">
        <v>0</v>
      </c>
      <c r="K59" s="4">
        <v>0</v>
      </c>
      <c r="L59" s="46">
        <v>0</v>
      </c>
      <c r="M59" s="3">
        <v>0</v>
      </c>
      <c r="N59" s="1" t="s">
        <v>156</v>
      </c>
      <c r="O59" s="9" t="s">
        <v>154</v>
      </c>
    </row>
    <row r="60" spans="1:15" ht="126" x14ac:dyDescent="0.25">
      <c r="A60" s="11" t="s">
        <v>157</v>
      </c>
      <c r="B60" s="28" t="s">
        <v>158</v>
      </c>
      <c r="C60" s="4">
        <v>0</v>
      </c>
      <c r="D60" s="3">
        <v>0</v>
      </c>
      <c r="F60" s="3"/>
      <c r="G60" s="3"/>
      <c r="H60" s="4">
        <v>0</v>
      </c>
      <c r="I60" s="3">
        <v>0</v>
      </c>
      <c r="J60" s="3">
        <v>0</v>
      </c>
      <c r="K60" s="4">
        <v>1</v>
      </c>
      <c r="L60" s="46">
        <v>1</v>
      </c>
      <c r="M60" s="3">
        <v>0</v>
      </c>
      <c r="N60" s="1" t="s">
        <v>159</v>
      </c>
      <c r="O60" s="9" t="s">
        <v>157</v>
      </c>
    </row>
    <row r="61" spans="1:15" ht="24" customHeight="1" x14ac:dyDescent="0.25">
      <c r="A61" s="11">
        <v>48</v>
      </c>
      <c r="B61" s="28" t="s">
        <v>51</v>
      </c>
      <c r="C61" s="4">
        <v>0</v>
      </c>
      <c r="D61" s="3">
        <v>0</v>
      </c>
      <c r="E61" s="3">
        <f t="shared" si="1"/>
        <v>2</v>
      </c>
      <c r="F61" s="3">
        <v>2</v>
      </c>
      <c r="G61" s="3"/>
      <c r="H61" s="4"/>
      <c r="K61" s="4"/>
      <c r="L61" s="46"/>
      <c r="N61" s="1" t="s">
        <v>52</v>
      </c>
      <c r="O61" s="9">
        <v>48</v>
      </c>
    </row>
    <row r="62" spans="1:15" ht="63" x14ac:dyDescent="0.25">
      <c r="A62" s="11" t="s">
        <v>160</v>
      </c>
      <c r="B62" s="28" t="s">
        <v>161</v>
      </c>
      <c r="C62" s="4">
        <v>0</v>
      </c>
      <c r="D62" s="3">
        <v>0</v>
      </c>
      <c r="E62" s="3">
        <v>0</v>
      </c>
      <c r="F62" s="3"/>
      <c r="G62" s="3"/>
      <c r="H62" s="4">
        <v>0</v>
      </c>
      <c r="I62" s="3">
        <v>0</v>
      </c>
      <c r="J62" s="3">
        <v>0</v>
      </c>
      <c r="K62" s="4">
        <v>0</v>
      </c>
      <c r="L62" s="46">
        <v>6</v>
      </c>
      <c r="M62" s="3">
        <v>0</v>
      </c>
      <c r="N62" s="1" t="s">
        <v>162</v>
      </c>
      <c r="O62" s="9" t="s">
        <v>160</v>
      </c>
    </row>
    <row r="63" spans="1:15" ht="126" x14ac:dyDescent="0.25">
      <c r="A63" s="11" t="s">
        <v>163</v>
      </c>
      <c r="B63" s="28" t="s">
        <v>164</v>
      </c>
      <c r="C63" s="4">
        <v>0</v>
      </c>
      <c r="D63" s="3">
        <v>0</v>
      </c>
      <c r="E63" s="3">
        <v>0</v>
      </c>
      <c r="F63" s="3"/>
      <c r="G63" s="3"/>
      <c r="H63" s="4">
        <v>2</v>
      </c>
      <c r="I63" s="3">
        <v>0</v>
      </c>
      <c r="J63" s="3">
        <v>2</v>
      </c>
      <c r="K63" s="4">
        <v>0</v>
      </c>
      <c r="L63" s="46">
        <v>0</v>
      </c>
      <c r="M63" s="3">
        <v>0</v>
      </c>
      <c r="N63" s="1" t="s">
        <v>165</v>
      </c>
      <c r="O63" s="9" t="s">
        <v>163</v>
      </c>
    </row>
    <row r="64" spans="1:15" ht="147" x14ac:dyDescent="0.25">
      <c r="B64" s="28" t="s">
        <v>166</v>
      </c>
      <c r="C64" s="4">
        <v>0</v>
      </c>
      <c r="D64" s="3">
        <v>0</v>
      </c>
      <c r="E64" s="3">
        <v>0</v>
      </c>
      <c r="F64" s="3"/>
      <c r="G64" s="3"/>
      <c r="H64" s="4">
        <v>1</v>
      </c>
      <c r="I64" s="3">
        <v>0</v>
      </c>
      <c r="J64" s="3">
        <v>1</v>
      </c>
      <c r="K64" s="4">
        <v>0</v>
      </c>
      <c r="L64" s="46">
        <v>0</v>
      </c>
      <c r="M64" s="3">
        <v>0</v>
      </c>
      <c r="N64" s="1" t="s">
        <v>167</v>
      </c>
      <c r="O64" s="9" t="s">
        <v>168</v>
      </c>
    </row>
    <row r="65" spans="1:16" ht="21" x14ac:dyDescent="0.25">
      <c r="A65" s="11">
        <v>49</v>
      </c>
      <c r="B65" s="28" t="s">
        <v>219</v>
      </c>
      <c r="C65" s="4"/>
      <c r="F65" s="3"/>
      <c r="G65" s="3"/>
      <c r="H65" s="4"/>
      <c r="K65" s="4">
        <v>1</v>
      </c>
      <c r="L65" s="46"/>
      <c r="M65" s="3">
        <v>1</v>
      </c>
      <c r="N65" s="1" t="s">
        <v>218</v>
      </c>
      <c r="O65" s="9">
        <v>49</v>
      </c>
    </row>
    <row r="66" spans="1:16" ht="24" customHeight="1" x14ac:dyDescent="0.25">
      <c r="A66" s="11">
        <v>50</v>
      </c>
      <c r="B66" s="28" t="s">
        <v>53</v>
      </c>
      <c r="C66" s="4">
        <v>9</v>
      </c>
      <c r="D66" s="3">
        <v>1</v>
      </c>
      <c r="E66" s="3">
        <f t="shared" si="1"/>
        <v>14</v>
      </c>
      <c r="F66" s="3">
        <v>8</v>
      </c>
      <c r="G66" s="3">
        <v>6</v>
      </c>
      <c r="H66" s="4">
        <v>6</v>
      </c>
      <c r="I66" s="3">
        <f>3+1</f>
        <v>4</v>
      </c>
      <c r="J66" s="3">
        <v>3</v>
      </c>
      <c r="K66" s="4">
        <v>11</v>
      </c>
      <c r="L66" s="46">
        <v>3</v>
      </c>
      <c r="M66" s="3">
        <v>4</v>
      </c>
      <c r="N66" s="1" t="s">
        <v>54</v>
      </c>
      <c r="O66" s="9">
        <v>50</v>
      </c>
    </row>
    <row r="67" spans="1:16" ht="24" hidden="1" customHeight="1" x14ac:dyDescent="0.25">
      <c r="A67" s="11">
        <v>51</v>
      </c>
      <c r="B67" s="28" t="s">
        <v>55</v>
      </c>
      <c r="C67" s="4">
        <v>0</v>
      </c>
      <c r="D67" s="3">
        <v>0</v>
      </c>
      <c r="E67" s="3">
        <f t="shared" si="1"/>
        <v>0</v>
      </c>
      <c r="F67" s="3"/>
      <c r="G67" s="3"/>
      <c r="H67" s="4"/>
      <c r="K67" s="4"/>
      <c r="L67" s="46"/>
      <c r="N67" s="1" t="s">
        <v>56</v>
      </c>
      <c r="O67" s="9">
        <v>51</v>
      </c>
    </row>
    <row r="68" spans="1:16" ht="52.5" customHeight="1" x14ac:dyDescent="0.25">
      <c r="A68" s="11" t="s">
        <v>169</v>
      </c>
      <c r="B68" s="29" t="s">
        <v>170</v>
      </c>
      <c r="C68" s="6">
        <v>20</v>
      </c>
      <c r="D68" s="3">
        <v>0</v>
      </c>
      <c r="E68" s="3">
        <f t="shared" si="1"/>
        <v>22</v>
      </c>
      <c r="F68" s="3">
        <v>8</v>
      </c>
      <c r="G68" s="3">
        <v>14</v>
      </c>
      <c r="H68" s="6">
        <v>9</v>
      </c>
      <c r="I68" s="3">
        <v>3</v>
      </c>
      <c r="J68" s="3">
        <v>6</v>
      </c>
      <c r="K68" s="6">
        <v>14</v>
      </c>
      <c r="L68" s="46">
        <v>0</v>
      </c>
      <c r="M68" s="3">
        <v>5</v>
      </c>
      <c r="N68" s="1" t="s">
        <v>171</v>
      </c>
      <c r="O68" s="9" t="s">
        <v>169</v>
      </c>
    </row>
    <row r="69" spans="1:16" ht="45" customHeight="1" x14ac:dyDescent="0.25">
      <c r="A69" s="11" t="s">
        <v>172</v>
      </c>
      <c r="B69" s="29" t="s">
        <v>173</v>
      </c>
      <c r="C69" s="6">
        <v>0</v>
      </c>
      <c r="D69" s="3">
        <v>0</v>
      </c>
      <c r="E69" s="3">
        <f t="shared" si="1"/>
        <v>0</v>
      </c>
      <c r="F69" s="3"/>
      <c r="G69" s="3"/>
      <c r="H69" s="6">
        <v>0</v>
      </c>
      <c r="I69" s="3">
        <v>0</v>
      </c>
      <c r="J69" s="3">
        <v>0</v>
      </c>
      <c r="K69" s="6">
        <v>0</v>
      </c>
      <c r="L69" s="46">
        <v>0</v>
      </c>
      <c r="M69" s="3">
        <v>0</v>
      </c>
      <c r="N69" s="1" t="s">
        <v>174</v>
      </c>
      <c r="O69" s="9" t="s">
        <v>172</v>
      </c>
    </row>
    <row r="70" spans="1:16" ht="67.5" customHeight="1" x14ac:dyDescent="0.25">
      <c r="A70" s="11" t="s">
        <v>175</v>
      </c>
      <c r="B70" s="10" t="s">
        <v>176</v>
      </c>
      <c r="C70" s="4">
        <v>0</v>
      </c>
      <c r="D70" s="3">
        <v>0</v>
      </c>
      <c r="E70" s="3">
        <f t="shared" si="1"/>
        <v>0</v>
      </c>
      <c r="F70" s="3"/>
      <c r="G70" s="3"/>
      <c r="H70" s="4">
        <v>0</v>
      </c>
      <c r="I70" s="3">
        <v>0</v>
      </c>
      <c r="J70" s="3">
        <v>0</v>
      </c>
      <c r="K70" s="4">
        <v>1</v>
      </c>
      <c r="L70" s="46">
        <v>0</v>
      </c>
      <c r="M70" s="3">
        <v>1</v>
      </c>
      <c r="N70" s="1" t="s">
        <v>177</v>
      </c>
      <c r="O70" s="9" t="s">
        <v>175</v>
      </c>
    </row>
    <row r="71" spans="1:16" ht="70.5" customHeight="1" x14ac:dyDescent="0.25">
      <c r="A71" s="32" t="s">
        <v>178</v>
      </c>
      <c r="B71" s="10" t="s">
        <v>179</v>
      </c>
      <c r="C71" s="4">
        <v>0</v>
      </c>
      <c r="D71" s="3">
        <v>0</v>
      </c>
      <c r="E71" s="3">
        <f t="shared" si="1"/>
        <v>0</v>
      </c>
      <c r="F71" s="3"/>
      <c r="G71" s="3"/>
      <c r="H71" s="4">
        <v>0</v>
      </c>
      <c r="I71" s="3">
        <v>0</v>
      </c>
      <c r="J71" s="3">
        <v>0</v>
      </c>
      <c r="K71" s="4">
        <v>1</v>
      </c>
      <c r="L71" s="46">
        <v>0</v>
      </c>
      <c r="M71" s="3">
        <v>1</v>
      </c>
      <c r="N71" s="1" t="s">
        <v>180</v>
      </c>
      <c r="O71" s="33" t="s">
        <v>178</v>
      </c>
    </row>
    <row r="72" spans="1:16" ht="68.25" hidden="1" customHeight="1" x14ac:dyDescent="0.25">
      <c r="A72" s="11" t="s">
        <v>181</v>
      </c>
      <c r="B72" s="10" t="s">
        <v>182</v>
      </c>
      <c r="C72" s="4">
        <v>0</v>
      </c>
      <c r="D72" s="3">
        <v>0</v>
      </c>
      <c r="E72" s="3">
        <f t="shared" si="1"/>
        <v>0</v>
      </c>
      <c r="F72" s="3"/>
      <c r="G72" s="3"/>
      <c r="H72" s="4">
        <v>0</v>
      </c>
      <c r="I72" s="3">
        <v>0</v>
      </c>
      <c r="J72" s="3">
        <v>0</v>
      </c>
      <c r="K72" s="4">
        <v>0</v>
      </c>
      <c r="L72" s="46"/>
      <c r="M72" s="3">
        <v>0</v>
      </c>
      <c r="N72" s="1" t="s">
        <v>183</v>
      </c>
      <c r="O72" s="9" t="s">
        <v>181</v>
      </c>
    </row>
    <row r="73" spans="1:16" ht="99" hidden="1" customHeight="1" x14ac:dyDescent="0.25">
      <c r="A73" s="11" t="s">
        <v>184</v>
      </c>
      <c r="B73" s="10" t="s">
        <v>185</v>
      </c>
      <c r="C73" s="4">
        <v>0</v>
      </c>
      <c r="D73" s="3">
        <v>0</v>
      </c>
      <c r="E73" s="3">
        <f t="shared" si="1"/>
        <v>0</v>
      </c>
      <c r="F73" s="3"/>
      <c r="G73" s="3"/>
      <c r="H73" s="4">
        <v>0</v>
      </c>
      <c r="I73" s="3">
        <v>0</v>
      </c>
      <c r="J73" s="3">
        <v>0</v>
      </c>
      <c r="K73" s="4">
        <v>0</v>
      </c>
      <c r="L73" s="46"/>
      <c r="M73" s="3">
        <v>0</v>
      </c>
      <c r="N73" s="1" t="s">
        <v>186</v>
      </c>
      <c r="O73" s="9" t="s">
        <v>184</v>
      </c>
    </row>
    <row r="74" spans="1:16" ht="63" x14ac:dyDescent="0.25">
      <c r="A74" s="11" t="s">
        <v>187</v>
      </c>
      <c r="B74" s="10" t="s">
        <v>188</v>
      </c>
      <c r="C74" s="4">
        <v>0</v>
      </c>
      <c r="D74" s="3">
        <v>0</v>
      </c>
      <c r="E74" s="3">
        <v>0</v>
      </c>
      <c r="F74" s="3"/>
      <c r="G74" s="3"/>
      <c r="H74" s="4">
        <v>0</v>
      </c>
      <c r="I74" s="3">
        <v>0</v>
      </c>
      <c r="J74" s="3">
        <v>0</v>
      </c>
      <c r="K74" s="4">
        <v>1</v>
      </c>
      <c r="L74" s="46">
        <v>0</v>
      </c>
      <c r="M74" s="3">
        <v>1</v>
      </c>
      <c r="N74" s="1" t="s">
        <v>189</v>
      </c>
      <c r="O74" s="9" t="s">
        <v>187</v>
      </c>
    </row>
    <row r="75" spans="1:16" ht="105" x14ac:dyDescent="0.25">
      <c r="A75" s="11">
        <v>52</v>
      </c>
      <c r="B75" s="10" t="s">
        <v>190</v>
      </c>
      <c r="C75" s="4">
        <v>0</v>
      </c>
      <c r="D75" s="3">
        <v>0</v>
      </c>
      <c r="E75" s="3">
        <f t="shared" si="1"/>
        <v>2</v>
      </c>
      <c r="F75" s="3">
        <v>2</v>
      </c>
      <c r="G75" s="3"/>
      <c r="H75" s="4">
        <v>0</v>
      </c>
      <c r="I75" s="3">
        <v>0</v>
      </c>
      <c r="J75" s="3">
        <v>0</v>
      </c>
      <c r="K75" s="4">
        <v>1</v>
      </c>
      <c r="L75" s="3">
        <v>0</v>
      </c>
      <c r="M75" s="3">
        <v>1</v>
      </c>
      <c r="N75" s="1" t="s">
        <v>191</v>
      </c>
      <c r="O75" s="9">
        <v>52</v>
      </c>
    </row>
    <row r="76" spans="1:16" ht="24" hidden="1" customHeight="1" x14ac:dyDescent="0.25">
      <c r="A76" s="11">
        <v>53</v>
      </c>
      <c r="B76" s="29" t="s">
        <v>57</v>
      </c>
      <c r="C76" s="6">
        <v>0</v>
      </c>
      <c r="D76" s="3">
        <v>0</v>
      </c>
      <c r="E76" s="3">
        <f t="shared" si="1"/>
        <v>0</v>
      </c>
      <c r="F76" s="3"/>
      <c r="G76" s="3"/>
      <c r="H76" s="6"/>
      <c r="K76" s="6"/>
      <c r="N76" s="1" t="s">
        <v>58</v>
      </c>
      <c r="O76" s="9">
        <v>53</v>
      </c>
    </row>
    <row r="77" spans="1:16" ht="59.25" customHeight="1" x14ac:dyDescent="0.25">
      <c r="A77" s="11" t="s">
        <v>192</v>
      </c>
      <c r="B77" s="10" t="s">
        <v>193</v>
      </c>
      <c r="C77" s="4">
        <v>1</v>
      </c>
      <c r="D77" s="3">
        <v>0</v>
      </c>
      <c r="E77" s="3">
        <f t="shared" si="1"/>
        <v>1</v>
      </c>
      <c r="F77" s="3"/>
      <c r="G77" s="3">
        <v>1</v>
      </c>
      <c r="H77" s="4">
        <v>0</v>
      </c>
      <c r="I77" s="3">
        <v>0</v>
      </c>
      <c r="J77" s="3">
        <v>0</v>
      </c>
      <c r="K77" s="4">
        <v>0</v>
      </c>
      <c r="L77" s="46">
        <v>0</v>
      </c>
      <c r="M77" s="3">
        <v>0</v>
      </c>
      <c r="N77" s="1" t="s">
        <v>194</v>
      </c>
      <c r="O77" s="9" t="s">
        <v>192</v>
      </c>
    </row>
    <row r="78" spans="1:16" ht="84" hidden="1" x14ac:dyDescent="0.25">
      <c r="B78" s="10" t="s">
        <v>195</v>
      </c>
      <c r="C78" s="4">
        <v>0</v>
      </c>
      <c r="D78" s="3">
        <v>0</v>
      </c>
      <c r="E78" s="3">
        <v>0</v>
      </c>
      <c r="F78" s="3"/>
      <c r="G78" s="3"/>
      <c r="H78" s="4">
        <v>0</v>
      </c>
      <c r="I78" s="3">
        <v>0</v>
      </c>
      <c r="J78" s="3">
        <v>0</v>
      </c>
      <c r="K78" s="4">
        <v>0</v>
      </c>
      <c r="L78" s="46"/>
      <c r="M78" s="3">
        <v>0</v>
      </c>
      <c r="N78" s="1" t="s">
        <v>196</v>
      </c>
      <c r="O78" s="9" t="s">
        <v>197</v>
      </c>
    </row>
    <row r="79" spans="1:16" ht="24" customHeight="1" x14ac:dyDescent="0.25">
      <c r="A79" s="11">
        <v>54</v>
      </c>
      <c r="B79" s="28" t="s">
        <v>59</v>
      </c>
      <c r="C79" s="4">
        <v>45</v>
      </c>
      <c r="D79" s="3">
        <v>8</v>
      </c>
      <c r="E79" s="3">
        <f t="shared" si="1"/>
        <v>77</v>
      </c>
      <c r="F79" s="3">
        <v>77</v>
      </c>
      <c r="G79" s="3"/>
      <c r="H79" s="4">
        <v>43</v>
      </c>
      <c r="I79" s="3">
        <v>10</v>
      </c>
      <c r="J79" s="3">
        <v>47</v>
      </c>
      <c r="K79" s="4">
        <v>69</v>
      </c>
      <c r="L79" s="46">
        <v>20</v>
      </c>
      <c r="M79" s="3">
        <v>54</v>
      </c>
      <c r="N79" s="1" t="s">
        <v>60</v>
      </c>
      <c r="O79" s="9">
        <v>54</v>
      </c>
    </row>
    <row r="80" spans="1:16" ht="24" customHeight="1" x14ac:dyDescent="0.25">
      <c r="A80" s="11">
        <v>56</v>
      </c>
      <c r="B80" s="29" t="s">
        <v>61</v>
      </c>
      <c r="C80" s="6">
        <v>2</v>
      </c>
      <c r="D80" s="3">
        <v>0</v>
      </c>
      <c r="E80" s="3">
        <f t="shared" si="1"/>
        <v>2</v>
      </c>
      <c r="F80" s="3">
        <v>1</v>
      </c>
      <c r="G80" s="3">
        <v>1</v>
      </c>
      <c r="H80" s="6"/>
      <c r="J80" s="3">
        <v>0</v>
      </c>
      <c r="K80" s="6">
        <v>3</v>
      </c>
      <c r="L80" s="46"/>
      <c r="M80" s="3">
        <v>2</v>
      </c>
      <c r="N80" s="1" t="s">
        <v>198</v>
      </c>
      <c r="O80" s="9">
        <v>56</v>
      </c>
      <c r="P80" s="34"/>
    </row>
    <row r="81" spans="1:15" ht="32.25" customHeight="1" x14ac:dyDescent="0.25">
      <c r="A81" s="11">
        <v>57</v>
      </c>
      <c r="B81" s="28" t="s">
        <v>62</v>
      </c>
      <c r="C81" s="4">
        <v>7</v>
      </c>
      <c r="D81" s="3">
        <v>1</v>
      </c>
      <c r="E81" s="3">
        <f t="shared" si="1"/>
        <v>22</v>
      </c>
      <c r="F81" s="3">
        <v>18</v>
      </c>
      <c r="G81" s="3">
        <v>4</v>
      </c>
      <c r="H81" s="4">
        <v>14</v>
      </c>
      <c r="I81" s="3">
        <v>1</v>
      </c>
      <c r="J81" s="3">
        <v>14</v>
      </c>
      <c r="K81" s="4">
        <v>16</v>
      </c>
      <c r="L81" s="46">
        <v>5</v>
      </c>
      <c r="M81" s="3">
        <v>7</v>
      </c>
      <c r="N81" s="1" t="s">
        <v>63</v>
      </c>
      <c r="O81" s="9">
        <v>57</v>
      </c>
    </row>
    <row r="82" spans="1:15" ht="24" hidden="1" customHeight="1" x14ac:dyDescent="0.25">
      <c r="A82" s="11">
        <v>58</v>
      </c>
      <c r="B82" s="28" t="s">
        <v>199</v>
      </c>
      <c r="C82" s="4">
        <v>0</v>
      </c>
      <c r="D82" s="3">
        <v>0</v>
      </c>
      <c r="E82" s="3">
        <f t="shared" si="1"/>
        <v>0</v>
      </c>
      <c r="F82" s="3"/>
      <c r="G82" s="3"/>
      <c r="H82" s="4">
        <v>0</v>
      </c>
      <c r="I82" s="3">
        <v>0</v>
      </c>
      <c r="J82" s="3">
        <v>0</v>
      </c>
      <c r="K82" s="4">
        <v>0</v>
      </c>
      <c r="L82" s="46"/>
      <c r="M82" s="3">
        <v>0</v>
      </c>
      <c r="N82" s="1" t="s">
        <v>64</v>
      </c>
      <c r="O82" s="9">
        <v>58</v>
      </c>
    </row>
    <row r="83" spans="1:15" ht="24" hidden="1" customHeight="1" x14ac:dyDescent="0.25">
      <c r="A83" s="11">
        <v>62</v>
      </c>
      <c r="B83" s="28" t="s">
        <v>65</v>
      </c>
      <c r="C83" s="4">
        <v>0</v>
      </c>
      <c r="D83" s="3">
        <v>0</v>
      </c>
      <c r="E83" s="3">
        <f t="shared" si="1"/>
        <v>0</v>
      </c>
      <c r="F83" s="3"/>
      <c r="G83" s="3"/>
      <c r="H83" s="4"/>
      <c r="K83" s="4"/>
      <c r="L83" s="46"/>
      <c r="N83" s="1" t="s">
        <v>66</v>
      </c>
      <c r="O83" s="9">
        <v>62</v>
      </c>
    </row>
    <row r="84" spans="1:15" ht="45.75" customHeight="1" x14ac:dyDescent="0.25">
      <c r="A84" s="11" t="s">
        <v>200</v>
      </c>
      <c r="B84" s="10" t="s">
        <v>201</v>
      </c>
      <c r="C84" s="4">
        <v>1</v>
      </c>
      <c r="D84" s="3">
        <v>0</v>
      </c>
      <c r="E84" s="3">
        <f t="shared" si="1"/>
        <v>5</v>
      </c>
      <c r="F84" s="3">
        <v>5</v>
      </c>
      <c r="G84" s="3"/>
      <c r="H84" s="4">
        <v>3</v>
      </c>
      <c r="I84" s="3">
        <v>0</v>
      </c>
      <c r="J84" s="3">
        <v>3</v>
      </c>
      <c r="K84" s="4">
        <v>0</v>
      </c>
      <c r="L84" s="46">
        <v>0</v>
      </c>
      <c r="M84" s="3">
        <v>0</v>
      </c>
      <c r="N84" s="1" t="s">
        <v>202</v>
      </c>
      <c r="O84" s="9" t="s">
        <v>200</v>
      </c>
    </row>
    <row r="85" spans="1:15" ht="65.25" customHeight="1" x14ac:dyDescent="0.25">
      <c r="A85" s="11" t="s">
        <v>203</v>
      </c>
      <c r="B85" s="10" t="s">
        <v>204</v>
      </c>
      <c r="C85" s="4">
        <v>3</v>
      </c>
      <c r="D85" s="3">
        <v>0</v>
      </c>
      <c r="E85" s="3">
        <f t="shared" si="1"/>
        <v>5</v>
      </c>
      <c r="F85" s="3">
        <v>3</v>
      </c>
      <c r="G85" s="3">
        <v>2</v>
      </c>
      <c r="H85" s="4">
        <v>3</v>
      </c>
      <c r="I85" s="3">
        <v>0</v>
      </c>
      <c r="J85" s="3">
        <v>5</v>
      </c>
      <c r="K85" s="4">
        <v>3</v>
      </c>
      <c r="L85" s="46">
        <v>3</v>
      </c>
      <c r="M85" s="3">
        <v>3</v>
      </c>
      <c r="N85" s="1" t="s">
        <v>205</v>
      </c>
      <c r="O85" s="9" t="s">
        <v>203</v>
      </c>
    </row>
    <row r="86" spans="1:15" ht="24" hidden="1" customHeight="1" x14ac:dyDescent="0.25">
      <c r="A86" s="11">
        <v>64</v>
      </c>
      <c r="B86" s="28" t="s">
        <v>206</v>
      </c>
      <c r="C86" s="4">
        <v>0</v>
      </c>
      <c r="D86" s="3">
        <v>0</v>
      </c>
      <c r="E86" s="3">
        <f t="shared" si="1"/>
        <v>0</v>
      </c>
      <c r="F86" s="3"/>
      <c r="G86" s="3"/>
      <c r="H86" s="4">
        <v>0</v>
      </c>
      <c r="I86" s="3">
        <v>0</v>
      </c>
      <c r="J86" s="3">
        <v>0</v>
      </c>
      <c r="K86" s="4">
        <v>0</v>
      </c>
      <c r="L86" s="48">
        <v>0</v>
      </c>
      <c r="M86" s="3">
        <v>0</v>
      </c>
      <c r="N86" s="1" t="s">
        <v>207</v>
      </c>
      <c r="O86" s="9">
        <v>64</v>
      </c>
    </row>
    <row r="87" spans="1:15" ht="24" hidden="1" customHeight="1" x14ac:dyDescent="0.25">
      <c r="A87" s="11">
        <v>67</v>
      </c>
      <c r="B87" s="28" t="s">
        <v>67</v>
      </c>
      <c r="C87" s="4">
        <v>0</v>
      </c>
      <c r="D87" s="3">
        <v>0</v>
      </c>
      <c r="E87" s="3">
        <f t="shared" ref="E87:E88" si="2">G87+F87</f>
        <v>0</v>
      </c>
      <c r="F87" s="3"/>
      <c r="G87" s="3"/>
      <c r="H87" s="4">
        <v>0</v>
      </c>
      <c r="I87" s="3">
        <v>0</v>
      </c>
      <c r="J87" s="3">
        <v>0</v>
      </c>
      <c r="K87" s="4">
        <v>0</v>
      </c>
      <c r="M87" s="3">
        <v>0</v>
      </c>
      <c r="N87" s="31" t="s">
        <v>68</v>
      </c>
      <c r="O87" s="9">
        <v>67</v>
      </c>
    </row>
    <row r="88" spans="1:15" ht="24" customHeight="1" x14ac:dyDescent="0.25">
      <c r="A88" s="35"/>
      <c r="B88" s="36" t="s">
        <v>208</v>
      </c>
      <c r="C88" s="8">
        <v>0</v>
      </c>
      <c r="D88" s="37">
        <v>0</v>
      </c>
      <c r="E88" s="37">
        <f t="shared" si="2"/>
        <v>0</v>
      </c>
      <c r="F88" s="37"/>
      <c r="G88" s="37"/>
      <c r="H88" s="8">
        <v>0</v>
      </c>
      <c r="I88" s="37">
        <v>0</v>
      </c>
      <c r="J88" s="37">
        <v>3</v>
      </c>
      <c r="K88" s="8">
        <v>0</v>
      </c>
      <c r="L88" s="37">
        <v>0</v>
      </c>
      <c r="M88" s="37">
        <v>0</v>
      </c>
      <c r="N88" s="38" t="s">
        <v>69</v>
      </c>
      <c r="O88" s="39"/>
    </row>
    <row r="89" spans="1:15" ht="16.5" customHeight="1" x14ac:dyDescent="0.25">
      <c r="B89" s="40" t="s">
        <v>209</v>
      </c>
      <c r="C89" s="41"/>
      <c r="D89" s="42"/>
      <c r="E89" s="42"/>
      <c r="F89" s="42"/>
      <c r="G89" s="42"/>
      <c r="H89" s="41"/>
      <c r="I89" s="42"/>
      <c r="J89" s="42"/>
      <c r="K89" s="41"/>
      <c r="L89" s="42"/>
      <c r="M89" s="42"/>
      <c r="N89" s="43" t="s">
        <v>210</v>
      </c>
    </row>
    <row r="90" spans="1:15" ht="18.75" customHeight="1" x14ac:dyDescent="0.25">
      <c r="B90" s="44" t="s">
        <v>70</v>
      </c>
      <c r="C90" s="41"/>
      <c r="D90" s="42"/>
      <c r="E90" s="42"/>
      <c r="F90" s="45"/>
      <c r="G90" s="45"/>
      <c r="H90" s="41"/>
      <c r="I90" s="42"/>
      <c r="J90" s="42"/>
      <c r="K90" s="41"/>
      <c r="L90" s="42"/>
      <c r="M90" s="42"/>
      <c r="N90" s="43" t="s">
        <v>211</v>
      </c>
    </row>
  </sheetData>
  <mergeCells count="8">
    <mergeCell ref="O4:O6"/>
    <mergeCell ref="B1:N1"/>
    <mergeCell ref="B2:N2"/>
    <mergeCell ref="B4:B6"/>
    <mergeCell ref="N4:N6"/>
    <mergeCell ref="C6:F6"/>
    <mergeCell ref="H6:J6"/>
    <mergeCell ref="K6:M6"/>
  </mergeCells>
  <pageMargins left="0.7" right="0.7" top="0.75" bottom="0.75" header="0.3" footer="0.3"/>
  <pageSetup paperSize="9" scale="41" orientation="portrait" horizontalDpi="4294967295" verticalDpi="4294967295" r:id="rId1"/>
  <rowBreaks count="1" manualBreakCount="1">
    <brk id="47" max="1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19.3</vt:lpstr>
      <vt:lpstr>'19.3'!Print_Area</vt:lpstr>
      <vt:lpstr>'19.3'!Print_Titles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mohamed</cp:lastModifiedBy>
  <cp:lastPrinted>2020-11-29T13:10:52Z</cp:lastPrinted>
  <dcterms:created xsi:type="dcterms:W3CDTF">2019-09-11T06:11:12Z</dcterms:created>
  <dcterms:modified xsi:type="dcterms:W3CDTF">2020-11-29T13:11:22Z</dcterms:modified>
</cp:coreProperties>
</file>