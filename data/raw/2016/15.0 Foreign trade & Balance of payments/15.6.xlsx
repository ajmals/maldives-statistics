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405" yWindow="495" windowWidth="9540" windowHeight="5040" tabRatio="845"/>
  </bookViews>
  <sheets>
    <sheet name="15.6" sheetId="43" r:id="rId1"/>
  </sheets>
  <externalReferences>
    <externalReference r:id="rId2"/>
  </externalReferences>
  <definedNames>
    <definedName name="_tot3">#REF!</definedName>
    <definedName name="_tot4">#REF!</definedName>
    <definedName name="_tot5">#REF!</definedName>
    <definedName name="_tot6">#REF!</definedName>
    <definedName name="_tot7">#REF!</definedName>
    <definedName name="a">#REF!</definedName>
    <definedName name="bec">#REF!</definedName>
    <definedName name="ctry">'[1]CTRY monthly'!$B$100:$N$115</definedName>
    <definedName name="moomina">#REF!</definedName>
    <definedName name="_xlnm.Print_Area" localSheetId="0">'15.6'!$A$1:$J$73</definedName>
    <definedName name="Print_Area_MI">#REF!</definedName>
    <definedName name="_xlnm.Print_Titles" localSheetId="0">'15.6'!$4:$5</definedName>
    <definedName name="tot">#REF!</definedName>
    <definedName name="total">#REF!</definedName>
    <definedName name="TOTE8">#REF!</definedName>
    <definedName name="tott3">#REF!</definedName>
  </definedNames>
  <calcPr calcId="144525"/>
  <customWorkbookViews>
    <customWorkbookView name="moomina - Personal View" guid="{606E8A6D-F254-43BE-81C6-5E26D3168B9C}" mergeInterval="0" personalView="1" maximized="1" windowWidth="1020" windowHeight="570" activeSheetId="8"/>
    <customWorkbookView name="iqbal - Personal View" guid="{55954F5B-8823-487D-89BD-5CAA49E9A156}" mergeInterval="0" personalView="1" maximized="1" windowWidth="1276" windowHeight="874" activeSheetId="12"/>
    <customWorkbookView name="hawwa zahira - Personal View" guid="{809AAACF-1F9F-4AA0-A069-E0E3B47FA09A}" mergeInterval="0" personalView="1" maximized="1" windowWidth="1148" windowHeight="692" tabRatio="814" activeSheetId="3"/>
    <customWorkbookView name="777 - Personal View" guid="{AA9F0C9E-78D8-4405-A52F-8AFEDA4EE48D}" mergeInterval="0" personalView="1" maximized="1" windowWidth="1276" windowHeight="852" activeSheetId="16"/>
  </customWorkbookViews>
</workbook>
</file>

<file path=xl/calcChain.xml><?xml version="1.0" encoding="utf-8"?>
<calcChain xmlns="http://schemas.openxmlformats.org/spreadsheetml/2006/main">
  <c r="I43" i="43" l="1"/>
  <c r="I7" i="43" l="1"/>
  <c r="I30" i="43" l="1"/>
  <c r="I36" i="43"/>
  <c r="I41" i="43"/>
  <c r="I60" i="43"/>
  <c r="I6" i="43" l="1"/>
  <c r="H7" i="43" l="1"/>
  <c r="H60" i="43"/>
  <c r="H43" i="43"/>
  <c r="H41" i="43"/>
  <c r="H36" i="43"/>
  <c r="H30" i="43"/>
  <c r="H6" i="43" l="1"/>
  <c r="G36" i="43"/>
  <c r="G60" i="43"/>
  <c r="G7" i="43"/>
  <c r="G30" i="43"/>
  <c r="G41" i="43"/>
  <c r="G43" i="43"/>
  <c r="F60" i="43"/>
  <c r="E60" i="43"/>
  <c r="D60" i="43"/>
  <c r="C60" i="43"/>
  <c r="B60" i="43"/>
  <c r="F43" i="43"/>
  <c r="E43" i="43"/>
  <c r="D43" i="43"/>
  <c r="C43" i="43"/>
  <c r="B43" i="43"/>
  <c r="F41" i="43"/>
  <c r="E41" i="43"/>
  <c r="D41" i="43"/>
  <c r="C41" i="43"/>
  <c r="B41" i="43"/>
  <c r="F36" i="43"/>
  <c r="E36" i="43"/>
  <c r="D36" i="43"/>
  <c r="C36" i="43"/>
  <c r="B36" i="43"/>
  <c r="F30" i="43"/>
  <c r="E30" i="43"/>
  <c r="D30" i="43"/>
  <c r="C30" i="43"/>
  <c r="B30" i="43"/>
  <c r="F7" i="43"/>
  <c r="E7" i="43"/>
  <c r="D7" i="43"/>
  <c r="C7" i="43"/>
  <c r="B7" i="43"/>
  <c r="F6" i="43" l="1"/>
  <c r="G6" i="43"/>
  <c r="D6" i="43"/>
  <c r="B6" i="43"/>
  <c r="E6" i="43"/>
  <c r="C6" i="43"/>
</calcChain>
</file>

<file path=xl/sharedStrings.xml><?xml version="1.0" encoding="utf-8"?>
<sst xmlns="http://schemas.openxmlformats.org/spreadsheetml/2006/main" count="141" uniqueCount="140">
  <si>
    <t>Country</t>
  </si>
  <si>
    <t>Total</t>
  </si>
  <si>
    <t>Europe</t>
  </si>
  <si>
    <t>U.K</t>
  </si>
  <si>
    <t>France</t>
  </si>
  <si>
    <t>Germany</t>
  </si>
  <si>
    <t>Italy</t>
  </si>
  <si>
    <t>Sweden</t>
  </si>
  <si>
    <t>Switzerland</t>
  </si>
  <si>
    <t>Asia</t>
  </si>
  <si>
    <t>Singapore</t>
  </si>
  <si>
    <t>India</t>
  </si>
  <si>
    <t>Malaysia</t>
  </si>
  <si>
    <t>Sri Lanka</t>
  </si>
  <si>
    <t>Thailand</t>
  </si>
  <si>
    <t>China</t>
  </si>
  <si>
    <t>Japan</t>
  </si>
  <si>
    <t>Africa</t>
  </si>
  <si>
    <t>South Africa</t>
  </si>
  <si>
    <t>America</t>
  </si>
  <si>
    <t>Canada</t>
  </si>
  <si>
    <t>Middle East</t>
  </si>
  <si>
    <t>Oman</t>
  </si>
  <si>
    <t>Oceania</t>
  </si>
  <si>
    <t>Australia</t>
  </si>
  <si>
    <t>Source:  Maldives Customs Services</t>
  </si>
  <si>
    <t>Netherland</t>
  </si>
  <si>
    <t>Bahrain</t>
  </si>
  <si>
    <t>Mauritius</t>
  </si>
  <si>
    <t>Brazil</t>
  </si>
  <si>
    <t>itwmuriaudem</t>
  </si>
  <si>
    <t xml:space="preserve">cswsivrWs ccscmwTcswk cscviDclOm :ctWrwfivcaed utWmUluAwm     </t>
  </si>
  <si>
    <t>Spain</t>
  </si>
  <si>
    <t>Denmark</t>
  </si>
  <si>
    <t>U.S.A.</t>
  </si>
  <si>
    <t>Hong Kong</t>
  </si>
  <si>
    <t>Taiwan</t>
  </si>
  <si>
    <t>ޓައިވާން</t>
  </si>
  <si>
    <t>Iran</t>
  </si>
  <si>
    <t>U.A.E.</t>
  </si>
  <si>
    <t>Austria</t>
  </si>
  <si>
    <t>Belgium</t>
  </si>
  <si>
    <t>Czech Republic</t>
  </si>
  <si>
    <t>Greece</t>
  </si>
  <si>
    <t>Ireland</t>
  </si>
  <si>
    <t>Malta</t>
  </si>
  <si>
    <t>Poland</t>
  </si>
  <si>
    <t>Portugal</t>
  </si>
  <si>
    <t>Russia</t>
  </si>
  <si>
    <t>Seychelles</t>
  </si>
  <si>
    <t>Tunisia</t>
  </si>
  <si>
    <t>Jamaica</t>
  </si>
  <si>
    <t>Nepal</t>
  </si>
  <si>
    <t>South Korea</t>
  </si>
  <si>
    <t>Vietnam</t>
  </si>
  <si>
    <t>Kuwait</t>
  </si>
  <si>
    <t>Lebanon</t>
  </si>
  <si>
    <t>Saudi Arabia</t>
  </si>
  <si>
    <t>Luxembourg</t>
  </si>
  <si>
    <t>Norway</t>
  </si>
  <si>
    <t>Philippines</t>
  </si>
  <si>
    <t>Qatar</t>
  </si>
  <si>
    <r>
      <rPr>
        <b/>
        <sz val="10"/>
        <rFont val="Calibri"/>
        <family val="2"/>
      </rPr>
      <t xml:space="preserve">         Value (in MVR. '000)</t>
    </r>
    <r>
      <rPr>
        <b/>
        <sz val="10"/>
        <rFont val="A_Randhoo"/>
      </rPr>
      <t xml:space="preserve">      (cniaWyifur '000 ) ugwa</t>
    </r>
  </si>
  <si>
    <t>ޤައުމު</t>
  </si>
  <si>
    <t>ޖުމްލަ</t>
  </si>
  <si>
    <t>ޔޫރަޕް</t>
  </si>
  <si>
    <t>ބެލްޖިއަމް</t>
  </si>
  <si>
    <t>އޮސްޓްރިއާ</t>
  </si>
  <si>
    <t>ޗެކްރިޕަބްލިކް</t>
  </si>
  <si>
    <t>ޑެންމާކް</t>
  </si>
  <si>
    <t>ފްރާންސް</t>
  </si>
  <si>
    <t>ޖަރމަނީ</t>
  </si>
  <si>
    <t>ގްރީސް</t>
  </si>
  <si>
    <t>އިޓަލީ</t>
  </si>
  <si>
    <t>އަޔަލެންޑް</t>
  </si>
  <si>
    <t>ލަކްސަމްބާގް</t>
  </si>
  <si>
    <t>މޯލްޓާ</t>
  </si>
  <si>
    <t>ނޯވޭ</t>
  </si>
  <si>
    <t>ޕޮލެންޑް</t>
  </si>
  <si>
    <t>ނެދަލެންޑް</t>
  </si>
  <si>
    <t>ޕޯޗުގަލް</t>
  </si>
  <si>
    <t>ރަޝިޔާ</t>
  </si>
  <si>
    <t>ސްޕޭން</t>
  </si>
  <si>
    <t>ސްވިޑްން</t>
  </si>
  <si>
    <t>ސްވިޒަލަންޑް</t>
  </si>
  <si>
    <t>ޔޫ.ކޭ</t>
  </si>
  <si>
    <t>އެޕްރިކާ</t>
  </si>
  <si>
    <t>މޮރީޝަސް</t>
  </si>
  <si>
    <t>ސައުތް އެޕްރިކާ</t>
  </si>
  <si>
    <t>ސީޝެލްސް</t>
  </si>
  <si>
    <t>ޓިއުނީޝިއާ</t>
  </si>
  <si>
    <t>އެމެރިކާ</t>
  </si>
  <si>
    <t>ކެނެޑާ</t>
  </si>
  <si>
    <t>ޖެމެއިކާ</t>
  </si>
  <si>
    <t>ޔޫ.އެސް.އޭ</t>
  </si>
  <si>
    <t>އޯޝަނިއާ</t>
  </si>
  <si>
    <t>އޮސްޓްރޭލިއާ</t>
  </si>
  <si>
    <t>އޭޝިއާ</t>
  </si>
  <si>
    <t>ޗައިނާ</t>
  </si>
  <si>
    <t>ހޮންކޮންގ</t>
  </si>
  <si>
    <t>އިންޑިއާ</t>
  </si>
  <si>
    <t>ޖަޕާން</t>
  </si>
  <si>
    <t>މެލޭޝިއާ</t>
  </si>
  <si>
    <t>ނޭޕާލް</t>
  </si>
  <si>
    <t>ފިލިޕީންސް</t>
  </si>
  <si>
    <t>ސިންގަޕޯރ</t>
  </si>
  <si>
    <t>ސައުތް ކޮރެއާ</t>
  </si>
  <si>
    <t>ސްރީލަންކާ</t>
  </si>
  <si>
    <t>ތައިލެންޑް</t>
  </si>
  <si>
    <t>ވިއެޓްނާމް</t>
  </si>
  <si>
    <t>އިރާން</t>
  </si>
  <si>
    <t>ކުވެއިތް</t>
  </si>
  <si>
    <t>ލެބަނަން</t>
  </si>
  <si>
    <t>އޮމާން</t>
  </si>
  <si>
    <t>ގަތަރު</t>
  </si>
  <si>
    <t>ސައުދީ އަރަބިއާ</t>
  </si>
  <si>
    <t>ޔޫ.އޭ.އީ</t>
  </si>
  <si>
    <t>Ukraine</t>
  </si>
  <si>
    <t>Tanzania</t>
  </si>
  <si>
    <t>Cyprus</t>
  </si>
  <si>
    <t>Turkey</t>
  </si>
  <si>
    <t>ސައިޕްރަސް</t>
  </si>
  <si>
    <t>ތުރުކީ</t>
  </si>
  <si>
    <t>ބްރެޒިލް</t>
  </si>
  <si>
    <t>ޓެންޒޭނިއާ</t>
  </si>
  <si>
    <t>ޔުކްރެއިން</t>
  </si>
  <si>
    <t>Finland</t>
  </si>
  <si>
    <t>Georgia</t>
  </si>
  <si>
    <t>Iraq</t>
  </si>
  <si>
    <t>Yemen</t>
  </si>
  <si>
    <t>ޖޯޖިއާ</t>
  </si>
  <si>
    <t>އިރާގު</t>
  </si>
  <si>
    <t>ފިންލަންޑް</t>
  </si>
  <si>
    <t>Table  15.6 :   EXPORTS BY COUNTRY OF DESTINATION, 2008 - 2015</t>
  </si>
  <si>
    <t>2015 - 2008 ,cawtumuawq unuvunof Wdum unuverukurEb cnEjcaWr : 15.6 ulwvWt</t>
  </si>
  <si>
    <t>Kazakhstan</t>
  </si>
  <si>
    <t>Bangladesh</t>
  </si>
  <si>
    <t>ބަހުރެއިން</t>
  </si>
  <si>
    <t>ކަޒަކިސްތާން</t>
  </si>
  <si>
    <t>ބަންގްލަދޭޝް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</si>
</sst>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70" formatCode="0.00_)"/>
  </numFmts>
  <fonts count="4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_Randhoo"/>
    </font>
    <font>
      <sz val="10"/>
      <name val="Arial"/>
      <family val="2"/>
    </font>
    <font>
      <sz val="12"/>
      <name val="Calibri"/>
      <family val="2"/>
    </font>
    <font>
      <b/>
      <sz val="10"/>
      <name val="Calibri"/>
      <family val="2"/>
    </font>
    <font>
      <b/>
      <sz val="10"/>
      <name val="A_Randhoo"/>
    </font>
    <font>
      <b/>
      <sz val="12"/>
      <name val="A_Randhoo"/>
    </font>
    <font>
      <b/>
      <sz val="12"/>
      <name val="Calibri"/>
      <family val="2"/>
    </font>
    <font>
      <b/>
      <i/>
      <sz val="16"/>
      <name val="Helv"/>
    </font>
    <font>
      <b/>
      <sz val="9"/>
      <name val="Calibri"/>
      <family val="2"/>
    </font>
    <font>
      <sz val="9"/>
      <name val="Calibri"/>
      <family val="2"/>
    </font>
    <font>
      <sz val="10"/>
      <name val="Arial"/>
      <family val="2"/>
    </font>
    <font>
      <b/>
      <sz val="10"/>
      <name val="Faruma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b/>
      <sz val="12"/>
      <name val="Faruma"/>
    </font>
    <font>
      <sz val="12"/>
      <name val="Faruma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i/>
      <sz val="9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 style="thin">
        <color indexed="64"/>
      </top>
      <bottom style="dotted">
        <color theme="1"/>
      </bottom>
      <diagonal/>
    </border>
    <border>
      <left style="thin">
        <color theme="0"/>
      </left>
      <right/>
      <top style="thin">
        <color indexed="64"/>
      </top>
      <bottom style="dotted">
        <color theme="1"/>
      </bottom>
      <diagonal/>
    </border>
    <border>
      <left/>
      <right style="thin">
        <color theme="0"/>
      </right>
      <top style="thin">
        <color indexed="64"/>
      </top>
      <bottom style="dotted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hair">
        <color theme="1" tint="0.499984740745262"/>
      </bottom>
      <diagonal/>
    </border>
    <border>
      <left style="thin">
        <color theme="0"/>
      </left>
      <right style="thin">
        <color theme="0"/>
      </right>
      <top/>
      <bottom style="hair">
        <color theme="1" tint="0.499984740745262"/>
      </bottom>
      <diagonal/>
    </border>
  </borders>
  <cellStyleXfs count="71">
    <xf numFmtId="0" fontId="0" fillId="0" borderId="0"/>
    <xf numFmtId="0" fontId="3" fillId="0" borderId="0"/>
    <xf numFmtId="43" fontId="3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0" fontId="20" fillId="0" borderId="0" applyFont="0" applyFill="0" applyBorder="0" applyAlignment="0" applyProtection="0"/>
    <xf numFmtId="170" fontId="13" fillId="0" borderId="0"/>
    <xf numFmtId="0" fontId="16" fillId="0" borderId="0"/>
    <xf numFmtId="165" fontId="19" fillId="0" borderId="0"/>
    <xf numFmtId="9" fontId="7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4" applyNumberFormat="0" applyFill="0" applyAlignment="0" applyProtection="0"/>
    <xf numFmtId="0" fontId="32" fillId="0" borderId="15" applyNumberFormat="0" applyFill="0" applyAlignment="0" applyProtection="0"/>
    <xf numFmtId="0" fontId="33" fillId="0" borderId="16" applyNumberFormat="0" applyFill="0" applyAlignment="0" applyProtection="0"/>
    <xf numFmtId="0" fontId="33" fillId="0" borderId="0" applyNumberFormat="0" applyFill="0" applyBorder="0" applyAlignment="0" applyProtection="0"/>
    <xf numFmtId="0" fontId="34" fillId="3" borderId="0" applyNumberFormat="0" applyBorder="0" applyAlignment="0" applyProtection="0"/>
    <xf numFmtId="0" fontId="35" fillId="4" borderId="0" applyNumberFormat="0" applyBorder="0" applyAlignment="0" applyProtection="0"/>
    <xf numFmtId="0" fontId="36" fillId="5" borderId="0" applyNumberFormat="0" applyBorder="0" applyAlignment="0" applyProtection="0"/>
    <xf numFmtId="0" fontId="37" fillId="6" borderId="17" applyNumberFormat="0" applyAlignment="0" applyProtection="0"/>
    <xf numFmtId="0" fontId="38" fillId="7" borderId="18" applyNumberFormat="0" applyAlignment="0" applyProtection="0"/>
    <xf numFmtId="0" fontId="39" fillId="7" borderId="17" applyNumberFormat="0" applyAlignment="0" applyProtection="0"/>
    <xf numFmtId="0" fontId="40" fillId="0" borderId="19" applyNumberFormat="0" applyFill="0" applyAlignment="0" applyProtection="0"/>
    <xf numFmtId="0" fontId="41" fillId="8" borderId="20" applyNumberFormat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23" fillId="0" borderId="22" applyNumberFormat="0" applyFill="0" applyAlignment="0" applyProtection="0"/>
    <xf numFmtId="0" fontId="44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44" fillId="13" borderId="0" applyNumberFormat="0" applyBorder="0" applyAlignment="0" applyProtection="0"/>
    <xf numFmtId="0" fontId="44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44" fillId="17" borderId="0" applyNumberFormat="0" applyBorder="0" applyAlignment="0" applyProtection="0"/>
    <xf numFmtId="0" fontId="44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44" fillId="21" borderId="0" applyNumberFormat="0" applyBorder="0" applyAlignment="0" applyProtection="0"/>
    <xf numFmtId="0" fontId="44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44" fillId="25" borderId="0" applyNumberFormat="0" applyBorder="0" applyAlignment="0" applyProtection="0"/>
    <xf numFmtId="0" fontId="44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44" fillId="29" borderId="0" applyNumberFormat="0" applyBorder="0" applyAlignment="0" applyProtection="0"/>
    <xf numFmtId="0" fontId="44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44" fillId="33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9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9" borderId="21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7">
    <xf numFmtId="0" fontId="0" fillId="0" borderId="0" xfId="0"/>
    <xf numFmtId="3" fontId="26" fillId="2" borderId="3" xfId="4" applyNumberFormat="1" applyFont="1" applyFill="1" applyBorder="1" applyAlignment="1">
      <alignment horizontal="right" vertical="center"/>
    </xf>
    <xf numFmtId="3" fontId="25" fillId="2" borderId="1" xfId="4" applyNumberFormat="1" applyFont="1" applyFill="1" applyBorder="1" applyAlignment="1">
      <alignment horizontal="right" vertical="center"/>
    </xf>
    <xf numFmtId="165" fontId="8" fillId="2" borderId="1" xfId="9" applyFont="1" applyFill="1" applyBorder="1" applyAlignment="1">
      <alignment vertical="center"/>
    </xf>
    <xf numFmtId="165" fontId="4" fillId="2" borderId="1" xfId="9" applyFont="1" applyFill="1" applyBorder="1" applyAlignment="1" applyProtection="1">
      <alignment horizontal="center" vertical="center"/>
    </xf>
    <xf numFmtId="165" fontId="12" fillId="2" borderId="1" xfId="9" applyFont="1" applyFill="1" applyBorder="1" applyAlignment="1">
      <alignment vertical="center"/>
    </xf>
    <xf numFmtId="165" fontId="4" fillId="2" borderId="1" xfId="9" applyFont="1" applyFill="1" applyBorder="1" applyAlignment="1" applyProtection="1">
      <alignment horizontal="right" vertical="center"/>
    </xf>
    <xf numFmtId="165" fontId="27" fillId="2" borderId="3" xfId="9" applyFont="1" applyFill="1" applyBorder="1" applyAlignment="1" applyProtection="1">
      <alignment horizontal="left" vertical="center"/>
    </xf>
    <xf numFmtId="0" fontId="14" fillId="2" borderId="1" xfId="0" applyFont="1" applyFill="1" applyBorder="1" applyAlignment="1">
      <alignment vertical="center"/>
    </xf>
    <xf numFmtId="165" fontId="8" fillId="2" borderId="1" xfId="9" applyFont="1" applyFill="1" applyBorder="1" applyAlignment="1"/>
    <xf numFmtId="165" fontId="8" fillId="2" borderId="1" xfId="9" applyFont="1" applyFill="1" applyBorder="1" applyAlignment="1">
      <alignment horizontal="right" vertical="center"/>
    </xf>
    <xf numFmtId="0" fontId="6" fillId="2" borderId="3" xfId="0" applyFont="1" applyFill="1" applyBorder="1" applyAlignment="1">
      <alignment horizontal="right" readingOrder="2"/>
    </xf>
    <xf numFmtId="3" fontId="25" fillId="2" borderId="1" xfId="2" applyNumberFormat="1" applyFont="1" applyFill="1" applyBorder="1" applyAlignment="1">
      <alignment horizontal="right" vertical="center"/>
    </xf>
    <xf numFmtId="3" fontId="23" fillId="2" borderId="3" xfId="9" applyNumberFormat="1" applyFont="1" applyFill="1" applyBorder="1" applyAlignment="1" applyProtection="1">
      <alignment horizontal="right" vertical="center"/>
    </xf>
    <xf numFmtId="3" fontId="26" fillId="2" borderId="1" xfId="6" applyNumberFormat="1" applyFont="1" applyFill="1" applyBorder="1" applyAlignment="1">
      <alignment horizontal="right" vertical="center"/>
    </xf>
    <xf numFmtId="3" fontId="25" fillId="2" borderId="1" xfId="5" applyNumberFormat="1" applyFont="1" applyFill="1" applyBorder="1" applyAlignment="1">
      <alignment horizontal="right" vertical="center"/>
    </xf>
    <xf numFmtId="165" fontId="28" fillId="2" borderId="1" xfId="9" applyFont="1" applyFill="1" applyBorder="1" applyAlignment="1">
      <alignment horizontal="left" vertical="center"/>
    </xf>
    <xf numFmtId="165" fontId="24" fillId="2" borderId="1" xfId="9" applyFont="1" applyFill="1" applyBorder="1" applyAlignment="1" applyProtection="1">
      <alignment horizontal="left" vertical="center"/>
    </xf>
    <xf numFmtId="1" fontId="24" fillId="2" borderId="1" xfId="0" applyNumberFormat="1" applyFont="1" applyFill="1" applyBorder="1" applyAlignment="1">
      <alignment horizontal="left" vertical="center"/>
    </xf>
    <xf numFmtId="0" fontId="17" fillId="2" borderId="7" xfId="0" applyFont="1" applyFill="1" applyBorder="1" applyAlignment="1">
      <alignment horizontal="right" vertical="center"/>
    </xf>
    <xf numFmtId="165" fontId="22" fillId="2" borderId="1" xfId="9" applyFont="1" applyFill="1" applyBorder="1" applyAlignment="1">
      <alignment horizontal="right" vertical="center"/>
    </xf>
    <xf numFmtId="165" fontId="21" fillId="2" borderId="1" xfId="9" applyFont="1" applyFill="1" applyBorder="1" applyAlignment="1">
      <alignment horizontal="right" vertical="center"/>
    </xf>
    <xf numFmtId="0" fontId="23" fillId="2" borderId="2" xfId="2" applyNumberFormat="1" applyFont="1" applyFill="1" applyBorder="1" applyAlignment="1" applyProtection="1">
      <alignment horizontal="right" vertical="center"/>
    </xf>
    <xf numFmtId="165" fontId="24" fillId="2" borderId="1" xfId="9" applyFont="1" applyFill="1" applyBorder="1" applyAlignment="1">
      <alignment horizontal="left" vertical="center"/>
    </xf>
    <xf numFmtId="3" fontId="25" fillId="2" borderId="1" xfId="6" applyNumberFormat="1" applyFont="1" applyFill="1" applyBorder="1" applyAlignment="1">
      <alignment horizontal="right" vertical="center"/>
    </xf>
    <xf numFmtId="165" fontId="24" fillId="2" borderId="4" xfId="9" applyFont="1" applyFill="1" applyBorder="1" applyAlignment="1" applyProtection="1">
      <alignment horizontal="left" vertical="center"/>
    </xf>
    <xf numFmtId="3" fontId="25" fillId="2" borderId="4" xfId="4" applyNumberFormat="1" applyFont="1" applyFill="1" applyBorder="1" applyAlignment="1">
      <alignment horizontal="right" vertical="center"/>
    </xf>
    <xf numFmtId="165" fontId="22" fillId="2" borderId="4" xfId="9" applyFont="1" applyFill="1" applyBorder="1" applyAlignment="1">
      <alignment horizontal="right" vertical="center"/>
    </xf>
    <xf numFmtId="0" fontId="29" fillId="2" borderId="1" xfId="0" applyFont="1" applyFill="1" applyBorder="1" applyAlignment="1" applyProtection="1">
      <alignment horizontal="left" vertical="center"/>
    </xf>
    <xf numFmtId="165" fontId="15" fillId="2" borderId="3" xfId="9" applyFont="1" applyFill="1" applyBorder="1" applyAlignment="1">
      <alignment horizontal="right" vertical="center"/>
    </xf>
    <xf numFmtId="165" fontId="15" fillId="2" borderId="1" xfId="9" applyFont="1" applyFill="1" applyBorder="1" applyAlignment="1">
      <alignment vertical="center"/>
    </xf>
    <xf numFmtId="165" fontId="24" fillId="2" borderId="2" xfId="9" applyFont="1" applyFill="1" applyBorder="1" applyAlignment="1" applyProtection="1">
      <alignment horizontal="left" vertical="center"/>
    </xf>
    <xf numFmtId="3" fontId="25" fillId="2" borderId="2" xfId="4" applyNumberFormat="1" applyFont="1" applyFill="1" applyBorder="1" applyAlignment="1">
      <alignment horizontal="right" vertical="center"/>
    </xf>
    <xf numFmtId="165" fontId="24" fillId="2" borderId="0" xfId="9" applyFont="1" applyFill="1" applyBorder="1" applyAlignment="1" applyProtection="1">
      <alignment horizontal="left" vertical="center"/>
    </xf>
    <xf numFmtId="3" fontId="25" fillId="2" borderId="0" xfId="4" applyNumberFormat="1" applyFont="1" applyFill="1" applyBorder="1" applyAlignment="1">
      <alignment horizontal="right" vertical="center"/>
    </xf>
    <xf numFmtId="165" fontId="8" fillId="2" borderId="8" xfId="9" applyFont="1" applyFill="1" applyBorder="1" applyAlignment="1">
      <alignment vertical="center"/>
    </xf>
    <xf numFmtId="165" fontId="22" fillId="2" borderId="2" xfId="9" applyFont="1" applyFill="1" applyBorder="1" applyAlignment="1">
      <alignment horizontal="right" vertical="center"/>
    </xf>
    <xf numFmtId="165" fontId="22" fillId="2" borderId="0" xfId="9" applyFont="1" applyFill="1" applyBorder="1" applyAlignment="1">
      <alignment horizontal="right" vertical="center"/>
    </xf>
    <xf numFmtId="165" fontId="28" fillId="2" borderId="3" xfId="9" applyFont="1" applyFill="1" applyBorder="1" applyAlignment="1">
      <alignment horizontal="left" vertical="center"/>
    </xf>
    <xf numFmtId="3" fontId="26" fillId="2" borderId="3" xfId="6" applyNumberFormat="1" applyFont="1" applyFill="1" applyBorder="1" applyAlignment="1">
      <alignment horizontal="right" vertical="center"/>
    </xf>
    <xf numFmtId="165" fontId="22" fillId="2" borderId="3" xfId="9" applyFont="1" applyFill="1" applyBorder="1" applyAlignment="1">
      <alignment horizontal="right" vertical="center"/>
    </xf>
    <xf numFmtId="165" fontId="24" fillId="2" borderId="23" xfId="9" applyFont="1" applyFill="1" applyBorder="1" applyAlignment="1" applyProtection="1">
      <alignment horizontal="left" vertical="center"/>
    </xf>
    <xf numFmtId="3" fontId="25" fillId="2" borderId="23" xfId="4" applyNumberFormat="1" applyFont="1" applyFill="1" applyBorder="1" applyAlignment="1">
      <alignment horizontal="right" vertical="center"/>
    </xf>
    <xf numFmtId="165" fontId="22" fillId="2" borderId="23" xfId="9" applyFont="1" applyFill="1" applyBorder="1" applyAlignment="1">
      <alignment horizontal="right" vertical="center"/>
    </xf>
    <xf numFmtId="165" fontId="21" fillId="2" borderId="3" xfId="9" applyFont="1" applyFill="1" applyBorder="1" applyAlignment="1">
      <alignment horizontal="right" vertical="center"/>
    </xf>
    <xf numFmtId="3" fontId="25" fillId="2" borderId="23" xfId="5" applyNumberFormat="1" applyFont="1" applyFill="1" applyBorder="1" applyAlignment="1">
      <alignment horizontal="right" vertical="center"/>
    </xf>
    <xf numFmtId="3" fontId="25" fillId="2" borderId="4" xfId="2" applyNumberFormat="1" applyFont="1" applyFill="1" applyBorder="1" applyAlignment="1">
      <alignment horizontal="right" vertical="center"/>
    </xf>
    <xf numFmtId="165" fontId="24" fillId="2" borderId="24" xfId="9" applyFont="1" applyFill="1" applyBorder="1" applyAlignment="1" applyProtection="1">
      <alignment horizontal="left" vertical="center"/>
    </xf>
    <xf numFmtId="3" fontId="25" fillId="2" borderId="24" xfId="4" applyNumberFormat="1" applyFont="1" applyFill="1" applyBorder="1" applyAlignment="1">
      <alignment horizontal="right" vertical="center"/>
    </xf>
    <xf numFmtId="165" fontId="22" fillId="2" borderId="24" xfId="9" applyFont="1" applyFill="1" applyBorder="1" applyAlignment="1">
      <alignment horizontal="right" vertical="center"/>
    </xf>
    <xf numFmtId="0" fontId="11" fillId="2" borderId="6" xfId="0" applyFont="1" applyFill="1" applyBorder="1" applyAlignment="1">
      <alignment horizontal="right"/>
    </xf>
    <xf numFmtId="3" fontId="25" fillId="2" borderId="23" xfId="2" applyNumberFormat="1" applyFont="1" applyFill="1" applyBorder="1" applyAlignment="1">
      <alignment horizontal="right" vertical="center"/>
    </xf>
    <xf numFmtId="3" fontId="25" fillId="2" borderId="5" xfId="4" applyNumberFormat="1" applyFont="1" applyFill="1" applyBorder="1" applyAlignment="1">
      <alignment horizontal="right" vertical="center"/>
    </xf>
    <xf numFmtId="165" fontId="22" fillId="2" borderId="8" xfId="9" applyFont="1" applyFill="1" applyBorder="1" applyAlignment="1">
      <alignment horizontal="right" vertical="center"/>
    </xf>
    <xf numFmtId="3" fontId="11" fillId="2" borderId="5" xfId="0" applyNumberFormat="1" applyFont="1" applyFill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/>
    </xf>
    <xf numFmtId="165" fontId="12" fillId="2" borderId="10" xfId="9" applyFont="1" applyFill="1" applyBorder="1" applyAlignment="1" applyProtection="1">
      <alignment horizontal="left" vertical="center"/>
    </xf>
    <xf numFmtId="165" fontId="12" fillId="2" borderId="2" xfId="9" applyFont="1" applyFill="1" applyBorder="1" applyAlignment="1" applyProtection="1">
      <alignment horizontal="left" vertical="center"/>
    </xf>
    <xf numFmtId="165" fontId="21" fillId="2" borderId="10" xfId="9" applyFont="1" applyFill="1" applyBorder="1" applyAlignment="1">
      <alignment horizontal="right" vertical="center"/>
    </xf>
    <xf numFmtId="165" fontId="21" fillId="2" borderId="2" xfId="9" applyFont="1" applyFill="1" applyBorder="1" applyAlignment="1">
      <alignment horizontal="right" vertical="center"/>
    </xf>
    <xf numFmtId="3" fontId="11" fillId="2" borderId="8" xfId="0" applyNumberFormat="1" applyFont="1" applyFill="1" applyBorder="1" applyAlignment="1">
      <alignment horizontal="center" vertical="center"/>
    </xf>
    <xf numFmtId="165" fontId="28" fillId="2" borderId="5" xfId="9" applyFont="1" applyFill="1" applyBorder="1" applyAlignment="1" applyProtection="1">
      <alignment horizontal="center" vertical="center"/>
    </xf>
    <xf numFmtId="165" fontId="28" fillId="2" borderId="9" xfId="9" applyFont="1" applyFill="1" applyBorder="1" applyAlignment="1" applyProtection="1">
      <alignment horizontal="center" vertical="center"/>
    </xf>
    <xf numFmtId="165" fontId="28" fillId="2" borderId="8" xfId="9" applyFont="1" applyFill="1" applyBorder="1" applyAlignment="1" applyProtection="1">
      <alignment horizontal="center" vertical="center"/>
    </xf>
    <xf numFmtId="165" fontId="10" fillId="2" borderId="12" xfId="9" applyFont="1" applyFill="1" applyBorder="1" applyAlignment="1" applyProtection="1">
      <alignment horizontal="center" vertical="center"/>
    </xf>
    <xf numFmtId="165" fontId="10" fillId="2" borderId="11" xfId="9" applyFont="1" applyFill="1" applyBorder="1" applyAlignment="1" applyProtection="1">
      <alignment horizontal="center" vertical="center"/>
    </xf>
    <xf numFmtId="165" fontId="10" fillId="2" borderId="13" xfId="9" applyFont="1" applyFill="1" applyBorder="1" applyAlignment="1" applyProtection="1">
      <alignment horizontal="center" vertical="center"/>
    </xf>
  </cellXfs>
  <cellStyles count="71">
    <cellStyle name="1" xfId="1"/>
    <cellStyle name="20% - Accent1" xfId="28" builtinId="30" customBuiltin="1"/>
    <cellStyle name="20% - Accent1 2" xfId="59"/>
    <cellStyle name="20% - Accent2" xfId="32" builtinId="34" customBuiltin="1"/>
    <cellStyle name="20% - Accent2 2" xfId="61"/>
    <cellStyle name="20% - Accent3" xfId="36" builtinId="38" customBuiltin="1"/>
    <cellStyle name="20% - Accent3 2" xfId="63"/>
    <cellStyle name="20% - Accent4" xfId="40" builtinId="42" customBuiltin="1"/>
    <cellStyle name="20% - Accent4 2" xfId="65"/>
    <cellStyle name="20% - Accent5" xfId="44" builtinId="46" customBuiltin="1"/>
    <cellStyle name="20% - Accent5 2" xfId="67"/>
    <cellStyle name="20% - Accent6" xfId="48" builtinId="50" customBuiltin="1"/>
    <cellStyle name="20% - Accent6 2" xfId="69"/>
    <cellStyle name="40% - Accent1" xfId="29" builtinId="31" customBuiltin="1"/>
    <cellStyle name="40% - Accent1 2" xfId="60"/>
    <cellStyle name="40% - Accent2" xfId="33" builtinId="35" customBuiltin="1"/>
    <cellStyle name="40% - Accent2 2" xfId="62"/>
    <cellStyle name="40% - Accent3" xfId="37" builtinId="39" customBuiltin="1"/>
    <cellStyle name="40% - Accent3 2" xfId="64"/>
    <cellStyle name="40% - Accent4" xfId="41" builtinId="43" customBuiltin="1"/>
    <cellStyle name="40% - Accent4 2" xfId="66"/>
    <cellStyle name="40% - Accent5" xfId="45" builtinId="47" customBuiltin="1"/>
    <cellStyle name="40% - Accent5 2" xfId="68"/>
    <cellStyle name="40% - Accent6" xfId="49" builtinId="51" customBuiltin="1"/>
    <cellStyle name="40% - Accent6 2" xfId="70"/>
    <cellStyle name="60% - Accent1" xfId="30" builtinId="32" customBuiltin="1"/>
    <cellStyle name="60% - Accent2" xfId="34" builtinId="36" customBuiltin="1"/>
    <cellStyle name="60% - Accent3" xfId="38" builtinId="40" customBuiltin="1"/>
    <cellStyle name="60% - Accent4" xfId="42" builtinId="44" customBuiltin="1"/>
    <cellStyle name="60% - Accent5" xfId="46" builtinId="48" customBuiltin="1"/>
    <cellStyle name="60% - Accent6" xfId="50" builtinId="52" customBuiltin="1"/>
    <cellStyle name="Accent1" xfId="27" builtinId="29" customBuiltin="1"/>
    <cellStyle name="Accent2" xfId="31" builtinId="33" customBuiltin="1"/>
    <cellStyle name="Accent3" xfId="35" builtinId="37" customBuiltin="1"/>
    <cellStyle name="Accent4" xfId="39" builtinId="41" customBuiltin="1"/>
    <cellStyle name="Accent5" xfId="43" builtinId="45" customBuiltin="1"/>
    <cellStyle name="Accent6" xfId="47" builtinId="49" customBuiltin="1"/>
    <cellStyle name="Bad" xfId="17" builtinId="27" customBuiltin="1"/>
    <cellStyle name="Calculation" xfId="21" builtinId="22" customBuiltin="1"/>
    <cellStyle name="Check Cell" xfId="23" builtinId="23" customBuiltin="1"/>
    <cellStyle name="Comma" xfId="2" builtinId="3"/>
    <cellStyle name="Comma 2" xfId="3"/>
    <cellStyle name="Comma 3" xfId="4"/>
    <cellStyle name="Comma 4" xfId="52"/>
    <cellStyle name="Comma 5" xfId="55"/>
    <cellStyle name="Comma_XII7" xfId="5"/>
    <cellStyle name="Comma_XII-7 (Commerce)" xfId="6"/>
    <cellStyle name="Explanatory Text" xfId="25" builtinId="53" customBuiltin="1"/>
    <cellStyle name="Good" xfId="16" builtinId="26" customBuiltin="1"/>
    <cellStyle name="Heading 1" xfId="12" builtinId="16" customBuiltin="1"/>
    <cellStyle name="Heading 2" xfId="13" builtinId="17" customBuiltin="1"/>
    <cellStyle name="Heading 3" xfId="14" builtinId="18" customBuiltin="1"/>
    <cellStyle name="Heading 4" xfId="15" builtinId="19" customBuiltin="1"/>
    <cellStyle name="Input" xfId="19" builtinId="20" customBuiltin="1"/>
    <cellStyle name="Linked Cell" xfId="22" builtinId="24" customBuiltin="1"/>
    <cellStyle name="Neutral" xfId="18" builtinId="28" customBuiltin="1"/>
    <cellStyle name="Normal" xfId="0" builtinId="0"/>
    <cellStyle name="Normal - Style1" xfId="7"/>
    <cellStyle name="Normal 2" xfId="8"/>
    <cellStyle name="Normal 3" xfId="51"/>
    <cellStyle name="Normal 4" xfId="54"/>
    <cellStyle name="Normal 5" xfId="56"/>
    <cellStyle name="Normal 6" xfId="58"/>
    <cellStyle name="Normal_XII-7 (Commerce)" xfId="9"/>
    <cellStyle name="Note 2" xfId="53"/>
    <cellStyle name="Note 3" xfId="57"/>
    <cellStyle name="Output" xfId="20" builtinId="21" customBuiltin="1"/>
    <cellStyle name="Percent 2" xfId="10"/>
    <cellStyle name="Title" xfId="11" builtinId="15" customBuiltin="1"/>
    <cellStyle name="Total" xfId="26" builtinId="25" customBuiltin="1"/>
    <cellStyle name="Warning Text" xfId="24" builtinId="11" customBuiltin="1"/>
  </cellStyles>
  <dxfs count="0"/>
  <tableStyles count="0" defaultTableStyle="TableStyleMedium9" defaultPivotStyle="PivotStyleLight16"/>
  <colors>
    <mruColors>
      <color rgb="FFABEBE9"/>
      <color rgb="FF77DFDD"/>
      <color rgb="FF2EC0BD"/>
      <color rgb="FF1C706E"/>
      <color rgb="FF041010"/>
      <color rgb="FF84E2E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73"/>
  <sheetViews>
    <sheetView tabSelected="1" zoomScaleNormal="100" workbookViewId="0">
      <selection activeCell="J21" sqref="J21"/>
    </sheetView>
  </sheetViews>
  <sheetFormatPr defaultColWidth="11" defaultRowHeight="15.75" x14ac:dyDescent="0.2"/>
  <cols>
    <col min="1" max="1" width="15.140625" style="5" customWidth="1"/>
    <col min="2" max="9" width="11.7109375" style="10" customWidth="1"/>
    <col min="10" max="10" width="17.140625" style="3" customWidth="1"/>
    <col min="11" max="16384" width="11" style="3"/>
  </cols>
  <sheetData>
    <row r="1" spans="1:10" ht="17.25" customHeight="1" x14ac:dyDescent="0.2">
      <c r="A1" s="54" t="s">
        <v>134</v>
      </c>
      <c r="B1" s="55"/>
      <c r="C1" s="55"/>
      <c r="D1" s="55"/>
      <c r="E1" s="55"/>
      <c r="F1" s="55"/>
      <c r="G1" s="55"/>
      <c r="H1" s="55"/>
      <c r="I1" s="55"/>
      <c r="J1" s="60"/>
    </row>
    <row r="2" spans="1:10" s="5" customFormat="1" ht="21" customHeight="1" x14ac:dyDescent="0.2">
      <c r="A2" s="61" t="s">
        <v>133</v>
      </c>
      <c r="B2" s="62"/>
      <c r="C2" s="62"/>
      <c r="D2" s="62"/>
      <c r="E2" s="62"/>
      <c r="F2" s="62"/>
      <c r="G2" s="62"/>
      <c r="H2" s="62"/>
      <c r="I2" s="62"/>
      <c r="J2" s="63"/>
    </row>
    <row r="3" spans="1:10" s="5" customFormat="1" ht="14.25" hidden="1" customHeight="1" x14ac:dyDescent="0.2">
      <c r="A3" s="4"/>
      <c r="B3" s="6"/>
      <c r="C3" s="6"/>
      <c r="D3" s="6"/>
      <c r="E3" s="6"/>
      <c r="F3" s="6"/>
      <c r="G3" s="6"/>
      <c r="H3" s="6"/>
      <c r="I3" s="6"/>
    </row>
    <row r="4" spans="1:10" s="5" customFormat="1" ht="16.5" customHeight="1" x14ac:dyDescent="0.2">
      <c r="A4" s="56" t="s">
        <v>0</v>
      </c>
      <c r="B4" s="64" t="s">
        <v>62</v>
      </c>
      <c r="C4" s="65"/>
      <c r="D4" s="65"/>
      <c r="E4" s="65"/>
      <c r="F4" s="65"/>
      <c r="G4" s="65"/>
      <c r="H4" s="65"/>
      <c r="I4" s="66"/>
      <c r="J4" s="58" t="s">
        <v>63</v>
      </c>
    </row>
    <row r="5" spans="1:10" s="5" customFormat="1" ht="19.5" customHeight="1" x14ac:dyDescent="0.2">
      <c r="A5" s="57"/>
      <c r="B5" s="22">
        <v>2008</v>
      </c>
      <c r="C5" s="22">
        <v>2009</v>
      </c>
      <c r="D5" s="22">
        <v>2010</v>
      </c>
      <c r="E5" s="22">
        <v>2011</v>
      </c>
      <c r="F5" s="22">
        <v>2012</v>
      </c>
      <c r="G5" s="22">
        <v>2013</v>
      </c>
      <c r="H5" s="22">
        <v>2014</v>
      </c>
      <c r="I5" s="22">
        <v>2015</v>
      </c>
      <c r="J5" s="59"/>
    </row>
    <row r="6" spans="1:10" s="8" customFormat="1" ht="23.25" customHeight="1" x14ac:dyDescent="0.2">
      <c r="A6" s="7" t="s">
        <v>1</v>
      </c>
      <c r="B6" s="13">
        <f t="shared" ref="B6:G6" si="0">B7+B30+B36+B41+B43+B60</f>
        <v>1617442.1768099999</v>
      </c>
      <c r="C6" s="13">
        <f t="shared" si="0"/>
        <v>981317.9378099998</v>
      </c>
      <c r="D6" s="13">
        <f t="shared" si="0"/>
        <v>949797.71056999988</v>
      </c>
      <c r="E6" s="13">
        <f t="shared" si="0"/>
        <v>1770329.6312099998</v>
      </c>
      <c r="F6" s="13">
        <f t="shared" si="0"/>
        <v>2483060.1385299996</v>
      </c>
      <c r="G6" s="13">
        <f t="shared" si="0"/>
        <v>2558871.0108400006</v>
      </c>
      <c r="H6" s="13">
        <f>H7+H30+H36+H41+H43+H60</f>
        <v>2227692.94105</v>
      </c>
      <c r="I6" s="13">
        <f>I7+I30+I36+I41+I43+I60</f>
        <v>2215411.7713000001</v>
      </c>
      <c r="J6" s="19" t="s">
        <v>64</v>
      </c>
    </row>
    <row r="7" spans="1:10" s="9" customFormat="1" ht="21.75" x14ac:dyDescent="0.25">
      <c r="A7" s="16" t="s">
        <v>2</v>
      </c>
      <c r="B7" s="14">
        <f t="shared" ref="B7:G7" si="1">SUM(B8:B29)</f>
        <v>501890.46439999994</v>
      </c>
      <c r="C7" s="14">
        <f t="shared" si="1"/>
        <v>421839.11106999998</v>
      </c>
      <c r="D7" s="14">
        <f t="shared" si="1"/>
        <v>337218.64825000003</v>
      </c>
      <c r="E7" s="14">
        <f t="shared" si="1"/>
        <v>812744.67657999997</v>
      </c>
      <c r="F7" s="14">
        <f t="shared" si="1"/>
        <v>1127850.1691099997</v>
      </c>
      <c r="G7" s="14">
        <f t="shared" si="1"/>
        <v>970103.83279999997</v>
      </c>
      <c r="H7" s="14">
        <f>SUM(H8:H29)</f>
        <v>888622.26572000002</v>
      </c>
      <c r="I7" s="14">
        <f>SUM(I8:I29)</f>
        <v>914364.13443999994</v>
      </c>
      <c r="J7" s="21" t="s">
        <v>65</v>
      </c>
    </row>
    <row r="8" spans="1:10" s="9" customFormat="1" ht="21.75" x14ac:dyDescent="0.25">
      <c r="A8" s="17" t="s">
        <v>40</v>
      </c>
      <c r="B8" s="2">
        <v>25.216169999999998</v>
      </c>
      <c r="C8" s="12">
        <v>0</v>
      </c>
      <c r="D8" s="2">
        <v>168.27535999999998</v>
      </c>
      <c r="E8" s="2">
        <v>2.0787600000000004</v>
      </c>
      <c r="F8" s="2">
        <v>0</v>
      </c>
      <c r="G8" s="2">
        <v>1.5365</v>
      </c>
      <c r="H8" s="2">
        <v>0</v>
      </c>
      <c r="I8" s="2">
        <v>0</v>
      </c>
      <c r="J8" s="20" t="s">
        <v>67</v>
      </c>
    </row>
    <row r="9" spans="1:10" s="9" customFormat="1" ht="21.75" x14ac:dyDescent="0.25">
      <c r="A9" s="17" t="s">
        <v>41</v>
      </c>
      <c r="B9" s="2">
        <v>136.69557999999998</v>
      </c>
      <c r="C9" s="2">
        <v>19.426849999999998</v>
      </c>
      <c r="D9" s="2">
        <v>3309.72453</v>
      </c>
      <c r="E9" s="2">
        <v>2091.0630500000002</v>
      </c>
      <c r="F9" s="2">
        <v>897.10344999999995</v>
      </c>
      <c r="G9" s="2">
        <v>381.34836999999999</v>
      </c>
      <c r="H9" s="2">
        <v>456.82468999999998</v>
      </c>
      <c r="I9" s="2">
        <v>4898.3760700000003</v>
      </c>
      <c r="J9" s="20" t="s">
        <v>66</v>
      </c>
    </row>
    <row r="10" spans="1:10" s="9" customFormat="1" ht="21.75" x14ac:dyDescent="0.25">
      <c r="A10" s="17" t="s">
        <v>42</v>
      </c>
      <c r="B10" s="2">
        <v>12.715159999999999</v>
      </c>
      <c r="C10" s="2">
        <v>27.53716</v>
      </c>
      <c r="D10" s="2">
        <v>123.3653</v>
      </c>
      <c r="E10" s="2">
        <v>5.0307700000000004</v>
      </c>
      <c r="F10" s="2">
        <v>1018.2782900000001</v>
      </c>
      <c r="G10" s="2">
        <v>0</v>
      </c>
      <c r="H10" s="2">
        <v>5.4507200000000005</v>
      </c>
      <c r="I10" s="2">
        <v>2710.3369500000003</v>
      </c>
      <c r="J10" s="20" t="s">
        <v>68</v>
      </c>
    </row>
    <row r="11" spans="1:10" s="9" customFormat="1" ht="21.75" x14ac:dyDescent="0.25">
      <c r="A11" s="17" t="s">
        <v>33</v>
      </c>
      <c r="B11" s="2">
        <v>6491.0110599999998</v>
      </c>
      <c r="C11" s="2">
        <v>4735.0923499999999</v>
      </c>
      <c r="D11" s="2">
        <v>503.90512999999999</v>
      </c>
      <c r="E11" s="2">
        <v>9750.6953300000005</v>
      </c>
      <c r="F11" s="2">
        <v>10682.216560000001</v>
      </c>
      <c r="G11" s="2">
        <v>4380.2525700000006</v>
      </c>
      <c r="H11" s="2">
        <v>437.6617</v>
      </c>
      <c r="I11" s="2">
        <v>804.31664000000001</v>
      </c>
      <c r="J11" s="20" t="s">
        <v>69</v>
      </c>
    </row>
    <row r="12" spans="1:10" s="9" customFormat="1" ht="21.75" x14ac:dyDescent="0.25">
      <c r="A12" s="17" t="s">
        <v>126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2">
        <v>14.64568</v>
      </c>
      <c r="I12" s="2">
        <v>1259.0487000000001</v>
      </c>
      <c r="J12" s="20" t="s">
        <v>132</v>
      </c>
    </row>
    <row r="13" spans="1:10" s="9" customFormat="1" ht="21.75" x14ac:dyDescent="0.25">
      <c r="A13" s="17" t="s">
        <v>4</v>
      </c>
      <c r="B13" s="2">
        <v>141451.09388999999</v>
      </c>
      <c r="C13" s="2">
        <v>110347.48964</v>
      </c>
      <c r="D13" s="2">
        <v>103389.08512</v>
      </c>
      <c r="E13" s="2">
        <v>295587.50266999996</v>
      </c>
      <c r="F13" s="2">
        <v>410733.49375999998</v>
      </c>
      <c r="G13" s="2">
        <v>345366.26675999997</v>
      </c>
      <c r="H13" s="2">
        <v>322181.28967000003</v>
      </c>
      <c r="I13" s="2">
        <v>232558.78039</v>
      </c>
      <c r="J13" s="20" t="s">
        <v>70</v>
      </c>
    </row>
    <row r="14" spans="1:10" s="9" customFormat="1" ht="21.75" x14ac:dyDescent="0.25">
      <c r="A14" s="17" t="s">
        <v>5</v>
      </c>
      <c r="B14" s="2">
        <v>43164.361729999997</v>
      </c>
      <c r="C14" s="2">
        <v>33888.798379999993</v>
      </c>
      <c r="D14" s="2">
        <v>26841.330399999999</v>
      </c>
      <c r="E14" s="2">
        <v>45612.352340000005</v>
      </c>
      <c r="F14" s="2">
        <v>84795.587150000007</v>
      </c>
      <c r="G14" s="2">
        <v>153742.89004</v>
      </c>
      <c r="H14" s="2">
        <v>148550.84917</v>
      </c>
      <c r="I14" s="2">
        <v>154077.37527000002</v>
      </c>
      <c r="J14" s="20" t="s">
        <v>71</v>
      </c>
    </row>
    <row r="15" spans="1:10" s="9" customFormat="1" ht="21.75" x14ac:dyDescent="0.25">
      <c r="A15" s="17" t="s">
        <v>43</v>
      </c>
      <c r="B15" s="2">
        <v>0</v>
      </c>
      <c r="C15" s="2">
        <v>66.849159999999998</v>
      </c>
      <c r="D15" s="2">
        <v>532.93329000000006</v>
      </c>
      <c r="E15" s="2">
        <v>30.626729999999998</v>
      </c>
      <c r="F15" s="2">
        <v>0</v>
      </c>
      <c r="G15" s="2">
        <v>0</v>
      </c>
      <c r="H15" s="2">
        <v>0</v>
      </c>
      <c r="I15" s="2">
        <v>0</v>
      </c>
      <c r="J15" s="20" t="s">
        <v>72</v>
      </c>
    </row>
    <row r="16" spans="1:10" s="9" customFormat="1" ht="21.75" x14ac:dyDescent="0.25">
      <c r="A16" s="17" t="s">
        <v>6</v>
      </c>
      <c r="B16" s="2">
        <v>134426.35631</v>
      </c>
      <c r="C16" s="2">
        <v>125663.85926000001</v>
      </c>
      <c r="D16" s="2">
        <v>88064.559600000008</v>
      </c>
      <c r="E16" s="2">
        <v>177242.35548000003</v>
      </c>
      <c r="F16" s="2">
        <v>190472.78999000002</v>
      </c>
      <c r="G16" s="2">
        <v>126668.46704</v>
      </c>
      <c r="H16" s="2">
        <v>78885.759760000001</v>
      </c>
      <c r="I16" s="2">
        <v>124085.05331999999</v>
      </c>
      <c r="J16" s="20" t="s">
        <v>73</v>
      </c>
    </row>
    <row r="17" spans="1:10" s="9" customFormat="1" ht="21.75" x14ac:dyDescent="0.25">
      <c r="A17" s="17" t="s">
        <v>44</v>
      </c>
      <c r="B17" s="2">
        <v>264.78555</v>
      </c>
      <c r="C17" s="2">
        <v>0</v>
      </c>
      <c r="D17" s="2">
        <v>61.879559999999998</v>
      </c>
      <c r="E17" s="2">
        <v>58254.643109999997</v>
      </c>
      <c r="F17" s="2">
        <v>108111.60755</v>
      </c>
      <c r="G17" s="2">
        <v>93104.506720000005</v>
      </c>
      <c r="H17" s="2">
        <v>129968.00895999999</v>
      </c>
      <c r="I17" s="2">
        <v>93758.629260000002</v>
      </c>
      <c r="J17" s="20" t="s">
        <v>74</v>
      </c>
    </row>
    <row r="18" spans="1:10" s="9" customFormat="1" ht="21.75" x14ac:dyDescent="0.25">
      <c r="A18" s="17" t="s">
        <v>58</v>
      </c>
      <c r="B18" s="2">
        <v>146.66575</v>
      </c>
      <c r="C18" s="1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0" t="s">
        <v>75</v>
      </c>
    </row>
    <row r="19" spans="1:10" ht="21.75" x14ac:dyDescent="0.2">
      <c r="A19" s="17" t="s">
        <v>45</v>
      </c>
      <c r="B19" s="2">
        <v>66.433970000000002</v>
      </c>
      <c r="C19" s="2">
        <v>491.61836999999997</v>
      </c>
      <c r="D19" s="2">
        <v>202.06776000000002</v>
      </c>
      <c r="E19" s="2">
        <v>81.740499999999997</v>
      </c>
      <c r="F19" s="2">
        <v>0</v>
      </c>
      <c r="G19" s="2">
        <v>0</v>
      </c>
      <c r="H19" s="2">
        <v>74.216660000000005</v>
      </c>
      <c r="I19" s="2">
        <v>0</v>
      </c>
      <c r="J19" s="20" t="s">
        <v>76</v>
      </c>
    </row>
    <row r="20" spans="1:10" ht="21.75" x14ac:dyDescent="0.2">
      <c r="A20" s="17" t="s">
        <v>26</v>
      </c>
      <c r="B20" s="2">
        <v>26543.30904</v>
      </c>
      <c r="C20" s="2">
        <v>22690.00978</v>
      </c>
      <c r="D20" s="2">
        <v>4283.7419600000003</v>
      </c>
      <c r="E20" s="2">
        <v>48266.869429999999</v>
      </c>
      <c r="F20" s="2">
        <v>60907.614139999998</v>
      </c>
      <c r="G20" s="2">
        <v>40617.725859999999</v>
      </c>
      <c r="H20" s="2">
        <v>15023.796869999998</v>
      </c>
      <c r="I20" s="2">
        <v>79772.600709999999</v>
      </c>
      <c r="J20" s="20" t="s">
        <v>79</v>
      </c>
    </row>
    <row r="21" spans="1:10" ht="21.75" x14ac:dyDescent="0.2">
      <c r="A21" s="17" t="s">
        <v>59</v>
      </c>
      <c r="B21" s="12">
        <v>0</v>
      </c>
      <c r="C21" s="12">
        <v>0</v>
      </c>
      <c r="D21" s="2">
        <v>0</v>
      </c>
      <c r="E21" s="2">
        <v>0</v>
      </c>
      <c r="F21" s="2">
        <v>187.77665999999999</v>
      </c>
      <c r="G21" s="2">
        <v>0</v>
      </c>
      <c r="H21" s="2">
        <v>96.535499999999999</v>
      </c>
      <c r="I21" s="2">
        <v>444.59595000000002</v>
      </c>
      <c r="J21" s="20" t="s">
        <v>77</v>
      </c>
    </row>
    <row r="22" spans="1:10" ht="21.75" x14ac:dyDescent="0.2">
      <c r="A22" s="17" t="s">
        <v>46</v>
      </c>
      <c r="B22" s="2">
        <v>0</v>
      </c>
      <c r="C22" s="2">
        <v>0</v>
      </c>
      <c r="D22" s="2">
        <v>26.55452</v>
      </c>
      <c r="E22" s="2">
        <v>8.7187199999999994</v>
      </c>
      <c r="F22" s="2">
        <v>0</v>
      </c>
      <c r="G22" s="2">
        <v>11.861040000000001</v>
      </c>
      <c r="H22" s="2">
        <v>61.248489999999997</v>
      </c>
      <c r="I22" s="2">
        <v>953.09923000000003</v>
      </c>
      <c r="J22" s="20" t="s">
        <v>78</v>
      </c>
    </row>
    <row r="23" spans="1:10" ht="21.75" x14ac:dyDescent="0.2">
      <c r="A23" s="17" t="s">
        <v>47</v>
      </c>
      <c r="B23" s="2">
        <v>0.90295999999999998</v>
      </c>
      <c r="C23" s="12">
        <v>0</v>
      </c>
      <c r="D23" s="2">
        <v>0</v>
      </c>
      <c r="E23" s="2">
        <v>0</v>
      </c>
      <c r="F23" s="2">
        <v>0</v>
      </c>
      <c r="G23" s="2">
        <v>0</v>
      </c>
      <c r="H23" s="2">
        <v>47.692699999999995</v>
      </c>
      <c r="I23" s="2">
        <v>399.56471000000005</v>
      </c>
      <c r="J23" s="20" t="s">
        <v>80</v>
      </c>
    </row>
    <row r="24" spans="1:10" ht="21.75" x14ac:dyDescent="0.2">
      <c r="A24" s="17" t="s">
        <v>48</v>
      </c>
      <c r="B24" s="2">
        <v>0</v>
      </c>
      <c r="C24" s="2">
        <v>0</v>
      </c>
      <c r="D24" s="2">
        <v>12.156090000000001</v>
      </c>
      <c r="E24" s="2">
        <v>0</v>
      </c>
      <c r="F24" s="2">
        <v>19.219099999999997</v>
      </c>
      <c r="G24" s="2">
        <v>1774.57619</v>
      </c>
      <c r="H24" s="2">
        <v>8493.3487799999984</v>
      </c>
      <c r="I24" s="2">
        <v>147.18095000000002</v>
      </c>
      <c r="J24" s="20" t="s">
        <v>81</v>
      </c>
    </row>
    <row r="25" spans="1:10" ht="21.75" x14ac:dyDescent="0.2">
      <c r="A25" s="17" t="s">
        <v>32</v>
      </c>
      <c r="B25" s="2">
        <v>25133.824350000003</v>
      </c>
      <c r="C25" s="2">
        <v>20697.92165</v>
      </c>
      <c r="D25" s="2">
        <v>7511.9376700000003</v>
      </c>
      <c r="E25" s="2">
        <v>42375.93649</v>
      </c>
      <c r="F25" s="2">
        <v>57565.46413</v>
      </c>
      <c r="G25" s="2">
        <v>32338.50923</v>
      </c>
      <c r="H25" s="2">
        <v>24090.784899999999</v>
      </c>
      <c r="I25" s="2">
        <v>23866.289929999999</v>
      </c>
      <c r="J25" s="20" t="s">
        <v>82</v>
      </c>
    </row>
    <row r="26" spans="1:10" ht="21.75" x14ac:dyDescent="0.2">
      <c r="A26" s="17" t="s">
        <v>7</v>
      </c>
      <c r="B26" s="2">
        <v>577.16165999999998</v>
      </c>
      <c r="C26" s="2">
        <v>138.57592000000002</v>
      </c>
      <c r="D26" s="2">
        <v>1552.6096699999998</v>
      </c>
      <c r="E26" s="2">
        <v>294.81790000000001</v>
      </c>
      <c r="F26" s="2">
        <v>99.324010000000001</v>
      </c>
      <c r="G26" s="2">
        <v>16.793560000000003</v>
      </c>
      <c r="H26" s="2">
        <v>277.61890999999997</v>
      </c>
      <c r="I26" s="2">
        <v>113.60444</v>
      </c>
      <c r="J26" s="20" t="s">
        <v>83</v>
      </c>
    </row>
    <row r="27" spans="1:10" ht="21.75" x14ac:dyDescent="0.2">
      <c r="A27" s="17" t="s">
        <v>8</v>
      </c>
      <c r="B27" s="2">
        <v>4.6725099999999999</v>
      </c>
      <c r="C27" s="2">
        <v>4981.1777699999993</v>
      </c>
      <c r="D27" s="2">
        <v>10045.143400000001</v>
      </c>
      <c r="E27" s="2">
        <v>7393.3400700000002</v>
      </c>
      <c r="F27" s="2">
        <v>18115.232309999999</v>
      </c>
      <c r="G27" s="2">
        <v>31999.26886</v>
      </c>
      <c r="H27" s="2">
        <v>55821.694159999999</v>
      </c>
      <c r="I27" s="2">
        <v>67137.805069999988</v>
      </c>
      <c r="J27" s="20" t="s">
        <v>84</v>
      </c>
    </row>
    <row r="28" spans="1:10" ht="21.75" x14ac:dyDescent="0.2">
      <c r="A28" s="17" t="s">
        <v>117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118.84996000000001</v>
      </c>
      <c r="H28" s="2">
        <v>30.643900000000002</v>
      </c>
      <c r="I28" s="2">
        <v>0</v>
      </c>
      <c r="J28" s="20" t="s">
        <v>125</v>
      </c>
    </row>
    <row r="29" spans="1:10" ht="21.75" x14ac:dyDescent="0.2">
      <c r="A29" s="41" t="s">
        <v>3</v>
      </c>
      <c r="B29" s="42">
        <v>123445.25870999999</v>
      </c>
      <c r="C29" s="42">
        <v>98090.754780000003</v>
      </c>
      <c r="D29" s="42">
        <v>90589.378890000007</v>
      </c>
      <c r="E29" s="42">
        <v>125746.90523</v>
      </c>
      <c r="F29" s="42">
        <v>184244.46200999999</v>
      </c>
      <c r="G29" s="42">
        <v>139580.98009999999</v>
      </c>
      <c r="H29" s="42">
        <v>104104.1945</v>
      </c>
      <c r="I29" s="42">
        <v>127377.47684999999</v>
      </c>
      <c r="J29" s="43" t="s">
        <v>85</v>
      </c>
    </row>
    <row r="30" spans="1:10" ht="21.75" x14ac:dyDescent="0.2">
      <c r="A30" s="38" t="s">
        <v>17</v>
      </c>
      <c r="B30" s="39">
        <f t="shared" ref="B30:G30" si="2">SUM(B31:B35)</f>
        <v>1474.7194300000001</v>
      </c>
      <c r="C30" s="39">
        <f t="shared" si="2"/>
        <v>24448.0602</v>
      </c>
      <c r="D30" s="39">
        <f t="shared" si="2"/>
        <v>5135.28287</v>
      </c>
      <c r="E30" s="39">
        <f t="shared" si="2"/>
        <v>2067.8895699999998</v>
      </c>
      <c r="F30" s="39">
        <f t="shared" si="2"/>
        <v>1.84344</v>
      </c>
      <c r="G30" s="39">
        <f t="shared" si="2"/>
        <v>351.10524000000004</v>
      </c>
      <c r="H30" s="39">
        <f t="shared" ref="H30:I30" si="3">SUM(H31:H35)</f>
        <v>129.80619999999999</v>
      </c>
      <c r="I30" s="39">
        <f t="shared" si="3"/>
        <v>2396.2584499999998</v>
      </c>
      <c r="J30" s="40" t="s">
        <v>86</v>
      </c>
    </row>
    <row r="31" spans="1:10" ht="21.75" x14ac:dyDescent="0.2">
      <c r="A31" s="18" t="s">
        <v>28</v>
      </c>
      <c r="B31" s="2">
        <v>0</v>
      </c>
      <c r="C31" s="2">
        <v>21910.853510000001</v>
      </c>
      <c r="D31" s="2">
        <v>0</v>
      </c>
      <c r="E31" s="2">
        <v>4.1506699999999999</v>
      </c>
      <c r="F31" s="2">
        <v>1.84344</v>
      </c>
      <c r="G31" s="2">
        <v>0</v>
      </c>
      <c r="H31" s="2">
        <v>0</v>
      </c>
      <c r="I31" s="2">
        <v>3.8968099999999999</v>
      </c>
      <c r="J31" s="20" t="s">
        <v>87</v>
      </c>
    </row>
    <row r="32" spans="1:10" ht="21.75" x14ac:dyDescent="0.2">
      <c r="A32" s="17" t="s">
        <v>18</v>
      </c>
      <c r="B32" s="15">
        <v>425.90242999999998</v>
      </c>
      <c r="C32" s="12">
        <v>0</v>
      </c>
      <c r="D32" s="2">
        <v>4.1447500000000002</v>
      </c>
      <c r="E32" s="2">
        <v>0</v>
      </c>
      <c r="F32" s="2">
        <v>0</v>
      </c>
      <c r="G32" s="2">
        <v>350.95159000000001</v>
      </c>
      <c r="H32" s="2">
        <v>129.80619999999999</v>
      </c>
      <c r="I32" s="2">
        <v>274.36448999999999</v>
      </c>
      <c r="J32" s="20" t="s">
        <v>88</v>
      </c>
    </row>
    <row r="33" spans="1:10" ht="21.75" x14ac:dyDescent="0.2">
      <c r="A33" s="17" t="s">
        <v>49</v>
      </c>
      <c r="B33" s="2">
        <v>0</v>
      </c>
      <c r="C33" s="2">
        <v>0</v>
      </c>
      <c r="D33" s="2">
        <v>243.88657000000001</v>
      </c>
      <c r="E33" s="2">
        <v>0</v>
      </c>
      <c r="F33" s="2">
        <v>0</v>
      </c>
      <c r="G33" s="2">
        <v>0</v>
      </c>
      <c r="H33" s="2">
        <v>0</v>
      </c>
      <c r="I33" s="26">
        <v>2117.9971499999997</v>
      </c>
      <c r="J33" s="20" t="s">
        <v>89</v>
      </c>
    </row>
    <row r="34" spans="1:10" ht="21.75" x14ac:dyDescent="0.2">
      <c r="A34" s="17" t="s">
        <v>118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0.15365000000000001</v>
      </c>
      <c r="H34" s="52">
        <v>0</v>
      </c>
      <c r="I34" s="34">
        <v>0</v>
      </c>
      <c r="J34" s="53" t="s">
        <v>124</v>
      </c>
    </row>
    <row r="35" spans="1:10" ht="21.75" x14ac:dyDescent="0.2">
      <c r="A35" s="41" t="s">
        <v>50</v>
      </c>
      <c r="B35" s="45">
        <v>1048.817</v>
      </c>
      <c r="C35" s="45">
        <v>2537.20669</v>
      </c>
      <c r="D35" s="42">
        <v>4887.25155</v>
      </c>
      <c r="E35" s="42">
        <v>2063.7388999999998</v>
      </c>
      <c r="F35" s="42">
        <v>0</v>
      </c>
      <c r="G35" s="42">
        <v>0</v>
      </c>
      <c r="H35" s="42">
        <v>0</v>
      </c>
      <c r="I35" s="48">
        <v>0</v>
      </c>
      <c r="J35" s="43" t="s">
        <v>90</v>
      </c>
    </row>
    <row r="36" spans="1:10" ht="21.75" x14ac:dyDescent="0.2">
      <c r="A36" s="38" t="s">
        <v>19</v>
      </c>
      <c r="B36" s="39">
        <f>SUM(B38:B40)</f>
        <v>19422.227800000001</v>
      </c>
      <c r="C36" s="39">
        <f>SUM(C38:C40)</f>
        <v>7644.4892799999998</v>
      </c>
      <c r="D36" s="39">
        <f>SUM(D38:D40)</f>
        <v>6445.1383699999997</v>
      </c>
      <c r="E36" s="39">
        <f>SUM(E38:E40)</f>
        <v>17034.936679999999</v>
      </c>
      <c r="F36" s="39">
        <f>SUM(F38:F40)</f>
        <v>93126.190189999994</v>
      </c>
      <c r="G36" s="39">
        <f>SUM(G37:G40)</f>
        <v>123909.38989999999</v>
      </c>
      <c r="H36" s="39">
        <f>SUM(H37:H40)</f>
        <v>208448.00935000001</v>
      </c>
      <c r="I36" s="39">
        <f>SUM(I37:I40)</f>
        <v>233868.07108000002</v>
      </c>
      <c r="J36" s="44" t="s">
        <v>91</v>
      </c>
    </row>
    <row r="37" spans="1:10" ht="21.75" x14ac:dyDescent="0.2">
      <c r="A37" s="23" t="s">
        <v>29</v>
      </c>
      <c r="B37" s="24">
        <v>0</v>
      </c>
      <c r="C37" s="24">
        <v>0</v>
      </c>
      <c r="D37" s="24">
        <v>0</v>
      </c>
      <c r="E37" s="24">
        <v>0</v>
      </c>
      <c r="F37" s="24">
        <v>0</v>
      </c>
      <c r="G37" s="24">
        <v>14.010450000000001</v>
      </c>
      <c r="H37" s="24">
        <v>0</v>
      </c>
      <c r="I37" s="24">
        <v>0</v>
      </c>
      <c r="J37" s="20" t="s">
        <v>123</v>
      </c>
    </row>
    <row r="38" spans="1:10" ht="21.75" x14ac:dyDescent="0.2">
      <c r="A38" s="17" t="s">
        <v>20</v>
      </c>
      <c r="B38" s="2">
        <v>72.49969999999999</v>
      </c>
      <c r="C38" s="2">
        <v>41.189509999999999</v>
      </c>
      <c r="D38" s="2">
        <v>36.715519999999998</v>
      </c>
      <c r="E38" s="2">
        <v>538.09126000000003</v>
      </c>
      <c r="F38" s="2">
        <v>4530.6412499999997</v>
      </c>
      <c r="G38" s="2">
        <v>2913.29124</v>
      </c>
      <c r="H38" s="2">
        <v>7091.32474</v>
      </c>
      <c r="I38" s="2">
        <v>8323.4267799999998</v>
      </c>
      <c r="J38" s="20" t="s">
        <v>92</v>
      </c>
    </row>
    <row r="39" spans="1:10" ht="21.75" x14ac:dyDescent="0.2">
      <c r="A39" s="25" t="s">
        <v>51</v>
      </c>
      <c r="B39" s="26">
        <v>0</v>
      </c>
      <c r="C39" s="46">
        <v>0</v>
      </c>
      <c r="D39" s="26">
        <v>0</v>
      </c>
      <c r="E39" s="26">
        <v>25.61138</v>
      </c>
      <c r="F39" s="26">
        <v>12721.842189999999</v>
      </c>
      <c r="G39" s="26">
        <v>9599.6250899999995</v>
      </c>
      <c r="H39" s="26">
        <v>79.395270000000011</v>
      </c>
      <c r="I39" s="26">
        <v>0</v>
      </c>
      <c r="J39" s="27" t="s">
        <v>93</v>
      </c>
    </row>
    <row r="40" spans="1:10" ht="21.75" x14ac:dyDescent="0.2">
      <c r="A40" s="47" t="s">
        <v>34</v>
      </c>
      <c r="B40" s="48">
        <v>19349.7281</v>
      </c>
      <c r="C40" s="48">
        <v>7603.2997699999996</v>
      </c>
      <c r="D40" s="48">
        <v>6408.4228499999999</v>
      </c>
      <c r="E40" s="48">
        <v>16471.234039999999</v>
      </c>
      <c r="F40" s="48">
        <v>75873.706749999998</v>
      </c>
      <c r="G40" s="48">
        <v>111382.46312</v>
      </c>
      <c r="H40" s="48">
        <v>201277.28934000002</v>
      </c>
      <c r="I40" s="48">
        <v>225544.64430000001</v>
      </c>
      <c r="J40" s="49" t="s">
        <v>94</v>
      </c>
    </row>
    <row r="41" spans="1:10" ht="21.75" x14ac:dyDescent="0.2">
      <c r="A41" s="38" t="s">
        <v>23</v>
      </c>
      <c r="B41" s="1">
        <f>SUM(B42:B42)</f>
        <v>0</v>
      </c>
      <c r="C41" s="1">
        <f>SUM(C42:C42)</f>
        <v>0</v>
      </c>
      <c r="D41" s="1">
        <f>SUM(D42:D42)</f>
        <v>7.7090000000000006E-2</v>
      </c>
      <c r="E41" s="1">
        <f>SUM(E42:E42)</f>
        <v>1443.5039400000001</v>
      </c>
      <c r="F41" s="1">
        <f>SUM(F42:F42)</f>
        <v>13354.008320000001</v>
      </c>
      <c r="G41" s="1">
        <f>G42</f>
        <v>9366.7566999999999</v>
      </c>
      <c r="H41" s="1">
        <f>H42</f>
        <v>6235.70118</v>
      </c>
      <c r="I41" s="1">
        <f>I42</f>
        <v>3136.9294399999999</v>
      </c>
      <c r="J41" s="40" t="s">
        <v>95</v>
      </c>
    </row>
    <row r="42" spans="1:10" ht="21.75" x14ac:dyDescent="0.2">
      <c r="A42" s="41" t="s">
        <v>24</v>
      </c>
      <c r="B42" s="42">
        <v>0</v>
      </c>
      <c r="C42" s="42">
        <v>0</v>
      </c>
      <c r="D42" s="42">
        <v>7.7090000000000006E-2</v>
      </c>
      <c r="E42" s="42">
        <v>1443.5039400000001</v>
      </c>
      <c r="F42" s="42">
        <v>13354.008320000001</v>
      </c>
      <c r="G42" s="42">
        <v>9366.7566999999999</v>
      </c>
      <c r="H42" s="42">
        <v>6235.70118</v>
      </c>
      <c r="I42" s="42">
        <v>3136.9294399999999</v>
      </c>
      <c r="J42" s="43" t="s">
        <v>96</v>
      </c>
    </row>
    <row r="43" spans="1:10" ht="21.75" x14ac:dyDescent="0.2">
      <c r="A43" s="38" t="s">
        <v>9</v>
      </c>
      <c r="B43" s="1">
        <f t="shared" ref="B43:G43" si="4">SUM(B45:B59)</f>
        <v>1047633.3769699999</v>
      </c>
      <c r="C43" s="1">
        <f t="shared" si="4"/>
        <v>469915.08199999994</v>
      </c>
      <c r="D43" s="1">
        <f t="shared" si="4"/>
        <v>571604.85386999999</v>
      </c>
      <c r="E43" s="1">
        <f t="shared" si="4"/>
        <v>894713.68382999999</v>
      </c>
      <c r="F43" s="1">
        <f t="shared" si="4"/>
        <v>1163184.78082</v>
      </c>
      <c r="G43" s="1">
        <f t="shared" si="4"/>
        <v>1276541.0895800001</v>
      </c>
      <c r="H43" s="1">
        <f t="shared" ref="H43" si="5">SUM(H45:H59)</f>
        <v>1098464.48795</v>
      </c>
      <c r="I43" s="1">
        <f>SUM(I44:I59)</f>
        <v>1047063.6766700001</v>
      </c>
      <c r="J43" s="44" t="s">
        <v>97</v>
      </c>
    </row>
    <row r="44" spans="1:10" ht="21.75" x14ac:dyDescent="0.2">
      <c r="A44" s="17" t="s">
        <v>136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1782.2464</v>
      </c>
      <c r="J44" s="20" t="s">
        <v>139</v>
      </c>
    </row>
    <row r="45" spans="1:10" ht="21.75" x14ac:dyDescent="0.2">
      <c r="A45" s="17" t="s">
        <v>15</v>
      </c>
      <c r="B45" s="2">
        <v>3.3153000000000001</v>
      </c>
      <c r="C45" s="12">
        <v>0</v>
      </c>
      <c r="D45" s="2">
        <v>3824.63402</v>
      </c>
      <c r="E45" s="2">
        <v>410.99133</v>
      </c>
      <c r="F45" s="2">
        <v>59636.553829999997</v>
      </c>
      <c r="G45" s="2">
        <v>2036.7355400000001</v>
      </c>
      <c r="H45" s="2">
        <v>1209.7565400000001</v>
      </c>
      <c r="I45" s="2">
        <v>535.03593999999998</v>
      </c>
      <c r="J45" s="20" t="s">
        <v>98</v>
      </c>
    </row>
    <row r="46" spans="1:10" ht="21.75" x14ac:dyDescent="0.2">
      <c r="A46" s="17" t="s">
        <v>127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2">
        <v>54.125610000000002</v>
      </c>
      <c r="I46" s="2">
        <v>0</v>
      </c>
      <c r="J46" s="20" t="s">
        <v>130</v>
      </c>
    </row>
    <row r="47" spans="1:10" ht="21.75" x14ac:dyDescent="0.2">
      <c r="A47" s="17" t="s">
        <v>35</v>
      </c>
      <c r="B47" s="2">
        <v>13705.628480000001</v>
      </c>
      <c r="C47" s="2">
        <v>10723.59333</v>
      </c>
      <c r="D47" s="2">
        <v>13073.370070000001</v>
      </c>
      <c r="E47" s="2">
        <v>19114.618079999997</v>
      </c>
      <c r="F47" s="2">
        <v>38394.42138</v>
      </c>
      <c r="G47" s="2">
        <v>26068.722659999999</v>
      </c>
      <c r="H47" s="2">
        <v>34156.213100000001</v>
      </c>
      <c r="I47" s="2">
        <v>34490.467920000003</v>
      </c>
      <c r="J47" s="20" t="s">
        <v>99</v>
      </c>
    </row>
    <row r="48" spans="1:10" ht="21.75" x14ac:dyDescent="0.2">
      <c r="A48" s="17" t="s">
        <v>11</v>
      </c>
      <c r="B48" s="2">
        <v>25025.00534</v>
      </c>
      <c r="C48" s="2">
        <v>22142.620760000002</v>
      </c>
      <c r="D48" s="2">
        <v>32113.870320000002</v>
      </c>
      <c r="E48" s="2">
        <v>35851.549359999997</v>
      </c>
      <c r="F48" s="2">
        <v>43726.893990000004</v>
      </c>
      <c r="G48" s="2">
        <v>38741.918939999996</v>
      </c>
      <c r="H48" s="2">
        <v>44624.855320000002</v>
      </c>
      <c r="I48" s="2">
        <v>46284.728729999995</v>
      </c>
      <c r="J48" s="20" t="s">
        <v>100</v>
      </c>
    </row>
    <row r="49" spans="1:10" ht="21.75" x14ac:dyDescent="0.2">
      <c r="A49" s="17" t="s">
        <v>16</v>
      </c>
      <c r="B49" s="2">
        <v>46273.105510000001</v>
      </c>
      <c r="C49" s="2">
        <v>38991.252990000001</v>
      </c>
      <c r="D49" s="2">
        <v>16480.233820000001</v>
      </c>
      <c r="E49" s="2">
        <v>54258.660210000002</v>
      </c>
      <c r="F49" s="2">
        <v>51316.106850000004</v>
      </c>
      <c r="G49" s="2">
        <v>78734.15376999999</v>
      </c>
      <c r="H49" s="2">
        <v>118060.99639</v>
      </c>
      <c r="I49" s="2">
        <v>72469.581260000006</v>
      </c>
      <c r="J49" s="20" t="s">
        <v>101</v>
      </c>
    </row>
    <row r="50" spans="1:10" ht="21.75" x14ac:dyDescent="0.2">
      <c r="A50" s="17" t="s">
        <v>12</v>
      </c>
      <c r="B50" s="2">
        <v>802.66007999999999</v>
      </c>
      <c r="C50" s="2">
        <v>869.85021999999992</v>
      </c>
      <c r="D50" s="2">
        <v>4318.3847000000005</v>
      </c>
      <c r="E50" s="2">
        <v>16934.5046</v>
      </c>
      <c r="F50" s="2">
        <v>3567.9288500000002</v>
      </c>
      <c r="G50" s="2">
        <v>2006.98757</v>
      </c>
      <c r="H50" s="2">
        <v>2205.5906299999997</v>
      </c>
      <c r="I50" s="2">
        <v>218.18268</v>
      </c>
      <c r="J50" s="20" t="s">
        <v>102</v>
      </c>
    </row>
    <row r="51" spans="1:10" ht="21.75" x14ac:dyDescent="0.2">
      <c r="A51" s="17" t="s">
        <v>52</v>
      </c>
      <c r="B51" s="2">
        <v>0</v>
      </c>
      <c r="C51" s="2">
        <v>0</v>
      </c>
      <c r="D51" s="2">
        <v>0</v>
      </c>
      <c r="E51" s="2">
        <v>5.7246000000000006</v>
      </c>
      <c r="F51" s="2">
        <v>0</v>
      </c>
      <c r="G51" s="2">
        <v>0</v>
      </c>
      <c r="H51" s="2">
        <v>0</v>
      </c>
      <c r="I51" s="2">
        <v>0</v>
      </c>
      <c r="J51" s="20" t="s">
        <v>103</v>
      </c>
    </row>
    <row r="52" spans="1:10" ht="21.75" x14ac:dyDescent="0.2">
      <c r="A52" s="17" t="s">
        <v>60</v>
      </c>
      <c r="B52" s="2">
        <v>0</v>
      </c>
      <c r="C52" s="2">
        <v>0</v>
      </c>
      <c r="D52" s="2">
        <v>0</v>
      </c>
      <c r="E52" s="2">
        <v>0</v>
      </c>
      <c r="F52" s="2">
        <v>645.42826000000002</v>
      </c>
      <c r="G52" s="2">
        <v>310.49171999999999</v>
      </c>
      <c r="H52" s="2">
        <v>334.11329000000001</v>
      </c>
      <c r="I52" s="2">
        <v>450.27459000000005</v>
      </c>
      <c r="J52" s="20" t="s">
        <v>104</v>
      </c>
    </row>
    <row r="53" spans="1:10" ht="21.75" x14ac:dyDescent="0.2">
      <c r="A53" s="17" t="s">
        <v>10</v>
      </c>
      <c r="B53" s="2">
        <v>3083.3998099999999</v>
      </c>
      <c r="C53" s="2">
        <v>848.72860000000003</v>
      </c>
      <c r="D53" s="2">
        <v>1812.6787099999999</v>
      </c>
      <c r="E53" s="2">
        <v>1294.1433300000001</v>
      </c>
      <c r="F53" s="2">
        <v>2881.83808</v>
      </c>
      <c r="G53" s="2">
        <v>1872.9723700000002</v>
      </c>
      <c r="H53" s="2">
        <v>753.22016000000008</v>
      </c>
      <c r="I53" s="2">
        <v>18802.91977</v>
      </c>
      <c r="J53" s="20" t="s">
        <v>105</v>
      </c>
    </row>
    <row r="54" spans="1:10" ht="21.75" x14ac:dyDescent="0.2">
      <c r="A54" s="17" t="s">
        <v>53</v>
      </c>
      <c r="B54" s="2">
        <v>1210.9696000000001</v>
      </c>
      <c r="C54" s="12">
        <v>0</v>
      </c>
      <c r="D54" s="2">
        <v>0.18040999999999999</v>
      </c>
      <c r="E54" s="2">
        <v>763.02257999999995</v>
      </c>
      <c r="F54" s="2">
        <v>63778.715409999997</v>
      </c>
      <c r="G54" s="2">
        <v>2033.22354</v>
      </c>
      <c r="H54" s="2">
        <v>10511.84223</v>
      </c>
      <c r="I54" s="2">
        <v>10225.818600000001</v>
      </c>
      <c r="J54" s="20" t="s">
        <v>106</v>
      </c>
    </row>
    <row r="55" spans="1:10" ht="21.75" x14ac:dyDescent="0.2">
      <c r="A55" s="17" t="s">
        <v>13</v>
      </c>
      <c r="B55" s="2">
        <v>153947.83643999998</v>
      </c>
      <c r="C55" s="2">
        <v>167768.14257</v>
      </c>
      <c r="D55" s="2">
        <v>185936.75373</v>
      </c>
      <c r="E55" s="2">
        <v>191377.87302</v>
      </c>
      <c r="F55" s="2">
        <v>179041.12006000002</v>
      </c>
      <c r="G55" s="2">
        <v>145757.13890000002</v>
      </c>
      <c r="H55" s="2">
        <v>134475.08106</v>
      </c>
      <c r="I55" s="2">
        <v>265745.48710999999</v>
      </c>
      <c r="J55" s="20" t="s">
        <v>107</v>
      </c>
    </row>
    <row r="56" spans="1:10" ht="21.75" x14ac:dyDescent="0.2">
      <c r="A56" s="17" t="s">
        <v>36</v>
      </c>
      <c r="B56" s="2">
        <v>5997.3564299999998</v>
      </c>
      <c r="C56" s="2">
        <v>25005.762059999997</v>
      </c>
      <c r="D56" s="2">
        <v>30391.28745</v>
      </c>
      <c r="E56" s="2">
        <v>99143.179940000002</v>
      </c>
      <c r="F56" s="2">
        <v>39560.130829999995</v>
      </c>
      <c r="G56" s="2">
        <v>30701.155260000003</v>
      </c>
      <c r="H56" s="2">
        <v>33576.012299999995</v>
      </c>
      <c r="I56" s="2">
        <v>30089.316559999999</v>
      </c>
      <c r="J56" s="20" t="s">
        <v>37</v>
      </c>
    </row>
    <row r="57" spans="1:10" ht="21.75" x14ac:dyDescent="0.2">
      <c r="A57" s="17" t="s">
        <v>135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101.27744</v>
      </c>
      <c r="J57" s="20" t="s">
        <v>138</v>
      </c>
    </row>
    <row r="58" spans="1:10" ht="21.75" x14ac:dyDescent="0.2">
      <c r="A58" s="17" t="s">
        <v>14</v>
      </c>
      <c r="B58" s="2">
        <v>792374.70192999998</v>
      </c>
      <c r="C58" s="2">
        <v>203565.13146999999</v>
      </c>
      <c r="D58" s="2">
        <v>283653.46064</v>
      </c>
      <c r="E58" s="2">
        <v>471377.23420999997</v>
      </c>
      <c r="F58" s="2">
        <v>680549.75017999997</v>
      </c>
      <c r="G58" s="2">
        <v>947437.27882000001</v>
      </c>
      <c r="H58" s="2">
        <v>717658.82430999994</v>
      </c>
      <c r="I58" s="2">
        <v>563446.57271000009</v>
      </c>
      <c r="J58" s="20" t="s">
        <v>108</v>
      </c>
    </row>
    <row r="59" spans="1:10" ht="21.75" x14ac:dyDescent="0.2">
      <c r="A59" s="41" t="s">
        <v>54</v>
      </c>
      <c r="B59" s="42">
        <v>5209.3980499999998</v>
      </c>
      <c r="C59" s="51">
        <v>0</v>
      </c>
      <c r="D59" s="51">
        <v>0</v>
      </c>
      <c r="E59" s="51">
        <v>4182.1825699999999</v>
      </c>
      <c r="F59" s="51">
        <v>85.893100000000004</v>
      </c>
      <c r="G59" s="51">
        <v>840.31048999999996</v>
      </c>
      <c r="H59" s="51">
        <v>843.85701000000006</v>
      </c>
      <c r="I59" s="51">
        <v>2421.7669599999999</v>
      </c>
      <c r="J59" s="43" t="s">
        <v>109</v>
      </c>
    </row>
    <row r="60" spans="1:10" ht="19.5" x14ac:dyDescent="0.5">
      <c r="A60" s="38" t="s">
        <v>21</v>
      </c>
      <c r="B60" s="39">
        <f>SUM(B63:B72)</f>
        <v>47021.388210000005</v>
      </c>
      <c r="C60" s="39">
        <f>SUM(C63:C72)</f>
        <v>57471.19526</v>
      </c>
      <c r="D60" s="39">
        <f>SUM(D63:D72)</f>
        <v>29393.710120000003</v>
      </c>
      <c r="E60" s="39">
        <f>SUM(E63:E72)</f>
        <v>42324.940609999991</v>
      </c>
      <c r="F60" s="39">
        <f>SUM(F63:F72)</f>
        <v>85543.146649999995</v>
      </c>
      <c r="G60" s="39">
        <f>SUM(G61:G72)</f>
        <v>178598.83662000002</v>
      </c>
      <c r="H60" s="39">
        <f>SUM(H61:H72)</f>
        <v>25792.670649999996</v>
      </c>
      <c r="I60" s="39">
        <f>SUM(I61:I72)</f>
        <v>14582.701219999999</v>
      </c>
      <c r="J60" s="50" t="s">
        <v>30</v>
      </c>
    </row>
    <row r="61" spans="1:10" ht="21.75" x14ac:dyDescent="0.2">
      <c r="A61" s="23" t="s">
        <v>27</v>
      </c>
      <c r="B61" s="24">
        <v>0</v>
      </c>
      <c r="C61" s="24">
        <v>0</v>
      </c>
      <c r="D61" s="24">
        <v>0</v>
      </c>
      <c r="E61" s="24">
        <v>0</v>
      </c>
      <c r="F61" s="24">
        <v>0</v>
      </c>
      <c r="G61" s="24">
        <v>235.81989000000002</v>
      </c>
      <c r="H61" s="24">
        <v>38.456249999999997</v>
      </c>
      <c r="I61" s="24">
        <v>253.6095</v>
      </c>
      <c r="J61" s="20" t="s">
        <v>137</v>
      </c>
    </row>
    <row r="62" spans="1:10" ht="21.75" x14ac:dyDescent="0.2">
      <c r="A62" s="23" t="s">
        <v>119</v>
      </c>
      <c r="B62" s="24">
        <v>0</v>
      </c>
      <c r="C62" s="24">
        <v>0</v>
      </c>
      <c r="D62" s="24">
        <v>0</v>
      </c>
      <c r="E62" s="24">
        <v>0</v>
      </c>
      <c r="F62" s="24">
        <v>0</v>
      </c>
      <c r="G62" s="24">
        <v>235.81989000000002</v>
      </c>
      <c r="H62" s="24">
        <v>528.87081999999998</v>
      </c>
      <c r="I62" s="24">
        <v>267.94265999999999</v>
      </c>
      <c r="J62" s="20" t="s">
        <v>121</v>
      </c>
    </row>
    <row r="63" spans="1:10" ht="21.75" x14ac:dyDescent="0.2">
      <c r="A63" s="17" t="s">
        <v>38</v>
      </c>
      <c r="B63" s="2">
        <v>46127.536610000003</v>
      </c>
      <c r="C63" s="2">
        <v>57414.48128</v>
      </c>
      <c r="D63" s="2">
        <v>28344.640500000001</v>
      </c>
      <c r="E63" s="2">
        <v>38350.337409999993</v>
      </c>
      <c r="F63" s="2">
        <v>76554.130209999988</v>
      </c>
      <c r="G63" s="2">
        <v>165792.30936000001</v>
      </c>
      <c r="H63" s="2">
        <v>10200.435449999999</v>
      </c>
      <c r="I63" s="2">
        <v>0</v>
      </c>
      <c r="J63" s="20" t="s">
        <v>110</v>
      </c>
    </row>
    <row r="64" spans="1:10" ht="21.75" x14ac:dyDescent="0.2">
      <c r="A64" s="17" t="s">
        <v>128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2">
        <v>2536.875</v>
      </c>
      <c r="I64" s="2">
        <v>0</v>
      </c>
      <c r="J64" s="20" t="s">
        <v>131</v>
      </c>
    </row>
    <row r="65" spans="1:11" ht="21.75" x14ac:dyDescent="0.2">
      <c r="A65" s="18" t="s">
        <v>55</v>
      </c>
      <c r="B65" s="2">
        <v>0</v>
      </c>
      <c r="C65" s="2">
        <v>0</v>
      </c>
      <c r="D65" s="2">
        <v>0</v>
      </c>
      <c r="E65" s="2">
        <v>4.2661999999999995</v>
      </c>
      <c r="F65" s="2">
        <v>0</v>
      </c>
      <c r="G65" s="2">
        <v>0</v>
      </c>
      <c r="H65" s="2">
        <v>1.2385299999999999</v>
      </c>
      <c r="I65" s="2">
        <v>0</v>
      </c>
      <c r="J65" s="20" t="s">
        <v>111</v>
      </c>
    </row>
    <row r="66" spans="1:11" ht="21.75" x14ac:dyDescent="0.2">
      <c r="A66" s="18" t="s">
        <v>56</v>
      </c>
      <c r="B66" s="2">
        <v>0</v>
      </c>
      <c r="C66" s="2">
        <v>1.2849999999999999</v>
      </c>
      <c r="D66" s="2">
        <v>0</v>
      </c>
      <c r="E66" s="2">
        <v>0</v>
      </c>
      <c r="F66" s="2">
        <v>0</v>
      </c>
      <c r="G66" s="2">
        <v>0</v>
      </c>
      <c r="H66" s="12">
        <v>0</v>
      </c>
      <c r="I66" s="12">
        <v>0</v>
      </c>
      <c r="J66" s="20" t="s">
        <v>112</v>
      </c>
    </row>
    <row r="67" spans="1:11" ht="21.75" x14ac:dyDescent="0.2">
      <c r="A67" s="18" t="s">
        <v>22</v>
      </c>
      <c r="B67" s="2">
        <v>0</v>
      </c>
      <c r="C67" s="12">
        <v>0</v>
      </c>
      <c r="D67" s="12">
        <v>0</v>
      </c>
      <c r="E67" s="12">
        <v>53.488120000000002</v>
      </c>
      <c r="F67" s="12">
        <v>0</v>
      </c>
      <c r="G67" s="12">
        <v>0</v>
      </c>
      <c r="H67" s="12">
        <v>1.95801</v>
      </c>
      <c r="I67" s="12">
        <v>0</v>
      </c>
      <c r="J67" s="20" t="s">
        <v>113</v>
      </c>
    </row>
    <row r="68" spans="1:11" ht="21.75" x14ac:dyDescent="0.2">
      <c r="A68" s="18" t="s">
        <v>61</v>
      </c>
      <c r="B68" s="2">
        <v>0</v>
      </c>
      <c r="C68" s="12">
        <v>0</v>
      </c>
      <c r="D68" s="12">
        <v>0</v>
      </c>
      <c r="E68" s="12">
        <v>0</v>
      </c>
      <c r="F68" s="12">
        <v>20.715400000000002</v>
      </c>
      <c r="G68" s="12">
        <v>0</v>
      </c>
      <c r="H68" s="12">
        <v>0</v>
      </c>
      <c r="I68" s="12">
        <v>0</v>
      </c>
      <c r="J68" s="20" t="s">
        <v>114</v>
      </c>
    </row>
    <row r="69" spans="1:11" ht="21.75" x14ac:dyDescent="0.2">
      <c r="A69" s="17" t="s">
        <v>57</v>
      </c>
      <c r="B69" s="2">
        <v>0.66100000000000003</v>
      </c>
      <c r="C69" s="2">
        <v>0</v>
      </c>
      <c r="D69" s="2">
        <v>0</v>
      </c>
      <c r="E69" s="2">
        <v>0</v>
      </c>
      <c r="F69" s="2">
        <v>980.00161000000003</v>
      </c>
      <c r="G69" s="2">
        <v>0</v>
      </c>
      <c r="H69" s="2">
        <v>0</v>
      </c>
      <c r="I69" s="2">
        <v>92.304000000000002</v>
      </c>
      <c r="J69" s="20" t="s">
        <v>115</v>
      </c>
    </row>
    <row r="70" spans="1:11" ht="21.75" x14ac:dyDescent="0.2">
      <c r="A70" s="25" t="s">
        <v>120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26">
        <v>1082.3424</v>
      </c>
      <c r="H70" s="26">
        <v>0.31302999999999997</v>
      </c>
      <c r="I70" s="26">
        <v>0</v>
      </c>
      <c r="J70" s="27" t="s">
        <v>122</v>
      </c>
    </row>
    <row r="71" spans="1:11" ht="21.75" x14ac:dyDescent="0.2">
      <c r="A71" s="33" t="s">
        <v>39</v>
      </c>
      <c r="B71" s="34">
        <v>893.19060000000002</v>
      </c>
      <c r="C71" s="34">
        <v>55.428980000000003</v>
      </c>
      <c r="D71" s="34">
        <v>1049.0696200000002</v>
      </c>
      <c r="E71" s="34">
        <v>3916.8488800000005</v>
      </c>
      <c r="F71" s="34">
        <v>7988.29943</v>
      </c>
      <c r="G71" s="34">
        <v>11252.54508</v>
      </c>
      <c r="H71" s="34">
        <v>12135.765150000001</v>
      </c>
      <c r="I71" s="34">
        <v>13968.84506</v>
      </c>
      <c r="J71" s="37" t="s">
        <v>116</v>
      </c>
      <c r="K71" s="35"/>
    </row>
    <row r="72" spans="1:11" ht="21.75" x14ac:dyDescent="0.2">
      <c r="A72" s="31" t="s">
        <v>129</v>
      </c>
      <c r="B72" s="32">
        <v>0</v>
      </c>
      <c r="C72" s="32">
        <v>0</v>
      </c>
      <c r="D72" s="32">
        <v>0</v>
      </c>
      <c r="E72" s="32">
        <v>0</v>
      </c>
      <c r="F72" s="32">
        <v>0</v>
      </c>
      <c r="G72" s="32">
        <v>0</v>
      </c>
      <c r="H72" s="32">
        <v>348.75840999999997</v>
      </c>
      <c r="I72" s="32">
        <v>0</v>
      </c>
      <c r="J72" s="36" t="s">
        <v>116</v>
      </c>
    </row>
    <row r="73" spans="1:11" s="30" customFormat="1" ht="15" x14ac:dyDescent="0.4">
      <c r="A73" s="28" t="s">
        <v>25</v>
      </c>
      <c r="B73" s="29"/>
      <c r="C73" s="29"/>
      <c r="D73" s="29"/>
      <c r="E73" s="29"/>
      <c r="F73" s="29"/>
      <c r="G73" s="29"/>
      <c r="H73" s="29"/>
      <c r="I73" s="29"/>
      <c r="J73" s="11" t="s">
        <v>31</v>
      </c>
    </row>
  </sheetData>
  <mergeCells count="5">
    <mergeCell ref="A4:A5"/>
    <mergeCell ref="J4:J5"/>
    <mergeCell ref="A1:J1"/>
    <mergeCell ref="A2:J2"/>
    <mergeCell ref="B4:I4"/>
  </mergeCells>
  <pageMargins left="0.27" right="0.23" top="0.5" bottom="0.46" header="0.3" footer="0.3"/>
  <pageSetup paperSize="9" scale="80" orientation="portrait" r:id="rId1"/>
  <rowBreaks count="1" manualBreakCount="1">
    <brk id="40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15.6</vt:lpstr>
      <vt:lpstr>'15.6'!Print_Area</vt:lpstr>
      <vt:lpstr>'15.6'!Print_Titles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2016-09-25T08:33:25Z</cp:lastPrinted>
  <dcterms:created xsi:type="dcterms:W3CDTF">2007-02-07T09:08:05Z</dcterms:created>
  <dcterms:modified xsi:type="dcterms:W3CDTF">2016-09-25T08:33:29Z</dcterms:modified>
</cp:coreProperties>
</file>