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405" yWindow="495" windowWidth="9540" windowHeight="5040" tabRatio="845"/>
  </bookViews>
  <sheets>
    <sheet name="15.8" sheetId="26" r:id="rId1"/>
  </sheets>
  <externalReferences>
    <externalReference r:id="rId2"/>
  </externalReferences>
  <definedNames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 localSheetId="0">#REF!</definedName>
    <definedName name="bec">#REF!</definedName>
    <definedName name="ctry">'[1]CTRY monthly'!$B$100:$N$115</definedName>
    <definedName name="moomina">#REF!</definedName>
    <definedName name="_xlnm.Print_Area" localSheetId="0">'15.8'!$A$1:$J$144</definedName>
    <definedName name="Print_Area_MI">#REF!</definedName>
    <definedName name="_xlnm.Print_Titles" localSheetId="0">'15.8'!$2:$5</definedName>
    <definedName name="tot">#REF!</definedName>
    <definedName name="total" localSheetId="0">#REF!</definedName>
    <definedName name="total">#REF!</definedName>
    <definedName name="TOTE8">#REF!</definedName>
    <definedName name="tott3">#REF!</definedName>
  </definedNames>
  <calcPr calcId="144525"/>
  <customWorkbookViews>
    <customWorkbookView name="moomina - Personal View" guid="{606E8A6D-F254-43BE-81C6-5E26D3168B9C}" mergeInterval="0" personalView="1" maximized="1" windowWidth="1020" windowHeight="570" activeSheetId="8"/>
    <customWorkbookView name="iqbal - Personal View" guid="{55954F5B-8823-487D-89BD-5CAA49E9A156}" mergeInterval="0" personalView="1" maximized="1" windowWidth="1276" windowHeight="874" activeSheetId="12"/>
    <customWorkbookView name="hawwa zahira - Personal View" guid="{809AAACF-1F9F-4AA0-A069-E0E3B47FA09A}" mergeInterval="0" personalView="1" maximized="1" windowWidth="1148" windowHeight="692" tabRatio="814" activeSheetId="3"/>
    <customWorkbookView name="777 - Personal View" guid="{AA9F0C9E-78D8-4405-A52F-8AFEDA4EE48D}" mergeInterval="0" personalView="1" maximized="1" windowWidth="1276" windowHeight="852" activeSheetId="16"/>
  </customWorkbookViews>
</workbook>
</file>

<file path=xl/calcChain.xml><?xml version="1.0" encoding="utf-8"?>
<calcChain xmlns="http://schemas.openxmlformats.org/spreadsheetml/2006/main">
  <c r="J115" i="26" l="1"/>
  <c r="J64" i="26"/>
  <c r="J13" i="26"/>
  <c r="J12" i="26"/>
  <c r="J9" i="26"/>
  <c r="J8" i="26"/>
  <c r="F16" i="26"/>
  <c r="J60" i="26" l="1"/>
  <c r="J10" i="26"/>
  <c r="J11" i="26"/>
  <c r="J16" i="26"/>
  <c r="J17" i="26"/>
  <c r="J18" i="26"/>
  <c r="J19" i="26"/>
  <c r="J20" i="26"/>
  <c r="J21" i="26"/>
  <c r="J22" i="26"/>
  <c r="J23" i="26"/>
  <c r="J24" i="26"/>
  <c r="J27" i="26"/>
  <c r="J30" i="26"/>
  <c r="J31" i="26"/>
  <c r="J32" i="26"/>
  <c r="J33" i="26"/>
  <c r="J34" i="26"/>
  <c r="J35" i="26"/>
  <c r="J36" i="26"/>
  <c r="J37" i="26"/>
  <c r="J38" i="26"/>
  <c r="J41" i="26"/>
  <c r="J42" i="26"/>
  <c r="J43" i="26"/>
  <c r="J46" i="26"/>
  <c r="J47" i="26"/>
  <c r="J48" i="26"/>
  <c r="J49" i="26"/>
  <c r="J50" i="26"/>
  <c r="J51" i="26"/>
  <c r="J52" i="26"/>
  <c r="J53" i="26"/>
  <c r="J54" i="26"/>
  <c r="J55" i="26"/>
  <c r="J56" i="26"/>
  <c r="J59" i="26"/>
  <c r="J63" i="26"/>
  <c r="J68" i="26"/>
  <c r="J69" i="26"/>
  <c r="J70" i="26"/>
  <c r="J73" i="26"/>
  <c r="J74" i="26"/>
  <c r="J75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3" i="26"/>
  <c r="J94" i="26"/>
  <c r="J95" i="26"/>
  <c r="J96" i="26"/>
  <c r="J99" i="26"/>
  <c r="J100" i="26"/>
  <c r="J101" i="26"/>
  <c r="J104" i="26"/>
  <c r="J107" i="26"/>
  <c r="J108" i="26"/>
  <c r="J109" i="26"/>
  <c r="J110" i="26"/>
  <c r="J111" i="26"/>
  <c r="J112" i="26"/>
  <c r="J113" i="26"/>
  <c r="J114" i="26"/>
  <c r="J116" i="26"/>
  <c r="J117" i="26"/>
  <c r="J120" i="26"/>
  <c r="J121" i="26"/>
  <c r="J124" i="26"/>
  <c r="J125" i="26"/>
  <c r="J126" i="26"/>
  <c r="J127" i="26"/>
  <c r="J130" i="26"/>
  <c r="J131" i="26"/>
  <c r="J132" i="26"/>
  <c r="J135" i="26"/>
  <c r="J138" i="26"/>
  <c r="J139" i="26"/>
  <c r="J140" i="26"/>
  <c r="J143" i="26"/>
  <c r="D8" i="26"/>
  <c r="D15" i="26"/>
  <c r="D26" i="26"/>
  <c r="D29" i="26"/>
  <c r="D40" i="26"/>
  <c r="D45" i="26"/>
  <c r="D58" i="26"/>
  <c r="D62" i="26"/>
  <c r="D67" i="26"/>
  <c r="D72" i="26"/>
  <c r="D77" i="26"/>
  <c r="D92" i="26"/>
  <c r="D98" i="26"/>
  <c r="D103" i="26"/>
  <c r="D106" i="26"/>
  <c r="D119" i="26"/>
  <c r="D123" i="26"/>
  <c r="D129" i="26"/>
  <c r="D134" i="26"/>
  <c r="D137" i="26"/>
  <c r="D142" i="26"/>
  <c r="I143" i="26"/>
  <c r="C142" i="26"/>
  <c r="B142" i="26"/>
  <c r="I140" i="26"/>
  <c r="I139" i="26"/>
  <c r="I138" i="26"/>
  <c r="C137" i="26"/>
  <c r="B137" i="26"/>
  <c r="C134" i="26"/>
  <c r="B134" i="26"/>
  <c r="I132" i="26"/>
  <c r="I131" i="26"/>
  <c r="I130" i="26"/>
  <c r="C129" i="26"/>
  <c r="B129" i="26"/>
  <c r="I127" i="26"/>
  <c r="I126" i="26"/>
  <c r="I125" i="26"/>
  <c r="I124" i="26"/>
  <c r="C123" i="26"/>
  <c r="B123" i="26"/>
  <c r="I121" i="26"/>
  <c r="I120" i="26"/>
  <c r="C119" i="26"/>
  <c r="B119" i="26"/>
  <c r="I117" i="26"/>
  <c r="I116" i="26"/>
  <c r="I115" i="26"/>
  <c r="I114" i="26"/>
  <c r="I113" i="26"/>
  <c r="I112" i="26"/>
  <c r="I111" i="26"/>
  <c r="I110" i="26"/>
  <c r="I109" i="26"/>
  <c r="I108" i="26"/>
  <c r="I107" i="26"/>
  <c r="C106" i="26"/>
  <c r="B106" i="26"/>
  <c r="I104" i="26"/>
  <c r="C103" i="26"/>
  <c r="B103" i="26"/>
  <c r="I101" i="26"/>
  <c r="I100" i="26"/>
  <c r="I99" i="26"/>
  <c r="C98" i="26"/>
  <c r="B98" i="26"/>
  <c r="I96" i="26"/>
  <c r="I95" i="26"/>
  <c r="I94" i="26"/>
  <c r="I93" i="26"/>
  <c r="C92" i="26"/>
  <c r="B92" i="26"/>
  <c r="I90" i="26"/>
  <c r="I89" i="26"/>
  <c r="I88" i="26"/>
  <c r="I87" i="26"/>
  <c r="I86" i="26"/>
  <c r="I85" i="26"/>
  <c r="I84" i="26"/>
  <c r="I83" i="26"/>
  <c r="I82" i="26"/>
  <c r="I81" i="26"/>
  <c r="I80" i="26"/>
  <c r="I79" i="26"/>
  <c r="I78" i="26"/>
  <c r="C77" i="26"/>
  <c r="B77" i="26"/>
  <c r="I75" i="26"/>
  <c r="I74" i="26"/>
  <c r="I73" i="26"/>
  <c r="C72" i="26"/>
  <c r="B72" i="26"/>
  <c r="I70" i="26"/>
  <c r="I69" i="26"/>
  <c r="I68" i="26"/>
  <c r="C67" i="26"/>
  <c r="B67" i="26"/>
  <c r="I64" i="26"/>
  <c r="I63" i="26"/>
  <c r="C62" i="26"/>
  <c r="B62" i="26"/>
  <c r="I60" i="26"/>
  <c r="I59" i="26"/>
  <c r="C58" i="26"/>
  <c r="B58" i="26"/>
  <c r="I56" i="26"/>
  <c r="I55" i="26"/>
  <c r="I54" i="26"/>
  <c r="I53" i="26"/>
  <c r="I52" i="26"/>
  <c r="I51" i="26"/>
  <c r="I50" i="26"/>
  <c r="I49" i="26"/>
  <c r="I48" i="26"/>
  <c r="I47" i="26"/>
  <c r="I46" i="26"/>
  <c r="C45" i="26"/>
  <c r="B45" i="26"/>
  <c r="I43" i="26"/>
  <c r="I42" i="26"/>
  <c r="I41" i="26"/>
  <c r="C40" i="26"/>
  <c r="B40" i="26"/>
  <c r="I38" i="26"/>
  <c r="I37" i="26"/>
  <c r="I36" i="26"/>
  <c r="I35" i="26"/>
  <c r="I34" i="26"/>
  <c r="I33" i="26"/>
  <c r="I32" i="26"/>
  <c r="I31" i="26"/>
  <c r="I30" i="26"/>
  <c r="C29" i="26"/>
  <c r="B29" i="26"/>
  <c r="I27" i="26"/>
  <c r="C26" i="26"/>
  <c r="B26" i="26"/>
  <c r="I24" i="26"/>
  <c r="I23" i="26"/>
  <c r="I22" i="26"/>
  <c r="I21" i="26"/>
  <c r="I20" i="26"/>
  <c r="I19" i="26"/>
  <c r="I18" i="26"/>
  <c r="I17" i="26"/>
  <c r="I16" i="26"/>
  <c r="C15" i="26"/>
  <c r="B15" i="26"/>
  <c r="I13" i="26"/>
  <c r="I12" i="26"/>
  <c r="I11" i="26"/>
  <c r="I10" i="26"/>
  <c r="I9" i="26"/>
  <c r="C8" i="26"/>
  <c r="C6" i="26" s="1"/>
  <c r="B8" i="26"/>
  <c r="I67" i="26" l="1"/>
  <c r="I103" i="26"/>
  <c r="I123" i="26"/>
  <c r="J40" i="26"/>
  <c r="I15" i="26"/>
  <c r="I92" i="26"/>
  <c r="J129" i="26"/>
  <c r="J72" i="26"/>
  <c r="J15" i="26"/>
  <c r="J134" i="26"/>
  <c r="J123" i="26"/>
  <c r="J119" i="26"/>
  <c r="J62" i="26"/>
  <c r="J67" i="26"/>
  <c r="I77" i="26"/>
  <c r="J106" i="26"/>
  <c r="J58" i="26"/>
  <c r="J142" i="26"/>
  <c r="J45" i="26"/>
  <c r="J103" i="26"/>
  <c r="I119" i="26"/>
  <c r="J98" i="26"/>
  <c r="J92" i="26"/>
  <c r="J29" i="26"/>
  <c r="J77" i="26"/>
  <c r="J26" i="26"/>
  <c r="J137" i="26"/>
  <c r="D6" i="26"/>
  <c r="I26" i="26"/>
  <c r="I62" i="26"/>
  <c r="B6" i="26"/>
  <c r="I29" i="26"/>
  <c r="I142" i="26"/>
  <c r="I137" i="26"/>
  <c r="I40" i="26"/>
  <c r="F127" i="26"/>
  <c r="F9" i="26"/>
  <c r="I58" i="26"/>
  <c r="F72" i="26"/>
  <c r="F45" i="26"/>
  <c r="F106" i="26"/>
  <c r="I98" i="26"/>
  <c r="F8" i="26"/>
  <c r="I129" i="26"/>
  <c r="I8" i="26"/>
  <c r="F12" i="26"/>
  <c r="F18" i="26"/>
  <c r="F29" i="26"/>
  <c r="F37" i="26"/>
  <c r="F43" i="26"/>
  <c r="I45" i="26"/>
  <c r="F49" i="26"/>
  <c r="F70" i="26"/>
  <c r="I72" i="26"/>
  <c r="F84" i="26"/>
  <c r="F108" i="26"/>
  <c r="F116" i="26"/>
  <c r="F13" i="26"/>
  <c r="F19" i="26"/>
  <c r="F30" i="26"/>
  <c r="F38" i="26"/>
  <c r="F50" i="26"/>
  <c r="F62" i="26"/>
  <c r="F77" i="26"/>
  <c r="F85" i="26"/>
  <c r="F103" i="26"/>
  <c r="F109" i="26"/>
  <c r="F117" i="26"/>
  <c r="F135" i="26"/>
  <c r="F20" i="26"/>
  <c r="F26" i="26"/>
  <c r="F31" i="26"/>
  <c r="F51" i="26"/>
  <c r="F63" i="26"/>
  <c r="F78" i="26"/>
  <c r="F86" i="26"/>
  <c r="F92" i="26"/>
  <c r="F98" i="26"/>
  <c r="F104" i="26"/>
  <c r="I106" i="26"/>
  <c r="F110" i="26"/>
  <c r="F134" i="26"/>
  <c r="F142" i="26"/>
  <c r="F21" i="26"/>
  <c r="F27" i="26"/>
  <c r="F32" i="26"/>
  <c r="F52" i="26"/>
  <c r="F58" i="26"/>
  <c r="F64" i="26"/>
  <c r="F79" i="26"/>
  <c r="F87" i="26"/>
  <c r="F93" i="26"/>
  <c r="F99" i="26"/>
  <c r="F111" i="26"/>
  <c r="F123" i="26"/>
  <c r="F129" i="26"/>
  <c r="F137" i="26"/>
  <c r="F143" i="26"/>
  <c r="F22" i="26"/>
  <c r="F33" i="26"/>
  <c r="F53" i="26"/>
  <c r="F59" i="26"/>
  <c r="F65" i="26"/>
  <c r="F73" i="26"/>
  <c r="F74" i="26"/>
  <c r="F80" i="26"/>
  <c r="F88" i="26"/>
  <c r="F94" i="26"/>
  <c r="F100" i="26"/>
  <c r="F112" i="26"/>
  <c r="F124" i="26"/>
  <c r="F130" i="26"/>
  <c r="F138" i="26"/>
  <c r="F15" i="26"/>
  <c r="F23" i="26"/>
  <c r="F34" i="26"/>
  <c r="F40" i="26"/>
  <c r="F46" i="26"/>
  <c r="F54" i="26"/>
  <c r="F60" i="26"/>
  <c r="F67" i="26"/>
  <c r="F75" i="26"/>
  <c r="F81" i="26"/>
  <c r="F89" i="26"/>
  <c r="F95" i="26"/>
  <c r="F101" i="26"/>
  <c r="F113" i="26"/>
  <c r="F119" i="26"/>
  <c r="F125" i="26"/>
  <c r="F131" i="26"/>
  <c r="F139" i="26"/>
  <c r="F24" i="26"/>
  <c r="F35" i="26"/>
  <c r="F41" i="26"/>
  <c r="F47" i="26"/>
  <c r="F55" i="26"/>
  <c r="F68" i="26"/>
  <c r="F82" i="26"/>
  <c r="F90" i="26"/>
  <c r="F96" i="26"/>
  <c r="F114" i="26"/>
  <c r="F120" i="26"/>
  <c r="F126" i="26"/>
  <c r="F132" i="26"/>
  <c r="F140" i="26"/>
  <c r="F10" i="26"/>
  <c r="F11" i="26"/>
  <c r="F17" i="26"/>
  <c r="F36" i="26"/>
  <c r="F42" i="26"/>
  <c r="F48" i="26"/>
  <c r="F56" i="26"/>
  <c r="F69" i="26"/>
  <c r="F83" i="26"/>
  <c r="F107" i="26"/>
  <c r="F115" i="26"/>
  <c r="F121" i="26"/>
  <c r="G40" i="26" l="1"/>
  <c r="G78" i="26"/>
  <c r="G106" i="26"/>
  <c r="G134" i="26"/>
  <c r="G19" i="26"/>
  <c r="G41" i="26"/>
  <c r="G69" i="26"/>
  <c r="G87" i="26"/>
  <c r="G96" i="26"/>
  <c r="G115" i="26"/>
  <c r="G135" i="26"/>
  <c r="G38" i="26"/>
  <c r="G11" i="26"/>
  <c r="G42" i="26"/>
  <c r="G60" i="26"/>
  <c r="G88" i="26"/>
  <c r="G116" i="26"/>
  <c r="G137" i="26"/>
  <c r="G21" i="26"/>
  <c r="G70" i="26"/>
  <c r="G8" i="26"/>
  <c r="G108" i="26"/>
  <c r="G43" i="26"/>
  <c r="G52" i="26"/>
  <c r="G72" i="26"/>
  <c r="G81" i="26"/>
  <c r="G89" i="26"/>
  <c r="G99" i="26"/>
  <c r="G109" i="26"/>
  <c r="G117" i="26"/>
  <c r="G127" i="26"/>
  <c r="G138" i="26"/>
  <c r="G32" i="26"/>
  <c r="G15" i="26"/>
  <c r="G23" i="26"/>
  <c r="G53" i="26"/>
  <c r="G63" i="26"/>
  <c r="G73" i="26"/>
  <c r="G82" i="26"/>
  <c r="G100" i="26"/>
  <c r="G119" i="26"/>
  <c r="G129" i="26"/>
  <c r="G33" i="26"/>
  <c r="G24" i="26"/>
  <c r="J6" i="26"/>
  <c r="G54" i="26"/>
  <c r="G64" i="26"/>
  <c r="G92" i="26"/>
  <c r="G111" i="26"/>
  <c r="G130" i="26"/>
  <c r="G34" i="26"/>
  <c r="G29" i="26"/>
  <c r="G55" i="26"/>
  <c r="G75" i="26"/>
  <c r="G84" i="26"/>
  <c r="G121" i="26"/>
  <c r="G142" i="26"/>
  <c r="G17" i="26"/>
  <c r="G45" i="26"/>
  <c r="G90" i="26"/>
  <c r="G110" i="26"/>
  <c r="G139" i="26"/>
  <c r="G16" i="26"/>
  <c r="G46" i="26"/>
  <c r="G74" i="26"/>
  <c r="G83" i="26"/>
  <c r="G101" i="26"/>
  <c r="G120" i="26"/>
  <c r="G140" i="26"/>
  <c r="G22" i="26"/>
  <c r="G47" i="26"/>
  <c r="G65" i="26"/>
  <c r="G93" i="26"/>
  <c r="G112" i="26"/>
  <c r="G131" i="26"/>
  <c r="G35" i="26"/>
  <c r="G12" i="26"/>
  <c r="G13" i="26"/>
  <c r="G103" i="26"/>
  <c r="G48" i="26"/>
  <c r="G56" i="26"/>
  <c r="G67" i="26"/>
  <c r="G77" i="26"/>
  <c r="G85" i="26"/>
  <c r="G94" i="26"/>
  <c r="G104" i="26"/>
  <c r="G113" i="26"/>
  <c r="G123" i="26"/>
  <c r="G132" i="26"/>
  <c r="G143" i="26"/>
  <c r="G36" i="26"/>
  <c r="G18" i="26"/>
  <c r="G10" i="26"/>
  <c r="G49" i="26"/>
  <c r="G58" i="26"/>
  <c r="G68" i="26"/>
  <c r="G86" i="26"/>
  <c r="G95" i="26"/>
  <c r="G114" i="26"/>
  <c r="G124" i="26"/>
  <c r="G27" i="26"/>
  <c r="G37" i="26"/>
  <c r="G9" i="26"/>
  <c r="G50" i="26"/>
  <c r="G59" i="26"/>
  <c r="G79" i="26"/>
  <c r="G107" i="26"/>
  <c r="G125" i="26"/>
  <c r="G30" i="26"/>
  <c r="G20" i="26"/>
  <c r="G51" i="26"/>
  <c r="G80" i="26"/>
  <c r="G98" i="26"/>
  <c r="G126" i="26"/>
  <c r="G31" i="26"/>
  <c r="G26" i="26"/>
  <c r="G62" i="26"/>
  <c r="I6" i="26"/>
  <c r="F6" i="26"/>
  <c r="G6" i="26" l="1"/>
</calcChain>
</file>

<file path=xl/sharedStrings.xml><?xml version="1.0" encoding="utf-8"?>
<sst xmlns="http://schemas.openxmlformats.org/spreadsheetml/2006/main" count="149" uniqueCount="149">
  <si>
    <t>Source:  Maldives Customs Services</t>
  </si>
  <si>
    <t>Harmonized System</t>
  </si>
  <si>
    <t>TOTAL</t>
  </si>
  <si>
    <t xml:space="preserve">       Section I</t>
  </si>
  <si>
    <t>LIVE ANIMALS; ANIMAL PRODUCT</t>
  </si>
  <si>
    <t xml:space="preserve">Live animals </t>
  </si>
  <si>
    <t>Meat and edible meat offals</t>
  </si>
  <si>
    <t>Fish and crustaceans and molluscs and other...</t>
  </si>
  <si>
    <t>Dairy products; birds' eggs; natural honey; ...</t>
  </si>
  <si>
    <t>Products of animal origin, not elsewhere ...</t>
  </si>
  <si>
    <t xml:space="preserve">       Section II</t>
  </si>
  <si>
    <t>VEGETABLE PRODUCTS</t>
  </si>
  <si>
    <t>Live trees and other plants; bulbs roots and ...</t>
  </si>
  <si>
    <t>Edible vegetables and certain roots and tubers</t>
  </si>
  <si>
    <t>Edible fruits and nuts; peel of citrus fruit or melons</t>
  </si>
  <si>
    <t>Coffee, tea, mate and spices</t>
  </si>
  <si>
    <t>Cereals</t>
  </si>
  <si>
    <t>Products of the milling industry; malt; starches; inulin...</t>
  </si>
  <si>
    <t>Oil seeds and oleaginous fruit; miscellaneous ...</t>
  </si>
  <si>
    <t>Lac; gums, resins and other vegetable saps and extracts</t>
  </si>
  <si>
    <t>Vegetable plaiting materials, vegetable products not elsewhere...</t>
  </si>
  <si>
    <t xml:space="preserve">       Section III</t>
  </si>
  <si>
    <t>ANIMAL AND VEGETABLE FATS AND OILS AND THEIR...</t>
  </si>
  <si>
    <t>Animal and Vegetable fats and oils and...</t>
  </si>
  <si>
    <t xml:space="preserve">       Section IV</t>
  </si>
  <si>
    <t>PREPARED FOODSTUFFS; BEVERAGES, SPIRITS AND...</t>
  </si>
  <si>
    <t>Preparations of meat, of fish, of crustaceans...</t>
  </si>
  <si>
    <t>Sugar and sugar confectionery</t>
  </si>
  <si>
    <t>Cocoa and cocoa preparations</t>
  </si>
  <si>
    <t>Preparations of cereals, flour, starch or milk...</t>
  </si>
  <si>
    <t>Preparations of vegetables, fruits...</t>
  </si>
  <si>
    <t>Miscellaneous edible preparations</t>
  </si>
  <si>
    <t>Beverages, spirits and vinegar</t>
  </si>
  <si>
    <t>Residues and waste from the food industries...</t>
  </si>
  <si>
    <t>Tobacco and manufactured tobacco substitutes</t>
  </si>
  <si>
    <t xml:space="preserve">       Section V</t>
  </si>
  <si>
    <t>MINERAL PRODUCTS</t>
  </si>
  <si>
    <t>Salt, sulphur, earths and stones; plastering</t>
  </si>
  <si>
    <t xml:space="preserve"> Ores, slag and ash</t>
  </si>
  <si>
    <t xml:space="preserve"> Mineral fuels, mineral oils and products of ...</t>
  </si>
  <si>
    <t xml:space="preserve">        Section VI</t>
  </si>
  <si>
    <t xml:space="preserve"> PRODUCTS OF THE CHEMICAL &amp; ALLIED INDUSTRIES</t>
  </si>
  <si>
    <t xml:space="preserve"> Inorganic chemicals; organic and inorganic compounds</t>
  </si>
  <si>
    <t xml:space="preserve"> Organic chemicals</t>
  </si>
  <si>
    <t xml:space="preserve"> Pharmaceutical products</t>
  </si>
  <si>
    <t xml:space="preserve"> Fertilizers</t>
  </si>
  <si>
    <t xml:space="preserve"> Tanning and dyeing extracts...</t>
  </si>
  <si>
    <t xml:space="preserve"> Essential oils and resinoids; perfumery, ...</t>
  </si>
  <si>
    <t xml:space="preserve"> Soap, organic surface-active agents...</t>
  </si>
  <si>
    <t xml:space="preserve"> Albuminoidal substances; modified starches; glues...</t>
  </si>
  <si>
    <t xml:space="preserve"> Explosives; pyrotechnic products; matches ...</t>
  </si>
  <si>
    <t xml:space="preserve"> Photographic and cinematographic goods</t>
  </si>
  <si>
    <t xml:space="preserve"> Miscellaneous chemical products</t>
  </si>
  <si>
    <t xml:space="preserve">        Section VII</t>
  </si>
  <si>
    <t xml:space="preserve"> PLASTIC &amp; ARTICLES THEREOF; RUBBER &amp; ARTICLES THEREOF</t>
  </si>
  <si>
    <t xml:space="preserve"> Plastics and articles thereof</t>
  </si>
  <si>
    <t xml:space="preserve"> Rubber and articles thereof</t>
  </si>
  <si>
    <t xml:space="preserve">        Section VIII</t>
  </si>
  <si>
    <t xml:space="preserve"> RAW HIDES &amp; SKINS, LEATHER, FURSKINS &amp; ARTICLES...   </t>
  </si>
  <si>
    <t xml:space="preserve"> Raw hides and skins (other than furskins) </t>
  </si>
  <si>
    <t xml:space="preserve"> Articles of leather; saddlery and harness;....</t>
  </si>
  <si>
    <t xml:space="preserve">         Section IX</t>
  </si>
  <si>
    <t xml:space="preserve"> WOOD; ARTICLES OF WOOD; WOOD CHARCOAL; CORK &amp; ARTICLES</t>
  </si>
  <si>
    <t xml:space="preserve"> Wood and articles of wood; wood charcoal</t>
  </si>
  <si>
    <t xml:space="preserve"> Cork and articles of cork</t>
  </si>
  <si>
    <t xml:space="preserve"> Manufactures of straw, of esparto and of other plating...</t>
  </si>
  <si>
    <t xml:space="preserve">         Section X</t>
  </si>
  <si>
    <t xml:space="preserve"> PULP OF WOOD OR OF OTHER FIBROUS CELLULOSIC MATERIAL</t>
  </si>
  <si>
    <t xml:space="preserve"> Paper and paperboard; articles of paper pulp</t>
  </si>
  <si>
    <t xml:space="preserve"> Printed books, newspapers, pictures and other products...</t>
  </si>
  <si>
    <t xml:space="preserve">        Section XI</t>
  </si>
  <si>
    <t xml:space="preserve"> TEXTILES AND TEXTILE ARTICLES</t>
  </si>
  <si>
    <t xml:space="preserve"> Silk </t>
  </si>
  <si>
    <t xml:space="preserve"> Wool, fine or coarse animal hair...</t>
  </si>
  <si>
    <t xml:space="preserve"> Cotton</t>
  </si>
  <si>
    <t xml:space="preserve"> Other vegetable textile fibres...</t>
  </si>
  <si>
    <t xml:space="preserve"> Man-made filaments</t>
  </si>
  <si>
    <t xml:space="preserve"> Man-made staple fibres</t>
  </si>
  <si>
    <t xml:space="preserve"> Wadding, felt and nonwovens; special yarns;...</t>
  </si>
  <si>
    <t xml:space="preserve"> Carpets and other textile floor coverings</t>
  </si>
  <si>
    <t xml:space="preserve"> Impregnated, coated, covered or laminated textile...</t>
  </si>
  <si>
    <t xml:space="preserve"> Articles of apparel and clothing accessories, knitted...</t>
  </si>
  <si>
    <t xml:space="preserve"> Articles of apparel and clothing accessories, not knitted...</t>
  </si>
  <si>
    <t xml:space="preserve"> Other made up textile articles; sets; worn clothing...</t>
  </si>
  <si>
    <t xml:space="preserve">        Section XII</t>
  </si>
  <si>
    <t xml:space="preserve"> FOOTWEAR, HEADGEAR, UMBRELLAS, SUNSHADES, ...</t>
  </si>
  <si>
    <t xml:space="preserve"> Footwear, gaiters and the like; parts of such articles</t>
  </si>
  <si>
    <t xml:space="preserve"> Headgear and parts thereof </t>
  </si>
  <si>
    <t xml:space="preserve"> Umbrellas, sun umbrellas, walking-sticks...</t>
  </si>
  <si>
    <t xml:space="preserve"> Prepared feathers and down and articles made of feathers...</t>
  </si>
  <si>
    <t xml:space="preserve">        Section XIII</t>
  </si>
  <si>
    <t xml:space="preserve"> ARTICLES OF STONE, PLASTER, CEMENT, ASBESTOS  </t>
  </si>
  <si>
    <t xml:space="preserve"> Articles of stone, plaster, cement, asbestos...</t>
  </si>
  <si>
    <t xml:space="preserve"> Ceramic products</t>
  </si>
  <si>
    <t xml:space="preserve"> Glass and glassware</t>
  </si>
  <si>
    <t xml:space="preserve"> PEARLS, PRECIOUS AND SEMI-PRECIOUS STONES, ...</t>
  </si>
  <si>
    <t xml:space="preserve"> Natural or cultured pearls, precious or semi-precious stones...</t>
  </si>
  <si>
    <t xml:space="preserve"> BASE METAL AND ARTICLES OF BASE METAL</t>
  </si>
  <si>
    <t xml:space="preserve"> Iron and steel </t>
  </si>
  <si>
    <t xml:space="preserve"> Articles of iron or steel</t>
  </si>
  <si>
    <t xml:space="preserve"> Copper and articles thereof...</t>
  </si>
  <si>
    <t xml:space="preserve"> Nickel and articles thereof...</t>
  </si>
  <si>
    <t xml:space="preserve"> Aluminum and articles thereof...</t>
  </si>
  <si>
    <t xml:space="preserve"> Lead and articles thereof...</t>
  </si>
  <si>
    <t xml:space="preserve"> Zinc and articles thereof...</t>
  </si>
  <si>
    <t xml:space="preserve"> Tin and articles thereof...</t>
  </si>
  <si>
    <t xml:space="preserve"> Other base metals, cermets, articles thereof...</t>
  </si>
  <si>
    <t xml:space="preserve"> Miscellaneous articles of base metals</t>
  </si>
  <si>
    <t xml:space="preserve"> MACHINERY &amp; MECHANICAL APPLIANCES; ELECTRICAL</t>
  </si>
  <si>
    <t xml:space="preserve"> Nuclear reactors, boilers, machinery &amp; mechanical appliances;...</t>
  </si>
  <si>
    <t xml:space="preserve"> Electrical machinery and equipment; parts thereof...</t>
  </si>
  <si>
    <t xml:space="preserve"> VEHICLES, AIRCRAFT, &amp; PARTS THEREOF;</t>
  </si>
  <si>
    <t xml:space="preserve"> Railway tramway locomotives, rolling stocks and parts thereof</t>
  </si>
  <si>
    <t xml:space="preserve"> Vehicles other than railway or tramway...</t>
  </si>
  <si>
    <t xml:space="preserve"> Aircraft, spacecraft, and parts thereof…</t>
  </si>
  <si>
    <t xml:space="preserve"> Ships, boats and floating structures</t>
  </si>
  <si>
    <t xml:space="preserve"> OPTICAL, PHOTOGRAPHIC, CINEMATOGRAPHIC, ...</t>
  </si>
  <si>
    <t xml:space="preserve"> Optical, photographic, cinematographic, ...</t>
  </si>
  <si>
    <t xml:space="preserve"> Clocks and watches and parts thereof</t>
  </si>
  <si>
    <t xml:space="preserve"> Musical instruments; parts and accessories </t>
  </si>
  <si>
    <t xml:space="preserve"> ARMS &amp; AMMUNITION; PARTS &amp; ACCESSORIES THEREOF</t>
  </si>
  <si>
    <t xml:space="preserve"> Arms and ammunition; parts and accessories thereof</t>
  </si>
  <si>
    <t xml:space="preserve"> MISCELLANEOUS MANUFACTURED ARTICLES</t>
  </si>
  <si>
    <t xml:space="preserve"> Furniture and parts thereof; bedding, ...</t>
  </si>
  <si>
    <t xml:space="preserve"> Toys, games and sports requisities parts thereof...</t>
  </si>
  <si>
    <t xml:space="preserve"> Miscellaneous manufactured articles</t>
  </si>
  <si>
    <t xml:space="preserve"> WORK OF ART, COLLECTORS PIECES, &amp; ANTIQUES.</t>
  </si>
  <si>
    <t xml:space="preserve"> Work of art, collectors pieces, and antiques.</t>
  </si>
  <si>
    <t>Furkins and artificial fur; manufactures thereof</t>
  </si>
  <si>
    <t>pulp of wood or of other fibrous cellulosic material; recovered (waste and scrap) paper or paperboard</t>
  </si>
  <si>
    <t xml:space="preserve">        Section XIV</t>
  </si>
  <si>
    <t xml:space="preserve">        Section XV</t>
  </si>
  <si>
    <t xml:space="preserve">        Section XXI</t>
  </si>
  <si>
    <t xml:space="preserve">        Section XX</t>
  </si>
  <si>
    <t xml:space="preserve">        Section XIX</t>
  </si>
  <si>
    <t xml:space="preserve">        Section XVIII</t>
  </si>
  <si>
    <t xml:space="preserve">        Section XVI</t>
  </si>
  <si>
    <t xml:space="preserve">        Section XVII</t>
  </si>
  <si>
    <t xml:space="preserve"> Special woven fabrics…</t>
  </si>
  <si>
    <t xml:space="preserve"> Tools, implements, cutlery, spoons and forks…</t>
  </si>
  <si>
    <t xml:space="preserve">cswsivrWs cscmwTcswk cscviDclOm :ctWrwfivcaed utWmUluAwm     </t>
  </si>
  <si>
    <t xml:space="preserve">Percentage  Share  </t>
  </si>
  <si>
    <r>
      <t xml:space="preserve">   </t>
    </r>
    <r>
      <rPr>
        <b/>
        <sz val="10"/>
        <rFont val="A_Randhoo Aa"/>
      </rPr>
      <t>cniawtcaws ctogWviawfiheb</t>
    </r>
  </si>
  <si>
    <r>
      <t xml:space="preserve">Value (MVR)    </t>
    </r>
    <r>
      <rPr>
        <b/>
        <sz val="10"/>
        <rFont val="A_Randhoo Aa"/>
      </rPr>
      <t xml:space="preserve"> </t>
    </r>
  </si>
  <si>
    <r>
      <t xml:space="preserve">   </t>
    </r>
    <r>
      <rPr>
        <b/>
        <sz val="10"/>
        <rFont val="A_Randhoo Aa"/>
      </rPr>
      <t xml:space="preserve"> (cnuhWh Wyifur) ugwa</t>
    </r>
  </si>
  <si>
    <t xml:space="preserve">% Change Over Previous Year  </t>
  </si>
  <si>
    <r>
      <t xml:space="preserve">   </t>
    </r>
    <r>
      <rPr>
        <b/>
        <sz val="10"/>
        <rFont val="A_Randhoo Aa"/>
      </rPr>
      <t>% urwvcnim ivurutia eruvcSwrwhwa Iruk</t>
    </r>
  </si>
  <si>
    <t>ތާވަލު 15.8: ހާމޮނައިޒްޑް ސިސްޓަމްގެ ބައިތަކުގެ ގޮތުން، ރާއްޖެއަށް އެތެރެކުރެވުނު މައިގަނޑު މުދަލުގެ ބާވަތްތައް، 2013 - 2015</t>
  </si>
  <si>
    <t>Table  15.8 : IMPORTS CLASSIFIED BY HARMONIZED SYSTEM , 2013 - 2015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</si>
</sst>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7" formatCode="#,##0.0"/>
    <numFmt numFmtId="168" formatCode="_(* #,##0_);_(* \(#,##0\);_(* &quot;-&quot;??_);_(@_)"/>
    <numFmt numFmtId="170" formatCode="0.00_)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_Randhoo"/>
    </font>
    <font>
      <sz val="10"/>
      <name val="Arial"/>
      <family val="2"/>
    </font>
    <font>
      <sz val="8"/>
      <name val="Arial"/>
      <family val="2"/>
    </font>
    <font>
      <b/>
      <i/>
      <sz val="16"/>
      <name val="Helv"/>
    </font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1"/>
      <name val="Faruma"/>
    </font>
    <font>
      <b/>
      <sz val="10"/>
      <name val="A_Randhoo Aa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i/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color indexed="50"/>
      <name val="Calibri"/>
      <family val="2"/>
      <scheme val="minor"/>
    </font>
    <font>
      <b/>
      <sz val="7"/>
      <color indexed="8"/>
      <name val="Calibri"/>
      <family val="2"/>
      <scheme val="minor"/>
    </font>
    <font>
      <b/>
      <sz val="8"/>
      <color indexed="10"/>
      <name val="Calibri"/>
      <family val="2"/>
      <scheme val="minor"/>
    </font>
    <font>
      <b/>
      <sz val="8"/>
      <color indexed="63"/>
      <name val="Calibri"/>
      <family val="2"/>
      <scheme val="minor"/>
    </font>
    <font>
      <sz val="8"/>
      <color indexed="63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/>
    <xf numFmtId="0" fontId="3" fillId="0" borderId="0"/>
    <xf numFmtId="164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8" fillId="0" borderId="0"/>
    <xf numFmtId="0" fontId="9" fillId="0" borderId="0"/>
    <xf numFmtId="9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4" applyNumberFormat="0" applyFill="0" applyAlignment="0" applyProtection="0"/>
    <xf numFmtId="0" fontId="30" fillId="0" borderId="15" applyNumberFormat="0" applyFill="0" applyAlignment="0" applyProtection="0"/>
    <xf numFmtId="0" fontId="31" fillId="0" borderId="16" applyNumberFormat="0" applyFill="0" applyAlignment="0" applyProtection="0"/>
    <xf numFmtId="0" fontId="31" fillId="0" borderId="0" applyNumberFormat="0" applyFill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0" applyNumberFormat="0" applyBorder="0" applyAlignment="0" applyProtection="0"/>
    <xf numFmtId="0" fontId="35" fillId="6" borderId="17" applyNumberFormat="0" applyAlignment="0" applyProtection="0"/>
    <xf numFmtId="0" fontId="36" fillId="7" borderId="18" applyNumberFormat="0" applyAlignment="0" applyProtection="0"/>
    <xf numFmtId="0" fontId="37" fillId="7" borderId="17" applyNumberFormat="0" applyAlignment="0" applyProtection="0"/>
    <xf numFmtId="0" fontId="38" fillId="0" borderId="19" applyNumberFormat="0" applyFill="0" applyAlignment="0" applyProtection="0"/>
    <xf numFmtId="0" fontId="39" fillId="8" borderId="20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5" fillId="0" borderId="22" applyNumberFormat="0" applyFill="0" applyAlignment="0" applyProtection="0"/>
    <xf numFmtId="0" fontId="4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2" fillId="25" borderId="0" applyNumberFormat="0" applyBorder="0" applyAlignment="0" applyProtection="0"/>
    <xf numFmtId="0" fontId="4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2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9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21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4">
    <xf numFmtId="0" fontId="0" fillId="0" borderId="0" xfId="0"/>
    <xf numFmtId="3" fontId="16" fillId="2" borderId="0" xfId="0" applyNumberFormat="1" applyFont="1" applyFill="1" applyBorder="1" applyAlignment="1" applyProtection="1">
      <alignment horizontal="right" vertical="center"/>
    </xf>
    <xf numFmtId="3" fontId="17" fillId="2" borderId="0" xfId="0" applyNumberFormat="1" applyFont="1" applyFill="1" applyBorder="1" applyAlignment="1" applyProtection="1">
      <alignment horizontal="right" vertical="center"/>
    </xf>
    <xf numFmtId="3" fontId="17" fillId="2" borderId="1" xfId="0" applyNumberFormat="1" applyFont="1" applyFill="1" applyBorder="1" applyAlignment="1" applyProtection="1">
      <alignment horizontal="right" vertical="center"/>
    </xf>
    <xf numFmtId="167" fontId="16" fillId="2" borderId="3" xfId="0" applyNumberFormat="1" applyFont="1" applyFill="1" applyBorder="1" applyAlignment="1" applyProtection="1">
      <alignment horizontal="right" vertical="center"/>
    </xf>
    <xf numFmtId="0" fontId="16" fillId="2" borderId="0" xfId="0" applyFont="1" applyFill="1" applyBorder="1" applyAlignment="1">
      <alignment vertical="center"/>
    </xf>
    <xf numFmtId="0" fontId="20" fillId="2" borderId="0" xfId="0" applyFont="1" applyFill="1" applyBorder="1" applyAlignment="1"/>
    <xf numFmtId="0" fontId="19" fillId="2" borderId="0" xfId="0" applyFont="1" applyFill="1" applyBorder="1" applyAlignment="1">
      <alignment vertical="center"/>
    </xf>
    <xf numFmtId="3" fontId="20" fillId="2" borderId="0" xfId="0" applyNumberFormat="1" applyFont="1" applyFill="1" applyBorder="1" applyAlignment="1">
      <alignment vertical="center"/>
    </xf>
    <xf numFmtId="0" fontId="20" fillId="2" borderId="0" xfId="0" applyFont="1" applyFill="1" applyBorder="1" applyAlignment="1">
      <alignment vertical="center"/>
    </xf>
    <xf numFmtId="0" fontId="21" fillId="2" borderId="0" xfId="0" applyFont="1" applyFill="1" applyBorder="1" applyAlignment="1" applyProtection="1">
      <alignment horizontal="left" vertical="center"/>
    </xf>
    <xf numFmtId="2" fontId="19" fillId="2" borderId="0" xfId="0" applyNumberFormat="1" applyFont="1" applyFill="1" applyBorder="1" applyAlignment="1">
      <alignment horizontal="right" vertical="center"/>
    </xf>
    <xf numFmtId="2" fontId="19" fillId="2" borderId="0" xfId="0" applyNumberFormat="1" applyFont="1" applyFill="1" applyBorder="1" applyAlignment="1">
      <alignment vertical="center"/>
    </xf>
    <xf numFmtId="2" fontId="20" fillId="2" borderId="0" xfId="0" applyNumberFormat="1" applyFont="1" applyFill="1" applyBorder="1" applyAlignment="1">
      <alignment vertical="center"/>
    </xf>
    <xf numFmtId="0" fontId="19" fillId="2" borderId="0" xfId="0" applyFont="1" applyFill="1" applyBorder="1" applyAlignment="1" applyProtection="1">
      <alignment horizontal="left" vertical="center"/>
    </xf>
    <xf numFmtId="2" fontId="20" fillId="2" borderId="0" xfId="0" applyNumberFormat="1" applyFont="1" applyFill="1" applyBorder="1" applyAlignment="1">
      <alignment horizontal="right"/>
    </xf>
    <xf numFmtId="0" fontId="19" fillId="2" borderId="0" xfId="0" applyFont="1" applyFill="1" applyBorder="1" applyAlignment="1" applyProtection="1">
      <alignment horizontal="left" vertical="center" wrapText="1"/>
    </xf>
    <xf numFmtId="0" fontId="20" fillId="2" borderId="0" xfId="0" applyFont="1" applyFill="1" applyBorder="1" applyAlignment="1" applyProtection="1">
      <alignment horizontal="left" vertical="center" wrapText="1"/>
    </xf>
    <xf numFmtId="0" fontId="19" fillId="2" borderId="1" xfId="0" applyFont="1" applyFill="1" applyBorder="1" applyAlignment="1" applyProtection="1">
      <alignment horizontal="left" vertical="center"/>
    </xf>
    <xf numFmtId="0" fontId="22" fillId="2" borderId="0" xfId="0" applyFont="1" applyFill="1" applyBorder="1" applyAlignment="1" applyProtection="1">
      <alignment horizontal="left" vertical="center"/>
    </xf>
    <xf numFmtId="37" fontId="19" fillId="2" borderId="0" xfId="0" applyNumberFormat="1" applyFont="1" applyFill="1" applyBorder="1" applyAlignment="1" applyProtection="1">
      <alignment vertical="center"/>
    </xf>
    <xf numFmtId="10" fontId="19" fillId="2" borderId="0" xfId="6" applyNumberFormat="1" applyFont="1" applyFill="1" applyBorder="1" applyAlignment="1" applyProtection="1">
      <alignment vertical="center"/>
    </xf>
    <xf numFmtId="10" fontId="19" fillId="2" borderId="0" xfId="6" applyNumberFormat="1" applyFont="1" applyFill="1" applyBorder="1" applyAlignment="1">
      <alignment vertical="center"/>
    </xf>
    <xf numFmtId="0" fontId="17" fillId="2" borderId="0" xfId="0" applyFont="1" applyFill="1"/>
    <xf numFmtId="0" fontId="17" fillId="2" borderId="0" xfId="0" applyFont="1" applyFill="1" applyAlignment="1">
      <alignment vertical="top" wrapText="1"/>
    </xf>
    <xf numFmtId="0" fontId="24" fillId="2" borderId="0" xfId="0" applyFont="1" applyFill="1" applyAlignment="1">
      <alignment wrapText="1"/>
    </xf>
    <xf numFmtId="0" fontId="17" fillId="2" borderId="0" xfId="0" applyFont="1" applyFill="1" applyBorder="1" applyAlignment="1">
      <alignment vertical="center"/>
    </xf>
    <xf numFmtId="10" fontId="17" fillId="2" borderId="0" xfId="6" applyNumberFormat="1" applyFont="1" applyFill="1" applyBorder="1" applyAlignment="1">
      <alignment vertical="center"/>
    </xf>
    <xf numFmtId="0" fontId="16" fillId="2" borderId="1" xfId="0" applyFont="1" applyFill="1" applyBorder="1" applyAlignment="1" applyProtection="1">
      <alignment vertical="center"/>
    </xf>
    <xf numFmtId="37" fontId="17" fillId="2" borderId="0" xfId="0" applyNumberFormat="1" applyFont="1" applyFill="1" applyBorder="1" applyAlignment="1" applyProtection="1">
      <alignment vertical="center"/>
    </xf>
    <xf numFmtId="10" fontId="17" fillId="2" borderId="0" xfId="6" applyNumberFormat="1" applyFont="1" applyFill="1" applyBorder="1" applyAlignment="1" applyProtection="1">
      <alignment vertical="center"/>
    </xf>
    <xf numFmtId="0" fontId="5" fillId="2" borderId="10" xfId="0" applyFont="1" applyFill="1" applyBorder="1" applyAlignment="1">
      <alignment horizontal="right" readingOrder="2"/>
    </xf>
    <xf numFmtId="167" fontId="16" fillId="2" borderId="0" xfId="0" applyNumberFormat="1" applyFont="1" applyFill="1" applyBorder="1" applyAlignment="1" applyProtection="1">
      <alignment horizontal="right" vertical="center"/>
    </xf>
    <xf numFmtId="167" fontId="17" fillId="2" borderId="0" xfId="0" applyNumberFormat="1" applyFont="1" applyFill="1" applyBorder="1" applyAlignment="1" applyProtection="1">
      <alignment horizontal="right" vertical="center"/>
    </xf>
    <xf numFmtId="3" fontId="20" fillId="2" borderId="0" xfId="0" applyNumberFormat="1" applyFont="1" applyFill="1" applyBorder="1"/>
    <xf numFmtId="0" fontId="20" fillId="2" borderId="0" xfId="0" applyFont="1" applyFill="1" applyBorder="1"/>
    <xf numFmtId="167" fontId="16" fillId="2" borderId="2" xfId="0" applyNumberFormat="1" applyFont="1" applyFill="1" applyBorder="1" applyAlignment="1" applyProtection="1">
      <alignment horizontal="right" vertical="center"/>
    </xf>
    <xf numFmtId="167" fontId="17" fillId="2" borderId="1" xfId="0" applyNumberFormat="1" applyFont="1" applyFill="1" applyBorder="1" applyAlignment="1" applyProtection="1">
      <alignment horizontal="right" vertical="center"/>
    </xf>
    <xf numFmtId="3" fontId="16" fillId="2" borderId="0" xfId="0" applyNumberFormat="1" applyFont="1" applyFill="1" applyBorder="1" applyAlignment="1" applyProtection="1">
      <alignment horizontal="right" vertical="center"/>
      <protection locked="0"/>
    </xf>
    <xf numFmtId="168" fontId="16" fillId="2" borderId="0" xfId="0" applyNumberFormat="1" applyFont="1" applyFill="1" applyBorder="1" applyAlignment="1" applyProtection="1">
      <alignment horizontal="right" vertical="center"/>
      <protection locked="0"/>
    </xf>
    <xf numFmtId="168" fontId="16" fillId="2" borderId="0" xfId="0" applyNumberFormat="1" applyFont="1" applyFill="1" applyBorder="1" applyAlignment="1">
      <alignment horizontal="right" vertical="center"/>
    </xf>
    <xf numFmtId="37" fontId="16" fillId="2" borderId="0" xfId="0" applyNumberFormat="1" applyFont="1" applyFill="1" applyBorder="1" applyAlignment="1">
      <alignment horizontal="right" vertical="center"/>
    </xf>
    <xf numFmtId="0" fontId="25" fillId="2" borderId="0" xfId="0" applyFont="1" applyFill="1" applyAlignment="1">
      <alignment vertical="top" wrapText="1"/>
    </xf>
    <xf numFmtId="0" fontId="27" fillId="2" borderId="0" xfId="0" applyFont="1" applyFill="1" applyAlignment="1">
      <alignment wrapText="1"/>
    </xf>
    <xf numFmtId="0" fontId="26" fillId="2" borderId="0" xfId="0" applyFont="1" applyFill="1" applyAlignment="1">
      <alignment wrapText="1"/>
    </xf>
    <xf numFmtId="0" fontId="23" fillId="2" borderId="0" xfId="0" applyFont="1" applyFill="1" applyAlignment="1">
      <alignment wrapText="1"/>
    </xf>
    <xf numFmtId="3" fontId="16" fillId="2" borderId="2" xfId="0" applyNumberFormat="1" applyFont="1" applyFill="1" applyBorder="1" applyAlignment="1" applyProtection="1">
      <alignment horizontal="right" vertical="center"/>
    </xf>
    <xf numFmtId="3" fontId="16" fillId="2" borderId="6" xfId="0" applyNumberFormat="1" applyFont="1" applyFill="1" applyBorder="1" applyAlignment="1" applyProtection="1">
      <alignment horizontal="right" vertical="center"/>
    </xf>
    <xf numFmtId="3" fontId="16" fillId="2" borderId="3" xfId="0" applyNumberFormat="1" applyFont="1" applyFill="1" applyBorder="1" applyAlignment="1" applyProtection="1">
      <alignment horizontal="right" vertical="center"/>
    </xf>
    <xf numFmtId="3" fontId="16" fillId="2" borderId="3" xfId="0" applyNumberFormat="1" applyFont="1" applyFill="1" applyBorder="1" applyAlignment="1" applyProtection="1">
      <alignment horizontal="right" vertical="center"/>
      <protection locked="0"/>
    </xf>
    <xf numFmtId="168" fontId="16" fillId="2" borderId="3" xfId="0" applyNumberFormat="1" applyFont="1" applyFill="1" applyBorder="1" applyAlignment="1" applyProtection="1">
      <alignment horizontal="right" vertical="center"/>
      <protection locked="0"/>
    </xf>
    <xf numFmtId="168" fontId="16" fillId="2" borderId="3" xfId="0" applyNumberFormat="1" applyFont="1" applyFill="1" applyBorder="1" applyAlignment="1">
      <alignment horizontal="right" vertical="center"/>
    </xf>
    <xf numFmtId="37" fontId="16" fillId="2" borderId="3" xfId="0" applyNumberFormat="1" applyFont="1" applyFill="1" applyBorder="1" applyAlignment="1">
      <alignment horizontal="right" vertical="center"/>
    </xf>
    <xf numFmtId="167" fontId="16" fillId="2" borderId="1" xfId="0" applyNumberFormat="1" applyFont="1" applyFill="1" applyBorder="1" applyAlignment="1" applyProtection="1">
      <alignment horizontal="right" vertical="center"/>
    </xf>
    <xf numFmtId="0" fontId="16" fillId="2" borderId="5" xfId="0" applyFont="1" applyFill="1" applyBorder="1" applyAlignment="1" applyProtection="1">
      <alignment vertical="center"/>
    </xf>
    <xf numFmtId="0" fontId="20" fillId="2" borderId="0" xfId="0" applyFont="1" applyFill="1" applyBorder="1" applyAlignment="1" applyProtection="1">
      <alignment horizontal="left" vertical="center"/>
    </xf>
    <xf numFmtId="0" fontId="17" fillId="2" borderId="0" xfId="0" applyFont="1" applyFill="1" applyAlignment="1">
      <alignment wrapText="1"/>
    </xf>
    <xf numFmtId="167" fontId="17" fillId="2" borderId="3" xfId="0" applyNumberFormat="1" applyFont="1" applyFill="1" applyBorder="1" applyAlignment="1" applyProtection="1">
      <alignment horizontal="right" vertical="center"/>
    </xf>
    <xf numFmtId="167" fontId="17" fillId="2" borderId="5" xfId="0" applyNumberFormat="1" applyFont="1" applyFill="1" applyBorder="1" applyAlignment="1" applyProtection="1">
      <alignment horizontal="right" vertical="center"/>
    </xf>
    <xf numFmtId="167" fontId="16" fillId="2" borderId="6" xfId="0" applyNumberFormat="1" applyFont="1" applyFill="1" applyBorder="1" applyAlignment="1" applyProtection="1">
      <alignment horizontal="right" vertical="center"/>
    </xf>
    <xf numFmtId="3" fontId="17" fillId="2" borderId="3" xfId="0" applyNumberFormat="1" applyFont="1" applyFill="1" applyBorder="1" applyAlignment="1" applyProtection="1">
      <alignment horizontal="right" vertical="center"/>
    </xf>
    <xf numFmtId="3" fontId="17" fillId="2" borderId="5" xfId="0" applyNumberFormat="1" applyFont="1" applyFill="1" applyBorder="1" applyAlignment="1" applyProtection="1">
      <alignment horizontal="right" vertical="center"/>
    </xf>
    <xf numFmtId="0" fontId="16" fillId="2" borderId="0" xfId="0" applyFont="1" applyFill="1" applyBorder="1" applyAlignment="1" applyProtection="1">
      <alignment horizontal="left" vertical="center"/>
    </xf>
    <xf numFmtId="0" fontId="16" fillId="2" borderId="4" xfId="0" applyFont="1" applyFill="1" applyBorder="1" applyAlignment="1" applyProtection="1">
      <alignment horizontal="center" vertical="center"/>
    </xf>
    <xf numFmtId="0" fontId="16" fillId="2" borderId="8" xfId="0" applyFont="1" applyFill="1" applyBorder="1" applyAlignment="1" applyProtection="1">
      <alignment horizontal="center" vertical="center"/>
    </xf>
    <xf numFmtId="0" fontId="16" fillId="2" borderId="1" xfId="0" applyFont="1" applyFill="1" applyBorder="1" applyAlignment="1" applyProtection="1">
      <alignment horizontal="left" vertical="center"/>
    </xf>
    <xf numFmtId="0" fontId="18" fillId="2" borderId="0" xfId="0" applyFont="1" applyFill="1" applyBorder="1" applyAlignment="1" applyProtection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6" fillId="2" borderId="9" xfId="0" applyFont="1" applyFill="1" applyBorder="1" applyAlignment="1" applyProtection="1">
      <alignment horizontal="center" vertical="center"/>
    </xf>
    <xf numFmtId="0" fontId="17" fillId="2" borderId="0" xfId="0" applyFont="1" applyFill="1" applyAlignment="1">
      <alignment wrapText="1"/>
    </xf>
    <xf numFmtId="0" fontId="16" fillId="2" borderId="12" xfId="0" applyFont="1" applyFill="1" applyBorder="1" applyAlignment="1" applyProtection="1">
      <alignment horizontal="center" vertical="center"/>
    </xf>
    <xf numFmtId="0" fontId="16" fillId="2" borderId="13" xfId="0" applyFont="1" applyFill="1" applyBorder="1" applyAlignment="1" applyProtection="1">
      <alignment horizontal="center" vertical="center"/>
    </xf>
    <xf numFmtId="0" fontId="16" fillId="2" borderId="7" xfId="0" applyFont="1" applyFill="1" applyBorder="1" applyAlignment="1" applyProtection="1">
      <alignment horizontal="center" vertical="center"/>
    </xf>
    <xf numFmtId="0" fontId="16" fillId="2" borderId="11" xfId="0" applyFont="1" applyFill="1" applyBorder="1" applyAlignment="1" applyProtection="1">
      <alignment horizontal="left" vertical="center"/>
    </xf>
  </cellXfs>
  <cellStyles count="67">
    <cellStyle name="1" xfId="1"/>
    <cellStyle name="20% - Accent1" xfId="24" builtinId="30" customBuiltin="1"/>
    <cellStyle name="20% - Accent1 2" xfId="55"/>
    <cellStyle name="20% - Accent2" xfId="28" builtinId="34" customBuiltin="1"/>
    <cellStyle name="20% - Accent2 2" xfId="57"/>
    <cellStyle name="20% - Accent3" xfId="32" builtinId="38" customBuiltin="1"/>
    <cellStyle name="20% - Accent3 2" xfId="59"/>
    <cellStyle name="20% - Accent4" xfId="36" builtinId="42" customBuiltin="1"/>
    <cellStyle name="20% - Accent4 2" xfId="61"/>
    <cellStyle name="20% - Accent5" xfId="40" builtinId="46" customBuiltin="1"/>
    <cellStyle name="20% - Accent5 2" xfId="63"/>
    <cellStyle name="20% - Accent6" xfId="44" builtinId="50" customBuiltin="1"/>
    <cellStyle name="20% - Accent6 2" xfId="65"/>
    <cellStyle name="40% - Accent1" xfId="25" builtinId="31" customBuiltin="1"/>
    <cellStyle name="40% - Accent1 2" xfId="56"/>
    <cellStyle name="40% - Accent2" xfId="29" builtinId="35" customBuiltin="1"/>
    <cellStyle name="40% - Accent2 2" xfId="58"/>
    <cellStyle name="40% - Accent3" xfId="33" builtinId="39" customBuiltin="1"/>
    <cellStyle name="40% - Accent3 2" xfId="60"/>
    <cellStyle name="40% - Accent4" xfId="37" builtinId="43" customBuiltin="1"/>
    <cellStyle name="40% - Accent4 2" xfId="62"/>
    <cellStyle name="40% - Accent5" xfId="41" builtinId="47" customBuiltin="1"/>
    <cellStyle name="40% - Accent5 2" xfId="64"/>
    <cellStyle name="40% - Accent6" xfId="45" builtinId="51" customBuiltin="1"/>
    <cellStyle name="40% - Accent6 2" xfId="66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 2" xfId="2"/>
    <cellStyle name="Comma 3" xfId="3"/>
    <cellStyle name="Comma 4" xfId="48"/>
    <cellStyle name="Comma 5" xfId="51"/>
    <cellStyle name="Explanatory Text" xfId="21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- Style1" xfId="4"/>
    <cellStyle name="Normal 2" xfId="5"/>
    <cellStyle name="Normal 3" xfId="47"/>
    <cellStyle name="Normal 4" xfId="50"/>
    <cellStyle name="Normal 5" xfId="52"/>
    <cellStyle name="Normal 6" xfId="54"/>
    <cellStyle name="Note 2" xfId="49"/>
    <cellStyle name="Note 3" xfId="53"/>
    <cellStyle name="Output" xfId="16" builtinId="21" customBuiltin="1"/>
    <cellStyle name="Percent 2" xfId="6"/>
    <cellStyle name="Title" xfId="7" builtinId="15" customBuiltin="1"/>
    <cellStyle name="Total" xfId="22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49"/>
  <sheetViews>
    <sheetView tabSelected="1" zoomScale="105" zoomScaleNormal="105" zoomScaleSheetLayoutView="82" workbookViewId="0">
      <selection activeCell="R28" sqref="R28"/>
    </sheetView>
  </sheetViews>
  <sheetFormatPr defaultColWidth="9" defaultRowHeight="12.75" x14ac:dyDescent="0.2"/>
  <cols>
    <col min="1" max="1" width="51.85546875" style="26" bestFit="1" customWidth="1"/>
    <col min="2" max="4" width="10.5703125" style="26" customWidth="1"/>
    <col min="5" max="8" width="10.42578125" style="27" customWidth="1"/>
    <col min="9" max="10" width="10.42578125" style="26" customWidth="1"/>
    <col min="11" max="16384" width="9" style="26"/>
  </cols>
  <sheetData>
    <row r="1" spans="1:21" ht="17.25" customHeight="1" x14ac:dyDescent="0.2">
      <c r="A1" s="67" t="s">
        <v>147</v>
      </c>
      <c r="B1" s="67"/>
      <c r="C1" s="67"/>
      <c r="D1" s="67"/>
      <c r="E1" s="67"/>
      <c r="F1" s="67"/>
      <c r="G1" s="67"/>
      <c r="H1" s="67"/>
      <c r="I1" s="67"/>
      <c r="J1" s="67"/>
    </row>
    <row r="2" spans="1:21" s="5" customFormat="1" ht="17.25" customHeight="1" x14ac:dyDescent="0.2">
      <c r="A2" s="66" t="s">
        <v>148</v>
      </c>
      <c r="B2" s="66"/>
      <c r="C2" s="66"/>
      <c r="D2" s="66"/>
      <c r="E2" s="66"/>
      <c r="F2" s="66"/>
      <c r="G2" s="66"/>
      <c r="H2" s="66"/>
      <c r="I2" s="66"/>
      <c r="J2" s="66"/>
    </row>
    <row r="3" spans="1:21" s="6" customFormat="1" ht="21" customHeight="1" x14ac:dyDescent="0.2">
      <c r="A3" s="73" t="s">
        <v>1</v>
      </c>
      <c r="B3" s="68" t="s">
        <v>143</v>
      </c>
      <c r="C3" s="68"/>
      <c r="D3" s="68"/>
      <c r="E3" s="70" t="s">
        <v>141</v>
      </c>
      <c r="F3" s="68"/>
      <c r="G3" s="71"/>
      <c r="H3" s="68" t="s">
        <v>145</v>
      </c>
      <c r="I3" s="68"/>
      <c r="J3" s="68"/>
    </row>
    <row r="4" spans="1:21" s="6" customFormat="1" ht="21" customHeight="1" x14ac:dyDescent="0.2">
      <c r="A4" s="62"/>
      <c r="B4" s="63" t="s">
        <v>144</v>
      </c>
      <c r="C4" s="63"/>
      <c r="D4" s="63"/>
      <c r="E4" s="72" t="s">
        <v>142</v>
      </c>
      <c r="F4" s="63"/>
      <c r="G4" s="64"/>
      <c r="H4" s="63" t="s">
        <v>146</v>
      </c>
      <c r="I4" s="63"/>
      <c r="J4" s="63"/>
    </row>
    <row r="5" spans="1:21" s="9" customFormat="1" ht="17.25" customHeight="1" x14ac:dyDescent="0.2">
      <c r="A5" s="65"/>
      <c r="B5" s="28">
        <v>2013</v>
      </c>
      <c r="C5" s="28">
        <v>2014</v>
      </c>
      <c r="D5" s="54">
        <v>2015</v>
      </c>
      <c r="E5" s="28">
        <v>2013</v>
      </c>
      <c r="F5" s="28">
        <v>2014</v>
      </c>
      <c r="G5" s="54">
        <v>2015</v>
      </c>
      <c r="H5" s="28">
        <v>2013</v>
      </c>
      <c r="I5" s="28">
        <v>2014</v>
      </c>
      <c r="J5" s="28">
        <v>2015</v>
      </c>
    </row>
    <row r="6" spans="1:21" s="9" customFormat="1" ht="19.5" customHeight="1" x14ac:dyDescent="0.2">
      <c r="A6" s="55" t="s">
        <v>2</v>
      </c>
      <c r="B6" s="46">
        <f t="shared" ref="B6:C6" si="0">B8+B15+B26+B29+B40+B45+B58+B62+B67+B72+B77+B92+B98+B103+B106+B119+B123+B129+B134+B137+B142</f>
        <v>26634885.396760009</v>
      </c>
      <c r="C6" s="46">
        <f t="shared" si="0"/>
        <v>30649233.308270004</v>
      </c>
      <c r="D6" s="47">
        <f t="shared" ref="D6" si="1">D8+D15+D26+D29+D40+D45+D58+D62+D67+D72+D77+D92+D98+D103+D106+D119+D123+D129+D134+D137+D142</f>
        <v>29147779.394449998</v>
      </c>
      <c r="E6" s="32">
        <v>99.999999999999957</v>
      </c>
      <c r="F6" s="36">
        <f>F8+F15+F26+F29+F40+F45+F58+F62+F67+F72+F77+F92+F98+F103+F106+F119+F123+F129+F134+F137+F142</f>
        <v>100.00000000000001</v>
      </c>
      <c r="G6" s="59">
        <f>G8+G15+G26+G29+G40+G45+G58+G62+G67+G72+G77+G92+G98+G103+G106+G119+G123+G129+G134+G137+G142</f>
        <v>100</v>
      </c>
      <c r="H6" s="32">
        <v>11.51463807043463</v>
      </c>
      <c r="I6" s="32">
        <f>((C6-B6)/B6)*100</f>
        <v>15.071767164420832</v>
      </c>
      <c r="J6" s="32">
        <f>((D6-C6)/C6)*100</f>
        <v>-4.8988302536588169</v>
      </c>
      <c r="K6" s="35"/>
      <c r="L6" s="8"/>
      <c r="M6" s="34"/>
      <c r="N6" s="34"/>
      <c r="O6" s="34"/>
      <c r="P6" s="34"/>
      <c r="Q6" s="34"/>
      <c r="R6" s="34"/>
      <c r="S6" s="34"/>
      <c r="T6" s="34"/>
      <c r="U6" s="34"/>
    </row>
    <row r="7" spans="1:21" s="9" customFormat="1" ht="19.5" customHeight="1" x14ac:dyDescent="0.2">
      <c r="A7" s="10" t="s">
        <v>3</v>
      </c>
      <c r="B7" s="1"/>
      <c r="C7" s="1"/>
      <c r="D7" s="48"/>
      <c r="E7" s="33"/>
      <c r="F7" s="33"/>
      <c r="G7" s="57"/>
      <c r="H7" s="32"/>
      <c r="I7" s="32"/>
      <c r="J7" s="32"/>
      <c r="K7" s="12"/>
      <c r="L7" s="13"/>
      <c r="M7" s="12"/>
      <c r="N7" s="12"/>
      <c r="O7" s="12"/>
      <c r="P7" s="12"/>
      <c r="Q7" s="12"/>
      <c r="R7" s="12"/>
      <c r="S7" s="12"/>
      <c r="T7" s="12"/>
      <c r="U7" s="12"/>
    </row>
    <row r="8" spans="1:21" s="9" customFormat="1" ht="19.5" customHeight="1" x14ac:dyDescent="0.2">
      <c r="A8" s="55" t="s">
        <v>4</v>
      </c>
      <c r="B8" s="38">
        <f>SUM(B9:B13)</f>
        <v>1784856.2001800002</v>
      </c>
      <c r="C8" s="38">
        <f>SUM(C9:C13)</f>
        <v>1913126.0952300001</v>
      </c>
      <c r="D8" s="49">
        <f>SUM(D9:D13)</f>
        <v>1876753.2120099999</v>
      </c>
      <c r="E8" s="32">
        <v>6.7011972215848852</v>
      </c>
      <c r="F8" s="32">
        <f>C8/$C$6*100</f>
        <v>6.2420031065305182</v>
      </c>
      <c r="G8" s="4">
        <f>D8/$D$6*100</f>
        <v>6.4387519426860713</v>
      </c>
      <c r="H8" s="32">
        <v>25.162288733862383</v>
      </c>
      <c r="I8" s="32">
        <f t="shared" ref="I8:I13" si="2">((C8-B8)/B8)*100</f>
        <v>7.1865674689683177</v>
      </c>
      <c r="J8" s="32">
        <f>((D8-C8)/C8)*100</f>
        <v>-1.9012276979906737</v>
      </c>
      <c r="K8" s="13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s="9" customFormat="1" ht="19.5" customHeight="1" x14ac:dyDescent="0.2">
      <c r="A9" s="14" t="s">
        <v>5</v>
      </c>
      <c r="B9" s="2">
        <v>910.23315000000002</v>
      </c>
      <c r="C9" s="2">
        <v>1911.64877</v>
      </c>
      <c r="D9" s="60">
        <v>3181.8244100000002</v>
      </c>
      <c r="E9" s="33">
        <v>3.4174472179659726E-3</v>
      </c>
      <c r="F9" s="33">
        <f>C9/$C$6*100</f>
        <v>6.2371830015212314E-3</v>
      </c>
      <c r="G9" s="57">
        <f>D9/$D$6*100</f>
        <v>1.0916181184649177E-2</v>
      </c>
      <c r="H9" s="33">
        <v>-76.306301879503266</v>
      </c>
      <c r="I9" s="33">
        <f t="shared" si="2"/>
        <v>110.01748508060818</v>
      </c>
      <c r="J9" s="32">
        <f>((D9-C9)/C9)*100</f>
        <v>66.443985942041024</v>
      </c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</row>
    <row r="10" spans="1:21" s="9" customFormat="1" ht="19.5" customHeight="1" x14ac:dyDescent="0.2">
      <c r="A10" s="14" t="s">
        <v>6</v>
      </c>
      <c r="B10" s="2">
        <v>748149.57110999932</v>
      </c>
      <c r="C10" s="2">
        <v>746908.46537999995</v>
      </c>
      <c r="D10" s="60">
        <v>742834.62384000001</v>
      </c>
      <c r="E10" s="33">
        <v>2.8089085421820799</v>
      </c>
      <c r="F10" s="33">
        <f t="shared" ref="F10:F73" si="3">C10/$C$6*100</f>
        <v>2.4369564415122369</v>
      </c>
      <c r="G10" s="57">
        <f>D10/$D$6*100</f>
        <v>2.5485118910342877</v>
      </c>
      <c r="H10" s="33">
        <v>37.406270432065952</v>
      </c>
      <c r="I10" s="33">
        <f t="shared" si="2"/>
        <v>-0.16589005433204906</v>
      </c>
      <c r="J10" s="32">
        <f t="shared" ref="J10:J70" si="4">((D10-C10)/C10)*100</f>
        <v>-0.54542714788047186</v>
      </c>
    </row>
    <row r="11" spans="1:21" s="9" customFormat="1" ht="19.5" customHeight="1" x14ac:dyDescent="0.2">
      <c r="A11" s="14" t="s">
        <v>7</v>
      </c>
      <c r="B11" s="2">
        <v>300514.88207000011</v>
      </c>
      <c r="C11" s="2">
        <v>342114.57923000003</v>
      </c>
      <c r="D11" s="60">
        <v>339288.47610000003</v>
      </c>
      <c r="E11" s="33">
        <v>1.1282754838004903</v>
      </c>
      <c r="F11" s="33">
        <f>C11/$C$6*100</f>
        <v>1.1162255701113677</v>
      </c>
      <c r="G11" s="57">
        <f t="shared" ref="G11" si="5">D11/$D$6*100</f>
        <v>1.1640285577453069</v>
      </c>
      <c r="H11" s="33">
        <v>21.533575642566241</v>
      </c>
      <c r="I11" s="33">
        <f t="shared" si="2"/>
        <v>13.842807675098747</v>
      </c>
      <c r="J11" s="32">
        <f t="shared" si="4"/>
        <v>-0.82606918897193315</v>
      </c>
    </row>
    <row r="12" spans="1:21" s="9" customFormat="1" ht="19.5" customHeight="1" x14ac:dyDescent="0.2">
      <c r="A12" s="14" t="s">
        <v>8</v>
      </c>
      <c r="B12" s="2">
        <v>732746.62338000059</v>
      </c>
      <c r="C12" s="2">
        <v>819199.92440999998</v>
      </c>
      <c r="D12" s="60">
        <v>788818.82570000004</v>
      </c>
      <c r="E12" s="33">
        <v>2.751078566567196</v>
      </c>
      <c r="F12" s="33">
        <f t="shared" si="3"/>
        <v>2.6728235456022231</v>
      </c>
      <c r="G12" s="57">
        <f>D12/$D$6*100</f>
        <v>2.7062741728112512</v>
      </c>
      <c r="H12" s="33">
        <v>16.620328106224218</v>
      </c>
      <c r="I12" s="33">
        <f t="shared" si="2"/>
        <v>11.798526021342703</v>
      </c>
      <c r="J12" s="32">
        <f>((D12-C12)/C12)*100</f>
        <v>-3.7086305558293176</v>
      </c>
    </row>
    <row r="13" spans="1:21" s="9" customFormat="1" ht="19.5" customHeight="1" x14ac:dyDescent="0.2">
      <c r="A13" s="14" t="s">
        <v>9</v>
      </c>
      <c r="B13" s="2">
        <v>2534.8904699999994</v>
      </c>
      <c r="C13" s="2">
        <v>2991.4774400000001</v>
      </c>
      <c r="D13" s="60">
        <v>2629.4619600000001</v>
      </c>
      <c r="E13" s="33">
        <v>9.5171818171530601E-3</v>
      </c>
      <c r="F13" s="33">
        <f t="shared" si="3"/>
        <v>9.7603663031688871E-3</v>
      </c>
      <c r="G13" s="57">
        <f>D13/$D$6*100</f>
        <v>9.0211399105781399E-3</v>
      </c>
      <c r="H13" s="33">
        <v>19.299651981525045</v>
      </c>
      <c r="I13" s="33">
        <f t="shared" si="2"/>
        <v>18.012098566136501</v>
      </c>
      <c r="J13" s="32">
        <f>((D13-C13)/C13)*100</f>
        <v>-12.101561427787335</v>
      </c>
    </row>
    <row r="14" spans="1:21" s="9" customFormat="1" ht="19.5" customHeight="1" x14ac:dyDescent="0.2">
      <c r="A14" s="10" t="s">
        <v>10</v>
      </c>
      <c r="B14" s="1"/>
      <c r="C14" s="1"/>
      <c r="D14" s="48"/>
      <c r="E14" s="33"/>
      <c r="F14" s="33"/>
      <c r="G14" s="57"/>
      <c r="H14" s="32"/>
      <c r="I14" s="32"/>
      <c r="J14" s="32"/>
    </row>
    <row r="15" spans="1:21" s="9" customFormat="1" ht="19.5" customHeight="1" x14ac:dyDescent="0.2">
      <c r="A15" s="55" t="s">
        <v>11</v>
      </c>
      <c r="B15" s="38">
        <f>SUM(B16:B24)</f>
        <v>1828228.9638200006</v>
      </c>
      <c r="C15" s="38">
        <f>SUM(C16:C24)</f>
        <v>1946313.1851300001</v>
      </c>
      <c r="D15" s="49">
        <f>SUM(D16:D24)</f>
        <v>2066082.1885500001</v>
      </c>
      <c r="E15" s="32">
        <v>6.8640391598696153</v>
      </c>
      <c r="F15" s="32">
        <f t="shared" si="3"/>
        <v>6.3502834330437601</v>
      </c>
      <c r="G15" s="4">
        <f>D15/$D$6*100</f>
        <v>7.0883004862572863</v>
      </c>
      <c r="H15" s="32">
        <v>16.947650687670151</v>
      </c>
      <c r="I15" s="32">
        <f t="shared" ref="I15:I24" si="6">((C15-B15)/B15)*100</f>
        <v>6.4589405182197694</v>
      </c>
      <c r="J15" s="32">
        <f t="shared" si="4"/>
        <v>6.1536346943053895</v>
      </c>
    </row>
    <row r="16" spans="1:21" s="9" customFormat="1" ht="19.5" customHeight="1" x14ac:dyDescent="0.2">
      <c r="A16" s="14" t="s">
        <v>12</v>
      </c>
      <c r="B16" s="2">
        <v>23191.915790000014</v>
      </c>
      <c r="C16" s="2">
        <v>21055.316340000001</v>
      </c>
      <c r="D16" s="60">
        <v>19821.789670000002</v>
      </c>
      <c r="E16" s="33">
        <v>8.7073458152822303E-2</v>
      </c>
      <c r="F16" s="33">
        <f>C16/$C$6*100</f>
        <v>6.8697693440568711E-2</v>
      </c>
      <c r="G16" s="57">
        <f>D16/$D$6*100</f>
        <v>6.8004458939243409E-2</v>
      </c>
      <c r="H16" s="33">
        <v>10.303700034622928</v>
      </c>
      <c r="I16" s="33">
        <f t="shared" si="6"/>
        <v>-9.2126906174835295</v>
      </c>
      <c r="J16" s="32">
        <f t="shared" si="4"/>
        <v>-5.8585045699674305</v>
      </c>
    </row>
    <row r="17" spans="1:10" s="9" customFormat="1" ht="19.5" customHeight="1" x14ac:dyDescent="0.2">
      <c r="A17" s="14" t="s">
        <v>13</v>
      </c>
      <c r="B17" s="2">
        <v>593253.22146000003</v>
      </c>
      <c r="C17" s="2">
        <v>626590.59034</v>
      </c>
      <c r="D17" s="60">
        <v>674521.00497999997</v>
      </c>
      <c r="E17" s="33">
        <v>2.2273541358363276</v>
      </c>
      <c r="F17" s="33">
        <f t="shared" si="3"/>
        <v>2.0443923801869741</v>
      </c>
      <c r="G17" s="57">
        <f t="shared" ref="G17:G24" si="7">D17/$D$6*100</f>
        <v>2.3141419998136628</v>
      </c>
      <c r="H17" s="33">
        <v>16.919524682808202</v>
      </c>
      <c r="I17" s="33">
        <f t="shared" si="6"/>
        <v>5.6194164100713158</v>
      </c>
      <c r="J17" s="32">
        <f t="shared" si="4"/>
        <v>7.649399046032916</v>
      </c>
    </row>
    <row r="18" spans="1:10" s="9" customFormat="1" ht="19.5" customHeight="1" x14ac:dyDescent="0.2">
      <c r="A18" s="14" t="s">
        <v>14</v>
      </c>
      <c r="B18" s="2">
        <v>566868.97614000074</v>
      </c>
      <c r="C18" s="2">
        <v>630403.45322000002</v>
      </c>
      <c r="D18" s="60">
        <v>658510.01085000008</v>
      </c>
      <c r="E18" s="33">
        <v>2.1282951576317175</v>
      </c>
      <c r="F18" s="33">
        <f t="shared" si="3"/>
        <v>2.0568327007706904</v>
      </c>
      <c r="G18" s="57">
        <f t="shared" si="7"/>
        <v>2.2592115918627624</v>
      </c>
      <c r="H18" s="33">
        <v>11.134774223021978</v>
      </c>
      <c r="I18" s="33">
        <f t="shared" si="6"/>
        <v>11.207965112613264</v>
      </c>
      <c r="J18" s="32">
        <f t="shared" si="4"/>
        <v>4.4585031199363288</v>
      </c>
    </row>
    <row r="19" spans="1:10" s="9" customFormat="1" ht="19.5" customHeight="1" x14ac:dyDescent="0.2">
      <c r="A19" s="14" t="s">
        <v>15</v>
      </c>
      <c r="B19" s="2">
        <v>127925.64007000008</v>
      </c>
      <c r="C19" s="2">
        <v>138195.11662000002</v>
      </c>
      <c r="D19" s="60">
        <v>180572.70681999999</v>
      </c>
      <c r="E19" s="33">
        <v>0.48029356298849152</v>
      </c>
      <c r="F19" s="33">
        <f t="shared" si="3"/>
        <v>0.45089257284198092</v>
      </c>
      <c r="G19" s="57">
        <f t="shared" si="7"/>
        <v>0.61950759396231292</v>
      </c>
      <c r="H19" s="33">
        <v>6.7883185318910284</v>
      </c>
      <c r="I19" s="33">
        <f t="shared" si="6"/>
        <v>8.0276921376985424</v>
      </c>
      <c r="J19" s="32">
        <f t="shared" si="4"/>
        <v>30.665041744222503</v>
      </c>
    </row>
    <row r="20" spans="1:10" s="9" customFormat="1" ht="19.5" customHeight="1" x14ac:dyDescent="0.2">
      <c r="A20" s="14" t="s">
        <v>16</v>
      </c>
      <c r="B20" s="2">
        <v>290189.89568999998</v>
      </c>
      <c r="C20" s="2">
        <v>293973.44345999998</v>
      </c>
      <c r="D20" s="60">
        <v>315517.59697000001</v>
      </c>
      <c r="E20" s="33">
        <v>1.0895105849612554</v>
      </c>
      <c r="F20" s="33">
        <f t="shared" si="3"/>
        <v>0.95915431392105299</v>
      </c>
      <c r="G20" s="57">
        <f t="shared" si="7"/>
        <v>1.0824755899932379</v>
      </c>
      <c r="H20" s="33">
        <v>23.124714047797873</v>
      </c>
      <c r="I20" s="33">
        <f t="shared" si="6"/>
        <v>1.3038178882843805</v>
      </c>
      <c r="J20" s="32">
        <f t="shared" si="4"/>
        <v>7.3286053517046605</v>
      </c>
    </row>
    <row r="21" spans="1:10" s="9" customFormat="1" ht="19.5" customHeight="1" x14ac:dyDescent="0.2">
      <c r="A21" s="14" t="s">
        <v>17</v>
      </c>
      <c r="B21" s="2">
        <v>204675.239</v>
      </c>
      <c r="C21" s="2">
        <v>190817.00481000001</v>
      </c>
      <c r="D21" s="60">
        <v>188762.95777000001</v>
      </c>
      <c r="E21" s="33">
        <v>0.76844798072567511</v>
      </c>
      <c r="F21" s="33">
        <f t="shared" si="3"/>
        <v>0.62258328908512162</v>
      </c>
      <c r="G21" s="57">
        <f t="shared" si="7"/>
        <v>0.64760665028891429</v>
      </c>
      <c r="H21" s="33">
        <v>37.55242316829186</v>
      </c>
      <c r="I21" s="33">
        <f t="shared" si="6"/>
        <v>-6.7708406047103669</v>
      </c>
      <c r="J21" s="32">
        <f t="shared" si="4"/>
        <v>-1.0764486331002088</v>
      </c>
    </row>
    <row r="22" spans="1:10" s="9" customFormat="1" ht="19.5" customHeight="1" x14ac:dyDescent="0.2">
      <c r="A22" s="14" t="s">
        <v>18</v>
      </c>
      <c r="B22" s="2">
        <v>16523.300289999988</v>
      </c>
      <c r="C22" s="2">
        <v>37225.878799999999</v>
      </c>
      <c r="D22" s="60">
        <v>20705.727899999998</v>
      </c>
      <c r="E22" s="33">
        <v>6.2036310815176098E-2</v>
      </c>
      <c r="F22" s="33">
        <f t="shared" si="3"/>
        <v>0.12145778142501019</v>
      </c>
      <c r="G22" s="57">
        <f>D22/$D$6*100</f>
        <v>7.1037068106610396E-2</v>
      </c>
      <c r="H22" s="33">
        <v>9.0131140267467824</v>
      </c>
      <c r="I22" s="33">
        <f t="shared" si="6"/>
        <v>125.29324134192095</v>
      </c>
      <c r="J22" s="32">
        <f t="shared" si="4"/>
        <v>-44.378135406168035</v>
      </c>
    </row>
    <row r="23" spans="1:10" s="9" customFormat="1" ht="19.5" customHeight="1" x14ac:dyDescent="0.2">
      <c r="A23" s="14" t="s">
        <v>19</v>
      </c>
      <c r="B23" s="2">
        <v>1756.5224200000002</v>
      </c>
      <c r="C23" s="2">
        <v>1935.2410300000001</v>
      </c>
      <c r="D23" s="60">
        <v>2507.4795899999999</v>
      </c>
      <c r="E23" s="33">
        <v>6.594818764317536E-3</v>
      </c>
      <c r="F23" s="33">
        <f t="shared" si="3"/>
        <v>6.3141580428304513E-3</v>
      </c>
      <c r="G23" s="57">
        <f t="shared" si="7"/>
        <v>8.6026436390466404E-3</v>
      </c>
      <c r="H23" s="33">
        <v>-19.868410692214034</v>
      </c>
      <c r="I23" s="33">
        <f t="shared" si="6"/>
        <v>10.174570387777907</v>
      </c>
      <c r="J23" s="32">
        <f t="shared" si="4"/>
        <v>29.569368937987001</v>
      </c>
    </row>
    <row r="24" spans="1:10" s="9" customFormat="1" ht="19.5" customHeight="1" x14ac:dyDescent="0.2">
      <c r="A24" s="16" t="s">
        <v>20</v>
      </c>
      <c r="B24" s="2">
        <v>3844.2529600000007</v>
      </c>
      <c r="C24" s="2">
        <v>6117.1405100000002</v>
      </c>
      <c r="D24" s="60">
        <v>5162.9139999999998</v>
      </c>
      <c r="E24" s="33">
        <v>1.4433149993833402E-2</v>
      </c>
      <c r="F24" s="33">
        <f t="shared" si="3"/>
        <v>1.995854332953062E-2</v>
      </c>
      <c r="G24" s="57">
        <f t="shared" si="7"/>
        <v>1.7712889651494566E-2</v>
      </c>
      <c r="H24" s="33">
        <v>21.742909322195075</v>
      </c>
      <c r="I24" s="33">
        <f t="shared" si="6"/>
        <v>59.124297325116679</v>
      </c>
      <c r="J24" s="32">
        <f t="shared" si="4"/>
        <v>-15.599224971865169</v>
      </c>
    </row>
    <row r="25" spans="1:10" s="9" customFormat="1" ht="27" customHeight="1" x14ac:dyDescent="0.2">
      <c r="A25" s="10" t="s">
        <v>21</v>
      </c>
      <c r="B25" s="1"/>
      <c r="C25" s="1"/>
      <c r="D25" s="48"/>
      <c r="E25" s="32"/>
      <c r="F25" s="33"/>
      <c r="G25" s="57"/>
      <c r="H25" s="32"/>
      <c r="I25" s="32"/>
      <c r="J25" s="32"/>
    </row>
    <row r="26" spans="1:10" s="9" customFormat="1" ht="19.5" customHeight="1" x14ac:dyDescent="0.2">
      <c r="A26" s="55" t="s">
        <v>22</v>
      </c>
      <c r="B26" s="38">
        <f>B27</f>
        <v>155750.13008999996</v>
      </c>
      <c r="C26" s="38">
        <f>C27</f>
        <v>201444.61388999998</v>
      </c>
      <c r="D26" s="49">
        <f>D27</f>
        <v>158538.83133000002</v>
      </c>
      <c r="E26" s="32">
        <v>0.58475990329940042</v>
      </c>
      <c r="F26" s="32">
        <f t="shared" si="3"/>
        <v>0.65725824807384237</v>
      </c>
      <c r="G26" s="4">
        <f>D26/$D$6*100</f>
        <v>0.54391392628759661</v>
      </c>
      <c r="H26" s="32">
        <v>-14.167181588106503</v>
      </c>
      <c r="I26" s="32">
        <f>((C26-B26)/B26)*100</f>
        <v>29.338327854747558</v>
      </c>
      <c r="J26" s="32">
        <f t="shared" si="4"/>
        <v>-21.299046785847011</v>
      </c>
    </row>
    <row r="27" spans="1:10" s="9" customFormat="1" ht="19.5" customHeight="1" x14ac:dyDescent="0.2">
      <c r="A27" s="14" t="s">
        <v>23</v>
      </c>
      <c r="B27" s="2">
        <v>155750.13008999996</v>
      </c>
      <c r="C27" s="2">
        <v>201444.61388999998</v>
      </c>
      <c r="D27" s="60">
        <v>158538.83133000002</v>
      </c>
      <c r="E27" s="33">
        <v>0.58475990329940042</v>
      </c>
      <c r="F27" s="33">
        <f t="shared" si="3"/>
        <v>0.65725824807384237</v>
      </c>
      <c r="G27" s="57">
        <f t="shared" ref="G27:G90" si="8">D27/$D$6*100</f>
        <v>0.54391392628759661</v>
      </c>
      <c r="H27" s="33">
        <v>-14.167181588106503</v>
      </c>
      <c r="I27" s="33">
        <f>((C27-B27)/B27)*100</f>
        <v>29.338327854747558</v>
      </c>
      <c r="J27" s="32">
        <f t="shared" si="4"/>
        <v>-21.299046785847011</v>
      </c>
    </row>
    <row r="28" spans="1:10" s="9" customFormat="1" ht="19.5" customHeight="1" x14ac:dyDescent="0.2">
      <c r="A28" s="10" t="s">
        <v>24</v>
      </c>
      <c r="B28" s="1"/>
      <c r="C28" s="1"/>
      <c r="D28" s="48"/>
      <c r="E28" s="32"/>
      <c r="F28" s="33"/>
      <c r="G28" s="57"/>
      <c r="H28" s="32"/>
      <c r="I28" s="32"/>
      <c r="J28" s="32"/>
    </row>
    <row r="29" spans="1:10" s="9" customFormat="1" ht="19.5" customHeight="1" x14ac:dyDescent="0.2">
      <c r="A29" s="55" t="s">
        <v>25</v>
      </c>
      <c r="B29" s="39">
        <f>SUM(B30:B38)</f>
        <v>2270255.4094999996</v>
      </c>
      <c r="C29" s="39">
        <f>SUM(C30:C38)</f>
        <v>2441450.34913</v>
      </c>
      <c r="D29" s="50">
        <f>SUM(D30:D38)</f>
        <v>2380707.0856900001</v>
      </c>
      <c r="E29" s="32">
        <v>8.5236162111520262</v>
      </c>
      <c r="F29" s="32">
        <f t="shared" si="3"/>
        <v>7.9657795174642416</v>
      </c>
      <c r="G29" s="4">
        <f t="shared" si="8"/>
        <v>8.1677134078464597</v>
      </c>
      <c r="H29" s="32">
        <v>17.64179765699528</v>
      </c>
      <c r="I29" s="32">
        <f t="shared" ref="I29:I38" si="9">((C29-B29)/B29)*100</f>
        <v>7.5407788442492603</v>
      </c>
      <c r="J29" s="32">
        <f t="shared" si="4"/>
        <v>-2.4879991297650386</v>
      </c>
    </row>
    <row r="30" spans="1:10" s="9" customFormat="1" ht="19.5" customHeight="1" x14ac:dyDescent="0.2">
      <c r="A30" s="14" t="s">
        <v>26</v>
      </c>
      <c r="B30" s="2">
        <v>154938.36555999998</v>
      </c>
      <c r="C30" s="2">
        <v>186737.61909999998</v>
      </c>
      <c r="D30" s="60">
        <v>159177.68945999999</v>
      </c>
      <c r="E30" s="33">
        <v>0.5817121540115483</v>
      </c>
      <c r="F30" s="33">
        <f t="shared" si="3"/>
        <v>0.60927337797260017</v>
      </c>
      <c r="G30" s="57">
        <f t="shared" si="8"/>
        <v>0.54610571634252481</v>
      </c>
      <c r="H30" s="33">
        <v>20.842855201863596</v>
      </c>
      <c r="I30" s="33">
        <f t="shared" si="9"/>
        <v>20.523808564177557</v>
      </c>
      <c r="J30" s="32">
        <f t="shared" si="4"/>
        <v>-14.758638228776682</v>
      </c>
    </row>
    <row r="31" spans="1:10" s="9" customFormat="1" ht="19.5" customHeight="1" x14ac:dyDescent="0.2">
      <c r="A31" s="14" t="s">
        <v>27</v>
      </c>
      <c r="B31" s="2">
        <v>268055.96848999988</v>
      </c>
      <c r="C31" s="2">
        <v>165135.14481999999</v>
      </c>
      <c r="D31" s="60">
        <v>168858.00003</v>
      </c>
      <c r="E31" s="33">
        <v>1.0064093180690294</v>
      </c>
      <c r="F31" s="33">
        <f t="shared" si="3"/>
        <v>0.53879045899475075</v>
      </c>
      <c r="G31" s="57">
        <f t="shared" si="8"/>
        <v>0.57931685891019236</v>
      </c>
      <c r="H31" s="33">
        <v>51.550713141507551</v>
      </c>
      <c r="I31" s="33">
        <f t="shared" si="9"/>
        <v>-38.39527403540707</v>
      </c>
      <c r="J31" s="32">
        <f t="shared" si="4"/>
        <v>2.2544293730192821</v>
      </c>
    </row>
    <row r="32" spans="1:10" s="9" customFormat="1" ht="19.5" customHeight="1" x14ac:dyDescent="0.2">
      <c r="A32" s="14" t="s">
        <v>28</v>
      </c>
      <c r="B32" s="2">
        <v>145705.58549</v>
      </c>
      <c r="C32" s="2">
        <v>159789.99975999998</v>
      </c>
      <c r="D32" s="60">
        <v>155567.62783000001</v>
      </c>
      <c r="E32" s="33">
        <v>0.54704791599262637</v>
      </c>
      <c r="F32" s="33">
        <f t="shared" si="3"/>
        <v>0.52135072402246441</v>
      </c>
      <c r="G32" s="57">
        <f t="shared" si="8"/>
        <v>0.53372034186460704</v>
      </c>
      <c r="H32" s="33">
        <v>28.546335961406054</v>
      </c>
      <c r="I32" s="33">
        <f t="shared" si="9"/>
        <v>9.6663516519527075</v>
      </c>
      <c r="J32" s="32">
        <f t="shared" si="4"/>
        <v>-2.6424506767268583</v>
      </c>
    </row>
    <row r="33" spans="1:10" s="9" customFormat="1" ht="19.5" customHeight="1" x14ac:dyDescent="0.2">
      <c r="A33" s="14" t="s">
        <v>29</v>
      </c>
      <c r="B33" s="2">
        <v>347488.68813999969</v>
      </c>
      <c r="C33" s="2">
        <v>378290.77137999999</v>
      </c>
      <c r="D33" s="60">
        <v>405754.90587999998</v>
      </c>
      <c r="E33" s="33">
        <v>1.3046374443280684</v>
      </c>
      <c r="F33" s="33">
        <f t="shared" si="3"/>
        <v>1.2342585133375157</v>
      </c>
      <c r="G33" s="57">
        <f t="shared" si="8"/>
        <v>1.3920611254429194</v>
      </c>
      <c r="H33" s="33">
        <v>16.866958251674596</v>
      </c>
      <c r="I33" s="33">
        <f t="shared" si="9"/>
        <v>8.8641973944171806</v>
      </c>
      <c r="J33" s="32">
        <f t="shared" si="4"/>
        <v>7.2600593453049793</v>
      </c>
    </row>
    <row r="34" spans="1:10" s="9" customFormat="1" ht="19.5" customHeight="1" x14ac:dyDescent="0.2">
      <c r="A34" s="14" t="s">
        <v>30</v>
      </c>
      <c r="B34" s="2">
        <v>336304.47775999975</v>
      </c>
      <c r="C34" s="2">
        <v>371849.89636000001</v>
      </c>
      <c r="D34" s="60">
        <v>324869.62004000001</v>
      </c>
      <c r="E34" s="33">
        <v>1.262646610827578</v>
      </c>
      <c r="F34" s="33">
        <f t="shared" si="3"/>
        <v>1.2132437135374108</v>
      </c>
      <c r="G34" s="57">
        <f t="shared" si="8"/>
        <v>1.114560446075896</v>
      </c>
      <c r="H34" s="33">
        <v>9.877192486848795</v>
      </c>
      <c r="I34" s="33">
        <f t="shared" si="9"/>
        <v>10.569415797480666</v>
      </c>
      <c r="J34" s="32">
        <f t="shared" si="4"/>
        <v>-12.634204494847262</v>
      </c>
    </row>
    <row r="35" spans="1:10" s="9" customFormat="1" ht="19.5" customHeight="1" x14ac:dyDescent="0.2">
      <c r="A35" s="14" t="s">
        <v>31</v>
      </c>
      <c r="B35" s="2">
        <v>313675.37587999983</v>
      </c>
      <c r="C35" s="2">
        <v>345460.36193000001</v>
      </c>
      <c r="D35" s="60">
        <v>369172.13701999997</v>
      </c>
      <c r="E35" s="33">
        <v>1.1776862231896696</v>
      </c>
      <c r="F35" s="33">
        <f t="shared" si="3"/>
        <v>1.1271419368157094</v>
      </c>
      <c r="G35" s="57">
        <f t="shared" si="8"/>
        <v>1.2665532149948058</v>
      </c>
      <c r="H35" s="33">
        <v>15.023256383987057</v>
      </c>
      <c r="I35" s="33">
        <f t="shared" si="9"/>
        <v>10.133082955851751</v>
      </c>
      <c r="J35" s="32">
        <f t="shared" si="4"/>
        <v>6.8638193272097077</v>
      </c>
    </row>
    <row r="36" spans="1:10" s="9" customFormat="1" ht="19.5" customHeight="1" x14ac:dyDescent="0.2">
      <c r="A36" s="14" t="s">
        <v>32</v>
      </c>
      <c r="B36" s="2">
        <v>488662.58886000054</v>
      </c>
      <c r="C36" s="2">
        <v>591680.01944000006</v>
      </c>
      <c r="D36" s="60">
        <v>548396.47464999999</v>
      </c>
      <c r="E36" s="33">
        <v>1.8346712650749522</v>
      </c>
      <c r="F36" s="33">
        <f t="shared" si="3"/>
        <v>1.9304888102383577</v>
      </c>
      <c r="G36" s="57">
        <f t="shared" si="8"/>
        <v>1.8814348332635578</v>
      </c>
      <c r="H36" s="33">
        <v>11.178711687512763</v>
      </c>
      <c r="I36" s="33">
        <f t="shared" si="9"/>
        <v>21.081505506760518</v>
      </c>
      <c r="J36" s="32">
        <f t="shared" si="4"/>
        <v>-7.3153636032810612</v>
      </c>
    </row>
    <row r="37" spans="1:10" s="9" customFormat="1" ht="19.5" customHeight="1" x14ac:dyDescent="0.2">
      <c r="A37" s="14" t="s">
        <v>33</v>
      </c>
      <c r="B37" s="2">
        <v>5595.8752800000011</v>
      </c>
      <c r="C37" s="2">
        <v>6407.2832900000003</v>
      </c>
      <c r="D37" s="60">
        <v>5413.5951599999999</v>
      </c>
      <c r="E37" s="33">
        <v>2.1009571457291532E-2</v>
      </c>
      <c r="F37" s="33">
        <f t="shared" si="3"/>
        <v>2.0905199244482045E-2</v>
      </c>
      <c r="G37" s="57">
        <f t="shared" si="8"/>
        <v>1.8572924841851926E-2</v>
      </c>
      <c r="H37" s="33">
        <v>70.036665200994534</v>
      </c>
      <c r="I37" s="33">
        <f t="shared" si="9"/>
        <v>14.500108908788958</v>
      </c>
      <c r="J37" s="32">
        <f t="shared" si="4"/>
        <v>-15.508727880830136</v>
      </c>
    </row>
    <row r="38" spans="1:10" s="9" customFormat="1" ht="19.5" customHeight="1" x14ac:dyDescent="0.2">
      <c r="A38" s="14" t="s">
        <v>34</v>
      </c>
      <c r="B38" s="2">
        <v>209828.48404000007</v>
      </c>
      <c r="C38" s="2">
        <v>236099.25305</v>
      </c>
      <c r="D38" s="60">
        <v>243497.03562000001</v>
      </c>
      <c r="E38" s="33">
        <v>0.78779570820126221</v>
      </c>
      <c r="F38" s="33">
        <f t="shared" si="3"/>
        <v>0.77032678330095106</v>
      </c>
      <c r="G38" s="57">
        <f t="shared" si="8"/>
        <v>0.83538794611010425</v>
      </c>
      <c r="H38" s="33">
        <v>9.0422824436364042</v>
      </c>
      <c r="I38" s="33">
        <f t="shared" si="9"/>
        <v>12.52011571745992</v>
      </c>
      <c r="J38" s="32">
        <f t="shared" si="4"/>
        <v>3.1333358638086595</v>
      </c>
    </row>
    <row r="39" spans="1:10" s="9" customFormat="1" ht="19.5" customHeight="1" x14ac:dyDescent="0.2">
      <c r="A39" s="10" t="s">
        <v>35</v>
      </c>
      <c r="B39" s="1"/>
      <c r="C39" s="1"/>
      <c r="D39" s="48"/>
      <c r="E39" s="32"/>
      <c r="F39" s="33"/>
      <c r="G39" s="57"/>
      <c r="H39" s="32"/>
      <c r="I39" s="32"/>
      <c r="J39" s="32"/>
    </row>
    <row r="40" spans="1:10" s="9" customFormat="1" ht="19.5" customHeight="1" x14ac:dyDescent="0.2">
      <c r="A40" s="55" t="s">
        <v>36</v>
      </c>
      <c r="B40" s="38">
        <f>SUM(B41:B43)</f>
        <v>8389026.1906900015</v>
      </c>
      <c r="C40" s="38">
        <f>SUM(C41:C43)</f>
        <v>9647042.2125500012</v>
      </c>
      <c r="D40" s="49">
        <f>SUM(D41:D43)</f>
        <v>5717767.5734000001</v>
      </c>
      <c r="E40" s="32">
        <v>31.496385532450915</v>
      </c>
      <c r="F40" s="32">
        <f t="shared" si="3"/>
        <v>31.475639587848892</v>
      </c>
      <c r="G40" s="4">
        <f t="shared" si="8"/>
        <v>19.616477454501098</v>
      </c>
      <c r="H40" s="32">
        <v>2.5430295711334319</v>
      </c>
      <c r="I40" s="32">
        <f>((C40-B40)/B40)*100</f>
        <v>14.995972038520092</v>
      </c>
      <c r="J40" s="32">
        <f t="shared" si="4"/>
        <v>-40.730356025998738</v>
      </c>
    </row>
    <row r="41" spans="1:10" s="9" customFormat="1" ht="19.5" customHeight="1" x14ac:dyDescent="0.2">
      <c r="A41" s="14" t="s">
        <v>37</v>
      </c>
      <c r="B41" s="2">
        <v>641915.21725000022</v>
      </c>
      <c r="C41" s="2">
        <v>855554.21826999995</v>
      </c>
      <c r="D41" s="60">
        <v>1263797.3763499998</v>
      </c>
      <c r="E41" s="33">
        <v>2.4100543617435117</v>
      </c>
      <c r="F41" s="33">
        <f t="shared" si="3"/>
        <v>2.7914375856153897</v>
      </c>
      <c r="G41" s="57">
        <f t="shared" si="8"/>
        <v>4.3358273000743175</v>
      </c>
      <c r="H41" s="33">
        <v>-2.7900420508478283</v>
      </c>
      <c r="I41" s="33">
        <f>((C41-B41)/B41)*100</f>
        <v>33.281498129182992</v>
      </c>
      <c r="J41" s="32">
        <f t="shared" si="4"/>
        <v>47.716807346879854</v>
      </c>
    </row>
    <row r="42" spans="1:10" s="9" customFormat="1" ht="19.5" customHeight="1" x14ac:dyDescent="0.2">
      <c r="A42" s="14" t="s">
        <v>38</v>
      </c>
      <c r="B42" s="2">
        <v>4603.2478000000001</v>
      </c>
      <c r="C42" s="2">
        <v>1029.1798799999999</v>
      </c>
      <c r="D42" s="60">
        <v>1092.7235900000001</v>
      </c>
      <c r="E42" s="33">
        <v>1.7282776822309737E-2</v>
      </c>
      <c r="F42" s="33">
        <f t="shared" si="3"/>
        <v>3.3579302609253164E-3</v>
      </c>
      <c r="G42" s="57">
        <f t="shared" si="8"/>
        <v>3.7489085367788414E-3</v>
      </c>
      <c r="H42" s="33">
        <v>-2.5732086678712114</v>
      </c>
      <c r="I42" s="33">
        <f>((C42-B42)/B42)*100</f>
        <v>-77.642309849146088</v>
      </c>
      <c r="J42" s="32">
        <f t="shared" si="4"/>
        <v>6.1742083415000444</v>
      </c>
    </row>
    <row r="43" spans="1:10" s="9" customFormat="1" ht="19.5" customHeight="1" x14ac:dyDescent="0.2">
      <c r="A43" s="14" t="s">
        <v>39</v>
      </c>
      <c r="B43" s="2">
        <v>7742507.7256400017</v>
      </c>
      <c r="C43" s="2">
        <v>8790458.8144000005</v>
      </c>
      <c r="D43" s="60">
        <v>4452877.47346</v>
      </c>
      <c r="E43" s="33">
        <v>29.069048393885101</v>
      </c>
      <c r="F43" s="33">
        <f t="shared" si="3"/>
        <v>28.680844071972572</v>
      </c>
      <c r="G43" s="57">
        <f t="shared" si="8"/>
        <v>15.276901245889999</v>
      </c>
      <c r="H43" s="33">
        <v>3.0148027383339748</v>
      </c>
      <c r="I43" s="33">
        <f>((C43-B43)/B43)*100</f>
        <v>13.53503446034178</v>
      </c>
      <c r="J43" s="32">
        <f t="shared" si="4"/>
        <v>-49.344197299854656</v>
      </c>
    </row>
    <row r="44" spans="1:10" s="9" customFormat="1" ht="19.5" customHeight="1" x14ac:dyDescent="0.2">
      <c r="A44" s="10" t="s">
        <v>40</v>
      </c>
      <c r="B44" s="1"/>
      <c r="C44" s="1"/>
      <c r="D44" s="48"/>
      <c r="E44" s="32"/>
      <c r="F44" s="33"/>
      <c r="G44" s="57"/>
      <c r="H44" s="32"/>
      <c r="I44" s="32"/>
      <c r="J44" s="32"/>
    </row>
    <row r="45" spans="1:10" s="9" customFormat="1" ht="16.5" customHeight="1" x14ac:dyDescent="0.2">
      <c r="A45" s="55" t="s">
        <v>41</v>
      </c>
      <c r="B45" s="40">
        <f>SUM(B46:B56)</f>
        <v>1189263.5340300004</v>
      </c>
      <c r="C45" s="40">
        <f>SUM(C46:C56)</f>
        <v>1487217.2647800001</v>
      </c>
      <c r="D45" s="51">
        <f>SUM(D46:D56)</f>
        <v>1536770.7530100001</v>
      </c>
      <c r="E45" s="32">
        <v>4.4650597001429864</v>
      </c>
      <c r="F45" s="32">
        <f t="shared" si="3"/>
        <v>4.8523799920917039</v>
      </c>
      <c r="G45" s="4">
        <f t="shared" si="8"/>
        <v>5.2723424732060904</v>
      </c>
      <c r="H45" s="32">
        <v>-0.5383244590423425</v>
      </c>
      <c r="I45" s="32">
        <f t="shared" ref="I45:I56" si="10">((C45-B45)/B45)*100</f>
        <v>25.05363380144501</v>
      </c>
      <c r="J45" s="32">
        <f t="shared" si="4"/>
        <v>3.3319602591710318</v>
      </c>
    </row>
    <row r="46" spans="1:10" s="9" customFormat="1" ht="19.5" customHeight="1" x14ac:dyDescent="0.2">
      <c r="A46" s="14" t="s">
        <v>42</v>
      </c>
      <c r="B46" s="2">
        <v>15916.822659999998</v>
      </c>
      <c r="C46" s="2">
        <v>16299.150240000001</v>
      </c>
      <c r="D46" s="60">
        <v>16672.688320000001</v>
      </c>
      <c r="E46" s="33">
        <v>5.9759305973721942E-2</v>
      </c>
      <c r="F46" s="33">
        <f t="shared" si="3"/>
        <v>5.3179634466099489E-2</v>
      </c>
      <c r="G46" s="57">
        <f t="shared" si="8"/>
        <v>5.7200543802573972E-2</v>
      </c>
      <c r="H46" s="33">
        <v>9.5395951209729581</v>
      </c>
      <c r="I46" s="33">
        <f t="shared" si="10"/>
        <v>2.4020345527931068</v>
      </c>
      <c r="J46" s="32">
        <f t="shared" si="4"/>
        <v>2.291764138005763</v>
      </c>
    </row>
    <row r="47" spans="1:10" s="9" customFormat="1" ht="19.5" customHeight="1" x14ac:dyDescent="0.2">
      <c r="A47" s="14" t="s">
        <v>43</v>
      </c>
      <c r="B47" s="2">
        <v>7594.373810000001</v>
      </c>
      <c r="C47" s="2">
        <v>13763.645189999999</v>
      </c>
      <c r="D47" s="60">
        <v>17069.611230000002</v>
      </c>
      <c r="E47" s="33">
        <v>2.8512883374087337E-2</v>
      </c>
      <c r="F47" s="33">
        <f t="shared" si="3"/>
        <v>4.4906980385333785E-2</v>
      </c>
      <c r="G47" s="57">
        <f t="shared" si="8"/>
        <v>5.8562304177621885E-2</v>
      </c>
      <c r="H47" s="33">
        <v>-13.972578118711091</v>
      </c>
      <c r="I47" s="33">
        <f t="shared" si="10"/>
        <v>81.23476055229888</v>
      </c>
      <c r="J47" s="32">
        <f t="shared" si="4"/>
        <v>24.019552919033092</v>
      </c>
    </row>
    <row r="48" spans="1:10" s="9" customFormat="1" ht="19.5" customHeight="1" x14ac:dyDescent="0.2">
      <c r="A48" s="14" t="s">
        <v>44</v>
      </c>
      <c r="B48" s="2">
        <v>185673.36588000003</v>
      </c>
      <c r="C48" s="2">
        <v>259484.1176</v>
      </c>
      <c r="D48" s="60">
        <v>311593.90243999998</v>
      </c>
      <c r="E48" s="33">
        <v>0.69710593124078613</v>
      </c>
      <c r="F48" s="33">
        <f t="shared" si="3"/>
        <v>0.84662515042418385</v>
      </c>
      <c r="G48" s="57">
        <f t="shared" si="8"/>
        <v>1.0690142059306593</v>
      </c>
      <c r="H48" s="33">
        <v>3.2894254880077365</v>
      </c>
      <c r="I48" s="33">
        <f t="shared" si="10"/>
        <v>39.753010007748543</v>
      </c>
      <c r="J48" s="32">
        <f t="shared" si="4"/>
        <v>20.082071042331872</v>
      </c>
    </row>
    <row r="49" spans="1:10" s="9" customFormat="1" ht="19.5" customHeight="1" x14ac:dyDescent="0.2">
      <c r="A49" s="14" t="s">
        <v>45</v>
      </c>
      <c r="B49" s="2">
        <v>19544.353959999997</v>
      </c>
      <c r="C49" s="2">
        <v>21080.435920000004</v>
      </c>
      <c r="D49" s="60">
        <v>22372.569359999998</v>
      </c>
      <c r="E49" s="33">
        <v>7.3378780005479066E-2</v>
      </c>
      <c r="F49" s="33">
        <f t="shared" si="3"/>
        <v>6.8779651706040959E-2</v>
      </c>
      <c r="G49" s="57">
        <f t="shared" si="8"/>
        <v>7.6755656261965316E-2</v>
      </c>
      <c r="H49" s="33">
        <v>-3.4128783325983845</v>
      </c>
      <c r="I49" s="33">
        <f t="shared" si="10"/>
        <v>7.8594665402795805</v>
      </c>
      <c r="J49" s="32">
        <f t="shared" si="4"/>
        <v>6.1295385204728436</v>
      </c>
    </row>
    <row r="50" spans="1:10" s="9" customFormat="1" ht="19.5" customHeight="1" x14ac:dyDescent="0.2">
      <c r="A50" s="14" t="s">
        <v>46</v>
      </c>
      <c r="B50" s="2">
        <v>177428.71477999983</v>
      </c>
      <c r="C50" s="2">
        <v>223281.14489</v>
      </c>
      <c r="D50" s="60">
        <v>254064.58553000001</v>
      </c>
      <c r="E50" s="33">
        <v>0.66615159831542992</v>
      </c>
      <c r="F50" s="33">
        <f t="shared" si="3"/>
        <v>0.72850482961266316</v>
      </c>
      <c r="G50" s="57">
        <f t="shared" si="8"/>
        <v>0.87164302327050069</v>
      </c>
      <c r="H50" s="33">
        <v>-13.100378315539112</v>
      </c>
      <c r="I50" s="33">
        <f t="shared" si="10"/>
        <v>25.84273361099088</v>
      </c>
      <c r="J50" s="32">
        <f t="shared" si="4"/>
        <v>13.786851843296285</v>
      </c>
    </row>
    <row r="51" spans="1:10" s="9" customFormat="1" ht="19.5" customHeight="1" x14ac:dyDescent="0.2">
      <c r="A51" s="14" t="s">
        <v>47</v>
      </c>
      <c r="B51" s="2">
        <v>388848.08592000022</v>
      </c>
      <c r="C51" s="2">
        <v>471770.21500000003</v>
      </c>
      <c r="D51" s="60">
        <v>419178.79554000002</v>
      </c>
      <c r="E51" s="33">
        <v>1.4599202516835366</v>
      </c>
      <c r="F51" s="33">
        <f t="shared" si="3"/>
        <v>1.5392561707985808</v>
      </c>
      <c r="G51" s="57">
        <f t="shared" si="8"/>
        <v>1.4381157132670472</v>
      </c>
      <c r="H51" s="33">
        <v>-2.4154152766438579</v>
      </c>
      <c r="I51" s="33">
        <f t="shared" si="10"/>
        <v>21.325070659357653</v>
      </c>
      <c r="J51" s="32">
        <f t="shared" si="4"/>
        <v>-11.147676938443434</v>
      </c>
    </row>
    <row r="52" spans="1:10" s="9" customFormat="1" ht="19.5" customHeight="1" x14ac:dyDescent="0.2">
      <c r="A52" s="14" t="s">
        <v>48</v>
      </c>
      <c r="B52" s="2">
        <v>220608.15775000025</v>
      </c>
      <c r="C52" s="2">
        <v>248389.17712000001</v>
      </c>
      <c r="D52" s="60">
        <v>226375.67588</v>
      </c>
      <c r="E52" s="33">
        <v>0.8282677190600416</v>
      </c>
      <c r="F52" s="33">
        <f t="shared" si="3"/>
        <v>0.81042541789447564</v>
      </c>
      <c r="G52" s="57">
        <f t="shared" si="8"/>
        <v>0.77664810350219671</v>
      </c>
      <c r="H52" s="33">
        <v>17.565351222104393</v>
      </c>
      <c r="I52" s="33">
        <f t="shared" si="10"/>
        <v>12.59292478271907</v>
      </c>
      <c r="J52" s="32">
        <f t="shared" si="4"/>
        <v>-8.8625041941199427</v>
      </c>
    </row>
    <row r="53" spans="1:10" s="9" customFormat="1" ht="19.5" customHeight="1" x14ac:dyDescent="0.2">
      <c r="A53" s="14" t="s">
        <v>49</v>
      </c>
      <c r="B53" s="2">
        <v>38543.577389999984</v>
      </c>
      <c r="C53" s="2">
        <v>40018.76485</v>
      </c>
      <c r="D53" s="60">
        <v>50393.118889999998</v>
      </c>
      <c r="E53" s="33">
        <v>0.1447108812966344</v>
      </c>
      <c r="F53" s="33">
        <f t="shared" si="3"/>
        <v>0.13057019876318354</v>
      </c>
      <c r="G53" s="57">
        <f t="shared" si="8"/>
        <v>0.172888363837402</v>
      </c>
      <c r="H53" s="33">
        <v>-15.245577475241809</v>
      </c>
      <c r="I53" s="33">
        <f t="shared" si="10"/>
        <v>3.8273236681521641</v>
      </c>
      <c r="J53" s="32">
        <f t="shared" si="4"/>
        <v>25.923723730318976</v>
      </c>
    </row>
    <row r="54" spans="1:10" s="9" customFormat="1" ht="19.5" customHeight="1" x14ac:dyDescent="0.2">
      <c r="A54" s="14" t="s">
        <v>50</v>
      </c>
      <c r="B54" s="2">
        <v>4321.9939900000008</v>
      </c>
      <c r="C54" s="2">
        <v>6195.6500800000003</v>
      </c>
      <c r="D54" s="60">
        <v>12489.639140000001</v>
      </c>
      <c r="E54" s="33">
        <v>1.6226816543861489E-2</v>
      </c>
      <c r="F54" s="33">
        <f t="shared" si="3"/>
        <v>2.0214698415729194E-2</v>
      </c>
      <c r="G54" s="57">
        <f t="shared" si="8"/>
        <v>4.2849367600120307E-2</v>
      </c>
      <c r="H54" s="33">
        <v>-0.83176156313534821</v>
      </c>
      <c r="I54" s="33">
        <f t="shared" si="10"/>
        <v>43.351658848558444</v>
      </c>
      <c r="J54" s="32">
        <f t="shared" si="4"/>
        <v>101.58722617853202</v>
      </c>
    </row>
    <row r="55" spans="1:10" s="9" customFormat="1" ht="19.5" customHeight="1" x14ac:dyDescent="0.2">
      <c r="A55" s="14" t="s">
        <v>51</v>
      </c>
      <c r="B55" s="2">
        <v>4449.4799799999992</v>
      </c>
      <c r="C55" s="2">
        <v>6159.7465199999997</v>
      </c>
      <c r="D55" s="60">
        <v>6274.4639200000001</v>
      </c>
      <c r="E55" s="33">
        <v>1.6705459451840758E-2</v>
      </c>
      <c r="F55" s="33">
        <f t="shared" si="3"/>
        <v>2.009755499605901E-2</v>
      </c>
      <c r="G55" s="57">
        <f t="shared" si="8"/>
        <v>2.1526387431060067E-2</v>
      </c>
      <c r="H55" s="33">
        <v>-6.7167079673076033</v>
      </c>
      <c r="I55" s="33">
        <f t="shared" si="10"/>
        <v>38.437447694730402</v>
      </c>
      <c r="J55" s="32">
        <f t="shared" si="4"/>
        <v>1.8623720899476308</v>
      </c>
    </row>
    <row r="56" spans="1:10" s="9" customFormat="1" ht="19.5" customHeight="1" x14ac:dyDescent="0.2">
      <c r="A56" s="14" t="s">
        <v>52</v>
      </c>
      <c r="B56" s="2">
        <v>126334.60790999992</v>
      </c>
      <c r="C56" s="2">
        <v>180775.21737</v>
      </c>
      <c r="D56" s="60">
        <v>200285.70275999999</v>
      </c>
      <c r="E56" s="33">
        <v>0.47432007319756608</v>
      </c>
      <c r="F56" s="33">
        <f t="shared" si="3"/>
        <v>0.58981970462935485</v>
      </c>
      <c r="G56" s="57">
        <f t="shared" si="8"/>
        <v>0.6871388041249421</v>
      </c>
      <c r="H56" s="33">
        <v>-0.87120900086248687</v>
      </c>
      <c r="I56" s="33">
        <f t="shared" si="10"/>
        <v>43.092395948055085</v>
      </c>
      <c r="J56" s="32">
        <f t="shared" si="4"/>
        <v>10.792677046028428</v>
      </c>
    </row>
    <row r="57" spans="1:10" s="9" customFormat="1" ht="19.5" customHeight="1" x14ac:dyDescent="0.2">
      <c r="A57" s="10" t="s">
        <v>53</v>
      </c>
      <c r="B57" s="1"/>
      <c r="C57" s="1"/>
      <c r="D57" s="48"/>
      <c r="E57" s="32"/>
      <c r="F57" s="33"/>
      <c r="G57" s="57"/>
      <c r="H57" s="32"/>
      <c r="I57" s="32"/>
      <c r="J57" s="32"/>
    </row>
    <row r="58" spans="1:10" s="9" customFormat="1" ht="19.5" customHeight="1" x14ac:dyDescent="0.2">
      <c r="A58" s="17" t="s">
        <v>54</v>
      </c>
      <c r="B58" s="40">
        <f>SUM(B59:B60)</f>
        <v>662339.02911999857</v>
      </c>
      <c r="C58" s="40">
        <f>SUM(C59:C60)</f>
        <v>903678.81544999988</v>
      </c>
      <c r="D58" s="51">
        <f>SUM(D59:D60)</f>
        <v>995929.29975000001</v>
      </c>
      <c r="E58" s="32">
        <v>2.4867350441108655</v>
      </c>
      <c r="F58" s="32">
        <f t="shared" si="3"/>
        <v>2.9484548809453011</v>
      </c>
      <c r="G58" s="4">
        <f t="shared" si="8"/>
        <v>3.41682735508707</v>
      </c>
      <c r="H58" s="32">
        <v>-3.4120038042317273</v>
      </c>
      <c r="I58" s="32">
        <f>((C58-B58)/B58)*100</f>
        <v>36.437500391702997</v>
      </c>
      <c r="J58" s="32">
        <f t="shared" si="4"/>
        <v>10.208326534031084</v>
      </c>
    </row>
    <row r="59" spans="1:10" s="9" customFormat="1" ht="25.5" customHeight="1" x14ac:dyDescent="0.2">
      <c r="A59" s="14" t="s">
        <v>55</v>
      </c>
      <c r="B59" s="2">
        <v>548669.94985999865</v>
      </c>
      <c r="C59" s="2">
        <v>765060.59614999988</v>
      </c>
      <c r="D59" s="60">
        <v>868954.19128000003</v>
      </c>
      <c r="E59" s="33">
        <v>2.0599673761943103</v>
      </c>
      <c r="F59" s="33">
        <f t="shared" si="3"/>
        <v>2.4961818406843004</v>
      </c>
      <c r="G59" s="57">
        <f t="shared" si="8"/>
        <v>2.9812020309356972</v>
      </c>
      <c r="H59" s="33">
        <v>3.5306611839105071</v>
      </c>
      <c r="I59" s="33">
        <f>((C59-B59)/B59)*100</f>
        <v>39.439128449665695</v>
      </c>
      <c r="J59" s="32">
        <f t="shared" si="4"/>
        <v>13.579786444736788</v>
      </c>
    </row>
    <row r="60" spans="1:10" s="9" customFormat="1" ht="19.5" customHeight="1" x14ac:dyDescent="0.2">
      <c r="A60" s="14" t="s">
        <v>56</v>
      </c>
      <c r="B60" s="2">
        <v>113669.07925999994</v>
      </c>
      <c r="C60" s="2">
        <v>138618.21930000003</v>
      </c>
      <c r="D60" s="60">
        <v>126975.10846999999</v>
      </c>
      <c r="E60" s="33">
        <v>0.42676766791655568</v>
      </c>
      <c r="F60" s="33">
        <f t="shared" si="3"/>
        <v>0.45227304026100068</v>
      </c>
      <c r="G60" s="57">
        <f t="shared" si="8"/>
        <v>0.43562532415137328</v>
      </c>
      <c r="H60" s="33">
        <v>-27.031123784481149</v>
      </c>
      <c r="I60" s="33">
        <f>((C60-B60)/B60)*100</f>
        <v>21.948924195060027</v>
      </c>
      <c r="J60" s="32">
        <f t="shared" si="4"/>
        <v>-8.3994087420801478</v>
      </c>
    </row>
    <row r="61" spans="1:10" s="9" customFormat="1" ht="19.5" customHeight="1" x14ac:dyDescent="0.2">
      <c r="A61" s="10" t="s">
        <v>57</v>
      </c>
      <c r="B61" s="1"/>
      <c r="C61" s="1"/>
      <c r="D61" s="48"/>
      <c r="E61" s="32"/>
      <c r="F61" s="33"/>
      <c r="G61" s="57"/>
      <c r="H61" s="32"/>
      <c r="I61" s="32"/>
      <c r="J61" s="32"/>
    </row>
    <row r="62" spans="1:10" s="9" customFormat="1" ht="19.5" customHeight="1" x14ac:dyDescent="0.2">
      <c r="A62" s="55" t="s">
        <v>58</v>
      </c>
      <c r="B62" s="40">
        <f>SUM(B63:B65)</f>
        <v>47826.017059999947</v>
      </c>
      <c r="C62" s="40">
        <f>SUM(C63:C65)</f>
        <v>57626.670429999998</v>
      </c>
      <c r="D62" s="51">
        <f>SUM(D63:D65)</f>
        <v>53386.486340000003</v>
      </c>
      <c r="E62" s="32">
        <v>0.17956156502110471</v>
      </c>
      <c r="F62" s="32">
        <f t="shared" si="3"/>
        <v>0.18801994115282075</v>
      </c>
      <c r="G62" s="4">
        <f t="shared" si="8"/>
        <v>0.18315798818679571</v>
      </c>
      <c r="H62" s="32">
        <v>31.907019011004596</v>
      </c>
      <c r="I62" s="32">
        <f>((C62-B62)/B62)*100</f>
        <v>20.492305177127083</v>
      </c>
      <c r="J62" s="32">
        <f t="shared" si="4"/>
        <v>-7.3580237385927267</v>
      </c>
    </row>
    <row r="63" spans="1:10" s="9" customFormat="1" ht="19.5" customHeight="1" x14ac:dyDescent="0.2">
      <c r="A63" s="14" t="s">
        <v>59</v>
      </c>
      <c r="B63" s="2">
        <v>71.362460000000013</v>
      </c>
      <c r="C63" s="2">
        <v>90.166809999999998</v>
      </c>
      <c r="D63" s="60">
        <v>259.11998</v>
      </c>
      <c r="E63" s="33">
        <v>2.6792854159860913E-4</v>
      </c>
      <c r="F63" s="33">
        <f t="shared" si="3"/>
        <v>2.941894470674101E-4</v>
      </c>
      <c r="G63" s="57">
        <f t="shared" si="8"/>
        <v>8.8898703566193049E-4</v>
      </c>
      <c r="H63" s="33">
        <v>-87.314862209952125</v>
      </c>
      <c r="I63" s="33">
        <f>((C63-B63)/B63)*100</f>
        <v>26.350478949296285</v>
      </c>
      <c r="J63" s="32">
        <f t="shared" si="4"/>
        <v>187.37844889932339</v>
      </c>
    </row>
    <row r="64" spans="1:10" s="9" customFormat="1" ht="19.5" customHeight="1" x14ac:dyDescent="0.2">
      <c r="A64" s="14" t="s">
        <v>60</v>
      </c>
      <c r="B64" s="2">
        <v>47754.654599999951</v>
      </c>
      <c r="C64" s="2">
        <v>57536.503619999996</v>
      </c>
      <c r="D64" s="60">
        <v>53127.36636</v>
      </c>
      <c r="E64" s="33">
        <v>0.17929363647950611</v>
      </c>
      <c r="F64" s="33">
        <f t="shared" si="3"/>
        <v>0.18772575170575334</v>
      </c>
      <c r="G64" s="57">
        <f t="shared" si="8"/>
        <v>0.18226900115113379</v>
      </c>
      <c r="H64" s="33">
        <v>33.786013905138205</v>
      </c>
      <c r="I64" s="33">
        <f>((C64-B64)/B64)*100</f>
        <v>20.483550979342766</v>
      </c>
      <c r="J64" s="32">
        <f>((D64-C64)/C64)*100</f>
        <v>-7.6631998515588569</v>
      </c>
    </row>
    <row r="65" spans="1:10" s="9" customFormat="1" ht="19.5" customHeight="1" x14ac:dyDescent="0.2">
      <c r="A65" s="14" t="s">
        <v>128</v>
      </c>
      <c r="B65" s="2">
        <v>0</v>
      </c>
      <c r="C65" s="2">
        <v>0</v>
      </c>
      <c r="D65" s="60">
        <v>0</v>
      </c>
      <c r="E65" s="33">
        <v>0</v>
      </c>
      <c r="F65" s="33">
        <f t="shared" si="3"/>
        <v>0</v>
      </c>
      <c r="G65" s="57">
        <f t="shared" si="8"/>
        <v>0</v>
      </c>
      <c r="H65" s="33">
        <v>0</v>
      </c>
      <c r="I65" s="33">
        <v>1</v>
      </c>
      <c r="J65" s="32">
        <v>0</v>
      </c>
    </row>
    <row r="66" spans="1:10" s="9" customFormat="1" ht="19.5" customHeight="1" x14ac:dyDescent="0.2">
      <c r="A66" s="10" t="s">
        <v>61</v>
      </c>
      <c r="B66" s="1"/>
      <c r="C66" s="1"/>
      <c r="D66" s="48"/>
      <c r="E66" s="32"/>
      <c r="F66" s="33"/>
      <c r="G66" s="57"/>
      <c r="H66" s="32"/>
      <c r="I66" s="32"/>
      <c r="J66" s="32"/>
    </row>
    <row r="67" spans="1:10" s="9" customFormat="1" ht="19.5" customHeight="1" x14ac:dyDescent="0.2">
      <c r="A67" s="17" t="s">
        <v>62</v>
      </c>
      <c r="B67" s="40">
        <f>SUM(B68:B70)</f>
        <v>821659.25729000103</v>
      </c>
      <c r="C67" s="40">
        <f>SUM(C68:C70)</f>
        <v>1014268.9285400001</v>
      </c>
      <c r="D67" s="51">
        <f>SUM(D68:D70)</f>
        <v>1393444.5176699997</v>
      </c>
      <c r="E67" s="32">
        <v>3.0848987898778475</v>
      </c>
      <c r="F67" s="32">
        <f t="shared" si="3"/>
        <v>3.3092799364293475</v>
      </c>
      <c r="G67" s="4">
        <f t="shared" si="8"/>
        <v>4.7806198160513187</v>
      </c>
      <c r="H67" s="32">
        <v>10.508248875694537</v>
      </c>
      <c r="I67" s="32">
        <f>((C67-B67)/B67)*100</f>
        <v>23.44155068431467</v>
      </c>
      <c r="J67" s="32">
        <f t="shared" si="4"/>
        <v>37.3841274696059</v>
      </c>
    </row>
    <row r="68" spans="1:10" s="9" customFormat="1" ht="19.5" customHeight="1" x14ac:dyDescent="0.2">
      <c r="A68" s="14" t="s">
        <v>63</v>
      </c>
      <c r="B68" s="2">
        <v>802815.11661000096</v>
      </c>
      <c r="C68" s="2">
        <v>997495.49270000006</v>
      </c>
      <c r="D68" s="60">
        <v>1366569.9826099998</v>
      </c>
      <c r="E68" s="33">
        <v>3.0141489428284118</v>
      </c>
      <c r="F68" s="33">
        <f t="shared" si="3"/>
        <v>3.2545528387845462</v>
      </c>
      <c r="G68" s="57">
        <f t="shared" si="8"/>
        <v>4.6884188469952779</v>
      </c>
      <c r="H68" s="33">
        <v>9.2953504062464152</v>
      </c>
      <c r="I68" s="33">
        <f>((C68-B68)/B68)*100</f>
        <v>24.24971479262426</v>
      </c>
      <c r="J68" s="32">
        <f t="shared" si="4"/>
        <v>37.000116051752435</v>
      </c>
    </row>
    <row r="69" spans="1:10" s="9" customFormat="1" ht="19.5" customHeight="1" x14ac:dyDescent="0.2">
      <c r="A69" s="14" t="s">
        <v>64</v>
      </c>
      <c r="B69" s="2">
        <v>164.90071999999998</v>
      </c>
      <c r="C69" s="2">
        <v>171.54738</v>
      </c>
      <c r="D69" s="60">
        <v>173.55362</v>
      </c>
      <c r="E69" s="33">
        <v>6.1911556045238052E-4</v>
      </c>
      <c r="F69" s="33">
        <f t="shared" si="3"/>
        <v>5.5971181489134283E-4</v>
      </c>
      <c r="G69" s="57">
        <f t="shared" si="8"/>
        <v>5.9542655943473413E-4</v>
      </c>
      <c r="H69" s="33">
        <v>22.856517029224673</v>
      </c>
      <c r="I69" s="33">
        <f>((C69-B69)/B69)*100</f>
        <v>4.0307040502916101</v>
      </c>
      <c r="J69" s="32">
        <f t="shared" si="4"/>
        <v>1.1694961473617325</v>
      </c>
    </row>
    <row r="70" spans="1:10" s="9" customFormat="1" ht="19.5" customHeight="1" x14ac:dyDescent="0.2">
      <c r="A70" s="14" t="s">
        <v>65</v>
      </c>
      <c r="B70" s="2">
        <v>18679.239960000003</v>
      </c>
      <c r="C70" s="2">
        <v>16601.888460000002</v>
      </c>
      <c r="D70" s="60">
        <v>26700.98144</v>
      </c>
      <c r="E70" s="33">
        <v>7.0130731488982606E-2</v>
      </c>
      <c r="F70" s="33">
        <f t="shared" si="3"/>
        <v>5.4167385829910326E-2</v>
      </c>
      <c r="G70" s="57">
        <f t="shared" si="8"/>
        <v>9.1605542496606476E-2</v>
      </c>
      <c r="H70" s="33">
        <v>110.92160440297569</v>
      </c>
      <c r="I70" s="33">
        <f>((C70-B70)/B70)*100</f>
        <v>-11.121177866168386</v>
      </c>
      <c r="J70" s="32">
        <f t="shared" si="4"/>
        <v>60.830989223499429</v>
      </c>
    </row>
    <row r="71" spans="1:10" s="9" customFormat="1" ht="19.5" customHeight="1" x14ac:dyDescent="0.2">
      <c r="A71" s="10" t="s">
        <v>66</v>
      </c>
      <c r="B71" s="1"/>
      <c r="C71" s="1"/>
      <c r="D71" s="48"/>
      <c r="E71" s="32"/>
      <c r="F71" s="33"/>
      <c r="G71" s="57"/>
      <c r="H71" s="32"/>
      <c r="I71" s="32"/>
      <c r="J71" s="32"/>
    </row>
    <row r="72" spans="1:10" s="9" customFormat="1" ht="19.5" customHeight="1" x14ac:dyDescent="0.2">
      <c r="A72" s="17" t="s">
        <v>67</v>
      </c>
      <c r="B72" s="40">
        <f>SUM(B73:B75)</f>
        <v>362537.66139999998</v>
      </c>
      <c r="C72" s="40">
        <f>SUM(C73:C75)</f>
        <v>367690.94305</v>
      </c>
      <c r="D72" s="51">
        <f>SUM(D73:D75)</f>
        <v>370744.87017000001</v>
      </c>
      <c r="E72" s="32">
        <v>1.3611384317955455</v>
      </c>
      <c r="F72" s="32">
        <f t="shared" si="3"/>
        <v>1.1996741952784409</v>
      </c>
      <c r="G72" s="4">
        <f t="shared" si="8"/>
        <v>1.271948937010938</v>
      </c>
      <c r="H72" s="32">
        <v>11.860064063996186</v>
      </c>
      <c r="I72" s="32">
        <f>((C72-B72)/B72)*100</f>
        <v>1.4214472587757523</v>
      </c>
      <c r="J72" s="32">
        <f t="shared" ref="J72:J135" si="11">((D72-C72)/C72)*100</f>
        <v>0.83056903568732265</v>
      </c>
    </row>
    <row r="73" spans="1:10" s="7" customFormat="1" ht="26.25" customHeight="1" x14ac:dyDescent="0.2">
      <c r="A73" s="16" t="s">
        <v>129</v>
      </c>
      <c r="B73" s="2">
        <v>63.627110000000002</v>
      </c>
      <c r="C73" s="2">
        <v>64.016589999999994</v>
      </c>
      <c r="D73" s="60">
        <v>48.185749999999999</v>
      </c>
      <c r="E73" s="33">
        <v>2.388863667036461E-4</v>
      </c>
      <c r="F73" s="33">
        <f t="shared" si="3"/>
        <v>2.0886848736515235E-4</v>
      </c>
      <c r="G73" s="57">
        <f t="shared" si="8"/>
        <v>1.653153379127571E-4</v>
      </c>
      <c r="H73" s="33">
        <v>141.76390414573825</v>
      </c>
      <c r="I73" s="33">
        <f>((C73-B73)/B73)*100</f>
        <v>0.61212901230307615</v>
      </c>
      <c r="J73" s="32">
        <f t="shared" si="11"/>
        <v>-24.729277207673817</v>
      </c>
    </row>
    <row r="74" spans="1:10" s="7" customFormat="1" ht="31.5" customHeight="1" x14ac:dyDescent="0.2">
      <c r="A74" s="14" t="s">
        <v>68</v>
      </c>
      <c r="B74" s="2">
        <v>233262.83769000001</v>
      </c>
      <c r="C74" s="2">
        <v>246892.78259000002</v>
      </c>
      <c r="D74" s="60">
        <v>227745.31716999999</v>
      </c>
      <c r="E74" s="33">
        <v>0.87577939313519693</v>
      </c>
      <c r="F74" s="33">
        <f t="shared" ref="F74:F137" si="12">C74/$C$6*100</f>
        <v>0.80554309501563148</v>
      </c>
      <c r="G74" s="57">
        <f t="shared" si="8"/>
        <v>0.78134705936934856</v>
      </c>
      <c r="H74" s="33">
        <v>14.373290459613038</v>
      </c>
      <c r="I74" s="33">
        <f>((C74-B74)/B74)*100</f>
        <v>5.8431703202178431</v>
      </c>
      <c r="J74" s="32">
        <f t="shared" si="11"/>
        <v>-7.7553767344414704</v>
      </c>
    </row>
    <row r="75" spans="1:10" s="7" customFormat="1" ht="19.5" customHeight="1" x14ac:dyDescent="0.2">
      <c r="A75" s="14" t="s">
        <v>69</v>
      </c>
      <c r="B75" s="2">
        <v>129211.19659999995</v>
      </c>
      <c r="C75" s="2">
        <v>120734.14387</v>
      </c>
      <c r="D75" s="60">
        <v>142951.36725000001</v>
      </c>
      <c r="E75" s="33">
        <v>0.48512015229364497</v>
      </c>
      <c r="F75" s="33">
        <f t="shared" si="12"/>
        <v>0.39392223177544416</v>
      </c>
      <c r="G75" s="57">
        <f t="shared" si="8"/>
        <v>0.49043656230367672</v>
      </c>
      <c r="H75" s="33">
        <v>7.5646117165224096</v>
      </c>
      <c r="I75" s="33">
        <f>((C75-B75)/B75)*100</f>
        <v>-6.5606177738934086</v>
      </c>
      <c r="J75" s="32">
        <f t="shared" si="11"/>
        <v>18.401773241480317</v>
      </c>
    </row>
    <row r="76" spans="1:10" s="9" customFormat="1" ht="19.5" customHeight="1" x14ac:dyDescent="0.2">
      <c r="A76" s="10" t="s">
        <v>70</v>
      </c>
      <c r="B76" s="1"/>
      <c r="C76" s="1"/>
      <c r="D76" s="48"/>
      <c r="E76" s="32"/>
      <c r="F76" s="33"/>
      <c r="G76" s="57"/>
      <c r="H76" s="32"/>
      <c r="I76" s="32"/>
      <c r="J76" s="32"/>
    </row>
    <row r="77" spans="1:10" s="9" customFormat="1" ht="19.5" customHeight="1" x14ac:dyDescent="0.2">
      <c r="A77" s="55" t="s">
        <v>71</v>
      </c>
      <c r="B77" s="40">
        <f>SUM(B78:B90)</f>
        <v>690583.77870000002</v>
      </c>
      <c r="C77" s="40">
        <f>SUM(C78:C90)</f>
        <v>721937.74872999999</v>
      </c>
      <c r="D77" s="51">
        <f>SUM(D78:D90)</f>
        <v>726293.07285999996</v>
      </c>
      <c r="E77" s="32">
        <v>2.5927792382542254</v>
      </c>
      <c r="F77" s="32">
        <f t="shared" si="12"/>
        <v>2.3554838761177148</v>
      </c>
      <c r="G77" s="4">
        <f t="shared" si="8"/>
        <v>2.4917612523110177</v>
      </c>
      <c r="H77" s="32">
        <v>15.348670784806664</v>
      </c>
      <c r="I77" s="32">
        <f t="shared" ref="I77:I90" si="13">((C77-B77)/B77)*100</f>
        <v>4.5402123532386947</v>
      </c>
      <c r="J77" s="32">
        <f t="shared" si="11"/>
        <v>0.60328250429647878</v>
      </c>
    </row>
    <row r="78" spans="1:10" s="9" customFormat="1" ht="19.5" customHeight="1" x14ac:dyDescent="0.2">
      <c r="A78" s="14" t="s">
        <v>72</v>
      </c>
      <c r="B78" s="2">
        <v>1686.2309700000001</v>
      </c>
      <c r="C78" s="2">
        <v>2900.3989500000002</v>
      </c>
      <c r="D78" s="60">
        <v>1837.9686000000002</v>
      </c>
      <c r="E78" s="33">
        <v>6.3309113025322838E-3</v>
      </c>
      <c r="F78" s="33">
        <f t="shared" si="12"/>
        <v>9.4632022955608262E-3</v>
      </c>
      <c r="G78" s="57">
        <f t="shared" si="8"/>
        <v>6.3056899639838985E-3</v>
      </c>
      <c r="H78" s="33">
        <v>112.36805057304504</v>
      </c>
      <c r="I78" s="33">
        <f t="shared" si="13"/>
        <v>72.004844033910729</v>
      </c>
      <c r="J78" s="32">
        <f t="shared" si="11"/>
        <v>-36.630490091716524</v>
      </c>
    </row>
    <row r="79" spans="1:10" s="9" customFormat="1" ht="19.5" customHeight="1" x14ac:dyDescent="0.2">
      <c r="A79" s="14" t="s">
        <v>73</v>
      </c>
      <c r="B79" s="2">
        <v>202.26059000000004</v>
      </c>
      <c r="C79" s="2">
        <v>337.22800000000001</v>
      </c>
      <c r="D79" s="60">
        <v>1027.4890699999999</v>
      </c>
      <c r="E79" s="33">
        <v>7.5938224245036151E-4</v>
      </c>
      <c r="F79" s="33">
        <f t="shared" si="12"/>
        <v>1.1002820090413377E-3</v>
      </c>
      <c r="G79" s="57">
        <f t="shared" si="8"/>
        <v>3.525102396636236E-3</v>
      </c>
      <c r="H79" s="33">
        <v>-12.017926436569805</v>
      </c>
      <c r="I79" s="33">
        <f t="shared" si="13"/>
        <v>66.729465191414675</v>
      </c>
      <c r="J79" s="32">
        <f t="shared" si="11"/>
        <v>204.68676088581014</v>
      </c>
    </row>
    <row r="80" spans="1:10" s="9" customFormat="1" ht="19.5" customHeight="1" x14ac:dyDescent="0.2">
      <c r="A80" s="14" t="s">
        <v>74</v>
      </c>
      <c r="B80" s="2">
        <v>37810.79639000001</v>
      </c>
      <c r="C80" s="2">
        <v>38862.495780000005</v>
      </c>
      <c r="D80" s="60">
        <v>35077.59663</v>
      </c>
      <c r="E80" s="33">
        <v>0.14195967366392157</v>
      </c>
      <c r="F80" s="33">
        <f t="shared" si="12"/>
        <v>0.12679761150669253</v>
      </c>
      <c r="G80" s="57">
        <f t="shared" si="8"/>
        <v>0.12034397596915768</v>
      </c>
      <c r="H80" s="33">
        <v>-0.6537982965551431</v>
      </c>
      <c r="I80" s="33">
        <f t="shared" si="13"/>
        <v>2.781479075849727</v>
      </c>
      <c r="J80" s="32">
        <f t="shared" si="11"/>
        <v>-9.7392076191561685</v>
      </c>
    </row>
    <row r="81" spans="1:10" s="9" customFormat="1" ht="19.5" customHeight="1" x14ac:dyDescent="0.2">
      <c r="A81" s="14" t="s">
        <v>75</v>
      </c>
      <c r="B81" s="2">
        <v>3480.3827699999997</v>
      </c>
      <c r="C81" s="2">
        <v>6441.4242300000005</v>
      </c>
      <c r="D81" s="60">
        <v>6865.2870000000003</v>
      </c>
      <c r="E81" s="33">
        <v>1.3067008617290201E-2</v>
      </c>
      <c r="F81" s="33">
        <f t="shared" si="12"/>
        <v>2.1016591720948292E-2</v>
      </c>
      <c r="G81" s="57">
        <f t="shared" si="8"/>
        <v>2.355337916859359E-2</v>
      </c>
      <c r="H81" s="33">
        <v>-28.28188013917795</v>
      </c>
      <c r="I81" s="33">
        <f t="shared" si="13"/>
        <v>85.078040424846748</v>
      </c>
      <c r="J81" s="32">
        <f t="shared" si="11"/>
        <v>6.5802647809768562</v>
      </c>
    </row>
    <row r="82" spans="1:10" s="9" customFormat="1" ht="19.5" customHeight="1" x14ac:dyDescent="0.2">
      <c r="A82" s="14" t="s">
        <v>76</v>
      </c>
      <c r="B82" s="2">
        <v>46134.655310000009</v>
      </c>
      <c r="C82" s="2">
        <v>51650.50765</v>
      </c>
      <c r="D82" s="60">
        <v>43894.470240000002</v>
      </c>
      <c r="E82" s="33">
        <v>0.17321139033551855</v>
      </c>
      <c r="F82" s="33">
        <f t="shared" si="12"/>
        <v>0.16852136929657968</v>
      </c>
      <c r="G82" s="57">
        <f t="shared" si="8"/>
        <v>0.15059284498481523</v>
      </c>
      <c r="H82" s="33">
        <v>15.083852162995742</v>
      </c>
      <c r="I82" s="33">
        <f t="shared" si="13"/>
        <v>11.955984721109189</v>
      </c>
      <c r="J82" s="32">
        <f t="shared" si="11"/>
        <v>-15.016381760576941</v>
      </c>
    </row>
    <row r="83" spans="1:10" s="9" customFormat="1" ht="19.5" customHeight="1" x14ac:dyDescent="0.2">
      <c r="A83" s="14" t="s">
        <v>77</v>
      </c>
      <c r="B83" s="2">
        <v>10360.56748</v>
      </c>
      <c r="C83" s="2">
        <v>10663.894539999999</v>
      </c>
      <c r="D83" s="60">
        <v>9605.6126999999997</v>
      </c>
      <c r="E83" s="33">
        <v>3.8898487174494491E-2</v>
      </c>
      <c r="F83" s="33">
        <f t="shared" si="12"/>
        <v>3.479334844282251E-2</v>
      </c>
      <c r="G83" s="57">
        <f t="shared" si="8"/>
        <v>3.2954869631780584E-2</v>
      </c>
      <c r="H83" s="33">
        <v>44.466280107509867</v>
      </c>
      <c r="I83" s="33">
        <f t="shared" si="13"/>
        <v>2.9277070062575339</v>
      </c>
      <c r="J83" s="32">
        <f t="shared" si="11"/>
        <v>-9.9239713599043125</v>
      </c>
    </row>
    <row r="84" spans="1:10" s="9" customFormat="1" ht="19.5" customHeight="1" x14ac:dyDescent="0.2">
      <c r="A84" s="14" t="s">
        <v>78</v>
      </c>
      <c r="B84" s="2">
        <v>16140.155560000007</v>
      </c>
      <c r="C84" s="2">
        <v>24955.615730000001</v>
      </c>
      <c r="D84" s="60">
        <v>29685.033370000001</v>
      </c>
      <c r="E84" s="33">
        <v>6.0597803668279986E-2</v>
      </c>
      <c r="F84" s="33">
        <f t="shared" si="12"/>
        <v>8.142329525504409E-2</v>
      </c>
      <c r="G84" s="57">
        <f t="shared" si="8"/>
        <v>0.1018432072243977</v>
      </c>
      <c r="H84" s="33">
        <v>-27.561738202244218</v>
      </c>
      <c r="I84" s="33">
        <f t="shared" si="13"/>
        <v>54.618185910470807</v>
      </c>
      <c r="J84" s="32">
        <f t="shared" si="11"/>
        <v>18.951316173355742</v>
      </c>
    </row>
    <row r="85" spans="1:10" s="9" customFormat="1" ht="19.5" customHeight="1" x14ac:dyDescent="0.2">
      <c r="A85" s="14" t="s">
        <v>79</v>
      </c>
      <c r="B85" s="2">
        <v>28967.540230000006</v>
      </c>
      <c r="C85" s="2">
        <v>30704.60673</v>
      </c>
      <c r="D85" s="60">
        <v>28086.981629999998</v>
      </c>
      <c r="E85" s="33">
        <v>0.10875789326100779</v>
      </c>
      <c r="F85" s="33">
        <f t="shared" si="12"/>
        <v>0.10018066821173975</v>
      </c>
      <c r="G85" s="57">
        <f t="shared" si="8"/>
        <v>9.6360622364762422E-2</v>
      </c>
      <c r="H85" s="33">
        <v>21.478955064117354</v>
      </c>
      <c r="I85" s="33">
        <f t="shared" si="13"/>
        <v>5.9965964876818028</v>
      </c>
      <c r="J85" s="32">
        <f t="shared" si="11"/>
        <v>-8.5251868653391512</v>
      </c>
    </row>
    <row r="86" spans="1:10" s="9" customFormat="1" ht="19.5" customHeight="1" x14ac:dyDescent="0.2">
      <c r="A86" s="14" t="s">
        <v>138</v>
      </c>
      <c r="B86" s="2">
        <v>19646.050119999982</v>
      </c>
      <c r="C86" s="2">
        <v>15981.601960000002</v>
      </c>
      <c r="D86" s="60">
        <v>17172.674230000001</v>
      </c>
      <c r="E86" s="33">
        <v>7.3760595652458932E-2</v>
      </c>
      <c r="F86" s="33">
        <f t="shared" si="12"/>
        <v>5.2143561958816531E-2</v>
      </c>
      <c r="G86" s="57">
        <f t="shared" si="8"/>
        <v>5.8915892005378064E-2</v>
      </c>
      <c r="H86" s="33">
        <v>48.539205135987665</v>
      </c>
      <c r="I86" s="33">
        <f t="shared" si="13"/>
        <v>-18.652340483797886</v>
      </c>
      <c r="J86" s="32">
        <f t="shared" si="11"/>
        <v>7.4527714617164609</v>
      </c>
    </row>
    <row r="87" spans="1:10" s="9" customFormat="1" ht="19.5" customHeight="1" x14ac:dyDescent="0.2">
      <c r="A87" s="14" t="s">
        <v>80</v>
      </c>
      <c r="B87" s="2">
        <v>14873.881859999998</v>
      </c>
      <c r="C87" s="2">
        <v>9838.7861400000002</v>
      </c>
      <c r="D87" s="60">
        <v>8941.9608499999995</v>
      </c>
      <c r="E87" s="33">
        <v>5.5843611258073321E-2</v>
      </c>
      <c r="F87" s="33">
        <f t="shared" si="12"/>
        <v>3.2101247170007431E-2</v>
      </c>
      <c r="G87" s="57">
        <f t="shared" si="8"/>
        <v>3.0678017453715976E-2</v>
      </c>
      <c r="H87" s="33">
        <v>-32.672397717903152</v>
      </c>
      <c r="I87" s="33">
        <f t="shared" si="13"/>
        <v>-33.851927609703353</v>
      </c>
      <c r="J87" s="32">
        <f t="shared" si="11"/>
        <v>-9.1152025995759747</v>
      </c>
    </row>
    <row r="88" spans="1:10" s="9" customFormat="1" ht="19.5" customHeight="1" x14ac:dyDescent="0.2">
      <c r="A88" s="14" t="s">
        <v>81</v>
      </c>
      <c r="B88" s="2">
        <v>264672.62392000004</v>
      </c>
      <c r="C88" s="2">
        <v>252284.81041000001</v>
      </c>
      <c r="D88" s="60">
        <v>268266.42884999997</v>
      </c>
      <c r="E88" s="33">
        <v>0.99370663690633354</v>
      </c>
      <c r="F88" s="33">
        <f t="shared" si="12"/>
        <v>0.8231357955108346</v>
      </c>
      <c r="G88" s="57">
        <f t="shared" si="8"/>
        <v>0.92036660913208479</v>
      </c>
      <c r="H88" s="33">
        <v>18.334574108916044</v>
      </c>
      <c r="I88" s="33">
        <f t="shared" si="13"/>
        <v>-4.680428722293688</v>
      </c>
      <c r="J88" s="32">
        <f t="shared" si="11"/>
        <v>6.3347525417909525</v>
      </c>
    </row>
    <row r="89" spans="1:10" s="9" customFormat="1" ht="19.5" customHeight="1" x14ac:dyDescent="0.2">
      <c r="A89" s="14" t="s">
        <v>82</v>
      </c>
      <c r="B89" s="2">
        <v>63100.041209999996</v>
      </c>
      <c r="C89" s="2">
        <v>64382.723890000001</v>
      </c>
      <c r="D89" s="60">
        <v>60340.715149999996</v>
      </c>
      <c r="E89" s="33">
        <v>0.23690750033291216</v>
      </c>
      <c r="F89" s="33">
        <f t="shared" si="12"/>
        <v>0.21006308132552137</v>
      </c>
      <c r="G89" s="57">
        <f t="shared" si="8"/>
        <v>0.20701650830213647</v>
      </c>
      <c r="H89" s="33">
        <v>6.1124349790005761</v>
      </c>
      <c r="I89" s="33">
        <f t="shared" si="13"/>
        <v>2.0327762952343806</v>
      </c>
      <c r="J89" s="32">
        <f t="shared" si="11"/>
        <v>-6.2780952649749793</v>
      </c>
    </row>
    <row r="90" spans="1:10" s="9" customFormat="1" ht="19.5" customHeight="1" x14ac:dyDescent="0.2">
      <c r="A90" s="14" t="s">
        <v>83</v>
      </c>
      <c r="B90" s="2">
        <v>183508.59228999997</v>
      </c>
      <c r="C90" s="2">
        <v>212933.65471999999</v>
      </c>
      <c r="D90" s="60">
        <v>215490.85454</v>
      </c>
      <c r="E90" s="33">
        <v>0.68897834383895196</v>
      </c>
      <c r="F90" s="33">
        <f t="shared" si="12"/>
        <v>0.69474382141410584</v>
      </c>
      <c r="G90" s="57">
        <f t="shared" si="8"/>
        <v>0.73930453371357485</v>
      </c>
      <c r="H90" s="33">
        <v>28.398003903343806</v>
      </c>
      <c r="I90" s="33">
        <f t="shared" si="13"/>
        <v>16.03470554855512</v>
      </c>
      <c r="J90" s="32">
        <f t="shared" si="11"/>
        <v>1.2009373639703098</v>
      </c>
    </row>
    <row r="91" spans="1:10" s="9" customFormat="1" ht="19.5" customHeight="1" x14ac:dyDescent="0.2">
      <c r="A91" s="10" t="s">
        <v>84</v>
      </c>
      <c r="B91" s="1"/>
      <c r="C91" s="1"/>
      <c r="D91" s="48"/>
      <c r="E91" s="32"/>
      <c r="F91" s="33"/>
      <c r="G91" s="57"/>
      <c r="H91" s="32"/>
      <c r="I91" s="32"/>
      <c r="J91" s="32"/>
    </row>
    <row r="92" spans="1:10" s="9" customFormat="1" ht="19.5" customHeight="1" x14ac:dyDescent="0.2">
      <c r="A92" s="55" t="s">
        <v>85</v>
      </c>
      <c r="B92" s="40">
        <f>SUM(B93:B96)</f>
        <v>156574.00139999995</v>
      </c>
      <c r="C92" s="40">
        <f>SUM(C93:C96)</f>
        <v>168301.21888999999</v>
      </c>
      <c r="D92" s="51">
        <f>SUM(D93:D96)</f>
        <v>177903.88394999996</v>
      </c>
      <c r="E92" s="32">
        <v>0.587853107184934</v>
      </c>
      <c r="F92" s="32">
        <f t="shared" si="12"/>
        <v>0.54912048597505281</v>
      </c>
      <c r="G92" s="4">
        <f t="shared" ref="G92:G143" si="14">D92/$D$6*100</f>
        <v>0.61035141491387324</v>
      </c>
      <c r="H92" s="32">
        <v>17.101312357388885</v>
      </c>
      <c r="I92" s="32">
        <f>((C92-B92)/B92)*100</f>
        <v>7.4898880945377968</v>
      </c>
      <c r="J92" s="32">
        <f t="shared" si="11"/>
        <v>5.7056420169340409</v>
      </c>
    </row>
    <row r="93" spans="1:10" s="9" customFormat="1" ht="19.5" customHeight="1" x14ac:dyDescent="0.2">
      <c r="A93" s="14" t="s">
        <v>86</v>
      </c>
      <c r="B93" s="2">
        <v>124328.46214999998</v>
      </c>
      <c r="C93" s="2">
        <v>133735.14673000001</v>
      </c>
      <c r="D93" s="60">
        <v>143861.48173</v>
      </c>
      <c r="E93" s="33">
        <v>0.46678804995017498</v>
      </c>
      <c r="F93" s="33">
        <f t="shared" si="12"/>
        <v>0.43634092045595996</v>
      </c>
      <c r="G93" s="57">
        <f t="shared" si="14"/>
        <v>0.49355897676854427</v>
      </c>
      <c r="H93" s="33">
        <v>12.443313418918839</v>
      </c>
      <c r="I93" s="33">
        <f>((C93-B93)/B93)*100</f>
        <v>7.5659944773152912</v>
      </c>
      <c r="J93" s="32">
        <f t="shared" si="11"/>
        <v>7.5719324707095952</v>
      </c>
    </row>
    <row r="94" spans="1:10" s="9" customFormat="1" ht="19.5" customHeight="1" x14ac:dyDescent="0.2">
      <c r="A94" s="14" t="s">
        <v>87</v>
      </c>
      <c r="B94" s="2">
        <v>12589.657270000007</v>
      </c>
      <c r="C94" s="2">
        <v>14950.194579999999</v>
      </c>
      <c r="D94" s="60">
        <v>12631.948249999999</v>
      </c>
      <c r="E94" s="33">
        <v>4.7267548113916313E-2</v>
      </c>
      <c r="F94" s="33">
        <f t="shared" si="12"/>
        <v>4.877836397938877E-2</v>
      </c>
      <c r="G94" s="57">
        <f t="shared" si="14"/>
        <v>4.3337600710691655E-2</v>
      </c>
      <c r="H94" s="33">
        <v>5.6098784274063309</v>
      </c>
      <c r="I94" s="33">
        <f>((C94-B94)/B94)*100</f>
        <v>18.749813909747452</v>
      </c>
      <c r="J94" s="32">
        <f t="shared" si="11"/>
        <v>-15.506462592141061</v>
      </c>
    </row>
    <row r="95" spans="1:10" s="9" customFormat="1" ht="19.5" customHeight="1" x14ac:dyDescent="0.2">
      <c r="A95" s="14" t="s">
        <v>88</v>
      </c>
      <c r="B95" s="2">
        <v>17940.391639999998</v>
      </c>
      <c r="C95" s="2">
        <v>18524.773209999999</v>
      </c>
      <c r="D95" s="60">
        <v>19023.13682</v>
      </c>
      <c r="E95" s="33">
        <v>6.7356744257598161E-2</v>
      </c>
      <c r="F95" s="33">
        <f t="shared" si="12"/>
        <v>6.0441228737038284E-2</v>
      </c>
      <c r="G95" s="57">
        <f t="shared" si="14"/>
        <v>6.5264446263862491E-2</v>
      </c>
      <c r="H95" s="33">
        <v>70.773752775888624</v>
      </c>
      <c r="I95" s="33">
        <f>((C95-B95)/B95)*100</f>
        <v>3.2573512425284017</v>
      </c>
      <c r="J95" s="32">
        <f t="shared" si="11"/>
        <v>2.6902548514384774</v>
      </c>
    </row>
    <row r="96" spans="1:10" s="9" customFormat="1" ht="19.5" customHeight="1" x14ac:dyDescent="0.2">
      <c r="A96" s="14" t="s">
        <v>89</v>
      </c>
      <c r="B96" s="2">
        <v>1715.4903400000003</v>
      </c>
      <c r="C96" s="2">
        <v>1091.10437</v>
      </c>
      <c r="D96" s="60">
        <v>2387.3171499999999</v>
      </c>
      <c r="E96" s="33">
        <v>6.4407648632446553E-3</v>
      </c>
      <c r="F96" s="33">
        <f t="shared" si="12"/>
        <v>3.5599728026658017E-3</v>
      </c>
      <c r="G96" s="57">
        <f t="shared" si="14"/>
        <v>8.190391170774974E-3</v>
      </c>
      <c r="H96" s="33">
        <v>140.94485917406487</v>
      </c>
      <c r="I96" s="33">
        <f>((C96-B96)/B96)*100</f>
        <v>-36.396938848399465</v>
      </c>
      <c r="J96" s="32">
        <f t="shared" si="11"/>
        <v>118.79823925551685</v>
      </c>
    </row>
    <row r="97" spans="1:10" s="9" customFormat="1" ht="19.5" customHeight="1" x14ac:dyDescent="0.2">
      <c r="A97" s="10" t="s">
        <v>90</v>
      </c>
      <c r="B97" s="1"/>
      <c r="C97" s="1"/>
      <c r="D97" s="48"/>
      <c r="E97" s="32"/>
      <c r="F97" s="33"/>
      <c r="G97" s="57"/>
      <c r="H97" s="32"/>
      <c r="I97" s="32"/>
      <c r="J97" s="32"/>
    </row>
    <row r="98" spans="1:10" s="9" customFormat="1" ht="19.5" customHeight="1" x14ac:dyDescent="0.2">
      <c r="A98" s="55" t="s">
        <v>91</v>
      </c>
      <c r="B98" s="40">
        <f>SUM(B99:B101)</f>
        <v>498897.52130000014</v>
      </c>
      <c r="C98" s="40">
        <f>SUM(C99:C101)</f>
        <v>542021.17069000006</v>
      </c>
      <c r="D98" s="51">
        <f>SUM(D99:D101)</f>
        <v>777898.15535999998</v>
      </c>
      <c r="E98" s="32">
        <v>1.8730980586861783</v>
      </c>
      <c r="F98" s="32">
        <f t="shared" si="12"/>
        <v>1.7684656749431573</v>
      </c>
      <c r="G98" s="4">
        <f t="shared" si="14"/>
        <v>2.668807612521312</v>
      </c>
      <c r="H98" s="32">
        <v>-2.9818821295604891</v>
      </c>
      <c r="I98" s="32">
        <f>((C98-B98)/B98)*100</f>
        <v>8.6437890646621476</v>
      </c>
      <c r="J98" s="32">
        <f t="shared" si="11"/>
        <v>43.518039040749166</v>
      </c>
    </row>
    <row r="99" spans="1:10" s="9" customFormat="1" ht="19.5" customHeight="1" x14ac:dyDescent="0.2">
      <c r="A99" s="14" t="s">
        <v>92</v>
      </c>
      <c r="B99" s="2">
        <v>165372.65342000002</v>
      </c>
      <c r="C99" s="2">
        <v>153868.86822999999</v>
      </c>
      <c r="D99" s="60">
        <v>207774.77755</v>
      </c>
      <c r="E99" s="33">
        <v>0.62088742247832884</v>
      </c>
      <c r="F99" s="33">
        <f t="shared" si="12"/>
        <v>0.50203170396592589</v>
      </c>
      <c r="G99" s="57">
        <f t="shared" si="14"/>
        <v>0.71283227013019801</v>
      </c>
      <c r="H99" s="33">
        <v>45.760283061212235</v>
      </c>
      <c r="I99" s="33">
        <f>((C99-B99)/B99)*100</f>
        <v>-6.9562802265642114</v>
      </c>
      <c r="J99" s="32">
        <f t="shared" si="11"/>
        <v>35.033668564730434</v>
      </c>
    </row>
    <row r="100" spans="1:10" s="9" customFormat="1" ht="19.5" customHeight="1" x14ac:dyDescent="0.2">
      <c r="A100" s="14" t="s">
        <v>93</v>
      </c>
      <c r="B100" s="2">
        <v>201809.1649700001</v>
      </c>
      <c r="C100" s="2">
        <v>230066.36960000001</v>
      </c>
      <c r="D100" s="60">
        <v>375243.68664999999</v>
      </c>
      <c r="E100" s="33">
        <v>0.75768737865321956</v>
      </c>
      <c r="F100" s="33">
        <f t="shared" si="12"/>
        <v>0.75064314753322647</v>
      </c>
      <c r="G100" s="57">
        <f t="shared" si="14"/>
        <v>1.2873834454828137</v>
      </c>
      <c r="H100" s="33">
        <v>-28.3680287182091</v>
      </c>
      <c r="I100" s="33">
        <f>((C100-B100)/B100)*100</f>
        <v>14.001943189349442</v>
      </c>
      <c r="J100" s="32">
        <f t="shared" si="11"/>
        <v>63.102363592909924</v>
      </c>
    </row>
    <row r="101" spans="1:10" s="9" customFormat="1" ht="19.5" customHeight="1" x14ac:dyDescent="0.2">
      <c r="A101" s="14" t="s">
        <v>94</v>
      </c>
      <c r="B101" s="2">
        <v>131715.70291000002</v>
      </c>
      <c r="C101" s="2">
        <v>158085.93286</v>
      </c>
      <c r="D101" s="60">
        <v>194879.69115999999</v>
      </c>
      <c r="E101" s="33">
        <v>0.49452325755463</v>
      </c>
      <c r="F101" s="33">
        <f t="shared" si="12"/>
        <v>0.51579082344400462</v>
      </c>
      <c r="G101" s="57">
        <f t="shared" si="14"/>
        <v>0.66859189690830045</v>
      </c>
      <c r="H101" s="33">
        <v>10.643165199629182</v>
      </c>
      <c r="I101" s="33">
        <f>((C101-B101)/B101)*100</f>
        <v>20.020566544004616</v>
      </c>
      <c r="J101" s="32">
        <f t="shared" si="11"/>
        <v>23.274530272459049</v>
      </c>
    </row>
    <row r="102" spans="1:10" s="9" customFormat="1" ht="19.5" customHeight="1" x14ac:dyDescent="0.2">
      <c r="A102" s="10" t="s">
        <v>130</v>
      </c>
      <c r="B102" s="1"/>
      <c r="C102" s="1"/>
      <c r="D102" s="48"/>
      <c r="E102" s="32"/>
      <c r="F102" s="33"/>
      <c r="G102" s="57"/>
      <c r="H102" s="32"/>
      <c r="I102" s="32"/>
      <c r="J102" s="32"/>
    </row>
    <row r="103" spans="1:10" s="9" customFormat="1" ht="19.5" customHeight="1" x14ac:dyDescent="0.2">
      <c r="A103" s="55" t="s">
        <v>95</v>
      </c>
      <c r="B103" s="40">
        <f>SUM(B104)</f>
        <v>27457.815149999991</v>
      </c>
      <c r="C103" s="40">
        <f>SUM(C104)</f>
        <v>23261.95406</v>
      </c>
      <c r="D103" s="51">
        <f>SUM(D104)</f>
        <v>18708.022800000002</v>
      </c>
      <c r="E103" s="32">
        <v>0.10308966883461824</v>
      </c>
      <c r="F103" s="32">
        <f t="shared" si="12"/>
        <v>7.5897344073932477E-2</v>
      </c>
      <c r="G103" s="57">
        <f t="shared" si="14"/>
        <v>6.4183355262947342E-2</v>
      </c>
      <c r="H103" s="32">
        <v>48.489798371490274</v>
      </c>
      <c r="I103" s="32">
        <f>((C103-B103)/B103)*100</f>
        <v>-15.281117842327644</v>
      </c>
      <c r="J103" s="32">
        <f t="shared" si="11"/>
        <v>-19.576735678584679</v>
      </c>
    </row>
    <row r="104" spans="1:10" s="9" customFormat="1" ht="19.5" customHeight="1" x14ac:dyDescent="0.2">
      <c r="A104" s="16" t="s">
        <v>96</v>
      </c>
      <c r="B104" s="2">
        <v>27457.815149999991</v>
      </c>
      <c r="C104" s="2">
        <v>23261.95406</v>
      </c>
      <c r="D104" s="60">
        <v>18708.022800000002</v>
      </c>
      <c r="E104" s="33">
        <v>0.10308966883461824</v>
      </c>
      <c r="F104" s="33">
        <f t="shared" si="12"/>
        <v>7.5897344073932477E-2</v>
      </c>
      <c r="G104" s="57">
        <f t="shared" si="14"/>
        <v>6.4183355262947342E-2</v>
      </c>
      <c r="H104" s="33">
        <v>48.489798371490274</v>
      </c>
      <c r="I104" s="33">
        <f>((C104-B104)/B104)*100</f>
        <v>-15.281117842327644</v>
      </c>
      <c r="J104" s="32">
        <f t="shared" si="11"/>
        <v>-19.576735678584679</v>
      </c>
    </row>
    <row r="105" spans="1:10" s="9" customFormat="1" ht="24.75" customHeight="1" x14ac:dyDescent="0.2">
      <c r="A105" s="10" t="s">
        <v>131</v>
      </c>
      <c r="B105" s="1"/>
      <c r="C105" s="1"/>
      <c r="D105" s="48"/>
      <c r="E105" s="32"/>
      <c r="F105" s="33"/>
      <c r="G105" s="57"/>
      <c r="H105" s="32"/>
      <c r="I105" s="32"/>
      <c r="J105" s="32"/>
    </row>
    <row r="106" spans="1:10" s="9" customFormat="1" ht="19.5" customHeight="1" x14ac:dyDescent="0.2">
      <c r="A106" s="55" t="s">
        <v>97</v>
      </c>
      <c r="B106" s="40">
        <f>SUM(B107:B117)</f>
        <v>1016470.82361</v>
      </c>
      <c r="C106" s="40">
        <f>SUM(C107:C117)</f>
        <v>1254563.8052400001</v>
      </c>
      <c r="D106" s="51">
        <f>SUM(D107:D117)</f>
        <v>1767102.4527499997</v>
      </c>
      <c r="E106" s="32">
        <v>3.8163138623215112</v>
      </c>
      <c r="F106" s="32">
        <f t="shared" si="12"/>
        <v>4.0932958832007209</v>
      </c>
      <c r="G106" s="4">
        <f t="shared" si="14"/>
        <v>6.0625628760126826</v>
      </c>
      <c r="H106" s="32">
        <v>-11.394622799053939</v>
      </c>
      <c r="I106" s="32">
        <f t="shared" ref="I106:I117" si="15">((C106-B106)/B106)*100</f>
        <v>23.423493926211485</v>
      </c>
      <c r="J106" s="32">
        <f t="shared" si="11"/>
        <v>40.853932288597314</v>
      </c>
    </row>
    <row r="107" spans="1:10" s="9" customFormat="1" ht="19.5" customHeight="1" x14ac:dyDescent="0.2">
      <c r="A107" s="14" t="s">
        <v>98</v>
      </c>
      <c r="B107" s="2">
        <v>301593.73049000045</v>
      </c>
      <c r="C107" s="2">
        <v>390070.72378</v>
      </c>
      <c r="D107" s="60">
        <v>605642.39387999999</v>
      </c>
      <c r="E107" s="33">
        <v>1.1323259927624383</v>
      </c>
      <c r="F107" s="33">
        <f t="shared" si="12"/>
        <v>1.2726932509425879</v>
      </c>
      <c r="G107" s="57">
        <f t="shared" si="14"/>
        <v>2.077833737122766</v>
      </c>
      <c r="H107" s="33">
        <v>-31.421130369670063</v>
      </c>
      <c r="I107" s="33">
        <f t="shared" si="15"/>
        <v>29.336482938902826</v>
      </c>
      <c r="J107" s="32">
        <f t="shared" si="11"/>
        <v>55.264765325372757</v>
      </c>
    </row>
    <row r="108" spans="1:10" s="9" customFormat="1" ht="19.5" customHeight="1" x14ac:dyDescent="0.2">
      <c r="A108" s="14" t="s">
        <v>99</v>
      </c>
      <c r="B108" s="2">
        <v>417458.59562999988</v>
      </c>
      <c r="C108" s="2">
        <v>521902.26562000002</v>
      </c>
      <c r="D108" s="60">
        <v>744782.99715999991</v>
      </c>
      <c r="E108" s="33">
        <v>1.5673376829351084</v>
      </c>
      <c r="F108" s="33">
        <f t="shared" si="12"/>
        <v>1.7028232333602173</v>
      </c>
      <c r="G108" s="57">
        <f t="shared" si="14"/>
        <v>2.5551963567482376</v>
      </c>
      <c r="H108" s="33">
        <v>10.456334432373078</v>
      </c>
      <c r="I108" s="33">
        <f t="shared" si="15"/>
        <v>25.018929082626968</v>
      </c>
      <c r="J108" s="32">
        <f t="shared" si="11"/>
        <v>42.70545391774187</v>
      </c>
    </row>
    <row r="109" spans="1:10" s="9" customFormat="1" ht="19.5" customHeight="1" x14ac:dyDescent="0.2">
      <c r="A109" s="14" t="s">
        <v>100</v>
      </c>
      <c r="B109" s="2">
        <v>34541.81412999997</v>
      </c>
      <c r="C109" s="2">
        <v>33140.830300000001</v>
      </c>
      <c r="D109" s="60">
        <v>43922.940729999995</v>
      </c>
      <c r="E109" s="33">
        <v>0.12968636288632876</v>
      </c>
      <c r="F109" s="33">
        <f t="shared" si="12"/>
        <v>0.10812939418963442</v>
      </c>
      <c r="G109" s="57">
        <f t="shared" si="14"/>
        <v>0.15069052134504393</v>
      </c>
      <c r="H109" s="33">
        <v>50.993573396198833</v>
      </c>
      <c r="I109" s="33">
        <f t="shared" si="15"/>
        <v>-4.0559069211804877</v>
      </c>
      <c r="J109" s="32">
        <f t="shared" si="11"/>
        <v>32.534219367461027</v>
      </c>
    </row>
    <row r="110" spans="1:10" s="9" customFormat="1" ht="19.5" customHeight="1" x14ac:dyDescent="0.2">
      <c r="A110" s="14" t="s">
        <v>101</v>
      </c>
      <c r="B110" s="2">
        <v>311.05829000000006</v>
      </c>
      <c r="C110" s="2">
        <v>252.93029000000001</v>
      </c>
      <c r="D110" s="60">
        <v>307.96226000000001</v>
      </c>
      <c r="E110" s="33">
        <v>1.167860440795584E-3</v>
      </c>
      <c r="F110" s="33">
        <f t="shared" si="12"/>
        <v>8.2524181749026818E-4</v>
      </c>
      <c r="G110" s="57">
        <f t="shared" si="14"/>
        <v>1.0565547921590173E-3</v>
      </c>
      <c r="H110" s="33">
        <v>4.045765537167739</v>
      </c>
      <c r="I110" s="33">
        <f t="shared" si="15"/>
        <v>-18.687172748233145</v>
      </c>
      <c r="J110" s="32">
        <f t="shared" si="11"/>
        <v>21.75776179278488</v>
      </c>
    </row>
    <row r="111" spans="1:10" s="9" customFormat="1" ht="19.5" customHeight="1" x14ac:dyDescent="0.2">
      <c r="A111" s="14" t="s">
        <v>102</v>
      </c>
      <c r="B111" s="2">
        <v>111221.53666999993</v>
      </c>
      <c r="C111" s="2">
        <v>130935.33167</v>
      </c>
      <c r="D111" s="60">
        <v>167453.43124999999</v>
      </c>
      <c r="E111" s="33">
        <v>0.41757843149394375</v>
      </c>
      <c r="F111" s="33">
        <f t="shared" si="12"/>
        <v>0.4272058956680983</v>
      </c>
      <c r="G111" s="57">
        <f t="shared" si="14"/>
        <v>0.5744980740518596</v>
      </c>
      <c r="H111" s="33">
        <v>-26.268780349359773</v>
      </c>
      <c r="I111" s="33">
        <f t="shared" si="15"/>
        <v>17.724800061423288</v>
      </c>
      <c r="J111" s="32">
        <f t="shared" si="11"/>
        <v>27.890179918769054</v>
      </c>
    </row>
    <row r="112" spans="1:10" s="9" customFormat="1" ht="19.5" customHeight="1" x14ac:dyDescent="0.2">
      <c r="A112" s="14" t="s">
        <v>103</v>
      </c>
      <c r="B112" s="2">
        <v>600.3865199999999</v>
      </c>
      <c r="C112" s="2">
        <v>1465.3165300000001</v>
      </c>
      <c r="D112" s="60">
        <v>1311.59789</v>
      </c>
      <c r="E112" s="33">
        <v>2.2541359238325604E-3</v>
      </c>
      <c r="F112" s="33">
        <f t="shared" si="12"/>
        <v>4.7809239313161469E-3</v>
      </c>
      <c r="G112" s="57">
        <f t="shared" si="14"/>
        <v>4.4998209717812682E-3</v>
      </c>
      <c r="H112" s="33">
        <v>-35.454124348830199</v>
      </c>
      <c r="I112" s="33">
        <f t="shared" si="15"/>
        <v>144.06219679948848</v>
      </c>
      <c r="J112" s="32">
        <f t="shared" si="11"/>
        <v>-10.490473345032152</v>
      </c>
    </row>
    <row r="113" spans="1:10" s="9" customFormat="1" ht="19.5" customHeight="1" x14ac:dyDescent="0.2">
      <c r="A113" s="14" t="s">
        <v>104</v>
      </c>
      <c r="B113" s="2">
        <v>2898.8743799999997</v>
      </c>
      <c r="C113" s="2">
        <v>7162.1310199999998</v>
      </c>
      <c r="D113" s="60">
        <v>5205.4546900000005</v>
      </c>
      <c r="E113" s="33">
        <v>1.0883750152544799E-2</v>
      </c>
      <c r="F113" s="33">
        <f t="shared" si="12"/>
        <v>2.3368059318036712E-2</v>
      </c>
      <c r="G113" s="57">
        <f t="shared" si="14"/>
        <v>1.7858837956592901E-2</v>
      </c>
      <c r="H113" s="33">
        <v>-20.050498392702686</v>
      </c>
      <c r="I113" s="33">
        <f t="shared" si="15"/>
        <v>147.06593253620048</v>
      </c>
      <c r="J113" s="32">
        <f t="shared" si="11"/>
        <v>-27.319750567757691</v>
      </c>
    </row>
    <row r="114" spans="1:10" s="9" customFormat="1" ht="19.5" customHeight="1" x14ac:dyDescent="0.2">
      <c r="A114" s="14" t="s">
        <v>105</v>
      </c>
      <c r="B114" s="2">
        <v>2392.3635600000002</v>
      </c>
      <c r="C114" s="2">
        <v>5886.0623900000001</v>
      </c>
      <c r="D114" s="60">
        <v>5397.2950099999998</v>
      </c>
      <c r="E114" s="33">
        <v>8.9820681574662165E-3</v>
      </c>
      <c r="F114" s="33">
        <f t="shared" si="12"/>
        <v>1.9204599119325372E-2</v>
      </c>
      <c r="G114" s="57">
        <f t="shared" si="14"/>
        <v>1.8517002399941637E-2</v>
      </c>
      <c r="H114" s="33">
        <v>230.99510315142746</v>
      </c>
      <c r="I114" s="33">
        <f t="shared" si="15"/>
        <v>146.03544747187169</v>
      </c>
      <c r="J114" s="32">
        <f t="shared" si="11"/>
        <v>-8.3038090257143917</v>
      </c>
    </row>
    <row r="115" spans="1:10" s="9" customFormat="1" ht="19.5" customHeight="1" x14ac:dyDescent="0.2">
      <c r="A115" s="14" t="s">
        <v>106</v>
      </c>
      <c r="B115" s="2">
        <v>134.99922000000001</v>
      </c>
      <c r="C115" s="2">
        <v>50.168800000000005</v>
      </c>
      <c r="D115" s="60">
        <v>555.95740000000001</v>
      </c>
      <c r="E115" s="33">
        <v>5.0685113898189305E-4</v>
      </c>
      <c r="F115" s="33">
        <f t="shared" si="12"/>
        <v>1.6368696565882151E-4</v>
      </c>
      <c r="G115" s="57">
        <f t="shared" si="14"/>
        <v>1.9073748036732409E-3</v>
      </c>
      <c r="H115" s="33">
        <v>70.003159558457696</v>
      </c>
      <c r="I115" s="33">
        <f t="shared" si="15"/>
        <v>-62.837711210479583</v>
      </c>
      <c r="J115" s="32">
        <f>((D115-C115)/C115)*100</f>
        <v>1008.1736059064597</v>
      </c>
    </row>
    <row r="116" spans="1:10" s="9" customFormat="1" ht="19.5" customHeight="1" x14ac:dyDescent="0.2">
      <c r="A116" s="14" t="s">
        <v>139</v>
      </c>
      <c r="B116" s="2">
        <v>61362.390559999971</v>
      </c>
      <c r="C116" s="2">
        <v>72762.475219999993</v>
      </c>
      <c r="D116" s="60">
        <v>87037.789860000004</v>
      </c>
      <c r="E116" s="33">
        <v>0.23038353514922344</v>
      </c>
      <c r="F116" s="33">
        <f t="shared" si="12"/>
        <v>0.23740390008505263</v>
      </c>
      <c r="G116" s="57">
        <f t="shared" si="14"/>
        <v>0.2986086476164726</v>
      </c>
      <c r="H116" s="33">
        <v>-2.5040116852512777</v>
      </c>
      <c r="I116" s="33">
        <f t="shared" si="15"/>
        <v>18.578292918449861</v>
      </c>
      <c r="J116" s="32">
        <f t="shared" si="11"/>
        <v>19.619061331872064</v>
      </c>
    </row>
    <row r="117" spans="1:10" s="9" customFormat="1" ht="19.5" customHeight="1" x14ac:dyDescent="0.2">
      <c r="A117" s="14" t="s">
        <v>107</v>
      </c>
      <c r="B117" s="2">
        <v>83955.074159999844</v>
      </c>
      <c r="C117" s="2">
        <v>90935.569620000009</v>
      </c>
      <c r="D117" s="60">
        <v>105484.63262</v>
      </c>
      <c r="E117" s="33">
        <v>0.31520719128084751</v>
      </c>
      <c r="F117" s="33">
        <f t="shared" si="12"/>
        <v>0.2966976978033023</v>
      </c>
      <c r="G117" s="57">
        <f t="shared" si="14"/>
        <v>0.36189594820415455</v>
      </c>
      <c r="H117" s="33">
        <v>-3.6693678477225165</v>
      </c>
      <c r="I117" s="33">
        <f t="shared" si="15"/>
        <v>8.3145605311441706</v>
      </c>
      <c r="J117" s="32">
        <f t="shared" si="11"/>
        <v>15.999309248072418</v>
      </c>
    </row>
    <row r="118" spans="1:10" s="9" customFormat="1" ht="19.5" customHeight="1" x14ac:dyDescent="0.2">
      <c r="A118" s="10" t="s">
        <v>136</v>
      </c>
      <c r="B118" s="1"/>
      <c r="C118" s="1"/>
      <c r="D118" s="48"/>
      <c r="E118" s="32"/>
      <c r="F118" s="33"/>
      <c r="G118" s="57"/>
      <c r="H118" s="32"/>
      <c r="I118" s="32"/>
      <c r="J118" s="32"/>
    </row>
    <row r="119" spans="1:10" s="9" customFormat="1" ht="19.5" customHeight="1" x14ac:dyDescent="0.2">
      <c r="A119" s="55" t="s">
        <v>108</v>
      </c>
      <c r="B119" s="40">
        <f>SUM(B120:B121)</f>
        <v>4075169.4017800018</v>
      </c>
      <c r="C119" s="40">
        <f>SUM(C120:C121)</f>
        <v>4819881.6607600003</v>
      </c>
      <c r="D119" s="51">
        <f>SUM(D120:D121)</f>
        <v>5230103.2882599998</v>
      </c>
      <c r="E119" s="32">
        <v>15.300119903184282</v>
      </c>
      <c r="F119" s="32">
        <f t="shared" si="12"/>
        <v>15.725945286401224</v>
      </c>
      <c r="G119" s="4">
        <f t="shared" si="14"/>
        <v>17.943402197067059</v>
      </c>
      <c r="H119" s="32">
        <v>21.16471402183927</v>
      </c>
      <c r="I119" s="32">
        <f>((C119-B119)/B119)*100</f>
        <v>18.274387775259456</v>
      </c>
      <c r="J119" s="32">
        <f t="shared" si="11"/>
        <v>8.5110311076665646</v>
      </c>
    </row>
    <row r="120" spans="1:10" s="9" customFormat="1" ht="19.5" customHeight="1" x14ac:dyDescent="0.2">
      <c r="A120" s="16" t="s">
        <v>109</v>
      </c>
      <c r="B120" s="2">
        <v>2172275.9428900029</v>
      </c>
      <c r="C120" s="2">
        <v>2605504.6838699998</v>
      </c>
      <c r="D120" s="60">
        <v>2854229.7156700003</v>
      </c>
      <c r="E120" s="33">
        <v>8.1557547950037304</v>
      </c>
      <c r="F120" s="33">
        <f t="shared" si="12"/>
        <v>8.5010435910870346</v>
      </c>
      <c r="G120" s="57">
        <f t="shared" si="14"/>
        <v>9.792271572542063</v>
      </c>
      <c r="H120" s="33">
        <v>13.83930245542642</v>
      </c>
      <c r="I120" s="33">
        <f>((C120-B120)/B120)*100</f>
        <v>19.943540893042716</v>
      </c>
      <c r="J120" s="32">
        <f t="shared" si="11"/>
        <v>9.5461364295290778</v>
      </c>
    </row>
    <row r="121" spans="1:10" s="9" customFormat="1" ht="26.25" customHeight="1" x14ac:dyDescent="0.2">
      <c r="A121" s="14" t="s">
        <v>110</v>
      </c>
      <c r="B121" s="2">
        <v>1902893.458889999</v>
      </c>
      <c r="C121" s="2">
        <v>2214376.97689</v>
      </c>
      <c r="D121" s="60">
        <v>2375873.57259</v>
      </c>
      <c r="E121" s="33">
        <v>7.1443651081805504</v>
      </c>
      <c r="F121" s="33">
        <f t="shared" si="12"/>
        <v>7.2249016953141867</v>
      </c>
      <c r="G121" s="57">
        <f t="shared" si="14"/>
        <v>8.1511306245249955</v>
      </c>
      <c r="H121" s="33">
        <v>30.770910634207173</v>
      </c>
      <c r="I121" s="33">
        <f>((C121-B121)/B121)*100</f>
        <v>16.368941547662711</v>
      </c>
      <c r="J121" s="32">
        <f t="shared" si="11"/>
        <v>7.2930940569484779</v>
      </c>
    </row>
    <row r="122" spans="1:10" s="9" customFormat="1" ht="19.5" customHeight="1" x14ac:dyDescent="0.2">
      <c r="A122" s="10" t="s">
        <v>137</v>
      </c>
      <c r="B122" s="1"/>
      <c r="C122" s="1"/>
      <c r="D122" s="48"/>
      <c r="E122" s="32"/>
      <c r="F122" s="33"/>
      <c r="G122" s="57"/>
      <c r="H122" s="32"/>
      <c r="I122" s="32"/>
      <c r="J122" s="32"/>
    </row>
    <row r="123" spans="1:10" s="9" customFormat="1" ht="19.5" customHeight="1" x14ac:dyDescent="0.2">
      <c r="A123" s="55" t="s">
        <v>111</v>
      </c>
      <c r="B123" s="40">
        <f>SUM(B124:B127)</f>
        <v>1327174.2853500005</v>
      </c>
      <c r="C123" s="40">
        <f>SUM(C124:C127)</f>
        <v>1768063.2817999998</v>
      </c>
      <c r="D123" s="51">
        <f>SUM(D124:D127)</f>
        <v>2331155.3314</v>
      </c>
      <c r="E123" s="32">
        <v>4.9828421094368371</v>
      </c>
      <c r="F123" s="32">
        <f t="shared" si="12"/>
        <v>5.7687031320386337</v>
      </c>
      <c r="G123" s="4">
        <f t="shared" si="14"/>
        <v>7.9977115918610027</v>
      </c>
      <c r="H123" s="32">
        <v>75.124098532844968</v>
      </c>
      <c r="I123" s="32">
        <f>((C123-B123)/B123)*100</f>
        <v>33.220128005548922</v>
      </c>
      <c r="J123" s="32">
        <f t="shared" si="11"/>
        <v>31.847957898132307</v>
      </c>
    </row>
    <row r="124" spans="1:10" s="9" customFormat="1" ht="19.5" customHeight="1" x14ac:dyDescent="0.2">
      <c r="A124" s="16" t="s">
        <v>112</v>
      </c>
      <c r="B124" s="2">
        <v>6555.6791000000003</v>
      </c>
      <c r="C124" s="2">
        <v>5159.0144600000003</v>
      </c>
      <c r="D124" s="60">
        <v>6794.3540300000004</v>
      </c>
      <c r="E124" s="33">
        <v>2.4613130495382059E-2</v>
      </c>
      <c r="F124" s="33">
        <f t="shared" si="12"/>
        <v>1.6832442130315727E-2</v>
      </c>
      <c r="G124" s="57">
        <f t="shared" si="14"/>
        <v>2.3310022825593728E-2</v>
      </c>
      <c r="H124" s="33">
        <v>16.672847610685178</v>
      </c>
      <c r="I124" s="33">
        <f>((C124-B124)/B124)*100</f>
        <v>-21.304652328086039</v>
      </c>
      <c r="J124" s="32">
        <f t="shared" si="11"/>
        <v>31.698681650913613</v>
      </c>
    </row>
    <row r="125" spans="1:10" s="9" customFormat="1" ht="25.5" customHeight="1" x14ac:dyDescent="0.2">
      <c r="A125" s="14" t="s">
        <v>113</v>
      </c>
      <c r="B125" s="2">
        <v>266185.83831000008</v>
      </c>
      <c r="C125" s="2">
        <v>466840.59477999998</v>
      </c>
      <c r="D125" s="60">
        <v>573675.81246000004</v>
      </c>
      <c r="E125" s="33">
        <v>0.99938796185839851</v>
      </c>
      <c r="F125" s="33">
        <f t="shared" si="12"/>
        <v>1.5231721788421819</v>
      </c>
      <c r="G125" s="57">
        <f t="shared" si="14"/>
        <v>1.968163010624518</v>
      </c>
      <c r="H125" s="33">
        <v>1.9847647514616307</v>
      </c>
      <c r="I125" s="33">
        <f>((C125-B125)/B125)*100</f>
        <v>75.381454454506837</v>
      </c>
      <c r="J125" s="32">
        <f t="shared" si="11"/>
        <v>22.884731720973509</v>
      </c>
    </row>
    <row r="126" spans="1:10" s="9" customFormat="1" ht="19.5" customHeight="1" x14ac:dyDescent="0.2">
      <c r="A126" s="14" t="s">
        <v>114</v>
      </c>
      <c r="B126" s="2">
        <v>870273.70785000036</v>
      </c>
      <c r="C126" s="2">
        <v>940117.98805999989</v>
      </c>
      <c r="D126" s="60">
        <v>1313757.4471400001</v>
      </c>
      <c r="E126" s="33">
        <v>3.2674205084278847</v>
      </c>
      <c r="F126" s="33">
        <f t="shared" si="12"/>
        <v>3.067345856923378</v>
      </c>
      <c r="G126" s="57">
        <f t="shared" si="14"/>
        <v>4.5072299654846137</v>
      </c>
      <c r="H126" s="33">
        <v>131.24810595987836</v>
      </c>
      <c r="I126" s="33">
        <f>((C126-B126)/B126)*100</f>
        <v>8.0255532920268156</v>
      </c>
      <c r="J126" s="32">
        <f t="shared" si="11"/>
        <v>39.743890003746415</v>
      </c>
    </row>
    <row r="127" spans="1:10" s="9" customFormat="1" ht="19.5" customHeight="1" x14ac:dyDescent="0.2">
      <c r="A127" s="14" t="s">
        <v>115</v>
      </c>
      <c r="B127" s="2">
        <v>184159.0600900001</v>
      </c>
      <c r="C127" s="2">
        <v>355945.68449999997</v>
      </c>
      <c r="D127" s="60">
        <v>436927.71776999999</v>
      </c>
      <c r="E127" s="33">
        <v>0.69142050865517168</v>
      </c>
      <c r="F127" s="33">
        <f t="shared" si="12"/>
        <v>1.1613526541427581</v>
      </c>
      <c r="G127" s="57">
        <f t="shared" si="14"/>
        <v>1.4990085929262762</v>
      </c>
      <c r="H127" s="33">
        <v>60.297381091612287</v>
      </c>
      <c r="I127" s="33">
        <f>((C127-B127)/B127)*100</f>
        <v>93.281657891849733</v>
      </c>
      <c r="J127" s="32">
        <f t="shared" si="11"/>
        <v>22.751233347232791</v>
      </c>
    </row>
    <row r="128" spans="1:10" s="9" customFormat="1" ht="19.5" customHeight="1" x14ac:dyDescent="0.2">
      <c r="A128" s="10" t="s">
        <v>135</v>
      </c>
      <c r="B128" s="1"/>
      <c r="C128" s="1"/>
      <c r="D128" s="48"/>
      <c r="E128" s="32"/>
      <c r="F128" s="33"/>
      <c r="G128" s="57"/>
      <c r="H128" s="32"/>
      <c r="I128" s="32"/>
      <c r="J128" s="32"/>
    </row>
    <row r="129" spans="1:10" s="9" customFormat="1" ht="19.5" customHeight="1" x14ac:dyDescent="0.2">
      <c r="A129" s="55" t="s">
        <v>116</v>
      </c>
      <c r="B129" s="40">
        <f>SUM(B130:B132)</f>
        <v>237050.51012000002</v>
      </c>
      <c r="C129" s="40">
        <f>SUM(C130:C132)</f>
        <v>270098.93417000002</v>
      </c>
      <c r="D129" s="51">
        <f>SUM(D130:D132)</f>
        <v>387889.24714000005</v>
      </c>
      <c r="E129" s="32">
        <v>0.89000011296776949</v>
      </c>
      <c r="F129" s="32">
        <f t="shared" si="12"/>
        <v>0.88125837097895665</v>
      </c>
      <c r="G129" s="4">
        <f t="shared" si="14"/>
        <v>1.3307677469723738</v>
      </c>
      <c r="H129" s="32">
        <v>-9.0276331559792986</v>
      </c>
      <c r="I129" s="32">
        <f>((C129-B129)/B129)*100</f>
        <v>13.941511466594264</v>
      </c>
      <c r="J129" s="32">
        <f t="shared" si="11"/>
        <v>43.610062117410244</v>
      </c>
    </row>
    <row r="130" spans="1:10" s="9" customFormat="1" ht="19.5" customHeight="1" x14ac:dyDescent="0.2">
      <c r="A130" s="14" t="s">
        <v>117</v>
      </c>
      <c r="B130" s="2">
        <v>203221.67176000003</v>
      </c>
      <c r="C130" s="2">
        <v>239809.24903000001</v>
      </c>
      <c r="D130" s="60">
        <v>357779.45092000003</v>
      </c>
      <c r="E130" s="33">
        <v>0.76299059948168901</v>
      </c>
      <c r="F130" s="33">
        <f t="shared" si="12"/>
        <v>0.78243147754463693</v>
      </c>
      <c r="G130" s="57">
        <f t="shared" si="14"/>
        <v>1.2274672662992794</v>
      </c>
      <c r="H130" s="33">
        <v>-13.439187659787407</v>
      </c>
      <c r="I130" s="33">
        <f>((C130-B130)/B130)*100</f>
        <v>18.003777330012834</v>
      </c>
      <c r="J130" s="32">
        <f t="shared" si="11"/>
        <v>49.193349450521829</v>
      </c>
    </row>
    <row r="131" spans="1:10" s="9" customFormat="1" ht="19.5" customHeight="1" x14ac:dyDescent="0.2">
      <c r="A131" s="14" t="s">
        <v>118</v>
      </c>
      <c r="B131" s="2">
        <v>30426.596570000002</v>
      </c>
      <c r="C131" s="2">
        <v>24853.491120000002</v>
      </c>
      <c r="D131" s="60">
        <v>26338.437420000002</v>
      </c>
      <c r="E131" s="33">
        <v>0.1142358831913774</v>
      </c>
      <c r="F131" s="33">
        <f t="shared" si="12"/>
        <v>8.1090090802675471E-2</v>
      </c>
      <c r="G131" s="57">
        <f t="shared" si="14"/>
        <v>9.0361728979652833E-2</v>
      </c>
      <c r="H131" s="33">
        <v>38.61122656442069</v>
      </c>
      <c r="I131" s="33">
        <f>((C131-B131)/B131)*100</f>
        <v>-18.31655879479786</v>
      </c>
      <c r="J131" s="32">
        <f t="shared" si="11"/>
        <v>5.9747996481872105</v>
      </c>
    </row>
    <row r="132" spans="1:10" s="9" customFormat="1" ht="19.5" customHeight="1" x14ac:dyDescent="0.2">
      <c r="A132" s="14" t="s">
        <v>119</v>
      </c>
      <c r="B132" s="2">
        <v>3402.2417900000009</v>
      </c>
      <c r="C132" s="2">
        <v>5436.1940199999999</v>
      </c>
      <c r="D132" s="60">
        <v>3771.3588</v>
      </c>
      <c r="E132" s="33">
        <v>1.2773630294703147E-2</v>
      </c>
      <c r="F132" s="33">
        <f t="shared" si="12"/>
        <v>1.7736802631644184E-2</v>
      </c>
      <c r="G132" s="57">
        <f t="shared" si="14"/>
        <v>1.2938751693441528E-2</v>
      </c>
      <c r="H132" s="33">
        <v>-11.626948543470784</v>
      </c>
      <c r="I132" s="33">
        <f>((C132-B132)/B132)*100</f>
        <v>59.782706684112483</v>
      </c>
      <c r="J132" s="32">
        <f t="shared" si="11"/>
        <v>-30.625014741471645</v>
      </c>
    </row>
    <row r="133" spans="1:10" s="9" customFormat="1" ht="19.5" customHeight="1" x14ac:dyDescent="0.2">
      <c r="A133" s="10" t="s">
        <v>134</v>
      </c>
      <c r="B133" s="1"/>
      <c r="C133" s="1"/>
      <c r="D133" s="48"/>
      <c r="E133" s="32"/>
      <c r="F133" s="33"/>
      <c r="G133" s="57"/>
      <c r="H133" s="32"/>
      <c r="I133" s="32"/>
      <c r="J133" s="32"/>
    </row>
    <row r="134" spans="1:10" s="9" customFormat="1" ht="19.5" customHeight="1" x14ac:dyDescent="0.2">
      <c r="A134" s="55" t="s">
        <v>120</v>
      </c>
      <c r="B134" s="41">
        <f>SUM(B135)</f>
        <v>36.522300000000001</v>
      </c>
      <c r="C134" s="41">
        <f>SUM(C135)</f>
        <v>259.80257999999998</v>
      </c>
      <c r="D134" s="52">
        <f>SUM(D135)</f>
        <v>6846.5144800000007</v>
      </c>
      <c r="E134" s="32">
        <v>1.3712204672914697E-4</v>
      </c>
      <c r="F134" s="33">
        <f t="shared" si="12"/>
        <v>8.4766420545305489E-4</v>
      </c>
      <c r="G134" s="4">
        <f t="shared" si="14"/>
        <v>2.3488974536782857E-2</v>
      </c>
      <c r="H134" s="32">
        <v>0</v>
      </c>
      <c r="I134" s="32">
        <v>0</v>
      </c>
      <c r="J134" s="32">
        <f t="shared" si="11"/>
        <v>2535.2757851750362</v>
      </c>
    </row>
    <row r="135" spans="1:10" s="9" customFormat="1" ht="19.5" customHeight="1" x14ac:dyDescent="0.2">
      <c r="A135" s="14" t="s">
        <v>121</v>
      </c>
      <c r="B135" s="2">
        <v>36.522300000000001</v>
      </c>
      <c r="C135" s="2">
        <v>259.80257999999998</v>
      </c>
      <c r="D135" s="60">
        <v>6846.5144800000007</v>
      </c>
      <c r="E135" s="33">
        <v>1.3712204672914697E-4</v>
      </c>
      <c r="F135" s="33">
        <f t="shared" si="12"/>
        <v>8.4766420545305489E-4</v>
      </c>
      <c r="G135" s="57">
        <f t="shared" si="14"/>
        <v>2.3488974536782857E-2</v>
      </c>
      <c r="H135" s="33">
        <v>0</v>
      </c>
      <c r="I135" s="33">
        <v>0</v>
      </c>
      <c r="J135" s="32">
        <f t="shared" si="11"/>
        <v>2535.2757851750362</v>
      </c>
    </row>
    <row r="136" spans="1:10" s="9" customFormat="1" ht="19.5" customHeight="1" x14ac:dyDescent="0.2">
      <c r="A136" s="10" t="s">
        <v>133</v>
      </c>
      <c r="B136" s="1"/>
      <c r="C136" s="1"/>
      <c r="D136" s="48"/>
      <c r="E136" s="32"/>
      <c r="F136" s="33"/>
      <c r="G136" s="57"/>
      <c r="H136" s="32"/>
      <c r="I136" s="32"/>
      <c r="J136" s="32"/>
    </row>
    <row r="137" spans="1:10" s="9" customFormat="1" ht="19.5" customHeight="1" x14ac:dyDescent="0.2">
      <c r="A137" s="55" t="s">
        <v>122</v>
      </c>
      <c r="B137" s="40">
        <f>SUM(B138:B140)</f>
        <v>1093226.6955299987</v>
      </c>
      <c r="C137" s="40">
        <f>SUM(C138:C140)</f>
        <v>1099490.8578199998</v>
      </c>
      <c r="D137" s="51">
        <f>SUM(D138:D140)</f>
        <v>1172917.77248</v>
      </c>
      <c r="E137" s="32">
        <v>4.1044918318401473</v>
      </c>
      <c r="F137" s="32">
        <f t="shared" si="12"/>
        <v>3.5873356007353272</v>
      </c>
      <c r="G137" s="4">
        <f t="shared" si="14"/>
        <v>4.02403818351711</v>
      </c>
      <c r="H137" s="32">
        <v>32.74518103051026</v>
      </c>
      <c r="I137" s="32">
        <f>((C137-B137)/B137)*100</f>
        <v>0.57299755994013435</v>
      </c>
      <c r="J137" s="32">
        <f t="shared" ref="J137:J143" si="16">((D137-C137)/C137)*100</f>
        <v>6.6782651386102874</v>
      </c>
    </row>
    <row r="138" spans="1:10" s="9" customFormat="1" ht="19.5" customHeight="1" x14ac:dyDescent="0.2">
      <c r="A138" s="14" t="s">
        <v>123</v>
      </c>
      <c r="B138" s="2">
        <v>800998.75025999884</v>
      </c>
      <c r="C138" s="2">
        <v>814865.41079999995</v>
      </c>
      <c r="D138" s="60">
        <v>860888.47532000009</v>
      </c>
      <c r="E138" s="33">
        <v>3.0073294415505014</v>
      </c>
      <c r="F138" s="33">
        <f t="shared" ref="F138:F143" si="17">C138/$C$6*100</f>
        <v>2.6586812224765404</v>
      </c>
      <c r="G138" s="57">
        <f t="shared" si="14"/>
        <v>2.9535302283916733</v>
      </c>
      <c r="H138" s="33">
        <v>39.930025613636268</v>
      </c>
      <c r="I138" s="33">
        <f>((C138-B138)/B138)*100</f>
        <v>1.7311713077579824</v>
      </c>
      <c r="J138" s="32">
        <f t="shared" si="16"/>
        <v>5.6479344821884947</v>
      </c>
    </row>
    <row r="139" spans="1:10" s="9" customFormat="1" ht="19.5" customHeight="1" x14ac:dyDescent="0.2">
      <c r="A139" s="14" t="s">
        <v>124</v>
      </c>
      <c r="B139" s="2">
        <v>131307.17182000011</v>
      </c>
      <c r="C139" s="2">
        <v>138342.35905999999</v>
      </c>
      <c r="D139" s="60">
        <v>143439.18638</v>
      </c>
      <c r="E139" s="33">
        <v>0.4929894379645911</v>
      </c>
      <c r="F139" s="33">
        <f t="shared" si="17"/>
        <v>0.4513729843371691</v>
      </c>
      <c r="G139" s="57">
        <f t="shared" si="14"/>
        <v>0.49211016880178571</v>
      </c>
      <c r="H139" s="33">
        <v>16.722056109417284</v>
      </c>
      <c r="I139" s="33">
        <f>((C139-B139)/B139)*100</f>
        <v>5.3578088252817855</v>
      </c>
      <c r="J139" s="32">
        <f t="shared" si="16"/>
        <v>3.684213103370229</v>
      </c>
    </row>
    <row r="140" spans="1:10" s="9" customFormat="1" ht="19.5" customHeight="1" x14ac:dyDescent="0.2">
      <c r="A140" s="14" t="s">
        <v>125</v>
      </c>
      <c r="B140" s="2">
        <v>160920.7734499998</v>
      </c>
      <c r="C140" s="2">
        <v>146283.08796</v>
      </c>
      <c r="D140" s="60">
        <v>168590.11077999999</v>
      </c>
      <c r="E140" s="33">
        <v>0.60417295232505475</v>
      </c>
      <c r="F140" s="33">
        <f t="shared" si="17"/>
        <v>0.47728139392161828</v>
      </c>
      <c r="G140" s="57">
        <f t="shared" si="14"/>
        <v>0.5783977863236508</v>
      </c>
      <c r="H140" s="33">
        <v>16.080031018979916</v>
      </c>
      <c r="I140" s="33">
        <f>((C140-B140)/B140)*100</f>
        <v>-9.0962062735473506</v>
      </c>
      <c r="J140" s="32">
        <f t="shared" si="16"/>
        <v>15.24921515609492</v>
      </c>
    </row>
    <row r="141" spans="1:10" s="9" customFormat="1" ht="19.5" customHeight="1" x14ac:dyDescent="0.2">
      <c r="A141" s="10" t="s">
        <v>132</v>
      </c>
      <c r="B141" s="1"/>
      <c r="C141" s="1"/>
      <c r="D141" s="48"/>
      <c r="E141" s="32"/>
      <c r="F141" s="33"/>
      <c r="G141" s="57"/>
      <c r="H141" s="32"/>
      <c r="I141" s="32"/>
      <c r="J141" s="32"/>
    </row>
    <row r="142" spans="1:10" s="9" customFormat="1" ht="19.5" customHeight="1" x14ac:dyDescent="0.2">
      <c r="A142" s="55" t="s">
        <v>126</v>
      </c>
      <c r="B142" s="40">
        <f>SUM(B143)</f>
        <v>501.64834000000002</v>
      </c>
      <c r="C142" s="40">
        <f>SUM(C143)</f>
        <v>1493.7953500000001</v>
      </c>
      <c r="D142" s="51">
        <f>SUM(D143)</f>
        <v>836.83505000000002</v>
      </c>
      <c r="E142" s="32">
        <v>1.8834259375526462E-3</v>
      </c>
      <c r="F142" s="32">
        <f t="shared" si="17"/>
        <v>4.8738424709532067E-3</v>
      </c>
      <c r="G142" s="4">
        <f t="shared" si="14"/>
        <v>2.871007903124658E-3</v>
      </c>
      <c r="H142" s="32">
        <v>230.3104151205435</v>
      </c>
      <c r="I142" s="32">
        <f>((C142-B142)/B142)*100</f>
        <v>197.77739322330859</v>
      </c>
      <c r="J142" s="32">
        <f t="shared" si="16"/>
        <v>-43.979270654444065</v>
      </c>
    </row>
    <row r="143" spans="1:10" s="9" customFormat="1" ht="19.5" customHeight="1" x14ac:dyDescent="0.2">
      <c r="A143" s="18" t="s">
        <v>127</v>
      </c>
      <c r="B143" s="3">
        <v>501.64834000000002</v>
      </c>
      <c r="C143" s="3">
        <v>1493.7953500000001</v>
      </c>
      <c r="D143" s="61">
        <v>836.83505000000002</v>
      </c>
      <c r="E143" s="37">
        <v>1.8834259375526462E-3</v>
      </c>
      <c r="F143" s="37">
        <f t="shared" si="17"/>
        <v>4.8738424709532067E-3</v>
      </c>
      <c r="G143" s="58">
        <f t="shared" si="14"/>
        <v>2.871007903124658E-3</v>
      </c>
      <c r="H143" s="37">
        <v>230.3104151205435</v>
      </c>
      <c r="I143" s="37">
        <f>((C143-B143)/B143)*100</f>
        <v>197.77739322330859</v>
      </c>
      <c r="J143" s="53">
        <f t="shared" si="16"/>
        <v>-43.979270654444065</v>
      </c>
    </row>
    <row r="144" spans="1:10" s="7" customFormat="1" ht="19.5" customHeight="1" x14ac:dyDescent="0.4">
      <c r="A144" s="19" t="s">
        <v>0</v>
      </c>
      <c r="B144" s="29"/>
      <c r="C144" s="29"/>
      <c r="D144" s="29"/>
      <c r="E144" s="30"/>
      <c r="F144" s="30"/>
      <c r="G144" s="30"/>
      <c r="J144" s="31" t="s">
        <v>140</v>
      </c>
    </row>
    <row r="145" spans="1:8" s="7" customFormat="1" ht="19.5" customHeight="1" x14ac:dyDescent="0.2">
      <c r="A145" s="19"/>
      <c r="B145" s="29"/>
      <c r="C145" s="29"/>
      <c r="D145" s="29"/>
      <c r="E145" s="30"/>
      <c r="F145" s="30"/>
      <c r="G145" s="30"/>
      <c r="H145" s="30"/>
    </row>
    <row r="146" spans="1:8" s="7" customFormat="1" ht="19.5" customHeight="1" x14ac:dyDescent="0.2">
      <c r="B146" s="20"/>
      <c r="C146" s="20"/>
      <c r="D146" s="20"/>
      <c r="E146" s="21"/>
      <c r="F146" s="21"/>
      <c r="G146" s="21"/>
      <c r="H146" s="21"/>
    </row>
    <row r="147" spans="1:8" s="7" customFormat="1" ht="19.5" customHeight="1" x14ac:dyDescent="0.2">
      <c r="B147" s="20"/>
      <c r="C147" s="20"/>
      <c r="D147" s="20"/>
      <c r="E147" s="21"/>
      <c r="F147" s="21"/>
      <c r="G147" s="21"/>
      <c r="H147" s="21"/>
    </row>
    <row r="148" spans="1:8" s="7" customFormat="1" ht="19.5" customHeight="1" x14ac:dyDescent="0.2">
      <c r="B148" s="20"/>
      <c r="C148" s="20"/>
      <c r="D148" s="20"/>
      <c r="E148" s="21"/>
      <c r="F148" s="21"/>
      <c r="G148" s="21"/>
      <c r="H148" s="21"/>
    </row>
    <row r="149" spans="1:8" s="7" customFormat="1" ht="19.5" customHeight="1" x14ac:dyDescent="0.2">
      <c r="E149" s="22"/>
      <c r="F149" s="22"/>
      <c r="G149" s="22"/>
      <c r="H149" s="22"/>
    </row>
    <row r="150" spans="1:8" s="7" customFormat="1" ht="19.5" customHeight="1" x14ac:dyDescent="0.2">
      <c r="E150" s="22"/>
      <c r="F150" s="22"/>
      <c r="G150" s="22"/>
      <c r="H150" s="22"/>
    </row>
    <row r="151" spans="1:8" s="7" customFormat="1" ht="19.5" customHeight="1" x14ac:dyDescent="0.2">
      <c r="E151" s="22"/>
      <c r="F151" s="22"/>
      <c r="G151" s="22"/>
      <c r="H151" s="22"/>
    </row>
    <row r="152" spans="1:8" s="7" customFormat="1" ht="19.5" customHeight="1" x14ac:dyDescent="0.2">
      <c r="E152" s="22"/>
      <c r="F152" s="22"/>
      <c r="G152" s="22"/>
      <c r="H152" s="22"/>
    </row>
    <row r="153" spans="1:8" s="7" customFormat="1" ht="19.5" customHeight="1" x14ac:dyDescent="0.2">
      <c r="E153" s="22"/>
      <c r="F153" s="22"/>
      <c r="G153" s="22"/>
      <c r="H153" s="22"/>
    </row>
    <row r="154" spans="1:8" s="7" customFormat="1" ht="19.5" customHeight="1" x14ac:dyDescent="0.2">
      <c r="A154" s="56"/>
      <c r="B154" s="56"/>
      <c r="C154" s="56"/>
      <c r="D154" s="56"/>
      <c r="E154" s="22"/>
      <c r="F154" s="22"/>
      <c r="G154" s="22"/>
      <c r="H154" s="22"/>
    </row>
    <row r="155" spans="1:8" s="7" customFormat="1" ht="19.5" customHeight="1" x14ac:dyDescent="0.25">
      <c r="A155" s="69"/>
      <c r="B155" s="45"/>
      <c r="C155" s="45"/>
      <c r="D155" s="45"/>
      <c r="E155" s="22"/>
      <c r="F155" s="22"/>
      <c r="G155" s="22"/>
      <c r="H155" s="22"/>
    </row>
    <row r="156" spans="1:8" s="7" customFormat="1" ht="19.5" customHeight="1" x14ac:dyDescent="0.2">
      <c r="A156" s="69"/>
      <c r="B156" s="56"/>
      <c r="C156" s="56"/>
      <c r="D156" s="56"/>
      <c r="E156" s="22"/>
      <c r="F156" s="22"/>
      <c r="G156" s="22"/>
      <c r="H156" s="22"/>
    </row>
    <row r="157" spans="1:8" s="7" customFormat="1" ht="19.5" customHeight="1" x14ac:dyDescent="0.2">
      <c r="A157" s="69"/>
      <c r="B157" s="56"/>
      <c r="C157" s="56"/>
      <c r="D157" s="56"/>
      <c r="E157" s="22"/>
      <c r="F157" s="22"/>
      <c r="G157" s="22"/>
      <c r="H157" s="22"/>
    </row>
    <row r="158" spans="1:8" s="7" customFormat="1" ht="19.5" customHeight="1" x14ac:dyDescent="0.2">
      <c r="A158" s="69"/>
      <c r="B158" s="23"/>
      <c r="C158" s="23"/>
      <c r="D158" s="23"/>
      <c r="E158" s="22"/>
      <c r="F158" s="22"/>
      <c r="G158" s="22"/>
      <c r="H158" s="22"/>
    </row>
    <row r="159" spans="1:8" s="7" customFormat="1" ht="19.5" customHeight="1" x14ac:dyDescent="0.2">
      <c r="A159" s="69"/>
      <c r="B159" s="56"/>
      <c r="C159" s="56"/>
      <c r="D159" s="56"/>
      <c r="E159" s="22"/>
      <c r="F159" s="22"/>
      <c r="G159" s="22"/>
      <c r="H159" s="22"/>
    </row>
    <row r="160" spans="1:8" s="7" customFormat="1" ht="19.5" customHeight="1" x14ac:dyDescent="0.2">
      <c r="A160" s="69"/>
      <c r="B160" s="24"/>
      <c r="C160" s="24"/>
      <c r="D160" s="24"/>
      <c r="E160" s="22"/>
      <c r="F160" s="22"/>
      <c r="G160" s="22"/>
      <c r="H160" s="22"/>
    </row>
    <row r="161" spans="1:8" s="7" customFormat="1" ht="19.5" customHeight="1" x14ac:dyDescent="0.2">
      <c r="A161" s="69"/>
      <c r="B161" s="56"/>
      <c r="C161" s="56"/>
      <c r="D161" s="56"/>
      <c r="E161" s="22"/>
      <c r="F161" s="22"/>
      <c r="G161" s="22"/>
      <c r="H161" s="22"/>
    </row>
    <row r="162" spans="1:8" s="7" customFormat="1" ht="19.5" customHeight="1" x14ac:dyDescent="0.15">
      <c r="A162" s="69"/>
      <c r="B162" s="25"/>
      <c r="C162" s="25"/>
      <c r="D162" s="25"/>
      <c r="E162" s="22"/>
      <c r="F162" s="22"/>
      <c r="G162" s="22"/>
      <c r="H162" s="22"/>
    </row>
    <row r="163" spans="1:8" s="7" customFormat="1" ht="19.5" customHeight="1" x14ac:dyDescent="0.2">
      <c r="A163" s="69"/>
      <c r="B163" s="42"/>
      <c r="C163" s="42"/>
      <c r="D163" s="42"/>
      <c r="E163" s="22"/>
      <c r="F163" s="22"/>
      <c r="G163" s="22"/>
      <c r="H163" s="22"/>
    </row>
    <row r="164" spans="1:8" s="7" customFormat="1" ht="19.5" customHeight="1" x14ac:dyDescent="0.2">
      <c r="A164" s="69"/>
      <c r="B164" s="44"/>
      <c r="C164" s="44"/>
      <c r="D164" s="44"/>
      <c r="E164" s="22"/>
      <c r="F164" s="22"/>
      <c r="G164" s="22"/>
      <c r="H164" s="22"/>
    </row>
    <row r="165" spans="1:8" s="7" customFormat="1" ht="19.5" customHeight="1" x14ac:dyDescent="0.2">
      <c r="A165" s="69"/>
      <c r="B165" s="43"/>
      <c r="C165" s="43"/>
      <c r="D165" s="43"/>
      <c r="E165" s="22"/>
      <c r="F165" s="22"/>
      <c r="G165" s="22"/>
      <c r="H165" s="22"/>
    </row>
    <row r="166" spans="1:8" s="7" customFormat="1" ht="19.5" customHeight="1" x14ac:dyDescent="0.2">
      <c r="E166" s="22"/>
      <c r="F166" s="22"/>
      <c r="G166" s="22"/>
      <c r="H166" s="22"/>
    </row>
    <row r="167" spans="1:8" s="7" customFormat="1" ht="19.5" customHeight="1" x14ac:dyDescent="0.2">
      <c r="E167" s="22"/>
      <c r="F167" s="22"/>
      <c r="G167" s="22"/>
      <c r="H167" s="22"/>
    </row>
    <row r="168" spans="1:8" s="7" customFormat="1" ht="19.5" customHeight="1" x14ac:dyDescent="0.2">
      <c r="E168" s="22"/>
      <c r="F168" s="22"/>
      <c r="G168" s="22"/>
      <c r="H168" s="22"/>
    </row>
    <row r="169" spans="1:8" s="7" customFormat="1" ht="19.5" customHeight="1" x14ac:dyDescent="0.2">
      <c r="E169" s="22"/>
      <c r="F169" s="22"/>
      <c r="G169" s="22"/>
      <c r="H169" s="22"/>
    </row>
    <row r="170" spans="1:8" s="7" customFormat="1" ht="19.5" customHeight="1" x14ac:dyDescent="0.2">
      <c r="E170" s="22"/>
      <c r="F170" s="22"/>
      <c r="G170" s="22"/>
      <c r="H170" s="22"/>
    </row>
    <row r="171" spans="1:8" s="7" customFormat="1" ht="19.5" customHeight="1" x14ac:dyDescent="0.2">
      <c r="E171" s="22"/>
      <c r="F171" s="22"/>
      <c r="G171" s="22"/>
      <c r="H171" s="22"/>
    </row>
    <row r="172" spans="1:8" s="7" customFormat="1" ht="19.5" customHeight="1" x14ac:dyDescent="0.2">
      <c r="E172" s="22"/>
      <c r="F172" s="22"/>
      <c r="G172" s="22"/>
      <c r="H172" s="22"/>
    </row>
    <row r="173" spans="1:8" s="7" customFormat="1" ht="19.5" customHeight="1" x14ac:dyDescent="0.2">
      <c r="E173" s="22"/>
      <c r="F173" s="22"/>
      <c r="G173" s="22"/>
      <c r="H173" s="22"/>
    </row>
    <row r="174" spans="1:8" s="7" customFormat="1" ht="19.5" customHeight="1" x14ac:dyDescent="0.2">
      <c r="E174" s="22"/>
      <c r="F174" s="22"/>
      <c r="G174" s="22"/>
      <c r="H174" s="22"/>
    </row>
    <row r="175" spans="1:8" s="7" customFormat="1" ht="19.5" customHeight="1" x14ac:dyDescent="0.2">
      <c r="E175" s="22"/>
      <c r="F175" s="22"/>
      <c r="G175" s="22"/>
      <c r="H175" s="22"/>
    </row>
    <row r="176" spans="1:8" s="7" customFormat="1" ht="19.5" customHeight="1" x14ac:dyDescent="0.2">
      <c r="E176" s="22"/>
      <c r="F176" s="22"/>
      <c r="G176" s="22"/>
      <c r="H176" s="22"/>
    </row>
    <row r="177" spans="5:8" s="7" customFormat="1" ht="19.5" customHeight="1" x14ac:dyDescent="0.2">
      <c r="E177" s="22"/>
      <c r="F177" s="22"/>
      <c r="G177" s="22"/>
      <c r="H177" s="22"/>
    </row>
    <row r="178" spans="5:8" s="7" customFormat="1" ht="19.5" customHeight="1" x14ac:dyDescent="0.2">
      <c r="E178" s="22"/>
      <c r="F178" s="22"/>
      <c r="G178" s="22"/>
      <c r="H178" s="22"/>
    </row>
    <row r="179" spans="5:8" s="7" customFormat="1" ht="19.5" customHeight="1" x14ac:dyDescent="0.2">
      <c r="E179" s="22"/>
      <c r="F179" s="22"/>
      <c r="G179" s="22"/>
      <c r="H179" s="22"/>
    </row>
    <row r="180" spans="5:8" s="7" customFormat="1" ht="19.5" customHeight="1" x14ac:dyDescent="0.2">
      <c r="E180" s="22"/>
      <c r="F180" s="22"/>
      <c r="G180" s="22"/>
      <c r="H180" s="22"/>
    </row>
    <row r="181" spans="5:8" s="7" customFormat="1" ht="19.5" customHeight="1" x14ac:dyDescent="0.2">
      <c r="E181" s="22"/>
      <c r="F181" s="22"/>
      <c r="G181" s="22"/>
      <c r="H181" s="22"/>
    </row>
    <row r="182" spans="5:8" s="7" customFormat="1" ht="19.5" customHeight="1" x14ac:dyDescent="0.2">
      <c r="E182" s="22"/>
      <c r="F182" s="22"/>
      <c r="G182" s="22"/>
      <c r="H182" s="22"/>
    </row>
    <row r="183" spans="5:8" s="7" customFormat="1" ht="19.5" customHeight="1" x14ac:dyDescent="0.2">
      <c r="E183" s="22"/>
      <c r="F183" s="22"/>
      <c r="G183" s="22"/>
      <c r="H183" s="22"/>
    </row>
    <row r="184" spans="5:8" s="7" customFormat="1" ht="19.5" customHeight="1" x14ac:dyDescent="0.2">
      <c r="E184" s="22"/>
      <c r="F184" s="22"/>
      <c r="G184" s="22"/>
      <c r="H184" s="22"/>
    </row>
    <row r="185" spans="5:8" s="7" customFormat="1" ht="19.5" customHeight="1" x14ac:dyDescent="0.2">
      <c r="E185" s="22"/>
      <c r="F185" s="22"/>
      <c r="G185" s="22"/>
      <c r="H185" s="22"/>
    </row>
    <row r="186" spans="5:8" s="7" customFormat="1" ht="19.5" customHeight="1" x14ac:dyDescent="0.2">
      <c r="E186" s="22"/>
      <c r="F186" s="22"/>
      <c r="G186" s="22"/>
      <c r="H186" s="22"/>
    </row>
    <row r="187" spans="5:8" s="7" customFormat="1" ht="19.5" customHeight="1" x14ac:dyDescent="0.2">
      <c r="E187" s="22"/>
      <c r="F187" s="22"/>
      <c r="G187" s="22"/>
      <c r="H187" s="22"/>
    </row>
    <row r="188" spans="5:8" s="7" customFormat="1" ht="19.5" customHeight="1" x14ac:dyDescent="0.2">
      <c r="E188" s="22"/>
      <c r="F188" s="22"/>
      <c r="G188" s="22"/>
      <c r="H188" s="22"/>
    </row>
    <row r="189" spans="5:8" s="7" customFormat="1" ht="19.5" customHeight="1" x14ac:dyDescent="0.2">
      <c r="E189" s="22"/>
      <c r="F189" s="22"/>
      <c r="G189" s="22"/>
      <c r="H189" s="22"/>
    </row>
    <row r="190" spans="5:8" s="7" customFormat="1" ht="19.5" customHeight="1" x14ac:dyDescent="0.2">
      <c r="E190" s="22"/>
      <c r="F190" s="22"/>
      <c r="G190" s="22"/>
      <c r="H190" s="22"/>
    </row>
    <row r="191" spans="5:8" s="7" customFormat="1" ht="19.5" customHeight="1" x14ac:dyDescent="0.2">
      <c r="E191" s="22"/>
      <c r="F191" s="22"/>
      <c r="G191" s="22"/>
      <c r="H191" s="22"/>
    </row>
    <row r="192" spans="5:8" s="7" customFormat="1" ht="19.5" customHeight="1" x14ac:dyDescent="0.2">
      <c r="E192" s="22"/>
      <c r="F192" s="22"/>
      <c r="G192" s="22"/>
      <c r="H192" s="22"/>
    </row>
    <row r="193" spans="2:8" s="7" customFormat="1" ht="19.5" customHeight="1" x14ac:dyDescent="0.2">
      <c r="E193" s="22"/>
      <c r="F193" s="22"/>
      <c r="G193" s="22"/>
      <c r="H193" s="22"/>
    </row>
    <row r="194" spans="2:8" s="7" customFormat="1" ht="19.5" customHeight="1" x14ac:dyDescent="0.2">
      <c r="E194" s="22"/>
      <c r="F194" s="22"/>
      <c r="G194" s="22"/>
      <c r="H194" s="22"/>
    </row>
    <row r="195" spans="2:8" s="7" customFormat="1" ht="19.5" customHeight="1" x14ac:dyDescent="0.2">
      <c r="E195" s="22"/>
      <c r="F195" s="22"/>
      <c r="G195" s="22"/>
      <c r="H195" s="22"/>
    </row>
    <row r="196" spans="2:8" s="7" customFormat="1" ht="19.5" customHeight="1" x14ac:dyDescent="0.2">
      <c r="E196" s="22"/>
      <c r="F196" s="22"/>
      <c r="G196" s="22"/>
      <c r="H196" s="22"/>
    </row>
    <row r="197" spans="2:8" s="7" customFormat="1" ht="19.5" customHeight="1" x14ac:dyDescent="0.2">
      <c r="E197" s="22"/>
      <c r="F197" s="22"/>
      <c r="G197" s="22"/>
      <c r="H197" s="22"/>
    </row>
    <row r="198" spans="2:8" ht="19.5" customHeight="1" x14ac:dyDescent="0.2">
      <c r="B198" s="7"/>
      <c r="C198" s="7"/>
      <c r="D198" s="7"/>
      <c r="E198" s="22"/>
      <c r="F198" s="22"/>
      <c r="G198" s="22"/>
      <c r="H198" s="22"/>
    </row>
    <row r="199" spans="2:8" ht="19.5" customHeight="1" x14ac:dyDescent="0.2">
      <c r="B199" s="7"/>
      <c r="C199" s="7"/>
      <c r="D199" s="7"/>
      <c r="E199" s="22"/>
      <c r="F199" s="22"/>
      <c r="G199" s="22"/>
      <c r="H199" s="22"/>
    </row>
    <row r="200" spans="2:8" ht="19.5" customHeight="1" x14ac:dyDescent="0.2">
      <c r="B200" s="7"/>
      <c r="C200" s="7"/>
      <c r="D200" s="7"/>
      <c r="E200" s="22"/>
      <c r="F200" s="22"/>
      <c r="G200" s="22"/>
      <c r="H200" s="22"/>
    </row>
    <row r="201" spans="2:8" ht="19.5" customHeight="1" x14ac:dyDescent="0.2">
      <c r="B201" s="7"/>
      <c r="C201" s="7"/>
      <c r="D201" s="7"/>
      <c r="E201" s="22"/>
      <c r="F201" s="22"/>
      <c r="G201" s="22"/>
      <c r="H201" s="22"/>
    </row>
    <row r="202" spans="2:8" ht="19.5" customHeight="1" x14ac:dyDescent="0.2">
      <c r="B202" s="7"/>
      <c r="C202" s="7"/>
      <c r="D202" s="7"/>
      <c r="E202" s="22"/>
      <c r="F202" s="22"/>
      <c r="G202" s="22"/>
      <c r="H202" s="22"/>
    </row>
    <row r="203" spans="2:8" ht="19.5" customHeight="1" x14ac:dyDescent="0.2">
      <c r="B203" s="7"/>
      <c r="C203" s="7"/>
      <c r="D203" s="7"/>
      <c r="E203" s="22"/>
      <c r="F203" s="22"/>
      <c r="G203" s="22"/>
      <c r="H203" s="22"/>
    </row>
    <row r="204" spans="2:8" ht="19.5" customHeight="1" x14ac:dyDescent="0.2">
      <c r="B204" s="7"/>
      <c r="C204" s="7"/>
      <c r="D204" s="7"/>
      <c r="E204" s="22"/>
      <c r="F204" s="22"/>
      <c r="G204" s="22"/>
      <c r="H204" s="22"/>
    </row>
    <row r="205" spans="2:8" ht="19.5" customHeight="1" x14ac:dyDescent="0.2">
      <c r="B205" s="7"/>
      <c r="C205" s="7"/>
      <c r="D205" s="7"/>
      <c r="E205" s="22"/>
      <c r="F205" s="22"/>
      <c r="G205" s="22"/>
      <c r="H205" s="22"/>
    </row>
    <row r="206" spans="2:8" ht="19.5" customHeight="1" x14ac:dyDescent="0.2">
      <c r="B206" s="7"/>
      <c r="C206" s="7"/>
      <c r="D206" s="7"/>
      <c r="E206" s="22"/>
      <c r="F206" s="22"/>
      <c r="G206" s="22"/>
      <c r="H206" s="22"/>
    </row>
    <row r="207" spans="2:8" ht="19.5" customHeight="1" x14ac:dyDescent="0.2">
      <c r="B207" s="7"/>
      <c r="C207" s="7"/>
      <c r="D207" s="7"/>
      <c r="E207" s="22"/>
      <c r="F207" s="22"/>
      <c r="G207" s="22"/>
      <c r="H207" s="22"/>
    </row>
    <row r="208" spans="2:8" ht="19.5" customHeight="1" x14ac:dyDescent="0.2">
      <c r="B208" s="7"/>
      <c r="C208" s="7"/>
      <c r="D208" s="7"/>
      <c r="E208" s="22"/>
      <c r="F208" s="22"/>
      <c r="G208" s="22"/>
      <c r="H208" s="22"/>
    </row>
    <row r="209" spans="2:8" ht="19.5" customHeight="1" x14ac:dyDescent="0.2">
      <c r="B209" s="7"/>
      <c r="C209" s="7"/>
      <c r="D209" s="7"/>
      <c r="E209" s="22"/>
      <c r="F209" s="22"/>
      <c r="G209" s="22"/>
      <c r="H209" s="22"/>
    </row>
    <row r="210" spans="2:8" ht="19.5" customHeight="1" x14ac:dyDescent="0.2">
      <c r="B210" s="7"/>
      <c r="C210" s="7"/>
      <c r="D210" s="7"/>
      <c r="E210" s="22"/>
      <c r="F210" s="22"/>
      <c r="G210" s="22"/>
      <c r="H210" s="22"/>
    </row>
    <row r="211" spans="2:8" ht="19.5" customHeight="1" x14ac:dyDescent="0.2">
      <c r="B211" s="7"/>
      <c r="C211" s="7"/>
      <c r="D211" s="7"/>
      <c r="E211" s="22"/>
      <c r="F211" s="22"/>
      <c r="G211" s="22"/>
      <c r="H211" s="22"/>
    </row>
    <row r="212" spans="2:8" ht="19.5" customHeight="1" x14ac:dyDescent="0.2">
      <c r="B212" s="7"/>
      <c r="C212" s="7"/>
      <c r="D212" s="7"/>
      <c r="E212" s="22"/>
      <c r="F212" s="22"/>
      <c r="G212" s="22"/>
      <c r="H212" s="22"/>
    </row>
    <row r="213" spans="2:8" ht="19.5" customHeight="1" x14ac:dyDescent="0.2">
      <c r="B213" s="7"/>
      <c r="C213" s="7"/>
      <c r="D213" s="7"/>
      <c r="E213" s="22"/>
      <c r="F213" s="22"/>
      <c r="G213" s="22"/>
      <c r="H213" s="22"/>
    </row>
    <row r="214" spans="2:8" ht="19.5" customHeight="1" x14ac:dyDescent="0.2">
      <c r="B214" s="7"/>
      <c r="C214" s="7"/>
      <c r="D214" s="7"/>
      <c r="E214" s="22"/>
      <c r="F214" s="22"/>
      <c r="G214" s="22"/>
      <c r="H214" s="22"/>
    </row>
    <row r="215" spans="2:8" ht="19.5" customHeight="1" x14ac:dyDescent="0.2">
      <c r="B215" s="7"/>
      <c r="C215" s="7"/>
      <c r="D215" s="7"/>
      <c r="E215" s="22"/>
      <c r="F215" s="22"/>
      <c r="G215" s="22"/>
      <c r="H215" s="22"/>
    </row>
    <row r="216" spans="2:8" ht="19.5" customHeight="1" x14ac:dyDescent="0.2">
      <c r="B216" s="7"/>
      <c r="C216" s="7"/>
      <c r="D216" s="7"/>
      <c r="E216" s="22"/>
      <c r="F216" s="22"/>
      <c r="G216" s="22"/>
      <c r="H216" s="22"/>
    </row>
    <row r="217" spans="2:8" ht="19.5" customHeight="1" x14ac:dyDescent="0.2">
      <c r="B217" s="7"/>
      <c r="C217" s="7"/>
      <c r="D217" s="7"/>
      <c r="E217" s="22"/>
      <c r="F217" s="22"/>
      <c r="G217" s="22"/>
      <c r="H217" s="22"/>
    </row>
    <row r="218" spans="2:8" ht="19.5" customHeight="1" x14ac:dyDescent="0.2">
      <c r="B218" s="7"/>
      <c r="C218" s="7"/>
      <c r="D218" s="7"/>
      <c r="E218" s="22"/>
      <c r="F218" s="22"/>
      <c r="G218" s="22"/>
      <c r="H218" s="22"/>
    </row>
    <row r="219" spans="2:8" ht="19.5" customHeight="1" x14ac:dyDescent="0.2">
      <c r="B219" s="7"/>
      <c r="C219" s="7"/>
      <c r="D219" s="7"/>
      <c r="E219" s="22"/>
      <c r="F219" s="22"/>
      <c r="G219" s="22"/>
      <c r="H219" s="22"/>
    </row>
    <row r="220" spans="2:8" ht="19.5" customHeight="1" x14ac:dyDescent="0.2">
      <c r="B220" s="7"/>
      <c r="C220" s="7"/>
      <c r="D220" s="7"/>
      <c r="E220" s="22"/>
      <c r="F220" s="22"/>
      <c r="G220" s="22"/>
      <c r="H220" s="22"/>
    </row>
    <row r="221" spans="2:8" ht="19.5" customHeight="1" x14ac:dyDescent="0.2">
      <c r="B221" s="7"/>
      <c r="C221" s="7"/>
      <c r="D221" s="7"/>
      <c r="E221" s="22"/>
      <c r="F221" s="22"/>
      <c r="G221" s="22"/>
      <c r="H221" s="22"/>
    </row>
    <row r="222" spans="2:8" ht="19.5" customHeight="1" x14ac:dyDescent="0.2">
      <c r="B222" s="7"/>
      <c r="C222" s="7"/>
      <c r="D222" s="7"/>
      <c r="E222" s="22"/>
      <c r="F222" s="22"/>
      <c r="G222" s="22"/>
      <c r="H222" s="22"/>
    </row>
    <row r="223" spans="2:8" ht="19.5" customHeight="1" x14ac:dyDescent="0.2">
      <c r="B223" s="7"/>
      <c r="C223" s="7"/>
      <c r="D223" s="7"/>
      <c r="E223" s="22"/>
      <c r="F223" s="22"/>
      <c r="G223" s="22"/>
      <c r="H223" s="22"/>
    </row>
    <row r="224" spans="2:8" ht="19.5" customHeight="1" x14ac:dyDescent="0.2">
      <c r="B224" s="7"/>
      <c r="C224" s="7"/>
      <c r="D224" s="7"/>
      <c r="E224" s="22"/>
      <c r="F224" s="22"/>
      <c r="G224" s="22"/>
      <c r="H224" s="22"/>
    </row>
    <row r="225" spans="2:8" ht="19.5" customHeight="1" x14ac:dyDescent="0.2">
      <c r="B225" s="7"/>
      <c r="C225" s="7"/>
      <c r="D225" s="7"/>
      <c r="E225" s="22"/>
      <c r="F225" s="22"/>
      <c r="G225" s="22"/>
      <c r="H225" s="22"/>
    </row>
    <row r="226" spans="2:8" ht="19.5" customHeight="1" x14ac:dyDescent="0.2">
      <c r="B226" s="7"/>
      <c r="C226" s="7"/>
      <c r="D226" s="7"/>
      <c r="E226" s="22"/>
      <c r="F226" s="22"/>
      <c r="G226" s="22"/>
      <c r="H226" s="22"/>
    </row>
    <row r="227" spans="2:8" ht="19.5" customHeight="1" x14ac:dyDescent="0.2">
      <c r="B227" s="7"/>
      <c r="C227" s="7"/>
      <c r="D227" s="7"/>
      <c r="E227" s="22"/>
      <c r="F227" s="22"/>
      <c r="G227" s="22"/>
      <c r="H227" s="22"/>
    </row>
    <row r="228" spans="2:8" ht="19.5" customHeight="1" x14ac:dyDescent="0.2">
      <c r="B228" s="7"/>
      <c r="C228" s="7"/>
      <c r="D228" s="7"/>
      <c r="E228" s="22"/>
      <c r="F228" s="22"/>
      <c r="G228" s="22"/>
      <c r="H228" s="22"/>
    </row>
    <row r="229" spans="2:8" ht="19.5" customHeight="1" x14ac:dyDescent="0.2">
      <c r="B229" s="7"/>
      <c r="C229" s="7"/>
      <c r="D229" s="7"/>
      <c r="E229" s="22"/>
      <c r="F229" s="22"/>
      <c r="G229" s="22"/>
      <c r="H229" s="22"/>
    </row>
    <row r="230" spans="2:8" ht="19.5" customHeight="1" x14ac:dyDescent="0.2">
      <c r="B230" s="7"/>
      <c r="C230" s="7"/>
      <c r="D230" s="7"/>
      <c r="E230" s="22"/>
      <c r="F230" s="22"/>
      <c r="G230" s="22"/>
      <c r="H230" s="22"/>
    </row>
    <row r="231" spans="2:8" ht="19.5" customHeight="1" x14ac:dyDescent="0.2">
      <c r="B231" s="7"/>
      <c r="C231" s="7"/>
      <c r="D231" s="7"/>
      <c r="E231" s="22"/>
      <c r="F231" s="22"/>
      <c r="G231" s="22"/>
      <c r="H231" s="22"/>
    </row>
    <row r="232" spans="2:8" x14ac:dyDescent="0.2">
      <c r="B232" s="7"/>
      <c r="C232" s="7"/>
      <c r="D232" s="7"/>
      <c r="E232" s="22"/>
      <c r="F232" s="22"/>
      <c r="G232" s="22"/>
      <c r="H232" s="22"/>
    </row>
    <row r="233" spans="2:8" x14ac:dyDescent="0.2">
      <c r="B233" s="7"/>
      <c r="C233" s="7"/>
      <c r="D233" s="7"/>
      <c r="E233" s="22"/>
      <c r="F233" s="22"/>
      <c r="G233" s="22"/>
      <c r="H233" s="22"/>
    </row>
    <row r="234" spans="2:8" x14ac:dyDescent="0.2">
      <c r="B234" s="7"/>
      <c r="C234" s="7"/>
      <c r="D234" s="7"/>
      <c r="E234" s="22"/>
      <c r="F234" s="22"/>
      <c r="G234" s="22"/>
      <c r="H234" s="22"/>
    </row>
    <row r="235" spans="2:8" x14ac:dyDescent="0.2">
      <c r="B235" s="7"/>
      <c r="C235" s="7"/>
      <c r="D235" s="7"/>
      <c r="E235" s="22"/>
      <c r="F235" s="22"/>
      <c r="G235" s="22"/>
      <c r="H235" s="22"/>
    </row>
    <row r="236" spans="2:8" x14ac:dyDescent="0.2">
      <c r="B236" s="7"/>
      <c r="C236" s="7"/>
      <c r="D236" s="7"/>
      <c r="E236" s="22"/>
      <c r="F236" s="22"/>
      <c r="G236" s="22"/>
      <c r="H236" s="22"/>
    </row>
    <row r="237" spans="2:8" x14ac:dyDescent="0.2">
      <c r="B237" s="7"/>
      <c r="C237" s="7"/>
      <c r="D237" s="7"/>
      <c r="E237" s="22"/>
      <c r="F237" s="22"/>
      <c r="G237" s="22"/>
      <c r="H237" s="22"/>
    </row>
    <row r="238" spans="2:8" x14ac:dyDescent="0.2">
      <c r="B238" s="7"/>
      <c r="C238" s="7"/>
      <c r="D238" s="7"/>
      <c r="E238" s="22"/>
      <c r="F238" s="22"/>
      <c r="G238" s="22"/>
      <c r="H238" s="22"/>
    </row>
    <row r="239" spans="2:8" x14ac:dyDescent="0.2">
      <c r="B239" s="7"/>
      <c r="C239" s="7"/>
      <c r="D239" s="7"/>
      <c r="E239" s="22"/>
      <c r="F239" s="22"/>
      <c r="G239" s="22"/>
      <c r="H239" s="22"/>
    </row>
    <row r="240" spans="2:8" x14ac:dyDescent="0.2">
      <c r="B240" s="7"/>
      <c r="C240" s="7"/>
      <c r="D240" s="7"/>
      <c r="E240" s="22"/>
      <c r="F240" s="22"/>
      <c r="G240" s="22"/>
      <c r="H240" s="22"/>
    </row>
    <row r="241" spans="2:8" x14ac:dyDescent="0.2">
      <c r="B241" s="7"/>
      <c r="C241" s="7"/>
      <c r="D241" s="7"/>
      <c r="E241" s="22"/>
      <c r="F241" s="22"/>
      <c r="G241" s="22"/>
      <c r="H241" s="22"/>
    </row>
    <row r="242" spans="2:8" x14ac:dyDescent="0.2">
      <c r="B242" s="7"/>
      <c r="C242" s="7"/>
      <c r="D242" s="7"/>
      <c r="E242" s="22"/>
      <c r="F242" s="22"/>
      <c r="G242" s="22"/>
      <c r="H242" s="22"/>
    </row>
    <row r="243" spans="2:8" x14ac:dyDescent="0.2">
      <c r="B243" s="7"/>
      <c r="C243" s="7"/>
      <c r="D243" s="7"/>
      <c r="E243" s="22"/>
      <c r="F243" s="22"/>
      <c r="G243" s="22"/>
      <c r="H243" s="22"/>
    </row>
    <row r="244" spans="2:8" x14ac:dyDescent="0.2">
      <c r="B244" s="7"/>
      <c r="C244" s="7"/>
      <c r="D244" s="7"/>
      <c r="E244" s="22"/>
      <c r="F244" s="22"/>
      <c r="G244" s="22"/>
      <c r="H244" s="22"/>
    </row>
    <row r="245" spans="2:8" x14ac:dyDescent="0.2">
      <c r="B245" s="7"/>
      <c r="C245" s="7"/>
      <c r="D245" s="7"/>
      <c r="E245" s="22"/>
      <c r="F245" s="22"/>
      <c r="G245" s="22"/>
      <c r="H245" s="22"/>
    </row>
    <row r="246" spans="2:8" x14ac:dyDescent="0.2">
      <c r="B246" s="7"/>
      <c r="C246" s="7"/>
      <c r="D246" s="7"/>
      <c r="E246" s="22"/>
      <c r="F246" s="22"/>
      <c r="G246" s="22"/>
      <c r="H246" s="22"/>
    </row>
    <row r="247" spans="2:8" x14ac:dyDescent="0.2">
      <c r="B247" s="7"/>
      <c r="C247" s="7"/>
      <c r="D247" s="7"/>
      <c r="E247" s="22"/>
      <c r="F247" s="22"/>
      <c r="G247" s="22"/>
      <c r="H247" s="22"/>
    </row>
    <row r="248" spans="2:8" x14ac:dyDescent="0.2">
      <c r="B248" s="7"/>
      <c r="C248" s="7"/>
      <c r="D248" s="7"/>
      <c r="E248" s="22"/>
      <c r="F248" s="22"/>
      <c r="G248" s="22"/>
      <c r="H248" s="22"/>
    </row>
    <row r="249" spans="2:8" x14ac:dyDescent="0.2">
      <c r="B249" s="7"/>
      <c r="C249" s="7"/>
      <c r="D249" s="7"/>
      <c r="E249" s="22"/>
      <c r="F249" s="22"/>
      <c r="G249" s="22"/>
      <c r="H249" s="22"/>
    </row>
  </sheetData>
  <mergeCells count="10">
    <mergeCell ref="A1:J1"/>
    <mergeCell ref="H4:J4"/>
    <mergeCell ref="B3:D3"/>
    <mergeCell ref="H3:J3"/>
    <mergeCell ref="A155:A165"/>
    <mergeCell ref="E3:G3"/>
    <mergeCell ref="E4:G4"/>
    <mergeCell ref="B4:D4"/>
    <mergeCell ref="A2:J2"/>
    <mergeCell ref="A3:A5"/>
  </mergeCells>
  <phoneticPr fontId="7" type="noConversion"/>
  <printOptions horizontalCentered="1" verticalCentered="1"/>
  <pageMargins left="0.17" right="0.196850393700787" top="0.27559055118110198" bottom="0.62992125984252001" header="0.23622047244094499" footer="0.27559055118110198"/>
  <pageSetup paperSize="9" scale="90" orientation="landscape" r:id="rId1"/>
  <headerFooter alignWithMargins="0"/>
  <rowBreaks count="6" manualBreakCount="6">
    <brk id="31" max="9" man="1"/>
    <brk id="56" max="9" man="1"/>
    <brk id="81" max="9" man="1"/>
    <brk id="104" max="9" man="1"/>
    <brk id="127" max="9" man="1"/>
    <brk id="144" max="9" man="1"/>
  </rowBreaks>
  <webPublishItems count="1">
    <webPublishItem id="16793" divId="15-_Foreign_Trade_and_Balance_of_payments 2007_16793" sourceType="range" sourceRef="A2:A144" destinationFile="\\Server\DP Unit\Publication\Statistical  Year Book\Statistical Year Book 2008\yrbook08 cd\15- Foreign &amp; BOP\15.7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15.8</vt:lpstr>
      <vt:lpstr>'15.8'!Print_Area</vt:lpstr>
      <vt:lpstr>'15.8'!Print_Titles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2016-09-25T08:34:41Z</cp:lastPrinted>
  <dcterms:created xsi:type="dcterms:W3CDTF">2007-02-07T09:08:05Z</dcterms:created>
  <dcterms:modified xsi:type="dcterms:W3CDTF">2016-09-25T08:34:42Z</dcterms:modified>
</cp:coreProperties>
</file>