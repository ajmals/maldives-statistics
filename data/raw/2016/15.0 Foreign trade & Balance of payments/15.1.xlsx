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405" yWindow="495" windowWidth="9540" windowHeight="5040" tabRatio="845"/>
  </bookViews>
  <sheets>
    <sheet name="15.1" sheetId="35" r:id="rId1"/>
  </sheets>
  <externalReferences>
    <externalReference r:id="rId2"/>
  </externalReferences>
  <definedNames>
    <definedName name="_tot3">#REF!</definedName>
    <definedName name="_tot4">#REF!</definedName>
    <definedName name="_tot5">#REF!</definedName>
    <definedName name="_tot6">#REF!</definedName>
    <definedName name="_tot7">#REF!</definedName>
    <definedName name="a">#REF!</definedName>
    <definedName name="bec">#REF!</definedName>
    <definedName name="ctry">'[1]CTRY monthly'!$B$100:$N$115</definedName>
    <definedName name="moomina">#REF!</definedName>
    <definedName name="_xlnm.Print_Area" localSheetId="0">'15.1'!$A$1:$Y$80</definedName>
    <definedName name="Print_Area_MI">#REF!</definedName>
    <definedName name="tot">#REF!</definedName>
    <definedName name="total">#REF!</definedName>
    <definedName name="TOTE8">#REF!</definedName>
    <definedName name="tott3">#REF!</definedName>
  </definedNames>
  <calcPr calcId="144525"/>
  <customWorkbookViews>
    <customWorkbookView name="moomina - Personal View" guid="{606E8A6D-F254-43BE-81C6-5E26D3168B9C}" mergeInterval="0" personalView="1" maximized="1" windowWidth="1020" windowHeight="570" activeSheetId="8"/>
    <customWorkbookView name="iqbal - Personal View" guid="{55954F5B-8823-487D-89BD-5CAA49E9A156}" mergeInterval="0" personalView="1" maximized="1" windowWidth="1276" windowHeight="874" activeSheetId="12"/>
    <customWorkbookView name="hawwa zahira - Personal View" guid="{809AAACF-1F9F-4AA0-A069-E0E3B47FA09A}" mergeInterval="0" personalView="1" maximized="1" windowWidth="1148" windowHeight="692" tabRatio="814" activeSheetId="3"/>
    <customWorkbookView name="777 - Personal View" guid="{AA9F0C9E-78D8-4405-A52F-8AFEDA4EE48D}" mergeInterval="0" personalView="1" maximized="1" windowWidth="1276" windowHeight="852" activeSheetId="16"/>
  </customWorkbookViews>
</workbook>
</file>

<file path=xl/calcChain.xml><?xml version="1.0" encoding="utf-8"?>
<calcChain xmlns="http://schemas.openxmlformats.org/spreadsheetml/2006/main">
  <c r="X47" i="35" l="1"/>
  <c r="X46" i="35"/>
  <c r="AK12" i="35" l="1"/>
  <c r="AP25" i="35" l="1"/>
  <c r="AO25" i="35"/>
  <c r="AP24" i="35"/>
  <c r="AL17" i="35" l="1"/>
  <c r="AL16" i="35"/>
  <c r="AL15" i="35"/>
  <c r="AL14" i="35"/>
  <c r="AL13" i="35"/>
  <c r="AL12" i="35"/>
  <c r="P7" i="35"/>
  <c r="N44" i="35" l="1"/>
  <c r="N39" i="35"/>
  <c r="N33" i="35"/>
  <c r="N28" i="35"/>
  <c r="N18" i="35"/>
  <c r="N8" i="35"/>
  <c r="X9" i="35"/>
  <c r="X10" i="35"/>
  <c r="X11" i="35"/>
  <c r="X12" i="35"/>
  <c r="X13" i="35"/>
  <c r="X14" i="35"/>
  <c r="X15" i="35"/>
  <c r="X16" i="35"/>
  <c r="X17" i="35"/>
  <c r="X19" i="35"/>
  <c r="X20" i="35"/>
  <c r="X21" i="35"/>
  <c r="X22" i="35"/>
  <c r="X23" i="35"/>
  <c r="X24" i="35"/>
  <c r="X25" i="35"/>
  <c r="X26" i="35"/>
  <c r="X27" i="35"/>
  <c r="X29" i="35"/>
  <c r="X30" i="35"/>
  <c r="X31" i="35"/>
  <c r="X32" i="35"/>
  <c r="X34" i="35"/>
  <c r="X35" i="35"/>
  <c r="X36" i="35"/>
  <c r="X37" i="35"/>
  <c r="X38" i="35"/>
  <c r="X40" i="35"/>
  <c r="X41" i="35"/>
  <c r="X42" i="35"/>
  <c r="X43" i="35"/>
  <c r="X45" i="35"/>
  <c r="N7" i="35" l="1"/>
  <c r="S14" i="35" l="1"/>
  <c r="S30" i="35"/>
  <c r="S44" i="35"/>
  <c r="S25" i="35"/>
  <c r="S24" i="35"/>
  <c r="S11" i="35"/>
  <c r="S16" i="35"/>
  <c r="S10" i="35"/>
  <c r="S19" i="35"/>
  <c r="S46" i="35"/>
  <c r="S8" i="35"/>
  <c r="S34" i="35"/>
  <c r="S40" i="35"/>
  <c r="S27" i="35"/>
  <c r="S47" i="35"/>
  <c r="S13" i="35"/>
  <c r="S32" i="35"/>
  <c r="S17" i="35"/>
  <c r="S15" i="35"/>
  <c r="S12" i="35"/>
  <c r="S9" i="35"/>
  <c r="S35" i="35"/>
  <c r="S20" i="35"/>
  <c r="S38" i="35"/>
  <c r="S23" i="35"/>
  <c r="S41" i="35"/>
  <c r="S26" i="35"/>
  <c r="S31" i="35"/>
  <c r="S29" i="35"/>
  <c r="S18" i="35"/>
  <c r="S37" i="35"/>
  <c r="S22" i="35"/>
  <c r="S21" i="35"/>
  <c r="S33" i="35"/>
  <c r="S36" i="35"/>
  <c r="S43" i="35"/>
  <c r="S42" i="35"/>
  <c r="S39" i="35"/>
  <c r="S7" i="35"/>
  <c r="S28" i="35"/>
  <c r="S45" i="35"/>
  <c r="V42" i="35" l="1"/>
  <c r="W9" i="35" l="1"/>
  <c r="W46" i="35"/>
  <c r="W45" i="35"/>
  <c r="W43" i="35"/>
  <c r="W42" i="35"/>
  <c r="W41" i="35"/>
  <c r="W40" i="35"/>
  <c r="W38" i="35"/>
  <c r="W37" i="35"/>
  <c r="W36" i="35"/>
  <c r="W35" i="35"/>
  <c r="W34" i="35"/>
  <c r="W32" i="35"/>
  <c r="W31" i="35"/>
  <c r="W30" i="35"/>
  <c r="W29" i="35"/>
  <c r="W27" i="35"/>
  <c r="W26" i="35"/>
  <c r="W25" i="35"/>
  <c r="W24" i="35"/>
  <c r="W23" i="35"/>
  <c r="W22" i="35"/>
  <c r="W21" i="35"/>
  <c r="W20" i="35"/>
  <c r="W19" i="35"/>
  <c r="W17" i="35"/>
  <c r="W16" i="35"/>
  <c r="W15" i="35"/>
  <c r="W14" i="35"/>
  <c r="W13" i="35"/>
  <c r="W12" i="35"/>
  <c r="W11" i="35"/>
  <c r="W10" i="35"/>
  <c r="M44" i="35"/>
  <c r="M39" i="35"/>
  <c r="M33" i="35"/>
  <c r="M28" i="35"/>
  <c r="M18" i="35"/>
  <c r="M8" i="35"/>
  <c r="X8" i="35" l="1"/>
  <c r="X18" i="35"/>
  <c r="X28" i="35"/>
  <c r="X33" i="35"/>
  <c r="X39" i="35"/>
  <c r="X44" i="35"/>
  <c r="M7" i="35"/>
  <c r="X7" i="35" s="1"/>
  <c r="V46" i="35"/>
  <c r="V45" i="35"/>
  <c r="V43" i="35"/>
  <c r="V41" i="35"/>
  <c r="V40" i="35"/>
  <c r="V38" i="35"/>
  <c r="V37" i="35"/>
  <c r="V36" i="35"/>
  <c r="V35" i="35"/>
  <c r="V34" i="35"/>
  <c r="V32" i="35"/>
  <c r="V31" i="35"/>
  <c r="V30" i="35"/>
  <c r="V29" i="35"/>
  <c r="V27" i="35"/>
  <c r="V26" i="35"/>
  <c r="V25" i="35"/>
  <c r="V24" i="35"/>
  <c r="V23" i="35"/>
  <c r="V22" i="35"/>
  <c r="V21" i="35"/>
  <c r="V20" i="35"/>
  <c r="V19" i="35"/>
  <c r="V17" i="35"/>
  <c r="V16" i="35"/>
  <c r="V14" i="35"/>
  <c r="V13" i="35"/>
  <c r="V12" i="35"/>
  <c r="V11" i="35"/>
  <c r="V10" i="35"/>
  <c r="V9" i="35"/>
  <c r="L8" i="35"/>
  <c r="V15" i="35"/>
  <c r="K8" i="35"/>
  <c r="K18" i="35"/>
  <c r="K28" i="35"/>
  <c r="L18" i="35"/>
  <c r="W18" i="35" s="1"/>
  <c r="L28" i="35"/>
  <c r="L33" i="35"/>
  <c r="W33" i="35" s="1"/>
  <c r="L39" i="35"/>
  <c r="L44" i="35"/>
  <c r="W44" i="35" s="1"/>
  <c r="I8" i="35"/>
  <c r="J9" i="35"/>
  <c r="T9" i="35" s="1"/>
  <c r="J10" i="35"/>
  <c r="T10" i="35" s="1"/>
  <c r="J11" i="35"/>
  <c r="J12" i="35"/>
  <c r="U12" i="35" s="1"/>
  <c r="J13" i="35"/>
  <c r="T13" i="35" s="1"/>
  <c r="J14" i="35"/>
  <c r="U14" i="35" s="1"/>
  <c r="J15" i="35"/>
  <c r="T15" i="35" s="1"/>
  <c r="J16" i="35"/>
  <c r="T16" i="35" s="1"/>
  <c r="J17" i="35"/>
  <c r="I18" i="35"/>
  <c r="J19" i="35"/>
  <c r="J20" i="35"/>
  <c r="U20" i="35" s="1"/>
  <c r="T20" i="35"/>
  <c r="J21" i="35"/>
  <c r="U21" i="35" s="1"/>
  <c r="J22" i="35"/>
  <c r="U22" i="35" s="1"/>
  <c r="J23" i="35"/>
  <c r="T23" i="35" s="1"/>
  <c r="J24" i="35"/>
  <c r="T24" i="35" s="1"/>
  <c r="J25" i="35"/>
  <c r="U25" i="35" s="1"/>
  <c r="J26" i="35"/>
  <c r="U26" i="35" s="1"/>
  <c r="J27" i="35"/>
  <c r="J29" i="35"/>
  <c r="T29" i="35" s="1"/>
  <c r="J30" i="35"/>
  <c r="U30" i="35" s="1"/>
  <c r="J31" i="35"/>
  <c r="T31" i="35" s="1"/>
  <c r="J32" i="35"/>
  <c r="T32" i="35" s="1"/>
  <c r="U32" i="35"/>
  <c r="J34" i="35"/>
  <c r="T34" i="35" s="1"/>
  <c r="J35" i="35"/>
  <c r="J36" i="35"/>
  <c r="U36" i="35" s="1"/>
  <c r="J37" i="35"/>
  <c r="T37" i="35" s="1"/>
  <c r="J38" i="35"/>
  <c r="T38" i="35" s="1"/>
  <c r="J40" i="35"/>
  <c r="T40" i="35" s="1"/>
  <c r="J41" i="35"/>
  <c r="J42" i="35"/>
  <c r="U42" i="35" s="1"/>
  <c r="J43" i="35"/>
  <c r="J45" i="35"/>
  <c r="U45" i="35" s="1"/>
  <c r="J46" i="35"/>
  <c r="U46" i="35" s="1"/>
  <c r="U41" i="35"/>
  <c r="T30" i="35"/>
  <c r="T41" i="35"/>
  <c r="U38" i="35"/>
  <c r="T36" i="35"/>
  <c r="T21" i="35"/>
  <c r="U16" i="35"/>
  <c r="U37" i="35"/>
  <c r="U23" i="35"/>
  <c r="U31" i="35" l="1"/>
  <c r="T26" i="35"/>
  <c r="T42" i="35"/>
  <c r="U10" i="35"/>
  <c r="U34" i="35"/>
  <c r="T22" i="35"/>
  <c r="T14" i="35"/>
  <c r="T12" i="35"/>
  <c r="T46" i="35"/>
  <c r="U15" i="35"/>
  <c r="U24" i="35"/>
  <c r="R33" i="35"/>
  <c r="AO24" i="35"/>
  <c r="R44" i="35"/>
  <c r="T25" i="35"/>
  <c r="V33" i="35"/>
  <c r="U13" i="35"/>
  <c r="J44" i="35"/>
  <c r="T45" i="35"/>
  <c r="U9" i="35"/>
  <c r="V44" i="35"/>
  <c r="V18" i="35"/>
  <c r="U29" i="35"/>
  <c r="U40" i="35"/>
  <c r="J39" i="35"/>
  <c r="T19" i="35"/>
  <c r="J18" i="35"/>
  <c r="T18" i="35" s="1"/>
  <c r="T43" i="35"/>
  <c r="U43" i="35"/>
  <c r="T35" i="35"/>
  <c r="U35" i="35"/>
  <c r="T27" i="35"/>
  <c r="U27" i="35"/>
  <c r="V28" i="35"/>
  <c r="W28" i="35"/>
  <c r="J33" i="35"/>
  <c r="V39" i="35"/>
  <c r="U17" i="35"/>
  <c r="T17" i="35"/>
  <c r="U19" i="35"/>
  <c r="T11" i="35"/>
  <c r="U11" i="35"/>
  <c r="J8" i="35"/>
  <c r="W8" i="35"/>
  <c r="V8" i="35"/>
  <c r="L7" i="35"/>
  <c r="W39" i="35"/>
  <c r="R9" i="35"/>
  <c r="R13" i="35"/>
  <c r="R17" i="35"/>
  <c r="R21" i="35"/>
  <c r="R25" i="35"/>
  <c r="R29" i="35"/>
  <c r="R37" i="35"/>
  <c r="R41" i="35"/>
  <c r="R45" i="35"/>
  <c r="R7" i="35"/>
  <c r="R10" i="35"/>
  <c r="R14" i="35"/>
  <c r="R22" i="35"/>
  <c r="R26" i="35"/>
  <c r="R30" i="35"/>
  <c r="R34" i="35"/>
  <c r="R38" i="35"/>
  <c r="R16" i="35"/>
  <c r="R24" i="35"/>
  <c r="R32" i="35"/>
  <c r="R40" i="35"/>
  <c r="R46" i="35"/>
  <c r="R19" i="35"/>
  <c r="R27" i="35"/>
  <c r="R42" i="35"/>
  <c r="R47" i="35"/>
  <c r="R12" i="35"/>
  <c r="R36" i="35"/>
  <c r="R23" i="35"/>
  <c r="R11" i="35"/>
  <c r="R35" i="35"/>
  <c r="R8" i="35"/>
  <c r="R39" i="35"/>
  <c r="R20" i="35"/>
  <c r="R43" i="35"/>
  <c r="R31" i="35"/>
  <c r="R15" i="35"/>
  <c r="R18" i="35"/>
  <c r="J28" i="35"/>
  <c r="U28" i="35" s="1"/>
  <c r="R28" i="35"/>
  <c r="K7" i="35"/>
  <c r="P45" i="35" s="1"/>
  <c r="P27" i="35" l="1"/>
  <c r="P13" i="35"/>
  <c r="W7" i="35"/>
  <c r="P41" i="35"/>
  <c r="P40" i="35"/>
  <c r="P42" i="35"/>
  <c r="P8" i="35"/>
  <c r="P20" i="35"/>
  <c r="P11" i="35"/>
  <c r="P32" i="35"/>
  <c r="P47" i="35"/>
  <c r="P19" i="35"/>
  <c r="P17" i="35"/>
  <c r="P10" i="35"/>
  <c r="P29" i="35"/>
  <c r="P9" i="35"/>
  <c r="P26" i="35"/>
  <c r="P16" i="35"/>
  <c r="P18" i="35"/>
  <c r="P33" i="35"/>
  <c r="P39" i="35"/>
  <c r="P35" i="35"/>
  <c r="P36" i="35"/>
  <c r="P30" i="35"/>
  <c r="P12" i="35"/>
  <c r="P15" i="35"/>
  <c r="P23" i="35"/>
  <c r="P44" i="35"/>
  <c r="P25" i="35"/>
  <c r="P46" i="35"/>
  <c r="P43" i="35"/>
  <c r="V7" i="35"/>
  <c r="AN25" i="35" s="1"/>
  <c r="P38" i="35"/>
  <c r="U18" i="35"/>
  <c r="U44" i="35"/>
  <c r="T44" i="35"/>
  <c r="U33" i="35"/>
  <c r="T33" i="35"/>
  <c r="U39" i="35"/>
  <c r="T39" i="35"/>
  <c r="T28" i="35"/>
  <c r="J7" i="35"/>
  <c r="O28" i="35" s="1"/>
  <c r="Q36" i="35"/>
  <c r="Q26" i="35"/>
  <c r="Q13" i="35"/>
  <c r="Q18" i="35"/>
  <c r="Q19" i="35"/>
  <c r="Q14" i="35"/>
  <c r="Q33" i="35"/>
  <c r="Q24" i="35"/>
  <c r="Q43" i="35"/>
  <c r="Q30" i="35"/>
  <c r="Q17" i="35"/>
  <c r="Q46" i="35"/>
  <c r="Q22" i="35"/>
  <c r="Q25" i="35"/>
  <c r="Q27" i="35"/>
  <c r="Q44" i="35"/>
  <c r="Q10" i="35"/>
  <c r="Q32" i="35"/>
  <c r="Q20" i="35"/>
  <c r="Q7" i="35"/>
  <c r="Q8" i="35"/>
  <c r="Q41" i="35"/>
  <c r="Q11" i="35"/>
  <c r="Q34" i="35"/>
  <c r="Q45" i="35"/>
  <c r="Q16" i="35"/>
  <c r="Q31" i="35"/>
  <c r="Q37" i="35"/>
  <c r="Q42" i="35"/>
  <c r="Q29" i="35"/>
  <c r="Q12" i="35"/>
  <c r="Q47" i="35"/>
  <c r="Q21" i="35"/>
  <c r="Q9" i="35"/>
  <c r="AN24" i="35"/>
  <c r="Q35" i="35"/>
  <c r="Q39" i="35"/>
  <c r="Q23" i="35"/>
  <c r="Q15" i="35"/>
  <c r="Q38" i="35"/>
  <c r="Q40" i="35"/>
  <c r="P24" i="35"/>
  <c r="P14" i="35"/>
  <c r="P31" i="35"/>
  <c r="P21" i="35"/>
  <c r="P37" i="35"/>
  <c r="P28" i="35"/>
  <c r="P34" i="35"/>
  <c r="P22" i="35"/>
  <c r="AL11" i="35"/>
  <c r="U8" i="35"/>
  <c r="T8" i="35"/>
  <c r="Q28" i="35"/>
  <c r="O45" i="35"/>
  <c r="O36" i="35" l="1"/>
  <c r="O31" i="35"/>
  <c r="O39" i="35"/>
  <c r="O16" i="35"/>
  <c r="O23" i="35"/>
  <c r="AM16" i="35"/>
  <c r="O18" i="35"/>
  <c r="O27" i="35"/>
  <c r="O46" i="35"/>
  <c r="O9" i="35"/>
  <c r="O19" i="35"/>
  <c r="T7" i="35"/>
  <c r="O15" i="35"/>
  <c r="AM14" i="35"/>
  <c r="AK15" i="35"/>
  <c r="O25" i="35"/>
  <c r="O33" i="35"/>
  <c r="O41" i="35"/>
  <c r="O24" i="35"/>
  <c r="O10" i="35"/>
  <c r="O17" i="35"/>
  <c r="O37" i="35"/>
  <c r="O30" i="35"/>
  <c r="O12" i="35"/>
  <c r="O42" i="35"/>
  <c r="O11" i="35"/>
  <c r="O13" i="35"/>
  <c r="O26" i="35"/>
  <c r="U7" i="35"/>
  <c r="AK13" i="35"/>
  <c r="AK17" i="35"/>
  <c r="AM13" i="35"/>
  <c r="AM17" i="35"/>
  <c r="AM15" i="35"/>
  <c r="AK16" i="35"/>
  <c r="O20" i="35"/>
  <c r="O43" i="35"/>
  <c r="O32" i="35"/>
  <c r="O44" i="35"/>
  <c r="O34" i="35"/>
  <c r="O47" i="35"/>
  <c r="O38" i="35"/>
  <c r="O35" i="35"/>
  <c r="O22" i="35"/>
  <c r="O40" i="35"/>
  <c r="O21" i="35"/>
  <c r="O14" i="35"/>
  <c r="O29" i="35"/>
  <c r="O8" i="35"/>
  <c r="AK14" i="35"/>
  <c r="AM12" i="35"/>
  <c r="O7" i="35" l="1"/>
</calcChain>
</file>

<file path=xl/sharedStrings.xml><?xml version="1.0" encoding="utf-8"?>
<sst xmlns="http://schemas.openxmlformats.org/spreadsheetml/2006/main" count="108" uniqueCount="88">
  <si>
    <t>C.I.F. Value (in Rf. '000)</t>
  </si>
  <si>
    <t>% Change Over Previous Year</t>
  </si>
  <si>
    <t>Country</t>
  </si>
  <si>
    <t>Total</t>
  </si>
  <si>
    <t>Europe</t>
  </si>
  <si>
    <t>U.K</t>
  </si>
  <si>
    <t>France</t>
  </si>
  <si>
    <t>Germany</t>
  </si>
  <si>
    <t>Italy</t>
  </si>
  <si>
    <t xml:space="preserve">Denmark </t>
  </si>
  <si>
    <t>Sweden</t>
  </si>
  <si>
    <t>Switzerland</t>
  </si>
  <si>
    <t>Others</t>
  </si>
  <si>
    <t>Asia</t>
  </si>
  <si>
    <t>Singapore</t>
  </si>
  <si>
    <t>India</t>
  </si>
  <si>
    <t>Malaysia</t>
  </si>
  <si>
    <t>Sri Lanka</t>
  </si>
  <si>
    <t>Thailand</t>
  </si>
  <si>
    <t>Indonesia</t>
  </si>
  <si>
    <t>China</t>
  </si>
  <si>
    <t>Japan</t>
  </si>
  <si>
    <t>Africa</t>
  </si>
  <si>
    <t>South Africa</t>
  </si>
  <si>
    <t>America</t>
  </si>
  <si>
    <t>U.S.A</t>
  </si>
  <si>
    <t>Canada</t>
  </si>
  <si>
    <t>Middle East</t>
  </si>
  <si>
    <t>U.A.E</t>
  </si>
  <si>
    <t>Oman</t>
  </si>
  <si>
    <t>Oceania</t>
  </si>
  <si>
    <t>Australia</t>
  </si>
  <si>
    <t>New Zealand</t>
  </si>
  <si>
    <t>Source:  Maldives Customs Services</t>
  </si>
  <si>
    <t>Egypt</t>
  </si>
  <si>
    <t>Netherland</t>
  </si>
  <si>
    <t>Bahrain</t>
  </si>
  <si>
    <t>Mauritius</t>
  </si>
  <si>
    <t>% urwvcnim ivurutia eruvcSwrwhwa Iruk</t>
  </si>
  <si>
    <t>WailErcTcsoa</t>
  </si>
  <si>
    <t>WDenek</t>
  </si>
  <si>
    <t>WniawC</t>
  </si>
  <si>
    <t>cscnWrcf</t>
  </si>
  <si>
    <t>WaiDcnia</t>
  </si>
  <si>
    <t>WaixEnoDcnia</t>
  </si>
  <si>
    <t>IlwTia</t>
  </si>
  <si>
    <t>cnWpwj</t>
  </si>
  <si>
    <t>WaixElem</t>
  </si>
  <si>
    <t>cDcnelrwden</t>
  </si>
  <si>
    <t>urUpwgcnis</t>
  </si>
  <si>
    <t>WkcnwlIrcs</t>
  </si>
  <si>
    <t>cDcneliawt</t>
  </si>
  <si>
    <t>Ek.Uy</t>
  </si>
  <si>
    <t>cTcpijIa</t>
  </si>
  <si>
    <t>Bahamas</t>
  </si>
  <si>
    <t>Brazil</t>
  </si>
  <si>
    <t>(cnuhWh Wyifur) ugwa .cfea.iawa.Is</t>
  </si>
  <si>
    <t xml:space="preserve">umuawq </t>
  </si>
  <si>
    <t xml:space="preserve">wlcmuj </t>
  </si>
  <si>
    <t xml:space="preserve">cpwrUy </t>
  </si>
  <si>
    <t>Inwmrwj</t>
  </si>
  <si>
    <t>cncDivcs</t>
  </si>
  <si>
    <t>cDcnElrwzcTivcs</t>
  </si>
  <si>
    <t>ckrwmcneD</t>
  </si>
  <si>
    <t>cnehinehea</t>
  </si>
  <si>
    <t xml:space="preserve">Wyixea </t>
  </si>
  <si>
    <t>Wkircfea ctuaws</t>
  </si>
  <si>
    <t xml:space="preserve">Wkiremea </t>
  </si>
  <si>
    <t>itwmuriaudem</t>
  </si>
  <si>
    <t>.Ia .Ea .Uy</t>
  </si>
  <si>
    <t>cniaeruhwb</t>
  </si>
  <si>
    <t>cDcnelIzuain</t>
  </si>
  <si>
    <t xml:space="preserve">cswsivrWs ccscmwTcswk cscviDclOm :ctWrwfivcaed utWmUluAwm     </t>
  </si>
  <si>
    <t>cswsirom</t>
  </si>
  <si>
    <t>csWmWhwb</t>
  </si>
  <si>
    <t>Ea.csea .Uy</t>
  </si>
  <si>
    <t>clizercb</t>
  </si>
  <si>
    <t>cnWmOa</t>
  </si>
  <si>
    <t>cniawtcaws ctogWviawfiheb</t>
  </si>
  <si>
    <t>Total Imports</t>
  </si>
  <si>
    <t>% change</t>
  </si>
  <si>
    <t>C.I.F. Value (in MVR '000)</t>
  </si>
  <si>
    <t>Percentage  Share</t>
  </si>
  <si>
    <t>WainExOa</t>
  </si>
  <si>
    <t>Wkircfea</t>
  </si>
  <si>
    <t>Fiji</t>
  </si>
  <si>
    <t>Table  15.1 :  IMPORTS BY COUNTRY OF CONSIGNMENT, 2012 - 2015</t>
  </si>
  <si>
    <t>2015 - 2012 ,cawtumuawq unuverukeretea Wdum cSwaejcaWr : 15.1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</si>
</sst>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_-* #,##0.00\ _ރ_._-;_-* #,##0.00\ _ރ_.\-;_-* &quot;-&quot;??\ _ރ_._-;_-@_-"/>
    <numFmt numFmtId="166" formatCode="0.0"/>
    <numFmt numFmtId="167" formatCode="#,##0.0"/>
    <numFmt numFmtId="168" formatCode="_(* #,##0_);_(* \(#,##0\);_(* &quot;-&quot;??_);_(@_)"/>
    <numFmt numFmtId="169" formatCode="_(* #,##0.0_);_(* \(#,##0.0\);_(* &quot;-&quot;??_);_(@_)"/>
    <numFmt numFmtId="170" formatCode="0.00_)"/>
    <numFmt numFmtId="172" formatCode="_-* #,##0_-;\-* #,##0_-;_-* &quot;-&quot;??_-;_-@_-"/>
  </numFmts>
  <fonts count="4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_Randhoo"/>
    </font>
    <font>
      <sz val="9"/>
      <name val="A_Randhoo"/>
    </font>
    <font>
      <sz val="10"/>
      <name val="Arial"/>
      <family val="2"/>
    </font>
    <font>
      <sz val="12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9"/>
      <name val="A_Randhoo"/>
    </font>
    <font>
      <b/>
      <sz val="12"/>
      <name val="A_Randhoo"/>
    </font>
    <font>
      <b/>
      <sz val="12"/>
      <name val="Calibri"/>
      <family val="2"/>
    </font>
    <font>
      <b/>
      <i/>
      <sz val="16"/>
      <name val="Helv"/>
    </font>
    <font>
      <sz val="10"/>
      <name val="Arial"/>
      <family val="2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9.6"/>
      <name val="Calibri"/>
      <family val="2"/>
      <scheme val="minor"/>
    </font>
    <font>
      <b/>
      <sz val="9.6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name val="Calibri"/>
      <family val="2"/>
      <scheme val="minor"/>
    </font>
    <font>
      <sz val="8"/>
      <name val="A_Randhoo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/>
      <top style="thin">
        <color theme="1" tint="4.9989318521683403E-2"/>
      </top>
      <bottom/>
      <diagonal/>
    </border>
    <border>
      <left/>
      <right/>
      <top style="hair">
        <color indexed="64"/>
      </top>
      <bottom style="thin">
        <color theme="1" tint="4.9989318521683403E-2"/>
      </bottom>
      <diagonal/>
    </border>
    <border>
      <left/>
      <right/>
      <top/>
      <bottom style="thin">
        <color theme="1" tint="4.9989318521683403E-2"/>
      </bottom>
      <diagonal/>
    </border>
    <border>
      <left style="thin">
        <color indexed="64"/>
      </left>
      <right/>
      <top style="thin">
        <color theme="1" tint="4.9989318521683403E-2"/>
      </top>
      <bottom/>
      <diagonal/>
    </border>
    <border>
      <left/>
      <right style="thin">
        <color indexed="64"/>
      </right>
      <top style="thin">
        <color theme="1" tint="4.9989318521683403E-2"/>
      </top>
      <bottom/>
      <diagonal/>
    </border>
    <border>
      <left style="thin">
        <color indexed="64"/>
      </left>
      <right/>
      <top/>
      <bottom style="thin">
        <color theme="1" tint="4.9989318521683403E-2"/>
      </bottom>
      <diagonal/>
    </border>
    <border>
      <left/>
      <right style="thin">
        <color indexed="64"/>
      </right>
      <top style="dotted">
        <color indexed="64"/>
      </top>
      <bottom style="thin">
        <color theme="1" tint="4.9989318521683403E-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8">
    <xf numFmtId="0" fontId="0" fillId="0" borderId="0"/>
    <xf numFmtId="0" fontId="3" fillId="0" borderId="0"/>
    <xf numFmtId="43" fontId="3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170" fontId="17" fillId="0" borderId="0"/>
    <xf numFmtId="0" fontId="18" fillId="0" borderId="0"/>
    <xf numFmtId="9" fontId="10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25" applyNumberFormat="0" applyFill="0" applyAlignment="0" applyProtection="0"/>
    <xf numFmtId="0" fontId="32" fillId="0" borderId="26" applyNumberFormat="0" applyFill="0" applyAlignment="0" applyProtection="0"/>
    <xf numFmtId="0" fontId="33" fillId="0" borderId="27" applyNumberFormat="0" applyFill="0" applyAlignment="0" applyProtection="0"/>
    <xf numFmtId="0" fontId="33" fillId="0" borderId="0" applyNumberFormat="0" applyFill="0" applyBorder="0" applyAlignment="0" applyProtection="0"/>
    <xf numFmtId="0" fontId="34" fillId="3" borderId="0" applyNumberFormat="0" applyBorder="0" applyAlignment="0" applyProtection="0"/>
    <xf numFmtId="0" fontId="35" fillId="4" borderId="0" applyNumberFormat="0" applyBorder="0" applyAlignment="0" applyProtection="0"/>
    <xf numFmtId="0" fontId="36" fillId="5" borderId="0" applyNumberFormat="0" applyBorder="0" applyAlignment="0" applyProtection="0"/>
    <xf numFmtId="0" fontId="37" fillId="6" borderId="28" applyNumberFormat="0" applyAlignment="0" applyProtection="0"/>
    <xf numFmtId="0" fontId="38" fillId="7" borderId="29" applyNumberFormat="0" applyAlignment="0" applyProtection="0"/>
    <xf numFmtId="0" fontId="39" fillId="7" borderId="28" applyNumberFormat="0" applyAlignment="0" applyProtection="0"/>
    <xf numFmtId="0" fontId="40" fillId="0" borderId="30" applyNumberFormat="0" applyFill="0" applyAlignment="0" applyProtection="0"/>
    <xf numFmtId="0" fontId="41" fillId="8" borderId="31" applyNumberFormat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20" fillId="0" borderId="33" applyNumberFormat="0" applyFill="0" applyAlignment="0" applyProtection="0"/>
    <xf numFmtId="0" fontId="44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44" fillId="13" borderId="0" applyNumberFormat="0" applyBorder="0" applyAlignment="0" applyProtection="0"/>
    <xf numFmtId="0" fontId="44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44" fillId="17" borderId="0" applyNumberFormat="0" applyBorder="0" applyAlignment="0" applyProtection="0"/>
    <xf numFmtId="0" fontId="44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44" fillId="21" borderId="0" applyNumberFormat="0" applyBorder="0" applyAlignment="0" applyProtection="0"/>
    <xf numFmtId="0" fontId="44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44" fillId="25" borderId="0" applyNumberFormat="0" applyBorder="0" applyAlignment="0" applyProtection="0"/>
    <xf numFmtId="0" fontId="44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44" fillId="29" borderId="0" applyNumberFormat="0" applyBorder="0" applyAlignment="0" applyProtection="0"/>
    <xf numFmtId="0" fontId="44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44" fillId="33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9" borderId="32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9" borderId="32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0">
    <xf numFmtId="0" fontId="0" fillId="0" borderId="0" xfId="0"/>
    <xf numFmtId="0" fontId="6" fillId="2" borderId="0" xfId="0" applyFont="1" applyFill="1" applyAlignment="1">
      <alignment vertical="center"/>
    </xf>
    <xf numFmtId="3" fontId="21" fillId="2" borderId="0" xfId="0" applyNumberFormat="1" applyFont="1" applyFill="1" applyBorder="1" applyAlignment="1" applyProtection="1">
      <alignment horizontal="right" vertical="center"/>
    </xf>
    <xf numFmtId="0" fontId="11" fillId="2" borderId="0" xfId="0" applyFont="1" applyFill="1" applyBorder="1" applyAlignment="1"/>
    <xf numFmtId="0" fontId="22" fillId="2" borderId="0" xfId="0" applyFont="1" applyFill="1" applyBorder="1" applyAlignment="1"/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right" vertical="center"/>
    </xf>
    <xf numFmtId="0" fontId="12" fillId="2" borderId="0" xfId="0" applyFont="1" applyFill="1" applyBorder="1" applyAlignment="1">
      <alignment vertical="center"/>
    </xf>
    <xf numFmtId="4" fontId="21" fillId="2" borderId="0" xfId="0" applyNumberFormat="1" applyFont="1" applyFill="1" applyBorder="1" applyAlignment="1" applyProtection="1">
      <alignment horizontal="left"/>
    </xf>
    <xf numFmtId="3" fontId="21" fillId="2" borderId="0" xfId="0" applyNumberFormat="1" applyFont="1" applyFill="1" applyBorder="1" applyAlignment="1" applyProtection="1">
      <alignment horizontal="right"/>
    </xf>
    <xf numFmtId="4" fontId="12" fillId="2" borderId="0" xfId="0" applyNumberFormat="1" applyFont="1" applyFill="1" applyBorder="1" applyAlignment="1"/>
    <xf numFmtId="4" fontId="23" fillId="2" borderId="0" xfId="0" applyNumberFormat="1" applyFont="1" applyFill="1" applyBorder="1" applyAlignment="1" applyProtection="1">
      <alignment horizontal="left"/>
    </xf>
    <xf numFmtId="3" fontId="23" fillId="2" borderId="0" xfId="4" applyNumberFormat="1" applyFont="1" applyFill="1" applyBorder="1" applyAlignment="1">
      <alignment horizontal="right" vertical="center"/>
    </xf>
    <xf numFmtId="4" fontId="13" fillId="2" borderId="0" xfId="0" applyNumberFormat="1" applyFont="1" applyFill="1" applyBorder="1" applyAlignment="1"/>
    <xf numFmtId="0" fontId="9" fillId="2" borderId="0" xfId="0" applyFont="1" applyFill="1" applyBorder="1" applyAlignment="1">
      <alignment horizontal="right"/>
    </xf>
    <xf numFmtId="3" fontId="21" fillId="2" borderId="0" xfId="0" applyNumberFormat="1" applyFont="1" applyFill="1" applyBorder="1" applyAlignment="1">
      <alignment horizontal="right"/>
    </xf>
    <xf numFmtId="4" fontId="23" fillId="2" borderId="0" xfId="0" applyNumberFormat="1" applyFont="1" applyFill="1" applyBorder="1" applyAlignment="1" applyProtection="1">
      <alignment horizontal="right"/>
    </xf>
    <xf numFmtId="0" fontId="13" fillId="2" borderId="0" xfId="0" applyFont="1" applyFill="1" applyBorder="1" applyAlignment="1"/>
    <xf numFmtId="4" fontId="21" fillId="2" borderId="0" xfId="0" applyNumberFormat="1" applyFont="1" applyFill="1" applyBorder="1" applyAlignment="1" applyProtection="1">
      <alignment horizontal="right"/>
    </xf>
    <xf numFmtId="3" fontId="21" fillId="2" borderId="0" xfId="4" applyNumberFormat="1" applyFont="1" applyFill="1" applyBorder="1" applyAlignment="1">
      <alignment horizontal="right" vertical="center"/>
    </xf>
    <xf numFmtId="1" fontId="23" fillId="2" borderId="0" xfId="0" applyNumberFormat="1" applyFont="1" applyFill="1" applyBorder="1" applyAlignment="1"/>
    <xf numFmtId="1" fontId="23" fillId="2" borderId="0" xfId="0" applyNumberFormat="1" applyFont="1" applyFill="1" applyBorder="1" applyAlignment="1">
      <alignment horizontal="right"/>
    </xf>
    <xf numFmtId="3" fontId="21" fillId="2" borderId="0" xfId="4" applyNumberFormat="1" applyFont="1" applyFill="1" applyBorder="1" applyAlignment="1">
      <alignment horizontal="right" vertical="top"/>
    </xf>
    <xf numFmtId="1" fontId="24" fillId="2" borderId="0" xfId="0" applyNumberFormat="1" applyFont="1" applyFill="1" applyBorder="1" applyAlignment="1"/>
    <xf numFmtId="1" fontId="24" fillId="2" borderId="0" xfId="0" applyNumberFormat="1" applyFont="1" applyFill="1" applyBorder="1" applyAlignment="1">
      <alignment horizontal="right"/>
    </xf>
    <xf numFmtId="3" fontId="24" fillId="2" borderId="0" xfId="4" applyNumberFormat="1" applyFont="1" applyFill="1" applyBorder="1" applyAlignment="1">
      <alignment horizontal="right" vertical="justify"/>
    </xf>
    <xf numFmtId="4" fontId="24" fillId="2" borderId="0" xfId="0" applyNumberFormat="1" applyFont="1" applyFill="1" applyBorder="1" applyAlignment="1" applyProtection="1">
      <alignment horizontal="left"/>
    </xf>
    <xf numFmtId="4" fontId="24" fillId="2" borderId="0" xfId="0" applyNumberFormat="1" applyFont="1" applyFill="1" applyBorder="1" applyAlignment="1" applyProtection="1">
      <alignment horizontal="right"/>
    </xf>
    <xf numFmtId="4" fontId="25" fillId="2" borderId="0" xfId="0" applyNumberFormat="1" applyFont="1" applyFill="1" applyBorder="1" applyAlignment="1" applyProtection="1">
      <alignment horizontal="left"/>
    </xf>
    <xf numFmtId="4" fontId="25" fillId="2" borderId="0" xfId="0" applyNumberFormat="1" applyFont="1" applyFill="1" applyBorder="1" applyAlignment="1" applyProtection="1">
      <alignment horizontal="right"/>
    </xf>
    <xf numFmtId="3" fontId="25" fillId="2" borderId="0" xfId="0" applyNumberFormat="1" applyFont="1" applyFill="1" applyBorder="1" applyAlignment="1">
      <alignment horizontal="right" vertical="justify"/>
    </xf>
    <xf numFmtId="3" fontId="25" fillId="2" borderId="0" xfId="4" applyNumberFormat="1" applyFont="1" applyFill="1" applyBorder="1" applyAlignment="1">
      <alignment horizontal="right" vertical="justify"/>
    </xf>
    <xf numFmtId="3" fontId="25" fillId="2" borderId="0" xfId="0" applyNumberFormat="1" applyFont="1" applyFill="1" applyBorder="1" applyAlignment="1">
      <alignment horizontal="right"/>
    </xf>
    <xf numFmtId="3" fontId="24" fillId="2" borderId="0" xfId="4" applyNumberFormat="1" applyFont="1" applyFill="1" applyBorder="1" applyAlignment="1">
      <alignment horizontal="right" vertical="center"/>
    </xf>
    <xf numFmtId="4" fontId="24" fillId="2" borderId="1" xfId="0" applyNumberFormat="1" applyFont="1" applyFill="1" applyBorder="1" applyAlignment="1" applyProtection="1">
      <alignment horizontal="right"/>
    </xf>
    <xf numFmtId="43" fontId="24" fillId="2" borderId="1" xfId="4" applyNumberFormat="1" applyFont="1" applyFill="1" applyBorder="1" applyAlignment="1">
      <alignment horizontal="right" vertical="justify"/>
    </xf>
    <xf numFmtId="3" fontId="24" fillId="2" borderId="1" xfId="4" applyNumberFormat="1" applyFont="1" applyFill="1" applyBorder="1" applyAlignment="1">
      <alignment horizontal="right" vertical="justify"/>
    </xf>
    <xf numFmtId="4" fontId="7" fillId="2" borderId="0" xfId="0" applyNumberFormat="1" applyFont="1" applyFill="1" applyBorder="1" applyAlignment="1" applyProtection="1">
      <alignment horizontal="right" vertical="center"/>
    </xf>
    <xf numFmtId="3" fontId="7" fillId="2" borderId="0" xfId="0" applyNumberFormat="1" applyFont="1" applyFill="1" applyBorder="1" applyAlignment="1" applyProtection="1">
      <alignment horizontal="right" vertical="center"/>
    </xf>
    <xf numFmtId="0" fontId="11" fillId="2" borderId="0" xfId="0" applyFont="1" applyFill="1" applyBorder="1" applyAlignment="1">
      <alignment horizontal="right"/>
    </xf>
    <xf numFmtId="0" fontId="13" fillId="2" borderId="0" xfId="0" applyFont="1" applyFill="1" applyBorder="1" applyAlignment="1">
      <alignment horizontal="right"/>
    </xf>
    <xf numFmtId="3" fontId="7" fillId="2" borderId="0" xfId="4" applyNumberFormat="1" applyFont="1" applyFill="1" applyBorder="1" applyAlignment="1">
      <alignment horizontal="right" vertical="center"/>
    </xf>
    <xf numFmtId="0" fontId="16" fillId="2" borderId="0" xfId="0" applyFont="1" applyFill="1" applyBorder="1" applyAlignment="1">
      <alignment horizontal="right"/>
    </xf>
    <xf numFmtId="3" fontId="11" fillId="2" borderId="0" xfId="0" applyNumberFormat="1" applyFont="1" applyFill="1" applyBorder="1" applyAlignment="1">
      <alignment horizontal="right"/>
    </xf>
    <xf numFmtId="3" fontId="5" fillId="2" borderId="0" xfId="0" applyNumberFormat="1" applyFont="1" applyFill="1" applyBorder="1" applyAlignment="1">
      <alignment horizontal="right"/>
    </xf>
    <xf numFmtId="166" fontId="13" fillId="2" borderId="0" xfId="0" applyNumberFormat="1" applyFont="1" applyFill="1" applyBorder="1" applyAlignment="1">
      <alignment horizontal="right"/>
    </xf>
    <xf numFmtId="166" fontId="11" fillId="2" borderId="0" xfId="0" applyNumberFormat="1" applyFont="1" applyFill="1" applyBorder="1" applyAlignment="1">
      <alignment horizontal="right"/>
    </xf>
    <xf numFmtId="4" fontId="5" fillId="2" borderId="0" xfId="0" applyNumberFormat="1" applyFont="1" applyFill="1" applyBorder="1" applyAlignment="1" applyProtection="1">
      <alignment horizontal="left"/>
    </xf>
    <xf numFmtId="2" fontId="5" fillId="2" borderId="0" xfId="0" applyNumberFormat="1" applyFont="1" applyFill="1" applyBorder="1" applyAlignment="1">
      <alignment horizontal="right"/>
    </xf>
    <xf numFmtId="3" fontId="5" fillId="2" borderId="0" xfId="4" applyNumberFormat="1" applyFont="1" applyFill="1" applyBorder="1" applyAlignment="1">
      <alignment horizontal="right" vertical="center"/>
    </xf>
    <xf numFmtId="4" fontId="21" fillId="2" borderId="0" xfId="0" applyNumberFormat="1" applyFont="1" applyFill="1" applyBorder="1" applyAlignment="1" applyProtection="1">
      <alignment horizontal="left" vertical="top"/>
    </xf>
    <xf numFmtId="4" fontId="21" fillId="2" borderId="0" xfId="0" applyNumberFormat="1" applyFont="1" applyFill="1" applyBorder="1" applyAlignment="1" applyProtection="1">
      <alignment horizontal="right" vertical="top"/>
    </xf>
    <xf numFmtId="3" fontId="21" fillId="2" borderId="0" xfId="0" applyNumberFormat="1" applyFont="1" applyFill="1" applyBorder="1" applyAlignment="1">
      <alignment horizontal="right" vertical="top"/>
    </xf>
    <xf numFmtId="0" fontId="14" fillId="2" borderId="0" xfId="0" applyFont="1" applyFill="1" applyBorder="1" applyAlignment="1">
      <alignment horizontal="right" vertical="top"/>
    </xf>
    <xf numFmtId="0" fontId="6" fillId="2" borderId="3" xfId="0" applyFont="1" applyFill="1" applyBorder="1" applyAlignment="1" applyProtection="1">
      <alignment vertical="center"/>
    </xf>
    <xf numFmtId="4" fontId="24" fillId="2" borderId="1" xfId="0" applyNumberFormat="1" applyFont="1" applyFill="1" applyBorder="1" applyAlignment="1" applyProtection="1">
      <alignment horizontal="left"/>
    </xf>
    <xf numFmtId="0" fontId="14" fillId="2" borderId="13" xfId="0" applyFont="1" applyFill="1" applyBorder="1" applyAlignment="1">
      <alignment horizontal="right"/>
    </xf>
    <xf numFmtId="0" fontId="8" fillId="2" borderId="13" xfId="0" applyFont="1" applyFill="1" applyBorder="1" applyAlignment="1">
      <alignment horizontal="right"/>
    </xf>
    <xf numFmtId="0" fontId="9" fillId="2" borderId="13" xfId="0" applyFont="1" applyFill="1" applyBorder="1" applyAlignment="1">
      <alignment horizontal="right"/>
    </xf>
    <xf numFmtId="1" fontId="26" fillId="2" borderId="0" xfId="0" applyNumberFormat="1" applyFont="1" applyFill="1" applyBorder="1"/>
    <xf numFmtId="172" fontId="26" fillId="2" borderId="0" xfId="2" applyNumberFormat="1" applyFont="1" applyFill="1" applyBorder="1"/>
    <xf numFmtId="0" fontId="9" fillId="2" borderId="16" xfId="0" applyFont="1" applyFill="1" applyBorder="1" applyAlignment="1">
      <alignment horizontal="right" readingOrder="2"/>
    </xf>
    <xf numFmtId="168" fontId="11" fillId="2" borderId="0" xfId="0" applyNumberFormat="1" applyFont="1" applyFill="1" applyBorder="1" applyAlignment="1"/>
    <xf numFmtId="1" fontId="27" fillId="2" borderId="0" xfId="0" applyNumberFormat="1" applyFont="1" applyFill="1" applyBorder="1"/>
    <xf numFmtId="172" fontId="27" fillId="2" borderId="0" xfId="2" applyNumberFormat="1" applyFont="1" applyFill="1" applyBorder="1"/>
    <xf numFmtId="43" fontId="19" fillId="2" borderId="0" xfId="2" applyFont="1" applyFill="1" applyBorder="1" applyAlignment="1">
      <alignment horizontal="right"/>
    </xf>
    <xf numFmtId="0" fontId="9" fillId="2" borderId="16" xfId="0" applyFont="1" applyFill="1" applyBorder="1" applyAlignment="1">
      <alignment horizontal="right"/>
    </xf>
    <xf numFmtId="3" fontId="23" fillId="2" borderId="0" xfId="0" applyNumberFormat="1" applyFont="1" applyFill="1" applyBorder="1" applyAlignment="1" applyProtection="1">
      <alignment horizontal="right" vertical="center"/>
    </xf>
    <xf numFmtId="3" fontId="23" fillId="2" borderId="1" xfId="0" applyNumberFormat="1" applyFont="1" applyFill="1" applyBorder="1" applyAlignment="1" applyProtection="1">
      <alignment horizontal="right" vertical="center"/>
    </xf>
    <xf numFmtId="167" fontId="21" fillId="2" borderId="4" xfId="0" applyNumberFormat="1" applyFont="1" applyFill="1" applyBorder="1" applyAlignment="1" applyProtection="1">
      <alignment horizontal="right" vertical="center"/>
    </xf>
    <xf numFmtId="0" fontId="12" fillId="2" borderId="0" xfId="0" applyFont="1" applyFill="1" applyBorder="1" applyAlignment="1"/>
    <xf numFmtId="168" fontId="19" fillId="2" borderId="0" xfId="2" applyNumberFormat="1" applyFont="1" applyFill="1" applyBorder="1" applyAlignment="1">
      <alignment horizontal="right"/>
    </xf>
    <xf numFmtId="169" fontId="11" fillId="2" borderId="0" xfId="0" applyNumberFormat="1" applyFont="1" applyFill="1" applyBorder="1" applyAlignment="1">
      <alignment horizontal="right"/>
    </xf>
    <xf numFmtId="0" fontId="28" fillId="2" borderId="0" xfId="0" applyFont="1" applyFill="1" applyBorder="1" applyAlignment="1" applyProtection="1">
      <alignment horizontal="left" vertical="center"/>
    </xf>
    <xf numFmtId="167" fontId="21" fillId="2" borderId="0" xfId="0" applyNumberFormat="1" applyFont="1" applyFill="1" applyBorder="1" applyAlignment="1" applyProtection="1">
      <alignment horizontal="right" vertical="center"/>
    </xf>
    <xf numFmtId="0" fontId="14" fillId="2" borderId="16" xfId="0" applyFont="1" applyFill="1" applyBorder="1" applyAlignment="1">
      <alignment horizontal="right"/>
    </xf>
    <xf numFmtId="0" fontId="14" fillId="2" borderId="18" xfId="0" applyFont="1" applyFill="1" applyBorder="1" applyAlignment="1" applyProtection="1">
      <alignment vertical="center"/>
    </xf>
    <xf numFmtId="0" fontId="21" fillId="2" borderId="19" xfId="0" applyFont="1" applyFill="1" applyBorder="1" applyAlignment="1">
      <alignment horizontal="right" vertical="center"/>
    </xf>
    <xf numFmtId="0" fontId="21" fillId="2" borderId="20" xfId="0" applyFont="1" applyFill="1" applyBorder="1" applyAlignment="1">
      <alignment horizontal="right" vertical="center"/>
    </xf>
    <xf numFmtId="0" fontId="21" fillId="2" borderId="20" xfId="0" applyNumberFormat="1" applyFont="1" applyFill="1" applyBorder="1" applyAlignment="1">
      <alignment horizontal="right" vertical="center"/>
    </xf>
    <xf numFmtId="167" fontId="23" fillId="2" borderId="0" xfId="0" applyNumberFormat="1" applyFont="1" applyFill="1" applyBorder="1" applyAlignment="1" applyProtection="1">
      <alignment horizontal="right" vertical="center"/>
    </xf>
    <xf numFmtId="3" fontId="21" fillId="2" borderId="0" xfId="0" applyNumberFormat="1" applyFont="1" applyFill="1" applyBorder="1" applyAlignment="1">
      <alignment horizontal="right" vertical="center"/>
    </xf>
    <xf numFmtId="3" fontId="25" fillId="2" borderId="0" xfId="4" applyNumberFormat="1" applyFont="1" applyFill="1" applyBorder="1" applyAlignment="1">
      <alignment horizontal="right" vertical="center"/>
    </xf>
    <xf numFmtId="3" fontId="24" fillId="2" borderId="1" xfId="4" applyNumberFormat="1" applyFont="1" applyFill="1" applyBorder="1" applyAlignment="1">
      <alignment horizontal="right" vertical="center"/>
    </xf>
    <xf numFmtId="167" fontId="23" fillId="2" borderId="1" xfId="0" applyNumberFormat="1" applyFont="1" applyFill="1" applyBorder="1" applyAlignment="1" applyProtection="1">
      <alignment horizontal="right" vertical="center"/>
    </xf>
    <xf numFmtId="0" fontId="9" fillId="2" borderId="14" xfId="0" applyFont="1" applyFill="1" applyBorder="1" applyAlignment="1">
      <alignment horizontal="right"/>
    </xf>
    <xf numFmtId="0" fontId="29" fillId="2" borderId="15" xfId="0" applyFont="1" applyFill="1" applyBorder="1" applyAlignment="1">
      <alignment horizontal="right"/>
    </xf>
    <xf numFmtId="166" fontId="23" fillId="2" borderId="17" xfId="0" applyNumberFormat="1" applyFont="1" applyFill="1" applyBorder="1" applyAlignment="1" applyProtection="1">
      <alignment horizontal="right" vertical="center"/>
    </xf>
    <xf numFmtId="166" fontId="23" fillId="2" borderId="12" xfId="0" applyNumberFormat="1" applyFont="1" applyFill="1" applyBorder="1" applyAlignment="1" applyProtection="1">
      <alignment horizontal="right" vertical="center"/>
    </xf>
    <xf numFmtId="3" fontId="13" fillId="2" borderId="0" xfId="0" applyNumberFormat="1" applyFont="1" applyFill="1" applyBorder="1" applyAlignment="1"/>
    <xf numFmtId="0" fontId="21" fillId="2" borderId="1" xfId="0" applyFont="1" applyFill="1" applyBorder="1" applyAlignment="1">
      <alignment horizontal="right" vertical="center"/>
    </xf>
    <xf numFmtId="0" fontId="21" fillId="2" borderId="23" xfId="0" applyNumberFormat="1" applyFont="1" applyFill="1" applyBorder="1" applyAlignment="1">
      <alignment horizontal="right" vertical="center"/>
    </xf>
    <xf numFmtId="167" fontId="21" fillId="2" borderId="6" xfId="0" applyNumberFormat="1" applyFont="1" applyFill="1" applyBorder="1" applyAlignment="1" applyProtection="1">
      <alignment horizontal="right" vertical="center"/>
    </xf>
    <xf numFmtId="167" fontId="21" fillId="2" borderId="6" xfId="0" applyNumberFormat="1" applyFont="1" applyFill="1" applyBorder="1" applyAlignment="1">
      <alignment horizontal="right" vertical="center"/>
    </xf>
    <xf numFmtId="167" fontId="23" fillId="2" borderId="6" xfId="0" applyNumberFormat="1" applyFont="1" applyFill="1" applyBorder="1" applyAlignment="1">
      <alignment horizontal="right" vertical="center"/>
    </xf>
    <xf numFmtId="167" fontId="23" fillId="2" borderId="5" xfId="0" applyNumberFormat="1" applyFont="1" applyFill="1" applyBorder="1" applyAlignment="1">
      <alignment horizontal="right" vertical="center"/>
    </xf>
    <xf numFmtId="0" fontId="21" fillId="2" borderId="24" xfId="0" applyNumberFormat="1" applyFont="1" applyFill="1" applyBorder="1" applyAlignment="1">
      <alignment horizontal="right" vertical="center"/>
    </xf>
    <xf numFmtId="0" fontId="21" fillId="2" borderId="0" xfId="0" applyFont="1" applyFill="1" applyBorder="1" applyAlignment="1" applyProtection="1">
      <alignment horizontal="left" vertical="center"/>
    </xf>
    <xf numFmtId="3" fontId="23" fillId="2" borderId="0" xfId="0" applyNumberFormat="1" applyFont="1" applyFill="1" applyBorder="1" applyAlignment="1">
      <alignment horizontal="right" vertical="center"/>
    </xf>
    <xf numFmtId="167" fontId="23" fillId="2" borderId="8" xfId="0" applyNumberFormat="1" applyFont="1" applyFill="1" applyBorder="1" applyAlignment="1">
      <alignment horizontal="right" vertical="center"/>
    </xf>
    <xf numFmtId="0" fontId="21" fillId="2" borderId="23" xfId="0" applyFont="1" applyFill="1" applyBorder="1" applyAlignment="1">
      <alignment horizontal="right" vertical="center"/>
    </xf>
    <xf numFmtId="167" fontId="23" fillId="2" borderId="6" xfId="0" applyNumberFormat="1" applyFont="1" applyFill="1" applyBorder="1" applyAlignment="1" applyProtection="1">
      <alignment horizontal="right" vertical="center"/>
    </xf>
    <xf numFmtId="167" fontId="23" fillId="2" borderId="5" xfId="0" applyNumberFormat="1" applyFont="1" applyFill="1" applyBorder="1" applyAlignment="1" applyProtection="1">
      <alignment horizontal="right" vertical="center"/>
    </xf>
    <xf numFmtId="167" fontId="23" fillId="2" borderId="4" xfId="0" applyNumberFormat="1" applyFont="1" applyFill="1" applyBorder="1" applyAlignment="1" applyProtection="1">
      <alignment horizontal="right" vertical="center"/>
    </xf>
    <xf numFmtId="167" fontId="23" fillId="2" borderId="8" xfId="0" applyNumberFormat="1" applyFont="1" applyFill="1" applyBorder="1" applyAlignment="1" applyProtection="1">
      <alignment horizontal="right" vertical="center"/>
    </xf>
    <xf numFmtId="167" fontId="23" fillId="2" borderId="12" xfId="0" applyNumberFormat="1" applyFont="1" applyFill="1" applyBorder="1" applyAlignment="1" applyProtection="1">
      <alignment horizontal="right" vertical="center"/>
    </xf>
    <xf numFmtId="0" fontId="15" fillId="2" borderId="0" xfId="0" applyFont="1" applyFill="1" applyBorder="1" applyAlignment="1">
      <alignment horizontal="center" vertical="center"/>
    </xf>
    <xf numFmtId="0" fontId="27" fillId="2" borderId="0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</xf>
    <xf numFmtId="0" fontId="21" fillId="2" borderId="0" xfId="0" applyFont="1" applyFill="1" applyBorder="1" applyAlignment="1" applyProtection="1">
      <alignment horizontal="left" vertical="center"/>
    </xf>
    <xf numFmtId="0" fontId="21" fillId="2" borderId="20" xfId="0" applyFont="1" applyFill="1" applyBorder="1" applyAlignment="1" applyProtection="1">
      <alignment horizontal="left" vertical="center"/>
    </xf>
    <xf numFmtId="0" fontId="14" fillId="2" borderId="18" xfId="0" applyFont="1" applyFill="1" applyBorder="1" applyAlignment="1">
      <alignment horizontal="right" vertical="center"/>
    </xf>
    <xf numFmtId="0" fontId="14" fillId="2" borderId="0" xfId="0" applyFont="1" applyFill="1" applyBorder="1" applyAlignment="1">
      <alignment horizontal="right" vertical="center"/>
    </xf>
    <xf numFmtId="0" fontId="14" fillId="2" borderId="20" xfId="0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center" vertical="center"/>
    </xf>
    <xf numFmtId="0" fontId="27" fillId="2" borderId="0" xfId="0" applyFont="1" applyFill="1" applyBorder="1" applyAlignment="1">
      <alignment horizontal="center" vertical="center"/>
    </xf>
    <xf numFmtId="0" fontId="14" fillId="2" borderId="2" xfId="0" applyFont="1" applyFill="1" applyBorder="1" applyAlignment="1" applyProtection="1">
      <alignment horizontal="center" vertical="center"/>
    </xf>
    <xf numFmtId="0" fontId="14" fillId="2" borderId="9" xfId="0" applyFont="1" applyFill="1" applyBorder="1" applyAlignment="1" applyProtection="1">
      <alignment horizontal="center" vertical="center"/>
    </xf>
    <xf numFmtId="0" fontId="21" fillId="2" borderId="7" xfId="0" applyFont="1" applyFill="1" applyBorder="1" applyAlignment="1" applyProtection="1">
      <alignment horizontal="center" vertical="center"/>
    </xf>
    <xf numFmtId="0" fontId="21" fillId="2" borderId="11" xfId="0" applyFont="1" applyFill="1" applyBorder="1" applyAlignment="1" applyProtection="1">
      <alignment horizontal="center" vertical="center"/>
    </xf>
    <xf numFmtId="0" fontId="14" fillId="2" borderId="21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21" fillId="2" borderId="11" xfId="0" applyFont="1" applyFill="1" applyBorder="1" applyAlignment="1">
      <alignment horizontal="center" vertical="center"/>
    </xf>
    <xf numFmtId="0" fontId="14" fillId="2" borderId="21" xfId="0" applyFont="1" applyFill="1" applyBorder="1" applyAlignment="1" applyProtection="1">
      <alignment horizontal="center" vertical="center" wrapText="1"/>
    </xf>
    <xf numFmtId="0" fontId="14" fillId="2" borderId="18" xfId="0" applyFont="1" applyFill="1" applyBorder="1" applyAlignment="1" applyProtection="1">
      <alignment horizontal="center" vertical="center" wrapText="1"/>
    </xf>
    <xf numFmtId="0" fontId="21" fillId="2" borderId="10" xfId="0" applyFont="1" applyFill="1" applyBorder="1" applyAlignment="1" applyProtection="1">
      <alignment horizontal="center" vertical="center" wrapText="1"/>
    </xf>
    <xf numFmtId="0" fontId="21" fillId="2" borderId="7" xfId="0" applyFont="1" applyFill="1" applyBorder="1" applyAlignment="1" applyProtection="1">
      <alignment horizontal="center" vertical="center" wrapText="1"/>
    </xf>
  </cellXfs>
  <cellStyles count="68">
    <cellStyle name="1" xfId="1"/>
    <cellStyle name="20% - Accent1" xfId="25" builtinId="30" customBuiltin="1"/>
    <cellStyle name="20% - Accent1 2" xfId="56"/>
    <cellStyle name="20% - Accent2" xfId="29" builtinId="34" customBuiltin="1"/>
    <cellStyle name="20% - Accent2 2" xfId="58"/>
    <cellStyle name="20% - Accent3" xfId="33" builtinId="38" customBuiltin="1"/>
    <cellStyle name="20% - Accent3 2" xfId="60"/>
    <cellStyle name="20% - Accent4" xfId="37" builtinId="42" customBuiltin="1"/>
    <cellStyle name="20% - Accent4 2" xfId="62"/>
    <cellStyle name="20% - Accent5" xfId="41" builtinId="46" customBuiltin="1"/>
    <cellStyle name="20% - Accent5 2" xfId="64"/>
    <cellStyle name="20% - Accent6" xfId="45" builtinId="50" customBuiltin="1"/>
    <cellStyle name="20% - Accent6 2" xfId="66"/>
    <cellStyle name="40% - Accent1" xfId="26" builtinId="31" customBuiltin="1"/>
    <cellStyle name="40% - Accent1 2" xfId="57"/>
    <cellStyle name="40% - Accent2" xfId="30" builtinId="35" customBuiltin="1"/>
    <cellStyle name="40% - Accent2 2" xfId="59"/>
    <cellStyle name="40% - Accent3" xfId="34" builtinId="39" customBuiltin="1"/>
    <cellStyle name="40% - Accent3 2" xfId="61"/>
    <cellStyle name="40% - Accent4" xfId="38" builtinId="43" customBuiltin="1"/>
    <cellStyle name="40% - Accent4 2" xfId="63"/>
    <cellStyle name="40% - Accent5" xfId="42" builtinId="47" customBuiltin="1"/>
    <cellStyle name="40% - Accent5 2" xfId="65"/>
    <cellStyle name="40% - Accent6" xfId="46" builtinId="51" customBuiltin="1"/>
    <cellStyle name="40% - Accent6 2" xfId="67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4" builtinId="27" customBuiltin="1"/>
    <cellStyle name="Calculation" xfId="18" builtinId="22" customBuiltin="1"/>
    <cellStyle name="Check Cell" xfId="20" builtinId="23" customBuiltin="1"/>
    <cellStyle name="Comma" xfId="2" builtinId="3"/>
    <cellStyle name="Comma 2" xfId="3"/>
    <cellStyle name="Comma 3" xfId="4"/>
    <cellStyle name="Comma 4" xfId="49"/>
    <cellStyle name="Comma 5" xfId="52"/>
    <cellStyle name="Explanatory Text" xfId="22" builtinId="53" customBuiltin="1"/>
    <cellStyle name="Good" xfId="13" builtinId="26" customBuiltin="1"/>
    <cellStyle name="Heading 1" xfId="9" builtinId="16" customBuiltin="1"/>
    <cellStyle name="Heading 2" xfId="10" builtinId="17" customBuiltin="1"/>
    <cellStyle name="Heading 3" xfId="11" builtinId="18" customBuiltin="1"/>
    <cellStyle name="Heading 4" xfId="12" builtinId="19" customBuiltin="1"/>
    <cellStyle name="Input" xfId="16" builtinId="20" customBuiltin="1"/>
    <cellStyle name="Linked Cell" xfId="19" builtinId="24" customBuiltin="1"/>
    <cellStyle name="Neutral" xfId="15" builtinId="28" customBuiltin="1"/>
    <cellStyle name="Normal" xfId="0" builtinId="0"/>
    <cellStyle name="Normal - Style1" xfId="5"/>
    <cellStyle name="Normal 2" xfId="6"/>
    <cellStyle name="Normal 3" xfId="48"/>
    <cellStyle name="Normal 4" xfId="51"/>
    <cellStyle name="Normal 5" xfId="53"/>
    <cellStyle name="Normal 6" xfId="55"/>
    <cellStyle name="Note 2" xfId="50"/>
    <cellStyle name="Note 3" xfId="54"/>
    <cellStyle name="Output" xfId="17" builtinId="21" customBuiltin="1"/>
    <cellStyle name="Percent 2" xfId="7"/>
    <cellStyle name="Title" xfId="8" builtinId="15" customBuiltin="1"/>
    <cellStyle name="Total" xfId="23" builtinId="25" customBuiltin="1"/>
    <cellStyle name="Warning Text" xfId="21" builtinId="11" customBuiltin="1"/>
  </cellStyles>
  <dxfs count="0"/>
  <tableStyles count="0" defaultTableStyle="TableStyleMedium9" defaultPivotStyle="PivotStyleLight16"/>
  <colors>
    <mruColors>
      <color rgb="FFABEBE9"/>
      <color rgb="FF77DFDD"/>
      <color rgb="FF2EC0BD"/>
      <color rgb="FF1C706E"/>
      <color rgb="FF041010"/>
      <color rgb="FF84E2E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>
                <a:latin typeface="Candara" pitchFamily="34" charset="0"/>
                <a:cs typeface="Consolas" pitchFamily="49" charset="0"/>
              </a:rPr>
              <a:t>Figure 15.1: Percentage share of Imports by Continents, 2015  </a:t>
            </a:r>
          </a:p>
        </c:rich>
      </c:tx>
      <c:layout>
        <c:manualLayout>
          <c:xMode val="edge"/>
          <c:yMode val="edge"/>
          <c:x val="0.16882116002700076"/>
          <c:y val="2.716112264457698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6094181709265685"/>
          <c:y val="0.13562662884714899"/>
          <c:w val="0.50946078374410764"/>
          <c:h val="0.8162310528142934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33CCCC"/>
              </a:solidFill>
            </c:spPr>
          </c:dPt>
          <c:dPt>
            <c:idx val="1"/>
            <c:bubble3D val="0"/>
            <c:spPr>
              <a:solidFill>
                <a:srgbClr val="1C706E"/>
              </a:solidFill>
            </c:spPr>
          </c:dPt>
          <c:dPt>
            <c:idx val="2"/>
            <c:bubble3D val="0"/>
            <c:spPr>
              <a:solidFill>
                <a:schemeClr val="accent5">
                  <a:lumMod val="75000"/>
                </a:schemeClr>
              </a:solidFill>
            </c:spPr>
          </c:dPt>
          <c:dPt>
            <c:idx val="3"/>
            <c:bubble3D val="0"/>
            <c:spPr>
              <a:solidFill>
                <a:srgbClr val="041010"/>
              </a:solidFill>
            </c:spPr>
          </c:dPt>
          <c:dPt>
            <c:idx val="4"/>
            <c:bubble3D val="0"/>
            <c:spPr>
              <a:solidFill>
                <a:srgbClr val="ABEBE9"/>
              </a:solidFill>
            </c:spPr>
          </c:dPt>
          <c:dPt>
            <c:idx val="5"/>
            <c:bubble3D val="0"/>
            <c:spPr>
              <a:solidFill>
                <a:srgbClr val="84E2E0"/>
              </a:solidFill>
            </c:spPr>
          </c:dPt>
          <c:dLbls>
            <c:dLbl>
              <c:idx val="0"/>
              <c:layout>
                <c:manualLayout>
                  <c:x val="4.2128051072995158E-2"/>
                  <c:y val="-5.5787253518862065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14946143520837937"/>
                  <c:y val="0.1676531380248895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1.9204796578319822E-2"/>
                  <c:y val="-4.009120082274342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2.1062854567239487E-2"/>
                  <c:y val="5.233457669545467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15298353058760858"/>
                  <c:y val="-1.341180926567363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4.7813917492064879E-2"/>
                  <c:y val="-6.663870915558679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'15.1'!$AJ$12:$AJ$17</c:f>
              <c:strCache>
                <c:ptCount val="6"/>
                <c:pt idx="0">
                  <c:v>Europe</c:v>
                </c:pt>
                <c:pt idx="1">
                  <c:v>Asia</c:v>
                </c:pt>
                <c:pt idx="2">
                  <c:v>Africa</c:v>
                </c:pt>
                <c:pt idx="3">
                  <c:v>America</c:v>
                </c:pt>
                <c:pt idx="4">
                  <c:v>Middle East</c:v>
                </c:pt>
                <c:pt idx="5">
                  <c:v>Oceania</c:v>
                </c:pt>
              </c:strCache>
            </c:strRef>
          </c:cat>
          <c:val>
            <c:numRef>
              <c:f>'15.1'!$AK$12:$AK$17</c:f>
              <c:numCache>
                <c:formatCode>#,##0.0</c:formatCode>
                <c:ptCount val="6"/>
                <c:pt idx="0">
                  <c:v>11.06017235681359</c:v>
                </c:pt>
                <c:pt idx="1">
                  <c:v>62.346564577060867</c:v>
                </c:pt>
                <c:pt idx="2">
                  <c:v>0.64331228761015635</c:v>
                </c:pt>
                <c:pt idx="3">
                  <c:v>3.6726361984330791</c:v>
                </c:pt>
                <c:pt idx="4">
                  <c:v>19.434230225711953</c:v>
                </c:pt>
                <c:pt idx="5">
                  <c:v>2.8430843543703461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37"/>
      </c:pieChart>
    </c:plotArea>
    <c:plotVisOnly val="1"/>
    <c:dispBlanksAs val="zero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0"/>
    <c:plotArea>
      <c:layout>
        <c:manualLayout>
          <c:layoutTarget val="inner"/>
          <c:xMode val="edge"/>
          <c:yMode val="edge"/>
          <c:x val="9.7726802414538363E-2"/>
          <c:y val="0.18404062237318375"/>
          <c:w val="0.85183523292465158"/>
          <c:h val="0.687975228586622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'15.1'!$AI$24</c:f>
              <c:strCache>
                <c:ptCount val="1"/>
                <c:pt idx="0">
                  <c:v>Total Imports</c:v>
                </c:pt>
              </c:strCache>
            </c:strRef>
          </c:tx>
          <c:spPr>
            <a:solidFill>
              <a:srgbClr val="2EC0BD"/>
            </a:solidFill>
          </c:spPr>
          <c:invertIfNegative val="0"/>
          <c:dPt>
            <c:idx val="1"/>
            <c:invertIfNegative val="0"/>
            <c:bubble3D val="0"/>
            <c:spPr>
              <a:solidFill>
                <a:srgbClr val="2EC0BD"/>
              </a:solidFill>
            </c:spPr>
          </c:dPt>
          <c:cat>
            <c:numRef>
              <c:f>'15.1'!$AJ$23:$AP$23</c:f>
              <c:numCache>
                <c:formatCode>General</c:formatCode>
                <c:ptCount val="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</c:numCache>
            </c:numRef>
          </c:cat>
          <c:val>
            <c:numRef>
              <c:f>'15.1'!$AJ$24:$AP$24</c:f>
              <c:numCache>
                <c:formatCode>_(* #,##0_);_(* \(#,##0\);_(* "-"??_);_(@_)</c:formatCode>
                <c:ptCount val="7"/>
                <c:pt idx="0">
                  <c:v>12368528.392270003</c:v>
                </c:pt>
                <c:pt idx="1">
                  <c:v>14017488.443949997</c:v>
                </c:pt>
                <c:pt idx="2">
                  <c:v>20486216.653159894</c:v>
                </c:pt>
                <c:pt idx="3">
                  <c:v>23884653.941069901</c:v>
                </c:pt>
                <c:pt idx="4" formatCode="#,##0">
                  <c:v>26634885.396759901</c:v>
                </c:pt>
                <c:pt idx="5" formatCode="#,##0">
                  <c:v>30649233.308269795</c:v>
                </c:pt>
                <c:pt idx="6" formatCode="#,##0">
                  <c:v>29147779.394450299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100"/>
        <c:axId val="139323648"/>
        <c:axId val="139379072"/>
      </c:barChart>
      <c:lineChart>
        <c:grouping val="standard"/>
        <c:varyColors val="0"/>
        <c:ser>
          <c:idx val="1"/>
          <c:order val="1"/>
          <c:tx>
            <c:strRef>
              <c:f>'15.1'!$AI$25</c:f>
              <c:strCache>
                <c:ptCount val="1"/>
                <c:pt idx="0">
                  <c:v>% change</c:v>
                </c:pt>
              </c:strCache>
            </c:strRef>
          </c:tx>
          <c:spPr>
            <a:ln>
              <a:solidFill>
                <a:srgbClr val="1C706E"/>
              </a:solidFill>
            </a:ln>
          </c:spPr>
          <c:marker>
            <c:spPr>
              <a:solidFill>
                <a:srgbClr val="ABEBE9"/>
              </a:solidFill>
              <a:ln>
                <a:solidFill>
                  <a:srgbClr val="041010"/>
                </a:solidFill>
              </a:ln>
            </c:spPr>
          </c:marker>
          <c:cat>
            <c:numRef>
              <c:f>'15.1'!$AJ$23:$AP$23</c:f>
              <c:numCache>
                <c:formatCode>General</c:formatCode>
                <c:ptCount val="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</c:numCache>
            </c:numRef>
          </c:cat>
          <c:val>
            <c:numRef>
              <c:f>'15.1'!$AJ$25:$AP$25</c:f>
              <c:numCache>
                <c:formatCode>_(* #,##0.0_);_(* \(#,##0.0\);_(* "-"??_);_(@_)</c:formatCode>
                <c:ptCount val="7"/>
                <c:pt idx="0">
                  <c:v>-30.357833956150195</c:v>
                </c:pt>
                <c:pt idx="1">
                  <c:v>13.33190173788622</c:v>
                </c:pt>
                <c:pt idx="2">
                  <c:v>46.14755514210411</c:v>
                </c:pt>
                <c:pt idx="3">
                  <c:v>16.588896551505599</c:v>
                </c:pt>
                <c:pt idx="4" formatCode="#,##0">
                  <c:v>11.51463807043463</c:v>
                </c:pt>
                <c:pt idx="5" formatCode="#,##0">
                  <c:v>15.071767164420516</c:v>
                </c:pt>
                <c:pt idx="6" formatCode="#,##0">
                  <c:v>-4.8988302536571844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80992"/>
        <c:axId val="139382784"/>
      </c:lineChart>
      <c:catAx>
        <c:axId val="139323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39379072"/>
        <c:crosses val="autoZero"/>
        <c:auto val="1"/>
        <c:lblAlgn val="ctr"/>
        <c:lblOffset val="100"/>
        <c:noMultiLvlLbl val="0"/>
      </c:catAx>
      <c:valAx>
        <c:axId val="13937907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_(* #,##0_);_(* \(#,##0\);_(* &quot;-&quot;_);_(@_)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39323648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1.5249144085299843E-2"/>
                <c:y val="0.18404065067968922"/>
              </c:manualLayout>
            </c:layout>
            <c:tx>
              <c:rich>
                <a:bodyPr/>
                <a:lstStyle/>
                <a:p>
                  <a:pPr>
                    <a:defRPr/>
                  </a:pPr>
                  <a:r>
                    <a:rPr lang="en-US"/>
                    <a:t>Billions</a:t>
                  </a:r>
                </a:p>
              </c:rich>
            </c:tx>
          </c:dispUnitsLbl>
        </c:dispUnits>
      </c:valAx>
      <c:catAx>
        <c:axId val="1393809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9382784"/>
        <c:crosses val="autoZero"/>
        <c:auto val="1"/>
        <c:lblAlgn val="ctr"/>
        <c:lblOffset val="100"/>
        <c:noMultiLvlLbl val="0"/>
      </c:catAx>
      <c:valAx>
        <c:axId val="139382784"/>
        <c:scaling>
          <c:orientation val="minMax"/>
          <c:max val="50"/>
          <c:min val="-40"/>
        </c:scaling>
        <c:delete val="0"/>
        <c:axPos val="r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39380992"/>
        <c:crosses val="max"/>
        <c:crossBetween val="between"/>
        <c:majorUnit val="10"/>
        <c:minorUnit val="2"/>
      </c:valAx>
      <c:spPr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1895440765128353"/>
          <c:y val="0.20487010098313982"/>
          <c:w val="0.33502567134702543"/>
          <c:h val="5.9366890579355548E-2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583143</xdr:colOff>
      <xdr:row>48</xdr:row>
      <xdr:rowOff>131444</xdr:rowOff>
    </xdr:from>
    <xdr:to>
      <xdr:col>23</xdr:col>
      <xdr:colOff>285750</xdr:colOff>
      <xdr:row>64</xdr:row>
      <xdr:rowOff>9525</xdr:rowOff>
    </xdr:to>
    <xdr:graphicFrame macro="">
      <xdr:nvGraphicFramePr>
        <xdr:cNvPr id="1874640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600075</xdr:colOff>
      <xdr:row>66</xdr:row>
      <xdr:rowOff>11430</xdr:rowOff>
    </xdr:from>
    <xdr:to>
      <xdr:col>23</xdr:col>
      <xdr:colOff>257175</xdr:colOff>
      <xdr:row>79</xdr:row>
      <xdr:rowOff>89535</xdr:rowOff>
    </xdr:to>
    <xdr:graphicFrame macro="">
      <xdr:nvGraphicFramePr>
        <xdr:cNvPr id="1874641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723901</xdr:colOff>
      <xdr:row>50</xdr:row>
      <xdr:rowOff>28574</xdr:rowOff>
    </xdr:from>
    <xdr:to>
      <xdr:col>20</xdr:col>
      <xdr:colOff>390525</xdr:colOff>
      <xdr:row>50</xdr:row>
      <xdr:rowOff>28574</xdr:rowOff>
    </xdr:to>
    <xdr:sp macro="" textlink="">
      <xdr:nvSpPr>
        <xdr:cNvPr id="7" name="Line 4"/>
        <xdr:cNvSpPr>
          <a:spLocks noChangeShapeType="1"/>
        </xdr:cNvSpPr>
      </xdr:nvSpPr>
      <xdr:spPr bwMode="auto">
        <a:xfrm flipV="1">
          <a:off x="3457576" y="10763249"/>
          <a:ext cx="3686174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13</xdr:col>
      <xdr:colOff>95250</xdr:colOff>
      <xdr:row>67</xdr:row>
      <xdr:rowOff>104774</xdr:rowOff>
    </xdr:from>
    <xdr:to>
      <xdr:col>21</xdr:col>
      <xdr:colOff>428625</xdr:colOff>
      <xdr:row>67</xdr:row>
      <xdr:rowOff>104774</xdr:rowOff>
    </xdr:to>
    <xdr:sp macro="" textlink="">
      <xdr:nvSpPr>
        <xdr:cNvPr id="8" name="Line 4"/>
        <xdr:cNvSpPr>
          <a:spLocks noChangeShapeType="1"/>
        </xdr:cNvSpPr>
      </xdr:nvSpPr>
      <xdr:spPr bwMode="auto">
        <a:xfrm>
          <a:off x="3695700" y="14239874"/>
          <a:ext cx="4057650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0.14702</cdr:x>
      <cdr:y>0.02855</cdr:y>
    </cdr:from>
    <cdr:to>
      <cdr:x>0.88896</cdr:x>
      <cdr:y>0.09874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802366" y="77018"/>
          <a:ext cx="4049052" cy="1893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pPr algn="ctr" rtl="1">
            <a:lnSpc>
              <a:spcPts val="1100"/>
            </a:lnSpc>
          </a:pPr>
          <a:r>
            <a:rPr lang="en-US" sz="1100" b="1" i="0" baseline="0">
              <a:solidFill>
                <a:schemeClr val="tx1"/>
              </a:solidFill>
              <a:latin typeface="Candara" pitchFamily="34" charset="0"/>
              <a:ea typeface="+mn-ea"/>
              <a:cs typeface="+mn-cs"/>
            </a:rPr>
            <a:t>Figu</a:t>
          </a:r>
          <a:r>
            <a:rPr lang="en-US" sz="1100" b="1">
              <a:latin typeface="Candara" pitchFamily="34" charset="0"/>
            </a:rPr>
            <a:t>re 15.2:</a:t>
          </a:r>
          <a:r>
            <a:rPr lang="en-US" sz="1100" b="1" baseline="0">
              <a:latin typeface="Candara" pitchFamily="34" charset="0"/>
            </a:rPr>
            <a:t> Imports and Percentage change in Imports, </a:t>
          </a:r>
          <a:r>
            <a:rPr lang="en-US" sz="1050" b="1" baseline="0">
              <a:latin typeface="Candara" pitchFamily="34" charset="0"/>
            </a:rPr>
            <a:t>2009</a:t>
          </a:r>
          <a:r>
            <a:rPr lang="en-US" sz="1100" b="1" baseline="0">
              <a:latin typeface="Candara" pitchFamily="34" charset="0"/>
            </a:rPr>
            <a:t> - 2015</a:t>
          </a:r>
          <a:endParaRPr lang="en-US" sz="1100" b="1">
            <a:solidFill>
              <a:schemeClr val="tx1"/>
            </a:solidFill>
            <a:latin typeface="Candara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0.05375</cdr:y>
    </cdr:from>
    <cdr:to>
      <cdr:x>0</cdr:x>
      <cdr:y>0.05882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0" y="188250"/>
          <a:ext cx="1086804" cy="163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900" b="1"/>
            <a:t>C.I.F in</a:t>
          </a:r>
          <a:r>
            <a:rPr lang="en-US" sz="900" b="1" baseline="0"/>
            <a:t> </a:t>
          </a:r>
          <a:r>
            <a:rPr lang="en-US" sz="1000" b="1" baseline="0"/>
            <a:t>MVR</a:t>
          </a:r>
          <a:r>
            <a:rPr lang="en-US" sz="900" b="1" baseline="0"/>
            <a:t> '000</a:t>
          </a:r>
          <a:endParaRPr lang="en-US" sz="900" b="1"/>
        </a:p>
      </cdr:txBody>
    </cdr:sp>
  </cdr:relSizeAnchor>
  <cdr:relSizeAnchor xmlns:cdr="http://schemas.openxmlformats.org/drawingml/2006/chartDrawing">
    <cdr:from>
      <cdr:x>0.90828</cdr:x>
      <cdr:y>0.08465</cdr:y>
    </cdr:from>
    <cdr:to>
      <cdr:x>0.99103</cdr:x>
      <cdr:y>0.15313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956845" y="228343"/>
          <a:ext cx="451598" cy="1847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900"/>
            <a:t>Percent</a:t>
          </a:r>
        </a:p>
      </cdr:txBody>
    </cdr:sp>
  </cdr:relSizeAnchor>
  <cdr:relSizeAnchor xmlns:cdr="http://schemas.openxmlformats.org/drawingml/2006/chartDrawing">
    <cdr:from>
      <cdr:x>0.09444</cdr:x>
      <cdr:y>0.56665</cdr:y>
    </cdr:from>
    <cdr:to>
      <cdr:x>0.95219</cdr:x>
      <cdr:y>0.56665</cdr:y>
    </cdr:to>
    <cdr:cxnSp macro="">
      <cdr:nvCxnSpPr>
        <cdr:cNvPr id="6" name="Straight Connector 5"/>
        <cdr:cNvCxnSpPr/>
      </cdr:nvCxnSpPr>
      <cdr:spPr>
        <a:xfrm xmlns:a="http://schemas.openxmlformats.org/drawingml/2006/main" flipH="1">
          <a:off x="590890" y="1519329"/>
          <a:ext cx="5366900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5"/>
        </a:lnRef>
        <a:fillRef xmlns:a="http://schemas.openxmlformats.org/drawingml/2006/main" idx="0">
          <a:schemeClr val="accent5"/>
        </a:fillRef>
        <a:effectRef xmlns:a="http://schemas.openxmlformats.org/drawingml/2006/main" idx="0">
          <a:schemeClr val="accent5"/>
        </a:effectRef>
        <a:fontRef xmlns:a="http://schemas.openxmlformats.org/drawingml/2006/main" idx="minor">
          <a:schemeClr val="tx1"/>
        </a:fontRef>
      </cdr:style>
    </cdr:cxn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P67"/>
  <sheetViews>
    <sheetView tabSelected="1" zoomScaleNormal="100" zoomScaleSheetLayoutView="69" workbookViewId="0">
      <selection activeCell="Y82" sqref="Y80:Y82"/>
    </sheetView>
  </sheetViews>
  <sheetFormatPr defaultColWidth="9.140625" defaultRowHeight="15.75" x14ac:dyDescent="0.25"/>
  <cols>
    <col min="1" max="1" width="15" style="3" customWidth="1"/>
    <col min="2" max="4" width="10.85546875" style="39" hidden="1" customWidth="1"/>
    <col min="5" max="9" width="12.28515625" style="39" hidden="1" customWidth="1"/>
    <col min="10" max="10" width="13" style="39" hidden="1" customWidth="1"/>
    <col min="11" max="13" width="13" style="39" customWidth="1"/>
    <col min="14" max="14" width="12.28515625" style="39" bestFit="1" customWidth="1"/>
    <col min="15" max="15" width="9" style="39" hidden="1" customWidth="1"/>
    <col min="16" max="18" width="9" style="39" customWidth="1"/>
    <col min="19" max="19" width="8" style="39" customWidth="1"/>
    <col min="20" max="20" width="8.5703125" style="39" hidden="1" customWidth="1"/>
    <col min="21" max="24" width="8.5703125" style="39" customWidth="1"/>
    <col min="25" max="25" width="14.85546875" style="39" customWidth="1"/>
    <col min="26" max="32" width="21.7109375" style="3" customWidth="1"/>
    <col min="33" max="33" width="23" style="3" bestFit="1" customWidth="1"/>
    <col min="34" max="35" width="8" style="3" customWidth="1"/>
    <col min="36" max="37" width="11.5703125" style="3" customWidth="1"/>
    <col min="38" max="38" width="12.85546875" style="3" customWidth="1"/>
    <col min="39" max="39" width="11.5703125" style="3" customWidth="1"/>
    <col min="40" max="40" width="13.85546875" style="3" customWidth="1"/>
    <col min="41" max="41" width="9.85546875" style="3" bestFit="1" customWidth="1"/>
    <col min="42" max="42" width="11.7109375" style="3" customWidth="1"/>
    <col min="43" max="16384" width="9.140625" style="3"/>
  </cols>
  <sheetData>
    <row r="1" spans="1:39" ht="19.5" x14ac:dyDescent="0.25">
      <c r="A1" s="114" t="s">
        <v>87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06"/>
      <c r="AB1" s="106"/>
      <c r="AC1" s="106"/>
      <c r="AD1" s="106"/>
      <c r="AE1" s="106"/>
      <c r="AF1" s="106"/>
    </row>
    <row r="2" spans="1:39" s="4" customFormat="1" x14ac:dyDescent="0.25">
      <c r="A2" s="115" t="s">
        <v>86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07"/>
      <c r="AB2" s="107"/>
      <c r="AC2" s="107"/>
      <c r="AD2" s="107"/>
      <c r="AE2" s="107"/>
      <c r="AF2" s="107"/>
    </row>
    <row r="3" spans="1:39" ht="2.4500000000000002" customHeight="1" x14ac:dyDescent="0.25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59"/>
      <c r="AA3" s="59"/>
      <c r="AB3" s="59"/>
      <c r="AC3" s="59"/>
      <c r="AD3" s="59"/>
      <c r="AE3" s="59"/>
      <c r="AF3" s="59"/>
      <c r="AG3" s="60"/>
      <c r="AH3" s="59"/>
    </row>
    <row r="4" spans="1:39" ht="13.9" customHeight="1" x14ac:dyDescent="0.25">
      <c r="A4" s="108" t="s">
        <v>2</v>
      </c>
      <c r="B4" s="76" t="s">
        <v>56</v>
      </c>
      <c r="C4" s="76" t="s">
        <v>56</v>
      </c>
      <c r="D4" s="76" t="s">
        <v>56</v>
      </c>
      <c r="E4" s="116" t="s">
        <v>56</v>
      </c>
      <c r="F4" s="116"/>
      <c r="G4" s="116"/>
      <c r="H4" s="116"/>
      <c r="I4" s="116"/>
      <c r="J4" s="116"/>
      <c r="K4" s="116"/>
      <c r="L4" s="116"/>
      <c r="M4" s="116"/>
      <c r="N4" s="117"/>
      <c r="O4" s="3"/>
      <c r="P4" s="120" t="s">
        <v>78</v>
      </c>
      <c r="Q4" s="121"/>
      <c r="R4" s="121"/>
      <c r="S4" s="122"/>
      <c r="T4" s="3"/>
      <c r="U4" s="126" t="s">
        <v>38</v>
      </c>
      <c r="V4" s="127"/>
      <c r="W4" s="127"/>
      <c r="X4" s="127"/>
      <c r="Y4" s="111" t="s">
        <v>57</v>
      </c>
      <c r="Z4" s="59"/>
      <c r="AA4" s="59"/>
      <c r="AB4" s="59"/>
      <c r="AC4" s="59"/>
      <c r="AD4" s="59"/>
      <c r="AE4" s="59"/>
      <c r="AF4" s="59"/>
      <c r="AG4" s="60"/>
      <c r="AH4" s="59"/>
    </row>
    <row r="5" spans="1:39" s="7" customFormat="1" ht="15" customHeight="1" x14ac:dyDescent="0.25">
      <c r="A5" s="109"/>
      <c r="B5" s="54" t="s">
        <v>0</v>
      </c>
      <c r="C5" s="54" t="s">
        <v>0</v>
      </c>
      <c r="D5" s="54" t="s">
        <v>0</v>
      </c>
      <c r="E5" s="118" t="s">
        <v>81</v>
      </c>
      <c r="F5" s="118"/>
      <c r="G5" s="118"/>
      <c r="H5" s="118"/>
      <c r="I5" s="118"/>
      <c r="J5" s="118"/>
      <c r="K5" s="118"/>
      <c r="L5" s="118"/>
      <c r="M5" s="118"/>
      <c r="N5" s="119"/>
      <c r="P5" s="123" t="s">
        <v>82</v>
      </c>
      <c r="Q5" s="124"/>
      <c r="R5" s="124"/>
      <c r="S5" s="125"/>
      <c r="U5" s="128" t="s">
        <v>1</v>
      </c>
      <c r="V5" s="129"/>
      <c r="W5" s="129"/>
      <c r="X5" s="129"/>
      <c r="Y5" s="112"/>
      <c r="Z5" s="59"/>
      <c r="AA5" s="59"/>
      <c r="AB5" s="59"/>
      <c r="AC5" s="59"/>
      <c r="AD5" s="59"/>
      <c r="AE5" s="59"/>
      <c r="AF5" s="59"/>
      <c r="AG5" s="60"/>
      <c r="AH5" s="59"/>
    </row>
    <row r="6" spans="1:39" s="7" customFormat="1" ht="14.45" customHeight="1" x14ac:dyDescent="0.25">
      <c r="A6" s="110"/>
      <c r="B6" s="77">
        <v>2003</v>
      </c>
      <c r="C6" s="77"/>
      <c r="D6" s="77">
        <v>2005</v>
      </c>
      <c r="E6" s="78">
        <v>2006</v>
      </c>
      <c r="F6" s="78">
        <v>2007</v>
      </c>
      <c r="G6" s="78">
        <v>2008</v>
      </c>
      <c r="H6" s="78">
        <v>2009</v>
      </c>
      <c r="I6" s="78">
        <v>2010</v>
      </c>
      <c r="J6" s="78">
        <v>2011</v>
      </c>
      <c r="K6" s="78">
        <v>2012</v>
      </c>
      <c r="L6" s="78">
        <v>2013</v>
      </c>
      <c r="M6" s="90">
        <v>2014</v>
      </c>
      <c r="N6" s="79">
        <v>2015</v>
      </c>
      <c r="O6" s="91">
        <v>2011</v>
      </c>
      <c r="P6" s="100">
        <v>2012</v>
      </c>
      <c r="Q6" s="90">
        <v>2013</v>
      </c>
      <c r="R6" s="90">
        <v>2014</v>
      </c>
      <c r="S6" s="96">
        <v>2015</v>
      </c>
      <c r="T6" s="79">
        <v>2011</v>
      </c>
      <c r="U6" s="79">
        <v>2012</v>
      </c>
      <c r="V6" s="79">
        <v>2013</v>
      </c>
      <c r="W6" s="79">
        <v>2014</v>
      </c>
      <c r="X6" s="79">
        <v>2015</v>
      </c>
      <c r="Y6" s="113"/>
      <c r="Z6" s="63"/>
      <c r="AA6" s="63"/>
      <c r="AB6" s="63"/>
      <c r="AC6" s="63"/>
      <c r="AD6" s="63"/>
      <c r="AE6" s="63"/>
      <c r="AF6" s="63"/>
      <c r="AG6" s="64"/>
      <c r="AH6" s="63"/>
    </row>
    <row r="7" spans="1:39" s="7" customFormat="1" ht="17.25" x14ac:dyDescent="0.4">
      <c r="A7" s="97" t="s">
        <v>3</v>
      </c>
      <c r="B7" s="2">
        <v>6586499.69759</v>
      </c>
      <c r="C7" s="2"/>
      <c r="D7" s="2">
        <v>9534267.6950000003</v>
      </c>
      <c r="E7" s="2">
        <v>11859520.142799899</v>
      </c>
      <c r="F7" s="2">
        <v>14032514.138460003</v>
      </c>
      <c r="G7" s="2">
        <v>17760114.4463</v>
      </c>
      <c r="H7" s="2">
        <v>12368528.392270003</v>
      </c>
      <c r="I7" s="2">
        <v>14017488.443949997</v>
      </c>
      <c r="J7" s="2">
        <f>SUM(J8+J18+J28+J33+J39+J44)</f>
        <v>20486216.653159894</v>
      </c>
      <c r="K7" s="2">
        <f>SUM(K8+K18+K28+K33+K39+K44)</f>
        <v>23884653.941069901</v>
      </c>
      <c r="L7" s="2">
        <f>SUM(L8+L18+L28+L33+L39+L44)</f>
        <v>26634885.396759901</v>
      </c>
      <c r="M7" s="2">
        <f>SUM(M8+M18+M28+M33+M39+M44)</f>
        <v>30649233.308269795</v>
      </c>
      <c r="N7" s="2">
        <f>SUM(N8+N18+N28+N33+N39+N44)</f>
        <v>29147779.394450299</v>
      </c>
      <c r="O7" s="92">
        <f>SUM(O18,O8,O28,O33,O39,O44)</f>
        <v>100.00000000000003</v>
      </c>
      <c r="P7" s="92">
        <f>K7/$K$7*100</f>
        <v>100</v>
      </c>
      <c r="Q7" s="74">
        <f t="shared" ref="Q7:Q47" si="0">L7/$L$7*100</f>
        <v>100</v>
      </c>
      <c r="R7" s="74">
        <f t="shared" ref="R7:R47" si="1">M7/$M$7*100</f>
        <v>100</v>
      </c>
      <c r="S7" s="69">
        <f t="shared" ref="S7:S47" si="2">N7/$N$7*100</f>
        <v>100</v>
      </c>
      <c r="T7" s="74">
        <f t="shared" ref="T7:T46" si="3">((J7-I7)/I7)*100</f>
        <v>46.14755514210411</v>
      </c>
      <c r="U7" s="74">
        <f t="shared" ref="U7:U46" si="4">((K7-J7)/J7)*100</f>
        <v>16.588896551505599</v>
      </c>
      <c r="V7" s="74">
        <f t="shared" ref="V7:V46" si="5">((L7-K7)/K7)*100</f>
        <v>11.51463807043463</v>
      </c>
      <c r="W7" s="74">
        <f t="shared" ref="W7:W46" si="6">((M7-L7)/L7)*100</f>
        <v>15.071767164420516</v>
      </c>
      <c r="X7" s="74">
        <f t="shared" ref="X7:X45" si="7">((N7-M7)/M7)*100</f>
        <v>-4.8988302536571844</v>
      </c>
      <c r="Y7" s="75" t="s">
        <v>58</v>
      </c>
      <c r="Z7" s="63"/>
      <c r="AA7" s="63"/>
      <c r="AB7" s="63"/>
      <c r="AC7" s="63"/>
      <c r="AD7" s="63"/>
      <c r="AE7" s="63"/>
      <c r="AF7" s="63"/>
      <c r="AG7" s="64"/>
      <c r="AH7" s="63"/>
    </row>
    <row r="8" spans="1:39" s="10" customFormat="1" ht="17.25" x14ac:dyDescent="0.4">
      <c r="A8" s="8" t="s">
        <v>4</v>
      </c>
      <c r="B8" s="9">
        <v>724457.13007999992</v>
      </c>
      <c r="C8" s="9"/>
      <c r="D8" s="9">
        <v>1441890.93512</v>
      </c>
      <c r="E8" s="9">
        <v>1106065.2204400001</v>
      </c>
      <c r="F8" s="9">
        <v>1320324.3924799999</v>
      </c>
      <c r="G8" s="9">
        <v>2139499.76682</v>
      </c>
      <c r="H8" s="2">
        <v>1271439.8798300002</v>
      </c>
      <c r="I8" s="2">
        <f t="shared" ref="I8:N8" si="8">SUM(I9:I17)</f>
        <v>1269415.9607500001</v>
      </c>
      <c r="J8" s="2">
        <f t="shared" si="8"/>
        <v>1953616.7700399999</v>
      </c>
      <c r="K8" s="2">
        <f t="shared" si="8"/>
        <v>1784234.5454200001</v>
      </c>
      <c r="L8" s="2">
        <f t="shared" si="8"/>
        <v>2835607.2793399999</v>
      </c>
      <c r="M8" s="2">
        <f t="shared" si="8"/>
        <v>2808402.624220001</v>
      </c>
      <c r="N8" s="2">
        <f t="shared" si="8"/>
        <v>3223794.6392099997</v>
      </c>
      <c r="O8" s="93">
        <f t="shared" ref="O8:O47" si="9">(J8/$J$7)*100</f>
        <v>9.5362496800436034</v>
      </c>
      <c r="P8" s="92">
        <f t="shared" ref="P8:P47" si="10">K8/$K$7*100</f>
        <v>7.4702130908917672</v>
      </c>
      <c r="Q8" s="74">
        <f t="shared" si="0"/>
        <v>10.646215431754582</v>
      </c>
      <c r="R8" s="74">
        <f t="shared" si="1"/>
        <v>9.1630436427988435</v>
      </c>
      <c r="S8" s="69">
        <f t="shared" si="2"/>
        <v>11.06017235681359</v>
      </c>
      <c r="T8" s="74">
        <f t="shared" si="3"/>
        <v>53.898866127833955</v>
      </c>
      <c r="U8" s="74">
        <f t="shared" si="4"/>
        <v>-8.6701868666151807</v>
      </c>
      <c r="V8" s="74">
        <f t="shared" si="5"/>
        <v>58.925702151591949</v>
      </c>
      <c r="W8" s="74">
        <f t="shared" si="6"/>
        <v>-0.95939431804290087</v>
      </c>
      <c r="X8" s="74">
        <f t="shared" si="7"/>
        <v>14.791042117950187</v>
      </c>
      <c r="Y8" s="56" t="s">
        <v>59</v>
      </c>
      <c r="Z8" s="59"/>
      <c r="AA8" s="59"/>
      <c r="AB8" s="59"/>
      <c r="AC8" s="59"/>
      <c r="AD8" s="59"/>
      <c r="AE8" s="59"/>
      <c r="AF8" s="59"/>
      <c r="AG8" s="60"/>
      <c r="AH8" s="59"/>
    </row>
    <row r="9" spans="1:39" s="13" customFormat="1" ht="17.25" x14ac:dyDescent="0.4">
      <c r="A9" s="11" t="s">
        <v>35</v>
      </c>
      <c r="B9" s="12">
        <v>136401.53137000001</v>
      </c>
      <c r="C9" s="12"/>
      <c r="D9" s="12">
        <v>166814.68523</v>
      </c>
      <c r="E9" s="12">
        <v>107575.10868</v>
      </c>
      <c r="F9" s="12">
        <v>100035.64253</v>
      </c>
      <c r="G9" s="12">
        <v>829764.09751999995</v>
      </c>
      <c r="H9" s="12">
        <v>105515.62663000001</v>
      </c>
      <c r="I9" s="12">
        <v>109553.65775</v>
      </c>
      <c r="J9" s="12">
        <f>150881815.36/1000</f>
        <v>150881.81536000001</v>
      </c>
      <c r="K9" s="67">
        <v>134476.43052000002</v>
      </c>
      <c r="L9" s="67">
        <v>172661.92727000001</v>
      </c>
      <c r="M9" s="67">
        <v>273576.47266999999</v>
      </c>
      <c r="N9" s="98">
        <v>278266.20718999999</v>
      </c>
      <c r="O9" s="94">
        <f t="shared" si="9"/>
        <v>0.73650405008641395</v>
      </c>
      <c r="P9" s="101">
        <f t="shared" si="10"/>
        <v>0.56302440408720533</v>
      </c>
      <c r="Q9" s="80">
        <f t="shared" si="0"/>
        <v>0.64825481581011091</v>
      </c>
      <c r="R9" s="80">
        <f t="shared" si="1"/>
        <v>0.89260462054097589</v>
      </c>
      <c r="S9" s="103">
        <f t="shared" si="2"/>
        <v>0.95467377951605303</v>
      </c>
      <c r="T9" s="80">
        <f t="shared" si="3"/>
        <v>37.724123921366754</v>
      </c>
      <c r="U9" s="80">
        <f t="shared" si="4"/>
        <v>-10.873003350905588</v>
      </c>
      <c r="V9" s="80">
        <f t="shared" si="5"/>
        <v>28.395679898955116</v>
      </c>
      <c r="W9" s="80">
        <f t="shared" si="6"/>
        <v>58.446321661981045</v>
      </c>
      <c r="X9" s="80">
        <f t="shared" si="7"/>
        <v>1.7142316640864665</v>
      </c>
      <c r="Y9" s="57" t="s">
        <v>48</v>
      </c>
      <c r="Z9" s="59"/>
      <c r="AA9" s="59"/>
      <c r="AB9" s="59"/>
      <c r="AC9" s="59"/>
      <c r="AD9" s="59"/>
      <c r="AE9" s="59"/>
      <c r="AF9" s="59"/>
      <c r="AG9" s="60"/>
      <c r="AH9" s="59"/>
    </row>
    <row r="10" spans="1:39" s="13" customFormat="1" ht="17.25" x14ac:dyDescent="0.4">
      <c r="A10" s="11" t="s">
        <v>7</v>
      </c>
      <c r="B10" s="12">
        <v>82463.79522</v>
      </c>
      <c r="C10" s="12"/>
      <c r="D10" s="12">
        <v>190737.38425</v>
      </c>
      <c r="E10" s="12">
        <v>196490.89924999999</v>
      </c>
      <c r="F10" s="12">
        <v>304602.41211000003</v>
      </c>
      <c r="G10" s="12">
        <v>347383.85016000003</v>
      </c>
      <c r="H10" s="12">
        <v>243452.74146000002</v>
      </c>
      <c r="I10" s="12">
        <v>258037.49448000002</v>
      </c>
      <c r="J10" s="12">
        <f>362329722.38/1000</f>
        <v>362329.72237999999</v>
      </c>
      <c r="K10" s="67">
        <v>439681.96124000003</v>
      </c>
      <c r="L10" s="67">
        <v>460973.95533999999</v>
      </c>
      <c r="M10" s="67">
        <v>535616.37011999998</v>
      </c>
      <c r="N10" s="98">
        <v>548547.2790499999</v>
      </c>
      <c r="O10" s="94">
        <f t="shared" si="9"/>
        <v>1.7686512278689219</v>
      </c>
      <c r="P10" s="101">
        <f t="shared" si="10"/>
        <v>1.8408554812006823</v>
      </c>
      <c r="Q10" s="80">
        <f t="shared" si="0"/>
        <v>1.7307149945389924</v>
      </c>
      <c r="R10" s="80">
        <f t="shared" si="1"/>
        <v>1.7475685761296993</v>
      </c>
      <c r="S10" s="103">
        <f t="shared" si="2"/>
        <v>1.8819522119562997</v>
      </c>
      <c r="T10" s="80">
        <f t="shared" si="3"/>
        <v>40.417470379710053</v>
      </c>
      <c r="U10" s="80">
        <f t="shared" si="4"/>
        <v>21.348576747141777</v>
      </c>
      <c r="V10" s="80">
        <f t="shared" si="5"/>
        <v>4.8425898665371303</v>
      </c>
      <c r="W10" s="80">
        <f t="shared" si="6"/>
        <v>16.192327986284187</v>
      </c>
      <c r="X10" s="80">
        <f t="shared" si="7"/>
        <v>2.4142109262087836</v>
      </c>
      <c r="Y10" s="58" t="s">
        <v>60</v>
      </c>
      <c r="Z10" s="59"/>
      <c r="AA10" s="59"/>
      <c r="AB10" s="59"/>
      <c r="AC10" s="59"/>
      <c r="AD10" s="59"/>
      <c r="AE10" s="59"/>
      <c r="AF10" s="59"/>
      <c r="AG10" s="60"/>
      <c r="AH10" s="59"/>
    </row>
    <row r="11" spans="1:39" s="13" customFormat="1" ht="17.25" x14ac:dyDescent="0.4">
      <c r="A11" s="11" t="s">
        <v>8</v>
      </c>
      <c r="B11" s="12">
        <v>79914.145209999988</v>
      </c>
      <c r="C11" s="12"/>
      <c r="D11" s="12">
        <v>136538.31840000002</v>
      </c>
      <c r="E11" s="12">
        <v>150367.81219</v>
      </c>
      <c r="F11" s="12">
        <v>236312.23746999999</v>
      </c>
      <c r="G11" s="12">
        <v>214078.53977999999</v>
      </c>
      <c r="H11" s="12">
        <v>139228.73364000002</v>
      </c>
      <c r="I11" s="12">
        <v>186750.47189000002</v>
      </c>
      <c r="J11" s="12">
        <f>335039908.18/1000</f>
        <v>335039.90818000003</v>
      </c>
      <c r="K11" s="67">
        <v>240456.63500000001</v>
      </c>
      <c r="L11" s="67">
        <v>374995.01955000003</v>
      </c>
      <c r="M11" s="67">
        <v>455115.17531000002</v>
      </c>
      <c r="N11" s="98">
        <v>360806.4706</v>
      </c>
      <c r="O11" s="94">
        <f t="shared" si="9"/>
        <v>1.6354406177205092</v>
      </c>
      <c r="P11" s="101">
        <f t="shared" si="10"/>
        <v>1.0067411300715245</v>
      </c>
      <c r="Q11" s="80">
        <f t="shared" si="0"/>
        <v>1.4079092662272827</v>
      </c>
      <c r="R11" s="80">
        <f t="shared" si="1"/>
        <v>1.4849153671560213</v>
      </c>
      <c r="S11" s="103">
        <f t="shared" si="2"/>
        <v>1.2378523444866512</v>
      </c>
      <c r="T11" s="80">
        <f t="shared" si="3"/>
        <v>79.40511999206386</v>
      </c>
      <c r="U11" s="80">
        <f t="shared" si="4"/>
        <v>-28.230449827244218</v>
      </c>
      <c r="V11" s="80">
        <f t="shared" si="5"/>
        <v>55.951204902289355</v>
      </c>
      <c r="W11" s="80">
        <f t="shared" si="6"/>
        <v>21.365658630918738</v>
      </c>
      <c r="X11" s="80">
        <f t="shared" si="7"/>
        <v>-20.721942450229658</v>
      </c>
      <c r="Y11" s="58" t="s">
        <v>45</v>
      </c>
      <c r="Z11" s="59"/>
      <c r="AA11" s="59"/>
      <c r="AB11" s="59"/>
      <c r="AC11" s="59"/>
      <c r="AD11" s="59"/>
      <c r="AE11" s="59"/>
      <c r="AF11" s="59"/>
      <c r="AG11" s="60"/>
      <c r="AH11" s="59"/>
      <c r="AL11" s="13">
        <f>SUM(AL12:AL17)</f>
        <v>29147779.394450299</v>
      </c>
    </row>
    <row r="12" spans="1:39" s="13" customFormat="1" ht="18" x14ac:dyDescent="0.4">
      <c r="A12" s="11" t="s">
        <v>5</v>
      </c>
      <c r="B12" s="12">
        <v>106025.40062</v>
      </c>
      <c r="C12" s="12"/>
      <c r="D12" s="12">
        <v>429205.17752999999</v>
      </c>
      <c r="E12" s="12">
        <v>184523.74211000002</v>
      </c>
      <c r="F12" s="12">
        <v>205801.33356</v>
      </c>
      <c r="G12" s="12">
        <v>206321.26871999999</v>
      </c>
      <c r="H12" s="12">
        <v>134215.62637000001</v>
      </c>
      <c r="I12" s="12">
        <v>127222.53084000001</v>
      </c>
      <c r="J12" s="12">
        <f>222389711.31/1000</f>
        <v>222389.71131000001</v>
      </c>
      <c r="K12" s="67">
        <v>259979.83046</v>
      </c>
      <c r="L12" s="67">
        <v>247282.44167999999</v>
      </c>
      <c r="M12" s="67">
        <v>415653.08711999998</v>
      </c>
      <c r="N12" s="98">
        <v>273174.27286999999</v>
      </c>
      <c r="O12" s="94">
        <f t="shared" si="9"/>
        <v>1.0855577438975172</v>
      </c>
      <c r="P12" s="101">
        <f t="shared" si="10"/>
        <v>1.0884806248457386</v>
      </c>
      <c r="Q12" s="80">
        <f t="shared" si="0"/>
        <v>0.92841563985134168</v>
      </c>
      <c r="R12" s="80">
        <f t="shared" si="1"/>
        <v>1.3561614508896971</v>
      </c>
      <c r="S12" s="103">
        <f t="shared" si="2"/>
        <v>0.93720440645990355</v>
      </c>
      <c r="T12" s="80">
        <f t="shared" si="3"/>
        <v>74.803715852568558</v>
      </c>
      <c r="U12" s="80">
        <f t="shared" si="4"/>
        <v>16.902813951496732</v>
      </c>
      <c r="V12" s="80">
        <f t="shared" si="5"/>
        <v>-4.8839899455021776</v>
      </c>
      <c r="W12" s="80">
        <f t="shared" si="6"/>
        <v>68.088394912358098</v>
      </c>
      <c r="X12" s="80">
        <f t="shared" si="7"/>
        <v>-34.278300502280651</v>
      </c>
      <c r="Y12" s="58" t="s">
        <v>52</v>
      </c>
      <c r="Z12" s="59"/>
      <c r="AA12" s="59"/>
      <c r="AB12" s="59"/>
      <c r="AC12" s="59"/>
      <c r="AD12" s="59"/>
      <c r="AE12" s="59"/>
      <c r="AF12" s="59"/>
      <c r="AG12" s="60"/>
      <c r="AH12" s="59"/>
      <c r="AJ12" s="3" t="s">
        <v>4</v>
      </c>
      <c r="AK12" s="69">
        <f>AL12/AL11*100</f>
        <v>11.06017235681359</v>
      </c>
      <c r="AL12" s="13">
        <f>N8</f>
        <v>3223794.6392099997</v>
      </c>
      <c r="AM12" s="13">
        <f>AL12/AL11*100</f>
        <v>11.06017235681359</v>
      </c>
    </row>
    <row r="13" spans="1:39" s="13" customFormat="1" ht="18" x14ac:dyDescent="0.4">
      <c r="A13" s="11" t="s">
        <v>6</v>
      </c>
      <c r="B13" s="12">
        <v>158553.14367000002</v>
      </c>
      <c r="C13" s="12"/>
      <c r="D13" s="12">
        <v>208078.34687000001</v>
      </c>
      <c r="E13" s="12">
        <v>216659.44318999999</v>
      </c>
      <c r="F13" s="12">
        <v>150619.15311000001</v>
      </c>
      <c r="G13" s="12">
        <v>191459.60828000001</v>
      </c>
      <c r="H13" s="12">
        <v>196518.49884000001</v>
      </c>
      <c r="I13" s="12">
        <v>146634.50446</v>
      </c>
      <c r="J13" s="12">
        <f>163724015.74/1000</f>
        <v>163724.01574</v>
      </c>
      <c r="K13" s="67">
        <v>244245.91387000002</v>
      </c>
      <c r="L13" s="67">
        <v>525415.29803000006</v>
      </c>
      <c r="M13" s="67">
        <v>270801.66201999999</v>
      </c>
      <c r="N13" s="98">
        <v>277462.37716999999</v>
      </c>
      <c r="O13" s="94">
        <f t="shared" si="9"/>
        <v>0.79919107813763368</v>
      </c>
      <c r="P13" s="101">
        <f t="shared" si="10"/>
        <v>1.0226060401487196</v>
      </c>
      <c r="Q13" s="80">
        <f t="shared" si="0"/>
        <v>1.9726583771744559</v>
      </c>
      <c r="R13" s="80">
        <f t="shared" si="1"/>
        <v>0.88355117825062235</v>
      </c>
      <c r="S13" s="103">
        <f t="shared" si="2"/>
        <v>0.95191600504163432</v>
      </c>
      <c r="T13" s="80">
        <f t="shared" si="3"/>
        <v>11.654495197385009</v>
      </c>
      <c r="U13" s="80">
        <f t="shared" si="4"/>
        <v>49.181482488110888</v>
      </c>
      <c r="V13" s="80">
        <f t="shared" si="5"/>
        <v>115.11733388082493</v>
      </c>
      <c r="W13" s="80">
        <f t="shared" si="6"/>
        <v>-48.459501838764922</v>
      </c>
      <c r="X13" s="80">
        <f t="shared" si="7"/>
        <v>2.4596286080061347</v>
      </c>
      <c r="Y13" s="58" t="s">
        <v>42</v>
      </c>
      <c r="Z13" s="59"/>
      <c r="AA13" s="59"/>
      <c r="AB13" s="59"/>
      <c r="AC13" s="59"/>
      <c r="AD13" s="59"/>
      <c r="AE13" s="59"/>
      <c r="AF13" s="59"/>
      <c r="AG13" s="60"/>
      <c r="AH13" s="59"/>
      <c r="AJ13" s="3" t="s">
        <v>13</v>
      </c>
      <c r="AK13" s="69">
        <f>AL13/AL11*100</f>
        <v>62.346564577060867</v>
      </c>
      <c r="AL13" s="13">
        <f>N18</f>
        <v>18172639.102940198</v>
      </c>
      <c r="AM13" s="13">
        <f>AL13/AL11*100</f>
        <v>62.346564577060867</v>
      </c>
    </row>
    <row r="14" spans="1:39" s="13" customFormat="1" ht="18" x14ac:dyDescent="0.4">
      <c r="A14" s="11" t="s">
        <v>9</v>
      </c>
      <c r="B14" s="12">
        <v>32158.30413</v>
      </c>
      <c r="C14" s="12"/>
      <c r="D14" s="12">
        <v>100660.22996</v>
      </c>
      <c r="E14" s="12">
        <v>37362.967770000003</v>
      </c>
      <c r="F14" s="12">
        <v>42668.077960000002</v>
      </c>
      <c r="G14" s="12">
        <v>76458.093740000011</v>
      </c>
      <c r="H14" s="12">
        <v>166075.46039000002</v>
      </c>
      <c r="I14" s="12">
        <v>194611.14475000001</v>
      </c>
      <c r="J14" s="12">
        <f>336609951.1/1000</f>
        <v>336609.95110000001</v>
      </c>
      <c r="K14" s="67">
        <v>67517.055099999998</v>
      </c>
      <c r="L14" s="67">
        <v>90687.673569999999</v>
      </c>
      <c r="M14" s="67">
        <v>71769.403969999999</v>
      </c>
      <c r="N14" s="98">
        <v>73305.095239999995</v>
      </c>
      <c r="O14" s="94">
        <f t="shared" si="9"/>
        <v>1.6431045165583544</v>
      </c>
      <c r="P14" s="101">
        <f t="shared" si="10"/>
        <v>0.28267964554388519</v>
      </c>
      <c r="Q14" s="80">
        <f t="shared" si="0"/>
        <v>0.34048456458172721</v>
      </c>
      <c r="R14" s="80">
        <f t="shared" si="1"/>
        <v>0.23416378233068275</v>
      </c>
      <c r="S14" s="103">
        <f t="shared" si="2"/>
        <v>0.25149461387085009</v>
      </c>
      <c r="T14" s="80">
        <f t="shared" si="3"/>
        <v>72.965403154281589</v>
      </c>
      <c r="U14" s="80">
        <f t="shared" si="4"/>
        <v>-79.942050174285541</v>
      </c>
      <c r="V14" s="80">
        <f t="shared" si="5"/>
        <v>34.318171069045931</v>
      </c>
      <c r="W14" s="80">
        <f t="shared" si="6"/>
        <v>-20.860905187293579</v>
      </c>
      <c r="X14" s="80">
        <f t="shared" si="7"/>
        <v>2.1397575917474847</v>
      </c>
      <c r="Y14" s="58" t="s">
        <v>63</v>
      </c>
      <c r="Z14" s="59"/>
      <c r="AA14" s="59"/>
      <c r="AB14" s="59"/>
      <c r="AC14" s="59"/>
      <c r="AD14" s="59"/>
      <c r="AE14" s="59"/>
      <c r="AF14" s="59"/>
      <c r="AG14" s="60"/>
      <c r="AH14" s="59"/>
      <c r="AJ14" s="3" t="s">
        <v>22</v>
      </c>
      <c r="AK14" s="69">
        <f>AL14/AL11*100</f>
        <v>0.64331228761015635</v>
      </c>
      <c r="AL14" s="13">
        <f>N28</f>
        <v>187511.24640999999</v>
      </c>
      <c r="AM14" s="13">
        <f>AL14/AL11*100</f>
        <v>0.64331228761015635</v>
      </c>
    </row>
    <row r="15" spans="1:39" s="13" customFormat="1" ht="18" x14ac:dyDescent="0.4">
      <c r="A15" s="11" t="s">
        <v>11</v>
      </c>
      <c r="B15" s="12">
        <v>34414.419750000001</v>
      </c>
      <c r="C15" s="12"/>
      <c r="D15" s="12">
        <v>44604.329680000003</v>
      </c>
      <c r="E15" s="12">
        <v>58294.127740000004</v>
      </c>
      <c r="F15" s="12">
        <v>49105.857760000006</v>
      </c>
      <c r="G15" s="12">
        <v>73197.093709999986</v>
      </c>
      <c r="H15" s="12">
        <v>77928.116800000018</v>
      </c>
      <c r="I15" s="12">
        <v>64299.370869999999</v>
      </c>
      <c r="J15" s="12">
        <f>177466597.28/1000</f>
        <v>177466.59727999999</v>
      </c>
      <c r="K15" s="67">
        <v>118200.86898</v>
      </c>
      <c r="L15" s="67">
        <v>105685.85463000002</v>
      </c>
      <c r="M15" s="67">
        <v>118754.73579999999</v>
      </c>
      <c r="N15" s="98">
        <v>123172.79869</v>
      </c>
      <c r="O15" s="94">
        <f t="shared" si="9"/>
        <v>0.86627316446263736</v>
      </c>
      <c r="P15" s="101">
        <f t="shared" si="10"/>
        <v>0.49488206641651367</v>
      </c>
      <c r="Q15" s="80">
        <f t="shared" si="0"/>
        <v>0.39679485402575287</v>
      </c>
      <c r="R15" s="80">
        <f t="shared" si="1"/>
        <v>0.3874639688554869</v>
      </c>
      <c r="S15" s="103">
        <f t="shared" si="2"/>
        <v>0.42258038604975839</v>
      </c>
      <c r="T15" s="80">
        <f t="shared" si="3"/>
        <v>176.00051894566849</v>
      </c>
      <c r="U15" s="80">
        <f t="shared" si="4"/>
        <v>-33.395427200586255</v>
      </c>
      <c r="V15" s="80">
        <f t="shared" si="5"/>
        <v>-10.587920764032258</v>
      </c>
      <c r="W15" s="80">
        <f t="shared" si="6"/>
        <v>12.36578084716575</v>
      </c>
      <c r="X15" s="80">
        <f t="shared" si="7"/>
        <v>3.7203256444784256</v>
      </c>
      <c r="Y15" s="57" t="s">
        <v>62</v>
      </c>
      <c r="Z15" s="59"/>
      <c r="AA15" s="59"/>
      <c r="AB15" s="59"/>
      <c r="AC15" s="59"/>
      <c r="AD15" s="59"/>
      <c r="AE15" s="59"/>
      <c r="AF15" s="59"/>
      <c r="AG15" s="60"/>
      <c r="AH15" s="59"/>
      <c r="AJ15" s="3" t="s">
        <v>24</v>
      </c>
      <c r="AK15" s="69">
        <f>AL15/AL11*100</f>
        <v>3.6726361984330791</v>
      </c>
      <c r="AL15" s="13">
        <f>N33</f>
        <v>1070491.8970799998</v>
      </c>
      <c r="AM15" s="13">
        <f>AL15/AL11*100</f>
        <v>3.6726361984330791</v>
      </c>
    </row>
    <row r="16" spans="1:39" s="13" customFormat="1" ht="18" x14ac:dyDescent="0.4">
      <c r="A16" s="11" t="s">
        <v>10</v>
      </c>
      <c r="B16" s="12">
        <v>32108.451100000002</v>
      </c>
      <c r="C16" s="12"/>
      <c r="D16" s="12">
        <v>60778.957690000003</v>
      </c>
      <c r="E16" s="12">
        <v>65929.243369999997</v>
      </c>
      <c r="F16" s="12">
        <v>77543.677979999993</v>
      </c>
      <c r="G16" s="12">
        <v>55937.214909999995</v>
      </c>
      <c r="H16" s="12">
        <v>62311.574630000003</v>
      </c>
      <c r="I16" s="12">
        <v>42785.74422</v>
      </c>
      <c r="J16" s="12">
        <f>43474775.69/1000</f>
        <v>43474.775689999995</v>
      </c>
      <c r="K16" s="67">
        <v>26341.798910000001</v>
      </c>
      <c r="L16" s="67">
        <v>30693.213379999997</v>
      </c>
      <c r="M16" s="67">
        <v>57184.735710000001</v>
      </c>
      <c r="N16" s="98">
        <v>40071.536820000001</v>
      </c>
      <c r="O16" s="94">
        <f t="shared" si="9"/>
        <v>0.21221476090996153</v>
      </c>
      <c r="P16" s="101">
        <f t="shared" si="10"/>
        <v>0.1102875468700219</v>
      </c>
      <c r="Q16" s="80">
        <f t="shared" si="0"/>
        <v>0.11523688922548841</v>
      </c>
      <c r="R16" s="80">
        <f t="shared" si="1"/>
        <v>0.18657802997822584</v>
      </c>
      <c r="S16" s="103">
        <f t="shared" si="2"/>
        <v>0.13747715144169637</v>
      </c>
      <c r="T16" s="80">
        <f t="shared" si="3"/>
        <v>1.6104230101901786</v>
      </c>
      <c r="U16" s="80">
        <f t="shared" si="4"/>
        <v>-39.409005585601896</v>
      </c>
      <c r="V16" s="80">
        <f t="shared" si="5"/>
        <v>16.519048242935643</v>
      </c>
      <c r="W16" s="80">
        <f t="shared" si="6"/>
        <v>86.310683739820291</v>
      </c>
      <c r="X16" s="80">
        <f t="shared" si="7"/>
        <v>-29.926165920895187</v>
      </c>
      <c r="Y16" s="57" t="s">
        <v>61</v>
      </c>
      <c r="Z16" s="59"/>
      <c r="AA16" s="59"/>
      <c r="AB16" s="59"/>
      <c r="AC16" s="59"/>
      <c r="AD16" s="59"/>
      <c r="AE16" s="59"/>
      <c r="AF16" s="59"/>
      <c r="AG16" s="60"/>
      <c r="AH16" s="59"/>
      <c r="AJ16" s="3" t="s">
        <v>27</v>
      </c>
      <c r="AK16" s="69">
        <f>AL16/AL11*100</f>
        <v>19.434230225711953</v>
      </c>
      <c r="AL16" s="13">
        <f>N39</f>
        <v>5664646.5532001005</v>
      </c>
      <c r="AM16" s="13">
        <f>AL16/AL11*100</f>
        <v>19.434230225711953</v>
      </c>
    </row>
    <row r="17" spans="1:42" s="13" customFormat="1" ht="18" x14ac:dyDescent="0.4">
      <c r="A17" s="11" t="s">
        <v>12</v>
      </c>
      <c r="B17" s="12">
        <v>62417.939010000002</v>
      </c>
      <c r="C17" s="12"/>
      <c r="D17" s="12">
        <v>104473.50550999999</v>
      </c>
      <c r="E17" s="12">
        <v>88861.876140000008</v>
      </c>
      <c r="F17" s="12">
        <v>153636</v>
      </c>
      <c r="G17" s="12">
        <v>144900</v>
      </c>
      <c r="H17" s="12">
        <v>146193.50107000023</v>
      </c>
      <c r="I17" s="12">
        <v>139521.04149</v>
      </c>
      <c r="J17" s="12">
        <f>161700273/1000</f>
        <v>161700.27299999999</v>
      </c>
      <c r="K17" s="67">
        <v>253334.05133999998</v>
      </c>
      <c r="L17" s="67">
        <v>827211.89588999981</v>
      </c>
      <c r="M17" s="67">
        <v>609930.98150000069</v>
      </c>
      <c r="N17" s="98">
        <v>1248988.60158</v>
      </c>
      <c r="O17" s="94">
        <f t="shared" si="9"/>
        <v>0.78931252040165523</v>
      </c>
      <c r="P17" s="101">
        <f t="shared" si="10"/>
        <v>1.0606561517074757</v>
      </c>
      <c r="Q17" s="80">
        <f t="shared" si="0"/>
        <v>3.1057460303194286</v>
      </c>
      <c r="R17" s="80">
        <f t="shared" si="1"/>
        <v>1.9900366686674302</v>
      </c>
      <c r="S17" s="103">
        <f t="shared" si="2"/>
        <v>4.2850214579907444</v>
      </c>
      <c r="T17" s="80">
        <f t="shared" si="3"/>
        <v>15.896692909642343</v>
      </c>
      <c r="U17" s="80">
        <f t="shared" si="4"/>
        <v>56.668907627632755</v>
      </c>
      <c r="V17" s="80">
        <f t="shared" si="5"/>
        <v>226.53008607192623</v>
      </c>
      <c r="W17" s="80">
        <f t="shared" si="6"/>
        <v>-26.266657366698759</v>
      </c>
      <c r="X17" s="80">
        <f t="shared" si="7"/>
        <v>104.77539909652853</v>
      </c>
      <c r="Y17" s="58" t="s">
        <v>64</v>
      </c>
      <c r="Z17" s="59"/>
      <c r="AA17" s="59"/>
      <c r="AB17" s="59"/>
      <c r="AC17" s="59"/>
      <c r="AD17" s="59"/>
      <c r="AE17" s="59"/>
      <c r="AF17" s="59"/>
      <c r="AG17" s="60"/>
      <c r="AH17" s="59"/>
      <c r="AJ17" s="3" t="s">
        <v>30</v>
      </c>
      <c r="AK17" s="69">
        <f>AL17/AL11*100</f>
        <v>2.8430843543703461</v>
      </c>
      <c r="AL17" s="13">
        <f>N44</f>
        <v>828695.95561000006</v>
      </c>
      <c r="AM17" s="13">
        <f>AL17/AL11*100</f>
        <v>2.8430843543703461</v>
      </c>
    </row>
    <row r="18" spans="1:42" s="10" customFormat="1" ht="17.25" x14ac:dyDescent="0.4">
      <c r="A18" s="8" t="s">
        <v>13</v>
      </c>
      <c r="B18" s="15">
        <v>4789979.6218900001</v>
      </c>
      <c r="C18" s="15"/>
      <c r="D18" s="15">
        <v>5778714.4967500009</v>
      </c>
      <c r="E18" s="15">
        <v>7284404.1557199992</v>
      </c>
      <c r="F18" s="15">
        <v>8781740.9746300019</v>
      </c>
      <c r="G18" s="15">
        <v>10278304.038429998</v>
      </c>
      <c r="H18" s="81">
        <v>7386809.2728600018</v>
      </c>
      <c r="I18" s="81">
        <f t="shared" ref="I18:N18" si="11">SUM(I19:I27)</f>
        <v>7806511.88607</v>
      </c>
      <c r="J18" s="81">
        <f t="shared" si="11"/>
        <v>11814906.077949997</v>
      </c>
      <c r="K18" s="81">
        <f t="shared" si="11"/>
        <v>12533310.363019899</v>
      </c>
      <c r="L18" s="2">
        <f t="shared" si="11"/>
        <v>13437499.188479898</v>
      </c>
      <c r="M18" s="2">
        <f t="shared" si="11"/>
        <v>16672164.337829998</v>
      </c>
      <c r="N18" s="2">
        <f t="shared" si="11"/>
        <v>18172639.102940198</v>
      </c>
      <c r="O18" s="93">
        <f t="shared" si="9"/>
        <v>57.672464750232976</v>
      </c>
      <c r="P18" s="92">
        <f t="shared" si="10"/>
        <v>52.474322608747315</v>
      </c>
      <c r="Q18" s="74">
        <f t="shared" si="0"/>
        <v>50.450749039507983</v>
      </c>
      <c r="R18" s="74">
        <f t="shared" si="1"/>
        <v>54.396676648128441</v>
      </c>
      <c r="S18" s="69">
        <f t="shared" si="2"/>
        <v>62.346564577060867</v>
      </c>
      <c r="T18" s="74">
        <f t="shared" si="3"/>
        <v>51.346801880012592</v>
      </c>
      <c r="U18" s="74">
        <f t="shared" si="4"/>
        <v>6.0804908674699485</v>
      </c>
      <c r="V18" s="74">
        <f t="shared" si="5"/>
        <v>7.2142857654578645</v>
      </c>
      <c r="W18" s="74">
        <f t="shared" si="6"/>
        <v>24.071928146594495</v>
      </c>
      <c r="X18" s="74">
        <f t="shared" si="7"/>
        <v>8.9998798878532273</v>
      </c>
      <c r="Y18" s="56" t="s">
        <v>65</v>
      </c>
      <c r="Z18" s="63"/>
      <c r="AA18" s="63"/>
      <c r="AB18" s="63"/>
      <c r="AC18" s="63"/>
      <c r="AD18" s="63"/>
      <c r="AE18" s="63"/>
      <c r="AF18" s="63"/>
      <c r="AG18" s="64"/>
      <c r="AH18" s="63"/>
    </row>
    <row r="19" spans="1:42" s="13" customFormat="1" ht="18" x14ac:dyDescent="0.4">
      <c r="A19" s="11" t="s">
        <v>14</v>
      </c>
      <c r="B19" s="12">
        <v>2058825.3031799998</v>
      </c>
      <c r="C19" s="12"/>
      <c r="D19" s="12">
        <v>2300753.0155500001</v>
      </c>
      <c r="E19" s="12">
        <v>2831152.5099499999</v>
      </c>
      <c r="F19" s="12">
        <v>3162178.6187600004</v>
      </c>
      <c r="G19" s="12">
        <v>3783295.9766099998</v>
      </c>
      <c r="H19" s="12">
        <v>2648934.0382600003</v>
      </c>
      <c r="I19" s="12">
        <v>2511896.74804</v>
      </c>
      <c r="J19" s="12">
        <f>4419220096.15/1000</f>
        <v>4419220.0961499996</v>
      </c>
      <c r="K19" s="67">
        <v>4335055.8927199002</v>
      </c>
      <c r="L19" s="67">
        <v>4317731.6091099996</v>
      </c>
      <c r="M19" s="67">
        <v>5375629.1245200001</v>
      </c>
      <c r="N19" s="98">
        <v>4997145.7407799</v>
      </c>
      <c r="O19" s="94">
        <f t="shared" si="9"/>
        <v>21.571675097306741</v>
      </c>
      <c r="P19" s="101">
        <f t="shared" si="10"/>
        <v>18.149963166373233</v>
      </c>
      <c r="Q19" s="80">
        <f t="shared" si="0"/>
        <v>16.210813543185907</v>
      </c>
      <c r="R19" s="80">
        <f t="shared" si="1"/>
        <v>17.539196072058168</v>
      </c>
      <c r="S19" s="103">
        <f t="shared" si="2"/>
        <v>17.14417305399035</v>
      </c>
      <c r="T19" s="80">
        <f t="shared" si="3"/>
        <v>75.93159828716125</v>
      </c>
      <c r="U19" s="80">
        <f t="shared" si="4"/>
        <v>-1.9045035458501558</v>
      </c>
      <c r="V19" s="80">
        <f t="shared" si="5"/>
        <v>-0.39963230091206559</v>
      </c>
      <c r="W19" s="80">
        <f t="shared" si="6"/>
        <v>24.501233776966085</v>
      </c>
      <c r="X19" s="80">
        <f t="shared" si="7"/>
        <v>-7.0407272334639632</v>
      </c>
      <c r="Y19" s="58" t="s">
        <v>49</v>
      </c>
      <c r="Z19" s="59"/>
      <c r="AA19" s="59"/>
      <c r="AB19" s="59"/>
      <c r="AC19" s="59"/>
      <c r="AD19" s="59"/>
      <c r="AE19" s="59"/>
      <c r="AF19" s="59"/>
      <c r="AG19" s="60"/>
      <c r="AH19" s="59"/>
      <c r="AI19" s="45"/>
      <c r="AJ19" s="46"/>
      <c r="AK19" s="46"/>
      <c r="AL19" s="46"/>
      <c r="AM19" s="46"/>
      <c r="AN19" s="39"/>
      <c r="AO19" s="39"/>
    </row>
    <row r="20" spans="1:42" s="17" customFormat="1" ht="18" x14ac:dyDescent="0.4">
      <c r="A20" s="11" t="s">
        <v>15</v>
      </c>
      <c r="B20" s="16">
        <v>611124.35650999995</v>
      </c>
      <c r="C20" s="12"/>
      <c r="D20" s="12">
        <v>1073465.95633</v>
      </c>
      <c r="E20" s="12">
        <v>1118267.45083</v>
      </c>
      <c r="F20" s="12">
        <v>1611406.2819400001</v>
      </c>
      <c r="G20" s="12">
        <v>1850507.2654899997</v>
      </c>
      <c r="H20" s="12">
        <v>1497094.1271800001</v>
      </c>
      <c r="I20" s="12">
        <v>1613259.4594099999</v>
      </c>
      <c r="J20" s="12">
        <f>2068717049.52/1000</f>
        <v>2068717.0495199999</v>
      </c>
      <c r="K20" s="67">
        <v>2269211.11155</v>
      </c>
      <c r="L20" s="67">
        <v>2366975.3489699997</v>
      </c>
      <c r="M20" s="67">
        <v>2623537.3411599998</v>
      </c>
      <c r="N20" s="98">
        <v>3482072.7142502</v>
      </c>
      <c r="O20" s="94">
        <f t="shared" si="9"/>
        <v>10.09809221753452</v>
      </c>
      <c r="P20" s="101">
        <f t="shared" si="10"/>
        <v>9.5007075134886882</v>
      </c>
      <c r="Q20" s="80">
        <f t="shared" si="0"/>
        <v>8.886748764678142</v>
      </c>
      <c r="R20" s="80">
        <f t="shared" si="1"/>
        <v>8.5598791812260941</v>
      </c>
      <c r="S20" s="103">
        <f t="shared" si="2"/>
        <v>11.946270990760903</v>
      </c>
      <c r="T20" s="80">
        <f t="shared" si="3"/>
        <v>28.232135100981807</v>
      </c>
      <c r="U20" s="80">
        <f t="shared" si="4"/>
        <v>9.6917102354099303</v>
      </c>
      <c r="V20" s="80">
        <f t="shared" si="5"/>
        <v>4.3082918518419007</v>
      </c>
      <c r="W20" s="80">
        <f t="shared" si="6"/>
        <v>10.839233805356033</v>
      </c>
      <c r="X20" s="80">
        <f t="shared" si="7"/>
        <v>32.724343565493058</v>
      </c>
      <c r="Y20" s="58" t="s">
        <v>43</v>
      </c>
      <c r="Z20" s="59"/>
      <c r="AA20" s="59"/>
      <c r="AB20" s="59"/>
      <c r="AC20" s="59"/>
      <c r="AD20" s="59"/>
      <c r="AE20" s="59"/>
      <c r="AF20" s="59"/>
      <c r="AG20" s="60"/>
      <c r="AH20" s="59"/>
      <c r="AI20" s="45"/>
      <c r="AJ20" s="46"/>
      <c r="AK20" s="46"/>
      <c r="AL20" s="46"/>
      <c r="AM20" s="46"/>
      <c r="AN20" s="39"/>
      <c r="AO20" s="39"/>
    </row>
    <row r="21" spans="1:42" s="13" customFormat="1" ht="18" x14ac:dyDescent="0.4">
      <c r="A21" s="11" t="s">
        <v>16</v>
      </c>
      <c r="B21" s="16">
        <v>462974.66237999999</v>
      </c>
      <c r="C21" s="12"/>
      <c r="D21" s="12">
        <v>684025.03361000004</v>
      </c>
      <c r="E21" s="12">
        <v>780107.42845000001</v>
      </c>
      <c r="F21" s="12">
        <v>1195494.4154999999</v>
      </c>
      <c r="G21" s="12">
        <v>1361258.0506</v>
      </c>
      <c r="H21" s="12">
        <v>811071.45733</v>
      </c>
      <c r="I21" s="12">
        <v>999246.03966999997</v>
      </c>
      <c r="J21" s="12">
        <f>1105545109.72/1000</f>
        <v>1105545.1097200001</v>
      </c>
      <c r="K21" s="67">
        <v>1311909.1848499998</v>
      </c>
      <c r="L21" s="67">
        <v>1309799.2884</v>
      </c>
      <c r="M21" s="67">
        <v>2232381.2488099998</v>
      </c>
      <c r="N21" s="98">
        <v>2181170.3399899998</v>
      </c>
      <c r="O21" s="94">
        <f t="shared" si="9"/>
        <v>5.3965313773515886</v>
      </c>
      <c r="P21" s="101">
        <f t="shared" si="10"/>
        <v>5.4926865931859243</v>
      </c>
      <c r="Q21" s="80">
        <f t="shared" si="0"/>
        <v>4.9176081251670611</v>
      </c>
      <c r="R21" s="80">
        <f t="shared" si="1"/>
        <v>7.2836446718151908</v>
      </c>
      <c r="S21" s="103">
        <f t="shared" si="2"/>
        <v>7.4831441204241163</v>
      </c>
      <c r="T21" s="80">
        <f t="shared" si="3"/>
        <v>10.637927580389036</v>
      </c>
      <c r="U21" s="80">
        <f t="shared" si="4"/>
        <v>18.666273616122758</v>
      </c>
      <c r="V21" s="80">
        <f t="shared" si="5"/>
        <v>-0.1608264104226943</v>
      </c>
      <c r="W21" s="80">
        <f t="shared" si="6"/>
        <v>70.436895834398427</v>
      </c>
      <c r="X21" s="80">
        <f t="shared" si="7"/>
        <v>-2.2940037167620297</v>
      </c>
      <c r="Y21" s="58" t="s">
        <v>47</v>
      </c>
      <c r="Z21" s="59"/>
      <c r="AA21" s="59"/>
      <c r="AB21" s="59"/>
      <c r="AC21" s="59"/>
      <c r="AD21" s="59"/>
      <c r="AE21" s="59"/>
      <c r="AF21" s="59"/>
      <c r="AG21" s="60"/>
      <c r="AH21" s="59"/>
      <c r="AI21" s="39"/>
      <c r="AJ21" s="46"/>
      <c r="AK21" s="46"/>
      <c r="AL21" s="46"/>
      <c r="AM21" s="46"/>
      <c r="AN21" s="39"/>
      <c r="AO21" s="39"/>
    </row>
    <row r="22" spans="1:42" s="13" customFormat="1" ht="18" x14ac:dyDescent="0.4">
      <c r="A22" s="11" t="s">
        <v>17</v>
      </c>
      <c r="B22" s="16">
        <v>828019.09823</v>
      </c>
      <c r="C22" s="12"/>
      <c r="D22" s="12">
        <v>544967.99820999999</v>
      </c>
      <c r="E22" s="12">
        <v>722190.97115999996</v>
      </c>
      <c r="F22" s="12">
        <v>972379.11656000011</v>
      </c>
      <c r="G22" s="12">
        <v>1042350.1825699999</v>
      </c>
      <c r="H22" s="12">
        <v>804389.65598000004</v>
      </c>
      <c r="I22" s="12">
        <v>815444.16940000001</v>
      </c>
      <c r="J22" s="12">
        <f>1145274148.14/1000</f>
        <v>1145274.1481400002</v>
      </c>
      <c r="K22" s="67">
        <v>1402967.4448800001</v>
      </c>
      <c r="L22" s="67">
        <v>1564274.6302199</v>
      </c>
      <c r="M22" s="67">
        <v>1993034.0143299999</v>
      </c>
      <c r="N22" s="98">
        <v>2048074.2560099999</v>
      </c>
      <c r="O22" s="94">
        <f t="shared" si="9"/>
        <v>5.5904619556161315</v>
      </c>
      <c r="P22" s="101">
        <f t="shared" si="10"/>
        <v>5.8739282902800758</v>
      </c>
      <c r="Q22" s="80">
        <f t="shared" si="0"/>
        <v>5.8730293257060229</v>
      </c>
      <c r="R22" s="80">
        <f t="shared" si="1"/>
        <v>6.5027206203955457</v>
      </c>
      <c r="S22" s="103">
        <f t="shared" si="2"/>
        <v>7.0265189958173995</v>
      </c>
      <c r="T22" s="80">
        <f t="shared" si="3"/>
        <v>40.447892218382961</v>
      </c>
      <c r="U22" s="80">
        <f t="shared" si="4"/>
        <v>22.500577452002265</v>
      </c>
      <c r="V22" s="80">
        <f t="shared" si="5"/>
        <v>11.497571517327478</v>
      </c>
      <c r="W22" s="80">
        <f t="shared" si="6"/>
        <v>27.40946991193141</v>
      </c>
      <c r="X22" s="80">
        <f t="shared" si="7"/>
        <v>2.7616308243742096</v>
      </c>
      <c r="Y22" s="58" t="s">
        <v>50</v>
      </c>
      <c r="Z22" s="59"/>
      <c r="AA22" s="59"/>
      <c r="AB22" s="59"/>
      <c r="AC22" s="59"/>
      <c r="AD22" s="59"/>
      <c r="AE22" s="59"/>
      <c r="AF22" s="59"/>
      <c r="AG22" s="60"/>
      <c r="AH22" s="59"/>
      <c r="AI22" s="65"/>
      <c r="AJ22" s="39"/>
      <c r="AK22" s="39"/>
      <c r="AL22" s="39"/>
      <c r="AM22" s="39"/>
      <c r="AN22" s="39"/>
      <c r="AO22" s="39"/>
    </row>
    <row r="23" spans="1:42" s="17" customFormat="1" ht="18" x14ac:dyDescent="0.4">
      <c r="A23" s="11" t="s">
        <v>18</v>
      </c>
      <c r="B23" s="16">
        <v>305770.06088</v>
      </c>
      <c r="C23" s="12"/>
      <c r="D23" s="12">
        <v>364776.14912000002</v>
      </c>
      <c r="E23" s="12">
        <v>717375.03451999999</v>
      </c>
      <c r="F23" s="12">
        <v>678575.26829000004</v>
      </c>
      <c r="G23" s="12">
        <v>767992.82328000013</v>
      </c>
      <c r="H23" s="12">
        <v>620279.23992999992</v>
      </c>
      <c r="I23" s="12">
        <v>736315.07332000008</v>
      </c>
      <c r="J23" s="12">
        <f>861427418.79/1000</f>
        <v>861427.41878999991</v>
      </c>
      <c r="K23" s="67">
        <v>1142622.12252</v>
      </c>
      <c r="L23" s="67">
        <v>1321005.9100299999</v>
      </c>
      <c r="M23" s="67">
        <v>1347402.01321</v>
      </c>
      <c r="N23" s="98">
        <v>1399326.5378301002</v>
      </c>
      <c r="O23" s="94">
        <f t="shared" si="9"/>
        <v>4.2049121776574063</v>
      </c>
      <c r="P23" s="101">
        <f t="shared" si="10"/>
        <v>4.7839174280655987</v>
      </c>
      <c r="Q23" s="80">
        <f t="shared" si="0"/>
        <v>4.9596831011358455</v>
      </c>
      <c r="R23" s="80">
        <f t="shared" si="1"/>
        <v>4.3962013654887837</v>
      </c>
      <c r="S23" s="103">
        <f t="shared" si="2"/>
        <v>4.8007998101444747</v>
      </c>
      <c r="T23" s="80">
        <f t="shared" si="3"/>
        <v>16.991686032702798</v>
      </c>
      <c r="U23" s="80">
        <f t="shared" si="4"/>
        <v>32.642878273479951</v>
      </c>
      <c r="V23" s="80">
        <f t="shared" si="5"/>
        <v>15.611791859637968</v>
      </c>
      <c r="W23" s="80">
        <f t="shared" si="6"/>
        <v>1.9981820656200275</v>
      </c>
      <c r="X23" s="80">
        <f t="shared" si="7"/>
        <v>3.8536772330031712</v>
      </c>
      <c r="Y23" s="58" t="s">
        <v>51</v>
      </c>
      <c r="Z23" s="59"/>
      <c r="AA23" s="59"/>
      <c r="AB23" s="59"/>
      <c r="AC23" s="59"/>
      <c r="AD23" s="59"/>
      <c r="AE23" s="59"/>
      <c r="AF23" s="59"/>
      <c r="AG23" s="60"/>
      <c r="AH23" s="59"/>
      <c r="AI23" s="39"/>
      <c r="AJ23" s="39">
        <v>2009</v>
      </c>
      <c r="AK23" s="39">
        <v>2010</v>
      </c>
      <c r="AL23" s="39">
        <v>2011</v>
      </c>
      <c r="AM23" s="39">
        <v>2012</v>
      </c>
      <c r="AN23" s="39">
        <v>2013</v>
      </c>
      <c r="AO23" s="17">
        <v>2014</v>
      </c>
      <c r="AP23" s="17">
        <v>2015</v>
      </c>
    </row>
    <row r="24" spans="1:42" s="17" customFormat="1" ht="18" x14ac:dyDescent="0.4">
      <c r="A24" s="11" t="s">
        <v>20</v>
      </c>
      <c r="B24" s="16">
        <v>36981.119650000001</v>
      </c>
      <c r="C24" s="12"/>
      <c r="D24" s="12">
        <v>204905.12078</v>
      </c>
      <c r="E24" s="12">
        <v>223983.35793999999</v>
      </c>
      <c r="F24" s="12">
        <v>313059.43513</v>
      </c>
      <c r="G24" s="12">
        <v>374564.62523999996</v>
      </c>
      <c r="H24" s="12">
        <v>328236.84181000001</v>
      </c>
      <c r="I24" s="12">
        <v>404144.07727000001</v>
      </c>
      <c r="J24" s="12">
        <f>1063036566.25/1000</f>
        <v>1063036.5662499999</v>
      </c>
      <c r="K24" s="67">
        <v>1052606.23284</v>
      </c>
      <c r="L24" s="67">
        <v>1252701.1725000001</v>
      </c>
      <c r="M24" s="67">
        <v>1616226.8933599999</v>
      </c>
      <c r="N24" s="98">
        <v>2264027.6578699998</v>
      </c>
      <c r="O24" s="94">
        <f t="shared" si="9"/>
        <v>5.1890331155217577</v>
      </c>
      <c r="P24" s="101">
        <f t="shared" si="10"/>
        <v>4.4070399154079141</v>
      </c>
      <c r="Q24" s="80">
        <f t="shared" si="0"/>
        <v>4.703234700804793</v>
      </c>
      <c r="R24" s="80">
        <f t="shared" si="1"/>
        <v>5.2733028493861491</v>
      </c>
      <c r="S24" s="103">
        <f t="shared" si="2"/>
        <v>7.767410433678072</v>
      </c>
      <c r="T24" s="80">
        <f t="shared" si="3"/>
        <v>163.03405791093851</v>
      </c>
      <c r="U24" s="80">
        <f t="shared" si="4"/>
        <v>-0.98118293774167376</v>
      </c>
      <c r="V24" s="80">
        <f t="shared" si="5"/>
        <v>19.009476993132658</v>
      </c>
      <c r="W24" s="80">
        <f t="shared" si="6"/>
        <v>29.019348655554943</v>
      </c>
      <c r="X24" s="80">
        <f t="shared" si="7"/>
        <v>40.081053419627025</v>
      </c>
      <c r="Y24" s="58" t="s">
        <v>41</v>
      </c>
      <c r="Z24" s="59"/>
      <c r="AA24" s="59"/>
      <c r="AB24" s="59"/>
      <c r="AC24" s="59"/>
      <c r="AD24" s="59"/>
      <c r="AE24" s="59"/>
      <c r="AF24" s="59"/>
      <c r="AG24" s="60"/>
      <c r="AH24" s="59"/>
      <c r="AI24" s="39" t="s">
        <v>79</v>
      </c>
      <c r="AJ24" s="71">
        <v>12368528.392270003</v>
      </c>
      <c r="AK24" s="71">
        <v>14017488.443949997</v>
      </c>
      <c r="AL24" s="71">
        <v>20486216.653159894</v>
      </c>
      <c r="AM24" s="71">
        <v>23884653.941069901</v>
      </c>
      <c r="AN24" s="89">
        <f>L7</f>
        <v>26634885.396759901</v>
      </c>
      <c r="AO24" s="89">
        <f>M7</f>
        <v>30649233.308269795</v>
      </c>
      <c r="AP24" s="89">
        <f>N7</f>
        <v>29147779.394450299</v>
      </c>
    </row>
    <row r="25" spans="1:42" s="17" customFormat="1" ht="18" x14ac:dyDescent="0.4">
      <c r="A25" s="11" t="s">
        <v>19</v>
      </c>
      <c r="B25" s="16">
        <v>158736.20536000002</v>
      </c>
      <c r="C25" s="12"/>
      <c r="D25" s="12">
        <v>232368.09434000001</v>
      </c>
      <c r="E25" s="12">
        <v>240112.05981999999</v>
      </c>
      <c r="F25" s="12">
        <v>332785.44084000005</v>
      </c>
      <c r="G25" s="12">
        <v>369617.76980000001</v>
      </c>
      <c r="H25" s="12">
        <v>246471.08593999999</v>
      </c>
      <c r="I25" s="12">
        <v>268007.48823000002</v>
      </c>
      <c r="J25" s="12">
        <f>286543119.04/1000</f>
        <v>286543.11904000002</v>
      </c>
      <c r="K25" s="67">
        <v>389872.24851999996</v>
      </c>
      <c r="L25" s="67">
        <v>397080.27665000001</v>
      </c>
      <c r="M25" s="67">
        <v>521709.52812000003</v>
      </c>
      <c r="N25" s="98">
        <v>559111.29359000002</v>
      </c>
      <c r="O25" s="94">
        <f t="shared" si="9"/>
        <v>1.3987117479586071</v>
      </c>
      <c r="P25" s="101">
        <f t="shared" si="10"/>
        <v>1.6323127372158015</v>
      </c>
      <c r="Q25" s="80">
        <f t="shared" si="0"/>
        <v>1.4908278024665513</v>
      </c>
      <c r="R25" s="80">
        <f t="shared" si="1"/>
        <v>1.7021943840247122</v>
      </c>
      <c r="S25" s="103">
        <f t="shared" si="2"/>
        <v>1.9181951599937459</v>
      </c>
      <c r="T25" s="80">
        <f t="shared" si="3"/>
        <v>6.9160869095168724</v>
      </c>
      <c r="U25" s="80">
        <f t="shared" si="4"/>
        <v>36.06058656239297</v>
      </c>
      <c r="V25" s="80">
        <f t="shared" si="5"/>
        <v>1.8488179544357304</v>
      </c>
      <c r="W25" s="80">
        <f t="shared" si="6"/>
        <v>31.386411967233631</v>
      </c>
      <c r="X25" s="80">
        <f t="shared" si="7"/>
        <v>7.1690784726088213</v>
      </c>
      <c r="Y25" s="58" t="s">
        <v>44</v>
      </c>
      <c r="Z25" s="59"/>
      <c r="AA25" s="59"/>
      <c r="AB25" s="59"/>
      <c r="AC25" s="59"/>
      <c r="AD25" s="59"/>
      <c r="AE25" s="59"/>
      <c r="AF25" s="59"/>
      <c r="AG25" s="60"/>
      <c r="AH25" s="59"/>
      <c r="AI25" s="39" t="s">
        <v>80</v>
      </c>
      <c r="AJ25" s="72">
        <v>-30.357833956150195</v>
      </c>
      <c r="AK25" s="72">
        <v>13.33190173788622</v>
      </c>
      <c r="AL25" s="72">
        <v>46.14755514210411</v>
      </c>
      <c r="AM25" s="72">
        <v>16.588896551505599</v>
      </c>
      <c r="AN25" s="89">
        <f>V7</f>
        <v>11.51463807043463</v>
      </c>
      <c r="AO25" s="89">
        <f>W7</f>
        <v>15.071767164420516</v>
      </c>
      <c r="AP25" s="89">
        <f>X7</f>
        <v>-4.8988302536571844</v>
      </c>
    </row>
    <row r="26" spans="1:42" s="17" customFormat="1" ht="18" x14ac:dyDescent="0.4">
      <c r="A26" s="11" t="s">
        <v>21</v>
      </c>
      <c r="B26" s="16">
        <v>132527.81570000001</v>
      </c>
      <c r="C26" s="12"/>
      <c r="D26" s="12">
        <v>171266.11396000002</v>
      </c>
      <c r="E26" s="12">
        <v>419575.63894999999</v>
      </c>
      <c r="F26" s="12">
        <v>264587.25998000003</v>
      </c>
      <c r="G26" s="12">
        <v>331026.82459000003</v>
      </c>
      <c r="H26" s="12">
        <v>162167.47761999999</v>
      </c>
      <c r="I26" s="12">
        <v>131118.73741</v>
      </c>
      <c r="J26" s="12">
        <f>477298382.34/1000</f>
        <v>477298.38233999995</v>
      </c>
      <c r="K26" s="67">
        <v>172531.87412999998</v>
      </c>
      <c r="L26" s="67">
        <v>213850.14776999998</v>
      </c>
      <c r="M26" s="67">
        <v>245570.35765000002</v>
      </c>
      <c r="N26" s="98">
        <v>259534.94605</v>
      </c>
      <c r="O26" s="94">
        <f t="shared" si="9"/>
        <v>2.3298512869450647</v>
      </c>
      <c r="P26" s="101">
        <f t="shared" si="10"/>
        <v>0.7223545066036301</v>
      </c>
      <c r="Q26" s="80">
        <f t="shared" si="0"/>
        <v>0.80289494242019366</v>
      </c>
      <c r="R26" s="80">
        <f t="shared" si="1"/>
        <v>0.80122838695524579</v>
      </c>
      <c r="S26" s="103">
        <f t="shared" si="2"/>
        <v>0.89041069831691921</v>
      </c>
      <c r="T26" s="80">
        <f t="shared" si="3"/>
        <v>264.01996523770521</v>
      </c>
      <c r="U26" s="80">
        <f t="shared" si="4"/>
        <v>-63.852407526682512</v>
      </c>
      <c r="V26" s="80">
        <f t="shared" si="5"/>
        <v>23.94819731040964</v>
      </c>
      <c r="W26" s="80">
        <f t="shared" si="6"/>
        <v>14.832914641759212</v>
      </c>
      <c r="X26" s="80">
        <f t="shared" si="7"/>
        <v>5.6865936644939268</v>
      </c>
      <c r="Y26" s="58" t="s">
        <v>46</v>
      </c>
      <c r="Z26" s="59"/>
      <c r="AA26" s="59"/>
      <c r="AB26" s="59"/>
      <c r="AC26" s="59"/>
      <c r="AD26" s="59"/>
      <c r="AE26" s="59"/>
      <c r="AF26" s="59"/>
      <c r="AG26" s="60"/>
      <c r="AH26" s="59"/>
      <c r="AI26" s="39"/>
      <c r="AJ26" s="39"/>
      <c r="AK26" s="39"/>
      <c r="AL26" s="39"/>
      <c r="AM26" s="39"/>
      <c r="AN26" s="39"/>
      <c r="AO26" s="39"/>
    </row>
    <row r="27" spans="1:42" s="17" customFormat="1" ht="18" x14ac:dyDescent="0.4">
      <c r="A27" s="11" t="s">
        <v>12</v>
      </c>
      <c r="B27" s="16">
        <v>195021</v>
      </c>
      <c r="C27" s="12"/>
      <c r="D27" s="12">
        <v>202187.01485000001</v>
      </c>
      <c r="E27" s="12">
        <v>231639.7041</v>
      </c>
      <c r="F27" s="12">
        <v>251275.13762999998</v>
      </c>
      <c r="G27" s="12">
        <v>397690.52025000006</v>
      </c>
      <c r="H27" s="12">
        <v>268165.34881000128</v>
      </c>
      <c r="I27" s="12">
        <v>327080.09331999999</v>
      </c>
      <c r="J27" s="12">
        <f>387844188/1000</f>
        <v>387844.18800000002</v>
      </c>
      <c r="K27" s="67">
        <v>456534.25101000001</v>
      </c>
      <c r="L27" s="67">
        <v>694080.80483000015</v>
      </c>
      <c r="M27" s="67">
        <v>716673.81666999683</v>
      </c>
      <c r="N27" s="98">
        <v>982175.61657000007</v>
      </c>
      <c r="O27" s="94">
        <f t="shared" si="9"/>
        <v>1.8931957743411694</v>
      </c>
      <c r="P27" s="101">
        <f t="shared" si="10"/>
        <v>1.9114124581264491</v>
      </c>
      <c r="Q27" s="80">
        <f t="shared" si="0"/>
        <v>2.6059087339434699</v>
      </c>
      <c r="R27" s="80">
        <f t="shared" si="1"/>
        <v>2.3383091167785377</v>
      </c>
      <c r="S27" s="103">
        <f t="shared" si="2"/>
        <v>3.3696413139348964</v>
      </c>
      <c r="T27" s="80">
        <f t="shared" si="3"/>
        <v>18.577741636068101</v>
      </c>
      <c r="U27" s="80">
        <f t="shared" si="4"/>
        <v>17.710736717292249</v>
      </c>
      <c r="V27" s="80">
        <f t="shared" si="5"/>
        <v>52.032580971629415</v>
      </c>
      <c r="W27" s="80">
        <f t="shared" si="6"/>
        <v>3.2550982079860771</v>
      </c>
      <c r="X27" s="80">
        <f t="shared" si="7"/>
        <v>37.046393174184779</v>
      </c>
      <c r="Y27" s="57" t="s">
        <v>64</v>
      </c>
      <c r="Z27" s="59"/>
      <c r="AA27" s="59"/>
      <c r="AB27" s="59"/>
      <c r="AC27" s="59"/>
      <c r="AD27" s="59"/>
      <c r="AE27" s="59"/>
      <c r="AF27" s="59"/>
      <c r="AG27" s="60"/>
      <c r="AH27" s="59"/>
      <c r="AI27" s="39"/>
      <c r="AJ27" s="39"/>
      <c r="AK27" s="39"/>
      <c r="AL27" s="39"/>
      <c r="AM27" s="39"/>
      <c r="AN27" s="39"/>
      <c r="AO27" s="39"/>
    </row>
    <row r="28" spans="1:42" s="70" customFormat="1" ht="17.25" x14ac:dyDescent="0.4">
      <c r="A28" s="8" t="s">
        <v>22</v>
      </c>
      <c r="B28" s="18">
        <v>177392.72396</v>
      </c>
      <c r="C28" s="15"/>
      <c r="D28" s="15">
        <v>50743.47258999999</v>
      </c>
      <c r="E28" s="19">
        <v>40670.563159999998</v>
      </c>
      <c r="F28" s="19">
        <v>99708.049870000003</v>
      </c>
      <c r="G28" s="19">
        <v>82281.262900000002</v>
      </c>
      <c r="H28" s="19">
        <v>70536.000150000007</v>
      </c>
      <c r="I28" s="19">
        <v>197529.15637000001</v>
      </c>
      <c r="J28" s="19">
        <f>SUM(J29:J32)</f>
        <v>115294.55946</v>
      </c>
      <c r="K28" s="19">
        <f>SUM(K29:K32)</f>
        <v>113123.34048</v>
      </c>
      <c r="L28" s="2">
        <f>SUM(L29:L32)</f>
        <v>140867.40557</v>
      </c>
      <c r="M28" s="2">
        <f>SUM(M29:M32)</f>
        <v>161727.68485000002</v>
      </c>
      <c r="N28" s="2">
        <f>SUM(N29:N32)</f>
        <v>187511.24640999999</v>
      </c>
      <c r="O28" s="93">
        <f t="shared" si="9"/>
        <v>0.56279088233803487</v>
      </c>
      <c r="P28" s="92">
        <f t="shared" si="10"/>
        <v>0.47362352730379437</v>
      </c>
      <c r="Q28" s="74">
        <f t="shared" si="0"/>
        <v>0.52888309249919407</v>
      </c>
      <c r="R28" s="74">
        <f t="shared" si="1"/>
        <v>0.52767285635938754</v>
      </c>
      <c r="S28" s="69">
        <f t="shared" si="2"/>
        <v>0.64331228761015635</v>
      </c>
      <c r="T28" s="74">
        <f t="shared" si="3"/>
        <v>-41.631624627588138</v>
      </c>
      <c r="U28" s="74">
        <f t="shared" si="4"/>
        <v>-1.8831929192229424</v>
      </c>
      <c r="V28" s="74">
        <f t="shared" si="5"/>
        <v>24.525500194988588</v>
      </c>
      <c r="W28" s="74">
        <f t="shared" si="6"/>
        <v>14.808449971511758</v>
      </c>
      <c r="X28" s="74">
        <f t="shared" si="7"/>
        <v>15.942577539469408</v>
      </c>
      <c r="Y28" s="56" t="s">
        <v>84</v>
      </c>
      <c r="Z28" s="63"/>
      <c r="AA28" s="63"/>
      <c r="AB28" s="63"/>
      <c r="AC28" s="63"/>
      <c r="AD28" s="63"/>
      <c r="AE28" s="63"/>
      <c r="AF28" s="63"/>
      <c r="AG28" s="64"/>
      <c r="AH28" s="59"/>
      <c r="AI28" s="13"/>
      <c r="AJ28" s="13"/>
      <c r="AK28" s="13"/>
      <c r="AL28" s="13"/>
      <c r="AM28" s="13"/>
      <c r="AN28" s="13"/>
    </row>
    <row r="29" spans="1:42" s="17" customFormat="1" ht="17.25" x14ac:dyDescent="0.4">
      <c r="A29" s="11" t="s">
        <v>23</v>
      </c>
      <c r="B29" s="16">
        <v>151069.43575</v>
      </c>
      <c r="C29" s="12"/>
      <c r="D29" s="12">
        <v>38346.527759999997</v>
      </c>
      <c r="E29" s="12">
        <v>31034.936600000001</v>
      </c>
      <c r="F29" s="12">
        <v>37296.811710000002</v>
      </c>
      <c r="G29" s="12">
        <v>28430.789270000001</v>
      </c>
      <c r="H29" s="12">
        <v>33711.194409999996</v>
      </c>
      <c r="I29" s="12">
        <v>85784.349329999997</v>
      </c>
      <c r="J29" s="12">
        <f>52034140.31/1000</f>
        <v>52034.140310000003</v>
      </c>
      <c r="K29" s="67">
        <v>62698.846259999998</v>
      </c>
      <c r="L29" s="67">
        <v>79432.942850000007</v>
      </c>
      <c r="M29" s="67">
        <v>94213.690300000002</v>
      </c>
      <c r="N29" s="98">
        <v>95648.86464</v>
      </c>
      <c r="O29" s="94">
        <f t="shared" si="9"/>
        <v>0.25399585092240057</v>
      </c>
      <c r="P29" s="101">
        <f t="shared" si="10"/>
        <v>0.26250682306176815</v>
      </c>
      <c r="Q29" s="80">
        <f t="shared" si="0"/>
        <v>0.29822896425776596</v>
      </c>
      <c r="R29" s="80">
        <f t="shared" si="1"/>
        <v>0.30739330198703274</v>
      </c>
      <c r="S29" s="103">
        <f t="shared" si="2"/>
        <v>0.32815146342918811</v>
      </c>
      <c r="T29" s="80">
        <f t="shared" si="3"/>
        <v>-39.343084471233581</v>
      </c>
      <c r="U29" s="80">
        <f t="shared" si="4"/>
        <v>20.495593636146683</v>
      </c>
      <c r="V29" s="80">
        <f t="shared" si="5"/>
        <v>26.68964038127104</v>
      </c>
      <c r="W29" s="80">
        <f t="shared" si="6"/>
        <v>18.607830604881077</v>
      </c>
      <c r="X29" s="80">
        <f t="shared" si="7"/>
        <v>1.5233182517636694</v>
      </c>
      <c r="Y29" s="58" t="s">
        <v>66</v>
      </c>
      <c r="Z29" s="59"/>
      <c r="AA29" s="59"/>
      <c r="AB29" s="59"/>
      <c r="AC29" s="59"/>
      <c r="AD29" s="59"/>
      <c r="AE29" s="59"/>
      <c r="AF29" s="59"/>
      <c r="AG29" s="60"/>
      <c r="AH29" s="59"/>
    </row>
    <row r="30" spans="1:42" s="17" customFormat="1" ht="17.25" x14ac:dyDescent="0.4">
      <c r="A30" s="20" t="s">
        <v>37</v>
      </c>
      <c r="B30" s="21">
        <v>23891.863980000002</v>
      </c>
      <c r="C30" s="12"/>
      <c r="D30" s="12">
        <v>6986.2178400000003</v>
      </c>
      <c r="E30" s="12">
        <v>407.58671000000004</v>
      </c>
      <c r="F30" s="12">
        <v>15456.462810000001</v>
      </c>
      <c r="G30" s="12">
        <v>27831.32747</v>
      </c>
      <c r="H30" s="12">
        <v>3478.5605499999997</v>
      </c>
      <c r="I30" s="12">
        <v>82527.45478</v>
      </c>
      <c r="J30" s="12">
        <f>8259437.77/1000</f>
        <v>8259.4377700000005</v>
      </c>
      <c r="K30" s="67">
        <v>10070.94449</v>
      </c>
      <c r="L30" s="67">
        <v>11788.32286</v>
      </c>
      <c r="M30" s="67">
        <v>23047.258969999999</v>
      </c>
      <c r="N30" s="98">
        <v>18942.335520000001</v>
      </c>
      <c r="O30" s="94">
        <f t="shared" si="9"/>
        <v>4.0317047846538438E-2</v>
      </c>
      <c r="P30" s="101">
        <f t="shared" si="10"/>
        <v>4.2164916916308803E-2</v>
      </c>
      <c r="Q30" s="80">
        <f t="shared" si="0"/>
        <v>4.4258958446406663E-2</v>
      </c>
      <c r="R30" s="80">
        <f t="shared" si="1"/>
        <v>7.5196853174729739E-2</v>
      </c>
      <c r="S30" s="103">
        <f t="shared" si="2"/>
        <v>6.4987233722533927E-2</v>
      </c>
      <c r="T30" s="80">
        <f t="shared" si="3"/>
        <v>-89.991890829521111</v>
      </c>
      <c r="U30" s="80">
        <f t="shared" si="4"/>
        <v>21.93256696696438</v>
      </c>
      <c r="V30" s="80">
        <f t="shared" si="5"/>
        <v>17.052803455577386</v>
      </c>
      <c r="W30" s="80">
        <f t="shared" si="6"/>
        <v>95.509227595077917</v>
      </c>
      <c r="X30" s="80">
        <f t="shared" si="7"/>
        <v>-17.810896538036335</v>
      </c>
      <c r="Y30" s="58" t="s">
        <v>73</v>
      </c>
      <c r="Z30" s="59"/>
      <c r="AA30" s="59"/>
      <c r="AB30" s="59"/>
      <c r="AC30" s="59"/>
      <c r="AD30" s="59"/>
      <c r="AE30" s="59"/>
      <c r="AF30" s="59"/>
      <c r="AG30" s="60"/>
      <c r="AH30" s="59"/>
      <c r="AI30" s="13"/>
      <c r="AJ30" s="13"/>
      <c r="AK30" s="13"/>
      <c r="AL30" s="13"/>
      <c r="AM30" s="13"/>
      <c r="AN30" s="13"/>
    </row>
    <row r="31" spans="1:42" s="17" customFormat="1" ht="17.25" x14ac:dyDescent="0.4">
      <c r="A31" s="20" t="s">
        <v>34</v>
      </c>
      <c r="B31" s="21">
        <v>1787.4242300000001</v>
      </c>
      <c r="C31" s="12"/>
      <c r="D31" s="12">
        <v>4931.5676299999996</v>
      </c>
      <c r="E31" s="12">
        <v>8514.997949999999</v>
      </c>
      <c r="F31" s="12">
        <v>46551.353630000005</v>
      </c>
      <c r="G31" s="12">
        <v>19941.772390000002</v>
      </c>
      <c r="H31" s="12">
        <v>22117.139589999999</v>
      </c>
      <c r="I31" s="12">
        <v>27795.462829999997</v>
      </c>
      <c r="J31" s="12">
        <f>49299284.38/1000</f>
        <v>49299.284380000005</v>
      </c>
      <c r="K31" s="67">
        <v>35096.331749999998</v>
      </c>
      <c r="L31" s="67">
        <v>38466.57417</v>
      </c>
      <c r="M31" s="67">
        <v>34649.458210000004</v>
      </c>
      <c r="N31" s="98">
        <v>59019.160109999997</v>
      </c>
      <c r="O31" s="94">
        <f t="shared" si="9"/>
        <v>0.24064611448105447</v>
      </c>
      <c r="P31" s="101">
        <f t="shared" si="10"/>
        <v>0.1469409263227863</v>
      </c>
      <c r="Q31" s="80">
        <f t="shared" si="0"/>
        <v>0.14442177466503914</v>
      </c>
      <c r="R31" s="80">
        <f t="shared" si="1"/>
        <v>0.11305163121535855</v>
      </c>
      <c r="S31" s="103">
        <f t="shared" si="2"/>
        <v>0.2024825264089832</v>
      </c>
      <c r="T31" s="80">
        <f t="shared" si="3"/>
        <v>77.364502550361053</v>
      </c>
      <c r="U31" s="80">
        <f t="shared" si="4"/>
        <v>-28.809652733543402</v>
      </c>
      <c r="V31" s="80">
        <f t="shared" si="5"/>
        <v>9.6028338346214834</v>
      </c>
      <c r="W31" s="80">
        <f t="shared" si="6"/>
        <v>-9.9232022668058555</v>
      </c>
      <c r="X31" s="80">
        <f t="shared" si="7"/>
        <v>70.332129732887935</v>
      </c>
      <c r="Y31" s="58" t="s">
        <v>53</v>
      </c>
      <c r="Z31" s="59"/>
      <c r="AA31" s="59"/>
      <c r="AB31" s="59"/>
      <c r="AC31" s="59"/>
      <c r="AD31" s="59"/>
      <c r="AE31" s="59"/>
      <c r="AF31" s="59"/>
      <c r="AG31" s="60"/>
      <c r="AH31" s="59"/>
      <c r="AI31" s="13"/>
      <c r="AJ31" s="13"/>
      <c r="AK31" s="13"/>
      <c r="AL31" s="13"/>
      <c r="AM31" s="13"/>
      <c r="AN31" s="13"/>
    </row>
    <row r="32" spans="1:42" s="17" customFormat="1" ht="17.25" x14ac:dyDescent="0.4">
      <c r="A32" s="11" t="s">
        <v>12</v>
      </c>
      <c r="B32" s="16">
        <v>644</v>
      </c>
      <c r="C32" s="12"/>
      <c r="D32" s="12">
        <v>479.15935999999999</v>
      </c>
      <c r="E32" s="12">
        <v>714.04190000000006</v>
      </c>
      <c r="F32" s="12">
        <v>403.42171999999999</v>
      </c>
      <c r="G32" s="12">
        <v>6077.3737700000001</v>
      </c>
      <c r="H32" s="12">
        <v>11229.10560000001</v>
      </c>
      <c r="I32" s="12">
        <v>1539.06142</v>
      </c>
      <c r="J32" s="12">
        <f>5701697/1000</f>
        <v>5701.6970000000001</v>
      </c>
      <c r="K32" s="67">
        <v>5257.2179800000004</v>
      </c>
      <c r="L32" s="67">
        <v>11179.565689999999</v>
      </c>
      <c r="M32" s="67">
        <v>9817.2773700000253</v>
      </c>
      <c r="N32" s="98">
        <v>13900.886139999999</v>
      </c>
      <c r="O32" s="94">
        <f t="shared" si="9"/>
        <v>2.7831869088041406E-2</v>
      </c>
      <c r="P32" s="101">
        <f t="shared" si="10"/>
        <v>2.2010861002931096E-2</v>
      </c>
      <c r="Q32" s="80">
        <f t="shared" si="0"/>
        <v>4.1973395129982348E-2</v>
      </c>
      <c r="R32" s="80">
        <f t="shared" si="1"/>
        <v>3.2031069982266479E-2</v>
      </c>
      <c r="S32" s="103">
        <f t="shared" si="2"/>
        <v>4.7691064049451087E-2</v>
      </c>
      <c r="T32" s="80">
        <f t="shared" si="3"/>
        <v>270.46585184365159</v>
      </c>
      <c r="U32" s="80">
        <f t="shared" si="4"/>
        <v>-7.7955566562025265</v>
      </c>
      <c r="V32" s="80">
        <f t="shared" si="5"/>
        <v>112.65174342266855</v>
      </c>
      <c r="W32" s="80">
        <f t="shared" si="6"/>
        <v>-12.1855209564941</v>
      </c>
      <c r="X32" s="80">
        <f t="shared" si="7"/>
        <v>41.596143371468813</v>
      </c>
      <c r="Y32" s="85" t="s">
        <v>64</v>
      </c>
      <c r="Z32" s="59"/>
      <c r="AA32" s="59"/>
      <c r="AB32" s="59"/>
      <c r="AC32" s="59"/>
      <c r="AD32" s="59"/>
      <c r="AE32" s="59"/>
      <c r="AF32" s="59"/>
      <c r="AG32" s="60"/>
      <c r="AH32" s="59"/>
    </row>
    <row r="33" spans="1:40" s="70" customFormat="1" ht="15.75" customHeight="1" x14ac:dyDescent="0.25">
      <c r="A33" s="50" t="s">
        <v>24</v>
      </c>
      <c r="B33" s="51">
        <v>169026.35123000003</v>
      </c>
      <c r="C33" s="52"/>
      <c r="D33" s="52">
        <v>194692.13733999999</v>
      </c>
      <c r="E33" s="22">
        <v>451966.10702000005</v>
      </c>
      <c r="F33" s="22">
        <v>481155.50152999995</v>
      </c>
      <c r="G33" s="22">
        <v>1335920.0806499999</v>
      </c>
      <c r="H33" s="19">
        <v>1181771.65851</v>
      </c>
      <c r="I33" s="19">
        <v>1329286.9016400003</v>
      </c>
      <c r="J33" s="19">
        <f>SUM(J34:J38)</f>
        <v>1080288.22086</v>
      </c>
      <c r="K33" s="2">
        <v>1472452.5533899998</v>
      </c>
      <c r="L33" s="2">
        <f>SUM(L34:L38)</f>
        <v>1192593.4716700001</v>
      </c>
      <c r="M33" s="2">
        <f>SUM(M34:M38)</f>
        <v>1221496.6468100001</v>
      </c>
      <c r="N33" s="2">
        <f>SUM(N34:N38)</f>
        <v>1070491.8970799998</v>
      </c>
      <c r="O33" s="93">
        <f t="shared" si="9"/>
        <v>5.2732441482472119</v>
      </c>
      <c r="P33" s="92">
        <f t="shared" si="10"/>
        <v>6.1648477596658955</v>
      </c>
      <c r="Q33" s="74">
        <f t="shared" si="0"/>
        <v>4.4775618663449457</v>
      </c>
      <c r="R33" s="74">
        <f t="shared" si="1"/>
        <v>3.9854068600156958</v>
      </c>
      <c r="S33" s="69">
        <f t="shared" si="2"/>
        <v>3.6726361984330791</v>
      </c>
      <c r="T33" s="74">
        <f t="shared" si="3"/>
        <v>-18.731748614448811</v>
      </c>
      <c r="U33" s="74">
        <f t="shared" si="4"/>
        <v>36.301824361076903</v>
      </c>
      <c r="V33" s="74">
        <f t="shared" si="5"/>
        <v>-19.006322551832682</v>
      </c>
      <c r="W33" s="74">
        <f t="shared" si="6"/>
        <v>2.4235563774742581</v>
      </c>
      <c r="X33" s="74">
        <f t="shared" si="7"/>
        <v>-12.362272964429069</v>
      </c>
      <c r="Y33" s="53" t="s">
        <v>67</v>
      </c>
      <c r="Z33" s="63"/>
      <c r="AA33" s="63"/>
      <c r="AB33" s="63"/>
      <c r="AC33" s="63"/>
      <c r="AD33" s="63"/>
      <c r="AE33" s="63"/>
      <c r="AF33" s="63"/>
      <c r="AG33" s="64"/>
      <c r="AH33" s="59"/>
      <c r="AI33" s="13"/>
      <c r="AJ33" s="13"/>
      <c r="AK33" s="13"/>
      <c r="AL33" s="13"/>
      <c r="AM33" s="13"/>
      <c r="AN33" s="13"/>
    </row>
    <row r="34" spans="1:40" s="17" customFormat="1" ht="17.25" x14ac:dyDescent="0.4">
      <c r="A34" s="23" t="s">
        <v>54</v>
      </c>
      <c r="B34" s="24">
        <v>268.90504999999996</v>
      </c>
      <c r="C34" s="25"/>
      <c r="D34" s="25">
        <v>651.38883999999996</v>
      </c>
      <c r="E34" s="25">
        <v>46.079180000000001</v>
      </c>
      <c r="F34" s="25">
        <v>106254.7395</v>
      </c>
      <c r="G34" s="25">
        <v>751303.79208000004</v>
      </c>
      <c r="H34" s="33">
        <v>596853.45087000006</v>
      </c>
      <c r="I34" s="33">
        <v>793920.12556999992</v>
      </c>
      <c r="J34" s="33">
        <f>235201935.37/1000</f>
        <v>235201.93536999999</v>
      </c>
      <c r="K34" s="67">
        <v>473426.15950999997</v>
      </c>
      <c r="L34" s="67">
        <v>310676.92767</v>
      </c>
      <c r="M34" s="67">
        <v>2873.1332400000001</v>
      </c>
      <c r="N34" s="98">
        <v>1610.03883</v>
      </c>
      <c r="O34" s="94">
        <f t="shared" si="9"/>
        <v>1.1480984476151253</v>
      </c>
      <c r="P34" s="101">
        <f t="shared" si="10"/>
        <v>1.982135310304576</v>
      </c>
      <c r="Q34" s="80">
        <f t="shared" si="0"/>
        <v>1.1664286256241727</v>
      </c>
      <c r="R34" s="80">
        <f t="shared" si="1"/>
        <v>9.3742417994670344E-3</v>
      </c>
      <c r="S34" s="103">
        <f t="shared" si="2"/>
        <v>5.5237100851207536E-3</v>
      </c>
      <c r="T34" s="80">
        <f t="shared" si="3"/>
        <v>-70.374609763024296</v>
      </c>
      <c r="U34" s="80">
        <f t="shared" si="4"/>
        <v>101.28497614836611</v>
      </c>
      <c r="V34" s="80">
        <f t="shared" si="5"/>
        <v>-34.376898819542795</v>
      </c>
      <c r="W34" s="80">
        <f t="shared" si="6"/>
        <v>-99.075202248989726</v>
      </c>
      <c r="X34" s="80">
        <f t="shared" si="7"/>
        <v>-43.96226365053645</v>
      </c>
      <c r="Y34" s="66" t="s">
        <v>74</v>
      </c>
      <c r="Z34" s="59"/>
      <c r="AA34" s="59"/>
      <c r="AB34" s="59"/>
      <c r="AC34" s="59"/>
      <c r="AD34" s="59"/>
      <c r="AE34" s="59"/>
      <c r="AF34" s="59"/>
      <c r="AG34" s="60"/>
      <c r="AH34" s="59"/>
      <c r="AI34" s="13"/>
      <c r="AJ34" s="13"/>
      <c r="AK34" s="13"/>
      <c r="AL34" s="13"/>
      <c r="AM34" s="13"/>
      <c r="AN34" s="13"/>
    </row>
    <row r="35" spans="1:40" s="17" customFormat="1" ht="17.25" x14ac:dyDescent="0.4">
      <c r="A35" s="26" t="s">
        <v>25</v>
      </c>
      <c r="B35" s="27">
        <v>76074.195890000003</v>
      </c>
      <c r="C35" s="25"/>
      <c r="D35" s="25">
        <v>108572.70565</v>
      </c>
      <c r="E35" s="25">
        <v>309716.70547000004</v>
      </c>
      <c r="F35" s="25">
        <v>285779.95662000001</v>
      </c>
      <c r="G35" s="25">
        <v>410623.60590999998</v>
      </c>
      <c r="H35" s="33">
        <v>311270.87014999997</v>
      </c>
      <c r="I35" s="33">
        <v>357529.20575999998</v>
      </c>
      <c r="J35" s="33">
        <f>425304070.68/1000</f>
        <v>425304.07068</v>
      </c>
      <c r="K35" s="67">
        <v>700377.18929999997</v>
      </c>
      <c r="L35" s="67">
        <v>464155.52649000002</v>
      </c>
      <c r="M35" s="67">
        <v>515034.34886999999</v>
      </c>
      <c r="N35" s="98">
        <v>575452.14727999992</v>
      </c>
      <c r="O35" s="94">
        <f t="shared" si="9"/>
        <v>2.0760498528380009</v>
      </c>
      <c r="P35" s="101">
        <f t="shared" si="10"/>
        <v>2.9323313246573544</v>
      </c>
      <c r="Q35" s="80">
        <f t="shared" si="0"/>
        <v>1.7426601225266167</v>
      </c>
      <c r="R35" s="80">
        <f t="shared" si="1"/>
        <v>1.6804151141067307</v>
      </c>
      <c r="S35" s="103">
        <f t="shared" si="2"/>
        <v>1.9742572478422329</v>
      </c>
      <c r="T35" s="80">
        <f t="shared" si="3"/>
        <v>18.956455536529095</v>
      </c>
      <c r="U35" s="80">
        <f t="shared" si="4"/>
        <v>64.676813034071742</v>
      </c>
      <c r="V35" s="80">
        <f t="shared" si="5"/>
        <v>-33.727777891523623</v>
      </c>
      <c r="W35" s="80">
        <f t="shared" si="6"/>
        <v>10.961589268310936</v>
      </c>
      <c r="X35" s="80">
        <f t="shared" si="7"/>
        <v>11.730828932586398</v>
      </c>
      <c r="Y35" s="58" t="s">
        <v>75</v>
      </c>
      <c r="AH35" s="59"/>
    </row>
    <row r="36" spans="1:40" s="17" customFormat="1" ht="17.25" x14ac:dyDescent="0.4">
      <c r="A36" s="26" t="s">
        <v>26</v>
      </c>
      <c r="B36" s="27">
        <v>86560.983800000002</v>
      </c>
      <c r="C36" s="25"/>
      <c r="D36" s="25">
        <v>69624.983779999995</v>
      </c>
      <c r="E36" s="25">
        <v>120431.67971</v>
      </c>
      <c r="F36" s="25">
        <v>59125.244679999996</v>
      </c>
      <c r="G36" s="25">
        <v>104388.06092</v>
      </c>
      <c r="H36" s="33">
        <v>192849.56232999999</v>
      </c>
      <c r="I36" s="33">
        <v>94793.440600000002</v>
      </c>
      <c r="J36" s="33">
        <f>270874232.28/1000</f>
        <v>270874.23228</v>
      </c>
      <c r="K36" s="67">
        <v>109903.20924</v>
      </c>
      <c r="L36" s="67">
        <v>99990.094430000012</v>
      </c>
      <c r="M36" s="67">
        <v>430729.45551999996</v>
      </c>
      <c r="N36" s="98">
        <v>236474.75205000001</v>
      </c>
      <c r="O36" s="94">
        <f t="shared" si="9"/>
        <v>1.3222267286635332</v>
      </c>
      <c r="P36" s="101">
        <f t="shared" si="10"/>
        <v>0.46014151811100906</v>
      </c>
      <c r="Q36" s="80">
        <f t="shared" si="0"/>
        <v>0.37541026717600845</v>
      </c>
      <c r="R36" s="80">
        <f t="shared" si="1"/>
        <v>1.4053514852646583</v>
      </c>
      <c r="S36" s="103">
        <f t="shared" si="2"/>
        <v>0.8112959441947214</v>
      </c>
      <c r="T36" s="80">
        <f t="shared" si="3"/>
        <v>185.75208428503859</v>
      </c>
      <c r="U36" s="80">
        <f t="shared" si="4"/>
        <v>-59.426480579225363</v>
      </c>
      <c r="V36" s="80">
        <f t="shared" si="5"/>
        <v>-9.019859273037536</v>
      </c>
      <c r="W36" s="80">
        <f t="shared" si="6"/>
        <v>330.77212595447685</v>
      </c>
      <c r="X36" s="80">
        <f t="shared" si="7"/>
        <v>-45.09900611173321</v>
      </c>
      <c r="Y36" s="57" t="s">
        <v>40</v>
      </c>
      <c r="AH36" s="59"/>
      <c r="AI36" s="13"/>
      <c r="AJ36" s="13"/>
      <c r="AK36" s="13"/>
      <c r="AL36" s="13"/>
      <c r="AM36" s="13"/>
      <c r="AN36" s="13"/>
    </row>
    <row r="37" spans="1:40" s="17" customFormat="1" ht="17.25" x14ac:dyDescent="0.4">
      <c r="A37" s="23" t="s">
        <v>55</v>
      </c>
      <c r="B37" s="24">
        <v>5763.26649</v>
      </c>
      <c r="C37" s="25"/>
      <c r="D37" s="25">
        <v>14870.09532</v>
      </c>
      <c r="E37" s="25">
        <v>18986.897100000002</v>
      </c>
      <c r="F37" s="25">
        <v>28262.164129999997</v>
      </c>
      <c r="G37" s="25">
        <v>40556.87945</v>
      </c>
      <c r="H37" s="33">
        <v>41794.94363999999</v>
      </c>
      <c r="I37" s="33">
        <v>78402.442040000009</v>
      </c>
      <c r="J37" s="33">
        <f>134394346.53/1000</f>
        <v>134394.34653000001</v>
      </c>
      <c r="K37" s="67">
        <v>161911.44077000002</v>
      </c>
      <c r="L37" s="67">
        <v>280824.13675000001</v>
      </c>
      <c r="M37" s="67">
        <v>248811.23768000002</v>
      </c>
      <c r="N37" s="98">
        <v>231415.90796000001</v>
      </c>
      <c r="O37" s="94">
        <f t="shared" si="9"/>
        <v>0.65602326093368912</v>
      </c>
      <c r="P37" s="101">
        <f t="shared" si="10"/>
        <v>0.6778889958777744</v>
      </c>
      <c r="Q37" s="80">
        <f t="shared" si="0"/>
        <v>1.0543470811560611</v>
      </c>
      <c r="R37" s="80">
        <f t="shared" si="1"/>
        <v>0.81180248516319542</v>
      </c>
      <c r="S37" s="103">
        <f t="shared" si="2"/>
        <v>0.79394009687084877</v>
      </c>
      <c r="T37" s="80">
        <f t="shared" si="3"/>
        <v>71.41602102321454</v>
      </c>
      <c r="U37" s="80">
        <f t="shared" si="4"/>
        <v>20.474889718562334</v>
      </c>
      <c r="V37" s="80">
        <f t="shared" si="5"/>
        <v>73.443047269846105</v>
      </c>
      <c r="W37" s="80">
        <f t="shared" si="6"/>
        <v>-11.399625203334658</v>
      </c>
      <c r="X37" s="80">
        <f t="shared" si="7"/>
        <v>-6.9913762264919921</v>
      </c>
      <c r="Y37" s="57" t="s">
        <v>76</v>
      </c>
      <c r="AH37" s="59"/>
      <c r="AI37" s="13"/>
      <c r="AJ37" s="13"/>
      <c r="AK37" s="13"/>
      <c r="AL37" s="13"/>
      <c r="AM37" s="13"/>
      <c r="AN37" s="13"/>
    </row>
    <row r="38" spans="1:40" s="17" customFormat="1" ht="17.25" x14ac:dyDescent="0.4">
      <c r="A38" s="26" t="s">
        <v>12</v>
      </c>
      <c r="B38" s="27">
        <v>359</v>
      </c>
      <c r="C38" s="25"/>
      <c r="D38" s="25">
        <v>972.96375000000012</v>
      </c>
      <c r="E38" s="25">
        <v>2784.7455600000003</v>
      </c>
      <c r="F38" s="25">
        <v>1733.3965999999998</v>
      </c>
      <c r="G38" s="25">
        <v>29047.742289999998</v>
      </c>
      <c r="H38" s="33">
        <v>39002.831520000007</v>
      </c>
      <c r="I38" s="33">
        <v>4641.6876700000003</v>
      </c>
      <c r="J38" s="33">
        <f>14513636/1000</f>
        <v>14513.636</v>
      </c>
      <c r="K38" s="67">
        <v>26834.55457</v>
      </c>
      <c r="L38" s="67">
        <v>36946.786330000003</v>
      </c>
      <c r="M38" s="67">
        <v>24048.471500000218</v>
      </c>
      <c r="N38" s="98">
        <v>25539.05096</v>
      </c>
      <c r="O38" s="94">
        <f t="shared" si="9"/>
        <v>7.0845858196864023E-2</v>
      </c>
      <c r="P38" s="101">
        <f t="shared" si="10"/>
        <v>0.11235061071518276</v>
      </c>
      <c r="Q38" s="80">
        <f t="shared" si="0"/>
        <v>0.1387157698620867</v>
      </c>
      <c r="R38" s="80">
        <f t="shared" si="1"/>
        <v>7.8463533681644965E-2</v>
      </c>
      <c r="S38" s="103">
        <f t="shared" si="2"/>
        <v>8.7619199440155643E-2</v>
      </c>
      <c r="T38" s="80">
        <f t="shared" si="3"/>
        <v>212.68015066597533</v>
      </c>
      <c r="U38" s="80">
        <f t="shared" si="4"/>
        <v>84.892018581697926</v>
      </c>
      <c r="V38" s="80">
        <f t="shared" si="5"/>
        <v>37.683620697416345</v>
      </c>
      <c r="W38" s="80">
        <f t="shared" si="6"/>
        <v>-34.910518914405905</v>
      </c>
      <c r="X38" s="80">
        <f t="shared" si="7"/>
        <v>6.1982295215717524</v>
      </c>
      <c r="Y38" s="58" t="s">
        <v>64</v>
      </c>
      <c r="Z38" s="59"/>
      <c r="AA38" s="59"/>
      <c r="AB38" s="59"/>
      <c r="AC38" s="59"/>
      <c r="AD38" s="59"/>
      <c r="AE38" s="59"/>
      <c r="AF38" s="59"/>
      <c r="AH38" s="59"/>
    </row>
    <row r="39" spans="1:40" s="70" customFormat="1" ht="17.25" x14ac:dyDescent="0.4">
      <c r="A39" s="28" t="s">
        <v>27</v>
      </c>
      <c r="B39" s="29">
        <v>490423.87167999998</v>
      </c>
      <c r="C39" s="30"/>
      <c r="D39" s="30">
        <v>1787385.9395900001</v>
      </c>
      <c r="E39" s="31">
        <v>2568857.9006199003</v>
      </c>
      <c r="F39" s="31">
        <v>2793284.56269</v>
      </c>
      <c r="G39" s="31">
        <v>3381833.6904100007</v>
      </c>
      <c r="H39" s="82">
        <v>2034750.5645699999</v>
      </c>
      <c r="I39" s="82">
        <v>2866431.6570799998</v>
      </c>
      <c r="J39" s="82">
        <f>SUM(J40:J43)</f>
        <v>4963204.1366999</v>
      </c>
      <c r="K39" s="2">
        <v>7382049.84638</v>
      </c>
      <c r="L39" s="2">
        <f>SUM(L40:L43)</f>
        <v>8333078.04079</v>
      </c>
      <c r="M39" s="2">
        <f>SUM(M40:M43)</f>
        <v>8910104.6803598013</v>
      </c>
      <c r="N39" s="2">
        <f>SUM(N40:N43)</f>
        <v>5664646.5532001005</v>
      </c>
      <c r="O39" s="93">
        <f t="shared" si="9"/>
        <v>24.227041140533633</v>
      </c>
      <c r="P39" s="92">
        <f t="shared" si="10"/>
        <v>30.907083119535976</v>
      </c>
      <c r="Q39" s="74">
        <f t="shared" si="0"/>
        <v>31.286329626196579</v>
      </c>
      <c r="R39" s="74">
        <f t="shared" si="1"/>
        <v>29.071215552904782</v>
      </c>
      <c r="S39" s="69">
        <f t="shared" si="2"/>
        <v>19.434230225711953</v>
      </c>
      <c r="T39" s="74">
        <f t="shared" si="3"/>
        <v>73.149222813002908</v>
      </c>
      <c r="U39" s="74">
        <f t="shared" si="4"/>
        <v>48.735567650627047</v>
      </c>
      <c r="V39" s="74">
        <f t="shared" si="5"/>
        <v>12.882982561765877</v>
      </c>
      <c r="W39" s="74">
        <f t="shared" si="6"/>
        <v>6.9245318085980321</v>
      </c>
      <c r="X39" s="74">
        <f t="shared" si="7"/>
        <v>-36.424466867527812</v>
      </c>
      <c r="Y39" s="56" t="s">
        <v>68</v>
      </c>
      <c r="Z39" s="63"/>
      <c r="AA39" s="63"/>
      <c r="AB39" s="63"/>
      <c r="AC39" s="63"/>
      <c r="AD39" s="63"/>
      <c r="AE39" s="63"/>
      <c r="AF39" s="63"/>
      <c r="AG39" s="64"/>
      <c r="AH39" s="59"/>
      <c r="AI39" s="13"/>
      <c r="AJ39" s="13"/>
      <c r="AK39" s="13"/>
      <c r="AL39" s="13"/>
      <c r="AM39" s="13"/>
      <c r="AN39" s="13"/>
    </row>
    <row r="40" spans="1:40" s="17" customFormat="1" ht="17.25" x14ac:dyDescent="0.4">
      <c r="A40" s="26" t="s">
        <v>28</v>
      </c>
      <c r="B40" s="27">
        <v>455615.66120999999</v>
      </c>
      <c r="C40" s="25"/>
      <c r="D40" s="25">
        <v>1499691.8152100001</v>
      </c>
      <c r="E40" s="25">
        <v>2498954.0739299003</v>
      </c>
      <c r="F40" s="25">
        <v>2684515.97536</v>
      </c>
      <c r="G40" s="25">
        <v>3201066.5003000004</v>
      </c>
      <c r="H40" s="33">
        <v>1944416.2182700001</v>
      </c>
      <c r="I40" s="33">
        <v>2631062.0756700002</v>
      </c>
      <c r="J40" s="33">
        <f>4475246142.8999/1000</f>
        <v>4475246.1428999007</v>
      </c>
      <c r="K40" s="67">
        <v>7147037.9156599995</v>
      </c>
      <c r="L40" s="67">
        <v>7551355.1546299998</v>
      </c>
      <c r="M40" s="67">
        <v>7272418.7681798004</v>
      </c>
      <c r="N40" s="98">
        <v>4872351.5862101</v>
      </c>
      <c r="O40" s="94">
        <f t="shared" si="9"/>
        <v>21.845156764021713</v>
      </c>
      <c r="P40" s="101">
        <f t="shared" si="10"/>
        <v>29.92313781599572</v>
      </c>
      <c r="Q40" s="80">
        <f t="shared" si="0"/>
        <v>28.351370926298831</v>
      </c>
      <c r="R40" s="80">
        <f t="shared" si="1"/>
        <v>23.727897840164086</v>
      </c>
      <c r="S40" s="103">
        <f t="shared" si="2"/>
        <v>16.716030131399272</v>
      </c>
      <c r="T40" s="80">
        <f t="shared" si="3"/>
        <v>70.092761561328004</v>
      </c>
      <c r="U40" s="80">
        <f t="shared" si="4"/>
        <v>59.701560259405376</v>
      </c>
      <c r="V40" s="80">
        <f t="shared" si="5"/>
        <v>5.6571301809396273</v>
      </c>
      <c r="W40" s="80">
        <f t="shared" si="6"/>
        <v>-3.6938586616360345</v>
      </c>
      <c r="X40" s="80">
        <f t="shared" si="7"/>
        <v>-33.002323690037016</v>
      </c>
      <c r="Y40" s="58" t="s">
        <v>69</v>
      </c>
      <c r="Z40" s="59"/>
      <c r="AA40" s="59"/>
      <c r="AB40" s="59"/>
      <c r="AC40" s="59"/>
      <c r="AD40" s="59"/>
      <c r="AE40" s="59"/>
      <c r="AF40" s="59"/>
      <c r="AG40" s="60"/>
      <c r="AH40" s="59"/>
    </row>
    <row r="41" spans="1:40" s="17" customFormat="1" ht="17.25" x14ac:dyDescent="0.4">
      <c r="A41" s="26" t="s">
        <v>29</v>
      </c>
      <c r="B41" s="27">
        <v>6331.6839300000001</v>
      </c>
      <c r="C41" s="25"/>
      <c r="D41" s="25">
        <v>3935.34429</v>
      </c>
      <c r="E41" s="25">
        <v>20284.0537</v>
      </c>
      <c r="F41" s="25">
        <v>4433.24442</v>
      </c>
      <c r="G41" s="25">
        <v>62766.989370000003</v>
      </c>
      <c r="H41" s="33">
        <v>7451.5884100000003</v>
      </c>
      <c r="I41" s="33">
        <v>26724.82677</v>
      </c>
      <c r="J41" s="33">
        <f>67682138.83/1000</f>
        <v>67682.138829999996</v>
      </c>
      <c r="K41" s="67">
        <v>62021.306600000004</v>
      </c>
      <c r="L41" s="67">
        <v>123963.49541</v>
      </c>
      <c r="M41" s="67">
        <v>186104.56685</v>
      </c>
      <c r="N41" s="98">
        <v>68738.916069999992</v>
      </c>
      <c r="O41" s="94">
        <f t="shared" si="9"/>
        <v>0.33037890780853563</v>
      </c>
      <c r="P41" s="101">
        <f t="shared" si="10"/>
        <v>0.25967010764746207</v>
      </c>
      <c r="Q41" s="80">
        <f t="shared" si="0"/>
        <v>0.46541779160453983</v>
      </c>
      <c r="R41" s="80">
        <f t="shared" si="1"/>
        <v>0.60720790297806615</v>
      </c>
      <c r="S41" s="103">
        <f t="shared" si="2"/>
        <v>0.23582899794791159</v>
      </c>
      <c r="T41" s="80">
        <f t="shared" si="3"/>
        <v>153.25566901700819</v>
      </c>
      <c r="U41" s="80">
        <f t="shared" si="4"/>
        <v>-8.3638494998193487</v>
      </c>
      <c r="V41" s="80">
        <f t="shared" si="5"/>
        <v>99.872434499791723</v>
      </c>
      <c r="W41" s="80">
        <f t="shared" si="6"/>
        <v>50.128524719695136</v>
      </c>
      <c r="X41" s="80">
        <f t="shared" si="7"/>
        <v>-63.064358261877871</v>
      </c>
      <c r="Y41" s="58" t="s">
        <v>77</v>
      </c>
      <c r="Z41" s="59"/>
      <c r="AA41" s="59"/>
      <c r="AB41" s="59"/>
      <c r="AC41" s="59"/>
      <c r="AD41" s="59"/>
      <c r="AE41" s="59"/>
      <c r="AF41" s="59"/>
      <c r="AG41" s="60"/>
      <c r="AH41" s="59"/>
    </row>
    <row r="42" spans="1:40" s="17" customFormat="1" ht="17.25" x14ac:dyDescent="0.4">
      <c r="A42" s="26" t="s">
        <v>36</v>
      </c>
      <c r="B42" s="27">
        <v>10225.526540000001</v>
      </c>
      <c r="C42" s="25"/>
      <c r="D42" s="25">
        <v>192060.77072</v>
      </c>
      <c r="E42" s="25">
        <v>175.76229999999998</v>
      </c>
      <c r="F42" s="25">
        <v>51897.619210000004</v>
      </c>
      <c r="G42" s="25">
        <v>48746.367439999995</v>
      </c>
      <c r="H42" s="33">
        <v>645.68739000000005</v>
      </c>
      <c r="I42" s="33">
        <v>83375.757440000001</v>
      </c>
      <c r="J42" s="33">
        <f>241054051.17/1000</f>
        <v>241054.05116999999</v>
      </c>
      <c r="K42" s="67">
        <v>2141.2748999999999</v>
      </c>
      <c r="L42" s="67">
        <v>493066.62354</v>
      </c>
      <c r="M42" s="67">
        <v>1234074.0657000002</v>
      </c>
      <c r="N42" s="98">
        <v>334613.03081000003</v>
      </c>
      <c r="O42" s="94">
        <f t="shared" si="9"/>
        <v>1.1766645606221227</v>
      </c>
      <c r="P42" s="101">
        <f t="shared" si="10"/>
        <v>8.9650656244931234E-3</v>
      </c>
      <c r="Q42" s="80">
        <f t="shared" si="0"/>
        <v>1.8512061013034466</v>
      </c>
      <c r="R42" s="80">
        <f t="shared" si="1"/>
        <v>4.0264435109605872</v>
      </c>
      <c r="S42" s="103">
        <f t="shared" si="2"/>
        <v>1.1479880723733964</v>
      </c>
      <c r="T42" s="80">
        <f t="shared" si="3"/>
        <v>189.11767469515414</v>
      </c>
      <c r="U42" s="80">
        <f t="shared" si="4"/>
        <v>-99.111703416886414</v>
      </c>
      <c r="V42" s="80">
        <f t="shared" si="5"/>
        <v>22926.778277744721</v>
      </c>
      <c r="W42" s="80">
        <f t="shared" si="6"/>
        <v>150.2854597701006</v>
      </c>
      <c r="X42" s="80">
        <f t="shared" si="7"/>
        <v>-72.885498519880286</v>
      </c>
      <c r="Y42" s="58" t="s">
        <v>70</v>
      </c>
      <c r="Z42" s="59"/>
      <c r="AA42" s="59"/>
      <c r="AB42" s="59"/>
      <c r="AC42" s="59"/>
      <c r="AD42" s="59"/>
      <c r="AE42" s="59"/>
      <c r="AF42" s="59"/>
      <c r="AG42" s="60"/>
      <c r="AH42" s="59"/>
    </row>
    <row r="43" spans="1:40" s="17" customFormat="1" ht="17.25" x14ac:dyDescent="0.4">
      <c r="A43" s="26" t="s">
        <v>12</v>
      </c>
      <c r="B43" s="27">
        <v>18251</v>
      </c>
      <c r="C43" s="25"/>
      <c r="D43" s="25">
        <v>91698.00937</v>
      </c>
      <c r="E43" s="25">
        <v>49444.010689999996</v>
      </c>
      <c r="F43" s="25">
        <v>52437.723700000002</v>
      </c>
      <c r="G43" s="25">
        <v>69253.833299999998</v>
      </c>
      <c r="H43" s="33">
        <v>82237.070499999681</v>
      </c>
      <c r="I43" s="33">
        <v>125268.99720000001</v>
      </c>
      <c r="J43" s="33">
        <f>179221803.8/1000</f>
        <v>179221.80380000002</v>
      </c>
      <c r="K43" s="67">
        <v>170849.34922</v>
      </c>
      <c r="L43" s="67">
        <v>164692.76721000002</v>
      </c>
      <c r="M43" s="67">
        <v>217507.27962999977</v>
      </c>
      <c r="N43" s="98">
        <v>388943.02011000004</v>
      </c>
      <c r="O43" s="94">
        <f t="shared" si="9"/>
        <v>0.87484090808126835</v>
      </c>
      <c r="P43" s="101">
        <f t="shared" si="10"/>
        <v>0.71531013026830104</v>
      </c>
      <c r="Q43" s="80">
        <f t="shared" si="0"/>
        <v>0.6183348069897634</v>
      </c>
      <c r="R43" s="80">
        <f t="shared" si="1"/>
        <v>0.70966629880203824</v>
      </c>
      <c r="S43" s="103">
        <f t="shared" si="2"/>
        <v>1.3343830239913723</v>
      </c>
      <c r="T43" s="80">
        <f t="shared" si="3"/>
        <v>43.069560550453581</v>
      </c>
      <c r="U43" s="80">
        <f t="shared" si="4"/>
        <v>-4.6715602691640905</v>
      </c>
      <c r="V43" s="80">
        <f t="shared" si="5"/>
        <v>-3.6035150488470697</v>
      </c>
      <c r="W43" s="80">
        <f t="shared" si="6"/>
        <v>32.068507509292061</v>
      </c>
      <c r="X43" s="80">
        <f t="shared" si="7"/>
        <v>78.818392088590556</v>
      </c>
      <c r="Y43" s="57" t="s">
        <v>64</v>
      </c>
      <c r="Z43" s="59"/>
      <c r="AA43" s="59"/>
      <c r="AB43" s="59"/>
      <c r="AC43" s="59"/>
      <c r="AD43" s="59"/>
      <c r="AE43" s="59"/>
      <c r="AF43" s="59"/>
      <c r="AG43" s="60"/>
      <c r="AH43" s="59"/>
    </row>
    <row r="44" spans="1:40" s="70" customFormat="1" ht="17.25" x14ac:dyDescent="0.4">
      <c r="A44" s="28" t="s">
        <v>30</v>
      </c>
      <c r="B44" s="32">
        <v>235219.99874999997</v>
      </c>
      <c r="C44" s="30"/>
      <c r="D44" s="30">
        <v>280840.71360999998</v>
      </c>
      <c r="E44" s="31">
        <v>407556.19584000006</v>
      </c>
      <c r="F44" s="31">
        <v>556300.65726000001</v>
      </c>
      <c r="G44" s="31">
        <v>542275.60709000006</v>
      </c>
      <c r="H44" s="82">
        <v>423221.01634999993</v>
      </c>
      <c r="I44" s="82">
        <v>548195.71004999999</v>
      </c>
      <c r="J44" s="82">
        <f>SUM(J45:J47)</f>
        <v>558906.88815000001</v>
      </c>
      <c r="K44" s="2">
        <v>599483.29238</v>
      </c>
      <c r="L44" s="2">
        <f>SUM(L45:L47)</f>
        <v>695240.01090999995</v>
      </c>
      <c r="M44" s="2">
        <f>SUM(M45:M47)</f>
        <v>875337.33420000016</v>
      </c>
      <c r="N44" s="2">
        <f>SUM(N45:N47)</f>
        <v>828695.95561000006</v>
      </c>
      <c r="O44" s="93">
        <f t="shared" si="9"/>
        <v>2.7282093986045566</v>
      </c>
      <c r="P44" s="92">
        <f t="shared" si="10"/>
        <v>2.5099098938552444</v>
      </c>
      <c r="Q44" s="74">
        <f t="shared" si="0"/>
        <v>2.6102609436967015</v>
      </c>
      <c r="R44" s="74">
        <f t="shared" si="1"/>
        <v>2.8559844397928744</v>
      </c>
      <c r="S44" s="69">
        <f t="shared" si="2"/>
        <v>2.8430843543703461</v>
      </c>
      <c r="T44" s="74">
        <f t="shared" si="3"/>
        <v>1.9538967386342865</v>
      </c>
      <c r="U44" s="74">
        <f t="shared" si="4"/>
        <v>7.2599578016132886</v>
      </c>
      <c r="V44" s="74">
        <f t="shared" si="5"/>
        <v>15.973208886245619</v>
      </c>
      <c r="W44" s="74">
        <f t="shared" si="6"/>
        <v>25.904338137022741</v>
      </c>
      <c r="X44" s="74">
        <f t="shared" si="7"/>
        <v>-5.3283890413091086</v>
      </c>
      <c r="Y44" s="56" t="s">
        <v>83</v>
      </c>
      <c r="Z44" s="63"/>
      <c r="AA44" s="63"/>
      <c r="AB44" s="63"/>
      <c r="AC44" s="63"/>
      <c r="AD44" s="63"/>
      <c r="AE44" s="63"/>
      <c r="AF44" s="63"/>
      <c r="AG44" s="64"/>
      <c r="AH44" s="63"/>
    </row>
    <row r="45" spans="1:40" s="17" customFormat="1" ht="17.25" x14ac:dyDescent="0.4">
      <c r="A45" s="26" t="s">
        <v>31</v>
      </c>
      <c r="B45" s="33">
        <v>195891.04432999998</v>
      </c>
      <c r="C45" s="25"/>
      <c r="D45" s="25">
        <v>203300.3879</v>
      </c>
      <c r="E45" s="25">
        <v>265394.56141000002</v>
      </c>
      <c r="F45" s="25">
        <v>326545.99301999999</v>
      </c>
      <c r="G45" s="25">
        <v>347495.04765000002</v>
      </c>
      <c r="H45" s="33">
        <v>341128.37851999997</v>
      </c>
      <c r="I45" s="33">
        <v>388993.97334000003</v>
      </c>
      <c r="J45" s="33">
        <f>447037316.74/1000</f>
        <v>447037.31674000004</v>
      </c>
      <c r="K45" s="67">
        <v>481298.19501999998</v>
      </c>
      <c r="L45" s="67">
        <v>498078.70767999999</v>
      </c>
      <c r="M45" s="67">
        <v>564959.35370000009</v>
      </c>
      <c r="N45" s="98">
        <v>493651.14</v>
      </c>
      <c r="O45" s="94">
        <f t="shared" si="9"/>
        <v>2.1821370158703597</v>
      </c>
      <c r="P45" s="101">
        <f t="shared" si="10"/>
        <v>2.0150938598796397</v>
      </c>
      <c r="Q45" s="80">
        <f t="shared" si="0"/>
        <v>1.8700238437691592</v>
      </c>
      <c r="R45" s="80">
        <f t="shared" si="1"/>
        <v>1.8433066433265799</v>
      </c>
      <c r="S45" s="103">
        <f t="shared" si="2"/>
        <v>1.6936149176907471</v>
      </c>
      <c r="T45" s="80">
        <f t="shared" si="3"/>
        <v>14.921399141900652</v>
      </c>
      <c r="U45" s="80">
        <f t="shared" si="4"/>
        <v>7.6639862036229758</v>
      </c>
      <c r="V45" s="80">
        <f t="shared" si="5"/>
        <v>3.4865106151712677</v>
      </c>
      <c r="W45" s="80">
        <f t="shared" si="6"/>
        <v>13.427726379134604</v>
      </c>
      <c r="X45" s="80">
        <f t="shared" si="7"/>
        <v>-12.621830797736569</v>
      </c>
      <c r="Y45" s="58" t="s">
        <v>39</v>
      </c>
      <c r="Z45" s="59"/>
      <c r="AA45" s="59"/>
      <c r="AB45" s="59"/>
      <c r="AC45" s="59"/>
      <c r="AD45" s="59"/>
      <c r="AE45" s="59"/>
      <c r="AF45" s="59"/>
      <c r="AH45" s="59"/>
    </row>
    <row r="46" spans="1:40" s="17" customFormat="1" ht="17.25" x14ac:dyDescent="0.4">
      <c r="A46" s="26" t="s">
        <v>32</v>
      </c>
      <c r="B46" s="33">
        <v>39328.954420000002</v>
      </c>
      <c r="C46" s="25"/>
      <c r="D46" s="25">
        <v>77540.32570999999</v>
      </c>
      <c r="E46" s="25">
        <v>142161.63443000001</v>
      </c>
      <c r="F46" s="25">
        <v>203939.01424000002</v>
      </c>
      <c r="G46" s="25">
        <v>194276.36552000002</v>
      </c>
      <c r="H46" s="33">
        <v>82092.637829999992</v>
      </c>
      <c r="I46" s="33">
        <v>159201.73670999997</v>
      </c>
      <c r="J46" s="33">
        <f>111869571.41/1000</f>
        <v>111869.57140999999</v>
      </c>
      <c r="K46" s="67">
        <v>118185.09736</v>
      </c>
      <c r="L46" s="67">
        <v>197161.30322999999</v>
      </c>
      <c r="M46" s="67">
        <v>310107.57220999995</v>
      </c>
      <c r="N46" s="98">
        <v>335044.81560999999</v>
      </c>
      <c r="O46" s="94">
        <f t="shared" si="9"/>
        <v>0.54607238273419645</v>
      </c>
      <c r="P46" s="101">
        <f t="shared" si="10"/>
        <v>0.49481603397560447</v>
      </c>
      <c r="Q46" s="80">
        <f t="shared" si="0"/>
        <v>0.74023709992754239</v>
      </c>
      <c r="R46" s="80">
        <f t="shared" si="1"/>
        <v>1.0117955287525138</v>
      </c>
      <c r="S46" s="103">
        <f t="shared" si="2"/>
        <v>1.1494694366795988</v>
      </c>
      <c r="T46" s="80">
        <f t="shared" si="3"/>
        <v>-29.730935276302734</v>
      </c>
      <c r="U46" s="80">
        <f t="shared" si="4"/>
        <v>5.6454367978703699</v>
      </c>
      <c r="V46" s="80">
        <f t="shared" si="5"/>
        <v>66.824166188595669</v>
      </c>
      <c r="W46" s="80">
        <f t="shared" si="6"/>
        <v>57.28622560799451</v>
      </c>
      <c r="X46" s="80">
        <f>((N46-M46)/M46)*100</f>
        <v>8.0414816130684255</v>
      </c>
      <c r="Y46" s="58" t="s">
        <v>71</v>
      </c>
      <c r="Z46" s="59"/>
      <c r="AA46" s="59"/>
      <c r="AB46" s="59"/>
      <c r="AC46" s="59"/>
      <c r="AD46" s="59"/>
      <c r="AE46" s="59"/>
      <c r="AF46" s="59"/>
      <c r="AG46" s="60"/>
      <c r="AH46" s="59"/>
    </row>
    <row r="47" spans="1:40" s="17" customFormat="1" ht="16.5" x14ac:dyDescent="0.35">
      <c r="A47" s="55" t="s">
        <v>85</v>
      </c>
      <c r="B47" s="34"/>
      <c r="C47" s="35"/>
      <c r="D47" s="35">
        <v>0</v>
      </c>
      <c r="E47" s="36">
        <v>0</v>
      </c>
      <c r="F47" s="36">
        <v>25815.65</v>
      </c>
      <c r="G47" s="36">
        <v>504.19391999999999</v>
      </c>
      <c r="H47" s="83">
        <v>0</v>
      </c>
      <c r="I47" s="83">
        <v>0</v>
      </c>
      <c r="J47" s="83">
        <v>0</v>
      </c>
      <c r="K47" s="68">
        <v>0</v>
      </c>
      <c r="L47" s="68">
        <v>0</v>
      </c>
      <c r="M47" s="68">
        <v>270.40829000016674</v>
      </c>
      <c r="N47" s="99">
        <v>0</v>
      </c>
      <c r="O47" s="95">
        <f t="shared" si="9"/>
        <v>0</v>
      </c>
      <c r="P47" s="102">
        <f t="shared" si="10"/>
        <v>0</v>
      </c>
      <c r="Q47" s="84">
        <f t="shared" si="0"/>
        <v>0</v>
      </c>
      <c r="R47" s="84">
        <f t="shared" si="1"/>
        <v>8.8226771378064142E-4</v>
      </c>
      <c r="S47" s="104">
        <f t="shared" si="2"/>
        <v>0</v>
      </c>
      <c r="T47" s="87">
        <v>0</v>
      </c>
      <c r="U47" s="87">
        <v>0</v>
      </c>
      <c r="V47" s="88">
        <v>0</v>
      </c>
      <c r="W47" s="88">
        <v>0</v>
      </c>
      <c r="X47" s="105">
        <f>((N47-M47)/M47)*100</f>
        <v>-100</v>
      </c>
      <c r="Y47" s="86" t="s">
        <v>64</v>
      </c>
      <c r="Z47" s="59"/>
      <c r="AA47" s="59"/>
      <c r="AB47" s="59"/>
      <c r="AC47" s="59"/>
      <c r="AD47" s="59"/>
      <c r="AE47" s="59"/>
      <c r="AF47" s="59"/>
      <c r="AG47" s="60"/>
      <c r="AH47" s="59"/>
    </row>
    <row r="48" spans="1:40" s="1" customFormat="1" ht="17.25" x14ac:dyDescent="0.4">
      <c r="A48" s="73" t="s">
        <v>33</v>
      </c>
      <c r="B48" s="37"/>
      <c r="C48" s="37"/>
      <c r="D48" s="37"/>
      <c r="E48" s="38"/>
      <c r="F48" s="38"/>
      <c r="G48" s="38"/>
      <c r="H48" s="38"/>
      <c r="I48" s="38"/>
      <c r="J48" s="38"/>
      <c r="K48" s="38"/>
      <c r="L48" s="38"/>
      <c r="M48" s="38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74"/>
      <c r="Y48" s="61" t="s">
        <v>72</v>
      </c>
      <c r="Z48" s="59"/>
      <c r="AA48" s="59"/>
      <c r="AB48" s="59"/>
      <c r="AC48" s="59"/>
      <c r="AD48" s="59"/>
      <c r="AE48" s="59"/>
      <c r="AF48" s="59"/>
      <c r="AG48" s="60"/>
      <c r="AH48" s="59"/>
      <c r="AK48" s="14"/>
    </row>
    <row r="49" spans="1:34" s="17" customFormat="1" x14ac:dyDescent="0.25">
      <c r="A49" s="3"/>
      <c r="B49" s="39"/>
      <c r="C49" s="39"/>
      <c r="D49" s="39"/>
      <c r="E49" s="40"/>
      <c r="F49" s="40"/>
      <c r="G49" s="40"/>
      <c r="H49" s="40"/>
      <c r="I49" s="40"/>
      <c r="J49" s="40"/>
      <c r="K49" s="40"/>
      <c r="L49" s="40"/>
      <c r="M49" s="40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40"/>
      <c r="Z49" s="59"/>
      <c r="AA49" s="59"/>
      <c r="AB49" s="59"/>
      <c r="AC49" s="59"/>
      <c r="AD49" s="59"/>
      <c r="AE49" s="59"/>
      <c r="AF49" s="59"/>
      <c r="AG49" s="60"/>
      <c r="AH49" s="59"/>
    </row>
    <row r="50" spans="1:34" x14ac:dyDescent="0.25">
      <c r="Z50" s="59"/>
      <c r="AA50" s="59"/>
      <c r="AB50" s="59"/>
      <c r="AC50" s="59"/>
      <c r="AD50" s="59"/>
      <c r="AE50" s="59"/>
      <c r="AF50" s="59"/>
      <c r="AH50" s="59"/>
    </row>
    <row r="51" spans="1:34" x14ac:dyDescent="0.25">
      <c r="N51" s="41"/>
      <c r="O51" s="41"/>
      <c r="P51" s="41"/>
      <c r="Q51" s="41"/>
      <c r="R51" s="41"/>
      <c r="Z51" s="59"/>
      <c r="AA51" s="59"/>
      <c r="AB51" s="59"/>
      <c r="AC51" s="59"/>
      <c r="AD51" s="59"/>
      <c r="AE51" s="59"/>
      <c r="AF51" s="59"/>
      <c r="AH51" s="59"/>
    </row>
    <row r="52" spans="1:34" x14ac:dyDescent="0.25">
      <c r="N52" s="41"/>
      <c r="O52" s="41"/>
      <c r="P52" s="41"/>
      <c r="Q52" s="41"/>
      <c r="R52" s="41"/>
      <c r="Z52" s="63"/>
      <c r="AA52" s="63"/>
      <c r="AB52" s="63"/>
      <c r="AC52" s="63"/>
      <c r="AD52" s="63"/>
      <c r="AE52" s="63"/>
      <c r="AF52" s="63"/>
      <c r="AG52" s="64"/>
      <c r="AH52" s="59"/>
    </row>
    <row r="53" spans="1:34" x14ac:dyDescent="0.25">
      <c r="N53" s="41"/>
      <c r="O53" s="41"/>
      <c r="P53" s="41"/>
      <c r="Q53" s="41"/>
      <c r="R53" s="41"/>
    </row>
    <row r="54" spans="1:34" x14ac:dyDescent="0.25">
      <c r="N54" s="41"/>
      <c r="O54" s="41"/>
      <c r="P54" s="41"/>
      <c r="Q54" s="41"/>
      <c r="R54" s="41"/>
      <c r="AG54" s="62"/>
    </row>
    <row r="56" spans="1:34" x14ac:dyDescent="0.25">
      <c r="G56" s="42"/>
    </row>
    <row r="57" spans="1:34" x14ac:dyDescent="0.25">
      <c r="G57" s="43"/>
    </row>
    <row r="58" spans="1:34" x14ac:dyDescent="0.25">
      <c r="G58" s="43"/>
    </row>
    <row r="59" spans="1:34" x14ac:dyDescent="0.25">
      <c r="G59" s="43"/>
    </row>
    <row r="60" spans="1:34" x14ac:dyDescent="0.25">
      <c r="G60" s="43"/>
      <c r="H60" s="40"/>
      <c r="I60" s="40"/>
      <c r="J60" s="40"/>
      <c r="K60" s="40"/>
      <c r="L60" s="40"/>
      <c r="M60" s="40"/>
    </row>
    <row r="61" spans="1:34" x14ac:dyDescent="0.25">
      <c r="G61" s="43"/>
      <c r="H61" s="41"/>
      <c r="I61" s="41"/>
      <c r="J61" s="41"/>
      <c r="K61" s="41"/>
      <c r="L61" s="41"/>
      <c r="M61" s="41"/>
      <c r="N61" s="46"/>
      <c r="O61" s="46"/>
      <c r="P61" s="46"/>
      <c r="Q61" s="46"/>
      <c r="R61" s="46"/>
    </row>
    <row r="62" spans="1:34" x14ac:dyDescent="0.25">
      <c r="F62" s="44"/>
      <c r="G62" s="43"/>
      <c r="H62" s="41"/>
      <c r="I62" s="41"/>
      <c r="J62" s="41"/>
      <c r="K62" s="41"/>
      <c r="L62" s="41"/>
      <c r="M62" s="41"/>
      <c r="N62" s="46"/>
      <c r="O62" s="46"/>
      <c r="P62" s="46"/>
      <c r="Q62" s="46"/>
      <c r="R62" s="46"/>
    </row>
    <row r="63" spans="1:34" x14ac:dyDescent="0.25">
      <c r="A63" s="47"/>
      <c r="B63" s="48"/>
      <c r="C63" s="49"/>
      <c r="D63" s="49"/>
      <c r="E63" s="44"/>
      <c r="F63" s="44"/>
      <c r="G63" s="43"/>
      <c r="H63" s="41"/>
      <c r="I63" s="41"/>
      <c r="J63" s="41"/>
      <c r="K63" s="41"/>
      <c r="L63" s="41"/>
      <c r="M63" s="41"/>
      <c r="N63" s="46"/>
      <c r="O63" s="46"/>
      <c r="P63" s="46"/>
      <c r="Q63" s="46"/>
      <c r="R63" s="46"/>
    </row>
    <row r="64" spans="1:34" x14ac:dyDescent="0.25">
      <c r="A64" s="47"/>
      <c r="B64" s="48"/>
      <c r="C64" s="49"/>
      <c r="D64" s="49"/>
      <c r="E64" s="44"/>
      <c r="F64" s="44"/>
      <c r="G64" s="43"/>
      <c r="H64" s="41"/>
      <c r="I64" s="41"/>
      <c r="J64" s="41"/>
      <c r="K64" s="41"/>
      <c r="L64" s="41"/>
      <c r="M64" s="41"/>
      <c r="N64" s="46"/>
      <c r="O64" s="46"/>
      <c r="P64" s="46"/>
      <c r="Q64" s="46"/>
      <c r="R64" s="46"/>
    </row>
    <row r="65" spans="6:18" x14ac:dyDescent="0.25">
      <c r="F65" s="41"/>
      <c r="G65" s="41"/>
      <c r="H65" s="41"/>
      <c r="I65" s="41"/>
      <c r="J65" s="41"/>
      <c r="K65" s="41"/>
      <c r="L65" s="41"/>
      <c r="M65" s="41"/>
      <c r="N65" s="46"/>
      <c r="O65" s="46"/>
      <c r="P65" s="46"/>
      <c r="Q65" s="46"/>
      <c r="R65" s="46"/>
    </row>
    <row r="66" spans="6:18" x14ac:dyDescent="0.25">
      <c r="F66" s="41"/>
      <c r="G66" s="41"/>
      <c r="H66" s="41"/>
      <c r="I66" s="41"/>
      <c r="J66" s="41"/>
      <c r="K66" s="41"/>
      <c r="L66" s="41"/>
      <c r="M66" s="41"/>
      <c r="N66" s="46"/>
      <c r="O66" s="46"/>
      <c r="P66" s="46"/>
      <c r="Q66" s="46"/>
      <c r="R66" s="46"/>
    </row>
    <row r="67" spans="6:18" x14ac:dyDescent="0.25">
      <c r="F67" s="41"/>
      <c r="G67" s="41"/>
      <c r="H67" s="41"/>
      <c r="I67" s="41"/>
      <c r="J67" s="41"/>
      <c r="K67" s="41"/>
      <c r="L67" s="41"/>
      <c r="M67" s="41"/>
      <c r="N67" s="46"/>
      <c r="O67" s="46"/>
      <c r="P67" s="46"/>
      <c r="Q67" s="46"/>
      <c r="R67" s="46"/>
    </row>
  </sheetData>
  <mergeCells count="10">
    <mergeCell ref="A4:A6"/>
    <mergeCell ref="Y4:Y6"/>
    <mergeCell ref="A1:Z1"/>
    <mergeCell ref="A2:Z2"/>
    <mergeCell ref="E4:N4"/>
    <mergeCell ref="E5:N5"/>
    <mergeCell ref="P4:S4"/>
    <mergeCell ref="P5:S5"/>
    <mergeCell ref="U4:X4"/>
    <mergeCell ref="U5:X5"/>
  </mergeCells>
  <pageMargins left="0.17" right="0.17" top="0.32" bottom="0.3" header="0.2" footer="0.3"/>
  <pageSetup paperSize="9" scale="75" orientation="landscape" r:id="rId1"/>
  <rowBreaks count="2" manualBreakCount="2">
    <brk id="44" max="24" man="1"/>
    <brk id="80" max="24" man="1"/>
  </rowBreaks>
  <colBreaks count="1" manualBreakCount="1">
    <brk id="2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15.1</vt:lpstr>
      <vt:lpstr>'15.1'!Print_Area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Fathmath Shifaza</cp:lastModifiedBy>
  <cp:lastPrinted>2016-09-25T08:29:45Z</cp:lastPrinted>
  <dcterms:created xsi:type="dcterms:W3CDTF">2007-02-07T09:08:05Z</dcterms:created>
  <dcterms:modified xsi:type="dcterms:W3CDTF">2016-09-25T08:29:47Z</dcterms:modified>
</cp:coreProperties>
</file>