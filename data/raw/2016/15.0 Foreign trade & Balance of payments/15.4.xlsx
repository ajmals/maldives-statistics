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405" yWindow="495" windowWidth="9540" windowHeight="5040" tabRatio="845"/>
  </bookViews>
  <sheets>
    <sheet name="15.4" sheetId="51" r:id="rId1"/>
  </sheets>
  <externalReferences>
    <externalReference r:id="rId2"/>
    <externalReference r:id="rId3"/>
  </externalReferences>
  <definedNames>
    <definedName name="_tot3">#REF!</definedName>
    <definedName name="_tot4">#REF!</definedName>
    <definedName name="_tot5">#REF!</definedName>
    <definedName name="_tot6">#REF!</definedName>
    <definedName name="_tot7">#REF!</definedName>
    <definedName name="a">#REF!</definedName>
    <definedName name="bec">#REF!</definedName>
    <definedName name="ctry">'[1]CTRY monthly'!$B$100:$N$115</definedName>
    <definedName name="moomina">#REF!</definedName>
    <definedName name="_xlnm.Print_Area" localSheetId="0">'15.4'!$A$1:$G$34</definedName>
    <definedName name="Print_Area_MI">#REF!</definedName>
    <definedName name="tot">#REF!</definedName>
    <definedName name="total">#REF!</definedName>
    <definedName name="TOTE8">#REF!</definedName>
    <definedName name="tott3">#REF!</definedName>
  </definedNames>
  <calcPr calcId="144525"/>
  <customWorkbookViews>
    <customWorkbookView name="moomina - Personal View" guid="{606E8A6D-F254-43BE-81C6-5E26D3168B9C}" mergeInterval="0" personalView="1" maximized="1" windowWidth="1020" windowHeight="570" activeSheetId="8"/>
    <customWorkbookView name="iqbal - Personal View" guid="{55954F5B-8823-487D-89BD-5CAA49E9A156}" mergeInterval="0" personalView="1" maximized="1" windowWidth="1276" windowHeight="874" activeSheetId="12"/>
    <customWorkbookView name="hawwa zahira - Personal View" guid="{809AAACF-1F9F-4AA0-A069-E0E3B47FA09A}" mergeInterval="0" personalView="1" maximized="1" windowWidth="1148" windowHeight="692" tabRatio="814" activeSheetId="3"/>
    <customWorkbookView name="777 - Personal View" guid="{AA9F0C9E-78D8-4405-A52F-8AFEDA4EE48D}" mergeInterval="0" personalView="1" maximized="1" windowWidth="1276" windowHeight="852" activeSheetId="16"/>
  </customWorkbookViews>
</workbook>
</file>

<file path=xl/calcChain.xml><?xml version="1.0" encoding="utf-8"?>
<calcChain xmlns="http://schemas.openxmlformats.org/spreadsheetml/2006/main">
  <c r="V32" i="51" l="1"/>
  <c r="V34" i="51" s="1"/>
  <c r="D16" i="51"/>
  <c r="C16" i="51"/>
  <c r="E16" i="51" s="1"/>
  <c r="B16" i="51"/>
  <c r="C15" i="51"/>
  <c r="E15" i="51" s="1"/>
  <c r="B15" i="51"/>
  <c r="D14" i="51"/>
  <c r="C14" i="51"/>
  <c r="B14" i="51"/>
  <c r="D13" i="51"/>
  <c r="C13" i="51"/>
  <c r="B13" i="51"/>
  <c r="C12" i="51"/>
  <c r="B12" i="51"/>
  <c r="C11" i="51"/>
  <c r="E11" i="51" s="1"/>
  <c r="B11" i="51"/>
  <c r="D10" i="51"/>
  <c r="F10" i="51" s="1"/>
  <c r="C10" i="51"/>
  <c r="B10" i="51"/>
  <c r="D9" i="51"/>
  <c r="C9" i="51"/>
  <c r="B9" i="51"/>
  <c r="D8" i="51"/>
  <c r="C8" i="51"/>
  <c r="B8" i="51"/>
  <c r="D7" i="51"/>
  <c r="C7" i="51"/>
  <c r="B7" i="51"/>
  <c r="E7" i="51" s="1"/>
  <c r="F5" i="51"/>
  <c r="E5" i="51"/>
  <c r="F13" i="51" l="1"/>
  <c r="E10" i="51"/>
  <c r="E13" i="51"/>
  <c r="F16" i="51"/>
  <c r="E9" i="51"/>
  <c r="E14" i="51"/>
  <c r="F9" i="51"/>
  <c r="F14" i="51"/>
  <c r="F7" i="51"/>
  <c r="E12" i="51"/>
  <c r="E8" i="51"/>
  <c r="F8" i="51"/>
</calcChain>
</file>

<file path=xl/sharedStrings.xml><?xml version="1.0" encoding="utf-8"?>
<sst xmlns="http://schemas.openxmlformats.org/spreadsheetml/2006/main" count="70" uniqueCount="34">
  <si>
    <t>Total</t>
  </si>
  <si>
    <t>wlcmuj</t>
  </si>
  <si>
    <t>(cniaWyifur '000) ugwa</t>
  </si>
  <si>
    <t>Items</t>
  </si>
  <si>
    <t>wlcaimwa</t>
  </si>
  <si>
    <t>urWkurws</t>
  </si>
  <si>
    <t>Private</t>
  </si>
  <si>
    <t>Government</t>
  </si>
  <si>
    <t xml:space="preserve">wlcmuj  </t>
  </si>
  <si>
    <t>Fresh or Chilled Tuna</t>
  </si>
  <si>
    <t xml:space="preserve">cswmwncnuh iawfcaokinif wtwvun WzWt    </t>
  </si>
  <si>
    <t>Fresh or Chilled Reef Fish</t>
  </si>
  <si>
    <t xml:space="preserve">cswmurwfwncnuh iawfcaokinif wtwvun WzWt    </t>
  </si>
  <si>
    <t>Frozen Fish</t>
  </si>
  <si>
    <t xml:space="preserve">cswmirukinif  </t>
  </si>
  <si>
    <t>Dried Fish</t>
  </si>
  <si>
    <t>Salted Dried Fish</t>
  </si>
  <si>
    <t xml:space="preserve">cswmikihiLeaunol   </t>
  </si>
  <si>
    <t>Live Reef Fish</t>
  </si>
  <si>
    <t>Sea Cucumber</t>
  </si>
  <si>
    <t xml:space="preserve">Wdnwlifiauh  </t>
  </si>
  <si>
    <t>Canned Fish</t>
  </si>
  <si>
    <t xml:space="preserve">cswmirukudcnwb iawguLwd  </t>
  </si>
  <si>
    <t xml:space="preserve">cswmurwfErid  </t>
  </si>
  <si>
    <t>Fish Meal</t>
  </si>
  <si>
    <t>Other Marine Products</t>
  </si>
  <si>
    <t xml:space="preserve">cawtctwvWbeguDnwkcnehinehea        </t>
  </si>
  <si>
    <t xml:space="preserve">        Value (in MVR. '000)</t>
  </si>
  <si>
    <t>ބާވަތް</t>
  </si>
  <si>
    <t>cswmikih</t>
  </si>
  <si>
    <t>2015 ,WsWluh egukwtctwvWb unuverukurEb cnEjcaWr : 15.4 ulwvWt</t>
  </si>
  <si>
    <t>% share</t>
  </si>
  <si>
    <t>Other</t>
  </si>
  <si>
    <t>Table  15.4 :  SUMMARY OF MARINE PRODUCT EXPORTS BY COMMODITY,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</si>
</sst>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8" formatCode="_(* #,##0_);_(* \(#,##0\);_(* &quot;-&quot;??_);_(@_)"/>
    <numFmt numFmtId="169" formatCode="_(* #,##0.0_);_(* \(#,##0.0\);_(* &quot;-&quot;??_);_(@_)"/>
    <numFmt numFmtId="170" formatCode="0.00_)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_Randhoo"/>
    </font>
    <font>
      <sz val="10"/>
      <name val="Arial"/>
      <family val="2"/>
    </font>
    <font>
      <b/>
      <sz val="10"/>
      <name val="Calibri"/>
      <family val="2"/>
    </font>
    <font>
      <b/>
      <sz val="9"/>
      <name val="A_Randhoo"/>
    </font>
    <font>
      <b/>
      <sz val="10"/>
      <name val="A_Randhoo"/>
    </font>
    <font>
      <b/>
      <i/>
      <sz val="16"/>
      <name val="Helv"/>
    </font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9"/>
      <name val="Faruma"/>
    </font>
    <font>
      <b/>
      <sz val="11"/>
      <name val="Calibri"/>
      <family val="2"/>
    </font>
    <font>
      <i/>
      <sz val="9"/>
      <name val="A_Randhoo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_Randhoo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A_Randhoo"/>
    </font>
    <font>
      <b/>
      <sz val="11"/>
      <color theme="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7DFDD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67">
    <xf numFmtId="0" fontId="0" fillId="0" borderId="0"/>
    <xf numFmtId="0" fontId="3" fillId="0" borderId="0"/>
    <xf numFmtId="164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10" fillId="0" borderId="0"/>
    <xf numFmtId="0" fontId="11" fillId="0" borderId="0"/>
    <xf numFmtId="9" fontId="6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7" applyNumberFormat="0" applyFill="0" applyAlignment="0" applyProtection="0"/>
    <xf numFmtId="0" fontId="28" fillId="0" borderId="8" applyNumberFormat="0" applyFill="0" applyAlignment="0" applyProtection="0"/>
    <xf numFmtId="0" fontId="29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2" fillId="5" borderId="0" applyNumberFormat="0" applyBorder="0" applyAlignment="0" applyProtection="0"/>
    <xf numFmtId="0" fontId="33" fillId="6" borderId="10" applyNumberFormat="0" applyAlignment="0" applyProtection="0"/>
    <xf numFmtId="0" fontId="34" fillId="7" borderId="11" applyNumberFormat="0" applyAlignment="0" applyProtection="0"/>
    <xf numFmtId="0" fontId="35" fillId="7" borderId="10" applyNumberFormat="0" applyAlignment="0" applyProtection="0"/>
    <xf numFmtId="0" fontId="36" fillId="0" borderId="12" applyNumberFormat="0" applyFill="0" applyAlignment="0" applyProtection="0"/>
    <xf numFmtId="0" fontId="37" fillId="8" borderId="13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8" fillId="0" borderId="15" applyNumberFormat="0" applyFill="0" applyAlignment="0" applyProtection="0"/>
    <xf numFmtId="0" fontId="40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0" fillId="17" borderId="0" applyNumberFormat="0" applyBorder="0" applyAlignment="0" applyProtection="0"/>
    <xf numFmtId="0" fontId="40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0" fillId="21" borderId="0" applyNumberFormat="0" applyBorder="0" applyAlignment="0" applyProtection="0"/>
    <xf numFmtId="0" fontId="40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0" fillId="25" borderId="0" applyNumberFormat="0" applyBorder="0" applyAlignment="0" applyProtection="0"/>
    <xf numFmtId="0" fontId="40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0" fillId="29" borderId="0" applyNumberFormat="0" applyBorder="0" applyAlignment="0" applyProtection="0"/>
    <xf numFmtId="0" fontId="40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0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9" borderId="1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9">
    <xf numFmtId="0" fontId="0" fillId="0" borderId="0" xfId="0"/>
    <xf numFmtId="0" fontId="5" fillId="2" borderId="0" xfId="0" applyFont="1" applyFill="1" applyBorder="1" applyAlignment="1">
      <alignment horizontal="right" vertical="center"/>
    </xf>
    <xf numFmtId="0" fontId="24" fillId="2" borderId="0" xfId="0" applyFont="1" applyFill="1" applyAlignment="1" applyProtection="1">
      <alignment horizontal="left" vertical="center"/>
    </xf>
    <xf numFmtId="0" fontId="7" fillId="2" borderId="6" xfId="0" applyFont="1" applyFill="1" applyBorder="1" applyAlignment="1">
      <alignment vertical="center"/>
    </xf>
    <xf numFmtId="0" fontId="9" fillId="2" borderId="6" xfId="0" applyFont="1" applyFill="1" applyBorder="1" applyAlignment="1">
      <alignment horizontal="right" vertical="center"/>
    </xf>
    <xf numFmtId="0" fontId="7" fillId="2" borderId="1" xfId="0" applyFont="1" applyFill="1" applyBorder="1" applyAlignment="1" applyProtection="1">
      <alignment horizontal="right" vertical="center"/>
    </xf>
    <xf numFmtId="0" fontId="21" fillId="2" borderId="0" xfId="0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0" fillId="2" borderId="0" xfId="0" applyFill="1"/>
    <xf numFmtId="0" fontId="7" fillId="2" borderId="3" xfId="0" applyFont="1" applyFill="1" applyBorder="1" applyAlignment="1" applyProtection="1">
      <alignment horizontal="right" vertical="center"/>
    </xf>
    <xf numFmtId="0" fontId="19" fillId="2" borderId="0" xfId="0" applyNumberFormat="1" applyFont="1" applyFill="1" applyBorder="1" applyAlignment="1" applyProtection="1">
      <alignment vertical="center" wrapText="1"/>
    </xf>
    <xf numFmtId="0" fontId="8" fillId="2" borderId="0" xfId="0" applyFont="1" applyFill="1" applyBorder="1" applyAlignment="1">
      <alignment horizontal="right" vertical="center" wrapText="1"/>
    </xf>
    <xf numFmtId="0" fontId="25" fillId="2" borderId="0" xfId="0" applyNumberFormat="1" applyFont="1" applyFill="1" applyBorder="1" applyAlignment="1">
      <alignment horizontal="left" vertical="center" wrapText="1" indent="2"/>
    </xf>
    <xf numFmtId="0" fontId="5" fillId="2" borderId="0" xfId="0" applyFont="1" applyFill="1" applyBorder="1" applyAlignment="1">
      <alignment horizontal="right" vertical="center" wrapText="1" indent="2"/>
    </xf>
    <xf numFmtId="0" fontId="17" fillId="2" borderId="0" xfId="0" applyFont="1" applyFill="1" applyBorder="1" applyAlignment="1">
      <alignment horizontal="right" vertical="center" wrapText="1" indent="2"/>
    </xf>
    <xf numFmtId="0" fontId="8" fillId="2" borderId="0" xfId="0" applyFont="1" applyFill="1" applyBorder="1" applyAlignment="1">
      <alignment horizontal="right" vertical="center"/>
    </xf>
    <xf numFmtId="0" fontId="0" fillId="34" borderId="0" xfId="0" applyFill="1"/>
    <xf numFmtId="0" fontId="5" fillId="2" borderId="1" xfId="0" applyFont="1" applyFill="1" applyBorder="1" applyAlignment="1">
      <alignment horizontal="right" vertical="center" wrapText="1" indent="2" readingOrder="1"/>
    </xf>
    <xf numFmtId="169" fontId="22" fillId="2" borderId="0" xfId="0" applyNumberFormat="1" applyFont="1" applyFill="1" applyAlignment="1">
      <alignment vertical="center"/>
    </xf>
    <xf numFmtId="0" fontId="25" fillId="35" borderId="0" xfId="0" applyNumberFormat="1" applyFont="1" applyFill="1" applyBorder="1" applyAlignment="1">
      <alignment horizontal="left" vertical="center" wrapText="1" indent="2"/>
    </xf>
    <xf numFmtId="169" fontId="0" fillId="35" borderId="0" xfId="0" applyNumberFormat="1" applyFill="1"/>
    <xf numFmtId="169" fontId="22" fillId="35" borderId="0" xfId="0" applyNumberFormat="1" applyFont="1" applyFill="1" applyAlignment="1">
      <alignment vertical="center"/>
    </xf>
    <xf numFmtId="0" fontId="25" fillId="34" borderId="0" xfId="0" applyNumberFormat="1" applyFont="1" applyFill="1" applyBorder="1" applyAlignment="1">
      <alignment horizontal="left" vertical="center" wrapText="1" indent="2"/>
    </xf>
    <xf numFmtId="169" fontId="22" fillId="34" borderId="0" xfId="0" applyNumberFormat="1" applyFont="1" applyFill="1" applyAlignment="1">
      <alignment vertical="center"/>
    </xf>
    <xf numFmtId="169" fontId="0" fillId="34" borderId="0" xfId="0" applyNumberFormat="1" applyFill="1"/>
    <xf numFmtId="0" fontId="7" fillId="34" borderId="1" xfId="0" applyFont="1" applyFill="1" applyBorder="1" applyAlignment="1" applyProtection="1">
      <alignment horizontal="right" vertical="center"/>
    </xf>
    <xf numFmtId="1" fontId="0" fillId="34" borderId="0" xfId="0" applyNumberFormat="1" applyFill="1"/>
    <xf numFmtId="0" fontId="3" fillId="34" borderId="0" xfId="0" applyFont="1" applyFill="1"/>
    <xf numFmtId="168" fontId="0" fillId="34" borderId="0" xfId="0" applyNumberFormat="1" applyFill="1"/>
    <xf numFmtId="0" fontId="7" fillId="2" borderId="6" xfId="0" applyFont="1" applyFill="1" applyBorder="1" applyAlignment="1" applyProtection="1">
      <alignment horizontal="left" vertical="center"/>
    </xf>
    <xf numFmtId="168" fontId="19" fillId="2" borderId="0" xfId="3" applyNumberFormat="1" applyFont="1" applyFill="1" applyBorder="1" applyAlignment="1">
      <alignment horizontal="right" vertical="center"/>
    </xf>
    <xf numFmtId="168" fontId="19" fillId="2" borderId="2" xfId="3" applyNumberFormat="1" applyFont="1" applyFill="1" applyBorder="1" applyAlignment="1">
      <alignment horizontal="right" vertical="center"/>
    </xf>
    <xf numFmtId="0" fontId="20" fillId="2" borderId="0" xfId="0" applyNumberFormat="1" applyFont="1" applyFill="1" applyBorder="1" applyAlignment="1">
      <alignment horizontal="left" vertical="center" wrapText="1" indent="2"/>
    </xf>
    <xf numFmtId="0" fontId="20" fillId="2" borderId="1" xfId="0" applyNumberFormat="1" applyFont="1" applyFill="1" applyBorder="1" applyAlignment="1">
      <alignment horizontal="left" vertical="center" wrapText="1" indent="2"/>
    </xf>
    <xf numFmtId="168" fontId="19" fillId="2" borderId="1" xfId="3" applyNumberFormat="1" applyFont="1" applyFill="1" applyBorder="1" applyAlignment="1">
      <alignment horizontal="right" vertical="center"/>
    </xf>
    <xf numFmtId="3" fontId="41" fillId="2" borderId="0" xfId="0" applyNumberFormat="1" applyFont="1" applyFill="1" applyBorder="1" applyAlignment="1">
      <alignment vertical="center"/>
    </xf>
    <xf numFmtId="0" fontId="16" fillId="2" borderId="0" xfId="0" applyFont="1" applyFill="1" applyBorder="1" applyAlignment="1" applyProtection="1">
      <alignment vertical="center"/>
    </xf>
    <xf numFmtId="0" fontId="0" fillId="2" borderId="0" xfId="0" applyFill="1" applyBorder="1"/>
    <xf numFmtId="0" fontId="22" fillId="2" borderId="0" xfId="0" applyFont="1" applyFill="1" applyBorder="1" applyAlignment="1">
      <alignment vertical="center"/>
    </xf>
    <xf numFmtId="169" fontId="22" fillId="2" borderId="0" xfId="0" applyNumberFormat="1" applyFont="1" applyFill="1" applyBorder="1" applyAlignment="1">
      <alignment vertical="center"/>
    </xf>
    <xf numFmtId="169" fontId="0" fillId="2" borderId="0" xfId="0" applyNumberFormat="1" applyFill="1" applyBorder="1"/>
    <xf numFmtId="168" fontId="20" fillId="2" borderId="0" xfId="3" applyNumberFormat="1" applyFont="1" applyFill="1" applyBorder="1" applyAlignment="1">
      <alignment horizontal="right" vertical="center"/>
    </xf>
    <xf numFmtId="168" fontId="20" fillId="2" borderId="1" xfId="3" applyNumberFormat="1" applyFont="1" applyFill="1" applyBorder="1" applyAlignment="1">
      <alignment horizontal="right" vertical="center"/>
    </xf>
    <xf numFmtId="0" fontId="7" fillId="2" borderId="16" xfId="0" applyFont="1" applyFill="1" applyBorder="1" applyAlignment="1" applyProtection="1">
      <alignment horizontal="right" vertical="center"/>
    </xf>
    <xf numFmtId="0" fontId="8" fillId="2" borderId="4" xfId="0" applyFont="1" applyFill="1" applyBorder="1" applyAlignment="1">
      <alignment horizontal="right" vertical="center"/>
    </xf>
    <xf numFmtId="0" fontId="7" fillId="2" borderId="5" xfId="0" applyFont="1" applyFill="1" applyBorder="1" applyAlignment="1" applyProtection="1">
      <alignment horizontal="right" vertical="center"/>
    </xf>
    <xf numFmtId="168" fontId="19" fillId="2" borderId="4" xfId="3" applyNumberFormat="1" applyFont="1" applyFill="1" applyBorder="1" applyAlignment="1">
      <alignment horizontal="right" vertical="center"/>
    </xf>
    <xf numFmtId="168" fontId="20" fillId="2" borderId="4" xfId="3" applyNumberFormat="1" applyFont="1" applyFill="1" applyBorder="1" applyAlignment="1">
      <alignment horizontal="right" vertical="center"/>
    </xf>
    <xf numFmtId="168" fontId="20" fillId="2" borderId="5" xfId="3" applyNumberFormat="1" applyFont="1" applyFill="1" applyBorder="1" applyAlignment="1">
      <alignment horizontal="right" vertical="center"/>
    </xf>
    <xf numFmtId="37" fontId="20" fillId="2" borderId="0" xfId="3" applyNumberFormat="1" applyFont="1" applyFill="1" applyBorder="1" applyAlignment="1">
      <alignment horizontal="right" vertical="center"/>
    </xf>
    <xf numFmtId="0" fontId="19" fillId="2" borderId="0" xfId="0" applyFont="1" applyFill="1" applyBorder="1" applyAlignment="1" applyProtection="1">
      <alignment horizontal="left" vertical="center"/>
    </xf>
    <xf numFmtId="0" fontId="19" fillId="2" borderId="2" xfId="0" applyFont="1" applyFill="1" applyBorder="1" applyAlignment="1" applyProtection="1">
      <alignment horizontal="left" vertical="center"/>
    </xf>
    <xf numFmtId="0" fontId="19" fillId="2" borderId="1" xfId="0" applyFont="1" applyFill="1" applyBorder="1" applyAlignment="1" applyProtection="1">
      <alignment horizontal="left" vertical="center"/>
    </xf>
    <xf numFmtId="0" fontId="15" fillId="2" borderId="2" xfId="0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right" vertical="center"/>
    </xf>
    <xf numFmtId="3" fontId="23" fillId="2" borderId="0" xfId="0" applyNumberFormat="1" applyFont="1" applyFill="1" applyAlignment="1">
      <alignment horizontal="center" vertical="center"/>
    </xf>
    <xf numFmtId="0" fontId="42" fillId="2" borderId="1" xfId="0" applyFont="1" applyFill="1" applyBorder="1" applyAlignment="1" applyProtection="1">
      <alignment horizontal="center" vertical="center"/>
    </xf>
  </cellXfs>
  <cellStyles count="67">
    <cellStyle name="1" xfId="1"/>
    <cellStyle name="20% - Accent1" xfId="24" builtinId="30" customBuiltin="1"/>
    <cellStyle name="20% - Accent1 2" xfId="55"/>
    <cellStyle name="20% - Accent2" xfId="28" builtinId="34" customBuiltin="1"/>
    <cellStyle name="20% - Accent2 2" xfId="57"/>
    <cellStyle name="20% - Accent3" xfId="32" builtinId="38" customBuiltin="1"/>
    <cellStyle name="20% - Accent3 2" xfId="59"/>
    <cellStyle name="20% - Accent4" xfId="36" builtinId="42" customBuiltin="1"/>
    <cellStyle name="20% - Accent4 2" xfId="61"/>
    <cellStyle name="20% - Accent5" xfId="40" builtinId="46" customBuiltin="1"/>
    <cellStyle name="20% - Accent5 2" xfId="63"/>
    <cellStyle name="20% - Accent6" xfId="44" builtinId="50" customBuiltin="1"/>
    <cellStyle name="20% - Accent6 2" xfId="65"/>
    <cellStyle name="40% - Accent1" xfId="25" builtinId="31" customBuiltin="1"/>
    <cellStyle name="40% - Accent1 2" xfId="56"/>
    <cellStyle name="40% - Accent2" xfId="29" builtinId="35" customBuiltin="1"/>
    <cellStyle name="40% - Accent2 2" xfId="58"/>
    <cellStyle name="40% - Accent3" xfId="33" builtinId="39" customBuiltin="1"/>
    <cellStyle name="40% - Accent3 2" xfId="60"/>
    <cellStyle name="40% - Accent4" xfId="37" builtinId="43" customBuiltin="1"/>
    <cellStyle name="40% - Accent4 2" xfId="62"/>
    <cellStyle name="40% - Accent5" xfId="41" builtinId="47" customBuiltin="1"/>
    <cellStyle name="40% - Accent5 2" xfId="64"/>
    <cellStyle name="40% - Accent6" xfId="45" builtinId="51" customBuiltin="1"/>
    <cellStyle name="40% - Accent6 2" xfId="66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 2" xfId="2"/>
    <cellStyle name="Comma 3" xfId="3"/>
    <cellStyle name="Comma 4" xfId="48"/>
    <cellStyle name="Comma 5" xfId="51"/>
    <cellStyle name="Explanatory Text" xfId="21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- Style1" xfId="4"/>
    <cellStyle name="Normal 2" xfId="5"/>
    <cellStyle name="Normal 3" xfId="47"/>
    <cellStyle name="Normal 4" xfId="50"/>
    <cellStyle name="Normal 5" xfId="52"/>
    <cellStyle name="Normal 6" xfId="54"/>
    <cellStyle name="Note 2" xfId="49"/>
    <cellStyle name="Note 3" xfId="53"/>
    <cellStyle name="Output" xfId="16" builtinId="21" customBuiltin="1"/>
    <cellStyle name="Percent 2" xfId="6"/>
    <cellStyle name="Title" xfId="7" builtinId="15" customBuiltin="1"/>
    <cellStyle name="Total" xfId="22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ABEBE9"/>
      <color rgb="FF77DFDD"/>
      <color rgb="FF2EC0BD"/>
      <color rgb="FF1C706E"/>
      <color rgb="FF041010"/>
      <color rgb="FF84E2E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Figure 15.3:  Percentage distribution of marine product exports by product, 2015</a:t>
            </a:r>
          </a:p>
        </c:rich>
      </c:tx>
      <c:layout>
        <c:manualLayout>
          <c:xMode val="edge"/>
          <c:yMode val="edge"/>
          <c:x val="0.11927513765592751"/>
          <c:y val="1.949317738791422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2802701086414832"/>
          <c:y val="0.29539345317684346"/>
          <c:w val="0.38012880097304907"/>
          <c:h val="0.683564949118202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C706E"/>
              </a:solidFill>
            </c:spPr>
          </c:dPt>
          <c:dPt>
            <c:idx val="1"/>
            <c:bubble3D val="0"/>
            <c:spPr>
              <a:solidFill>
                <a:srgbClr val="2EC0BD"/>
              </a:solidFill>
            </c:spPr>
          </c:dPt>
          <c:dPt>
            <c:idx val="2"/>
            <c:bubble3D val="0"/>
            <c:spPr>
              <a:solidFill>
                <a:srgbClr val="77DFDD"/>
              </a:solidFill>
            </c:spPr>
          </c:dPt>
          <c:dPt>
            <c:idx val="3"/>
            <c:bubble3D val="0"/>
            <c:spPr>
              <a:solidFill>
                <a:srgbClr val="ABEBE9"/>
              </a:solidFill>
            </c:spPr>
          </c:dPt>
          <c:dPt>
            <c:idx val="5"/>
            <c:bubble3D val="0"/>
            <c:spPr>
              <a:solidFill>
                <a:schemeClr val="bg1">
                  <a:lumMod val="85000"/>
                </a:schemeClr>
              </a:solidFill>
            </c:spPr>
          </c:dPt>
          <c:dPt>
            <c:idx val="7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</c:spPr>
          </c:dPt>
          <c:dLbls>
            <c:dLbl>
              <c:idx val="2"/>
              <c:layout>
                <c:manualLayout>
                  <c:x val="-2.1801222631981129E-2"/>
                  <c:y val="8.114231004143350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-3.7623758264394166E-2"/>
                  <c:y val="6.746034104227537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-0.13629788365061962"/>
                  <c:y val="1.71379520956106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-1.857952091431609E-2"/>
                  <c:y val="-3.062744515426137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0.10831472806405529"/>
                  <c:y val="-5.898116509021277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7"/>
              <c:layout>
                <c:manualLayout>
                  <c:x val="0.12568125186883286"/>
                  <c:y val="3.414681655359117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'15.4'!$U$25:$U$32</c:f>
              <c:strCache>
                <c:ptCount val="8"/>
                <c:pt idx="0">
                  <c:v>Fresh or Chilled Tuna</c:v>
                </c:pt>
                <c:pt idx="1">
                  <c:v>Frozen Fish</c:v>
                </c:pt>
                <c:pt idx="2">
                  <c:v>Canned Fish</c:v>
                </c:pt>
                <c:pt idx="3">
                  <c:v>Dried Fish</c:v>
                </c:pt>
                <c:pt idx="4">
                  <c:v>Fresh or Chilled Reef Fish</c:v>
                </c:pt>
                <c:pt idx="5">
                  <c:v>Salted Dried Fish</c:v>
                </c:pt>
                <c:pt idx="6">
                  <c:v>Live Reef Fish</c:v>
                </c:pt>
                <c:pt idx="7">
                  <c:v>Other</c:v>
                </c:pt>
              </c:strCache>
            </c:strRef>
          </c:cat>
          <c:val>
            <c:numRef>
              <c:f>'15.4'!$V$25:$V$32</c:f>
              <c:numCache>
                <c:formatCode>_(* #,##0.0_);_(* \(#,##0.0\);_(* "-"??_);_(@_)</c:formatCode>
                <c:ptCount val="8"/>
                <c:pt idx="0">
                  <c:v>49.72344960848325</c:v>
                </c:pt>
                <c:pt idx="1">
                  <c:v>28.476296966595292</c:v>
                </c:pt>
                <c:pt idx="2">
                  <c:v>9.855878737859463</c:v>
                </c:pt>
                <c:pt idx="3">
                  <c:v>5.935897363717725</c:v>
                </c:pt>
                <c:pt idx="4">
                  <c:v>2.7243348186616583</c:v>
                </c:pt>
                <c:pt idx="5">
                  <c:v>1.0431991232186293</c:v>
                </c:pt>
                <c:pt idx="6">
                  <c:v>0.89956000371720146</c:v>
                </c:pt>
                <c:pt idx="7">
                  <c:v>1.3413833777467561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u="none" strike="noStrike" baseline="0">
                <a:effectLst/>
              </a:rPr>
              <a:t>Figure 15.4:  </a:t>
            </a:r>
            <a:r>
              <a:rPr lang="en-US" sz="1200"/>
              <a:t>Percentage share of marine product exports by sector, 2015</a:t>
            </a:r>
          </a:p>
        </c:rich>
      </c:tx>
      <c:layout>
        <c:manualLayout>
          <c:xMode val="edge"/>
          <c:yMode val="edge"/>
          <c:x val="0.18502028792006417"/>
          <c:y val="4.5978552680914886E-2"/>
        </c:manualLayout>
      </c:layout>
      <c:overlay val="0"/>
      <c:spPr>
        <a:solidFill>
          <a:schemeClr val="bg1"/>
        </a:solidFill>
      </c:spPr>
    </c:title>
    <c:autoTitleDeleted val="0"/>
    <c:plotArea>
      <c:layout>
        <c:manualLayout>
          <c:layoutTarget val="inner"/>
          <c:xMode val="edge"/>
          <c:yMode val="edge"/>
          <c:x val="0.26144024954542561"/>
          <c:y val="0.18998073217726397"/>
          <c:w val="0.70012962558997693"/>
          <c:h val="0.6353001684038049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'15.4'!$V$48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2EC0BD"/>
            </a:solidFill>
          </c:spPr>
          <c:invertIfNegative val="0"/>
          <c:cat>
            <c:strRef>
              <c:f>'15.4'!$S$49:$S$58</c:f>
              <c:strCache>
                <c:ptCount val="10"/>
                <c:pt idx="0">
                  <c:v>Other Marine Products</c:v>
                </c:pt>
                <c:pt idx="1">
                  <c:v>Fish Meal</c:v>
                </c:pt>
                <c:pt idx="2">
                  <c:v>Sea Cucumber</c:v>
                </c:pt>
                <c:pt idx="3">
                  <c:v>Live Reef Fish</c:v>
                </c:pt>
                <c:pt idx="4">
                  <c:v>Salted Dried Fish</c:v>
                </c:pt>
                <c:pt idx="5">
                  <c:v>Fresh or Chilled Reef Fish</c:v>
                </c:pt>
                <c:pt idx="6">
                  <c:v>Dried Fish</c:v>
                </c:pt>
                <c:pt idx="7">
                  <c:v>Canned Fish</c:v>
                </c:pt>
                <c:pt idx="8">
                  <c:v>Frozen Fish</c:v>
                </c:pt>
                <c:pt idx="9">
                  <c:v>Fresh or Chilled Tuna</c:v>
                </c:pt>
              </c:strCache>
            </c:strRef>
          </c:cat>
          <c:val>
            <c:numRef>
              <c:f>'15.4'!$V$49:$V$58</c:f>
              <c:numCache>
                <c:formatCode>0</c:formatCode>
                <c:ptCount val="10"/>
                <c:pt idx="0">
                  <c:v>99.938265616594208</c:v>
                </c:pt>
                <c:pt idx="1">
                  <c:v>65.619376683116911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99.833688221373933</c:v>
                </c:pt>
                <c:pt idx="6">
                  <c:v>99.999734584678095</c:v>
                </c:pt>
                <c:pt idx="7">
                  <c:v>88.867877282481217</c:v>
                </c:pt>
                <c:pt idx="8">
                  <c:v>15.578008235299826</c:v>
                </c:pt>
                <c:pt idx="9">
                  <c:v>98.212557294525681</c:v>
                </c:pt>
              </c:numCache>
            </c:numRef>
          </c:val>
        </c:ser>
        <c:ser>
          <c:idx val="1"/>
          <c:order val="1"/>
          <c:tx>
            <c:strRef>
              <c:f>'15.4'!$W$48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'15.4'!$S$49:$S$58</c:f>
              <c:strCache>
                <c:ptCount val="10"/>
                <c:pt idx="0">
                  <c:v>Other Marine Products</c:v>
                </c:pt>
                <c:pt idx="1">
                  <c:v>Fish Meal</c:v>
                </c:pt>
                <c:pt idx="2">
                  <c:v>Sea Cucumber</c:v>
                </c:pt>
                <c:pt idx="3">
                  <c:v>Live Reef Fish</c:v>
                </c:pt>
                <c:pt idx="4">
                  <c:v>Salted Dried Fish</c:v>
                </c:pt>
                <c:pt idx="5">
                  <c:v>Fresh or Chilled Reef Fish</c:v>
                </c:pt>
                <c:pt idx="6">
                  <c:v>Dried Fish</c:v>
                </c:pt>
                <c:pt idx="7">
                  <c:v>Canned Fish</c:v>
                </c:pt>
                <c:pt idx="8">
                  <c:v>Frozen Fish</c:v>
                </c:pt>
                <c:pt idx="9">
                  <c:v>Fresh or Chilled Tuna</c:v>
                </c:pt>
              </c:strCache>
            </c:strRef>
          </c:cat>
          <c:val>
            <c:numRef>
              <c:f>'15.4'!$W$49:$W$58</c:f>
              <c:numCache>
                <c:formatCode>0</c:formatCode>
                <c:ptCount val="10"/>
                <c:pt idx="0">
                  <c:v>6.1734383405797733E-2</c:v>
                </c:pt>
                <c:pt idx="1">
                  <c:v>34.380623316883089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0.16631177862606195</c:v>
                </c:pt>
                <c:pt idx="6">
                  <c:v>2.6541532189570244E-4</c:v>
                </c:pt>
                <c:pt idx="7">
                  <c:v>11.132122717518786</c:v>
                </c:pt>
                <c:pt idx="8">
                  <c:v>84.421991764700181</c:v>
                </c:pt>
                <c:pt idx="9">
                  <c:v>1.7874427054743232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035584"/>
        <c:axId val="50934144"/>
      </c:barChart>
      <c:catAx>
        <c:axId val="140035584"/>
        <c:scaling>
          <c:orientation val="minMax"/>
        </c:scaling>
        <c:delete val="0"/>
        <c:axPos val="l"/>
        <c:majorTickMark val="out"/>
        <c:minorTickMark val="none"/>
        <c:tickLblPos val="nextTo"/>
        <c:crossAx val="50934144"/>
        <c:crosses val="autoZero"/>
        <c:auto val="1"/>
        <c:lblAlgn val="ctr"/>
        <c:lblOffset val="100"/>
        <c:noMultiLvlLbl val="0"/>
      </c:catAx>
      <c:valAx>
        <c:axId val="50934144"/>
        <c:scaling>
          <c:orientation val="minMax"/>
          <c:max val="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0.80028089345974618"/>
              <c:y val="0.89484411269400577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140035584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7984316246183508"/>
          <c:y val="0.93031632606617809"/>
          <c:w val="0.33283068187905085"/>
          <c:h val="6.968367393382185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504824</xdr:colOff>
      <xdr:row>17</xdr:row>
      <xdr:rowOff>114300</xdr:rowOff>
    </xdr:from>
    <xdr:to>
      <xdr:col>6</xdr:col>
      <xdr:colOff>1238250</xdr:colOff>
      <xdr:row>27</xdr:row>
      <xdr:rowOff>276225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552449</xdr:colOff>
      <xdr:row>28</xdr:row>
      <xdr:rowOff>276226</xdr:rowOff>
    </xdr:from>
    <xdr:to>
      <xdr:col>6</xdr:col>
      <xdr:colOff>1257300</xdr:colOff>
      <xdr:row>33</xdr:row>
      <xdr:rowOff>695326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YRB2016\shahuda%20to%20check\shahuda%20to%20check16Junefolder\15.FOREIGN%20TRADE%20AND%20BO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5.1"/>
      <sheetName val="15.2"/>
      <sheetName val="15.3"/>
      <sheetName val="15.4 new"/>
      <sheetName val="15.4"/>
      <sheetName val="15.5"/>
      <sheetName val="15.6 (Customs)"/>
      <sheetName val="15.7"/>
      <sheetName val="15.8"/>
      <sheetName val="15.9"/>
      <sheetName val="15.10"/>
    </sheetNames>
    <sheetDataSet>
      <sheetData sheetId="0" refreshError="1"/>
      <sheetData sheetId="1" refreshError="1"/>
      <sheetData sheetId="2" refreshError="1">
        <row r="9">
          <cell r="E9">
            <v>1073069.3599999999</v>
          </cell>
          <cell r="F9">
            <v>1053888.8599999999</v>
          </cell>
          <cell r="G9">
            <v>19180.500000000004</v>
          </cell>
        </row>
        <row r="20">
          <cell r="E20">
            <v>58793.19</v>
          </cell>
          <cell r="F20">
            <v>58695.41</v>
          </cell>
          <cell r="G20">
            <v>97.78</v>
          </cell>
        </row>
        <row r="32">
          <cell r="E32">
            <v>614539.86</v>
          </cell>
          <cell r="F32">
            <v>95733.070000000022</v>
          </cell>
          <cell r="G32">
            <v>518806.79</v>
          </cell>
        </row>
        <row r="51">
          <cell r="E51">
            <v>128101.12</v>
          </cell>
          <cell r="F51">
            <v>128100.78</v>
          </cell>
          <cell r="G51">
            <v>0.34</v>
          </cell>
        </row>
        <row r="54">
          <cell r="E54">
            <v>22513.019999999997</v>
          </cell>
          <cell r="F54">
            <v>22513.019999999997</v>
          </cell>
        </row>
        <row r="66">
          <cell r="E66">
            <v>8475.0499999999993</v>
          </cell>
          <cell r="F66">
            <v>8475.0499999999993</v>
          </cell>
        </row>
        <row r="69">
          <cell r="E69">
            <v>212697.26</v>
          </cell>
          <cell r="F69">
            <v>189019.54</v>
          </cell>
          <cell r="G69">
            <v>23677.72</v>
          </cell>
        </row>
        <row r="73">
          <cell r="E73">
            <v>19413.18</v>
          </cell>
          <cell r="F73">
            <v>19413.18</v>
          </cell>
        </row>
        <row r="81">
          <cell r="E81">
            <v>19339.12</v>
          </cell>
          <cell r="F81">
            <v>12690.21</v>
          </cell>
          <cell r="G81">
            <v>6648.91</v>
          </cell>
        </row>
        <row r="87">
          <cell r="E87">
            <v>1133.8900000000001</v>
          </cell>
          <cell r="F87">
            <v>1133.19</v>
          </cell>
          <cell r="G87">
            <v>0.7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W60"/>
  <sheetViews>
    <sheetView showGridLines="0" tabSelected="1" zoomScaleNormal="100" workbookViewId="0">
      <selection activeCell="G40" sqref="G40"/>
    </sheetView>
  </sheetViews>
  <sheetFormatPr defaultColWidth="9.140625" defaultRowHeight="12.75" x14ac:dyDescent="0.2"/>
  <cols>
    <col min="1" max="1" width="28.28515625" style="9" customWidth="1"/>
    <col min="2" max="3" width="11.5703125" style="9" customWidth="1"/>
    <col min="4" max="4" width="13.85546875" style="9" customWidth="1"/>
    <col min="5" max="6" width="11.85546875" style="9" customWidth="1"/>
    <col min="7" max="7" width="29.7109375" style="9" customWidth="1"/>
    <col min="8" max="8" width="13.5703125" style="38" customWidth="1"/>
    <col min="9" max="13" width="14" style="38" customWidth="1"/>
    <col min="14" max="14" width="35.85546875" style="38" customWidth="1"/>
    <col min="15" max="16384" width="9.140625" style="9"/>
  </cols>
  <sheetData>
    <row r="1" spans="1:14" ht="18" x14ac:dyDescent="0.2">
      <c r="A1" s="57" t="s">
        <v>30</v>
      </c>
      <c r="B1" s="57"/>
      <c r="C1" s="57"/>
      <c r="D1" s="57"/>
      <c r="E1" s="57"/>
      <c r="F1" s="57"/>
      <c r="G1" s="57"/>
      <c r="H1" s="36"/>
      <c r="I1" s="36"/>
      <c r="J1" s="36"/>
      <c r="K1" s="36"/>
      <c r="L1" s="36"/>
      <c r="M1" s="36"/>
      <c r="N1" s="36"/>
    </row>
    <row r="2" spans="1:14" ht="15" customHeight="1" x14ac:dyDescent="0.2">
      <c r="A2" s="58" t="s">
        <v>33</v>
      </c>
      <c r="B2" s="58"/>
      <c r="C2" s="58"/>
      <c r="D2" s="58"/>
      <c r="E2" s="58"/>
      <c r="F2" s="58"/>
      <c r="G2" s="58"/>
      <c r="H2" s="37"/>
      <c r="I2" s="37"/>
      <c r="J2" s="37"/>
      <c r="K2" s="37"/>
      <c r="L2" s="37"/>
      <c r="M2" s="37"/>
      <c r="N2" s="37"/>
    </row>
    <row r="3" spans="1:14" ht="18" customHeight="1" x14ac:dyDescent="0.2">
      <c r="A3" s="52" t="s">
        <v>3</v>
      </c>
      <c r="B3" s="30" t="s">
        <v>27</v>
      </c>
      <c r="C3" s="3"/>
      <c r="D3" s="4" t="s">
        <v>2</v>
      </c>
      <c r="E3" s="44" t="s">
        <v>31</v>
      </c>
      <c r="F3" s="10" t="s">
        <v>31</v>
      </c>
      <c r="G3" s="54" t="s">
        <v>28</v>
      </c>
    </row>
    <row r="4" spans="1:14" ht="15" x14ac:dyDescent="0.2">
      <c r="A4" s="51"/>
      <c r="B4" s="16" t="s">
        <v>1</v>
      </c>
      <c r="C4" s="16" t="s">
        <v>4</v>
      </c>
      <c r="D4" s="16" t="s">
        <v>5</v>
      </c>
      <c r="E4" s="45" t="s">
        <v>4</v>
      </c>
      <c r="F4" s="16" t="s">
        <v>5</v>
      </c>
      <c r="G4" s="55"/>
    </row>
    <row r="5" spans="1:14" x14ac:dyDescent="0.2">
      <c r="A5" s="53"/>
      <c r="B5" s="5" t="s">
        <v>0</v>
      </c>
      <c r="C5" s="5" t="s">
        <v>6</v>
      </c>
      <c r="D5" s="5" t="s">
        <v>7</v>
      </c>
      <c r="E5" s="46" t="str">
        <f>C5</f>
        <v>Private</v>
      </c>
      <c r="F5" s="5" t="str">
        <f>D5</f>
        <v>Government</v>
      </c>
      <c r="G5" s="56"/>
    </row>
    <row r="6" spans="1:14" ht="15" x14ac:dyDescent="0.2">
      <c r="A6" s="11" t="s">
        <v>0</v>
      </c>
      <c r="B6" s="31"/>
      <c r="C6" s="32"/>
      <c r="D6" s="32"/>
      <c r="E6" s="47"/>
      <c r="F6" s="31"/>
      <c r="G6" s="12" t="s">
        <v>8</v>
      </c>
    </row>
    <row r="7" spans="1:14" ht="23.25" customHeight="1" x14ac:dyDescent="0.2">
      <c r="A7" s="33" t="s">
        <v>9</v>
      </c>
      <c r="B7" s="31">
        <f>'[2]15.3'!E9</f>
        <v>1073069.3599999999</v>
      </c>
      <c r="C7" s="42">
        <f>'[2]15.3'!F9</f>
        <v>1053888.8599999999</v>
      </c>
      <c r="D7" s="42">
        <f>'[2]15.3'!G9</f>
        <v>19180.500000000004</v>
      </c>
      <c r="E7" s="48">
        <f t="shared" ref="E7:E16" si="0">C7/B7*100</f>
        <v>98.212557294525681</v>
      </c>
      <c r="F7" s="42">
        <f t="shared" ref="F7:F16" si="1">D7/B7*100</f>
        <v>1.7874427054743232</v>
      </c>
      <c r="G7" s="14" t="s">
        <v>10</v>
      </c>
    </row>
    <row r="8" spans="1:14" ht="23.25" customHeight="1" x14ac:dyDescent="0.2">
      <c r="A8" s="33" t="s">
        <v>11</v>
      </c>
      <c r="B8" s="31">
        <f>'[2]15.3'!E20</f>
        <v>58793.19</v>
      </c>
      <c r="C8" s="42">
        <f>'[2]15.3'!F20</f>
        <v>58695.41</v>
      </c>
      <c r="D8" s="42">
        <f>'[2]15.3'!G20</f>
        <v>97.78</v>
      </c>
      <c r="E8" s="48">
        <f t="shared" si="0"/>
        <v>99.833688221373933</v>
      </c>
      <c r="F8" s="42">
        <f t="shared" si="1"/>
        <v>0.16631177862606195</v>
      </c>
      <c r="G8" s="14" t="s">
        <v>12</v>
      </c>
    </row>
    <row r="9" spans="1:14" ht="23.25" customHeight="1" x14ac:dyDescent="0.2">
      <c r="A9" s="33" t="s">
        <v>13</v>
      </c>
      <c r="B9" s="31">
        <f>'[2]15.3'!E32</f>
        <v>614539.86</v>
      </c>
      <c r="C9" s="42">
        <f>'[2]15.3'!F32</f>
        <v>95733.070000000022</v>
      </c>
      <c r="D9" s="42">
        <f>'[2]15.3'!G32</f>
        <v>518806.79</v>
      </c>
      <c r="E9" s="48">
        <f t="shared" si="0"/>
        <v>15.578008235299826</v>
      </c>
      <c r="F9" s="42">
        <f t="shared" si="1"/>
        <v>84.421991764700181</v>
      </c>
      <c r="G9" s="14" t="s">
        <v>14</v>
      </c>
    </row>
    <row r="10" spans="1:14" ht="23.25" customHeight="1" x14ac:dyDescent="0.2">
      <c r="A10" s="33" t="s">
        <v>15</v>
      </c>
      <c r="B10" s="31">
        <f>'[2]15.3'!E51</f>
        <v>128101.12</v>
      </c>
      <c r="C10" s="42">
        <f>'[2]15.3'!F51</f>
        <v>128100.78</v>
      </c>
      <c r="D10" s="50">
        <f>'[2]15.3'!G51</f>
        <v>0.34</v>
      </c>
      <c r="E10" s="48">
        <f t="shared" si="0"/>
        <v>99.999734584678095</v>
      </c>
      <c r="F10" s="42">
        <f>D10/B10*100</f>
        <v>2.6541532189570244E-4</v>
      </c>
      <c r="G10" s="14" t="s">
        <v>29</v>
      </c>
    </row>
    <row r="11" spans="1:14" ht="23.25" customHeight="1" x14ac:dyDescent="0.2">
      <c r="A11" s="33" t="s">
        <v>16</v>
      </c>
      <c r="B11" s="31">
        <f>'[2]15.3'!E54</f>
        <v>22513.019999999997</v>
      </c>
      <c r="C11" s="42">
        <f>'[2]15.3'!F54</f>
        <v>22513.019999999997</v>
      </c>
      <c r="D11" s="50">
        <v>0</v>
      </c>
      <c r="E11" s="48">
        <f t="shared" si="0"/>
        <v>100</v>
      </c>
      <c r="F11" s="50">
        <v>0</v>
      </c>
      <c r="G11" s="14" t="s">
        <v>17</v>
      </c>
    </row>
    <row r="12" spans="1:14" ht="23.25" customHeight="1" x14ac:dyDescent="0.2">
      <c r="A12" s="33" t="s">
        <v>19</v>
      </c>
      <c r="B12" s="31">
        <f>'[2]15.3'!E66</f>
        <v>8475.0499999999993</v>
      </c>
      <c r="C12" s="42">
        <f>'[2]15.3'!F66</f>
        <v>8475.0499999999993</v>
      </c>
      <c r="D12" s="50">
        <v>0</v>
      </c>
      <c r="E12" s="48">
        <f t="shared" si="0"/>
        <v>100</v>
      </c>
      <c r="F12" s="50">
        <v>0</v>
      </c>
      <c r="G12" s="15" t="s">
        <v>20</v>
      </c>
    </row>
    <row r="13" spans="1:14" ht="23.25" customHeight="1" x14ac:dyDescent="0.2">
      <c r="A13" s="33" t="s">
        <v>21</v>
      </c>
      <c r="B13" s="31">
        <f>'[2]15.3'!E69</f>
        <v>212697.26</v>
      </c>
      <c r="C13" s="42">
        <f>'[2]15.3'!F69</f>
        <v>189019.54</v>
      </c>
      <c r="D13" s="42">
        <f>'[2]15.3'!G69</f>
        <v>23677.72</v>
      </c>
      <c r="E13" s="48">
        <f t="shared" si="0"/>
        <v>88.867877282481217</v>
      </c>
      <c r="F13" s="42">
        <f t="shared" si="1"/>
        <v>11.132122717518786</v>
      </c>
      <c r="G13" s="14" t="s">
        <v>22</v>
      </c>
    </row>
    <row r="14" spans="1:14" ht="23.25" customHeight="1" x14ac:dyDescent="0.2">
      <c r="A14" s="33" t="s">
        <v>24</v>
      </c>
      <c r="B14" s="31">
        <f>'[2]15.3'!E81</f>
        <v>19339.12</v>
      </c>
      <c r="C14" s="42">
        <f>'[2]15.3'!F81</f>
        <v>12690.21</v>
      </c>
      <c r="D14" s="42">
        <f>'[2]15.3'!G81</f>
        <v>6648.91</v>
      </c>
      <c r="E14" s="48">
        <f t="shared" si="0"/>
        <v>65.619376683116911</v>
      </c>
      <c r="F14" s="42">
        <f t="shared" si="1"/>
        <v>34.380623316883089</v>
      </c>
      <c r="G14" s="14"/>
    </row>
    <row r="15" spans="1:14" ht="23.25" customHeight="1" x14ac:dyDescent="0.2">
      <c r="A15" s="33" t="s">
        <v>18</v>
      </c>
      <c r="B15" s="31">
        <f>'[2]15.3'!E73</f>
        <v>19413.18</v>
      </c>
      <c r="C15" s="42">
        <f>'[2]15.3'!F73</f>
        <v>19413.18</v>
      </c>
      <c r="D15" s="50">
        <v>0</v>
      </c>
      <c r="E15" s="48">
        <f t="shared" si="0"/>
        <v>100</v>
      </c>
      <c r="F15" s="50">
        <v>0</v>
      </c>
      <c r="G15" s="14" t="s">
        <v>23</v>
      </c>
    </row>
    <row r="16" spans="1:14" ht="23.25" customHeight="1" x14ac:dyDescent="0.2">
      <c r="A16" s="34" t="s">
        <v>25</v>
      </c>
      <c r="B16" s="35">
        <f>'[2]15.3'!E87</f>
        <v>1133.8900000000001</v>
      </c>
      <c r="C16" s="43">
        <f>'[2]15.3'!F87</f>
        <v>1133.19</v>
      </c>
      <c r="D16" s="43">
        <f>'[2]15.3'!G87</f>
        <v>0.7</v>
      </c>
      <c r="E16" s="49">
        <f t="shared" si="0"/>
        <v>99.938265616594208</v>
      </c>
      <c r="F16" s="43">
        <f t="shared" si="1"/>
        <v>6.1734383405797733E-2</v>
      </c>
      <c r="G16" s="18" t="s">
        <v>26</v>
      </c>
    </row>
    <row r="17" spans="1:22" ht="15" x14ac:dyDescent="0.2">
      <c r="A17" s="2"/>
      <c r="B17" s="7"/>
      <c r="C17" s="7"/>
      <c r="D17" s="6"/>
      <c r="E17" s="8"/>
      <c r="F17" s="8"/>
      <c r="G17" s="8"/>
      <c r="H17" s="6"/>
      <c r="I17" s="6"/>
      <c r="J17" s="6"/>
      <c r="K17" s="6"/>
      <c r="L17" s="6"/>
      <c r="M17" s="6"/>
      <c r="N17" s="1"/>
    </row>
    <row r="18" spans="1:22" ht="15" x14ac:dyDescent="0.2">
      <c r="A18" s="2"/>
      <c r="B18" s="7"/>
      <c r="C18" s="7"/>
      <c r="D18" s="6"/>
      <c r="E18" s="8"/>
      <c r="F18" s="8"/>
      <c r="G18" s="8"/>
      <c r="H18" s="39"/>
      <c r="I18" s="39"/>
      <c r="J18" s="6"/>
      <c r="K18" s="6"/>
      <c r="L18" s="6"/>
      <c r="M18" s="6"/>
      <c r="N18" s="1"/>
    </row>
    <row r="19" spans="1:22" ht="15" x14ac:dyDescent="0.2">
      <c r="B19" s="7"/>
      <c r="C19" s="7"/>
      <c r="D19" s="6"/>
      <c r="E19" s="8"/>
      <c r="F19" s="8"/>
      <c r="I19" s="39"/>
    </row>
    <row r="20" spans="1:22" ht="15" x14ac:dyDescent="0.2">
      <c r="I20" s="39"/>
    </row>
    <row r="23" spans="1:22" ht="15" x14ac:dyDescent="0.2">
      <c r="B23" s="7"/>
      <c r="C23" s="7"/>
      <c r="D23" s="6"/>
      <c r="E23" s="8"/>
      <c r="F23" s="8"/>
    </row>
    <row r="25" spans="1:22" ht="63.75" x14ac:dyDescent="0.2">
      <c r="R25" s="13" t="s">
        <v>9</v>
      </c>
      <c r="S25" s="19">
        <v>49.72344960848325</v>
      </c>
      <c r="U25" s="23" t="s">
        <v>9</v>
      </c>
      <c r="V25" s="24">
        <v>49.72344960848325</v>
      </c>
    </row>
    <row r="26" spans="1:22" ht="25.5" x14ac:dyDescent="0.2">
      <c r="R26" s="13" t="s">
        <v>13</v>
      </c>
      <c r="S26" s="19">
        <v>28.476296966595292</v>
      </c>
      <c r="U26" s="23" t="s">
        <v>13</v>
      </c>
      <c r="V26" s="24">
        <v>28.476296966595292</v>
      </c>
    </row>
    <row r="27" spans="1:22" ht="38.25" x14ac:dyDescent="0.2">
      <c r="R27" s="13" t="s">
        <v>21</v>
      </c>
      <c r="S27" s="19">
        <v>9.855878737859463</v>
      </c>
      <c r="U27" s="23" t="s">
        <v>21</v>
      </c>
      <c r="V27" s="24">
        <v>9.855878737859463</v>
      </c>
    </row>
    <row r="28" spans="1:22" ht="25.5" x14ac:dyDescent="0.2">
      <c r="R28" s="13" t="s">
        <v>15</v>
      </c>
      <c r="S28" s="19">
        <v>5.935897363717725</v>
      </c>
      <c r="U28" s="23" t="s">
        <v>15</v>
      </c>
      <c r="V28" s="24">
        <v>5.935897363717725</v>
      </c>
    </row>
    <row r="29" spans="1:22" ht="76.5" x14ac:dyDescent="0.2">
      <c r="R29" s="13" t="s">
        <v>11</v>
      </c>
      <c r="S29" s="19">
        <v>2.7243348186616583</v>
      </c>
      <c r="U29" s="23" t="s">
        <v>11</v>
      </c>
      <c r="V29" s="24">
        <v>2.7243348186616583</v>
      </c>
    </row>
    <row r="30" spans="1:22" ht="51" x14ac:dyDescent="0.2">
      <c r="R30" s="13" t="s">
        <v>16</v>
      </c>
      <c r="S30" s="19">
        <v>1.0431991232186293</v>
      </c>
      <c r="U30" s="23" t="s">
        <v>16</v>
      </c>
      <c r="V30" s="24">
        <v>1.0431991232186293</v>
      </c>
    </row>
    <row r="31" spans="1:22" ht="38.25" x14ac:dyDescent="0.2">
      <c r="A31" s="13"/>
      <c r="B31" s="7"/>
      <c r="C31" s="7"/>
      <c r="D31" s="6"/>
      <c r="E31" s="8"/>
      <c r="F31" s="8"/>
      <c r="G31" s="8"/>
      <c r="H31" s="40"/>
      <c r="R31" s="20" t="s">
        <v>18</v>
      </c>
      <c r="S31" s="21">
        <v>0.89956000371720146</v>
      </c>
      <c r="U31" s="23" t="s">
        <v>18</v>
      </c>
      <c r="V31" s="25">
        <v>0.89956000371720146</v>
      </c>
    </row>
    <row r="32" spans="1:22" ht="25.5" x14ac:dyDescent="0.2">
      <c r="B32" s="7"/>
      <c r="C32" s="7"/>
      <c r="D32" s="6"/>
      <c r="E32" s="8"/>
      <c r="F32" s="8"/>
      <c r="R32" s="20" t="s">
        <v>24</v>
      </c>
      <c r="S32" s="22">
        <v>0.89612824169391125</v>
      </c>
      <c r="U32" s="23" t="s">
        <v>32</v>
      </c>
      <c r="V32" s="24">
        <f>S32+S33+S34</f>
        <v>1.3413833777467561</v>
      </c>
    </row>
    <row r="33" spans="1:23" ht="38.25" x14ac:dyDescent="0.2">
      <c r="R33" s="20" t="s">
        <v>19</v>
      </c>
      <c r="S33" s="22">
        <v>0.39271340447590075</v>
      </c>
      <c r="U33" s="23"/>
      <c r="V33" s="24"/>
    </row>
    <row r="34" spans="1:23" ht="76.5" x14ac:dyDescent="0.2">
      <c r="R34" s="20" t="s">
        <v>25</v>
      </c>
      <c r="S34" s="21">
        <v>5.2541731576943994E-2</v>
      </c>
      <c r="U34" s="23"/>
      <c r="V34" s="25">
        <f>SUM(V25:V33)</f>
        <v>99.999999999999957</v>
      </c>
    </row>
    <row r="36" spans="1:23" ht="15" x14ac:dyDescent="0.2">
      <c r="B36" s="7"/>
      <c r="C36" s="7"/>
      <c r="D36" s="6"/>
      <c r="E36" s="8"/>
      <c r="F36" s="8"/>
    </row>
    <row r="42" spans="1:23" x14ac:dyDescent="0.2">
      <c r="A42" s="13"/>
      <c r="H42" s="41"/>
    </row>
    <row r="45" spans="1:23" x14ac:dyDescent="0.2">
      <c r="T45" s="9" t="s">
        <v>6</v>
      </c>
      <c r="U45" s="9" t="s">
        <v>7</v>
      </c>
    </row>
    <row r="47" spans="1:23" x14ac:dyDescent="0.2">
      <c r="T47" s="9">
        <v>73.661122675043188</v>
      </c>
      <c r="U47" s="9">
        <v>26.338877324956783</v>
      </c>
    </row>
    <row r="48" spans="1:23" x14ac:dyDescent="0.2">
      <c r="S48" s="17"/>
      <c r="T48" s="17"/>
      <c r="U48" s="17"/>
      <c r="V48" s="26" t="s">
        <v>6</v>
      </c>
      <c r="W48" s="26" t="s">
        <v>7</v>
      </c>
    </row>
    <row r="49" spans="19:23" x14ac:dyDescent="0.2">
      <c r="S49" s="17" t="s">
        <v>25</v>
      </c>
      <c r="T49" s="17">
        <v>99.938265616594208</v>
      </c>
      <c r="U49" s="17">
        <v>6.1734383405797733E-2</v>
      </c>
      <c r="V49" s="27">
        <v>99.938265616594208</v>
      </c>
      <c r="W49" s="27">
        <v>6.1734383405797733E-2</v>
      </c>
    </row>
    <row r="50" spans="19:23" x14ac:dyDescent="0.2">
      <c r="S50" s="17" t="s">
        <v>24</v>
      </c>
      <c r="T50" s="17">
        <v>65.619376683116911</v>
      </c>
      <c r="U50" s="17">
        <v>34.380623316883089</v>
      </c>
      <c r="V50" s="27">
        <v>65.619376683116911</v>
      </c>
      <c r="W50" s="27">
        <v>34.380623316883089</v>
      </c>
    </row>
    <row r="51" spans="19:23" x14ac:dyDescent="0.2">
      <c r="S51" s="17" t="s">
        <v>19</v>
      </c>
      <c r="T51" s="17">
        <v>100</v>
      </c>
      <c r="U51" s="17">
        <v>0</v>
      </c>
      <c r="V51" s="27">
        <v>100</v>
      </c>
      <c r="W51" s="27">
        <v>0</v>
      </c>
    </row>
    <row r="52" spans="19:23" x14ac:dyDescent="0.2">
      <c r="S52" s="17" t="s">
        <v>18</v>
      </c>
      <c r="T52" s="17">
        <v>100</v>
      </c>
      <c r="U52" s="17">
        <v>0</v>
      </c>
      <c r="V52" s="27">
        <v>100</v>
      </c>
      <c r="W52" s="27">
        <v>0</v>
      </c>
    </row>
    <row r="53" spans="19:23" x14ac:dyDescent="0.2">
      <c r="S53" s="17" t="s">
        <v>16</v>
      </c>
      <c r="T53" s="17">
        <v>100</v>
      </c>
      <c r="U53" s="17">
        <v>0</v>
      </c>
      <c r="V53" s="27">
        <v>100</v>
      </c>
      <c r="W53" s="27">
        <v>0</v>
      </c>
    </row>
    <row r="54" spans="19:23" x14ac:dyDescent="0.2">
      <c r="S54" s="17" t="s">
        <v>11</v>
      </c>
      <c r="T54" s="17">
        <v>99.833688221373933</v>
      </c>
      <c r="U54" s="17">
        <v>0.16631177862606195</v>
      </c>
      <c r="V54" s="27">
        <v>99.833688221373933</v>
      </c>
      <c r="W54" s="27">
        <v>0.16631177862606195</v>
      </c>
    </row>
    <row r="55" spans="19:23" x14ac:dyDescent="0.2">
      <c r="S55" s="17" t="s">
        <v>15</v>
      </c>
      <c r="T55" s="17">
        <v>99.999734584678095</v>
      </c>
      <c r="U55" s="17">
        <v>2.6541532189570244E-4</v>
      </c>
      <c r="V55" s="27">
        <v>99.999734584678095</v>
      </c>
      <c r="W55" s="27">
        <v>2.6541532189570244E-4</v>
      </c>
    </row>
    <row r="56" spans="19:23" x14ac:dyDescent="0.2">
      <c r="S56" s="17" t="s">
        <v>21</v>
      </c>
      <c r="T56" s="17">
        <v>88.867877282481217</v>
      </c>
      <c r="U56" s="17">
        <v>11.132122717518786</v>
      </c>
      <c r="V56" s="27">
        <v>88.867877282481217</v>
      </c>
      <c r="W56" s="27">
        <v>11.132122717518786</v>
      </c>
    </row>
    <row r="57" spans="19:23" x14ac:dyDescent="0.2">
      <c r="S57" s="17" t="s">
        <v>13</v>
      </c>
      <c r="T57" s="17">
        <v>15.578008235299826</v>
      </c>
      <c r="U57" s="17">
        <v>84.421991764700181</v>
      </c>
      <c r="V57" s="27">
        <v>15.578008235299826</v>
      </c>
      <c r="W57" s="27">
        <v>84.421991764700181</v>
      </c>
    </row>
    <row r="58" spans="19:23" x14ac:dyDescent="0.2">
      <c r="S58" s="17" t="s">
        <v>9</v>
      </c>
      <c r="T58" s="17">
        <v>98.212557294525681</v>
      </c>
      <c r="U58" s="17">
        <v>1.7874427054743232</v>
      </c>
      <c r="V58" s="27">
        <v>98.212557294525681</v>
      </c>
      <c r="W58" s="27">
        <v>1.7874427054743232</v>
      </c>
    </row>
    <row r="59" spans="19:23" x14ac:dyDescent="0.2">
      <c r="S59" s="28" t="s">
        <v>0</v>
      </c>
      <c r="T59" s="17"/>
      <c r="U59" s="17"/>
      <c r="V59" s="29">
        <v>73.661122675043188</v>
      </c>
      <c r="W59" s="29">
        <v>26.338877324956783</v>
      </c>
    </row>
    <row r="60" spans="19:23" x14ac:dyDescent="0.2">
      <c r="S60" s="17"/>
      <c r="T60" s="17"/>
      <c r="U60" s="17"/>
      <c r="V60" s="17"/>
      <c r="W60" s="17"/>
    </row>
  </sheetData>
  <mergeCells count="4">
    <mergeCell ref="A3:A5"/>
    <mergeCell ref="G3:G5"/>
    <mergeCell ref="A1:G1"/>
    <mergeCell ref="A2:G2"/>
  </mergeCells>
  <pageMargins left="0.17" right="0.16" top="0.75" bottom="0.75" header="0.3" footer="0.3"/>
  <pageSetup paperSize="9" scale="90" orientation="landscape" r:id="rId1"/>
  <rowBreaks count="1" manualBreakCount="1">
    <brk id="1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15.4</vt:lpstr>
      <vt:lpstr>'15.4'!Print_Area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2016-09-25T08:31:59Z</cp:lastPrinted>
  <dcterms:created xsi:type="dcterms:W3CDTF">2007-02-07T09:08:05Z</dcterms:created>
  <dcterms:modified xsi:type="dcterms:W3CDTF">2016-09-25T08:32:01Z</dcterms:modified>
</cp:coreProperties>
</file>