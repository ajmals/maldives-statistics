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0" windowWidth="10785" windowHeight="9570" tabRatio="841"/>
  </bookViews>
  <sheets>
    <sheet name="6.2" sheetId="19" r:id="rId1"/>
  </sheets>
  <definedNames>
    <definedName name="_xlnm.Print_Area" localSheetId="0">'6.2'!$A$1:$P$47</definedName>
  </definedNames>
  <calcPr calcId="144525"/>
</workbook>
</file>

<file path=xl/calcChain.xml><?xml version="1.0" encoding="utf-8"?>
<calcChain xmlns="http://schemas.openxmlformats.org/spreadsheetml/2006/main">
  <c r="AD27" i="19" l="1"/>
  <c r="AD28" i="19"/>
  <c r="AD29" i="19"/>
  <c r="AD30" i="19"/>
  <c r="AD31" i="19"/>
  <c r="AD32" i="19"/>
  <c r="AE32" i="19" s="1"/>
  <c r="AD33" i="19"/>
  <c r="AE33" i="19" s="1"/>
  <c r="AD34" i="19"/>
  <c r="AD35" i="19"/>
  <c r="AC27" i="19"/>
  <c r="AC28" i="19"/>
  <c r="AC29" i="19"/>
  <c r="AC30" i="19"/>
  <c r="AC31" i="19"/>
  <c r="AC32" i="19"/>
  <c r="AC33" i="19"/>
  <c r="AC34" i="19"/>
  <c r="AC35" i="19"/>
  <c r="AD26" i="19"/>
  <c r="AE30" i="19"/>
  <c r="AE31" i="19"/>
  <c r="AC26" i="19"/>
  <c r="AE29" i="19"/>
  <c r="D8" i="19"/>
  <c r="D9" i="19"/>
  <c r="D10" i="19"/>
  <c r="D11" i="19"/>
  <c r="D12" i="19"/>
  <c r="D13" i="19"/>
  <c r="D14" i="19"/>
  <c r="D16" i="19"/>
  <c r="D17" i="19"/>
  <c r="D18" i="19"/>
  <c r="C8" i="19"/>
  <c r="C9" i="19"/>
  <c r="C10" i="19"/>
  <c r="C11" i="19"/>
  <c r="C12" i="19"/>
  <c r="C13" i="19"/>
  <c r="C14" i="19"/>
  <c r="C16" i="19"/>
  <c r="C17" i="19"/>
  <c r="C18" i="19"/>
  <c r="AE27" i="19" l="1"/>
  <c r="AE34" i="19"/>
  <c r="AE26" i="19"/>
  <c r="AE28" i="19"/>
  <c r="N7" i="19" l="1"/>
  <c r="M7" i="19"/>
  <c r="I7" i="19"/>
  <c r="J7" i="19"/>
  <c r="K7" i="19"/>
  <c r="H7" i="19"/>
  <c r="F9" i="19"/>
  <c r="F8" i="19"/>
  <c r="F7" i="19" l="1"/>
  <c r="G7" i="19"/>
  <c r="AL22" i="19" l="1"/>
  <c r="D7" i="19"/>
  <c r="AK22" i="19"/>
  <c r="C7" i="19"/>
  <c r="B7" i="19"/>
  <c r="G8" i="19" l="1"/>
  <c r="B8" i="19" s="1"/>
  <c r="G9" i="19"/>
  <c r="B9" i="19" s="1"/>
  <c r="F10" i="19"/>
  <c r="G10" i="19"/>
  <c r="F11" i="19"/>
  <c r="G11" i="19"/>
  <c r="F12" i="19"/>
  <c r="G12" i="19"/>
  <c r="F13" i="19"/>
  <c r="G13" i="19"/>
  <c r="F14" i="19"/>
  <c r="G14" i="19"/>
  <c r="F16" i="19"/>
  <c r="G16" i="19"/>
  <c r="F17" i="19"/>
  <c r="B17" i="19" s="1"/>
  <c r="G17" i="19"/>
  <c r="F18" i="19"/>
  <c r="B18" i="19" s="1"/>
  <c r="G18" i="19"/>
  <c r="B12" i="19" l="1"/>
  <c r="B11" i="19"/>
  <c r="B14" i="19"/>
  <c r="B10" i="19"/>
  <c r="B13" i="19"/>
  <c r="B16" i="19"/>
  <c r="AM22" i="19" l="1"/>
</calcChain>
</file>

<file path=xl/sharedStrings.xml><?xml version="1.0" encoding="utf-8"?>
<sst xmlns="http://schemas.openxmlformats.org/spreadsheetml/2006/main" count="77" uniqueCount="48">
  <si>
    <t>Categories of Health Personnel</t>
  </si>
  <si>
    <t>ސިއްހީ ދާއިރާގެ މުވައްޒިފުން</t>
  </si>
  <si>
    <t xml:space="preserve">cnurwTckoD egukwtilwbumcaWA   </t>
  </si>
  <si>
    <t xml:space="preserve">cnurwTckoD wBcaWH cSwkwtilwbikeaikea   </t>
  </si>
  <si>
    <t>Nurses</t>
  </si>
  <si>
    <t>cnuhurwn</t>
  </si>
  <si>
    <t>ފޫޅުމައިން</t>
  </si>
  <si>
    <t>މަޢުލޫމާތު ދެއްވީ: މިނިސްޓްރީ އޮފް ހެލްތް</t>
  </si>
  <si>
    <t>NA</t>
  </si>
  <si>
    <t xml:space="preserve">2015, udwdwA egcnIsEdib iaWncnihevid Wrukctwkcawswm iawgWriaWd IHcaiB : 6.2 clwvWt   </t>
  </si>
  <si>
    <t>Table 6.2: HEALTH PERSONNEL BY LOCALS AND EXPATRIATES  - 2015</t>
  </si>
  <si>
    <t xml:space="preserve">Total </t>
  </si>
  <si>
    <t>PUBLIC SECTOR</t>
  </si>
  <si>
    <t xml:space="preserve"> PRIVATE  SECTOR </t>
  </si>
  <si>
    <t>REPUBLIC</t>
  </si>
  <si>
    <t>MALE'</t>
  </si>
  <si>
    <t>ATOLLS</t>
  </si>
  <si>
    <t>expat</t>
  </si>
  <si>
    <t>local</t>
  </si>
  <si>
    <t>Total</t>
  </si>
  <si>
    <t>ޖުމްލަ</t>
  </si>
  <si>
    <t>Doctors (MBBS)</t>
  </si>
  <si>
    <t>Doctors (Specialists)</t>
  </si>
  <si>
    <t xml:space="preserve">Laboratory Scientists / Laboratory technicians/ laboratory assistants </t>
  </si>
  <si>
    <t>ލެބޯރެޓަރީ ސައިންސިސްޓްސް</t>
  </si>
  <si>
    <t>Physiotherapists</t>
  </si>
  <si>
    <t>ފިޒިއީތެރަޕިސްޓްސް</t>
  </si>
  <si>
    <t>Radiographers</t>
  </si>
  <si>
    <t>ރޭޑިއޯގްރާފަރސް</t>
  </si>
  <si>
    <t xml:space="preserve"> Dental technicians / dental assistants</t>
  </si>
  <si>
    <t>ޑެންޓިސްޓުން</t>
  </si>
  <si>
    <t>Pharmacists / Pharmacy Asst.2_/</t>
  </si>
  <si>
    <t>ފާމަސިސްޓް 2_/</t>
  </si>
  <si>
    <t>Community Health Workers</t>
  </si>
  <si>
    <t>ޖަމާއަތުގެ ސިއްޚި އެހީތެރިން</t>
  </si>
  <si>
    <t>Family  Health Workers</t>
  </si>
  <si>
    <t>އާއިލީ ސިއްޚީ އެހީތެރިން</t>
  </si>
  <si>
    <t>Foolhumaas (TBAs)</t>
  </si>
  <si>
    <t xml:space="preserve">Source: Ministry of Health </t>
  </si>
  <si>
    <t>Expatriate</t>
  </si>
  <si>
    <t>Local</t>
  </si>
  <si>
    <r>
      <rPr>
        <i/>
        <vertAlign val="superscript"/>
        <sz val="10"/>
        <color theme="1"/>
        <rFont val="Calibri"/>
        <family val="2"/>
        <scheme val="minor"/>
      </rPr>
      <t>2_/</t>
    </r>
    <r>
      <rPr>
        <i/>
        <sz val="10"/>
        <color theme="1"/>
        <rFont val="Calibri"/>
        <family val="2"/>
        <scheme val="minor"/>
      </rPr>
      <t>:  All  Pharmacists / Pharmacy Assts are under pvt sector</t>
    </r>
  </si>
  <si>
    <t>Expat</t>
  </si>
  <si>
    <t>2_/</t>
  </si>
  <si>
    <t>Note: Pvt. Sector data  includes ADK &amp; IMDC (in Addu City) only</t>
  </si>
  <si>
    <t xml:space="preserve">ނޯޓް:  ޕްރައިވެޓް ސެކްޓަރގައި ހިމެނެނީ ހަމަ އެކަނި އޭޑީކޭ ހޮސްޕިޓަލް އެވެ. </t>
  </si>
  <si>
    <t>ފާރމަސިސްޓުންނާއި އެސިސްޓަންޓް ފާރމަސިސްޓުން (ޕްރައިވެޓް ސެކްޓަރ)</t>
  </si>
  <si>
    <t>Dental technicians / dental assistants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</si>
</sst>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9" formatCode="_-* #,##0.00\ _ރ_._-;_-* #,##0.00\ _ރ_.\-;_-* &quot;-&quot;??\ _ރ_._-;_-@_-"/>
    <numFmt numFmtId="170" formatCode="0.00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name val="Faruma"/>
    </font>
    <font>
      <i/>
      <sz val="10"/>
      <name val="Calibri"/>
      <family val="2"/>
      <scheme val="minor"/>
    </font>
    <font>
      <b/>
      <sz val="11"/>
      <name val="Faruma"/>
    </font>
    <font>
      <b/>
      <sz val="11"/>
      <name val="A_Randhoo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name val="A_Randhoo"/>
    </font>
    <font>
      <sz val="11"/>
      <name val="Faruma"/>
    </font>
    <font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color theme="1"/>
      <name val="Faruma"/>
    </font>
    <font>
      <i/>
      <sz val="10"/>
      <color rgb="FFFF0000"/>
      <name val="Calibri"/>
      <family val="2"/>
      <scheme val="minor"/>
    </font>
    <font>
      <sz val="9"/>
      <color rgb="FFFF0000"/>
      <name val="Faruma"/>
    </font>
    <font>
      <i/>
      <vertAlign val="superscript"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62">
    <xf numFmtId="0" fontId="0" fillId="0" borderId="0"/>
    <xf numFmtId="0" fontId="1" fillId="0" borderId="0"/>
    <xf numFmtId="164" fontId="7" fillId="0" borderId="0"/>
    <xf numFmtId="169" fontId="10" fillId="0" borderId="0" applyFont="0" applyFill="0" applyBorder="0" applyAlignment="0" applyProtection="0"/>
    <xf numFmtId="0" fontId="10" fillId="0" borderId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20" borderId="0" applyNumberFormat="0" applyBorder="0" applyAlignment="0" applyProtection="0"/>
    <xf numFmtId="0" fontId="15" fillId="4" borderId="0" applyNumberFormat="0" applyBorder="0" applyAlignment="0" applyProtection="0"/>
    <xf numFmtId="0" fontId="16" fillId="21" borderId="8" applyNumberFormat="0" applyAlignment="0" applyProtection="0"/>
    <xf numFmtId="0" fontId="17" fillId="22" borderId="9" applyNumberFormat="0" applyAlignment="0" applyProtection="0"/>
    <xf numFmtId="40" fontId="1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0" applyNumberFormat="0" applyFill="0" applyBorder="0" applyAlignment="0" applyProtection="0"/>
    <xf numFmtId="0" fontId="23" fillId="8" borderId="8" applyNumberFormat="0" applyAlignment="0" applyProtection="0"/>
    <xf numFmtId="0" fontId="24" fillId="0" borderId="13" applyNumberFormat="0" applyFill="0" applyAlignment="0" applyProtection="0"/>
    <xf numFmtId="0" fontId="25" fillId="23" borderId="0" applyNumberFormat="0" applyBorder="0" applyAlignment="0" applyProtection="0"/>
    <xf numFmtId="170" fontId="12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164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3" fillId="24" borderId="14" applyNumberFormat="0" applyFont="0" applyAlignment="0" applyProtection="0"/>
    <xf numFmtId="0" fontId="26" fillId="21" borderId="15" applyNumberFormat="0" applyAlignment="0" applyProtection="0"/>
    <xf numFmtId="9" fontId="1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9" fillId="0" borderId="16" applyNumberFormat="0" applyFill="0" applyAlignment="0" applyProtection="0"/>
    <xf numFmtId="0" fontId="28" fillId="0" borderId="0" applyNumberFormat="0" applyFill="0" applyBorder="0" applyAlignment="0" applyProtection="0"/>
    <xf numFmtId="164" fontId="7" fillId="0" borderId="0"/>
    <xf numFmtId="164" fontId="7" fillId="0" borderId="0"/>
  </cellStyleXfs>
  <cellXfs count="115">
    <xf numFmtId="0" fontId="0" fillId="0" borderId="0" xfId="0"/>
    <xf numFmtId="3" fontId="6" fillId="2" borderId="0" xfId="0" applyNumberFormat="1" applyFont="1" applyFill="1" applyBorder="1" applyAlignment="1">
      <alignment horizontal="right" vertical="center"/>
    </xf>
    <xf numFmtId="0" fontId="6" fillId="2" borderId="6" xfId="0" applyNumberFormat="1" applyFont="1" applyFill="1" applyBorder="1" applyAlignment="1">
      <alignment horizontal="right" vertical="center"/>
    </xf>
    <xf numFmtId="0" fontId="29" fillId="2" borderId="1" xfId="0" applyFont="1" applyFill="1" applyBorder="1" applyAlignment="1">
      <alignment horizontal="right" vertical="center"/>
    </xf>
    <xf numFmtId="1" fontId="0" fillId="2" borderId="1" xfId="0" applyNumberFormat="1" applyFill="1" applyBorder="1" applyAlignment="1">
      <alignment horizontal="right" vertical="center"/>
    </xf>
    <xf numFmtId="164" fontId="8" fillId="2" borderId="18" xfId="0" applyNumberFormat="1" applyFont="1" applyFill="1" applyBorder="1" applyAlignment="1">
      <alignment vertical="center"/>
    </xf>
    <xf numFmtId="164" fontId="0" fillId="2" borderId="1" xfId="0" applyNumberFormat="1" applyFill="1" applyBorder="1"/>
    <xf numFmtId="0" fontId="39" fillId="2" borderId="3" xfId="0" applyNumberFormat="1" applyFont="1" applyFill="1" applyBorder="1" applyAlignment="1">
      <alignment horizontal="left" vertical="center" wrapText="1"/>
    </xf>
    <xf numFmtId="0" fontId="39" fillId="2" borderId="3" xfId="0" applyNumberFormat="1" applyFont="1" applyFill="1" applyBorder="1" applyAlignment="1">
      <alignment horizontal="left" vertical="center"/>
    </xf>
    <xf numFmtId="0" fontId="0" fillId="2" borderId="3" xfId="0" applyFill="1" applyBorder="1"/>
    <xf numFmtId="164" fontId="0" fillId="2" borderId="2" xfId="0" applyNumberFormat="1" applyFill="1" applyBorder="1"/>
    <xf numFmtId="0" fontId="35" fillId="2" borderId="2" xfId="0" applyNumberFormat="1" applyFont="1" applyFill="1" applyBorder="1" applyAlignment="1">
      <alignment vertical="center"/>
    </xf>
    <xf numFmtId="164" fontId="0" fillId="2" borderId="1" xfId="0" applyNumberFormat="1" applyFill="1" applyBorder="1" applyAlignment="1"/>
    <xf numFmtId="0" fontId="6" fillId="2" borderId="5" xfId="0" applyNumberFormat="1" applyFont="1" applyFill="1" applyBorder="1" applyAlignment="1">
      <alignment horizontal="left" vertical="center" wrapText="1"/>
    </xf>
    <xf numFmtId="3" fontId="6" fillId="2" borderId="5" xfId="0" applyNumberFormat="1" applyFont="1" applyFill="1" applyBorder="1" applyAlignment="1">
      <alignment horizontal="right" vertical="center" wrapText="1"/>
    </xf>
    <xf numFmtId="3" fontId="6" fillId="2" borderId="5" xfId="0" applyNumberFormat="1" applyFont="1" applyFill="1" applyBorder="1" applyAlignment="1">
      <alignment horizontal="right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6" fillId="2" borderId="0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Border="1" applyAlignment="1">
      <alignment horizontal="right" vertical="center"/>
    </xf>
    <xf numFmtId="0" fontId="5" fillId="2" borderId="0" xfId="0" applyNumberFormat="1" applyFont="1" applyFill="1" applyBorder="1" applyAlignment="1" applyProtection="1">
      <alignment horizontal="left" vertical="center" wrapText="1"/>
    </xf>
    <xf numFmtId="0" fontId="5" fillId="2" borderId="0" xfId="0" applyNumberFormat="1" applyFont="1" applyFill="1" applyBorder="1" applyAlignment="1" applyProtection="1">
      <alignment vertical="center" wrapText="1"/>
    </xf>
    <xf numFmtId="0" fontId="5" fillId="2" borderId="6" xfId="0" applyNumberFormat="1" applyFont="1" applyFill="1" applyBorder="1" applyAlignment="1">
      <alignment horizontal="left" vertical="center" wrapText="1"/>
    </xf>
    <xf numFmtId="3" fontId="6" fillId="2" borderId="6" xfId="0" applyNumberFormat="1" applyFont="1" applyFill="1" applyBorder="1" applyAlignment="1">
      <alignment horizontal="right" vertical="center" wrapText="1"/>
    </xf>
    <xf numFmtId="3" fontId="3" fillId="2" borderId="6" xfId="0" applyNumberFormat="1" applyFont="1" applyFill="1" applyBorder="1" applyAlignment="1">
      <alignment horizontal="right" vertical="center"/>
    </xf>
    <xf numFmtId="0" fontId="29" fillId="2" borderId="4" xfId="0" applyFont="1" applyFill="1" applyBorder="1" applyAlignment="1">
      <alignment horizontal="right" vertical="center"/>
    </xf>
    <xf numFmtId="0" fontId="30" fillId="2" borderId="1" xfId="0" applyNumberFormat="1" applyFont="1" applyFill="1" applyBorder="1" applyAlignment="1" applyProtection="1">
      <alignment horizontal="left" vertical="center" wrapText="1"/>
    </xf>
    <xf numFmtId="164" fontId="34" fillId="2" borderId="1" xfId="0" applyNumberFormat="1" applyFont="1" applyFill="1" applyBorder="1"/>
    <xf numFmtId="164" fontId="0" fillId="2" borderId="1" xfId="0" applyNumberFormat="1" applyFill="1" applyBorder="1" applyAlignment="1">
      <alignment horizontal="right" vertical="center"/>
    </xf>
    <xf numFmtId="0" fontId="38" fillId="2" borderId="1" xfId="0" applyNumberFormat="1" applyFont="1" applyFill="1" applyBorder="1" applyAlignment="1">
      <alignment wrapText="1"/>
    </xf>
    <xf numFmtId="0" fontId="0" fillId="2" borderId="1" xfId="0" applyFill="1" applyBorder="1"/>
    <xf numFmtId="0" fontId="38" fillId="2" borderId="17" xfId="0" applyNumberFormat="1" applyFont="1" applyFill="1" applyBorder="1" applyAlignment="1">
      <alignment wrapText="1"/>
    </xf>
    <xf numFmtId="0" fontId="38" fillId="2" borderId="18" xfId="0" applyNumberFormat="1" applyFont="1" applyFill="1" applyBorder="1" applyAlignment="1">
      <alignment wrapText="1"/>
    </xf>
    <xf numFmtId="0" fontId="0" fillId="2" borderId="18" xfId="0" applyFill="1" applyBorder="1"/>
    <xf numFmtId="0" fontId="29" fillId="2" borderId="18" xfId="0" applyFont="1" applyFill="1" applyBorder="1" applyAlignment="1">
      <alignment horizontal="right" vertical="center"/>
    </xf>
    <xf numFmtId="164" fontId="34" fillId="2" borderId="18" xfId="0" applyNumberFormat="1" applyFont="1" applyFill="1" applyBorder="1"/>
    <xf numFmtId="164" fontId="42" fillId="2" borderId="1" xfId="0" applyNumberFormat="1" applyFont="1" applyFill="1" applyBorder="1" applyAlignment="1">
      <alignment horizontal="right" vertical="center"/>
    </xf>
    <xf numFmtId="0" fontId="41" fillId="2" borderId="17" xfId="0" applyNumberFormat="1" applyFont="1" applyFill="1" applyBorder="1" applyAlignment="1">
      <alignment horizontal="left" wrapText="1"/>
    </xf>
    <xf numFmtId="0" fontId="41" fillId="2" borderId="18" xfId="0" applyNumberFormat="1" applyFont="1" applyFill="1" applyBorder="1" applyAlignment="1">
      <alignment horizontal="left" wrapText="1"/>
    </xf>
    <xf numFmtId="164" fontId="42" fillId="2" borderId="18" xfId="0" applyNumberFormat="1" applyFont="1" applyFill="1" applyBorder="1" applyAlignment="1">
      <alignment horizontal="right" vertical="center"/>
    </xf>
    <xf numFmtId="164" fontId="0" fillId="2" borderId="1" xfId="0" applyNumberFormat="1" applyFill="1" applyBorder="1" applyAlignment="1">
      <alignment wrapText="1"/>
    </xf>
    <xf numFmtId="0" fontId="6" fillId="2" borderId="7" xfId="0" applyNumberFormat="1" applyFont="1" applyFill="1" applyBorder="1" applyAlignment="1">
      <alignment horizontal="center" vertical="center"/>
    </xf>
    <xf numFmtId="0" fontId="3" fillId="2" borderId="26" xfId="0" applyNumberFormat="1" applyFont="1" applyFill="1" applyBorder="1" applyAlignment="1">
      <alignment vertical="center"/>
    </xf>
    <xf numFmtId="3" fontId="6" fillId="2" borderId="6" xfId="0" applyNumberFormat="1" applyFont="1" applyFill="1" applyBorder="1" applyAlignment="1">
      <alignment horizontal="right" vertical="center"/>
    </xf>
    <xf numFmtId="3" fontId="6" fillId="2" borderId="28" xfId="0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right" vertical="center"/>
    </xf>
    <xf numFmtId="0" fontId="3" fillId="2" borderId="27" xfId="0" applyNumberFormat="1" applyFont="1" applyFill="1" applyBorder="1" applyAlignment="1">
      <alignment horizontal="right" vertical="center"/>
    </xf>
    <xf numFmtId="0" fontId="3" fillId="2" borderId="6" xfId="0" applyNumberFormat="1" applyFont="1" applyFill="1" applyBorder="1" applyAlignment="1">
      <alignment horizontal="right" vertical="center"/>
    </xf>
    <xf numFmtId="0" fontId="3" fillId="2" borderId="31" xfId="0" applyNumberFormat="1" applyFont="1" applyFill="1" applyBorder="1" applyAlignment="1">
      <alignment horizontal="right" vertical="center"/>
    </xf>
    <xf numFmtId="0" fontId="38" fillId="2" borderId="18" xfId="0" applyNumberFormat="1" applyFont="1" applyFill="1" applyBorder="1" applyAlignment="1">
      <alignment horizontal="left" vertical="center" wrapText="1"/>
    </xf>
    <xf numFmtId="0" fontId="38" fillId="2" borderId="2" xfId="0" applyNumberFormat="1" applyFont="1" applyFill="1" applyBorder="1" applyAlignment="1">
      <alignment horizontal="left" vertical="center" wrapText="1"/>
    </xf>
    <xf numFmtId="0" fontId="3" fillId="2" borderId="27" xfId="0" applyNumberFormat="1" applyFont="1" applyFill="1" applyBorder="1" applyAlignment="1">
      <alignment horizontal="right" vertical="center" wrapText="1"/>
    </xf>
    <xf numFmtId="0" fontId="3" fillId="2" borderId="0" xfId="0" applyNumberFormat="1" applyFont="1" applyFill="1" applyBorder="1" applyAlignment="1">
      <alignment horizontal="right" vertical="center" wrapText="1"/>
    </xf>
    <xf numFmtId="0" fontId="2" fillId="2" borderId="0" xfId="0" applyNumberFormat="1" applyFont="1" applyFill="1" applyBorder="1" applyAlignment="1">
      <alignment horizontal="right" vertical="center" wrapText="1"/>
    </xf>
    <xf numFmtId="164" fontId="0" fillId="2" borderId="2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31" fillId="2" borderId="5" xfId="0" applyFont="1" applyFill="1" applyBorder="1" applyAlignment="1">
      <alignment horizontal="right" vertical="center"/>
    </xf>
    <xf numFmtId="0" fontId="36" fillId="2" borderId="0" xfId="0" applyFont="1" applyFill="1" applyBorder="1" applyAlignment="1">
      <alignment horizontal="right" vertical="center"/>
    </xf>
    <xf numFmtId="0" fontId="32" fillId="2" borderId="0" xfId="0" applyFont="1" applyFill="1" applyBorder="1" applyAlignment="1">
      <alignment horizontal="right" vertical="center"/>
    </xf>
    <xf numFmtId="0" fontId="37" fillId="2" borderId="0" xfId="0" applyFont="1" applyFill="1" applyBorder="1" applyAlignment="1">
      <alignment horizontal="right" vertical="center"/>
    </xf>
    <xf numFmtId="0" fontId="37" fillId="2" borderId="6" xfId="0" applyFont="1" applyFill="1" applyBorder="1" applyAlignment="1">
      <alignment horizontal="right" vertical="center"/>
    </xf>
    <xf numFmtId="0" fontId="38" fillId="2" borderId="17" xfId="0" applyNumberFormat="1" applyFont="1" applyFill="1" applyBorder="1" applyAlignment="1">
      <alignment horizontal="left" vertical="center"/>
    </xf>
    <xf numFmtId="164" fontId="0" fillId="2" borderId="0" xfId="0" applyNumberFormat="1" applyFill="1" applyBorder="1"/>
    <xf numFmtId="0" fontId="6" fillId="2" borderId="6" xfId="0" applyNumberFormat="1" applyFont="1" applyFill="1" applyBorder="1" applyAlignment="1">
      <alignment horizontal="right"/>
    </xf>
    <xf numFmtId="0" fontId="41" fillId="2" borderId="18" xfId="0" applyNumberFormat="1" applyFont="1" applyFill="1" applyBorder="1" applyAlignment="1">
      <alignment horizontal="left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/>
    </xf>
    <xf numFmtId="0" fontId="33" fillId="2" borderId="2" xfId="0" applyNumberFormat="1" applyFont="1" applyFill="1" applyBorder="1" applyAlignment="1">
      <alignment horizontal="center" vertical="center"/>
    </xf>
    <xf numFmtId="0" fontId="6" fillId="2" borderId="31" xfId="0" applyNumberFormat="1" applyFont="1" applyFill="1" applyBorder="1" applyAlignment="1">
      <alignment horizontal="right" vertical="center"/>
    </xf>
    <xf numFmtId="3" fontId="6" fillId="2" borderId="28" xfId="0" applyNumberFormat="1" applyFont="1" applyFill="1" applyBorder="1" applyAlignment="1">
      <alignment horizontal="right" vertical="center" wrapText="1"/>
    </xf>
    <xf numFmtId="3" fontId="6" fillId="2" borderId="27" xfId="0" applyNumberFormat="1" applyFont="1" applyFill="1" applyBorder="1" applyAlignment="1">
      <alignment horizontal="right" vertical="center"/>
    </xf>
    <xf numFmtId="0" fontId="2" fillId="2" borderId="27" xfId="0" applyNumberFormat="1" applyFont="1" applyFill="1" applyBorder="1" applyAlignment="1">
      <alignment horizontal="right" vertical="center" wrapText="1"/>
    </xf>
    <xf numFmtId="3" fontId="6" fillId="2" borderId="31" xfId="0" applyNumberFormat="1" applyFont="1" applyFill="1" applyBorder="1" applyAlignment="1">
      <alignment horizontal="right" vertical="center"/>
    </xf>
    <xf numFmtId="3" fontId="6" fillId="2" borderId="23" xfId="0" applyNumberFormat="1" applyFont="1" applyFill="1" applyBorder="1" applyAlignment="1">
      <alignment horizontal="right" vertical="center" wrapText="1"/>
    </xf>
    <xf numFmtId="164" fontId="34" fillId="2" borderId="1" xfId="0" applyNumberFormat="1" applyFont="1" applyFill="1" applyBorder="1" applyAlignment="1">
      <alignment vertical="center"/>
    </xf>
    <xf numFmtId="164" fontId="0" fillId="2" borderId="25" xfId="0" applyNumberFormat="1" applyFill="1" applyBorder="1" applyAlignment="1">
      <alignment vertical="center"/>
    </xf>
    <xf numFmtId="164" fontId="0" fillId="2" borderId="19" xfId="0" applyNumberFormat="1" applyFill="1" applyBorder="1" applyAlignment="1">
      <alignment vertical="center"/>
    </xf>
    <xf numFmtId="164" fontId="0" fillId="2" borderId="3" xfId="0" applyNumberFormat="1" applyFill="1" applyBorder="1"/>
    <xf numFmtId="0" fontId="40" fillId="2" borderId="20" xfId="0" applyFont="1" applyFill="1" applyBorder="1" applyAlignment="1">
      <alignment horizontal="right" vertical="center"/>
    </xf>
    <xf numFmtId="164" fontId="44" fillId="2" borderId="1" xfId="0" applyNumberFormat="1" applyFont="1" applyFill="1" applyBorder="1" applyAlignment="1">
      <alignment vertical="center"/>
    </xf>
    <xf numFmtId="0" fontId="30" fillId="2" borderId="4" xfId="0" applyNumberFormat="1" applyFont="1" applyFill="1" applyBorder="1" applyAlignment="1" applyProtection="1">
      <alignment vertical="center"/>
    </xf>
    <xf numFmtId="0" fontId="3" fillId="2" borderId="4" xfId="0" applyNumberFormat="1" applyFont="1" applyFill="1" applyBorder="1" applyAlignment="1">
      <alignment vertical="center"/>
    </xf>
    <xf numFmtId="0" fontId="6" fillId="2" borderId="4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vertical="center"/>
    </xf>
    <xf numFmtId="164" fontId="0" fillId="2" borderId="21" xfId="0" applyNumberFormat="1" applyFill="1" applyBorder="1" applyAlignment="1">
      <alignment vertical="center"/>
    </xf>
    <xf numFmtId="164" fontId="34" fillId="2" borderId="0" xfId="0" applyNumberFormat="1" applyFont="1" applyFill="1" applyBorder="1"/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41" fillId="2" borderId="17" xfId="0" applyNumberFormat="1" applyFont="1" applyFill="1" applyBorder="1" applyAlignment="1">
      <alignment horizontal="left" wrapText="1"/>
    </xf>
    <xf numFmtId="0" fontId="41" fillId="2" borderId="18" xfId="0" applyNumberFormat="1" applyFont="1" applyFill="1" applyBorder="1" applyAlignment="1">
      <alignment horizontal="left" wrapText="1"/>
    </xf>
    <xf numFmtId="0" fontId="41" fillId="2" borderId="2" xfId="0" applyNumberFormat="1" applyFont="1" applyFill="1" applyBorder="1" applyAlignment="1">
      <alignment horizontal="left" wrapText="1"/>
    </xf>
    <xf numFmtId="0" fontId="6" fillId="2" borderId="30" xfId="0" applyNumberFormat="1" applyFont="1" applyFill="1" applyBorder="1" applyAlignment="1">
      <alignment horizontal="center" vertical="center"/>
    </xf>
    <xf numFmtId="0" fontId="3" fillId="2" borderId="26" xfId="0" applyNumberFormat="1" applyFont="1" applyFill="1" applyBorder="1" applyAlignment="1">
      <alignment vertical="center"/>
    </xf>
    <xf numFmtId="0" fontId="2" fillId="2" borderId="5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left" vertical="center" wrapText="1"/>
    </xf>
    <xf numFmtId="0" fontId="2" fillId="2" borderId="6" xfId="0" applyNumberFormat="1" applyFont="1" applyFill="1" applyBorder="1" applyAlignment="1">
      <alignment horizontal="left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6" fillId="2" borderId="29" xfId="0" applyNumberFormat="1" applyFont="1" applyFill="1" applyBorder="1" applyAlignment="1">
      <alignment horizontal="center" vertical="center"/>
    </xf>
    <xf numFmtId="0" fontId="6" fillId="2" borderId="7" xfId="0" applyNumberFormat="1" applyFont="1" applyFill="1" applyBorder="1" applyAlignment="1">
      <alignment horizontal="center" vertical="center"/>
    </xf>
    <xf numFmtId="0" fontId="6" fillId="2" borderId="29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3" fillId="2" borderId="26" xfId="0" applyNumberFormat="1" applyFont="1" applyFill="1" applyBorder="1" applyAlignment="1">
      <alignment horizontal="center" vertical="center"/>
    </xf>
    <xf numFmtId="0" fontId="6" fillId="2" borderId="26" xfId="0" applyNumberFormat="1" applyFont="1" applyFill="1" applyBorder="1" applyAlignment="1">
      <alignment horizontal="center" vertical="center" wrapText="1"/>
    </xf>
    <xf numFmtId="0" fontId="40" fillId="2" borderId="5" xfId="0" applyFont="1" applyFill="1" applyBorder="1" applyAlignment="1">
      <alignment horizontal="right" vertical="center"/>
    </xf>
    <xf numFmtId="0" fontId="40" fillId="2" borderId="22" xfId="0" applyFont="1" applyFill="1" applyBorder="1" applyAlignment="1">
      <alignment horizontal="right" vertical="center"/>
    </xf>
    <xf numFmtId="0" fontId="40" fillId="2" borderId="0" xfId="0" applyFont="1" applyFill="1" applyBorder="1" applyAlignment="1">
      <alignment horizontal="right" vertical="center"/>
    </xf>
    <xf numFmtId="0" fontId="40" fillId="2" borderId="20" xfId="0" applyFont="1" applyFill="1" applyBorder="1" applyAlignment="1">
      <alignment horizontal="right" vertical="center"/>
    </xf>
    <xf numFmtId="0" fontId="40" fillId="2" borderId="6" xfId="0" applyFont="1" applyFill="1" applyBorder="1" applyAlignment="1">
      <alignment horizontal="right" vertical="center"/>
    </xf>
    <xf numFmtId="0" fontId="40" fillId="2" borderId="24" xfId="0" applyFont="1" applyFill="1" applyBorder="1" applyAlignment="1">
      <alignment horizontal="right" vertical="center"/>
    </xf>
    <xf numFmtId="0" fontId="33" fillId="2" borderId="17" xfId="0" applyNumberFormat="1" applyFont="1" applyFill="1" applyBorder="1" applyAlignment="1">
      <alignment horizontal="center" vertical="center"/>
    </xf>
    <xf numFmtId="0" fontId="33" fillId="2" borderId="18" xfId="0" applyNumberFormat="1" applyFont="1" applyFill="1" applyBorder="1" applyAlignment="1">
      <alignment horizontal="center" vertical="center"/>
    </xf>
    <xf numFmtId="0" fontId="33" fillId="2" borderId="2" xfId="0" applyNumberFormat="1" applyFont="1" applyFill="1" applyBorder="1" applyAlignment="1">
      <alignment horizontal="center" vertical="center"/>
    </xf>
  </cellXfs>
  <cellStyles count="62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20807E"/>
      <color rgb="FF00C0BC"/>
      <color rgb="FF75DFDD"/>
      <color rgb="FFA7FFFF"/>
      <color rgb="FF00CC99"/>
      <color rgb="FFE7FFFF"/>
      <color rgb="FF33CCCC"/>
      <color rgb="FF99FF99"/>
      <color rgb="FF9DE9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43485223191866"/>
          <c:y val="0.1729291660628311"/>
          <c:w val="0.46194377327382813"/>
          <c:h val="0.78502101347760977"/>
        </c:manualLayout>
      </c:layout>
      <c:doughnutChart>
        <c:varyColors val="1"/>
        <c:ser>
          <c:idx val="0"/>
          <c:order val="0"/>
          <c:spPr>
            <a:solidFill>
              <a:srgbClr val="20807E"/>
            </a:solidFill>
          </c:spPr>
          <c:dPt>
            <c:idx val="0"/>
            <c:bubble3D val="0"/>
            <c:explosion val="2"/>
            <c:spPr>
              <a:solidFill>
                <a:srgbClr val="00C0BC"/>
              </a:solidFill>
            </c:spPr>
          </c:dPt>
          <c:dLbls>
            <c:dLbl>
              <c:idx val="0"/>
              <c:layout>
                <c:manualLayout>
                  <c:x val="-6.5353972636094434E-3"/>
                  <c:y val="-2.45398773006134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6.5681444991789817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'6.2'!$AK$21:$AL$21</c:f>
              <c:strCache>
                <c:ptCount val="2"/>
                <c:pt idx="0">
                  <c:v>Expatriate</c:v>
                </c:pt>
                <c:pt idx="1">
                  <c:v>Local</c:v>
                </c:pt>
              </c:strCache>
            </c:strRef>
          </c:cat>
          <c:val>
            <c:numRef>
              <c:f>'6.2'!$AK$22:$AL$22</c:f>
              <c:numCache>
                <c:formatCode>General_)</c:formatCode>
                <c:ptCount val="2"/>
                <c:pt idx="0">
                  <c:v>1852</c:v>
                </c:pt>
                <c:pt idx="1">
                  <c:v>2240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95117391148024E-2"/>
          <c:y val="0.1836614525061043"/>
          <c:w val="0.91658375579764861"/>
          <c:h val="0.573066503416295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'6.2'!$AC$25</c:f>
              <c:strCache>
                <c:ptCount val="1"/>
                <c:pt idx="0">
                  <c:v>Expat</c:v>
                </c:pt>
              </c:strCache>
            </c:strRef>
          </c:tx>
          <c:spPr>
            <a:solidFill>
              <a:srgbClr val="20807E"/>
            </a:solidFill>
          </c:spPr>
          <c:invertIfNegative val="0"/>
          <c:cat>
            <c:strRef>
              <c:f>'6.2'!$AB$26:$AB$35</c:f>
              <c:strCache>
                <c:ptCount val="10"/>
                <c:pt idx="0">
                  <c:v>Doctors (MBBS)</c:v>
                </c:pt>
                <c:pt idx="1">
                  <c:v>Doctors (Specialists)</c:v>
                </c:pt>
                <c:pt idx="2">
                  <c:v>Nurses</c:v>
                </c:pt>
                <c:pt idx="3">
                  <c:v>Laboratory Scientists / Laboratory technicians/ laboratory assistants </c:v>
                </c:pt>
                <c:pt idx="4">
                  <c:v>Physiotherapists</c:v>
                </c:pt>
                <c:pt idx="5">
                  <c:v>Radiographers</c:v>
                </c:pt>
                <c:pt idx="6">
                  <c:v> Dental technicians / dental assistants</c:v>
                </c:pt>
                <c:pt idx="7">
                  <c:v>Community Health Workers</c:v>
                </c:pt>
                <c:pt idx="8">
                  <c:v>Family  Health Workers</c:v>
                </c:pt>
                <c:pt idx="9">
                  <c:v>Foolhumaas (TBAs)</c:v>
                </c:pt>
              </c:strCache>
            </c:strRef>
          </c:cat>
          <c:val>
            <c:numRef>
              <c:f>'6.2'!$AC$26:$AC$35</c:f>
              <c:numCache>
                <c:formatCode>#,##0</c:formatCode>
                <c:ptCount val="10"/>
                <c:pt idx="0">
                  <c:v>84.468085106382986</c:v>
                </c:pt>
                <c:pt idx="1">
                  <c:v>65.476190476190482</c:v>
                </c:pt>
                <c:pt idx="2">
                  <c:v>43.961772371850564</c:v>
                </c:pt>
                <c:pt idx="3">
                  <c:v>47.719298245614034</c:v>
                </c:pt>
                <c:pt idx="4">
                  <c:v>72.222222222222214</c:v>
                </c:pt>
                <c:pt idx="5">
                  <c:v>75.324675324675326</c:v>
                </c:pt>
                <c:pt idx="6">
                  <c:v>9.67741935483871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'6.2'!$AD$25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rgbClr val="00C0BC"/>
            </a:solidFill>
          </c:spPr>
          <c:invertIfNegative val="0"/>
          <c:cat>
            <c:strRef>
              <c:f>'6.2'!$AB$26:$AB$35</c:f>
              <c:strCache>
                <c:ptCount val="10"/>
                <c:pt idx="0">
                  <c:v>Doctors (MBBS)</c:v>
                </c:pt>
                <c:pt idx="1">
                  <c:v>Doctors (Specialists)</c:v>
                </c:pt>
                <c:pt idx="2">
                  <c:v>Nurses</c:v>
                </c:pt>
                <c:pt idx="3">
                  <c:v>Laboratory Scientists / Laboratory technicians/ laboratory assistants </c:v>
                </c:pt>
                <c:pt idx="4">
                  <c:v>Physiotherapists</c:v>
                </c:pt>
                <c:pt idx="5">
                  <c:v>Radiographers</c:v>
                </c:pt>
                <c:pt idx="6">
                  <c:v> Dental technicians / dental assistants</c:v>
                </c:pt>
                <c:pt idx="7">
                  <c:v>Community Health Workers</c:v>
                </c:pt>
                <c:pt idx="8">
                  <c:v>Family  Health Workers</c:v>
                </c:pt>
                <c:pt idx="9">
                  <c:v>Foolhumaas (TBAs)</c:v>
                </c:pt>
              </c:strCache>
            </c:strRef>
          </c:cat>
          <c:val>
            <c:numRef>
              <c:f>'6.2'!$AD$26:$AD$35</c:f>
              <c:numCache>
                <c:formatCode>#,##0</c:formatCode>
                <c:ptCount val="10"/>
                <c:pt idx="0">
                  <c:v>15.531914893617021</c:v>
                </c:pt>
                <c:pt idx="1">
                  <c:v>34.523809523809526</c:v>
                </c:pt>
                <c:pt idx="2">
                  <c:v>56.038227628149443</c:v>
                </c:pt>
                <c:pt idx="3">
                  <c:v>52.280701754385959</c:v>
                </c:pt>
                <c:pt idx="4">
                  <c:v>27.777777777777779</c:v>
                </c:pt>
                <c:pt idx="5">
                  <c:v>24.675324675324674</c:v>
                </c:pt>
                <c:pt idx="6">
                  <c:v>90.322580645161281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379712"/>
        <c:axId val="123381248"/>
      </c:barChart>
      <c:catAx>
        <c:axId val="12337971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3381248"/>
        <c:crosses val="autoZero"/>
        <c:auto val="1"/>
        <c:lblAlgn val="ctr"/>
        <c:lblOffset val="100"/>
        <c:noMultiLvlLbl val="0"/>
      </c:catAx>
      <c:valAx>
        <c:axId val="123381248"/>
        <c:scaling>
          <c:orientation val="minMax"/>
          <c:max val="1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out"/>
        <c:minorTickMark val="none"/>
        <c:tickLblPos val="nextTo"/>
        <c:crossAx val="12337971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5507663751975763"/>
          <c:y val="0.88997533117945615"/>
          <c:w val="0.20682873509705887"/>
          <c:h val="6.7316946945515835E-2"/>
        </c:manualLayout>
      </c:layout>
      <c:overlay val="0"/>
      <c:txPr>
        <a:bodyPr/>
        <a:lstStyle/>
        <a:p>
          <a:pPr>
            <a:defRPr sz="10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2009774</xdr:colOff>
      <xdr:row>22</xdr:row>
      <xdr:rowOff>85725</xdr:rowOff>
    </xdr:from>
    <xdr:to>
      <xdr:col>13</xdr:col>
      <xdr:colOff>361949</xdr:colOff>
      <xdr:row>34</xdr:row>
      <xdr:rowOff>133350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361949</xdr:colOff>
      <xdr:row>23</xdr:row>
      <xdr:rowOff>9525</xdr:rowOff>
    </xdr:from>
    <xdr:to>
      <xdr:col>12</xdr:col>
      <xdr:colOff>428624</xdr:colOff>
      <xdr:row>24</xdr:row>
      <xdr:rowOff>66675</xdr:rowOff>
    </xdr:to>
    <xdr:sp macro="" textlink="">
      <xdr:nvSpPr>
        <xdr:cNvPr id="3" name="TextBox 2"/>
        <xdr:cNvSpPr txBox="1"/>
      </xdr:nvSpPr>
      <xdr:spPr>
        <a:xfrm>
          <a:off x="2800349" y="6305550"/>
          <a:ext cx="5610225" cy="2381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Figure 6.3: Percenatge of Local and Expatriate health personnel, 2015</a:t>
          </a:r>
        </a:p>
      </xdr:txBody>
    </xdr:sp>
    <xdr:clientData/>
  </xdr:twoCellAnchor>
  <xdr:twoCellAnchor>
    <xdr:from>
      <xdr:col>1</xdr:col>
      <xdr:colOff>390524</xdr:colOff>
      <xdr:row>24</xdr:row>
      <xdr:rowOff>76199</xdr:rowOff>
    </xdr:from>
    <xdr:to>
      <xdr:col>12</xdr:col>
      <xdr:colOff>247649</xdr:colOff>
      <xdr:row>24</xdr:row>
      <xdr:rowOff>85724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828924" y="6553199"/>
          <a:ext cx="5400675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0</xdr:col>
      <xdr:colOff>2066925</xdr:colOff>
      <xdr:row>35</xdr:row>
      <xdr:rowOff>247649</xdr:rowOff>
    </xdr:from>
    <xdr:to>
      <xdr:col>13</xdr:col>
      <xdr:colOff>333375</xdr:colOff>
      <xdr:row>46</xdr:row>
      <xdr:rowOff>133350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2428875</xdr:colOff>
      <xdr:row>36</xdr:row>
      <xdr:rowOff>51503</xdr:rowOff>
    </xdr:from>
    <xdr:to>
      <xdr:col>13</xdr:col>
      <xdr:colOff>95250</xdr:colOff>
      <xdr:row>37</xdr:row>
      <xdr:rowOff>47288</xdr:rowOff>
    </xdr:to>
    <xdr:sp macro="" textlink="">
      <xdr:nvSpPr>
        <xdr:cNvPr id="8" name="TextBox 7"/>
        <xdr:cNvSpPr txBox="1"/>
      </xdr:nvSpPr>
      <xdr:spPr>
        <a:xfrm>
          <a:off x="2428875" y="9586028"/>
          <a:ext cx="6296025" cy="3005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6.3: Percentage of</a:t>
          </a:r>
          <a:r>
            <a:rPr lang="en-US" sz="11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local and expatriate health personnel by type, 2015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9525</xdr:colOff>
      <xdr:row>37</xdr:row>
      <xdr:rowOff>0</xdr:rowOff>
    </xdr:from>
    <xdr:to>
      <xdr:col>12</xdr:col>
      <xdr:colOff>590550</xdr:colOff>
      <xdr:row>37</xdr:row>
      <xdr:rowOff>9525</xdr:rowOff>
    </xdr:to>
    <xdr:sp macro="" textlink="">
      <xdr:nvSpPr>
        <xdr:cNvPr id="9" name="Line 4"/>
        <xdr:cNvSpPr>
          <a:spLocks noChangeShapeType="1"/>
        </xdr:cNvSpPr>
      </xdr:nvSpPr>
      <xdr:spPr bwMode="auto">
        <a:xfrm flipV="1">
          <a:off x="2447925" y="9839325"/>
          <a:ext cx="6124575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35"/>
  <sheetViews>
    <sheetView tabSelected="1" zoomScaleNormal="100" workbookViewId="0">
      <selection activeCell="O26" sqref="O26"/>
    </sheetView>
  </sheetViews>
  <sheetFormatPr defaultColWidth="10.85546875" defaultRowHeight="24" customHeight="1" x14ac:dyDescent="0.25"/>
  <cols>
    <col min="1" max="1" width="36.5703125" style="39" customWidth="1"/>
    <col min="2" max="4" width="8.42578125" style="39" customWidth="1"/>
    <col min="5" max="5" width="0.85546875" style="39" customWidth="1"/>
    <col min="6" max="7" width="7.85546875" style="39" customWidth="1"/>
    <col min="8" max="11" width="9.7109375" style="6" customWidth="1"/>
    <col min="12" max="12" width="1.5703125" style="6" customWidth="1"/>
    <col min="13" max="14" width="9.7109375" style="6" customWidth="1"/>
    <col min="15" max="15" width="31.42578125" style="6" customWidth="1"/>
    <col min="16" max="17" width="3.28515625" style="6" customWidth="1"/>
    <col min="18" max="27" width="10.85546875" style="6"/>
    <col min="28" max="28" width="20.28515625" style="6" customWidth="1"/>
    <col min="29" max="16384" width="10.85546875" style="6"/>
  </cols>
  <sheetData>
    <row r="1" spans="1:36" ht="19.5" x14ac:dyDescent="0.25">
      <c r="A1" s="87" t="s">
        <v>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67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ht="15.75" x14ac:dyDescent="0.25">
      <c r="A2" s="112" t="s">
        <v>10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4"/>
      <c r="Q2" s="68"/>
    </row>
    <row r="3" spans="1:36" ht="15" x14ac:dyDescent="0.25">
      <c r="A3" s="7"/>
      <c r="B3" s="7"/>
      <c r="C3" s="7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9"/>
      <c r="P3" s="78"/>
      <c r="Q3" s="78"/>
    </row>
    <row r="4" spans="1:36" ht="15" customHeight="1" x14ac:dyDescent="0.25">
      <c r="A4" s="94" t="s">
        <v>0</v>
      </c>
      <c r="B4" s="97" t="s">
        <v>11</v>
      </c>
      <c r="C4" s="97" t="s">
        <v>17</v>
      </c>
      <c r="D4" s="97" t="s">
        <v>18</v>
      </c>
      <c r="E4" s="64"/>
      <c r="F4" s="100" t="s">
        <v>12</v>
      </c>
      <c r="G4" s="101"/>
      <c r="H4" s="101"/>
      <c r="I4" s="101"/>
      <c r="J4" s="101"/>
      <c r="K4" s="101"/>
      <c r="L4" s="40"/>
      <c r="M4" s="102" t="s">
        <v>13</v>
      </c>
      <c r="N4" s="103"/>
      <c r="O4" s="106" t="s">
        <v>1</v>
      </c>
      <c r="P4" s="107"/>
      <c r="Q4" s="79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1:36" ht="15" customHeight="1" x14ac:dyDescent="0.25">
      <c r="A5" s="95"/>
      <c r="B5" s="98"/>
      <c r="C5" s="98"/>
      <c r="D5" s="98"/>
      <c r="E5" s="65"/>
      <c r="F5" s="92" t="s">
        <v>14</v>
      </c>
      <c r="G5" s="104"/>
      <c r="H5" s="105" t="s">
        <v>15</v>
      </c>
      <c r="I5" s="105"/>
      <c r="J5" s="105" t="s">
        <v>16</v>
      </c>
      <c r="K5" s="105"/>
      <c r="L5" s="41"/>
      <c r="M5" s="92" t="s">
        <v>14</v>
      </c>
      <c r="N5" s="93"/>
      <c r="O5" s="108"/>
      <c r="P5" s="109"/>
      <c r="Q5" s="79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spans="1:36" s="12" customFormat="1" ht="23.25" x14ac:dyDescent="0.25">
      <c r="A6" s="96"/>
      <c r="B6" s="99"/>
      <c r="C6" s="99"/>
      <c r="D6" s="99"/>
      <c r="E6" s="66"/>
      <c r="F6" s="69" t="s">
        <v>17</v>
      </c>
      <c r="G6" s="2" t="s">
        <v>18</v>
      </c>
      <c r="H6" s="2" t="s">
        <v>17</v>
      </c>
      <c r="I6" s="2" t="s">
        <v>18</v>
      </c>
      <c r="J6" s="2" t="s">
        <v>17</v>
      </c>
      <c r="K6" s="2" t="s">
        <v>18</v>
      </c>
      <c r="L6" s="62"/>
      <c r="M6" s="69" t="s">
        <v>17</v>
      </c>
      <c r="N6" s="2" t="s">
        <v>18</v>
      </c>
      <c r="O6" s="110"/>
      <c r="P6" s="111"/>
      <c r="Q6" s="79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 spans="1:36" s="54" customFormat="1" ht="25.5" customHeight="1" x14ac:dyDescent="0.25">
      <c r="A7" s="13" t="s">
        <v>19</v>
      </c>
      <c r="B7" s="17">
        <f>F7+G7+M7+N7</f>
        <v>4092</v>
      </c>
      <c r="C7" s="17">
        <f>F7+M7</f>
        <v>1852</v>
      </c>
      <c r="D7" s="17">
        <f>G7+N7</f>
        <v>2240</v>
      </c>
      <c r="E7" s="17"/>
      <c r="F7" s="70">
        <f>H7+J7</f>
        <v>1604</v>
      </c>
      <c r="G7" s="14">
        <f>I7+K7</f>
        <v>2142</v>
      </c>
      <c r="H7" s="15">
        <f>SUM(H8:H18)</f>
        <v>399</v>
      </c>
      <c r="I7" s="15">
        <f t="shared" ref="I7:K7" si="0">SUM(I8:I18)</f>
        <v>715</v>
      </c>
      <c r="J7" s="15">
        <f t="shared" si="0"/>
        <v>1205</v>
      </c>
      <c r="K7" s="15">
        <f t="shared" si="0"/>
        <v>1427</v>
      </c>
      <c r="L7" s="15"/>
      <c r="M7" s="43">
        <f>SUM(M8:M18)</f>
        <v>248</v>
      </c>
      <c r="N7" s="15">
        <f>SUM(N8:N18)</f>
        <v>98</v>
      </c>
      <c r="O7" s="55" t="s">
        <v>20</v>
      </c>
      <c r="P7" s="77"/>
      <c r="Q7" s="77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</row>
    <row r="8" spans="1:36" s="54" customFormat="1" ht="25.5" customHeight="1" x14ac:dyDescent="0.25">
      <c r="A8" s="16" t="s">
        <v>21</v>
      </c>
      <c r="B8" s="17">
        <f>F8+G8+M8+N8</f>
        <v>470</v>
      </c>
      <c r="C8" s="17">
        <f t="shared" ref="C8:C18" si="1">F8+M8</f>
        <v>397</v>
      </c>
      <c r="D8" s="17">
        <f t="shared" ref="D8:D18" si="2">G8+N8</f>
        <v>73</v>
      </c>
      <c r="E8" s="17"/>
      <c r="F8" s="71">
        <f>H8+J8</f>
        <v>385</v>
      </c>
      <c r="G8" s="1">
        <f>I8+K8</f>
        <v>56</v>
      </c>
      <c r="H8" s="44">
        <v>66</v>
      </c>
      <c r="I8" s="44">
        <v>53</v>
      </c>
      <c r="J8" s="44">
        <v>319</v>
      </c>
      <c r="K8" s="44">
        <v>3</v>
      </c>
      <c r="L8" s="18"/>
      <c r="M8" s="45">
        <v>12</v>
      </c>
      <c r="N8" s="44">
        <v>17</v>
      </c>
      <c r="O8" s="56" t="s">
        <v>2</v>
      </c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</row>
    <row r="9" spans="1:36" s="54" customFormat="1" ht="25.5" customHeight="1" x14ac:dyDescent="0.25">
      <c r="A9" s="16" t="s">
        <v>22</v>
      </c>
      <c r="B9" s="17">
        <f>F9+G9+M9+N9</f>
        <v>336</v>
      </c>
      <c r="C9" s="17">
        <f t="shared" si="1"/>
        <v>220</v>
      </c>
      <c r="D9" s="17">
        <f t="shared" si="2"/>
        <v>116</v>
      </c>
      <c r="E9" s="17"/>
      <c r="F9" s="71">
        <f>H9+J9</f>
        <v>187</v>
      </c>
      <c r="G9" s="1">
        <f t="shared" ref="G9:G18" si="3">I9+K9</f>
        <v>94</v>
      </c>
      <c r="H9" s="44">
        <v>65</v>
      </c>
      <c r="I9" s="44">
        <v>87</v>
      </c>
      <c r="J9" s="44">
        <v>122</v>
      </c>
      <c r="K9" s="44">
        <v>7</v>
      </c>
      <c r="L9" s="18"/>
      <c r="M9" s="45">
        <v>33</v>
      </c>
      <c r="N9" s="44">
        <v>22</v>
      </c>
      <c r="O9" s="56" t="s">
        <v>3</v>
      </c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</row>
    <row r="10" spans="1:36" s="54" customFormat="1" ht="25.5" customHeight="1" x14ac:dyDescent="0.25">
      <c r="A10" s="16" t="s">
        <v>4</v>
      </c>
      <c r="B10" s="17">
        <f>F10+G10+M10+N10</f>
        <v>2302</v>
      </c>
      <c r="C10" s="17">
        <f t="shared" si="1"/>
        <v>1012</v>
      </c>
      <c r="D10" s="17">
        <f t="shared" si="2"/>
        <v>1290</v>
      </c>
      <c r="E10" s="17"/>
      <c r="F10" s="71">
        <f t="shared" ref="F10:F18" si="4">H10+J10</f>
        <v>857</v>
      </c>
      <c r="G10" s="1">
        <f t="shared" si="3"/>
        <v>1264</v>
      </c>
      <c r="H10" s="44">
        <v>228</v>
      </c>
      <c r="I10" s="44">
        <v>473</v>
      </c>
      <c r="J10" s="44">
        <v>629</v>
      </c>
      <c r="K10" s="44">
        <v>791</v>
      </c>
      <c r="L10" s="18"/>
      <c r="M10" s="45">
        <v>155</v>
      </c>
      <c r="N10" s="44">
        <v>26</v>
      </c>
      <c r="O10" s="57" t="s">
        <v>5</v>
      </c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</row>
    <row r="11" spans="1:36" s="54" customFormat="1" ht="25.5" customHeight="1" x14ac:dyDescent="0.25">
      <c r="A11" s="19" t="s">
        <v>23</v>
      </c>
      <c r="B11" s="17">
        <f t="shared" ref="B11:B18" si="5">F11+G11+M11+N11</f>
        <v>285</v>
      </c>
      <c r="C11" s="17">
        <f t="shared" si="1"/>
        <v>136</v>
      </c>
      <c r="D11" s="17">
        <f t="shared" si="2"/>
        <v>149</v>
      </c>
      <c r="E11" s="17"/>
      <c r="F11" s="71">
        <f t="shared" si="4"/>
        <v>110</v>
      </c>
      <c r="G11" s="1">
        <f t="shared" si="3"/>
        <v>134</v>
      </c>
      <c r="H11" s="44">
        <v>11</v>
      </c>
      <c r="I11" s="44">
        <v>69</v>
      </c>
      <c r="J11" s="44">
        <v>99</v>
      </c>
      <c r="K11" s="44">
        <v>65</v>
      </c>
      <c r="L11" s="18"/>
      <c r="M11" s="45">
        <v>26</v>
      </c>
      <c r="N11" s="44">
        <v>15</v>
      </c>
      <c r="O11" s="58" t="s">
        <v>24</v>
      </c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</row>
    <row r="12" spans="1:36" s="54" customFormat="1" ht="25.5" customHeight="1" x14ac:dyDescent="0.25">
      <c r="A12" s="19" t="s">
        <v>25</v>
      </c>
      <c r="B12" s="17">
        <f t="shared" si="5"/>
        <v>36</v>
      </c>
      <c r="C12" s="17">
        <f t="shared" si="1"/>
        <v>26</v>
      </c>
      <c r="D12" s="17">
        <f t="shared" si="2"/>
        <v>10</v>
      </c>
      <c r="E12" s="17"/>
      <c r="F12" s="71">
        <f t="shared" si="4"/>
        <v>22</v>
      </c>
      <c r="G12" s="1">
        <f t="shared" si="3"/>
        <v>8</v>
      </c>
      <c r="H12" s="44">
        <v>11</v>
      </c>
      <c r="I12" s="44">
        <v>7</v>
      </c>
      <c r="J12" s="44">
        <v>11</v>
      </c>
      <c r="K12" s="44">
        <v>1</v>
      </c>
      <c r="L12" s="18"/>
      <c r="M12" s="45">
        <v>4</v>
      </c>
      <c r="N12" s="44">
        <v>2</v>
      </c>
      <c r="O12" s="58" t="s">
        <v>26</v>
      </c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</row>
    <row r="13" spans="1:36" s="54" customFormat="1" ht="25.5" customHeight="1" x14ac:dyDescent="0.25">
      <c r="A13" s="19" t="s">
        <v>27</v>
      </c>
      <c r="B13" s="17">
        <f t="shared" si="5"/>
        <v>77</v>
      </c>
      <c r="C13" s="17">
        <f t="shared" si="1"/>
        <v>58</v>
      </c>
      <c r="D13" s="17">
        <f t="shared" si="2"/>
        <v>19</v>
      </c>
      <c r="E13" s="17"/>
      <c r="F13" s="71">
        <f t="shared" si="4"/>
        <v>42</v>
      </c>
      <c r="G13" s="1">
        <f t="shared" si="3"/>
        <v>17</v>
      </c>
      <c r="H13" s="44">
        <v>17</v>
      </c>
      <c r="I13" s="44">
        <v>8</v>
      </c>
      <c r="J13" s="44">
        <v>25</v>
      </c>
      <c r="K13" s="44">
        <v>9</v>
      </c>
      <c r="L13" s="18"/>
      <c r="M13" s="45">
        <v>16</v>
      </c>
      <c r="N13" s="44">
        <v>2</v>
      </c>
      <c r="O13" s="58" t="s">
        <v>28</v>
      </c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</row>
    <row r="14" spans="1:36" s="54" customFormat="1" ht="25.5" customHeight="1" x14ac:dyDescent="0.25">
      <c r="A14" s="20" t="s">
        <v>47</v>
      </c>
      <c r="B14" s="17">
        <f t="shared" si="5"/>
        <v>31</v>
      </c>
      <c r="C14" s="17">
        <f t="shared" si="1"/>
        <v>3</v>
      </c>
      <c r="D14" s="17">
        <f t="shared" si="2"/>
        <v>28</v>
      </c>
      <c r="E14" s="17"/>
      <c r="F14" s="71">
        <f t="shared" si="4"/>
        <v>1</v>
      </c>
      <c r="G14" s="1">
        <f t="shared" si="3"/>
        <v>14</v>
      </c>
      <c r="H14" s="44">
        <v>1</v>
      </c>
      <c r="I14" s="44">
        <v>14</v>
      </c>
      <c r="J14" s="44">
        <v>0</v>
      </c>
      <c r="K14" s="44">
        <v>0</v>
      </c>
      <c r="L14" s="18"/>
      <c r="M14" s="45">
        <v>2</v>
      </c>
      <c r="N14" s="44">
        <v>14</v>
      </c>
      <c r="O14" s="58" t="s">
        <v>30</v>
      </c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</row>
    <row r="15" spans="1:36" s="54" customFormat="1" ht="25.5" customHeight="1" x14ac:dyDescent="0.25">
      <c r="A15" s="19" t="s">
        <v>31</v>
      </c>
      <c r="B15" s="52" t="s">
        <v>8</v>
      </c>
      <c r="C15" s="52" t="s">
        <v>8</v>
      </c>
      <c r="D15" s="52" t="s">
        <v>8</v>
      </c>
      <c r="E15" s="17"/>
      <c r="F15" s="72" t="s">
        <v>8</v>
      </c>
      <c r="G15" s="52" t="s">
        <v>8</v>
      </c>
      <c r="H15" s="51" t="s">
        <v>8</v>
      </c>
      <c r="I15" s="51" t="s">
        <v>8</v>
      </c>
      <c r="J15" s="51" t="s">
        <v>8</v>
      </c>
      <c r="K15" s="51" t="s">
        <v>8</v>
      </c>
      <c r="L15" s="18"/>
      <c r="M15" s="50" t="s">
        <v>8</v>
      </c>
      <c r="N15" s="51" t="s">
        <v>8</v>
      </c>
      <c r="O15" s="58" t="s">
        <v>32</v>
      </c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</row>
    <row r="16" spans="1:36" s="54" customFormat="1" ht="25.5" customHeight="1" x14ac:dyDescent="0.25">
      <c r="A16" s="16" t="s">
        <v>33</v>
      </c>
      <c r="B16" s="17">
        <f t="shared" si="5"/>
        <v>236</v>
      </c>
      <c r="C16" s="17">
        <f t="shared" si="1"/>
        <v>0</v>
      </c>
      <c r="D16" s="17">
        <f t="shared" si="2"/>
        <v>236</v>
      </c>
      <c r="E16" s="17"/>
      <c r="F16" s="71">
        <f t="shared" si="4"/>
        <v>0</v>
      </c>
      <c r="G16" s="1">
        <f t="shared" si="3"/>
        <v>236</v>
      </c>
      <c r="H16" s="44">
        <v>0</v>
      </c>
      <c r="I16" s="44">
        <v>4</v>
      </c>
      <c r="J16" s="44">
        <v>0</v>
      </c>
      <c r="K16" s="44">
        <v>232</v>
      </c>
      <c r="L16" s="18"/>
      <c r="M16" s="45">
        <v>0</v>
      </c>
      <c r="N16" s="44">
        <v>0</v>
      </c>
      <c r="O16" s="58" t="s">
        <v>34</v>
      </c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</row>
    <row r="17" spans="1:39" s="54" customFormat="1" ht="25.5" customHeight="1" x14ac:dyDescent="0.25">
      <c r="A17" s="16" t="s">
        <v>35</v>
      </c>
      <c r="B17" s="17">
        <f t="shared" si="5"/>
        <v>259</v>
      </c>
      <c r="C17" s="17">
        <f t="shared" si="1"/>
        <v>0</v>
      </c>
      <c r="D17" s="17">
        <f t="shared" si="2"/>
        <v>259</v>
      </c>
      <c r="E17" s="17"/>
      <c r="F17" s="71">
        <f t="shared" si="4"/>
        <v>0</v>
      </c>
      <c r="G17" s="1">
        <f t="shared" si="3"/>
        <v>259</v>
      </c>
      <c r="H17" s="44">
        <v>0</v>
      </c>
      <c r="I17" s="44">
        <v>0</v>
      </c>
      <c r="J17" s="44">
        <v>0</v>
      </c>
      <c r="K17" s="44">
        <v>259</v>
      </c>
      <c r="L17" s="18"/>
      <c r="M17" s="45">
        <v>0</v>
      </c>
      <c r="N17" s="44">
        <v>0</v>
      </c>
      <c r="O17" s="58" t="s">
        <v>36</v>
      </c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</row>
    <row r="18" spans="1:39" s="54" customFormat="1" ht="25.5" customHeight="1" x14ac:dyDescent="0.25">
      <c r="A18" s="21" t="s">
        <v>37</v>
      </c>
      <c r="B18" s="22">
        <f t="shared" si="5"/>
        <v>60</v>
      </c>
      <c r="C18" s="22">
        <f t="shared" si="1"/>
        <v>0</v>
      </c>
      <c r="D18" s="22">
        <f t="shared" si="2"/>
        <v>60</v>
      </c>
      <c r="E18" s="74"/>
      <c r="F18" s="73">
        <f t="shared" si="4"/>
        <v>0</v>
      </c>
      <c r="G18" s="42">
        <f t="shared" si="3"/>
        <v>60</v>
      </c>
      <c r="H18" s="46">
        <v>0</v>
      </c>
      <c r="I18" s="46">
        <v>0</v>
      </c>
      <c r="J18" s="46">
        <v>0</v>
      </c>
      <c r="K18" s="46">
        <v>60</v>
      </c>
      <c r="L18" s="23"/>
      <c r="M18" s="47">
        <v>0</v>
      </c>
      <c r="N18" s="46">
        <v>0</v>
      </c>
      <c r="O18" s="59" t="s">
        <v>6</v>
      </c>
      <c r="P18" s="76"/>
      <c r="Q18" s="85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</row>
    <row r="19" spans="1:39" s="54" customFormat="1" ht="12.75" customHeight="1" x14ac:dyDescent="0.25">
      <c r="A19" s="81" t="s">
        <v>44</v>
      </c>
      <c r="B19" s="81"/>
      <c r="C19" s="81"/>
      <c r="D19" s="81"/>
      <c r="E19" s="81"/>
      <c r="F19" s="81"/>
      <c r="G19" s="81"/>
      <c r="H19" s="82"/>
      <c r="I19" s="82"/>
      <c r="J19" s="82"/>
      <c r="K19" s="82"/>
      <c r="L19" s="82"/>
      <c r="M19" s="82"/>
      <c r="N19" s="83"/>
      <c r="P19" s="24" t="s">
        <v>45</v>
      </c>
      <c r="Q19" s="24"/>
    </row>
    <row r="20" spans="1:39" s="75" customFormat="1" ht="12.75" customHeight="1" x14ac:dyDescent="0.25">
      <c r="A20" s="60" t="s">
        <v>41</v>
      </c>
      <c r="B20" s="48"/>
      <c r="C20" s="48"/>
      <c r="D20" s="48"/>
      <c r="E20" s="48"/>
      <c r="F20" s="48"/>
      <c r="G20" s="48"/>
      <c r="H20" s="48"/>
      <c r="I20" s="48"/>
      <c r="J20" s="49"/>
      <c r="K20" s="84"/>
      <c r="L20" s="84"/>
      <c r="M20" s="84"/>
      <c r="N20" s="84"/>
      <c r="O20" s="3" t="s">
        <v>46</v>
      </c>
      <c r="P20" s="80" t="s">
        <v>43</v>
      </c>
      <c r="Q20" s="80"/>
    </row>
    <row r="21" spans="1:39" s="75" customFormat="1" ht="12.75" customHeight="1" x14ac:dyDescent="0.25">
      <c r="A21" s="25" t="s">
        <v>38</v>
      </c>
      <c r="B21" s="25"/>
      <c r="C21" s="25"/>
      <c r="D21" s="25"/>
      <c r="E21" s="25"/>
      <c r="F21" s="25"/>
      <c r="G21" s="25"/>
      <c r="H21" s="84"/>
      <c r="I21" s="84"/>
      <c r="J21" s="84"/>
      <c r="K21" s="84"/>
      <c r="L21" s="84"/>
      <c r="M21" s="84"/>
      <c r="N21" s="84"/>
      <c r="P21" s="3" t="s">
        <v>7</v>
      </c>
      <c r="Q21" s="3"/>
      <c r="AK21" s="27" t="s">
        <v>39</v>
      </c>
      <c r="AL21" s="27" t="s">
        <v>40</v>
      </c>
      <c r="AM21" s="27"/>
    </row>
    <row r="22" spans="1:39" s="26" customFormat="1" ht="14.25" customHeight="1" x14ac:dyDescent="0.25">
      <c r="AK22" s="27">
        <f>F7+M7</f>
        <v>1852</v>
      </c>
      <c r="AL22" s="27">
        <f>G7+N7</f>
        <v>2240</v>
      </c>
      <c r="AM22" s="27">
        <f>AL22+AK22</f>
        <v>4092</v>
      </c>
    </row>
    <row r="23" spans="1:39" s="26" customFormat="1" ht="14.25" customHeight="1" x14ac:dyDescent="0.25">
      <c r="A23" s="30"/>
      <c r="B23" s="31"/>
      <c r="C23" s="31"/>
      <c r="D23" s="31"/>
      <c r="E23" s="31"/>
      <c r="F23" s="31"/>
      <c r="G23" s="31"/>
      <c r="H23" s="32"/>
      <c r="I23" s="32"/>
      <c r="J23" s="32"/>
      <c r="K23" s="32"/>
      <c r="L23" s="32"/>
      <c r="M23" s="32"/>
      <c r="N23" s="32"/>
      <c r="O23" s="33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27"/>
      <c r="AL23" s="27"/>
      <c r="AM23" s="27"/>
    </row>
    <row r="24" spans="1:39" s="26" customFormat="1" ht="14.25" customHeight="1" x14ac:dyDescent="0.25">
      <c r="A24" s="30"/>
      <c r="B24" s="31"/>
      <c r="C24" s="31"/>
      <c r="D24" s="31"/>
      <c r="E24" s="31"/>
      <c r="F24" s="31"/>
      <c r="G24" s="31"/>
      <c r="H24" s="32"/>
      <c r="I24" s="32"/>
      <c r="J24" s="32"/>
      <c r="K24" s="32"/>
      <c r="L24" s="32"/>
      <c r="M24" s="32"/>
      <c r="N24" s="32"/>
      <c r="O24" s="33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27"/>
      <c r="AL24" s="27"/>
      <c r="AM24" s="27"/>
    </row>
    <row r="25" spans="1:39" s="26" customFormat="1" ht="14.25" customHeight="1" x14ac:dyDescent="0.25">
      <c r="A25" s="28"/>
      <c r="B25" s="28"/>
      <c r="C25" s="28"/>
      <c r="D25" s="28"/>
      <c r="E25" s="28"/>
      <c r="F25" s="28"/>
      <c r="G25" s="28"/>
      <c r="H25" s="29"/>
      <c r="I25" s="29"/>
      <c r="J25" s="29"/>
      <c r="K25" s="29"/>
      <c r="L25" s="29"/>
      <c r="M25" s="29"/>
      <c r="N25" s="29"/>
      <c r="O25" s="3"/>
      <c r="AC25" s="2" t="s">
        <v>42</v>
      </c>
      <c r="AD25" s="2" t="s">
        <v>40</v>
      </c>
      <c r="AK25" s="27"/>
      <c r="AL25" s="27"/>
      <c r="AM25" s="27"/>
    </row>
    <row r="26" spans="1:39" s="26" customFormat="1" ht="15" customHeight="1" x14ac:dyDescent="0.25">
      <c r="A26" s="89"/>
      <c r="B26" s="90"/>
      <c r="C26" s="90"/>
      <c r="D26" s="90"/>
      <c r="E26" s="90"/>
      <c r="F26" s="90"/>
      <c r="G26" s="90"/>
      <c r="H26" s="90"/>
      <c r="I26" s="90"/>
      <c r="J26" s="91"/>
      <c r="O26" s="35"/>
      <c r="S26" s="86"/>
      <c r="T26" s="86"/>
      <c r="U26" s="86"/>
      <c r="V26" s="86"/>
      <c r="W26" s="86"/>
      <c r="X26" s="86"/>
      <c r="Y26" s="86"/>
      <c r="Z26" s="86"/>
      <c r="AA26" s="86"/>
      <c r="AB26" s="16" t="s">
        <v>21</v>
      </c>
      <c r="AC26" s="17">
        <f>C8/B8*100</f>
        <v>84.468085106382986</v>
      </c>
      <c r="AD26" s="17">
        <f>D8/B8*100</f>
        <v>15.531914893617021</v>
      </c>
      <c r="AE26" s="26">
        <f>SUM(AC26:AD26)</f>
        <v>100</v>
      </c>
      <c r="AK26" s="4"/>
      <c r="AL26" s="4"/>
      <c r="AM26" s="27"/>
    </row>
    <row r="27" spans="1:39" s="26" customFormat="1" ht="15" customHeight="1" x14ac:dyDescent="0.25">
      <c r="A27" s="36"/>
      <c r="B27" s="37"/>
      <c r="C27" s="63"/>
      <c r="D27" s="63"/>
      <c r="E27" s="63"/>
      <c r="F27" s="37"/>
      <c r="G27" s="37"/>
      <c r="H27" s="37"/>
      <c r="I27" s="37"/>
      <c r="J27" s="37"/>
      <c r="K27" s="34"/>
      <c r="L27" s="34"/>
      <c r="M27" s="34"/>
      <c r="N27" s="34"/>
      <c r="O27" s="38"/>
      <c r="P27" s="34"/>
      <c r="Q27" s="34"/>
      <c r="R27" s="34"/>
      <c r="S27" s="86"/>
      <c r="T27" s="86"/>
      <c r="U27" s="86"/>
      <c r="V27" s="86"/>
      <c r="W27" s="86"/>
      <c r="X27" s="86"/>
      <c r="Y27" s="86"/>
      <c r="Z27" s="86"/>
      <c r="AA27" s="86"/>
      <c r="AB27" s="16" t="s">
        <v>22</v>
      </c>
      <c r="AC27" s="17">
        <f t="shared" ref="AC27:AC32" si="6">C9/B9*100</f>
        <v>65.476190476190482</v>
      </c>
      <c r="AD27" s="17">
        <f t="shared" ref="AD27:AD32" si="7">D9/B9*100</f>
        <v>34.523809523809526</v>
      </c>
      <c r="AE27" s="26">
        <f t="shared" ref="AE27:AE32" si="8">SUM(AC27:AD27)</f>
        <v>100</v>
      </c>
      <c r="AF27" s="34"/>
      <c r="AG27" s="34"/>
      <c r="AH27" s="34"/>
      <c r="AI27" s="34"/>
    </row>
    <row r="28" spans="1:39" ht="24" customHeight="1" x14ac:dyDescent="0.25">
      <c r="S28" s="61"/>
      <c r="T28" s="61"/>
      <c r="U28" s="61"/>
      <c r="V28" s="61"/>
      <c r="W28" s="61"/>
      <c r="X28" s="61"/>
      <c r="Y28" s="61"/>
      <c r="Z28" s="61"/>
      <c r="AA28" s="61"/>
      <c r="AB28" s="16" t="s">
        <v>4</v>
      </c>
      <c r="AC28" s="17">
        <f t="shared" si="6"/>
        <v>43.961772371850564</v>
      </c>
      <c r="AD28" s="17">
        <f t="shared" si="7"/>
        <v>56.038227628149443</v>
      </c>
      <c r="AE28" s="26">
        <f t="shared" si="8"/>
        <v>100</v>
      </c>
    </row>
    <row r="29" spans="1:39" ht="24" customHeight="1" x14ac:dyDescent="0.25">
      <c r="S29" s="61"/>
      <c r="T29" s="61"/>
      <c r="U29" s="61"/>
      <c r="V29" s="61"/>
      <c r="W29" s="61"/>
      <c r="X29" s="61"/>
      <c r="Y29" s="61"/>
      <c r="Z29" s="61"/>
      <c r="AA29" s="61"/>
      <c r="AB29" s="19" t="s">
        <v>23</v>
      </c>
      <c r="AC29" s="17">
        <f t="shared" si="6"/>
        <v>47.719298245614034</v>
      </c>
      <c r="AD29" s="17">
        <f t="shared" si="7"/>
        <v>52.280701754385959</v>
      </c>
      <c r="AE29" s="26">
        <f t="shared" si="8"/>
        <v>100</v>
      </c>
    </row>
    <row r="30" spans="1:39" ht="24" customHeight="1" x14ac:dyDescent="0.25">
      <c r="S30" s="61"/>
      <c r="T30" s="61"/>
      <c r="U30" s="61"/>
      <c r="V30" s="61"/>
      <c r="W30" s="61"/>
      <c r="X30" s="61"/>
      <c r="Y30" s="61"/>
      <c r="Z30" s="61"/>
      <c r="AA30" s="61"/>
      <c r="AB30" s="19" t="s">
        <v>25</v>
      </c>
      <c r="AC30" s="17">
        <f t="shared" si="6"/>
        <v>72.222222222222214</v>
      </c>
      <c r="AD30" s="17">
        <f t="shared" si="7"/>
        <v>27.777777777777779</v>
      </c>
      <c r="AE30" s="26">
        <f t="shared" si="8"/>
        <v>100</v>
      </c>
    </row>
    <row r="31" spans="1:39" ht="24" customHeight="1" x14ac:dyDescent="0.25">
      <c r="S31" s="61"/>
      <c r="T31" s="61"/>
      <c r="U31" s="61"/>
      <c r="V31" s="61"/>
      <c r="W31" s="61"/>
      <c r="X31" s="61"/>
      <c r="Y31" s="61"/>
      <c r="Z31" s="61"/>
      <c r="AA31" s="61"/>
      <c r="AB31" s="19" t="s">
        <v>27</v>
      </c>
      <c r="AC31" s="17">
        <f t="shared" si="6"/>
        <v>75.324675324675326</v>
      </c>
      <c r="AD31" s="17">
        <f t="shared" si="7"/>
        <v>24.675324675324674</v>
      </c>
      <c r="AE31" s="26">
        <f t="shared" si="8"/>
        <v>100</v>
      </c>
    </row>
    <row r="32" spans="1:39" ht="24" customHeight="1" x14ac:dyDescent="0.25">
      <c r="S32" s="61"/>
      <c r="T32" s="61"/>
      <c r="U32" s="61"/>
      <c r="V32" s="61"/>
      <c r="W32" s="61"/>
      <c r="X32" s="61"/>
      <c r="Y32" s="61"/>
      <c r="Z32" s="61"/>
      <c r="AA32" s="61"/>
      <c r="AB32" s="20" t="s">
        <v>29</v>
      </c>
      <c r="AC32" s="17">
        <f t="shared" si="6"/>
        <v>9.67741935483871</v>
      </c>
      <c r="AD32" s="17">
        <f t="shared" si="7"/>
        <v>90.322580645161281</v>
      </c>
      <c r="AE32" s="26">
        <f t="shared" si="8"/>
        <v>99.999999999999986</v>
      </c>
    </row>
    <row r="33" spans="19:31" ht="24" customHeight="1" x14ac:dyDescent="0.25">
      <c r="S33" s="61"/>
      <c r="T33" s="61"/>
      <c r="U33" s="61"/>
      <c r="V33" s="61"/>
      <c r="W33" s="61"/>
      <c r="X33" s="61"/>
      <c r="Y33" s="61"/>
      <c r="Z33" s="61"/>
      <c r="AA33" s="61"/>
      <c r="AB33" s="16" t="s">
        <v>33</v>
      </c>
      <c r="AC33" s="17">
        <f>C16/B16*100</f>
        <v>0</v>
      </c>
      <c r="AD33" s="17">
        <f>D16/B16*100</f>
        <v>100</v>
      </c>
      <c r="AE33" s="26">
        <f>SUM(AC33:AD33)</f>
        <v>100</v>
      </c>
    </row>
    <row r="34" spans="19:31" ht="24" customHeight="1" x14ac:dyDescent="0.25">
      <c r="S34" s="61"/>
      <c r="T34" s="61"/>
      <c r="U34" s="61"/>
      <c r="V34" s="61"/>
      <c r="W34" s="61"/>
      <c r="X34" s="61"/>
      <c r="Y34" s="61"/>
      <c r="Z34" s="61"/>
      <c r="AA34" s="61"/>
      <c r="AB34" s="16" t="s">
        <v>35</v>
      </c>
      <c r="AC34" s="17">
        <f>C17/B17*100</f>
        <v>0</v>
      </c>
      <c r="AD34" s="17">
        <f>D17/B17*100</f>
        <v>100</v>
      </c>
      <c r="AE34" s="26">
        <f>SUM(AC34:AD34)</f>
        <v>100</v>
      </c>
    </row>
    <row r="35" spans="19:31" ht="24" customHeight="1" x14ac:dyDescent="0.25">
      <c r="S35" s="61"/>
      <c r="T35" s="61"/>
      <c r="U35" s="61"/>
      <c r="V35" s="61"/>
      <c r="W35" s="61"/>
      <c r="X35" s="61"/>
      <c r="Y35" s="61"/>
      <c r="Z35" s="61"/>
      <c r="AA35" s="61"/>
      <c r="AB35" s="21" t="s">
        <v>37</v>
      </c>
      <c r="AC35" s="17">
        <f>C18/B18*100</f>
        <v>0</v>
      </c>
      <c r="AD35" s="17">
        <f>D18/B18*100</f>
        <v>100</v>
      </c>
    </row>
  </sheetData>
  <mergeCells count="14">
    <mergeCell ref="A1:P1"/>
    <mergeCell ref="A26:J26"/>
    <mergeCell ref="M5:N5"/>
    <mergeCell ref="A4:A6"/>
    <mergeCell ref="B4:B6"/>
    <mergeCell ref="F4:K4"/>
    <mergeCell ref="M4:N4"/>
    <mergeCell ref="F5:G5"/>
    <mergeCell ref="H5:I5"/>
    <mergeCell ref="J5:K5"/>
    <mergeCell ref="C4:C6"/>
    <mergeCell ref="D4:D6"/>
    <mergeCell ref="O4:P6"/>
    <mergeCell ref="A2:P2"/>
  </mergeCells>
  <pageMargins left="0.7" right="0.7" top="0.75" bottom="0.75" header="0.3" footer="0.3"/>
  <pageSetup paperSize="9" scale="74" orientation="landscape" r:id="rId1"/>
  <rowBreaks count="1" manualBreakCount="1">
    <brk id="22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</vt:lpstr>
      <vt:lpstr>'6.2'!Print_Area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2016-09-20T07:49:29Z</cp:lastPrinted>
  <dcterms:created xsi:type="dcterms:W3CDTF">2014-03-04T09:17:57Z</dcterms:created>
  <dcterms:modified xsi:type="dcterms:W3CDTF">2016-09-20T07:49:45Z</dcterms:modified>
</cp:coreProperties>
</file>