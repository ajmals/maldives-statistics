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7" sheetId="24" r:id="rId1"/>
  </sheets>
  <definedNames>
    <definedName name="_xlnm.Print_Area" localSheetId="0">'6.7'!$A$1:$H$51</definedName>
  </definedNames>
  <calcPr calcId="144525"/>
</workbook>
</file>

<file path=xl/calcChain.xml><?xml version="1.0" encoding="utf-8"?>
<calcChain xmlns="http://schemas.openxmlformats.org/spreadsheetml/2006/main">
  <c r="B29" i="24" l="1"/>
  <c r="AB33" i="24" l="1"/>
  <c r="AB32" i="24"/>
  <c r="AB31" i="24"/>
  <c r="AB30" i="24"/>
  <c r="B18" i="24"/>
  <c r="B15" i="24"/>
  <c r="AB29" i="24" s="1"/>
  <c r="B14" i="24"/>
  <c r="B13" i="24"/>
  <c r="B11" i="24"/>
  <c r="AB28" i="24" s="1"/>
  <c r="B10" i="24"/>
  <c r="B9" i="24"/>
  <c r="B7" i="24"/>
  <c r="AB27" i="24" s="1"/>
  <c r="B6" i="24"/>
  <c r="B5" i="24"/>
</calcChain>
</file>

<file path=xl/sharedStrings.xml><?xml version="1.0" encoding="utf-8"?>
<sst xmlns="http://schemas.openxmlformats.org/spreadsheetml/2006/main" count="32" uniqueCount="14">
  <si>
    <t>Total</t>
  </si>
  <si>
    <t>15 - 24</t>
  </si>
  <si>
    <t>25 - 34</t>
  </si>
  <si>
    <t>35 - 44</t>
  </si>
  <si>
    <t>Cases Under Treatment</t>
  </si>
  <si>
    <t>Cases Released from Control</t>
  </si>
  <si>
    <t>ތާވަލު 6.7: ޓީ.ބީގެ ބަލިމީހުންގެ ޢަދަދު، ޢުމުރުފުރާގެ ގޮތުން، 2009 - 2015</t>
  </si>
  <si>
    <t>Table 6.7 : TUBERCULOSIS CASES, BY AGE GROUP, 2009 - 2015</t>
  </si>
  <si>
    <t>Type of Treatment</t>
  </si>
  <si>
    <t>0 - 14</t>
  </si>
  <si>
    <t>45 &amp; over</t>
  </si>
  <si>
    <t>Newly Detected Tuberculosis Cases</t>
  </si>
  <si>
    <t>Source:Health Protection Agency</t>
  </si>
  <si>
    <t xml:space="preserve">މަޢުލޫމާތު ދެއްވީ: ހެލްތް ޕްރޮޓެކްޝަން އޭޖެންސީ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</si>
</sst>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_);[Red]\(0\)"/>
    <numFmt numFmtId="169" formatCode="_-* #,##0.00\ _ރ_._-;_-* #,##0.00\ _ރ_.\-;_-* &quot;-&quot;??\ _ރ_._-;_-@_-"/>
    <numFmt numFmtId="170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Faruma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4.9989318521683403E-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5" fillId="0" borderId="0"/>
    <xf numFmtId="169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2" applyNumberFormat="0" applyAlignment="0" applyProtection="0"/>
    <xf numFmtId="0" fontId="14" fillId="22" borderId="3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23" borderId="0" applyNumberFormat="0" applyBorder="0" applyAlignment="0" applyProtection="0"/>
    <xf numFmtId="170" fontId="9" fillId="0" borderId="0"/>
    <xf numFmtId="0" fontId="7" fillId="0" borderId="0"/>
    <xf numFmtId="0" fontId="7" fillId="0" borderId="0"/>
    <xf numFmtId="0" fontId="7" fillId="0" borderId="0"/>
    <xf numFmtId="0" fontId="4" fillId="0" borderId="0"/>
    <xf numFmtId="164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24" borderId="8" applyNumberFormat="0" applyFont="0" applyAlignment="0" applyProtection="0"/>
    <xf numFmtId="0" fontId="23" fillId="21" borderId="9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25" fillId="0" borderId="0" applyNumberFormat="0" applyFill="0" applyBorder="0" applyAlignment="0" applyProtection="0"/>
    <xf numFmtId="164" fontId="5" fillId="0" borderId="0"/>
    <xf numFmtId="164" fontId="5" fillId="0" borderId="0"/>
  </cellStyleXfs>
  <cellXfs count="26">
    <xf numFmtId="0" fontId="0" fillId="0" borderId="0" xfId="0"/>
    <xf numFmtId="1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3" fillId="2" borderId="12" xfId="0" applyNumberFormat="1" applyFont="1" applyFill="1" applyBorder="1" applyAlignment="1">
      <alignment vertical="center"/>
    </xf>
    <xf numFmtId="164" fontId="2" fillId="2" borderId="1" xfId="2" applyNumberFormat="1" applyFont="1" applyFill="1" applyBorder="1" applyAlignment="1">
      <alignment vertical="center"/>
    </xf>
    <xf numFmtId="164" fontId="2" fillId="2" borderId="1" xfId="2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38" fontId="3" fillId="2" borderId="1" xfId="1" applyNumberFormat="1" applyFont="1" applyFill="1" applyBorder="1" applyAlignment="1">
      <alignment vertical="center"/>
    </xf>
    <xf numFmtId="38" fontId="2" fillId="2" borderId="14" xfId="1" applyNumberFormat="1" applyFont="1" applyFill="1" applyBorder="1" applyAlignment="1">
      <alignment vertical="center"/>
    </xf>
    <xf numFmtId="38" fontId="3" fillId="2" borderId="14" xfId="1" applyNumberFormat="1" applyFont="1" applyFill="1" applyBorder="1" applyAlignment="1">
      <alignment vertical="center"/>
    </xf>
    <xf numFmtId="165" fontId="2" fillId="2" borderId="11" xfId="1" applyNumberFormat="1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/>
    <xf numFmtId="38" fontId="3" fillId="2" borderId="14" xfId="1" applyNumberFormat="1" applyFont="1" applyFill="1" applyBorder="1" applyAlignment="1"/>
    <xf numFmtId="38" fontId="2" fillId="2" borderId="1" xfId="1" applyNumberFormat="1" applyFont="1" applyFill="1" applyBorder="1" applyAlignment="1">
      <alignment vertical="center"/>
    </xf>
    <xf numFmtId="38" fontId="3" fillId="2" borderId="1" xfId="1" applyNumberFormat="1" applyFont="1" applyFill="1" applyBorder="1" applyAlignment="1"/>
    <xf numFmtId="164" fontId="28" fillId="2" borderId="0" xfId="2" applyNumberFormat="1" applyFont="1" applyFill="1" applyBorder="1" applyAlignment="1" applyProtection="1">
      <alignment horizontal="left" vertical="center"/>
    </xf>
    <xf numFmtId="164" fontId="2" fillId="2" borderId="0" xfId="2" applyNumberFormat="1" applyFont="1" applyFill="1" applyBorder="1" applyAlignment="1">
      <alignment vertical="center"/>
    </xf>
    <xf numFmtId="164" fontId="3" fillId="2" borderId="0" xfId="2" applyNumberFormat="1" applyFont="1" applyFill="1" applyBorder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2" fillId="2" borderId="13" xfId="1" applyNumberFormat="1" applyFont="1" applyFill="1" applyBorder="1" applyAlignment="1">
      <alignment horizontal="center" vertical="center"/>
    </xf>
    <xf numFmtId="164" fontId="29" fillId="2" borderId="0" xfId="0" applyNumberFormat="1" applyFont="1" applyFill="1" applyAlignment="1">
      <alignment horizontal="center" vertical="center"/>
    </xf>
    <xf numFmtId="164" fontId="27" fillId="2" borderId="1" xfId="2" applyNumberFormat="1" applyFont="1" applyFill="1" applyBorder="1" applyAlignment="1">
      <alignment horizontal="center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'6.7'!$AA$27:$AA$33</c:f>
              <c:numCache>
                <c:formatCode>0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'6.7'!$AB$27:$AB$33</c:f>
              <c:numCache>
                <c:formatCode>0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825024"/>
        <c:axId val="131835008"/>
      </c:barChart>
      <c:catAx>
        <c:axId val="13182502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31835008"/>
        <c:crosses val="autoZero"/>
        <c:auto val="1"/>
        <c:lblAlgn val="ctr"/>
        <c:lblOffset val="100"/>
        <c:noMultiLvlLbl val="0"/>
      </c:catAx>
      <c:valAx>
        <c:axId val="131835008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1318250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33</xdr:row>
      <xdr:rowOff>28575</xdr:rowOff>
    </xdr:from>
    <xdr:to>
      <xdr:col>7</xdr:col>
      <xdr:colOff>409574</xdr:colOff>
      <xdr:row>50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1225412</xdr:colOff>
      <xdr:row>35</xdr:row>
      <xdr:rowOff>61291</xdr:rowOff>
    </xdr:from>
    <xdr:to>
      <xdr:col>6</xdr:col>
      <xdr:colOff>368162</xdr:colOff>
      <xdr:row>35</xdr:row>
      <xdr:rowOff>61291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225412" y="5895354"/>
          <a:ext cx="4552329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6.6: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3"/>
  <sheetViews>
    <sheetView tabSelected="1" zoomScaleNormal="100" workbookViewId="0">
      <selection activeCell="N47" sqref="N47"/>
    </sheetView>
  </sheetViews>
  <sheetFormatPr defaultColWidth="9.140625" defaultRowHeight="12.75" x14ac:dyDescent="0.25"/>
  <cols>
    <col min="1" max="1" width="32.5703125" style="2" customWidth="1"/>
    <col min="2" max="2" width="9.7109375" style="22" customWidth="1"/>
    <col min="3" max="7" width="9.7109375" style="2" customWidth="1"/>
    <col min="8" max="16384" width="9.140625" style="2"/>
  </cols>
  <sheetData>
    <row r="1" spans="1:7" ht="21" x14ac:dyDescent="0.25">
      <c r="A1" s="24" t="s">
        <v>6</v>
      </c>
      <c r="B1" s="24"/>
      <c r="C1" s="24"/>
      <c r="D1" s="24"/>
      <c r="E1" s="24"/>
      <c r="F1" s="24"/>
      <c r="G1" s="24"/>
    </row>
    <row r="2" spans="1:7" s="3" customFormat="1" ht="15" x14ac:dyDescent="0.25">
      <c r="A2" s="25" t="s">
        <v>7</v>
      </c>
      <c r="B2" s="25"/>
      <c r="C2" s="25"/>
      <c r="D2" s="25"/>
      <c r="E2" s="25"/>
      <c r="F2" s="25"/>
      <c r="G2" s="25"/>
    </row>
    <row r="3" spans="1:7" x14ac:dyDescent="0.25">
      <c r="A3" s="4" t="s">
        <v>8</v>
      </c>
      <c r="B3" s="5" t="s">
        <v>0</v>
      </c>
      <c r="C3" s="5" t="s">
        <v>9</v>
      </c>
      <c r="D3" s="5" t="s">
        <v>1</v>
      </c>
      <c r="E3" s="5" t="s">
        <v>2</v>
      </c>
      <c r="F3" s="5" t="s">
        <v>3</v>
      </c>
      <c r="G3" s="5" t="s">
        <v>10</v>
      </c>
    </row>
    <row r="4" spans="1:7" x14ac:dyDescent="0.25">
      <c r="B4" s="23">
        <v>2009</v>
      </c>
      <c r="C4" s="23"/>
      <c r="D4" s="23"/>
      <c r="E4" s="23"/>
      <c r="F4" s="23"/>
      <c r="G4" s="23"/>
    </row>
    <row r="5" spans="1:7" x14ac:dyDescent="0.25">
      <c r="A5" s="6" t="s">
        <v>4</v>
      </c>
      <c r="B5" s="7">
        <f>C5+D5+E5+F5+G5</f>
        <v>154</v>
      </c>
      <c r="C5" s="6">
        <v>5</v>
      </c>
      <c r="D5" s="6">
        <v>20</v>
      </c>
      <c r="E5" s="6">
        <v>50</v>
      </c>
      <c r="F5" s="6">
        <v>44</v>
      </c>
      <c r="G5" s="6">
        <v>35</v>
      </c>
    </row>
    <row r="6" spans="1:7" x14ac:dyDescent="0.25">
      <c r="A6" s="6" t="s">
        <v>5</v>
      </c>
      <c r="B6" s="7">
        <f>C6+D6+E6+F6+G6</f>
        <v>113</v>
      </c>
      <c r="C6" s="6">
        <v>2</v>
      </c>
      <c r="D6" s="6">
        <v>29</v>
      </c>
      <c r="E6" s="6">
        <v>25</v>
      </c>
      <c r="F6" s="6">
        <v>11</v>
      </c>
      <c r="G6" s="6">
        <v>46</v>
      </c>
    </row>
    <row r="7" spans="1:7" x14ac:dyDescent="0.25">
      <c r="A7" s="8" t="s">
        <v>11</v>
      </c>
      <c r="B7" s="9">
        <f>C7+D7+E7+F7+G7</f>
        <v>99</v>
      </c>
      <c r="C7" s="10">
        <v>3</v>
      </c>
      <c r="D7" s="10">
        <v>30</v>
      </c>
      <c r="E7" s="10">
        <v>17</v>
      </c>
      <c r="F7" s="10">
        <v>35</v>
      </c>
      <c r="G7" s="10">
        <v>14</v>
      </c>
    </row>
    <row r="8" spans="1:7" x14ac:dyDescent="0.25">
      <c r="A8" s="11"/>
      <c r="B8" s="23">
        <v>2010</v>
      </c>
      <c r="C8" s="23"/>
      <c r="D8" s="23"/>
      <c r="E8" s="23"/>
      <c r="F8" s="23"/>
      <c r="G8" s="23"/>
    </row>
    <row r="9" spans="1:7" x14ac:dyDescent="0.25">
      <c r="A9" s="6" t="s">
        <v>4</v>
      </c>
      <c r="B9" s="7">
        <f>C9+D9+E9+F9+G9</f>
        <v>131</v>
      </c>
      <c r="C9" s="6">
        <v>12</v>
      </c>
      <c r="D9" s="6">
        <v>30</v>
      </c>
      <c r="E9" s="6">
        <v>26</v>
      </c>
      <c r="F9" s="6">
        <v>19</v>
      </c>
      <c r="G9" s="6">
        <v>44</v>
      </c>
    </row>
    <row r="10" spans="1:7" x14ac:dyDescent="0.25">
      <c r="A10" s="6" t="s">
        <v>5</v>
      </c>
      <c r="B10" s="7">
        <f>C10+D10+E10+F10+G10</f>
        <v>105</v>
      </c>
      <c r="C10" s="6">
        <v>10</v>
      </c>
      <c r="D10" s="6">
        <v>30</v>
      </c>
      <c r="E10" s="6">
        <v>15</v>
      </c>
      <c r="F10" s="6">
        <v>35</v>
      </c>
      <c r="G10" s="6">
        <v>15</v>
      </c>
    </row>
    <row r="11" spans="1:7" x14ac:dyDescent="0.25">
      <c r="A11" s="8" t="s">
        <v>11</v>
      </c>
      <c r="B11" s="9">
        <f>C11+D11+E11+F11+G11</f>
        <v>100</v>
      </c>
      <c r="C11" s="10">
        <v>9</v>
      </c>
      <c r="D11" s="10">
        <v>18</v>
      </c>
      <c r="E11" s="10">
        <v>20</v>
      </c>
      <c r="F11" s="10">
        <v>13</v>
      </c>
      <c r="G11" s="10">
        <v>40</v>
      </c>
    </row>
    <row r="12" spans="1:7" x14ac:dyDescent="0.25">
      <c r="A12" s="12"/>
      <c r="B12" s="23">
        <v>2011</v>
      </c>
      <c r="C12" s="23"/>
      <c r="D12" s="23"/>
      <c r="E12" s="23"/>
      <c r="F12" s="23"/>
      <c r="G12" s="23"/>
    </row>
    <row r="13" spans="1:7" x14ac:dyDescent="0.2">
      <c r="A13" s="6" t="s">
        <v>4</v>
      </c>
      <c r="B13" s="13">
        <f>C13+D13+E13+F13+G13</f>
        <v>126</v>
      </c>
      <c r="C13" s="14">
        <v>6</v>
      </c>
      <c r="D13" s="14">
        <v>18</v>
      </c>
      <c r="E13" s="14">
        <v>28</v>
      </c>
      <c r="F13" s="14">
        <v>24</v>
      </c>
      <c r="G13" s="14">
        <v>50</v>
      </c>
    </row>
    <row r="14" spans="1:7" x14ac:dyDescent="0.2">
      <c r="A14" s="6" t="s">
        <v>5</v>
      </c>
      <c r="B14" s="13">
        <f>C14+D14+E14+F14+G14</f>
        <v>73</v>
      </c>
      <c r="C14" s="14">
        <v>5</v>
      </c>
      <c r="D14" s="14">
        <v>23</v>
      </c>
      <c r="E14" s="14">
        <v>11</v>
      </c>
      <c r="F14" s="14">
        <v>9</v>
      </c>
      <c r="G14" s="14">
        <v>25</v>
      </c>
    </row>
    <row r="15" spans="1:7" x14ac:dyDescent="0.2">
      <c r="A15" s="8" t="s">
        <v>11</v>
      </c>
      <c r="B15" s="9">
        <f>C15+D15+E15+F15+G15</f>
        <v>88</v>
      </c>
      <c r="C15" s="15">
        <v>3</v>
      </c>
      <c r="D15" s="15">
        <v>21</v>
      </c>
      <c r="E15" s="15">
        <v>30</v>
      </c>
      <c r="F15" s="15">
        <v>9</v>
      </c>
      <c r="G15" s="15">
        <v>25</v>
      </c>
    </row>
    <row r="16" spans="1:7" x14ac:dyDescent="0.25">
      <c r="A16" s="12"/>
      <c r="B16" s="23">
        <v>2012</v>
      </c>
      <c r="C16" s="23"/>
      <c r="D16" s="23"/>
      <c r="E16" s="23"/>
      <c r="F16" s="23"/>
      <c r="G16" s="23"/>
    </row>
    <row r="17" spans="1:28" x14ac:dyDescent="0.2">
      <c r="A17" s="6" t="s">
        <v>4</v>
      </c>
      <c r="B17" s="13">
        <v>120</v>
      </c>
      <c r="C17" s="14">
        <v>12</v>
      </c>
      <c r="D17" s="14">
        <v>26</v>
      </c>
      <c r="E17" s="14">
        <v>27</v>
      </c>
      <c r="F17" s="14">
        <v>8</v>
      </c>
      <c r="G17" s="14">
        <v>47</v>
      </c>
    </row>
    <row r="18" spans="1:28" x14ac:dyDescent="0.2">
      <c r="A18" s="6" t="s">
        <v>5</v>
      </c>
      <c r="B18" s="13">
        <f>C18+D18+E18+F18+G18</f>
        <v>108</v>
      </c>
      <c r="C18" s="14">
        <v>7</v>
      </c>
      <c r="D18" s="14">
        <v>11</v>
      </c>
      <c r="E18" s="14">
        <v>16</v>
      </c>
      <c r="F18" s="14">
        <v>20</v>
      </c>
      <c r="G18" s="14">
        <v>54</v>
      </c>
    </row>
    <row r="19" spans="1:28" x14ac:dyDescent="0.2">
      <c r="A19" s="8" t="s">
        <v>11</v>
      </c>
      <c r="B19" s="16">
        <v>110</v>
      </c>
      <c r="C19" s="17">
        <v>10</v>
      </c>
      <c r="D19" s="17">
        <v>22</v>
      </c>
      <c r="E19" s="17">
        <v>23</v>
      </c>
      <c r="F19" s="17">
        <v>15</v>
      </c>
      <c r="G19" s="17">
        <v>40</v>
      </c>
    </row>
    <row r="20" spans="1:28" x14ac:dyDescent="0.25">
      <c r="A20" s="12"/>
      <c r="B20" s="23">
        <v>2013</v>
      </c>
      <c r="C20" s="23"/>
      <c r="D20" s="23"/>
      <c r="E20" s="23"/>
      <c r="F20" s="23"/>
      <c r="G20" s="23"/>
    </row>
    <row r="21" spans="1:28" x14ac:dyDescent="0.2">
      <c r="A21" s="6" t="s">
        <v>4</v>
      </c>
      <c r="B21" s="13">
        <v>165</v>
      </c>
      <c r="C21" s="14">
        <v>15</v>
      </c>
      <c r="D21" s="14">
        <v>44</v>
      </c>
      <c r="E21" s="14">
        <v>40</v>
      </c>
      <c r="F21" s="14">
        <v>13</v>
      </c>
      <c r="G21" s="14">
        <v>53</v>
      </c>
    </row>
    <row r="22" spans="1:28" x14ac:dyDescent="0.2">
      <c r="A22" s="6" t="s">
        <v>5</v>
      </c>
      <c r="B22" s="13">
        <v>99</v>
      </c>
      <c r="C22" s="14">
        <v>7</v>
      </c>
      <c r="D22" s="14">
        <v>24</v>
      </c>
      <c r="E22" s="14">
        <v>25</v>
      </c>
      <c r="F22" s="14">
        <v>9</v>
      </c>
      <c r="G22" s="14">
        <v>34</v>
      </c>
    </row>
    <row r="23" spans="1:28" x14ac:dyDescent="0.2">
      <c r="A23" s="8" t="s">
        <v>11</v>
      </c>
      <c r="B23" s="16">
        <v>110</v>
      </c>
      <c r="C23" s="17">
        <v>9</v>
      </c>
      <c r="D23" s="17">
        <v>31</v>
      </c>
      <c r="E23" s="17">
        <v>26</v>
      </c>
      <c r="F23" s="17">
        <v>7</v>
      </c>
      <c r="G23" s="17">
        <v>37</v>
      </c>
    </row>
    <row r="24" spans="1:28" x14ac:dyDescent="0.25">
      <c r="A24" s="12"/>
      <c r="B24" s="23">
        <v>2014</v>
      </c>
      <c r="C24" s="23"/>
      <c r="D24" s="23"/>
      <c r="E24" s="23"/>
      <c r="F24" s="23"/>
      <c r="G24" s="23"/>
    </row>
    <row r="25" spans="1:28" x14ac:dyDescent="0.2">
      <c r="A25" s="6" t="s">
        <v>4</v>
      </c>
      <c r="B25" s="13">
        <v>127</v>
      </c>
      <c r="C25" s="14">
        <v>9</v>
      </c>
      <c r="D25" s="14">
        <v>14</v>
      </c>
      <c r="E25" s="14">
        <v>12</v>
      </c>
      <c r="F25" s="14">
        <v>24</v>
      </c>
      <c r="G25" s="14">
        <v>68</v>
      </c>
    </row>
    <row r="26" spans="1:28" x14ac:dyDescent="0.2">
      <c r="A26" s="6" t="s">
        <v>5</v>
      </c>
      <c r="B26" s="13">
        <v>104</v>
      </c>
      <c r="C26" s="14">
        <v>4</v>
      </c>
      <c r="D26" s="14">
        <v>13</v>
      </c>
      <c r="E26" s="14">
        <v>19</v>
      </c>
      <c r="F26" s="14">
        <v>32</v>
      </c>
      <c r="G26" s="14">
        <v>36</v>
      </c>
    </row>
    <row r="27" spans="1:28" x14ac:dyDescent="0.2">
      <c r="A27" s="8" t="s">
        <v>11</v>
      </c>
      <c r="B27" s="16">
        <v>131</v>
      </c>
      <c r="C27" s="17">
        <v>14</v>
      </c>
      <c r="D27" s="17">
        <v>19</v>
      </c>
      <c r="E27" s="17">
        <v>25</v>
      </c>
      <c r="F27" s="17">
        <v>8</v>
      </c>
      <c r="G27" s="17">
        <v>65</v>
      </c>
      <c r="AA27" s="1">
        <v>2009</v>
      </c>
      <c r="AB27" s="1">
        <f>B7</f>
        <v>99</v>
      </c>
    </row>
    <row r="28" spans="1:28" x14ac:dyDescent="0.25">
      <c r="A28" s="12"/>
      <c r="B28" s="23">
        <v>2015</v>
      </c>
      <c r="C28" s="23"/>
      <c r="D28" s="23"/>
      <c r="E28" s="23"/>
      <c r="F28" s="23"/>
      <c r="G28" s="23"/>
      <c r="AA28" s="1">
        <v>2010</v>
      </c>
      <c r="AB28" s="1">
        <f>B11</f>
        <v>100</v>
      </c>
    </row>
    <row r="29" spans="1:28" x14ac:dyDescent="0.2">
      <c r="A29" s="6" t="s">
        <v>4</v>
      </c>
      <c r="B29" s="13">
        <f>SUM(C29:G29)</f>
        <v>147</v>
      </c>
      <c r="C29" s="14">
        <v>7</v>
      </c>
      <c r="D29" s="14">
        <v>16</v>
      </c>
      <c r="E29" s="14">
        <v>26</v>
      </c>
      <c r="F29" s="14">
        <v>38</v>
      </c>
      <c r="G29" s="14">
        <v>60</v>
      </c>
      <c r="AA29" s="1">
        <v>2011</v>
      </c>
      <c r="AB29" s="1">
        <f>B15</f>
        <v>88</v>
      </c>
    </row>
    <row r="30" spans="1:28" x14ac:dyDescent="0.2">
      <c r="A30" s="6" t="s">
        <v>5</v>
      </c>
      <c r="B30" s="13">
        <v>142</v>
      </c>
      <c r="C30" s="14">
        <v>11</v>
      </c>
      <c r="D30" s="14">
        <v>12</v>
      </c>
      <c r="E30" s="14">
        <v>20</v>
      </c>
      <c r="F30" s="14">
        <v>38</v>
      </c>
      <c r="G30" s="14">
        <v>61</v>
      </c>
      <c r="AA30" s="1">
        <v>2012</v>
      </c>
      <c r="AB30" s="1">
        <f>B19</f>
        <v>110</v>
      </c>
    </row>
    <row r="31" spans="1:28" x14ac:dyDescent="0.2">
      <c r="A31" s="8" t="s">
        <v>11</v>
      </c>
      <c r="B31" s="16">
        <v>153</v>
      </c>
      <c r="C31" s="17">
        <v>10</v>
      </c>
      <c r="D31" s="17">
        <v>25</v>
      </c>
      <c r="E31" s="17">
        <v>33</v>
      </c>
      <c r="F31" s="17">
        <v>28</v>
      </c>
      <c r="G31" s="17">
        <v>57</v>
      </c>
      <c r="AA31" s="1">
        <v>2013</v>
      </c>
      <c r="AB31" s="1">
        <f>B23</f>
        <v>110</v>
      </c>
    </row>
    <row r="32" spans="1:28" ht="18.75" x14ac:dyDescent="0.25">
      <c r="A32" s="18" t="s">
        <v>12</v>
      </c>
      <c r="B32" s="19"/>
      <c r="C32" s="20"/>
      <c r="D32" s="20"/>
      <c r="E32" s="20"/>
      <c r="F32" s="20"/>
      <c r="G32" s="21" t="s">
        <v>13</v>
      </c>
      <c r="AA32" s="1">
        <v>2014</v>
      </c>
      <c r="AB32" s="1">
        <f>B27</f>
        <v>131</v>
      </c>
    </row>
    <row r="33" spans="27:28" x14ac:dyDescent="0.25">
      <c r="AA33" s="1">
        <v>2015</v>
      </c>
      <c r="AB33" s="1">
        <f>B31</f>
        <v>153</v>
      </c>
    </row>
  </sheetData>
  <mergeCells count="9">
    <mergeCell ref="B20:G20"/>
    <mergeCell ref="B24:G24"/>
    <mergeCell ref="B28:G28"/>
    <mergeCell ref="A1:G1"/>
    <mergeCell ref="A2:G2"/>
    <mergeCell ref="B4:G4"/>
    <mergeCell ref="B8:G8"/>
    <mergeCell ref="B12:G12"/>
    <mergeCell ref="B16:G16"/>
  </mergeCells>
  <pageMargins left="0.7" right="0.7" top="0.75" bottom="0.75" header="0.3" footer="0.3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2016-09-20T07:52:23Z</cp:lastPrinted>
  <dcterms:created xsi:type="dcterms:W3CDTF">2014-03-04T09:17:57Z</dcterms:created>
  <dcterms:modified xsi:type="dcterms:W3CDTF">2016-09-20T07:52:25Z</dcterms:modified>
</cp:coreProperties>
</file>