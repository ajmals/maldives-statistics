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1" sheetId="20" r:id="rId1"/>
  </sheets>
  <definedNames>
    <definedName name="_xlnm.Print_Area" localSheetId="0">'6.1'!$A$1:$O$55</definedName>
  </definedNames>
  <calcPr calcId="144525"/>
</workbook>
</file>

<file path=xl/calcChain.xml><?xml version="1.0" encoding="utf-8"?>
<calcChain xmlns="http://schemas.openxmlformats.org/spreadsheetml/2006/main">
  <c r="E6" i="20" l="1"/>
  <c r="I6" i="20"/>
  <c r="L18" i="20" l="1"/>
  <c r="AI46" i="20" s="1"/>
  <c r="K18" i="20"/>
  <c r="AH46" i="20" s="1"/>
  <c r="C13" i="20"/>
  <c r="D13" i="20"/>
  <c r="C14" i="20"/>
  <c r="D14" i="20"/>
  <c r="C15" i="20"/>
  <c r="D15" i="20"/>
  <c r="C16" i="20"/>
  <c r="D16" i="20"/>
  <c r="C19" i="20"/>
  <c r="D19" i="20"/>
  <c r="C20" i="20"/>
  <c r="D20" i="20"/>
  <c r="C22" i="20"/>
  <c r="D22" i="20"/>
  <c r="C23" i="20"/>
  <c r="D23" i="20"/>
  <c r="L21" i="20"/>
  <c r="AI47" i="20" s="1"/>
  <c r="K21" i="20"/>
  <c r="AH47" i="20" s="1"/>
  <c r="J19" i="20"/>
  <c r="J20" i="20"/>
  <c r="J22" i="20"/>
  <c r="J23" i="20"/>
  <c r="F19" i="20"/>
  <c r="F20" i="20"/>
  <c r="K12" i="20"/>
  <c r="AH45" i="20" s="1"/>
  <c r="F13" i="20"/>
  <c r="F14" i="20"/>
  <c r="F15" i="20"/>
  <c r="B15" i="20" s="1"/>
  <c r="F16" i="20"/>
  <c r="J13" i="20"/>
  <c r="J14" i="20"/>
  <c r="J15" i="20"/>
  <c r="J16" i="20"/>
  <c r="C11" i="20"/>
  <c r="C9" i="20"/>
  <c r="H10" i="20"/>
  <c r="AG44" i="20" s="1"/>
  <c r="G10" i="20"/>
  <c r="AF44" i="20" s="1"/>
  <c r="F11" i="20"/>
  <c r="F10" i="20" s="1"/>
  <c r="L10" i="20"/>
  <c r="AI44" i="20" s="1"/>
  <c r="K10" i="20"/>
  <c r="AH44" i="20" s="1"/>
  <c r="J11" i="20"/>
  <c r="J10" i="20" s="1"/>
  <c r="C8" i="20"/>
  <c r="D8" i="20"/>
  <c r="D9" i="20"/>
  <c r="D11" i="20"/>
  <c r="L7" i="20"/>
  <c r="K7" i="20"/>
  <c r="J8" i="20"/>
  <c r="J9" i="20"/>
  <c r="F8" i="20"/>
  <c r="B8" i="20" s="1"/>
  <c r="F9" i="20"/>
  <c r="H7" i="20"/>
  <c r="D7" i="20" s="1"/>
  <c r="G7" i="20"/>
  <c r="F23" i="20"/>
  <c r="B23" i="20" s="1"/>
  <c r="F22" i="20"/>
  <c r="H21" i="20"/>
  <c r="G21" i="20"/>
  <c r="L12" i="20"/>
  <c r="AI45" i="20" s="1"/>
  <c r="H12" i="20"/>
  <c r="AG45" i="20" s="1"/>
  <c r="G12" i="20"/>
  <c r="AF43" i="20" l="1"/>
  <c r="C12" i="20"/>
  <c r="AF45" i="20"/>
  <c r="B13" i="20"/>
  <c r="C7" i="20"/>
  <c r="L6" i="20"/>
  <c r="AI43" i="20"/>
  <c r="H6" i="20"/>
  <c r="AG43" i="20"/>
  <c r="G18" i="20"/>
  <c r="AF47" i="20"/>
  <c r="H18" i="20"/>
  <c r="AG46" i="20" s="1"/>
  <c r="AG47" i="20"/>
  <c r="K6" i="20"/>
  <c r="AH43" i="20"/>
  <c r="B19" i="20"/>
  <c r="B20" i="20"/>
  <c r="B22" i="20"/>
  <c r="B9" i="20"/>
  <c r="B14" i="20"/>
  <c r="D18" i="20"/>
  <c r="D10" i="20"/>
  <c r="D6" i="20" s="1"/>
  <c r="C10" i="20"/>
  <c r="B16" i="20"/>
  <c r="B10" i="20"/>
  <c r="J18" i="20"/>
  <c r="J7" i="20"/>
  <c r="J6" i="20" s="1"/>
  <c r="J21" i="20"/>
  <c r="D21" i="20"/>
  <c r="C21" i="20"/>
  <c r="F7" i="20"/>
  <c r="B11" i="20"/>
  <c r="F21" i="20"/>
  <c r="J12" i="20"/>
  <c r="F12" i="20"/>
  <c r="B12" i="20" s="1"/>
  <c r="D12" i="20"/>
  <c r="AF46" i="20" l="1"/>
  <c r="F18" i="20"/>
  <c r="F6" i="20"/>
  <c r="B7" i="20"/>
  <c r="G6" i="20"/>
  <c r="B18" i="20"/>
  <c r="C18" i="20"/>
  <c r="C6" i="20"/>
  <c r="B21" i="20"/>
  <c r="B6" i="20" l="1"/>
  <c r="AF30" i="20"/>
  <c r="AD33" i="20" l="1"/>
  <c r="AD32" i="20"/>
  <c r="AD31" i="20"/>
  <c r="AD34" i="20"/>
  <c r="AD35" i="20"/>
</calcChain>
</file>

<file path=xl/sharedStrings.xml><?xml version="1.0" encoding="utf-8"?>
<sst xmlns="http://schemas.openxmlformats.org/spreadsheetml/2006/main" count="80" uniqueCount="51">
  <si>
    <t>Male'</t>
  </si>
  <si>
    <t>ތާވަލު 6.1: ޞިއްޙީ ދާއިރާގައި މަސައްކަތްކުރާ މީހުންގެ އަދަދު، 2015</t>
  </si>
  <si>
    <t>Table 6.1 :  DISTRIBUTION OF MEDICAL STAFF IN MALE' AND ATOLLS - 2015</t>
  </si>
  <si>
    <t>Categories of Health Personnel</t>
  </si>
  <si>
    <r>
      <t xml:space="preserve">Republic   </t>
    </r>
    <r>
      <rPr>
        <b/>
        <sz val="9"/>
        <rFont val="A_Faseyha"/>
      </rPr>
      <t>ejcaWr</t>
    </r>
  </si>
  <si>
    <r>
      <t xml:space="preserve">Male'  </t>
    </r>
    <r>
      <rPr>
        <b/>
        <sz val="10"/>
        <rFont val="A_Faseyha"/>
      </rPr>
      <t>elWm</t>
    </r>
  </si>
  <si>
    <r>
      <t xml:space="preserve">Atolls  </t>
    </r>
    <r>
      <rPr>
        <b/>
        <sz val="10"/>
        <rFont val="A_Faseyha"/>
      </rPr>
      <t>cawtuLotwa</t>
    </r>
  </si>
  <si>
    <t>ސިއްހީ ދާއިރާގެ މުވައްޒިފުން</t>
  </si>
  <si>
    <t>Both sexes</t>
  </si>
  <si>
    <t>Male</t>
  </si>
  <si>
    <t>Female</t>
  </si>
  <si>
    <t>Doctors</t>
  </si>
  <si>
    <t>ޑޮކްޓަރުން</t>
  </si>
  <si>
    <t xml:space="preserve">         General duty doctors</t>
  </si>
  <si>
    <t xml:space="preserve">cnurwTckoD egukwtilwbumcaWA   </t>
  </si>
  <si>
    <t xml:space="preserve">         Specialists</t>
  </si>
  <si>
    <t xml:space="preserve">cnurwTckoD wBcaWH cSwkwtilwbikeaikea   </t>
  </si>
  <si>
    <t>Nurses</t>
  </si>
  <si>
    <t>cnuhurwn</t>
  </si>
  <si>
    <t xml:space="preserve">         Nurses</t>
  </si>
  <si>
    <t>Paramedical Staff</t>
  </si>
  <si>
    <t>ޕެރަމެޑިކަލް މުވައްޒިފުން</t>
  </si>
  <si>
    <t>Laboratory Scientists / Laboratory technicians/ laboratory assistants</t>
  </si>
  <si>
    <t xml:space="preserve"> ލެބޯރެޓަރީ ސައިންސިސްޓްސް  ލެބޯރެޓަރީ ޓެކްނީޝަންސް  / ލެބޯޓްރީ އެސިސްޓަންޓްސް</t>
  </si>
  <si>
    <t xml:space="preserve">         Physiotherapists</t>
  </si>
  <si>
    <t xml:space="preserve">  ފިޒިއީތެރަޕިސްޓްސް</t>
  </si>
  <si>
    <t xml:space="preserve">         Radiographers</t>
  </si>
  <si>
    <t xml:space="preserve">  ރޭޑިއޯގްރާފަރސް</t>
  </si>
  <si>
    <t xml:space="preserve">         Dental technicians / dental assistants</t>
  </si>
  <si>
    <t xml:space="preserve">  ޑެންޓިސްޓުން</t>
  </si>
  <si>
    <t xml:space="preserve">         Pharmacists / Pharmacy Asst.</t>
  </si>
  <si>
    <t xml:space="preserve">  ފާމަސިސްޓް 2_/</t>
  </si>
  <si>
    <t>Community Health Personnel</t>
  </si>
  <si>
    <t>ޖަމާއަތުގެ ސިއްޚި މުވައްޒިފުން</t>
  </si>
  <si>
    <t xml:space="preserve">         Community Health Workers</t>
  </si>
  <si>
    <t xml:space="preserve">  ޖަމާއަތުގެ ސިއްޚި އެހީތެރިން</t>
  </si>
  <si>
    <t xml:space="preserve">         Family Health Workers</t>
  </si>
  <si>
    <t xml:space="preserve">  އާއިލީ ސިއްޚީ އެހީތެރިން</t>
  </si>
  <si>
    <t>Traditional Birth Attendant (Foolhuma)</t>
  </si>
  <si>
    <t>ފޫޅުމައިން</t>
  </si>
  <si>
    <t xml:space="preserve">                 Trained</t>
  </si>
  <si>
    <t xml:space="preserve">  ތަމްރީން ދެވިފައި</t>
  </si>
  <si>
    <t xml:space="preserve">                 Untrained</t>
  </si>
  <si>
    <t xml:space="preserve">  ތަމްރީން ނުދެވި</t>
  </si>
  <si>
    <t>ނޯޓް: މިތާވަލުގައި ޕްރައިވެޓް ސެކްޓަރގައި މަސައްކަތްކުރާ މީހުން ނުހިމެނޭ</t>
  </si>
  <si>
    <t>Source: Ministry of Health</t>
  </si>
  <si>
    <t>މަޢުލޫމާތު ދެއްވީ: މިނިސްޓްރީ އޮފް ހެލްތް</t>
  </si>
  <si>
    <t xml:space="preserve">Atolls </t>
  </si>
  <si>
    <t>NA</t>
  </si>
  <si>
    <t xml:space="preserve">Note: Included pvt sectors here are ADK,IMDC and Medica only.  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</si>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</sst>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9" formatCode="_-* #,##0.00\ _ރ_._-;_-* #,##0.00\ _ރ_.\-;_-* &quot;-&quot;??\ _ރ_._-;_-@_-"/>
    <numFmt numFmtId="170" formatCode="0.00_)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ourier"/>
      <family val="3"/>
    </font>
    <font>
      <b/>
      <sz val="9"/>
      <name val="Arial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Faruma"/>
    </font>
    <font>
      <sz val="10"/>
      <name val="Faruma"/>
    </font>
    <font>
      <sz val="9"/>
      <name val="Faruma"/>
    </font>
    <font>
      <b/>
      <sz val="11"/>
      <name val="Faruma"/>
    </font>
    <font>
      <sz val="11"/>
      <name val="Calibri"/>
      <family val="2"/>
      <scheme val="minor"/>
    </font>
    <font>
      <b/>
      <sz val="11"/>
      <name val="A_Randhoo"/>
    </font>
    <font>
      <b/>
      <sz val="12"/>
      <color theme="1"/>
      <name val="Faruma"/>
    </font>
    <font>
      <b/>
      <sz val="9"/>
      <name val="A_Faseyha"/>
    </font>
    <font>
      <b/>
      <sz val="10"/>
      <name val="A_Faseyha"/>
    </font>
    <font>
      <b/>
      <sz val="9"/>
      <name val="Faruma"/>
    </font>
    <font>
      <b/>
      <sz val="18"/>
      <color rgb="FFFF0000"/>
      <name val="Calibri"/>
      <family val="2"/>
      <scheme val="minor"/>
    </font>
    <font>
      <sz val="11"/>
      <name val="A_Randhoo"/>
    </font>
    <font>
      <sz val="11"/>
      <name val="Faruma"/>
    </font>
    <font>
      <i/>
      <sz val="10"/>
      <color theme="1"/>
      <name val="Calibri"/>
      <family val="2"/>
      <scheme val="minor"/>
    </font>
    <font>
      <sz val="1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theme="1"/>
      </bottom>
      <diagonal/>
    </border>
    <border>
      <left/>
      <right style="hair">
        <color indexed="64"/>
      </right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 style="dotted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dotted">
        <color theme="1"/>
      </bottom>
      <diagonal/>
    </border>
    <border>
      <left/>
      <right/>
      <top style="thin">
        <color theme="0"/>
      </top>
      <bottom style="dotted">
        <color theme="1"/>
      </bottom>
      <diagonal/>
    </border>
  </borders>
  <cellStyleXfs count="62">
    <xf numFmtId="0" fontId="0" fillId="0" borderId="0"/>
    <xf numFmtId="0" fontId="1" fillId="0" borderId="0"/>
    <xf numFmtId="164" fontId="9" fillId="0" borderId="0"/>
    <xf numFmtId="169" fontId="12" fillId="0" borderId="0" applyFont="0" applyFill="0" applyBorder="0" applyAlignment="0" applyProtection="0"/>
    <xf numFmtId="0" fontId="12" fillId="0" borderId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20" borderId="0" applyNumberFormat="0" applyBorder="0" applyAlignment="0" applyProtection="0"/>
    <xf numFmtId="0" fontId="17" fillId="4" borderId="0" applyNumberFormat="0" applyBorder="0" applyAlignment="0" applyProtection="0"/>
    <xf numFmtId="0" fontId="18" fillId="21" borderId="8" applyNumberFormat="0" applyAlignment="0" applyProtection="0"/>
    <xf numFmtId="0" fontId="19" fillId="22" borderId="9" applyNumberFormat="0" applyAlignment="0" applyProtection="0"/>
    <xf numFmtId="40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8" borderId="8" applyNumberFormat="0" applyAlignment="0" applyProtection="0"/>
    <xf numFmtId="0" fontId="26" fillId="0" borderId="13" applyNumberFormat="0" applyFill="0" applyAlignment="0" applyProtection="0"/>
    <xf numFmtId="0" fontId="27" fillId="23" borderId="0" applyNumberFormat="0" applyBorder="0" applyAlignment="0" applyProtection="0"/>
    <xf numFmtId="170" fontId="1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164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5" fillId="24" borderId="14" applyNumberFormat="0" applyFont="0" applyAlignment="0" applyProtection="0"/>
    <xf numFmtId="0" fontId="28" fillId="21" borderId="15" applyNumberFormat="0" applyAlignment="0" applyProtection="0"/>
    <xf numFmtId="9" fontId="13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11" fillId="0" borderId="16" applyNumberFormat="0" applyFill="0" applyAlignment="0" applyProtection="0"/>
    <xf numFmtId="0" fontId="30" fillId="0" borderId="0" applyNumberFormat="0" applyFill="0" applyBorder="0" applyAlignment="0" applyProtection="0"/>
    <xf numFmtId="164" fontId="9" fillId="0" borderId="0"/>
    <xf numFmtId="164" fontId="9" fillId="0" borderId="0"/>
  </cellStyleXfs>
  <cellXfs count="89">
    <xf numFmtId="0" fontId="0" fillId="0" borderId="0" xfId="0"/>
    <xf numFmtId="0" fontId="0" fillId="2" borderId="1" xfId="0" applyNumberFormat="1" applyFill="1" applyBorder="1" applyAlignment="1">
      <alignment vertical="center"/>
    </xf>
    <xf numFmtId="0" fontId="8" fillId="2" borderId="3" xfId="0" applyNumberFormat="1" applyFont="1" applyFill="1" applyBorder="1" applyAlignment="1" applyProtection="1">
      <alignment horizontal="center" vertical="center" wrapText="1"/>
    </xf>
    <xf numFmtId="0" fontId="8" fillId="2" borderId="3" xfId="0" applyNumberFormat="1" applyFont="1" applyFill="1" applyBorder="1" applyAlignment="1" applyProtection="1">
      <alignment horizontal="right" vertical="center"/>
    </xf>
    <xf numFmtId="0" fontId="0" fillId="2" borderId="3" xfId="0" applyNumberFormat="1" applyFill="1" applyBorder="1" applyAlignment="1">
      <alignment vertical="center"/>
    </xf>
    <xf numFmtId="0" fontId="8" fillId="2" borderId="27" xfId="0" applyNumberFormat="1" applyFont="1" applyFill="1" applyBorder="1" applyAlignment="1" applyProtection="1">
      <alignment horizontal="center" vertical="center"/>
    </xf>
    <xf numFmtId="0" fontId="7" fillId="2" borderId="7" xfId="0" applyNumberFormat="1" applyFont="1" applyFill="1" applyBorder="1" applyAlignment="1">
      <alignment horizontal="right" vertical="center"/>
    </xf>
    <xf numFmtId="0" fontId="7" fillId="2" borderId="31" xfId="0" applyNumberFormat="1" applyFont="1" applyFill="1" applyBorder="1" applyAlignment="1">
      <alignment horizontal="right" vertical="center"/>
    </xf>
    <xf numFmtId="0" fontId="6" fillId="2" borderId="20" xfId="0" applyNumberFormat="1" applyFont="1" applyFill="1" applyBorder="1" applyAlignment="1" applyProtection="1">
      <alignment horizontal="left" vertical="center" wrapText="1"/>
    </xf>
    <xf numFmtId="3" fontId="6" fillId="2" borderId="21" xfId="0" applyNumberFormat="1" applyFont="1" applyFill="1" applyBorder="1" applyAlignment="1" applyProtection="1">
      <alignment horizontal="right" vertical="center"/>
    </xf>
    <xf numFmtId="3" fontId="6" fillId="2" borderId="33" xfId="0" applyNumberFormat="1" applyFont="1" applyFill="1" applyBorder="1" applyAlignment="1" applyProtection="1">
      <alignment horizontal="right" vertical="center"/>
    </xf>
    <xf numFmtId="0" fontId="0" fillId="2" borderId="22" xfId="0" applyNumberFormat="1" applyFont="1" applyFill="1" applyBorder="1" applyAlignment="1">
      <alignment vertical="center"/>
    </xf>
    <xf numFmtId="0" fontId="0" fillId="2" borderId="4" xfId="0" applyNumberFormat="1" applyFont="1" applyFill="1" applyBorder="1" applyAlignment="1">
      <alignment vertical="center"/>
    </xf>
    <xf numFmtId="0" fontId="34" fillId="2" borderId="4" xfId="0" applyFont="1" applyFill="1" applyBorder="1" applyAlignment="1">
      <alignment horizontal="right" vertical="center"/>
    </xf>
    <xf numFmtId="0" fontId="41" fillId="2" borderId="1" xfId="0" applyNumberFormat="1" applyFont="1" applyFill="1" applyBorder="1" applyAlignment="1">
      <alignment vertical="center"/>
    </xf>
    <xf numFmtId="0" fontId="35" fillId="2" borderId="17" xfId="0" applyNumberFormat="1" applyFont="1" applyFill="1" applyBorder="1" applyAlignment="1" applyProtection="1">
      <alignment horizontal="left" vertical="center" wrapText="1"/>
    </xf>
    <xf numFmtId="3" fontId="35" fillId="2" borderId="18" xfId="0" applyNumberFormat="1" applyFont="1" applyFill="1" applyBorder="1" applyAlignment="1" applyProtection="1">
      <alignment horizontal="right" vertical="center"/>
    </xf>
    <xf numFmtId="3" fontId="35" fillId="2" borderId="34" xfId="0" applyNumberFormat="1" applyFont="1" applyFill="1" applyBorder="1" applyAlignment="1" applyProtection="1">
      <alignment horizontal="right" vertical="center"/>
    </xf>
    <xf numFmtId="0" fontId="35" fillId="2" borderId="2" xfId="0" applyNumberFormat="1" applyFont="1" applyFill="1" applyBorder="1" applyAlignment="1">
      <alignment vertical="center"/>
    </xf>
    <xf numFmtId="0" fontId="0" fillId="2" borderId="1" xfId="0" applyNumberFormat="1" applyFont="1" applyFill="1" applyBorder="1" applyAlignment="1">
      <alignment vertical="center"/>
    </xf>
    <xf numFmtId="0" fontId="42" fillId="2" borderId="4" xfId="0" applyFont="1" applyFill="1" applyBorder="1" applyAlignment="1">
      <alignment horizontal="right" vertical="center" indent="1"/>
    </xf>
    <xf numFmtId="0" fontId="42" fillId="2" borderId="1" xfId="0" applyFont="1" applyFill="1" applyBorder="1" applyAlignment="1">
      <alignment horizontal="right" vertical="center" indent="1"/>
    </xf>
    <xf numFmtId="0" fontId="6" fillId="2" borderId="17" xfId="0" applyNumberFormat="1" applyFont="1" applyFill="1" applyBorder="1" applyAlignment="1" applyProtection="1">
      <alignment horizontal="left" vertical="center" wrapText="1"/>
    </xf>
    <xf numFmtId="3" fontId="6" fillId="2" borderId="18" xfId="0" applyNumberFormat="1" applyFont="1" applyFill="1" applyBorder="1" applyAlignment="1" applyProtection="1">
      <alignment horizontal="right" vertical="center"/>
    </xf>
    <xf numFmtId="3" fontId="6" fillId="2" borderId="34" xfId="0" applyNumberFormat="1" applyFont="1" applyFill="1" applyBorder="1" applyAlignment="1" applyProtection="1">
      <alignment horizontal="right" vertical="center"/>
    </xf>
    <xf numFmtId="0" fontId="36" fillId="2" borderId="1" xfId="0" applyFont="1" applyFill="1" applyBorder="1" applyAlignment="1">
      <alignment horizontal="right" vertical="center"/>
    </xf>
    <xf numFmtId="0" fontId="36" fillId="2" borderId="1" xfId="0" applyFont="1" applyFill="1" applyBorder="1" applyAlignment="1">
      <alignment horizontal="right" vertical="center" indent="3"/>
    </xf>
    <xf numFmtId="0" fontId="34" fillId="2" borderId="1" xfId="0" applyFont="1" applyFill="1" applyBorder="1" applyAlignment="1">
      <alignment horizontal="right" vertical="center"/>
    </xf>
    <xf numFmtId="0" fontId="35" fillId="2" borderId="17" xfId="0" applyNumberFormat="1" applyFont="1" applyFill="1" applyBorder="1" applyAlignment="1" applyProtection="1">
      <alignment horizontal="left" vertical="center" wrapText="1" indent="1"/>
    </xf>
    <xf numFmtId="0" fontId="0" fillId="2" borderId="1" xfId="0" applyNumberFormat="1" applyFill="1" applyBorder="1" applyAlignment="1">
      <alignment vertical="center" wrapText="1"/>
    </xf>
    <xf numFmtId="0" fontId="35" fillId="2" borderId="1" xfId="0" applyNumberFormat="1" applyFont="1" applyFill="1" applyBorder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35" fillId="2" borderId="2" xfId="0" applyNumberFormat="1" applyFont="1" applyFill="1" applyBorder="1" applyAlignment="1">
      <alignment horizontal="right" vertical="center" indent="1"/>
    </xf>
    <xf numFmtId="0" fontId="0" fillId="2" borderId="1" xfId="0" applyNumberFormat="1" applyFont="1" applyFill="1" applyBorder="1" applyAlignment="1">
      <alignment horizontal="right" vertical="center" indent="1"/>
    </xf>
    <xf numFmtId="0" fontId="43" fillId="2" borderId="1" xfId="0" applyFont="1" applyFill="1" applyBorder="1" applyAlignment="1">
      <alignment horizontal="right" vertical="center" indent="1"/>
    </xf>
    <xf numFmtId="0" fontId="43" fillId="2" borderId="1" xfId="0" applyFont="1" applyFill="1" applyBorder="1" applyAlignment="1">
      <alignment horizontal="right" vertical="center"/>
    </xf>
    <xf numFmtId="0" fontId="35" fillId="2" borderId="35" xfId="0" applyNumberFormat="1" applyFont="1" applyFill="1" applyBorder="1" applyAlignment="1" applyProtection="1">
      <alignment horizontal="left" vertical="center" wrapText="1"/>
    </xf>
    <xf numFmtId="3" fontId="35" fillId="2" borderId="36" xfId="0" applyNumberFormat="1" applyFont="1" applyFill="1" applyBorder="1" applyAlignment="1" applyProtection="1">
      <alignment horizontal="right" vertical="center"/>
    </xf>
    <xf numFmtId="3" fontId="35" fillId="2" borderId="37" xfId="0" applyNumberFormat="1" applyFont="1" applyFill="1" applyBorder="1" applyAlignment="1" applyProtection="1">
      <alignment horizontal="right" vertical="center"/>
    </xf>
    <xf numFmtId="0" fontId="35" fillId="2" borderId="38" xfId="0" applyNumberFormat="1" applyFont="1" applyFill="1" applyBorder="1" applyAlignment="1">
      <alignment vertical="center"/>
    </xf>
    <xf numFmtId="0" fontId="0" fillId="2" borderId="5" xfId="0" applyNumberFormat="1" applyFont="1" applyFill="1" applyBorder="1" applyAlignment="1">
      <alignment vertical="center"/>
    </xf>
    <xf numFmtId="0" fontId="43" fillId="2" borderId="5" xfId="0" applyFont="1" applyFill="1" applyBorder="1" applyAlignment="1">
      <alignment horizontal="right" vertical="center" indent="1"/>
    </xf>
    <xf numFmtId="0" fontId="31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 applyProtection="1">
      <alignment horizontal="left" vertical="center" wrapText="1"/>
    </xf>
    <xf numFmtId="0" fontId="2" fillId="2" borderId="1" xfId="0" applyNumberFormat="1" applyFont="1" applyFill="1" applyBorder="1" applyAlignment="1" applyProtection="1">
      <alignment horizontal="right" vertical="center"/>
    </xf>
    <xf numFmtId="0" fontId="35" fillId="2" borderId="1" xfId="0" applyNumberFormat="1" applyFont="1" applyFill="1" applyBorder="1" applyAlignment="1">
      <alignment vertical="center"/>
    </xf>
    <xf numFmtId="0" fontId="33" fillId="2" borderId="1" xfId="0" applyFont="1" applyFill="1" applyBorder="1" applyAlignment="1">
      <alignment horizontal="right" vertical="center"/>
    </xf>
    <xf numFmtId="1" fontId="0" fillId="2" borderId="1" xfId="0" applyNumberFormat="1" applyFill="1" applyBorder="1" applyAlignment="1">
      <alignment horizontal="right" vertical="center"/>
    </xf>
    <xf numFmtId="0" fontId="5" fillId="2" borderId="17" xfId="0" applyNumberFormat="1" applyFont="1" applyFill="1" applyBorder="1" applyAlignment="1" applyProtection="1">
      <alignment horizontal="left" vertical="center" wrapText="1"/>
    </xf>
    <xf numFmtId="0" fontId="2" fillId="2" borderId="18" xfId="0" applyNumberFormat="1" applyFont="1" applyFill="1" applyBorder="1" applyAlignment="1" applyProtection="1">
      <alignment horizontal="right" vertical="center"/>
    </xf>
    <xf numFmtId="0" fontId="35" fillId="2" borderId="18" xfId="0" applyNumberFormat="1" applyFont="1" applyFill="1" applyBorder="1" applyAlignment="1">
      <alignment vertical="center"/>
    </xf>
    <xf numFmtId="0" fontId="0" fillId="2" borderId="18" xfId="0" applyNumberFormat="1" applyFill="1" applyBorder="1" applyAlignment="1">
      <alignment vertical="center"/>
    </xf>
    <xf numFmtId="0" fontId="33" fillId="2" borderId="2" xfId="0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3" fontId="3" fillId="2" borderId="18" xfId="0" applyNumberFormat="1" applyFont="1" applyFill="1" applyBorder="1" applyAlignment="1" applyProtection="1">
      <alignment horizontal="right" vertical="center"/>
    </xf>
    <xf numFmtId="3" fontId="3" fillId="2" borderId="36" xfId="0" applyNumberFormat="1" applyFont="1" applyFill="1" applyBorder="1" applyAlignment="1" applyProtection="1">
      <alignment horizontal="right" vertical="center"/>
    </xf>
    <xf numFmtId="0" fontId="0" fillId="2" borderId="4" xfId="0" applyNumberFormat="1" applyFill="1" applyBorder="1" applyAlignment="1">
      <alignment horizontal="right" vertical="center"/>
    </xf>
    <xf numFmtId="3" fontId="6" fillId="2" borderId="36" xfId="0" applyNumberFormat="1" applyFont="1" applyFill="1" applyBorder="1" applyAlignment="1" applyProtection="1">
      <alignment horizontal="right" vertical="center"/>
    </xf>
    <xf numFmtId="0" fontId="45" fillId="2" borderId="4" xfId="0" applyNumberFormat="1" applyFont="1" applyFill="1" applyBorder="1" applyAlignment="1" applyProtection="1">
      <alignment horizontal="left" vertical="center"/>
    </xf>
    <xf numFmtId="3" fontId="35" fillId="2" borderId="21" xfId="0" applyNumberFormat="1" applyFont="1" applyFill="1" applyBorder="1" applyAlignment="1" applyProtection="1">
      <alignment horizontal="right" vertical="center"/>
    </xf>
    <xf numFmtId="3" fontId="0" fillId="2" borderId="1" xfId="0" applyNumberFormat="1" applyFill="1" applyBorder="1" applyAlignment="1">
      <alignment vertical="center"/>
    </xf>
    <xf numFmtId="0" fontId="10" fillId="2" borderId="19" xfId="0" applyNumberFormat="1" applyFont="1" applyFill="1" applyBorder="1" applyAlignment="1" applyProtection="1">
      <alignment horizontal="left" vertical="center" wrapText="1"/>
    </xf>
    <xf numFmtId="0" fontId="40" fillId="2" borderId="0" xfId="0" applyFont="1" applyFill="1" applyBorder="1" applyAlignment="1">
      <alignment horizontal="right" vertical="center"/>
    </xf>
    <xf numFmtId="0" fontId="40" fillId="2" borderId="23" xfId="0" applyFont="1" applyFill="1" applyBorder="1" applyAlignment="1">
      <alignment horizontal="right" vertical="center"/>
    </xf>
    <xf numFmtId="0" fontId="8" fillId="2" borderId="42" xfId="0" applyNumberFormat="1" applyFont="1" applyFill="1" applyBorder="1" applyAlignment="1" applyProtection="1">
      <alignment horizontal="center" vertical="center"/>
    </xf>
    <xf numFmtId="0" fontId="8" fillId="2" borderId="43" xfId="0" applyNumberFormat="1" applyFont="1" applyFill="1" applyBorder="1" applyAlignment="1" applyProtection="1">
      <alignment horizontal="center" vertical="center"/>
    </xf>
    <xf numFmtId="0" fontId="8" fillId="2" borderId="24" xfId="0" applyNumberFormat="1" applyFont="1" applyFill="1" applyBorder="1" applyAlignment="1" applyProtection="1">
      <alignment horizontal="center" vertical="center"/>
    </xf>
    <xf numFmtId="0" fontId="32" fillId="2" borderId="18" xfId="0" applyFont="1" applyFill="1" applyBorder="1" applyAlignment="1">
      <alignment horizontal="right" vertical="center" wrapText="1" indent="1"/>
    </xf>
    <xf numFmtId="0" fontId="32" fillId="2" borderId="2" xfId="0" applyFont="1" applyFill="1" applyBorder="1" applyAlignment="1">
      <alignment horizontal="right" vertical="center" wrapText="1" indent="1"/>
    </xf>
    <xf numFmtId="0" fontId="44" fillId="2" borderId="39" xfId="0" applyNumberFormat="1" applyFont="1" applyFill="1" applyBorder="1" applyAlignment="1">
      <alignment horizontal="left" vertical="center" wrapText="1"/>
    </xf>
    <xf numFmtId="0" fontId="44" fillId="2" borderId="40" xfId="0" applyNumberFormat="1" applyFont="1" applyFill="1" applyBorder="1" applyAlignment="1">
      <alignment horizontal="left" vertical="center" wrapText="1"/>
    </xf>
    <xf numFmtId="0" fontId="44" fillId="2" borderId="41" xfId="0" applyNumberFormat="1" applyFont="1" applyFill="1" applyBorder="1" applyAlignment="1">
      <alignment horizontal="left" vertical="center" wrapText="1"/>
    </xf>
    <xf numFmtId="0" fontId="37" fillId="2" borderId="17" xfId="0" applyNumberFormat="1" applyFont="1" applyFill="1" applyBorder="1" applyAlignment="1">
      <alignment horizontal="center" vertical="center" wrapText="1"/>
    </xf>
    <xf numFmtId="0" fontId="37" fillId="2" borderId="18" xfId="0" applyNumberFormat="1" applyFont="1" applyFill="1" applyBorder="1" applyAlignment="1">
      <alignment horizontal="center" vertical="center" wrapText="1"/>
    </xf>
    <xf numFmtId="0" fontId="37" fillId="2" borderId="2" xfId="0" applyNumberFormat="1" applyFont="1" applyFill="1" applyBorder="1" applyAlignment="1">
      <alignment horizontal="center" vertical="center" wrapText="1"/>
    </xf>
    <xf numFmtId="0" fontId="6" fillId="2" borderId="17" xfId="0" applyNumberFormat="1" applyFont="1" applyFill="1" applyBorder="1" applyAlignment="1" applyProtection="1">
      <alignment horizontal="center" vertical="center"/>
    </xf>
    <xf numFmtId="0" fontId="6" fillId="2" borderId="18" xfId="0" applyNumberFormat="1" applyFont="1" applyFill="1" applyBorder="1" applyAlignment="1" applyProtection="1">
      <alignment horizontal="center" vertical="center"/>
    </xf>
    <xf numFmtId="0" fontId="6" fillId="2" borderId="2" xfId="0" applyNumberFormat="1" applyFont="1" applyFill="1" applyBorder="1" applyAlignment="1" applyProtection="1">
      <alignment horizontal="center" vertical="center"/>
    </xf>
    <xf numFmtId="0" fontId="10" fillId="2" borderId="25" xfId="0" applyNumberFormat="1" applyFont="1" applyFill="1" applyBorder="1" applyAlignment="1" applyProtection="1">
      <alignment horizontal="left" vertical="center" wrapText="1"/>
    </xf>
    <xf numFmtId="0" fontId="10" fillId="2" borderId="30" xfId="0" applyNumberFormat="1" applyFont="1" applyFill="1" applyBorder="1" applyAlignment="1" applyProtection="1">
      <alignment horizontal="left" vertical="center" wrapText="1"/>
    </xf>
    <xf numFmtId="0" fontId="10" fillId="2" borderId="26" xfId="0" applyNumberFormat="1" applyFont="1" applyFill="1" applyBorder="1" applyAlignment="1" applyProtection="1">
      <alignment horizontal="center" vertical="center"/>
    </xf>
    <xf numFmtId="0" fontId="8" fillId="2" borderId="26" xfId="0" applyNumberFormat="1" applyFont="1" applyFill="1" applyBorder="1" applyAlignment="1" applyProtection="1">
      <alignment horizontal="center" vertical="center"/>
    </xf>
    <xf numFmtId="0" fontId="8" fillId="2" borderId="28" xfId="0" applyNumberFormat="1" applyFont="1" applyFill="1" applyBorder="1" applyAlignment="1" applyProtection="1">
      <alignment horizontal="center" vertical="center"/>
    </xf>
    <xf numFmtId="0" fontId="40" fillId="2" borderId="25" xfId="0" applyFont="1" applyFill="1" applyBorder="1" applyAlignment="1">
      <alignment horizontal="right" vertical="center"/>
    </xf>
    <xf numFmtId="0" fontId="40" fillId="2" borderId="6" xfId="0" applyFont="1" applyFill="1" applyBorder="1" applyAlignment="1">
      <alignment horizontal="right" vertical="center"/>
    </xf>
    <xf numFmtId="0" fontId="40" fillId="2" borderId="29" xfId="0" applyFont="1" applyFill="1" applyBorder="1" applyAlignment="1">
      <alignment horizontal="right" vertical="center"/>
    </xf>
    <xf numFmtId="0" fontId="40" fillId="2" borderId="30" xfId="0" applyFont="1" applyFill="1" applyBorder="1" applyAlignment="1">
      <alignment horizontal="right" vertical="center"/>
    </xf>
    <xf numFmtId="0" fontId="40" fillId="2" borderId="7" xfId="0" applyFont="1" applyFill="1" applyBorder="1" applyAlignment="1">
      <alignment horizontal="right" vertical="center"/>
    </xf>
    <xf numFmtId="0" fontId="40" fillId="2" borderId="32" xfId="0" applyFont="1" applyFill="1" applyBorder="1" applyAlignment="1">
      <alignment horizontal="right" vertical="center"/>
    </xf>
  </cellXfs>
  <cellStyles count="62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"/>
    <cellStyle name="Comma 3" xfId="32"/>
    <cellStyle name="Explanatory Text 2" xfId="33"/>
    <cellStyle name="Good 2" xfId="34"/>
    <cellStyle name="Heading 1 2" xfId="35"/>
    <cellStyle name="Heading 2 2" xfId="36"/>
    <cellStyle name="Heading 3 2" xfId="37"/>
    <cellStyle name="Heading 4 2" xfId="38"/>
    <cellStyle name="Input 2" xfId="39"/>
    <cellStyle name="Linked Cell 2" xfId="40"/>
    <cellStyle name="Neutral 2" xfId="41"/>
    <cellStyle name="Normal" xfId="0" builtinId="0"/>
    <cellStyle name="Normal - Style1" xfId="42"/>
    <cellStyle name="Normal 10" xfId="43"/>
    <cellStyle name="Normal 11" xfId="44"/>
    <cellStyle name="Normal 12" xfId="45"/>
    <cellStyle name="Normal 13" xfId="4"/>
    <cellStyle name="Normal 14" xfId="60"/>
    <cellStyle name="Normal 15" xfId="61"/>
    <cellStyle name="Normal 2" xfId="1"/>
    <cellStyle name="Normal 2 2" xfId="46"/>
    <cellStyle name="Normal 3" xfId="47"/>
    <cellStyle name="Normal 4" xfId="48"/>
    <cellStyle name="Normal 5" xfId="49"/>
    <cellStyle name="Normal 6" xfId="50"/>
    <cellStyle name="Normal 7" xfId="51"/>
    <cellStyle name="Normal 8" xfId="52"/>
    <cellStyle name="Normal 9" xfId="2"/>
    <cellStyle name="Normal 9 2" xfId="53"/>
    <cellStyle name="Note 2" xfId="54"/>
    <cellStyle name="Output 2" xfId="55"/>
    <cellStyle name="Percent 2" xfId="56"/>
    <cellStyle name="Title 2" xfId="57"/>
    <cellStyle name="Total 2" xfId="58"/>
    <cellStyle name="Warning Text 2" xfId="59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6.1: Percentage</a:t>
            </a:r>
            <a:r>
              <a:rPr lang="en-US" sz="1200" baseline="0">
                <a:latin typeface="Consolas" pitchFamily="49" charset="0"/>
                <a:cs typeface="Consolas" pitchFamily="49" charset="0"/>
              </a:rPr>
              <a:t> of Health Personnels, 2015</a:t>
            </a:r>
            <a:r>
              <a:rPr lang="en-US" sz="1200">
                <a:latin typeface="Consolas" pitchFamily="49" charset="0"/>
                <a:cs typeface="Consolas" pitchFamily="49" charset="0"/>
              </a:rPr>
              <a:t>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2936142928045004"/>
          <c:y val="0.24107788673655056"/>
          <c:w val="0.38384569818680919"/>
          <c:h val="0.7263746719160104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0807E"/>
              </a:solidFill>
            </c:spPr>
          </c:dPt>
          <c:dPt>
            <c:idx val="1"/>
            <c:bubble3D val="0"/>
            <c:spPr>
              <a:solidFill>
                <a:srgbClr val="33CCCC"/>
              </a:solidFill>
            </c:spPr>
          </c:dPt>
          <c:dPt>
            <c:idx val="2"/>
            <c:bubble3D val="0"/>
            <c:spPr>
              <a:solidFill>
                <a:srgbClr val="75DFDD"/>
              </a:solidFill>
            </c:spPr>
          </c:dPt>
          <c:dPt>
            <c:idx val="3"/>
            <c:bubble3D val="0"/>
            <c:spPr>
              <a:solidFill>
                <a:srgbClr val="A7FFFF"/>
              </a:solidFill>
            </c:spPr>
          </c:dPt>
          <c:dPt>
            <c:idx val="4"/>
            <c:bubble3D val="0"/>
            <c:spPr>
              <a:solidFill>
                <a:srgbClr val="00CC99"/>
              </a:solidFill>
            </c:spPr>
          </c:dPt>
          <c:dLbls>
            <c:dLbl>
              <c:idx val="0"/>
              <c:layout>
                <c:manualLayout>
                  <c:x val="-0.10656329514016116"/>
                  <c:y val="1.495837560182277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054170402869285"/>
                  <c:y val="-0.2093428658840957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6.2173130155088428E-2"/>
                  <c:y val="-1.721143454353273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3"/>
              <c:layout>
                <c:manualLayout>
                  <c:x val="-2.084967883362563E-2"/>
                  <c:y val="2.22422536549447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4"/>
              <c:layout>
                <c:manualLayout>
                  <c:x val="5.4330255745324414E-2"/>
                  <c:y val="4.96112872768731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'6.1'!$AC$31:$AC$35</c:f>
              <c:strCache>
                <c:ptCount val="5"/>
                <c:pt idx="0">
                  <c:v>Doctors</c:v>
                </c:pt>
                <c:pt idx="1">
                  <c:v>Nurses</c:v>
                </c:pt>
                <c:pt idx="2">
                  <c:v>Paramedical Staff</c:v>
                </c:pt>
                <c:pt idx="3">
                  <c:v>Community Health Personnel</c:v>
                </c:pt>
                <c:pt idx="4">
                  <c:v>Traditional Birth Attendant (Foolhuma)</c:v>
                </c:pt>
              </c:strCache>
            </c:strRef>
          </c:cat>
          <c:val>
            <c:numRef>
              <c:f>'6.1'!$AD$31:$AD$35</c:f>
              <c:numCache>
                <c:formatCode>0</c:formatCode>
                <c:ptCount val="5"/>
                <c:pt idx="0">
                  <c:v>19.696969696969695</c:v>
                </c:pt>
                <c:pt idx="1">
                  <c:v>56.256109481915942</c:v>
                </c:pt>
                <c:pt idx="2">
                  <c:v>10.483870967741936</c:v>
                </c:pt>
                <c:pt idx="3">
                  <c:v>12.096774193548388</c:v>
                </c:pt>
                <c:pt idx="4">
                  <c:v>1.466275659824047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52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095187854691648E-2"/>
          <c:y val="0.15381755498384483"/>
          <c:w val="0.90411614810284646"/>
          <c:h val="0.641107386329184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'6.1'!$AE$43</c:f>
              <c:strCache>
                <c:ptCount val="1"/>
                <c:pt idx="0">
                  <c:v>Doctors</c:v>
                </c:pt>
              </c:strCache>
            </c:strRef>
          </c:tx>
          <c:spPr>
            <a:solidFill>
              <a:srgbClr val="20807E"/>
            </a:solidFill>
          </c:spPr>
          <c:invertIfNegative val="0"/>
          <c:cat>
            <c:multiLvlStrRef>
              <c:f>'6.1'!$AF$41:$AI$42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'6.1'!$AF$43:$AI$43</c:f>
              <c:numCache>
                <c:formatCode>#,##0</c:formatCode>
                <c:ptCount val="4"/>
                <c:pt idx="0">
                  <c:v>210</c:v>
                </c:pt>
                <c:pt idx="1">
                  <c:v>140</c:v>
                </c:pt>
                <c:pt idx="2">
                  <c:v>389</c:v>
                </c:pt>
                <c:pt idx="3">
                  <c:v>67</c:v>
                </c:pt>
              </c:numCache>
            </c:numRef>
          </c:val>
        </c:ser>
        <c:ser>
          <c:idx val="1"/>
          <c:order val="1"/>
          <c:tx>
            <c:strRef>
              <c:f>'6.1'!$AE$44</c:f>
              <c:strCache>
                <c:ptCount val="1"/>
                <c:pt idx="0">
                  <c:v>Nurses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multiLvlStrRef>
              <c:f>'6.1'!$AF$41:$AI$42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'6.1'!$AF$44:$AI$44</c:f>
              <c:numCache>
                <c:formatCode>#,##0</c:formatCode>
                <c:ptCount val="4"/>
                <c:pt idx="0">
                  <c:v>109</c:v>
                </c:pt>
                <c:pt idx="1">
                  <c:v>764</c:v>
                </c:pt>
                <c:pt idx="2">
                  <c:v>116</c:v>
                </c:pt>
                <c:pt idx="3">
                  <c:v>1313</c:v>
                </c:pt>
              </c:numCache>
            </c:numRef>
          </c:val>
        </c:ser>
        <c:ser>
          <c:idx val="2"/>
          <c:order val="2"/>
          <c:tx>
            <c:strRef>
              <c:f>'6.1'!$AE$45</c:f>
              <c:strCache>
                <c:ptCount val="1"/>
                <c:pt idx="0">
                  <c:v>Paramedical Staff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</c:spPr>
          <c:invertIfNegative val="0"/>
          <c:cat>
            <c:multiLvlStrRef>
              <c:f>'6.1'!$AF$41:$AI$42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'6.1'!$AF$45:$AI$45</c:f>
              <c:numCache>
                <c:formatCode>#,##0</c:formatCode>
                <c:ptCount val="4"/>
                <c:pt idx="0">
                  <c:v>91</c:v>
                </c:pt>
                <c:pt idx="1">
                  <c:v>122</c:v>
                </c:pt>
                <c:pt idx="2">
                  <c:v>126</c:v>
                </c:pt>
                <c:pt idx="3">
                  <c:v>90</c:v>
                </c:pt>
              </c:numCache>
            </c:numRef>
          </c:val>
        </c:ser>
        <c:ser>
          <c:idx val="3"/>
          <c:order val="3"/>
          <c:tx>
            <c:strRef>
              <c:f>'6.1'!$AE$46</c:f>
              <c:strCache>
                <c:ptCount val="1"/>
                <c:pt idx="0">
                  <c:v>Community Health Personnel</c:v>
                </c:pt>
              </c:strCache>
            </c:strRef>
          </c:tx>
          <c:spPr>
            <a:solidFill>
              <a:srgbClr val="00CC99"/>
            </a:solidFill>
          </c:spPr>
          <c:invertIfNegative val="0"/>
          <c:cat>
            <c:multiLvlStrRef>
              <c:f>'6.1'!$AF$41:$AI$42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'6.1'!$AF$46:$AI$46</c:f>
              <c:numCache>
                <c:formatCode>#,##0</c:formatCode>
                <c:ptCount val="4"/>
                <c:pt idx="0">
                  <c:v>2</c:v>
                </c:pt>
                <c:pt idx="1">
                  <c:v>2</c:v>
                </c:pt>
                <c:pt idx="2">
                  <c:v>149</c:v>
                </c:pt>
                <c:pt idx="3">
                  <c:v>342</c:v>
                </c:pt>
              </c:numCache>
            </c:numRef>
          </c:val>
        </c:ser>
        <c:ser>
          <c:idx val="4"/>
          <c:order val="4"/>
          <c:tx>
            <c:strRef>
              <c:f>'6.1'!$AE$47</c:f>
              <c:strCache>
                <c:ptCount val="1"/>
                <c:pt idx="0">
                  <c:v>Traditional Birth Attendant (Foolhuma)</c:v>
                </c:pt>
              </c:strCache>
            </c:strRef>
          </c:tx>
          <c:invertIfNegative val="0"/>
          <c:cat>
            <c:multiLvlStrRef>
              <c:f>'6.1'!$AF$41:$AI$42</c:f>
              <c:multiLvlStrCache>
                <c:ptCount val="4"/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</c:lvl>
                <c:lvl>
                  <c:pt idx="0">
                    <c:v>Male'</c:v>
                  </c:pt>
                  <c:pt idx="2">
                    <c:v>Atolls </c:v>
                  </c:pt>
                </c:lvl>
              </c:multiLvlStrCache>
            </c:multiLvlStrRef>
          </c:cat>
          <c:val>
            <c:numRef>
              <c:f>'6.1'!$AF$47:$AI$47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988992"/>
        <c:axId val="121990528"/>
      </c:barChart>
      <c:catAx>
        <c:axId val="121988992"/>
        <c:scaling>
          <c:orientation val="minMax"/>
        </c:scaling>
        <c:delete val="0"/>
        <c:axPos val="b"/>
        <c:majorTickMark val="none"/>
        <c:minorTickMark val="none"/>
        <c:tickLblPos val="nextTo"/>
        <c:crossAx val="121990528"/>
        <c:crosses val="autoZero"/>
        <c:auto val="1"/>
        <c:lblAlgn val="ctr"/>
        <c:lblOffset val="100"/>
        <c:noMultiLvlLbl val="0"/>
      </c:catAx>
      <c:valAx>
        <c:axId val="12199052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crossAx val="1219889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6.933516949309404E-2"/>
          <c:y val="0.18482506518368372"/>
          <c:w val="0.67490495281883844"/>
          <c:h val="0.2130453990280917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1504949</xdr:colOff>
      <xdr:row>26</xdr:row>
      <xdr:rowOff>0</xdr:rowOff>
    </xdr:from>
    <xdr:to>
      <xdr:col>12</xdr:col>
      <xdr:colOff>123825</xdr:colOff>
      <xdr:row>38</xdr:row>
      <xdr:rowOff>228600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1447800</xdr:colOff>
      <xdr:row>40</xdr:row>
      <xdr:rowOff>66674</xdr:rowOff>
    </xdr:from>
    <xdr:to>
      <xdr:col>12</xdr:col>
      <xdr:colOff>76200</xdr:colOff>
      <xdr:row>53</xdr:row>
      <xdr:rowOff>133349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2190749</xdr:colOff>
      <xdr:row>40</xdr:row>
      <xdr:rowOff>104775</xdr:rowOff>
    </xdr:from>
    <xdr:to>
      <xdr:col>11</xdr:col>
      <xdr:colOff>38099</xdr:colOff>
      <xdr:row>41</xdr:row>
      <xdr:rowOff>190500</xdr:rowOff>
    </xdr:to>
    <xdr:sp macro="" textlink="">
      <xdr:nvSpPr>
        <xdr:cNvPr id="4" name="TextBox 3"/>
        <xdr:cNvSpPr txBox="1"/>
      </xdr:nvSpPr>
      <xdr:spPr>
        <a:xfrm>
          <a:off x="2190749" y="16964025"/>
          <a:ext cx="5419725" cy="333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6.2: Distribution of Medical staff</a:t>
          </a:r>
          <a:r>
            <a:rPr lang="en-US" sz="1100" b="1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 by sex and locality,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2600325</xdr:colOff>
      <xdr:row>27</xdr:row>
      <xdr:rowOff>95250</xdr:rowOff>
    </xdr:from>
    <xdr:to>
      <xdr:col>10</xdr:col>
      <xdr:colOff>28575</xdr:colOff>
      <xdr:row>27</xdr:row>
      <xdr:rowOff>104775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600325" y="7429500"/>
          <a:ext cx="44481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0</xdr:col>
      <xdr:colOff>2209800</xdr:colOff>
      <xdr:row>41</xdr:row>
      <xdr:rowOff>95250</xdr:rowOff>
    </xdr:from>
    <xdr:to>
      <xdr:col>11</xdr:col>
      <xdr:colOff>28575</xdr:colOff>
      <xdr:row>41</xdr:row>
      <xdr:rowOff>95250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209800" y="10839450"/>
          <a:ext cx="53911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60"/>
  <sheetViews>
    <sheetView tabSelected="1" topLeftCell="A4" zoomScaleNormal="100" workbookViewId="0">
      <selection activeCell="Q26" sqref="Q26"/>
    </sheetView>
  </sheetViews>
  <sheetFormatPr defaultColWidth="9.140625" defaultRowHeight="19.5" customHeight="1" x14ac:dyDescent="0.25"/>
  <cols>
    <col min="1" max="1" width="41.140625" style="29" customWidth="1"/>
    <col min="2" max="2" width="9.42578125" style="31" customWidth="1"/>
    <col min="3" max="4" width="8.28515625" style="31" customWidth="1"/>
    <col min="5" max="5" width="1.28515625" style="31" customWidth="1"/>
    <col min="6" max="6" width="9.42578125" style="31" customWidth="1"/>
    <col min="7" max="8" width="8.28515625" style="31" customWidth="1"/>
    <col min="9" max="9" width="1.28515625" style="31" customWidth="1"/>
    <col min="10" max="10" width="9.5703125" style="31" customWidth="1"/>
    <col min="11" max="12" width="8.28515625" style="31" customWidth="1"/>
    <col min="13" max="13" width="6.7109375" style="1" customWidth="1"/>
    <col min="14" max="14" width="6.5703125" style="1" bestFit="1" customWidth="1"/>
    <col min="15" max="15" width="26.42578125" style="1" customWidth="1"/>
    <col min="16" max="17" width="9.140625" style="1"/>
    <col min="18" max="18" width="22.42578125" style="1" customWidth="1"/>
    <col min="19" max="16384" width="9.140625" style="1"/>
  </cols>
  <sheetData>
    <row r="1" spans="1:16" ht="19.5" customHeight="1" x14ac:dyDescent="0.25">
      <c r="A1" s="72" t="s">
        <v>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4"/>
    </row>
    <row r="2" spans="1:16" ht="24.75" customHeight="1" x14ac:dyDescent="0.25">
      <c r="A2" s="75" t="s">
        <v>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7"/>
    </row>
    <row r="3" spans="1:16" ht="13.5" customHeight="1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4"/>
      <c r="O3" s="4"/>
    </row>
    <row r="4" spans="1:16" ht="20.25" customHeight="1" x14ac:dyDescent="0.25">
      <c r="A4" s="78" t="s">
        <v>3</v>
      </c>
      <c r="B4" s="80" t="s">
        <v>4</v>
      </c>
      <c r="C4" s="81"/>
      <c r="D4" s="81"/>
      <c r="E4" s="5"/>
      <c r="F4" s="81" t="s">
        <v>5</v>
      </c>
      <c r="G4" s="81"/>
      <c r="H4" s="81"/>
      <c r="I4" s="5"/>
      <c r="J4" s="81" t="s">
        <v>6</v>
      </c>
      <c r="K4" s="81"/>
      <c r="L4" s="82"/>
      <c r="M4" s="83" t="s">
        <v>7</v>
      </c>
      <c r="N4" s="84"/>
      <c r="O4" s="85"/>
    </row>
    <row r="5" spans="1:16" ht="24" customHeight="1" x14ac:dyDescent="0.25">
      <c r="A5" s="79"/>
      <c r="B5" s="6" t="s">
        <v>8</v>
      </c>
      <c r="C5" s="6" t="s">
        <v>9</v>
      </c>
      <c r="D5" s="6" t="s">
        <v>10</v>
      </c>
      <c r="E5" s="7"/>
      <c r="F5" s="6" t="s">
        <v>8</v>
      </c>
      <c r="G5" s="6" t="s">
        <v>9</v>
      </c>
      <c r="H5" s="6" t="s">
        <v>10</v>
      </c>
      <c r="I5" s="7"/>
      <c r="J5" s="6" t="s">
        <v>8</v>
      </c>
      <c r="K5" s="6" t="s">
        <v>9</v>
      </c>
      <c r="L5" s="6" t="s">
        <v>10</v>
      </c>
      <c r="M5" s="86"/>
      <c r="N5" s="87"/>
      <c r="O5" s="88"/>
      <c r="P5" s="14"/>
    </row>
    <row r="6" spans="1:16" ht="24" customHeight="1" x14ac:dyDescent="0.25">
      <c r="A6" s="61" t="s">
        <v>50</v>
      </c>
      <c r="B6" s="9">
        <f>B7+B10+B12+B18+B21</f>
        <v>4092</v>
      </c>
      <c r="C6" s="9">
        <f>C7+C10+C12+C18+C21</f>
        <v>1193</v>
      </c>
      <c r="D6" s="9">
        <f>D7+D10+D12+D18+D21</f>
        <v>2899</v>
      </c>
      <c r="E6" s="10">
        <f t="shared" ref="E6:L6" si="0">E7+E10+E12+E18+E21</f>
        <v>0</v>
      </c>
      <c r="F6" s="9">
        <f t="shared" si="0"/>
        <v>1440</v>
      </c>
      <c r="G6" s="9">
        <f t="shared" si="0"/>
        <v>412</v>
      </c>
      <c r="H6" s="9">
        <f t="shared" si="0"/>
        <v>1028</v>
      </c>
      <c r="I6" s="10">
        <f t="shared" si="0"/>
        <v>0</v>
      </c>
      <c r="J6" s="9">
        <f t="shared" si="0"/>
        <v>2652</v>
      </c>
      <c r="K6" s="9">
        <f t="shared" si="0"/>
        <v>781</v>
      </c>
      <c r="L6" s="9">
        <f t="shared" si="0"/>
        <v>1871</v>
      </c>
      <c r="M6" s="62"/>
      <c r="N6" s="62"/>
      <c r="O6" s="63"/>
      <c r="P6" s="14"/>
    </row>
    <row r="7" spans="1:16" ht="21.75" customHeight="1" x14ac:dyDescent="0.25">
      <c r="A7" s="8" t="s">
        <v>11</v>
      </c>
      <c r="B7" s="9">
        <f>F7+J7</f>
        <v>806</v>
      </c>
      <c r="C7" s="9">
        <f>G7+K7</f>
        <v>599</v>
      </c>
      <c r="D7" s="9">
        <f>H7+L7</f>
        <v>207</v>
      </c>
      <c r="E7" s="10"/>
      <c r="F7" s="9">
        <f>SUM(G7:H7)</f>
        <v>350</v>
      </c>
      <c r="G7" s="9">
        <f>SUM(G8:G9)</f>
        <v>210</v>
      </c>
      <c r="H7" s="9">
        <f>SUM(H8:H9)</f>
        <v>140</v>
      </c>
      <c r="I7" s="10"/>
      <c r="J7" s="9">
        <f>SUM(K7:L7)</f>
        <v>456</v>
      </c>
      <c r="K7" s="9">
        <f>SUM(K8:K9)</f>
        <v>389</v>
      </c>
      <c r="L7" s="9">
        <f>SUM(L8:L9)</f>
        <v>67</v>
      </c>
      <c r="M7" s="11"/>
      <c r="N7" s="12"/>
      <c r="O7" s="13" t="s">
        <v>12</v>
      </c>
    </row>
    <row r="8" spans="1:16" ht="21.75" customHeight="1" x14ac:dyDescent="0.25">
      <c r="A8" s="15" t="s">
        <v>13</v>
      </c>
      <c r="B8" s="9">
        <f t="shared" ref="B8:B11" si="1">F8+J8</f>
        <v>470</v>
      </c>
      <c r="C8" s="59">
        <f t="shared" ref="C8:C20" si="2">G8+K8</f>
        <v>364</v>
      </c>
      <c r="D8" s="59">
        <f t="shared" ref="D8:D20" si="3">H8+L8</f>
        <v>106</v>
      </c>
      <c r="E8" s="17"/>
      <c r="F8" s="9">
        <f t="shared" ref="F8:F9" si="4">SUM(G8:H8)</f>
        <v>147</v>
      </c>
      <c r="G8" s="54">
        <v>85</v>
      </c>
      <c r="H8" s="54">
        <v>62</v>
      </c>
      <c r="I8" s="17"/>
      <c r="J8" s="9">
        <f t="shared" ref="J8:J9" si="5">SUM(K8:L8)</f>
        <v>323</v>
      </c>
      <c r="K8" s="54">
        <v>279</v>
      </c>
      <c r="L8" s="54">
        <v>44</v>
      </c>
      <c r="M8" s="18"/>
      <c r="N8" s="19"/>
      <c r="O8" s="20" t="s">
        <v>14</v>
      </c>
    </row>
    <row r="9" spans="1:16" ht="21.75" customHeight="1" x14ac:dyDescent="0.25">
      <c r="A9" s="15" t="s">
        <v>15</v>
      </c>
      <c r="B9" s="9">
        <f>F9+J9</f>
        <v>336</v>
      </c>
      <c r="C9" s="59">
        <f>G9+K9</f>
        <v>235</v>
      </c>
      <c r="D9" s="59">
        <f t="shared" si="3"/>
        <v>101</v>
      </c>
      <c r="E9" s="17"/>
      <c r="F9" s="9">
        <f t="shared" si="4"/>
        <v>203</v>
      </c>
      <c r="G9" s="54">
        <v>125</v>
      </c>
      <c r="H9" s="54">
        <v>78</v>
      </c>
      <c r="I9" s="17"/>
      <c r="J9" s="9">
        <f t="shared" si="5"/>
        <v>133</v>
      </c>
      <c r="K9" s="54">
        <v>110</v>
      </c>
      <c r="L9" s="54">
        <v>23</v>
      </c>
      <c r="M9" s="18"/>
      <c r="N9" s="19"/>
      <c r="O9" s="21" t="s">
        <v>16</v>
      </c>
    </row>
    <row r="10" spans="1:16" ht="21.75" customHeight="1" x14ac:dyDescent="0.25">
      <c r="A10" s="22" t="s">
        <v>17</v>
      </c>
      <c r="B10" s="9">
        <f>F10+J10</f>
        <v>2302</v>
      </c>
      <c r="C10" s="9">
        <f>G10+K10</f>
        <v>225</v>
      </c>
      <c r="D10" s="9">
        <f>H10+L10</f>
        <v>2077</v>
      </c>
      <c r="E10" s="24"/>
      <c r="F10" s="23">
        <f>SUM(F11:F11)</f>
        <v>873</v>
      </c>
      <c r="G10" s="23">
        <f>SUM(G11)</f>
        <v>109</v>
      </c>
      <c r="H10" s="23">
        <f>SUM(H11)</f>
        <v>764</v>
      </c>
      <c r="I10" s="24"/>
      <c r="J10" s="23">
        <f>SUM(J11:J11)</f>
        <v>1429</v>
      </c>
      <c r="K10" s="23">
        <f>SUM(K11)</f>
        <v>116</v>
      </c>
      <c r="L10" s="23">
        <f>SUM(L11)</f>
        <v>1313</v>
      </c>
      <c r="M10" s="18"/>
      <c r="N10" s="19"/>
      <c r="O10" s="25" t="s">
        <v>18</v>
      </c>
    </row>
    <row r="11" spans="1:16" ht="21.75" customHeight="1" x14ac:dyDescent="0.25">
      <c r="A11" s="15" t="s">
        <v>19</v>
      </c>
      <c r="B11" s="9">
        <f t="shared" si="1"/>
        <v>2302</v>
      </c>
      <c r="C11" s="59">
        <f>G11+K11</f>
        <v>225</v>
      </c>
      <c r="D11" s="59">
        <f t="shared" si="3"/>
        <v>2077</v>
      </c>
      <c r="E11" s="17"/>
      <c r="F11" s="16">
        <f>SUM(G11:H11)</f>
        <v>873</v>
      </c>
      <c r="G11" s="54">
        <v>109</v>
      </c>
      <c r="H11" s="54">
        <v>764</v>
      </c>
      <c r="I11" s="17"/>
      <c r="J11" s="16">
        <f>SUM(K11:L11)</f>
        <v>1429</v>
      </c>
      <c r="K11" s="54">
        <v>116</v>
      </c>
      <c r="L11" s="54">
        <v>1313</v>
      </c>
      <c r="M11" s="18"/>
      <c r="N11" s="19"/>
      <c r="O11" s="26" t="s">
        <v>18</v>
      </c>
    </row>
    <row r="12" spans="1:16" ht="21.75" customHeight="1" x14ac:dyDescent="0.25">
      <c r="A12" s="22" t="s">
        <v>20</v>
      </c>
      <c r="B12" s="9">
        <f>F12+J12</f>
        <v>429</v>
      </c>
      <c r="C12" s="9">
        <f t="shared" si="2"/>
        <v>217</v>
      </c>
      <c r="D12" s="9">
        <f t="shared" si="3"/>
        <v>212</v>
      </c>
      <c r="E12" s="24"/>
      <c r="F12" s="23">
        <f>SUM(G12:H12)</f>
        <v>213</v>
      </c>
      <c r="G12" s="23">
        <f>SUM(G13:G17)</f>
        <v>91</v>
      </c>
      <c r="H12" s="23">
        <f>SUM(H13:H17)</f>
        <v>122</v>
      </c>
      <c r="I12" s="24"/>
      <c r="J12" s="23">
        <f>SUM(K12:L12)</f>
        <v>216</v>
      </c>
      <c r="K12" s="23">
        <f>SUM(K13:K17)</f>
        <v>126</v>
      </c>
      <c r="L12" s="23">
        <f>SUM(L13:L17)</f>
        <v>90</v>
      </c>
      <c r="M12" s="18"/>
      <c r="N12" s="19"/>
      <c r="O12" s="27" t="s">
        <v>21</v>
      </c>
    </row>
    <row r="13" spans="1:16" ht="37.5" customHeight="1" x14ac:dyDescent="0.25">
      <c r="A13" s="28" t="s">
        <v>22</v>
      </c>
      <c r="B13" s="9">
        <f>F13+J13</f>
        <v>285</v>
      </c>
      <c r="C13" s="59">
        <f t="shared" si="2"/>
        <v>124</v>
      </c>
      <c r="D13" s="59">
        <f t="shared" si="3"/>
        <v>161</v>
      </c>
      <c r="E13" s="17"/>
      <c r="F13" s="23">
        <f t="shared" ref="F13:F16" si="6">SUM(G13:H13)</f>
        <v>119</v>
      </c>
      <c r="G13" s="54">
        <v>34</v>
      </c>
      <c r="H13" s="54">
        <v>85</v>
      </c>
      <c r="I13" s="17"/>
      <c r="J13" s="23">
        <f t="shared" ref="J13:J16" si="7">SUM(K13:L13)</f>
        <v>166</v>
      </c>
      <c r="K13" s="54">
        <v>90</v>
      </c>
      <c r="L13" s="54">
        <v>76</v>
      </c>
      <c r="M13" s="67" t="s">
        <v>23</v>
      </c>
      <c r="N13" s="67"/>
      <c r="O13" s="68"/>
    </row>
    <row r="14" spans="1:16" ht="21.75" customHeight="1" x14ac:dyDescent="0.25">
      <c r="A14" s="15" t="s">
        <v>24</v>
      </c>
      <c r="B14" s="9">
        <f t="shared" ref="B14:B19" si="8">F14+J14</f>
        <v>36</v>
      </c>
      <c r="C14" s="59">
        <f t="shared" si="2"/>
        <v>22</v>
      </c>
      <c r="D14" s="59">
        <f t="shared" si="3"/>
        <v>14</v>
      </c>
      <c r="E14" s="17"/>
      <c r="F14" s="23">
        <f t="shared" si="6"/>
        <v>23</v>
      </c>
      <c r="G14" s="54">
        <v>13</v>
      </c>
      <c r="H14" s="54">
        <v>10</v>
      </c>
      <c r="I14" s="17"/>
      <c r="J14" s="23">
        <f t="shared" si="7"/>
        <v>13</v>
      </c>
      <c r="K14" s="54">
        <v>9</v>
      </c>
      <c r="L14" s="54">
        <v>4</v>
      </c>
      <c r="M14" s="32"/>
      <c r="N14" s="33"/>
      <c r="O14" s="34" t="s">
        <v>25</v>
      </c>
    </row>
    <row r="15" spans="1:16" ht="21.75" customHeight="1" x14ac:dyDescent="0.25">
      <c r="A15" s="15" t="s">
        <v>26</v>
      </c>
      <c r="B15" s="9">
        <f t="shared" si="8"/>
        <v>77</v>
      </c>
      <c r="C15" s="59">
        <f t="shared" si="2"/>
        <v>61</v>
      </c>
      <c r="D15" s="59">
        <f t="shared" si="3"/>
        <v>16</v>
      </c>
      <c r="E15" s="17"/>
      <c r="F15" s="23">
        <f t="shared" si="6"/>
        <v>42</v>
      </c>
      <c r="G15" s="54">
        <v>34</v>
      </c>
      <c r="H15" s="54">
        <v>8</v>
      </c>
      <c r="I15" s="17"/>
      <c r="J15" s="23">
        <f t="shared" si="7"/>
        <v>35</v>
      </c>
      <c r="K15" s="54">
        <v>27</v>
      </c>
      <c r="L15" s="54">
        <v>8</v>
      </c>
      <c r="M15" s="32"/>
      <c r="N15" s="33"/>
      <c r="O15" s="34" t="s">
        <v>27</v>
      </c>
    </row>
    <row r="16" spans="1:16" ht="21.75" customHeight="1" x14ac:dyDescent="0.25">
      <c r="A16" s="15" t="s">
        <v>28</v>
      </c>
      <c r="B16" s="9">
        <f t="shared" si="8"/>
        <v>31</v>
      </c>
      <c r="C16" s="59">
        <f t="shared" si="2"/>
        <v>10</v>
      </c>
      <c r="D16" s="59">
        <f t="shared" si="3"/>
        <v>21</v>
      </c>
      <c r="E16" s="17"/>
      <c r="F16" s="23">
        <f t="shared" si="6"/>
        <v>29</v>
      </c>
      <c r="G16" s="54">
        <v>10</v>
      </c>
      <c r="H16" s="54">
        <v>19</v>
      </c>
      <c r="I16" s="17"/>
      <c r="J16" s="23">
        <f t="shared" si="7"/>
        <v>2</v>
      </c>
      <c r="K16" s="54">
        <v>0</v>
      </c>
      <c r="L16" s="54">
        <v>2</v>
      </c>
      <c r="M16" s="32"/>
      <c r="N16" s="33"/>
      <c r="O16" s="34" t="s">
        <v>29</v>
      </c>
    </row>
    <row r="17" spans="1:32" ht="21.75" customHeight="1" x14ac:dyDescent="0.25">
      <c r="A17" s="15" t="s">
        <v>30</v>
      </c>
      <c r="B17" s="16" t="s">
        <v>48</v>
      </c>
      <c r="C17" s="16" t="s">
        <v>48</v>
      </c>
      <c r="D17" s="16" t="s">
        <v>48</v>
      </c>
      <c r="E17" s="17"/>
      <c r="F17" s="16" t="s">
        <v>48</v>
      </c>
      <c r="G17" s="16" t="s">
        <v>48</v>
      </c>
      <c r="H17" s="16" t="s">
        <v>48</v>
      </c>
      <c r="I17" s="17"/>
      <c r="J17" s="16" t="s">
        <v>48</v>
      </c>
      <c r="K17" s="16" t="s">
        <v>48</v>
      </c>
      <c r="L17" s="16" t="s">
        <v>48</v>
      </c>
      <c r="M17" s="18"/>
      <c r="N17" s="19"/>
      <c r="O17" s="35" t="s">
        <v>31</v>
      </c>
    </row>
    <row r="18" spans="1:32" ht="21.75" customHeight="1" x14ac:dyDescent="0.25">
      <c r="A18" s="22" t="s">
        <v>32</v>
      </c>
      <c r="B18" s="9">
        <f>F18+J18</f>
        <v>495</v>
      </c>
      <c r="C18" s="9">
        <f t="shared" si="2"/>
        <v>151</v>
      </c>
      <c r="D18" s="9">
        <f t="shared" si="3"/>
        <v>344</v>
      </c>
      <c r="E18" s="24"/>
      <c r="F18" s="23">
        <f>SUM(G18:H18)</f>
        <v>4</v>
      </c>
      <c r="G18" s="23">
        <f>SUM(G19:G21)</f>
        <v>2</v>
      </c>
      <c r="H18" s="23">
        <f>SUM(H19:H21)</f>
        <v>2</v>
      </c>
      <c r="I18" s="24"/>
      <c r="J18" s="23">
        <f>SUM(K18:L18)</f>
        <v>491</v>
      </c>
      <c r="K18" s="23">
        <f>SUM(K19:K20)</f>
        <v>149</v>
      </c>
      <c r="L18" s="23">
        <f>SUM(L19:L20)</f>
        <v>342</v>
      </c>
      <c r="M18" s="18"/>
      <c r="N18" s="19"/>
      <c r="O18" s="27" t="s">
        <v>33</v>
      </c>
    </row>
    <row r="19" spans="1:32" ht="21.75" customHeight="1" x14ac:dyDescent="0.25">
      <c r="A19" s="15" t="s">
        <v>34</v>
      </c>
      <c r="B19" s="9">
        <f t="shared" si="8"/>
        <v>236</v>
      </c>
      <c r="C19" s="59">
        <f t="shared" si="2"/>
        <v>107</v>
      </c>
      <c r="D19" s="59">
        <f t="shared" si="3"/>
        <v>129</v>
      </c>
      <c r="E19" s="17"/>
      <c r="F19" s="23">
        <f t="shared" ref="F19:F20" si="9">SUM(G19:H19)</f>
        <v>4</v>
      </c>
      <c r="G19" s="54">
        <v>2</v>
      </c>
      <c r="H19" s="54">
        <v>2</v>
      </c>
      <c r="I19" s="17"/>
      <c r="J19" s="23">
        <f t="shared" ref="J19:J23" si="10">SUM(K19:L19)</f>
        <v>232</v>
      </c>
      <c r="K19" s="54">
        <v>105</v>
      </c>
      <c r="L19" s="54">
        <v>127</v>
      </c>
      <c r="M19" s="18"/>
      <c r="N19" s="19"/>
      <c r="O19" s="34" t="s">
        <v>35</v>
      </c>
    </row>
    <row r="20" spans="1:32" ht="21.75" customHeight="1" x14ac:dyDescent="0.25">
      <c r="A20" s="15" t="s">
        <v>36</v>
      </c>
      <c r="B20" s="9">
        <f>F20+J20</f>
        <v>259</v>
      </c>
      <c r="C20" s="59">
        <f t="shared" si="2"/>
        <v>44</v>
      </c>
      <c r="D20" s="59">
        <f t="shared" si="3"/>
        <v>215</v>
      </c>
      <c r="E20" s="17"/>
      <c r="F20" s="23">
        <f t="shared" si="9"/>
        <v>0</v>
      </c>
      <c r="G20" s="54">
        <v>0</v>
      </c>
      <c r="H20" s="54">
        <v>0</v>
      </c>
      <c r="I20" s="17"/>
      <c r="J20" s="23">
        <f t="shared" si="10"/>
        <v>259</v>
      </c>
      <c r="K20" s="54">
        <v>44</v>
      </c>
      <c r="L20" s="54">
        <v>215</v>
      </c>
      <c r="M20" s="18"/>
      <c r="N20" s="19"/>
      <c r="O20" s="34" t="s">
        <v>37</v>
      </c>
    </row>
    <row r="21" spans="1:32" ht="21.75" customHeight="1" x14ac:dyDescent="0.25">
      <c r="A21" s="22" t="s">
        <v>38</v>
      </c>
      <c r="B21" s="9">
        <f>F21+J21</f>
        <v>60</v>
      </c>
      <c r="C21" s="9">
        <f t="shared" ref="C21:D23" si="11">G21+K21</f>
        <v>1</v>
      </c>
      <c r="D21" s="9">
        <f t="shared" si="11"/>
        <v>59</v>
      </c>
      <c r="E21" s="24"/>
      <c r="F21" s="23">
        <f>SUM(F22:F23)</f>
        <v>0</v>
      </c>
      <c r="G21" s="23">
        <f>SUM(G22:G23)</f>
        <v>0</v>
      </c>
      <c r="H21" s="23">
        <f>SUM(H22:H23)</f>
        <v>0</v>
      </c>
      <c r="I21" s="24"/>
      <c r="J21" s="23">
        <f t="shared" si="10"/>
        <v>60</v>
      </c>
      <c r="K21" s="23">
        <f>SUM(K22:K23)</f>
        <v>1</v>
      </c>
      <c r="L21" s="23">
        <f>SUM(L22:L23)</f>
        <v>59</v>
      </c>
      <c r="M21" s="18"/>
      <c r="N21" s="19"/>
      <c r="O21" s="27" t="s">
        <v>39</v>
      </c>
    </row>
    <row r="22" spans="1:32" ht="21.75" customHeight="1" x14ac:dyDescent="0.25">
      <c r="A22" s="15" t="s">
        <v>40</v>
      </c>
      <c r="B22" s="9">
        <f t="shared" ref="B22:B23" si="12">F22+J22</f>
        <v>60</v>
      </c>
      <c r="C22" s="59">
        <f t="shared" si="11"/>
        <v>1</v>
      </c>
      <c r="D22" s="59">
        <f t="shared" si="11"/>
        <v>59</v>
      </c>
      <c r="E22" s="17"/>
      <c r="F22" s="16">
        <f>SUM(G22:H22)</f>
        <v>0</v>
      </c>
      <c r="G22" s="16">
        <v>0</v>
      </c>
      <c r="H22" s="16">
        <v>0</v>
      </c>
      <c r="I22" s="17"/>
      <c r="J22" s="23">
        <f t="shared" si="10"/>
        <v>60</v>
      </c>
      <c r="K22" s="54">
        <v>1</v>
      </c>
      <c r="L22" s="54">
        <v>59</v>
      </c>
      <c r="M22" s="18"/>
      <c r="N22" s="19"/>
      <c r="O22" s="34" t="s">
        <v>41</v>
      </c>
    </row>
    <row r="23" spans="1:32" ht="21.75" customHeight="1" x14ac:dyDescent="0.25">
      <c r="A23" s="36" t="s">
        <v>42</v>
      </c>
      <c r="B23" s="9">
        <f t="shared" si="12"/>
        <v>0</v>
      </c>
      <c r="C23" s="59">
        <f t="shared" si="11"/>
        <v>0</v>
      </c>
      <c r="D23" s="37">
        <f t="shared" si="11"/>
        <v>0</v>
      </c>
      <c r="E23" s="38"/>
      <c r="F23" s="37">
        <f>SUM(G23:H23)</f>
        <v>0</v>
      </c>
      <c r="G23" s="37">
        <v>0</v>
      </c>
      <c r="H23" s="37">
        <v>0</v>
      </c>
      <c r="I23" s="38"/>
      <c r="J23" s="57">
        <f t="shared" si="10"/>
        <v>0</v>
      </c>
      <c r="K23" s="55">
        <v>0</v>
      </c>
      <c r="L23" s="55">
        <v>0</v>
      </c>
      <c r="M23" s="39"/>
      <c r="N23" s="40"/>
      <c r="O23" s="41" t="s">
        <v>43</v>
      </c>
    </row>
    <row r="24" spans="1:32" ht="16.5" customHeight="1" x14ac:dyDescent="0.25">
      <c r="A24" s="69" t="s">
        <v>49</v>
      </c>
      <c r="B24" s="70"/>
      <c r="C24" s="71"/>
      <c r="D24" s="56"/>
      <c r="E24" s="56"/>
      <c r="F24" s="56"/>
      <c r="G24" s="56"/>
      <c r="H24" s="56"/>
      <c r="I24" s="56"/>
      <c r="J24" s="56"/>
      <c r="K24" s="56"/>
      <c r="O24" s="42" t="s">
        <v>44</v>
      </c>
    </row>
    <row r="25" spans="1:32" ht="16.5" customHeight="1" x14ac:dyDescent="0.25">
      <c r="A25" s="43" t="s">
        <v>45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  <c r="O25" s="46" t="s">
        <v>46</v>
      </c>
    </row>
    <row r="26" spans="1:32" ht="16.5" customHeight="1" x14ac:dyDescent="0.25">
      <c r="A26" s="58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0"/>
      <c r="N26" s="51"/>
      <c r="O26" s="52"/>
    </row>
    <row r="27" spans="1:32" ht="16.5" customHeight="1" x14ac:dyDescent="0.25">
      <c r="A27" s="48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50"/>
      <c r="N27" s="51"/>
      <c r="O27" s="52"/>
    </row>
    <row r="28" spans="1:32" ht="15" x14ac:dyDescent="0.25">
      <c r="B28" s="30"/>
      <c r="F28" s="53"/>
      <c r="G28" s="30"/>
      <c r="H28" s="30"/>
      <c r="I28" s="30"/>
      <c r="J28" s="30"/>
      <c r="K28" s="30"/>
      <c r="L28" s="30"/>
      <c r="M28" s="45"/>
    </row>
    <row r="29" spans="1:32" ht="19.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30"/>
      <c r="L29" s="30"/>
      <c r="M29" s="45"/>
    </row>
    <row r="30" spans="1:32" ht="19.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30"/>
      <c r="L30" s="30"/>
      <c r="M30" s="45"/>
      <c r="AF30" s="60">
        <f>B7+B10+B12+B18+B21</f>
        <v>4092</v>
      </c>
    </row>
    <row r="31" spans="1:32" ht="19.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30"/>
      <c r="L31" s="30"/>
      <c r="M31" s="45"/>
      <c r="AC31" s="29" t="s">
        <v>11</v>
      </c>
      <c r="AD31" s="47">
        <f>B7/AF30*100</f>
        <v>19.696969696969695</v>
      </c>
    </row>
    <row r="32" spans="1:32" ht="19.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AC32" s="29" t="s">
        <v>17</v>
      </c>
      <c r="AD32" s="47">
        <f>B10/AF30*100</f>
        <v>56.256109481915942</v>
      </c>
    </row>
    <row r="33" spans="1:35" ht="19.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AC33" s="29" t="s">
        <v>20</v>
      </c>
      <c r="AD33" s="47">
        <f>B12/AF30*100</f>
        <v>10.483870967741936</v>
      </c>
    </row>
    <row r="34" spans="1:35" ht="19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AC34" s="29" t="s">
        <v>32</v>
      </c>
      <c r="AD34" s="47">
        <f>B18/AF30*100</f>
        <v>12.096774193548388</v>
      </c>
    </row>
    <row r="35" spans="1:35" ht="19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AC35" s="29" t="s">
        <v>38</v>
      </c>
      <c r="AD35" s="47">
        <f>B21/AF30*100</f>
        <v>1.466275659824047</v>
      </c>
    </row>
    <row r="36" spans="1:35" ht="19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41" spans="1:35" ht="19.5" customHeight="1" x14ac:dyDescent="0.25">
      <c r="AF41" s="64" t="s">
        <v>0</v>
      </c>
      <c r="AG41" s="65"/>
      <c r="AH41" s="66" t="s">
        <v>47</v>
      </c>
      <c r="AI41" s="66"/>
    </row>
    <row r="42" spans="1:35" ht="19.5" customHeight="1" x14ac:dyDescent="0.25">
      <c r="AF42" s="6" t="s">
        <v>9</v>
      </c>
      <c r="AG42" s="6" t="s">
        <v>10</v>
      </c>
      <c r="AH42" s="6" t="s">
        <v>9</v>
      </c>
      <c r="AI42" s="6" t="s">
        <v>10</v>
      </c>
    </row>
    <row r="43" spans="1:35" ht="19.5" customHeight="1" x14ac:dyDescent="0.25">
      <c r="AE43" s="8" t="s">
        <v>11</v>
      </c>
      <c r="AF43" s="9">
        <f>G7</f>
        <v>210</v>
      </c>
      <c r="AG43" s="9">
        <f>H7</f>
        <v>140</v>
      </c>
      <c r="AH43" s="9">
        <f>K7</f>
        <v>389</v>
      </c>
      <c r="AI43" s="9">
        <f>L7</f>
        <v>67</v>
      </c>
    </row>
    <row r="44" spans="1:35" ht="15" x14ac:dyDescent="0.25">
      <c r="AE44" s="1" t="s">
        <v>17</v>
      </c>
      <c r="AF44" s="60">
        <f>G10</f>
        <v>109</v>
      </c>
      <c r="AG44" s="60">
        <f>H10</f>
        <v>764</v>
      </c>
      <c r="AH44" s="60">
        <f>K10</f>
        <v>116</v>
      </c>
      <c r="AI44" s="60">
        <f>L10</f>
        <v>1313</v>
      </c>
    </row>
    <row r="45" spans="1:35" ht="15" x14ac:dyDescent="0.25">
      <c r="AE45" s="1" t="s">
        <v>20</v>
      </c>
      <c r="AF45" s="60">
        <f>G12</f>
        <v>91</v>
      </c>
      <c r="AG45" s="60">
        <f>H12</f>
        <v>122</v>
      </c>
      <c r="AH45" s="60">
        <f>K12</f>
        <v>126</v>
      </c>
      <c r="AI45" s="60">
        <f>L12</f>
        <v>90</v>
      </c>
    </row>
    <row r="46" spans="1:35" ht="15" x14ac:dyDescent="0.25">
      <c r="AE46" s="1" t="s">
        <v>32</v>
      </c>
      <c r="AF46" s="60">
        <f>G18</f>
        <v>2</v>
      </c>
      <c r="AG46" s="60">
        <f>H18</f>
        <v>2</v>
      </c>
      <c r="AH46" s="60">
        <f>K18</f>
        <v>149</v>
      </c>
      <c r="AI46" s="60">
        <f>L18</f>
        <v>342</v>
      </c>
    </row>
    <row r="47" spans="1:35" ht="15" x14ac:dyDescent="0.25">
      <c r="AE47" s="1" t="s">
        <v>38</v>
      </c>
      <c r="AF47" s="60">
        <f>G21</f>
        <v>0</v>
      </c>
      <c r="AG47" s="60">
        <f>H21</f>
        <v>0</v>
      </c>
      <c r="AH47" s="60">
        <f>K21</f>
        <v>1</v>
      </c>
      <c r="AI47" s="60">
        <f>L21</f>
        <v>59</v>
      </c>
    </row>
    <row r="48" spans="1:35" ht="15" x14ac:dyDescent="0.25"/>
    <row r="49" spans="1:12" ht="15" x14ac:dyDescent="0.25"/>
    <row r="50" spans="1:12" ht="15" x14ac:dyDescent="0.25"/>
    <row r="55" spans="1:12" ht="15" x14ac:dyDescent="0.25">
      <c r="A55" s="1"/>
      <c r="B55" s="1"/>
      <c r="C55" s="1"/>
      <c r="D55" s="1"/>
    </row>
    <row r="56" spans="1:12" ht="15" x14ac:dyDescent="0.25">
      <c r="A56" s="1"/>
      <c r="B56" s="1"/>
      <c r="C56" s="1"/>
      <c r="D56" s="1"/>
    </row>
    <row r="57" spans="1:12" ht="15" x14ac:dyDescent="0.25">
      <c r="A57" s="1"/>
      <c r="B57" s="1"/>
      <c r="C57" s="1"/>
      <c r="D57" s="1"/>
    </row>
    <row r="58" spans="1:1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</sheetData>
  <mergeCells count="11">
    <mergeCell ref="AF41:AG41"/>
    <mergeCell ref="AH41:AI41"/>
    <mergeCell ref="M13:O13"/>
    <mergeCell ref="A24:C24"/>
    <mergeCell ref="A1:O1"/>
    <mergeCell ref="A2:O2"/>
    <mergeCell ref="A4:A5"/>
    <mergeCell ref="B4:D4"/>
    <mergeCell ref="F4:H4"/>
    <mergeCell ref="J4:L4"/>
    <mergeCell ref="M4:O5"/>
  </mergeCells>
  <pageMargins left="0.7" right="0.7" top="0.75" bottom="0.75" header="0.3" footer="0.3"/>
  <pageSetup paperSize="9" scale="81" orientation="landscape" horizontalDpi="4294967295" verticalDpi="4294967295" r:id="rId1"/>
  <rowBreaks count="1" manualBreakCount="1">
    <brk id="25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6.1</vt:lpstr>
      <vt:lpstr>'6.1'!Print_Area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2016-09-20T07:47:46Z</cp:lastPrinted>
  <dcterms:created xsi:type="dcterms:W3CDTF">2014-03-04T09:17:57Z</dcterms:created>
  <dcterms:modified xsi:type="dcterms:W3CDTF">2016-09-20T07:47:49Z</dcterms:modified>
</cp:coreProperties>
</file>