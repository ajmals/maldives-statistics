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17" sheetId="25" r:id="rId1"/>
  </sheets>
  <definedNames>
    <definedName name="_xlnm.Print_Area" localSheetId="0">'6.17'!$A$1:$O$240</definedName>
    <definedName name="_xlnm.Print_Titles" localSheetId="0">'6.17'!$3:$4</definedName>
  </definedNames>
  <calcPr calcId="144525"/>
</workbook>
</file>

<file path=xl/calcChain.xml><?xml version="1.0" encoding="utf-8"?>
<calcChain xmlns="http://schemas.openxmlformats.org/spreadsheetml/2006/main">
  <c r="C5" i="25" l="1"/>
  <c r="D5" i="25"/>
  <c r="E5" i="25"/>
  <c r="F5" i="25"/>
  <c r="G5" i="25"/>
  <c r="H5" i="25"/>
  <c r="I5" i="25"/>
  <c r="J5" i="25"/>
  <c r="K5" i="25"/>
  <c r="L5" i="25"/>
  <c r="M5" i="25"/>
  <c r="N5" i="25"/>
  <c r="O5" i="25"/>
  <c r="B5" i="25"/>
  <c r="B6" i="25"/>
  <c r="O231" i="25"/>
  <c r="N231" i="25"/>
  <c r="M231" i="25"/>
  <c r="L231" i="25"/>
  <c r="K231" i="25"/>
  <c r="J231" i="25"/>
  <c r="I231" i="25"/>
  <c r="H231" i="25"/>
  <c r="G231" i="25"/>
  <c r="F231" i="25"/>
  <c r="E231" i="25"/>
  <c r="D231" i="25"/>
  <c r="C231" i="25"/>
  <c r="B231" i="25"/>
  <c r="O217" i="25"/>
  <c r="N217" i="25"/>
  <c r="M217" i="25"/>
  <c r="L217" i="25"/>
  <c r="K217" i="25"/>
  <c r="J217" i="25"/>
  <c r="I217" i="25"/>
  <c r="H217" i="25"/>
  <c r="G217" i="25"/>
  <c r="F217" i="25"/>
  <c r="E217" i="25"/>
  <c r="D217" i="25"/>
  <c r="C217" i="25"/>
  <c r="B217" i="25"/>
  <c r="O205" i="25"/>
  <c r="N205" i="25"/>
  <c r="M205" i="25"/>
  <c r="L205" i="25"/>
  <c r="K205" i="25"/>
  <c r="J205" i="25"/>
  <c r="I205" i="25"/>
  <c r="H205" i="25"/>
  <c r="G205" i="25"/>
  <c r="F205" i="25"/>
  <c r="E205" i="25"/>
  <c r="D205" i="25"/>
  <c r="C205" i="25"/>
  <c r="B205" i="25"/>
  <c r="O191" i="25"/>
  <c r="N191" i="25"/>
  <c r="M191" i="25"/>
  <c r="L191" i="25"/>
  <c r="K191" i="25"/>
  <c r="J191" i="25"/>
  <c r="I191" i="25"/>
  <c r="H191" i="25"/>
  <c r="G191" i="25"/>
  <c r="F191" i="25"/>
  <c r="E191" i="25"/>
  <c r="D191" i="25"/>
  <c r="C191" i="25"/>
  <c r="B191" i="25"/>
  <c r="O176" i="25"/>
  <c r="N176" i="25"/>
  <c r="M176" i="25"/>
  <c r="L176" i="25"/>
  <c r="K176" i="25"/>
  <c r="J176" i="25"/>
  <c r="I176" i="25"/>
  <c r="H176" i="25"/>
  <c r="G176" i="25"/>
  <c r="F176" i="25"/>
  <c r="E176" i="25"/>
  <c r="D176" i="25"/>
  <c r="C176" i="25"/>
  <c r="B176" i="25"/>
  <c r="O167" i="25"/>
  <c r="N167" i="25"/>
  <c r="M167" i="25"/>
  <c r="L167" i="25"/>
  <c r="K167" i="25"/>
  <c r="J167" i="25"/>
  <c r="I167" i="25"/>
  <c r="H167" i="25"/>
  <c r="G167" i="25"/>
  <c r="F167" i="25"/>
  <c r="E167" i="25"/>
  <c r="D167" i="25"/>
  <c r="C167" i="25"/>
  <c r="B167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</calcChain>
</file>

<file path=xl/sharedStrings.xml><?xml version="1.0" encoding="utf-8"?>
<sst xmlns="http://schemas.openxmlformats.org/spreadsheetml/2006/main" count="238" uniqueCount="211">
  <si>
    <t>Total</t>
  </si>
  <si>
    <t>Table 6.17: TOTAL NO. OF REPORTED CASES BY SELECTED DISEASES BY ISLAND, 2015</t>
  </si>
  <si>
    <t xml:space="preserve">Locality </t>
  </si>
  <si>
    <t xml:space="preserve">Acute Respiratory Infection </t>
  </si>
  <si>
    <t>Viral Fever</t>
  </si>
  <si>
    <t xml:space="preserve">Diarrhoea </t>
  </si>
  <si>
    <t>Measles</t>
  </si>
  <si>
    <t>Scrub Typhus</t>
  </si>
  <si>
    <t>*Dengue Fever</t>
  </si>
  <si>
    <t xml:space="preserve">**Typhoid </t>
  </si>
  <si>
    <t>Under 5 years</t>
  </si>
  <si>
    <t>Above 5 years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</si>
  <si>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</si>
  <si>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</si>
  <si>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</si>
  <si>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</si>
  <si>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</si>
  <si>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</si>
  <si>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</si>
  <si>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</si>
  <si>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</si>
  <si>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</si>
  <si>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</si>
  <si>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</si>
  <si>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</si>
  <si>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</si>
  <si>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</si>
  <si>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</si>
  <si>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</si>
  <si>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</si>
  <si>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</si>
  <si>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</si>
  <si>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</si>
  <si>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</si>
  <si>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</si>
  <si>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</si>
  <si>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Kurinbi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</si>
  <si>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</si>
  <si>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</si>
  <si>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</si>
  <si>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</si>
  <si>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</si>
  <si>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</si>
  <si>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</si>
  <si>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</si>
  <si>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</si>
  <si>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</si>
  <si>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</si>
  <si>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</si>
  <si>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</si>
  <si>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</si>
  <si>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</si>
  <si>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</si>
  <si>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</si>
  <si>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</si>
  <si>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</si>
  <si>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</si>
  <si>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</si>
  <si>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r>
      <t xml:space="preserve">Milandhoo </t>
    </r>
    <r>
      <rPr>
        <vertAlign val="superscript"/>
        <sz val="11"/>
        <color indexed="63"/>
        <rFont val="Calibri"/>
        <family val="2"/>
      </rPr>
      <t>3_/</t>
    </r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</si>
  <si>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</si>
  <si>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</si>
  <si>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</si>
  <si>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</si>
  <si>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</si>
  <si>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</si>
  <si>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</si>
  <si>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</si>
  <si>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</si>
  <si>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</si>
  <si>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</si>
  <si>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</si>
  <si>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</si>
  <si>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</si>
  <si>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</si>
  <si>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Un'goofaaru</t>
  </si>
  <si>
    <t>Alifushi</t>
  </si>
  <si>
    <t>Vaadhoo</t>
  </si>
  <si>
    <t>Rasgetheemu</t>
  </si>
  <si>
    <t>An'golhitheemu</t>
  </si>
  <si>
    <t>Fainu</t>
  </si>
  <si>
    <t>Meedhoo</t>
  </si>
  <si>
    <t>Rasmaadhoo</t>
  </si>
  <si>
    <t>Kinolhas</t>
  </si>
  <si>
    <r>
      <t xml:space="preserve">Dhuvaafaru  </t>
    </r>
    <r>
      <rPr>
        <sz val="11"/>
        <color indexed="63"/>
        <rFont val="Calibri"/>
        <family val="2"/>
      </rPr>
      <t>3_/</t>
    </r>
  </si>
  <si>
    <t>Innamaadhoo</t>
  </si>
  <si>
    <t>Maduvvari</t>
  </si>
  <si>
    <t>Hulhudhuffaaru</t>
  </si>
  <si>
    <t>Maakurathu</t>
  </si>
  <si>
    <t>In'guraidhoo</t>
  </si>
  <si>
    <t>South Maalhosmadulu (B)</t>
  </si>
  <si>
    <t>Eydhafushi</t>
  </si>
  <si>
    <t>Kudarikilu</t>
  </si>
  <si>
    <t>Kamadhoo</t>
  </si>
  <si>
    <t>Dhonfanu</t>
  </si>
  <si>
    <t>Kihaadhoo</t>
  </si>
  <si>
    <t>Maalhos</t>
  </si>
  <si>
    <t>Fulhadhoo</t>
  </si>
  <si>
    <t>Fehendhoo</t>
  </si>
  <si>
    <t>Thulhaadhoo</t>
  </si>
  <si>
    <t>Hithaadhoo</t>
  </si>
  <si>
    <t>Kendhoo</t>
  </si>
  <si>
    <t>Daravandhoo</t>
  </si>
  <si>
    <t>Faadhippolhu (Lh)</t>
  </si>
  <si>
    <t>Naifaru</t>
  </si>
  <si>
    <t>Hinnavaru</t>
  </si>
  <si>
    <t>Kurendhoo</t>
  </si>
  <si>
    <t>Olhuvelifushi</t>
  </si>
  <si>
    <t>Male' Atoll (K)</t>
  </si>
  <si>
    <t>Thulusdhoo</t>
  </si>
  <si>
    <t>Guraidhoo</t>
  </si>
  <si>
    <t>Huraa</t>
  </si>
  <si>
    <t>Maafushi</t>
  </si>
  <si>
    <t>Himmafushi</t>
  </si>
  <si>
    <t>Kaashidhoo</t>
  </si>
  <si>
    <t>Gulhi</t>
  </si>
  <si>
    <t>Dhiffushi</t>
  </si>
  <si>
    <t>Gaafaru</t>
  </si>
  <si>
    <t>North Ari Atoll (AA)</t>
  </si>
  <si>
    <t>Rasdhoo</t>
  </si>
  <si>
    <t>Feridhoo</t>
  </si>
  <si>
    <t>Thoddoo</t>
  </si>
  <si>
    <t>Mathiveri</t>
  </si>
  <si>
    <t>Bodufolhudhoo</t>
  </si>
  <si>
    <t>Ukulhas</t>
  </si>
  <si>
    <t>Himandhoo</t>
  </si>
  <si>
    <t>South Ari Atoll (ADh)</t>
  </si>
  <si>
    <t>Hangn'aameedhoo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</si>
  <si>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</si>
  <si>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</si>
  <si>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</si>
  <si>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</si>
  <si>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</si>
  <si>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</si>
  <si>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</si>
  <si>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</si>
  <si>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</si>
  <si>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</si>
  <si>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</si>
  <si>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</si>
  <si>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</si>
  <si>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</si>
  <si>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</si>
  <si>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</si>
  <si>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r>
      <t xml:space="preserve">Madifushi </t>
    </r>
    <r>
      <rPr>
        <vertAlign val="superscript"/>
        <sz val="11"/>
        <color indexed="63"/>
        <rFont val="Calibri"/>
        <family val="2"/>
      </rPr>
      <t>2_/</t>
    </r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</si>
  <si>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</si>
  <si>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</si>
  <si>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</si>
  <si>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</si>
  <si>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</si>
  <si>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</si>
  <si>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</si>
  <si>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Nilandhoo</t>
  </si>
  <si>
    <t>Dharan'boodhoo</t>
  </si>
  <si>
    <t>Biledhhdhoo</t>
  </si>
  <si>
    <t>Feali</t>
  </si>
  <si>
    <t>South Nilandhe Atoll (Dh)</t>
  </si>
  <si>
    <t>Ban'didhoo</t>
  </si>
  <si>
    <t>Rin'budhoo</t>
  </si>
  <si>
    <t>Hulhudeli</t>
  </si>
  <si>
    <t>Vaani</t>
  </si>
  <si>
    <t>Maaen'boodhoo</t>
  </si>
  <si>
    <t>Kudahuvadhoo</t>
  </si>
  <si>
    <t>Kolhumadulu (Th)</t>
  </si>
  <si>
    <t>Veymandoo</t>
  </si>
  <si>
    <t>Thimarafushi</t>
  </si>
  <si>
    <t>Madifushi</t>
  </si>
  <si>
    <t>Hirilandhoo</t>
  </si>
  <si>
    <t>Buruni</t>
  </si>
  <si>
    <r>
      <t xml:space="preserve">Vilufushi </t>
    </r>
    <r>
      <rPr>
        <vertAlign val="superscript"/>
        <sz val="11"/>
        <color indexed="63"/>
        <rFont val="Calibri"/>
        <family val="2"/>
      </rPr>
      <t>2_/</t>
    </r>
  </si>
  <si>
    <t>Vandhoo</t>
  </si>
  <si>
    <t>Gaadhiffushi</t>
  </si>
  <si>
    <t>Kinbidhoo</t>
  </si>
  <si>
    <t>Kan'doodhoo</t>
  </si>
  <si>
    <t>Dhiyamigili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</si>
  <si>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</si>
  <si>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</si>
  <si>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</si>
  <si>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</si>
  <si>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</si>
  <si>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</si>
  <si>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</si>
  <si>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</si>
  <si>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</si>
  <si>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</si>
  <si>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</si>
  <si>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</si>
  <si>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Kalhaidhoo</t>
  </si>
  <si>
    <t>North Huvadhu Atoll (GA)</t>
  </si>
  <si>
    <t>Viligili</t>
  </si>
  <si>
    <t>Kolamaafushi</t>
  </si>
  <si>
    <t>Devvadhoo</t>
  </si>
  <si>
    <t>Dhaandhoo</t>
  </si>
  <si>
    <t>Kodey</t>
  </si>
  <si>
    <t>Gemanafushi</t>
  </si>
  <si>
    <t>Kandhuhulhudhoo</t>
  </si>
  <si>
    <t xml:space="preserve">Dhiyadhoo 2_/  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</si>
  <si>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</si>
  <si>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</si>
  <si>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</si>
  <si>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</si>
  <si>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</si>
  <si>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</si>
  <si>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</si>
  <si>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</si>
  <si>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</si>
  <si>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</si>
  <si>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</si>
  <si>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</si>
  <si>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Maradhoofeydhoo</t>
  </si>
  <si>
    <t>Hulhudhoo</t>
  </si>
  <si>
    <t>Source: Centre for Community Health and Disease Control / EPI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</si>
</sst>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9" formatCode="_-* #,##0.00\ _ރ_._-;_-* #,##0.00\ _ރ_.\-;_-* &quot;-&quot;??\ _ރ_._-;_-@_-"/>
    <numFmt numFmtId="170" formatCode="0.00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vertAlign val="superscript"/>
      <sz val="11"/>
      <color indexed="63"/>
      <name val="Calibri"/>
      <family val="2"/>
    </font>
    <font>
      <sz val="11"/>
      <color indexed="63"/>
      <name val="Calibri"/>
      <family val="2"/>
    </font>
    <font>
      <b/>
      <i/>
      <sz val="11"/>
      <color theme="1" tint="0.1499984740745262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1" fillId="0" borderId="0"/>
    <xf numFmtId="164" fontId="5" fillId="0" borderId="0"/>
    <xf numFmtId="169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3" applyNumberFormat="0" applyAlignment="0" applyProtection="0"/>
    <xf numFmtId="0" fontId="14" fillId="22" borderId="4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3" applyNumberFormat="0" applyAlignment="0" applyProtection="0"/>
    <xf numFmtId="0" fontId="21" fillId="0" borderId="8" applyNumberFormat="0" applyFill="0" applyAlignment="0" applyProtection="0"/>
    <xf numFmtId="0" fontId="22" fillId="23" borderId="0" applyNumberFormat="0" applyBorder="0" applyAlignment="0" applyProtection="0"/>
    <xf numFmtId="170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4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9" applyNumberFormat="0" applyFont="0" applyAlignment="0" applyProtection="0"/>
    <xf numFmtId="0" fontId="23" fillId="21" borderId="10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25" fillId="0" borderId="0" applyNumberFormat="0" applyFill="0" applyBorder="0" applyAlignment="0" applyProtection="0"/>
    <xf numFmtId="164" fontId="5" fillId="0" borderId="0"/>
    <xf numFmtId="164" fontId="5" fillId="0" borderId="0"/>
    <xf numFmtId="0" fontId="2" fillId="0" borderId="0"/>
    <xf numFmtId="0" fontId="2" fillId="0" borderId="0"/>
  </cellStyleXfs>
  <cellXfs count="32">
    <xf numFmtId="0" fontId="0" fillId="0" borderId="0" xfId="0"/>
    <xf numFmtId="164" fontId="28" fillId="2" borderId="0" xfId="0" applyNumberFormat="1" applyFont="1" applyFill="1" applyBorder="1"/>
    <xf numFmtId="3" fontId="3" fillId="2" borderId="0" xfId="62" applyNumberFormat="1" applyFont="1" applyFill="1" applyBorder="1" applyAlignment="1" applyProtection="1">
      <alignment horizontal="left" vertical="center"/>
    </xf>
    <xf numFmtId="3" fontId="30" fillId="2" borderId="0" xfId="63" applyNumberFormat="1" applyFont="1" applyFill="1" applyBorder="1"/>
    <xf numFmtId="3" fontId="29" fillId="2" borderId="0" xfId="63" applyNumberFormat="1" applyFont="1" applyFill="1" applyBorder="1"/>
    <xf numFmtId="3" fontId="30" fillId="2" borderId="0" xfId="63" applyNumberFormat="1" applyFont="1" applyFill="1" applyBorder="1" applyAlignment="1">
      <alignment vertical="center"/>
    </xf>
    <xf numFmtId="3" fontId="33" fillId="2" borderId="0" xfId="63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horizontal="center"/>
    </xf>
    <xf numFmtId="164" fontId="4" fillId="2" borderId="0" xfId="1" applyNumberFormat="1" applyFont="1" applyFill="1" applyBorder="1" applyAlignment="1" applyProtection="1">
      <alignment horizontal="left" vertical="center"/>
    </xf>
    <xf numFmtId="164" fontId="1" fillId="2" borderId="0" xfId="0" applyNumberFormat="1" applyFont="1" applyFill="1" applyBorder="1"/>
    <xf numFmtId="164" fontId="1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/>
    </xf>
    <xf numFmtId="3" fontId="30" fillId="2" borderId="2" xfId="63" applyNumberFormat="1" applyFont="1" applyFill="1" applyBorder="1"/>
    <xf numFmtId="3" fontId="30" fillId="2" borderId="1" xfId="63" applyNumberFormat="1" applyFont="1" applyFill="1" applyBorder="1"/>
    <xf numFmtId="3" fontId="28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3" fontId="27" fillId="2" borderId="0" xfId="0" applyNumberFormat="1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/>
    </xf>
    <xf numFmtId="3" fontId="27" fillId="2" borderId="2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right" vertical="center" wrapText="1"/>
    </xf>
    <xf numFmtId="3" fontId="28" fillId="2" borderId="0" xfId="0" applyNumberFormat="1" applyFont="1" applyFill="1" applyBorder="1" applyAlignment="1">
      <alignment horizontal="right"/>
    </xf>
    <xf numFmtId="3" fontId="27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164" fontId="28" fillId="2" borderId="12" xfId="0" applyNumberFormat="1" applyFont="1" applyFill="1" applyBorder="1" applyAlignment="1">
      <alignment horizontal="right" vertical="center" wrapText="1"/>
    </xf>
    <xf numFmtId="164" fontId="28" fillId="2" borderId="14" xfId="0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 applyBorder="1"/>
    <xf numFmtId="164" fontId="26" fillId="2" borderId="0" xfId="0" applyNumberFormat="1" applyFont="1" applyFill="1" applyBorder="1" applyAlignment="1">
      <alignment horizontal="center" vertical="center"/>
    </xf>
    <xf numFmtId="164" fontId="28" fillId="2" borderId="13" xfId="0" applyNumberFormat="1" applyFont="1" applyFill="1" applyBorder="1" applyAlignment="1">
      <alignment horizontal="center" vertical="center"/>
    </xf>
    <xf numFmtId="164" fontId="28" fillId="2" borderId="12" xfId="0" applyNumberFormat="1" applyFont="1" applyFill="1" applyBorder="1" applyAlignment="1">
      <alignment horizontal="center" vertical="center" wrapText="1"/>
    </xf>
    <xf numFmtId="164" fontId="28" fillId="2" borderId="12" xfId="0" applyNumberFormat="1" applyFont="1" applyFill="1" applyBorder="1" applyAlignment="1">
      <alignment horizontal="center" vertical="center"/>
    </xf>
    <xf numFmtId="164" fontId="28" fillId="2" borderId="14" xfId="0" applyNumberFormat="1" applyFont="1" applyFill="1" applyBorder="1" applyAlignment="1">
      <alignment horizontal="center" vertical="center"/>
    </xf>
  </cellXfs>
  <cellStyles count="64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rmal_II-15(Population) 2" xfId="63"/>
    <cellStyle name="Normal_immunization" xfId="62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9"/>
  <sheetViews>
    <sheetView tabSelected="1" zoomScaleNormal="100" workbookViewId="0">
      <selection activeCell="I24" sqref="I24"/>
    </sheetView>
  </sheetViews>
  <sheetFormatPr defaultColWidth="9" defaultRowHeight="15" x14ac:dyDescent="0.25"/>
  <cols>
    <col min="1" max="1" width="31.85546875" style="9" customWidth="1"/>
    <col min="2" max="7" width="10.140625" style="11" customWidth="1"/>
    <col min="8" max="9" width="10.140625" style="9" customWidth="1"/>
    <col min="10" max="15" width="10.140625" style="11" customWidth="1"/>
    <col min="16" max="16384" width="9" style="9"/>
  </cols>
  <sheetData>
    <row r="1" spans="1:26" s="1" customFormat="1" ht="23.25" customHeight="1" x14ac:dyDescent="0.25">
      <c r="A1" s="27" t="s">
        <v>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26" s="1" customFormat="1" ht="23.25" customHeight="1" x14ac:dyDescent="0.25">
      <c r="B2" s="7"/>
      <c r="C2" s="7"/>
      <c r="D2" s="7"/>
      <c r="E2" s="7"/>
      <c r="F2" s="7"/>
      <c r="G2" s="7"/>
      <c r="J2" s="7"/>
      <c r="K2" s="7"/>
      <c r="L2" s="7"/>
      <c r="M2" s="7"/>
      <c r="N2" s="7"/>
      <c r="O2" s="7"/>
    </row>
    <row r="3" spans="1:26" s="1" customFormat="1" ht="26.25" customHeight="1" x14ac:dyDescent="0.25">
      <c r="A3" s="28" t="s">
        <v>2</v>
      </c>
      <c r="B3" s="29" t="s">
        <v>3</v>
      </c>
      <c r="C3" s="29"/>
      <c r="D3" s="30" t="s">
        <v>4</v>
      </c>
      <c r="E3" s="30"/>
      <c r="F3" s="30" t="s">
        <v>5</v>
      </c>
      <c r="G3" s="30"/>
      <c r="H3" s="30" t="s">
        <v>6</v>
      </c>
      <c r="I3" s="30"/>
      <c r="J3" s="30" t="s">
        <v>7</v>
      </c>
      <c r="K3" s="30"/>
      <c r="L3" s="30" t="s">
        <v>8</v>
      </c>
      <c r="M3" s="30"/>
      <c r="N3" s="30" t="s">
        <v>9</v>
      </c>
      <c r="O3" s="31"/>
    </row>
    <row r="4" spans="1:26" s="1" customFormat="1" ht="30.75" customHeight="1" x14ac:dyDescent="0.25">
      <c r="A4" s="28"/>
      <c r="B4" s="24" t="s">
        <v>10</v>
      </c>
      <c r="C4" s="24" t="s">
        <v>11</v>
      </c>
      <c r="D4" s="24" t="s">
        <v>10</v>
      </c>
      <c r="E4" s="24" t="s">
        <v>11</v>
      </c>
      <c r="F4" s="24" t="s">
        <v>10</v>
      </c>
      <c r="G4" s="24" t="s">
        <v>11</v>
      </c>
      <c r="H4" s="24" t="s">
        <v>10</v>
      </c>
      <c r="I4" s="24" t="s">
        <v>11</v>
      </c>
      <c r="J4" s="24" t="s">
        <v>10</v>
      </c>
      <c r="K4" s="24" t="s">
        <v>11</v>
      </c>
      <c r="L4" s="24" t="s">
        <v>10</v>
      </c>
      <c r="M4" s="24" t="s">
        <v>11</v>
      </c>
      <c r="N4" s="24" t="s">
        <v>10</v>
      </c>
      <c r="O4" s="25" t="s">
        <v>11</v>
      </c>
    </row>
    <row r="5" spans="1:26" s="1" customFormat="1" ht="17.25" customHeight="1" x14ac:dyDescent="0.25">
      <c r="A5" s="8" t="s">
        <v>0</v>
      </c>
      <c r="B5" s="14">
        <f>B6+B22+B40+B56+B71+B88+B103+B109+B120+B130+B142+B149+B160+B167+B176+B191+B205+B217+B228+B231</f>
        <v>44573</v>
      </c>
      <c r="C5" s="14">
        <f t="shared" ref="C5:O5" si="0">C6+C22+C40+C56+C71+C88+C103+C109+C120+C130+C142+C149+C160+C167+C176+C191+C205+C217+C228+C231</f>
        <v>87352</v>
      </c>
      <c r="D5" s="14">
        <f t="shared" si="0"/>
        <v>24865</v>
      </c>
      <c r="E5" s="14">
        <f t="shared" si="0"/>
        <v>40741</v>
      </c>
      <c r="F5" s="14">
        <f t="shared" si="0"/>
        <v>7274</v>
      </c>
      <c r="G5" s="14">
        <f t="shared" si="0"/>
        <v>13106</v>
      </c>
      <c r="H5" s="14">
        <f t="shared" si="0"/>
        <v>8</v>
      </c>
      <c r="I5" s="14">
        <f t="shared" si="0"/>
        <v>2</v>
      </c>
      <c r="J5" s="14">
        <f t="shared" si="0"/>
        <v>18</v>
      </c>
      <c r="K5" s="14">
        <f t="shared" si="0"/>
        <v>77</v>
      </c>
      <c r="L5" s="14">
        <f t="shared" si="0"/>
        <v>245</v>
      </c>
      <c r="M5" s="14">
        <f t="shared" si="0"/>
        <v>1165</v>
      </c>
      <c r="N5" s="14">
        <f t="shared" si="0"/>
        <v>29</v>
      </c>
      <c r="O5" s="14">
        <f t="shared" si="0"/>
        <v>160</v>
      </c>
    </row>
    <row r="6" spans="1:26" ht="17.25" customHeight="1" x14ac:dyDescent="0.25">
      <c r="A6" s="4" t="s">
        <v>12</v>
      </c>
      <c r="B6" s="14">
        <f t="shared" ref="B6:O6" si="1">SUM(B7:B20)</f>
        <v>2292</v>
      </c>
      <c r="C6" s="14">
        <f t="shared" si="1"/>
        <v>3885</v>
      </c>
      <c r="D6" s="14">
        <f t="shared" si="1"/>
        <v>2057</v>
      </c>
      <c r="E6" s="14">
        <f t="shared" si="1"/>
        <v>3133</v>
      </c>
      <c r="F6" s="14">
        <f t="shared" si="1"/>
        <v>493</v>
      </c>
      <c r="G6" s="14">
        <f t="shared" si="1"/>
        <v>649</v>
      </c>
      <c r="H6" s="14">
        <f t="shared" si="1"/>
        <v>3</v>
      </c>
      <c r="I6" s="14">
        <f t="shared" si="1"/>
        <v>0</v>
      </c>
      <c r="J6" s="14">
        <f t="shared" si="1"/>
        <v>0</v>
      </c>
      <c r="K6" s="14">
        <f t="shared" si="1"/>
        <v>2</v>
      </c>
      <c r="L6" s="14">
        <f t="shared" si="1"/>
        <v>25</v>
      </c>
      <c r="M6" s="14">
        <f t="shared" si="1"/>
        <v>54</v>
      </c>
      <c r="N6" s="14">
        <f t="shared" si="1"/>
        <v>0</v>
      </c>
      <c r="O6" s="14">
        <f t="shared" si="1"/>
        <v>6</v>
      </c>
    </row>
    <row r="7" spans="1:26" ht="17.25" customHeight="1" x14ac:dyDescent="0.25">
      <c r="A7" s="3" t="s">
        <v>13</v>
      </c>
      <c r="B7" s="15">
        <v>8</v>
      </c>
      <c r="C7" s="15">
        <v>12</v>
      </c>
      <c r="D7" s="15">
        <v>7</v>
      </c>
      <c r="E7" s="15">
        <v>14</v>
      </c>
      <c r="F7" s="16">
        <v>3</v>
      </c>
      <c r="G7" s="16">
        <v>8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</row>
    <row r="8" spans="1:26" ht="17.25" customHeight="1" x14ac:dyDescent="0.25">
      <c r="A8" s="3" t="s">
        <v>14</v>
      </c>
      <c r="B8" s="15">
        <v>46</v>
      </c>
      <c r="C8" s="15">
        <v>134</v>
      </c>
      <c r="D8" s="15">
        <v>24</v>
      </c>
      <c r="E8" s="15">
        <v>23</v>
      </c>
      <c r="F8" s="16">
        <v>8</v>
      </c>
      <c r="G8" s="16">
        <v>6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</row>
    <row r="9" spans="1:26" ht="17.25" customHeight="1" x14ac:dyDescent="0.25">
      <c r="A9" s="3" t="s">
        <v>15</v>
      </c>
      <c r="B9" s="15">
        <v>3</v>
      </c>
      <c r="C9" s="15">
        <v>11</v>
      </c>
      <c r="D9" s="15">
        <v>29</v>
      </c>
      <c r="E9" s="15">
        <v>83</v>
      </c>
      <c r="F9" s="16">
        <v>3</v>
      </c>
      <c r="G9" s="16">
        <v>6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2</v>
      </c>
      <c r="N9" s="15">
        <v>0</v>
      </c>
      <c r="O9" s="15">
        <v>0</v>
      </c>
    </row>
    <row r="10" spans="1:26" ht="17.25" customHeight="1" x14ac:dyDescent="0.25">
      <c r="A10" s="3" t="s">
        <v>16</v>
      </c>
      <c r="B10" s="15">
        <v>73</v>
      </c>
      <c r="C10" s="15">
        <v>157</v>
      </c>
      <c r="D10" s="15">
        <v>35</v>
      </c>
      <c r="E10" s="15">
        <v>161</v>
      </c>
      <c r="F10" s="16">
        <v>29</v>
      </c>
      <c r="G10" s="16">
        <v>87</v>
      </c>
      <c r="H10" s="15">
        <v>3</v>
      </c>
      <c r="I10" s="15">
        <v>0</v>
      </c>
      <c r="J10" s="15">
        <v>0</v>
      </c>
      <c r="K10" s="15">
        <v>0</v>
      </c>
      <c r="L10" s="15">
        <v>5</v>
      </c>
      <c r="M10" s="15">
        <v>4</v>
      </c>
      <c r="N10" s="15">
        <v>0</v>
      </c>
      <c r="O10" s="15">
        <v>0</v>
      </c>
    </row>
    <row r="11" spans="1:26" ht="17.25" customHeight="1" x14ac:dyDescent="0.25">
      <c r="A11" s="3" t="s">
        <v>17</v>
      </c>
      <c r="B11" s="15">
        <v>771</v>
      </c>
      <c r="C11" s="15">
        <v>1666</v>
      </c>
      <c r="D11" s="15">
        <v>434</v>
      </c>
      <c r="E11" s="15">
        <v>545</v>
      </c>
      <c r="F11" s="16">
        <v>189</v>
      </c>
      <c r="G11" s="16">
        <v>227</v>
      </c>
      <c r="H11" s="15">
        <v>0</v>
      </c>
      <c r="I11" s="15">
        <v>0</v>
      </c>
      <c r="J11" s="15">
        <v>0</v>
      </c>
      <c r="K11" s="15">
        <v>0</v>
      </c>
      <c r="L11" s="15">
        <v>8</v>
      </c>
      <c r="M11" s="15">
        <v>8</v>
      </c>
      <c r="N11" s="15">
        <v>0</v>
      </c>
      <c r="O11" s="15">
        <v>2</v>
      </c>
    </row>
    <row r="12" spans="1:26" ht="17.25" customHeight="1" x14ac:dyDescent="0.25">
      <c r="A12" s="3" t="s">
        <v>18</v>
      </c>
      <c r="B12" s="15">
        <v>137</v>
      </c>
      <c r="C12" s="15">
        <v>425</v>
      </c>
      <c r="D12" s="15">
        <v>122</v>
      </c>
      <c r="E12" s="15">
        <v>317</v>
      </c>
      <c r="F12" s="16">
        <v>28</v>
      </c>
      <c r="G12" s="16">
        <v>58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2</v>
      </c>
    </row>
    <row r="13" spans="1:26" ht="17.25" customHeight="1" x14ac:dyDescent="0.25">
      <c r="A13" s="3" t="s">
        <v>19</v>
      </c>
      <c r="B13" s="15">
        <v>11</v>
      </c>
      <c r="C13" s="15">
        <v>19</v>
      </c>
      <c r="D13" s="15">
        <v>28</v>
      </c>
      <c r="E13" s="15">
        <v>60</v>
      </c>
      <c r="F13" s="16">
        <v>0</v>
      </c>
      <c r="G13" s="16">
        <v>2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3</v>
      </c>
      <c r="N13" s="15">
        <v>0</v>
      </c>
      <c r="O13" s="15">
        <v>0</v>
      </c>
      <c r="V13" s="26"/>
      <c r="W13" s="26"/>
      <c r="X13" s="26"/>
      <c r="Y13" s="26"/>
      <c r="Z13" s="26"/>
    </row>
    <row r="14" spans="1:26" ht="17.25" customHeight="1" x14ac:dyDescent="0.25">
      <c r="A14" s="3" t="s">
        <v>20</v>
      </c>
      <c r="B14" s="15">
        <v>1069</v>
      </c>
      <c r="C14" s="15">
        <v>1284</v>
      </c>
      <c r="D14" s="15">
        <v>661</v>
      </c>
      <c r="E14" s="15">
        <v>737</v>
      </c>
      <c r="F14" s="16">
        <v>82</v>
      </c>
      <c r="G14" s="16">
        <v>61</v>
      </c>
      <c r="H14" s="15">
        <v>0</v>
      </c>
      <c r="I14" s="15">
        <v>0</v>
      </c>
      <c r="J14" s="15">
        <v>0</v>
      </c>
      <c r="K14" s="15">
        <v>1</v>
      </c>
      <c r="L14" s="15">
        <v>5</v>
      </c>
      <c r="M14" s="15">
        <v>21</v>
      </c>
      <c r="N14" s="15">
        <v>0</v>
      </c>
      <c r="O14" s="15">
        <v>0</v>
      </c>
    </row>
    <row r="15" spans="1:26" ht="17.25" customHeight="1" x14ac:dyDescent="0.25">
      <c r="A15" s="3" t="s">
        <v>21</v>
      </c>
      <c r="B15" s="15">
        <v>89</v>
      </c>
      <c r="C15" s="15">
        <v>68</v>
      </c>
      <c r="D15" s="15">
        <v>18</v>
      </c>
      <c r="E15" s="15">
        <v>11</v>
      </c>
      <c r="F15" s="16">
        <v>27</v>
      </c>
      <c r="G15" s="16">
        <v>43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</row>
    <row r="16" spans="1:26" ht="17.25" customHeight="1" x14ac:dyDescent="0.25">
      <c r="A16" s="3" t="s">
        <v>22</v>
      </c>
      <c r="B16" s="15">
        <v>4</v>
      </c>
      <c r="C16" s="15">
        <v>11</v>
      </c>
      <c r="D16" s="15">
        <v>223</v>
      </c>
      <c r="E16" s="15">
        <v>299</v>
      </c>
      <c r="F16" s="16">
        <v>30</v>
      </c>
      <c r="G16" s="16">
        <v>21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0</v>
      </c>
    </row>
    <row r="17" spans="1:15" ht="17.25" customHeight="1" x14ac:dyDescent="0.25">
      <c r="A17" s="3" t="s">
        <v>23</v>
      </c>
      <c r="B17" s="15">
        <v>37</v>
      </c>
      <c r="C17" s="15">
        <v>46</v>
      </c>
      <c r="D17" s="15">
        <v>51</v>
      </c>
      <c r="E17" s="15">
        <v>53</v>
      </c>
      <c r="F17" s="16">
        <v>6</v>
      </c>
      <c r="G17" s="16">
        <v>7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ht="17.25" customHeight="1" x14ac:dyDescent="0.25">
      <c r="A18" s="3" t="s">
        <v>24</v>
      </c>
      <c r="B18" s="15">
        <v>13</v>
      </c>
      <c r="C18" s="15">
        <v>11</v>
      </c>
      <c r="D18" s="15">
        <v>39</v>
      </c>
      <c r="E18" s="15">
        <v>58</v>
      </c>
      <c r="F18" s="16">
        <v>3</v>
      </c>
      <c r="G18" s="16">
        <v>0</v>
      </c>
      <c r="H18" s="15">
        <v>0</v>
      </c>
      <c r="I18" s="15">
        <v>0</v>
      </c>
      <c r="J18" s="15">
        <v>0</v>
      </c>
      <c r="K18" s="15">
        <v>0</v>
      </c>
      <c r="L18" s="15">
        <v>3</v>
      </c>
      <c r="M18" s="15">
        <v>9</v>
      </c>
      <c r="N18" s="15">
        <v>0</v>
      </c>
      <c r="O18" s="15">
        <v>0</v>
      </c>
    </row>
    <row r="19" spans="1:15" ht="17.25" customHeight="1" x14ac:dyDescent="0.25">
      <c r="A19" s="3" t="s">
        <v>25</v>
      </c>
      <c r="B19" s="15">
        <v>2</v>
      </c>
      <c r="C19" s="15">
        <v>0</v>
      </c>
      <c r="D19" s="15">
        <v>120</v>
      </c>
      <c r="E19" s="15">
        <v>159</v>
      </c>
      <c r="F19" s="16">
        <v>10</v>
      </c>
      <c r="G19" s="16">
        <v>12</v>
      </c>
      <c r="H19" s="15">
        <v>0</v>
      </c>
      <c r="I19" s="15">
        <v>0</v>
      </c>
      <c r="J19" s="15">
        <v>0</v>
      </c>
      <c r="K19" s="15">
        <v>0</v>
      </c>
      <c r="L19" s="15">
        <v>3</v>
      </c>
      <c r="M19" s="15">
        <v>2</v>
      </c>
      <c r="N19" s="15">
        <v>0</v>
      </c>
      <c r="O19" s="15">
        <v>0</v>
      </c>
    </row>
    <row r="20" spans="1:15" ht="17.25" customHeight="1" x14ac:dyDescent="0.25">
      <c r="A20" s="12" t="s">
        <v>26</v>
      </c>
      <c r="B20" s="17">
        <v>29</v>
      </c>
      <c r="C20" s="17">
        <v>41</v>
      </c>
      <c r="D20" s="17">
        <v>266</v>
      </c>
      <c r="E20" s="17">
        <v>613</v>
      </c>
      <c r="F20" s="18">
        <v>75</v>
      </c>
      <c r="G20" s="18">
        <v>111</v>
      </c>
      <c r="H20" s="17">
        <v>0</v>
      </c>
      <c r="I20" s="17">
        <v>0</v>
      </c>
      <c r="J20" s="17">
        <v>0</v>
      </c>
      <c r="K20" s="17">
        <v>1</v>
      </c>
      <c r="L20" s="17">
        <v>1</v>
      </c>
      <c r="M20" s="17">
        <v>3</v>
      </c>
      <c r="N20" s="17">
        <v>0</v>
      </c>
      <c r="O20" s="17">
        <v>2</v>
      </c>
    </row>
    <row r="21" spans="1:15" ht="17.25" customHeight="1" x14ac:dyDescent="0.25">
      <c r="A21" s="3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ht="17.25" customHeight="1" x14ac:dyDescent="0.25">
      <c r="A22" s="4" t="s">
        <v>27</v>
      </c>
      <c r="B22" s="14">
        <f t="shared" ref="B22:O22" si="2">SUM(B23:B38)</f>
        <v>3827</v>
      </c>
      <c r="C22" s="14">
        <f t="shared" si="2"/>
        <v>6030</v>
      </c>
      <c r="D22" s="14">
        <f t="shared" si="2"/>
        <v>2724</v>
      </c>
      <c r="E22" s="14">
        <f t="shared" si="2"/>
        <v>3899</v>
      </c>
      <c r="F22" s="20">
        <f t="shared" si="2"/>
        <v>401</v>
      </c>
      <c r="G22" s="20">
        <f t="shared" si="2"/>
        <v>681</v>
      </c>
      <c r="H22" s="14">
        <f t="shared" si="2"/>
        <v>0</v>
      </c>
      <c r="I22" s="14">
        <f t="shared" si="2"/>
        <v>0</v>
      </c>
      <c r="J22" s="14">
        <f t="shared" si="2"/>
        <v>1</v>
      </c>
      <c r="K22" s="14">
        <f t="shared" si="2"/>
        <v>4</v>
      </c>
      <c r="L22" s="14">
        <f t="shared" si="2"/>
        <v>4</v>
      </c>
      <c r="M22" s="14">
        <f t="shared" si="2"/>
        <v>53</v>
      </c>
      <c r="N22" s="14">
        <f t="shared" si="2"/>
        <v>2</v>
      </c>
      <c r="O22" s="14">
        <f t="shared" si="2"/>
        <v>41</v>
      </c>
    </row>
    <row r="23" spans="1:15" ht="17.25" customHeight="1" x14ac:dyDescent="0.25">
      <c r="A23" s="3" t="s">
        <v>28</v>
      </c>
      <c r="B23" s="15">
        <v>2</v>
      </c>
      <c r="C23" s="15">
        <v>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</row>
    <row r="24" spans="1:15" ht="17.25" customHeight="1" x14ac:dyDescent="0.25">
      <c r="A24" s="3" t="s">
        <v>29</v>
      </c>
      <c r="B24" s="15">
        <v>648</v>
      </c>
      <c r="C24" s="15">
        <v>1168</v>
      </c>
      <c r="D24" s="15">
        <v>169</v>
      </c>
      <c r="E24" s="15">
        <v>381</v>
      </c>
      <c r="F24" s="15">
        <v>27</v>
      </c>
      <c r="G24" s="15">
        <v>78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</row>
    <row r="25" spans="1:15" ht="17.25" customHeight="1" x14ac:dyDescent="0.25">
      <c r="A25" s="3" t="s">
        <v>30</v>
      </c>
      <c r="B25" s="15">
        <v>3</v>
      </c>
      <c r="C25" s="15">
        <v>3</v>
      </c>
      <c r="D25" s="15">
        <v>17</v>
      </c>
      <c r="E25" s="15">
        <v>40</v>
      </c>
      <c r="F25" s="15">
        <v>1</v>
      </c>
      <c r="G25" s="15">
        <v>0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</row>
    <row r="26" spans="1:15" ht="17.25" customHeight="1" x14ac:dyDescent="0.25">
      <c r="A26" s="3" t="s">
        <v>31</v>
      </c>
      <c r="B26" s="15">
        <v>7</v>
      </c>
      <c r="C26" s="15">
        <v>8</v>
      </c>
      <c r="D26" s="15">
        <v>4</v>
      </c>
      <c r="E26" s="15">
        <v>3</v>
      </c>
      <c r="F26" s="16">
        <v>0</v>
      </c>
      <c r="G26" s="16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</v>
      </c>
    </row>
    <row r="27" spans="1:15" ht="17.25" customHeight="1" x14ac:dyDescent="0.25">
      <c r="A27" s="3" t="s">
        <v>32</v>
      </c>
      <c r="B27" s="15">
        <v>104</v>
      </c>
      <c r="C27" s="15">
        <v>232</v>
      </c>
      <c r="D27" s="15">
        <v>27</v>
      </c>
      <c r="E27" s="15">
        <v>39</v>
      </c>
      <c r="F27" s="16">
        <v>2</v>
      </c>
      <c r="G27" s="16">
        <v>5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</row>
    <row r="28" spans="1:15" ht="17.25" customHeight="1" x14ac:dyDescent="0.25">
      <c r="A28" s="3" t="s">
        <v>33</v>
      </c>
      <c r="B28" s="15">
        <v>3</v>
      </c>
      <c r="C28" s="15">
        <v>1</v>
      </c>
      <c r="D28" s="15">
        <v>203</v>
      </c>
      <c r="E28" s="15">
        <v>215</v>
      </c>
      <c r="F28" s="16">
        <v>14</v>
      </c>
      <c r="G28" s="16">
        <v>19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3</v>
      </c>
    </row>
    <row r="29" spans="1:15" ht="17.25" customHeight="1" x14ac:dyDescent="0.25">
      <c r="A29" s="3" t="s">
        <v>34</v>
      </c>
      <c r="B29" s="15">
        <v>13</v>
      </c>
      <c r="C29" s="15">
        <v>26</v>
      </c>
      <c r="D29" s="15">
        <v>118</v>
      </c>
      <c r="E29" s="15">
        <v>115</v>
      </c>
      <c r="F29" s="16">
        <v>2</v>
      </c>
      <c r="G29" s="16">
        <v>5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</row>
    <row r="30" spans="1:15" ht="17.25" customHeight="1" x14ac:dyDescent="0.25">
      <c r="A30" s="3" t="s">
        <v>35</v>
      </c>
      <c r="B30" s="15">
        <v>521</v>
      </c>
      <c r="C30" s="15">
        <v>800</v>
      </c>
      <c r="D30" s="15">
        <v>368</v>
      </c>
      <c r="E30" s="15">
        <v>432</v>
      </c>
      <c r="F30" s="16">
        <v>204</v>
      </c>
      <c r="G30" s="16">
        <v>303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</row>
    <row r="31" spans="1:15" ht="17.25" customHeight="1" x14ac:dyDescent="0.25">
      <c r="A31" s="3" t="s">
        <v>36</v>
      </c>
      <c r="B31" s="15">
        <v>65</v>
      </c>
      <c r="C31" s="15">
        <v>123</v>
      </c>
      <c r="D31" s="15">
        <v>29</v>
      </c>
      <c r="E31" s="15">
        <v>30</v>
      </c>
      <c r="F31" s="16">
        <v>8</v>
      </c>
      <c r="G31" s="16">
        <v>22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</row>
    <row r="32" spans="1:15" ht="17.25" customHeight="1" x14ac:dyDescent="0.25">
      <c r="A32" s="3" t="s">
        <v>37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</row>
    <row r="33" spans="1:15" ht="17.25" customHeight="1" x14ac:dyDescent="0.25">
      <c r="A33" s="3" t="s">
        <v>38</v>
      </c>
      <c r="B33" s="15">
        <v>2139</v>
      </c>
      <c r="C33" s="15">
        <v>3269</v>
      </c>
      <c r="D33" s="15">
        <v>1308</v>
      </c>
      <c r="E33" s="15">
        <v>1905</v>
      </c>
      <c r="F33" s="16">
        <v>50</v>
      </c>
      <c r="G33" s="16">
        <v>90</v>
      </c>
      <c r="H33" s="15">
        <v>0</v>
      </c>
      <c r="I33" s="15">
        <v>0</v>
      </c>
      <c r="J33" s="15">
        <v>1</v>
      </c>
      <c r="K33" s="15">
        <v>3</v>
      </c>
      <c r="L33" s="15">
        <v>4</v>
      </c>
      <c r="M33" s="15">
        <v>53</v>
      </c>
      <c r="N33" s="15">
        <v>1</v>
      </c>
      <c r="O33" s="15">
        <v>34</v>
      </c>
    </row>
    <row r="34" spans="1:15" ht="17.25" customHeight="1" x14ac:dyDescent="0.25">
      <c r="A34" s="3" t="s">
        <v>39</v>
      </c>
      <c r="B34" s="15">
        <v>3</v>
      </c>
      <c r="C34" s="15">
        <v>10</v>
      </c>
      <c r="D34" s="15">
        <v>137</v>
      </c>
      <c r="E34" s="15">
        <v>300</v>
      </c>
      <c r="F34" s="16">
        <v>7</v>
      </c>
      <c r="G34" s="16">
        <v>18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1</v>
      </c>
    </row>
    <row r="35" spans="1:15" ht="17.25" customHeight="1" x14ac:dyDescent="0.25">
      <c r="A35" s="3" t="s">
        <v>40</v>
      </c>
      <c r="B35" s="15">
        <v>0</v>
      </c>
      <c r="C35" s="15">
        <v>4</v>
      </c>
      <c r="D35" s="15">
        <v>27</v>
      </c>
      <c r="E35" s="15">
        <v>27</v>
      </c>
      <c r="F35" s="16">
        <v>27</v>
      </c>
      <c r="G35" s="16">
        <v>54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</row>
    <row r="36" spans="1:15" ht="17.25" customHeight="1" x14ac:dyDescent="0.25">
      <c r="A36" s="3" t="s">
        <v>41</v>
      </c>
      <c r="B36" s="15">
        <v>113</v>
      </c>
      <c r="C36" s="15">
        <v>144</v>
      </c>
      <c r="D36" s="15">
        <v>230</v>
      </c>
      <c r="E36" s="15">
        <v>317</v>
      </c>
      <c r="F36" s="16">
        <v>22</v>
      </c>
      <c r="G36" s="16">
        <v>31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1</v>
      </c>
      <c r="O36" s="15">
        <v>2</v>
      </c>
    </row>
    <row r="37" spans="1:15" ht="17.25" customHeight="1" x14ac:dyDescent="0.25">
      <c r="A37" s="3" t="s">
        <v>42</v>
      </c>
      <c r="B37" s="15">
        <v>1</v>
      </c>
      <c r="C37" s="15">
        <v>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</row>
    <row r="38" spans="1:15" ht="17.25" customHeight="1" x14ac:dyDescent="0.25">
      <c r="A38" s="12" t="s">
        <v>43</v>
      </c>
      <c r="B38" s="17">
        <v>205</v>
      </c>
      <c r="C38" s="17">
        <v>232</v>
      </c>
      <c r="D38" s="17">
        <v>87</v>
      </c>
      <c r="E38" s="17">
        <v>95</v>
      </c>
      <c r="F38" s="18">
        <v>37</v>
      </c>
      <c r="G38" s="18">
        <v>56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</row>
    <row r="39" spans="1:15" s="1" customFormat="1" ht="17.25" customHeight="1" x14ac:dyDescent="0.25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5" ht="17.25" customHeight="1" x14ac:dyDescent="0.25">
      <c r="A40" s="4" t="s">
        <v>44</v>
      </c>
      <c r="B40" s="14">
        <f t="shared" ref="B40:O40" si="3">SUM(B41:B54)</f>
        <v>2745</v>
      </c>
      <c r="C40" s="14">
        <f t="shared" si="3"/>
        <v>4001</v>
      </c>
      <c r="D40" s="14">
        <f t="shared" si="3"/>
        <v>1982</v>
      </c>
      <c r="E40" s="14">
        <f t="shared" si="3"/>
        <v>2626</v>
      </c>
      <c r="F40" s="20">
        <f t="shared" si="3"/>
        <v>299</v>
      </c>
      <c r="G40" s="20">
        <f t="shared" si="3"/>
        <v>438</v>
      </c>
      <c r="H40" s="14">
        <f t="shared" si="3"/>
        <v>0</v>
      </c>
      <c r="I40" s="14">
        <f t="shared" si="3"/>
        <v>0</v>
      </c>
      <c r="J40" s="14">
        <f t="shared" si="3"/>
        <v>0</v>
      </c>
      <c r="K40" s="14">
        <f t="shared" si="3"/>
        <v>0</v>
      </c>
      <c r="L40" s="14">
        <f t="shared" si="3"/>
        <v>7</v>
      </c>
      <c r="M40" s="14">
        <f t="shared" si="3"/>
        <v>27</v>
      </c>
      <c r="N40" s="14">
        <f t="shared" si="3"/>
        <v>0</v>
      </c>
      <c r="O40" s="14">
        <f t="shared" si="3"/>
        <v>8</v>
      </c>
    </row>
    <row r="41" spans="1:15" ht="17.25" customHeight="1" x14ac:dyDescent="0.25">
      <c r="A41" s="3" t="s">
        <v>45</v>
      </c>
      <c r="B41" s="15">
        <v>392</v>
      </c>
      <c r="C41" s="15">
        <v>741</v>
      </c>
      <c r="D41" s="15">
        <v>264</v>
      </c>
      <c r="E41" s="15">
        <v>326</v>
      </c>
      <c r="F41" s="16">
        <v>18</v>
      </c>
      <c r="G41" s="16">
        <v>20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</row>
    <row r="42" spans="1:15" ht="17.25" customHeight="1" x14ac:dyDescent="0.25">
      <c r="A42" s="3" t="s">
        <v>46</v>
      </c>
      <c r="B42" s="15">
        <v>3</v>
      </c>
      <c r="C42" s="15">
        <v>2</v>
      </c>
      <c r="D42" s="15">
        <v>34</v>
      </c>
      <c r="E42" s="15">
        <v>118</v>
      </c>
      <c r="F42" s="15">
        <v>5</v>
      </c>
      <c r="G42" s="15">
        <v>6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</row>
    <row r="43" spans="1:15" ht="17.25" customHeight="1" x14ac:dyDescent="0.25">
      <c r="A43" s="3" t="s">
        <v>47</v>
      </c>
      <c r="B43" s="15">
        <v>92</v>
      </c>
      <c r="C43" s="15">
        <v>135</v>
      </c>
      <c r="D43" s="15">
        <v>69</v>
      </c>
      <c r="E43" s="15">
        <v>59</v>
      </c>
      <c r="F43" s="15">
        <v>24</v>
      </c>
      <c r="G43" s="15">
        <v>23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2</v>
      </c>
      <c r="N43" s="15">
        <v>0</v>
      </c>
      <c r="O43" s="15">
        <v>0</v>
      </c>
    </row>
    <row r="44" spans="1:15" ht="17.25" customHeight="1" x14ac:dyDescent="0.25">
      <c r="A44" s="3" t="s">
        <v>48</v>
      </c>
      <c r="B44" s="15">
        <v>13</v>
      </c>
      <c r="C44" s="15">
        <v>29</v>
      </c>
      <c r="D44" s="15">
        <v>79</v>
      </c>
      <c r="E44" s="15">
        <v>121</v>
      </c>
      <c r="F44" s="16">
        <v>18</v>
      </c>
      <c r="G44" s="16">
        <v>40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</row>
    <row r="45" spans="1:15" ht="17.25" customHeight="1" x14ac:dyDescent="0.25">
      <c r="A45" s="3" t="s">
        <v>49</v>
      </c>
      <c r="B45" s="15">
        <v>23</v>
      </c>
      <c r="C45" s="15">
        <v>68</v>
      </c>
      <c r="D45" s="15">
        <v>138</v>
      </c>
      <c r="E45" s="15">
        <v>164</v>
      </c>
      <c r="F45" s="16">
        <v>19</v>
      </c>
      <c r="G45" s="16">
        <v>28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</row>
    <row r="46" spans="1:15" ht="17.25" customHeight="1" x14ac:dyDescent="0.25">
      <c r="A46" s="3" t="s">
        <v>50</v>
      </c>
      <c r="B46" s="15">
        <v>22</v>
      </c>
      <c r="C46" s="15">
        <v>32</v>
      </c>
      <c r="D46" s="15">
        <v>88</v>
      </c>
      <c r="E46" s="15">
        <v>82</v>
      </c>
      <c r="F46" s="16">
        <v>4</v>
      </c>
      <c r="G46" s="16">
        <v>18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</row>
    <row r="47" spans="1:15" ht="17.25" customHeight="1" x14ac:dyDescent="0.25">
      <c r="A47" s="3" t="s">
        <v>51</v>
      </c>
      <c r="B47" s="15">
        <v>436</v>
      </c>
      <c r="C47" s="15">
        <v>789</v>
      </c>
      <c r="D47" s="15">
        <v>101</v>
      </c>
      <c r="E47" s="15">
        <v>206</v>
      </c>
      <c r="F47" s="16">
        <v>20</v>
      </c>
      <c r="G47" s="16">
        <v>36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4</v>
      </c>
      <c r="N47" s="15">
        <v>0</v>
      </c>
      <c r="O47" s="15">
        <v>0</v>
      </c>
    </row>
    <row r="48" spans="1:15" ht="17.25" customHeight="1" x14ac:dyDescent="0.25">
      <c r="A48" s="3" t="s">
        <v>52</v>
      </c>
      <c r="B48" s="15">
        <v>1</v>
      </c>
      <c r="C48" s="15">
        <v>6</v>
      </c>
      <c r="D48" s="15">
        <v>3</v>
      </c>
      <c r="E48" s="15">
        <v>40</v>
      </c>
      <c r="F48" s="16">
        <v>0</v>
      </c>
      <c r="G48" s="16">
        <v>1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</row>
    <row r="49" spans="1:15" ht="17.25" customHeight="1" x14ac:dyDescent="0.25">
      <c r="A49" s="3" t="s">
        <v>53</v>
      </c>
      <c r="B49" s="15">
        <v>22</v>
      </c>
      <c r="C49" s="15">
        <v>32</v>
      </c>
      <c r="D49" s="15">
        <v>15</v>
      </c>
      <c r="E49" s="15">
        <v>56</v>
      </c>
      <c r="F49" s="16">
        <v>7</v>
      </c>
      <c r="G49" s="16">
        <v>18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</row>
    <row r="50" spans="1:15" ht="17.25" customHeight="1" x14ac:dyDescent="0.25">
      <c r="A50" s="3" t="s">
        <v>54</v>
      </c>
      <c r="B50" s="15">
        <v>0</v>
      </c>
      <c r="C50" s="15">
        <v>0</v>
      </c>
      <c r="D50" s="15">
        <v>29</v>
      </c>
      <c r="E50" s="15">
        <v>77</v>
      </c>
      <c r="F50" s="16">
        <v>0</v>
      </c>
      <c r="G50" s="16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</row>
    <row r="51" spans="1:15" ht="17.25" customHeight="1" x14ac:dyDescent="0.25">
      <c r="A51" s="3" t="s">
        <v>55</v>
      </c>
      <c r="B51" s="15">
        <v>204</v>
      </c>
      <c r="C51" s="15">
        <v>573</v>
      </c>
      <c r="D51" s="15">
        <v>78</v>
      </c>
      <c r="E51" s="15">
        <v>207</v>
      </c>
      <c r="F51" s="16">
        <v>48</v>
      </c>
      <c r="G51" s="16">
        <v>81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2</v>
      </c>
      <c r="N51" s="15">
        <v>0</v>
      </c>
      <c r="O51" s="15">
        <v>0</v>
      </c>
    </row>
    <row r="52" spans="1:15" ht="17.25" customHeight="1" x14ac:dyDescent="0.25">
      <c r="A52" s="3" t="s">
        <v>56</v>
      </c>
      <c r="B52" s="15">
        <v>12</v>
      </c>
      <c r="C52" s="15">
        <v>19</v>
      </c>
      <c r="D52" s="15">
        <v>22</v>
      </c>
      <c r="E52" s="15">
        <v>24</v>
      </c>
      <c r="F52" s="16">
        <v>0</v>
      </c>
      <c r="G52" s="16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</row>
    <row r="53" spans="1:15" ht="17.25" customHeight="1" x14ac:dyDescent="0.25">
      <c r="A53" s="3" t="s">
        <v>57</v>
      </c>
      <c r="B53" s="15">
        <v>943</v>
      </c>
      <c r="C53" s="15">
        <v>858</v>
      </c>
      <c r="D53" s="15">
        <v>594</v>
      </c>
      <c r="E53" s="15">
        <v>512</v>
      </c>
      <c r="F53" s="16">
        <v>47</v>
      </c>
      <c r="G53" s="16">
        <v>42</v>
      </c>
      <c r="H53" s="15">
        <v>0</v>
      </c>
      <c r="I53" s="15">
        <v>0</v>
      </c>
      <c r="J53" s="15">
        <v>0</v>
      </c>
      <c r="K53" s="15">
        <v>0</v>
      </c>
      <c r="L53" s="15">
        <v>1</v>
      </c>
      <c r="M53" s="15">
        <v>4</v>
      </c>
      <c r="N53" s="15">
        <v>0</v>
      </c>
      <c r="O53" s="15">
        <v>1</v>
      </c>
    </row>
    <row r="54" spans="1:15" ht="17.25" customHeight="1" x14ac:dyDescent="0.25">
      <c r="A54" s="12" t="s">
        <v>58</v>
      </c>
      <c r="B54" s="17">
        <v>582</v>
      </c>
      <c r="C54" s="17">
        <v>717</v>
      </c>
      <c r="D54" s="17">
        <v>468</v>
      </c>
      <c r="E54" s="17">
        <v>634</v>
      </c>
      <c r="F54" s="18">
        <v>89</v>
      </c>
      <c r="G54" s="18">
        <v>125</v>
      </c>
      <c r="H54" s="17">
        <v>0</v>
      </c>
      <c r="I54" s="17">
        <v>0</v>
      </c>
      <c r="J54" s="17">
        <v>0</v>
      </c>
      <c r="K54" s="17">
        <v>0</v>
      </c>
      <c r="L54" s="17">
        <v>6</v>
      </c>
      <c r="M54" s="17">
        <v>15</v>
      </c>
      <c r="N54" s="17">
        <v>0</v>
      </c>
      <c r="O54" s="17">
        <v>7</v>
      </c>
    </row>
    <row r="55" spans="1:15" s="1" customFormat="1" ht="17.25" customHeight="1" x14ac:dyDescent="0.25">
      <c r="A55" s="4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 ht="17.25" customHeight="1" x14ac:dyDescent="0.25">
      <c r="A56" s="4" t="s">
        <v>59</v>
      </c>
      <c r="B56" s="14">
        <f t="shared" ref="B56:O56" si="4">SUM(B57:B69)</f>
        <v>1541</v>
      </c>
      <c r="C56" s="14">
        <f t="shared" si="4"/>
        <v>2756</v>
      </c>
      <c r="D56" s="14">
        <f t="shared" si="4"/>
        <v>1075</v>
      </c>
      <c r="E56" s="14">
        <f t="shared" si="4"/>
        <v>1720</v>
      </c>
      <c r="F56" s="20">
        <f t="shared" si="4"/>
        <v>335</v>
      </c>
      <c r="G56" s="20">
        <f t="shared" si="4"/>
        <v>620</v>
      </c>
      <c r="H56" s="14">
        <f t="shared" si="4"/>
        <v>1</v>
      </c>
      <c r="I56" s="14">
        <f t="shared" si="4"/>
        <v>1</v>
      </c>
      <c r="J56" s="14">
        <f t="shared" si="4"/>
        <v>1</v>
      </c>
      <c r="K56" s="14">
        <f t="shared" si="4"/>
        <v>9</v>
      </c>
      <c r="L56" s="14">
        <f t="shared" si="4"/>
        <v>12</v>
      </c>
      <c r="M56" s="14">
        <f t="shared" si="4"/>
        <v>59</v>
      </c>
      <c r="N56" s="14">
        <f t="shared" si="4"/>
        <v>0</v>
      </c>
      <c r="O56" s="14">
        <f t="shared" si="4"/>
        <v>8</v>
      </c>
    </row>
    <row r="57" spans="1:15" ht="17.25" customHeight="1" x14ac:dyDescent="0.25">
      <c r="A57" s="3" t="s">
        <v>60</v>
      </c>
      <c r="B57" s="15">
        <v>118</v>
      </c>
      <c r="C57" s="15">
        <v>222</v>
      </c>
      <c r="D57" s="15">
        <v>63</v>
      </c>
      <c r="E57" s="15">
        <v>67</v>
      </c>
      <c r="F57" s="16">
        <v>23</v>
      </c>
      <c r="G57" s="16">
        <v>69</v>
      </c>
      <c r="H57" s="15">
        <v>0</v>
      </c>
      <c r="I57" s="15">
        <v>0</v>
      </c>
      <c r="J57" s="15">
        <v>0</v>
      </c>
      <c r="K57" s="15">
        <v>0</v>
      </c>
      <c r="L57" s="15">
        <v>1</v>
      </c>
      <c r="M57" s="15">
        <v>4</v>
      </c>
      <c r="N57" s="15">
        <v>0</v>
      </c>
      <c r="O57" s="15">
        <v>0</v>
      </c>
    </row>
    <row r="58" spans="1:15" ht="17.25" customHeight="1" x14ac:dyDescent="0.25">
      <c r="A58" s="3" t="s">
        <v>61</v>
      </c>
      <c r="B58" s="15">
        <v>208</v>
      </c>
      <c r="C58" s="15">
        <v>273</v>
      </c>
      <c r="D58" s="15">
        <v>35</v>
      </c>
      <c r="E58" s="15">
        <v>60</v>
      </c>
      <c r="F58" s="16">
        <v>48</v>
      </c>
      <c r="G58" s="16">
        <v>67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</row>
    <row r="59" spans="1:15" ht="17.25" customHeight="1" x14ac:dyDescent="0.25">
      <c r="A59" s="3" t="s">
        <v>62</v>
      </c>
      <c r="B59" s="15">
        <v>105</v>
      </c>
      <c r="C59" s="15">
        <v>153</v>
      </c>
      <c r="D59" s="15">
        <v>163</v>
      </c>
      <c r="E59" s="15">
        <v>277</v>
      </c>
      <c r="F59" s="16">
        <v>8</v>
      </c>
      <c r="G59" s="16">
        <v>9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1</v>
      </c>
      <c r="N59" s="15">
        <v>0</v>
      </c>
      <c r="O59" s="15">
        <v>0</v>
      </c>
    </row>
    <row r="60" spans="1:15" ht="17.25" customHeight="1" x14ac:dyDescent="0.25">
      <c r="A60" s="3" t="s">
        <v>63</v>
      </c>
      <c r="B60" s="15">
        <v>10</v>
      </c>
      <c r="C60" s="15">
        <v>29</v>
      </c>
      <c r="D60" s="15">
        <v>64</v>
      </c>
      <c r="E60" s="15">
        <v>106</v>
      </c>
      <c r="F60" s="15">
        <v>37</v>
      </c>
      <c r="G60" s="15">
        <v>96</v>
      </c>
      <c r="H60" s="15">
        <v>0</v>
      </c>
      <c r="I60" s="15">
        <v>0</v>
      </c>
      <c r="J60" s="15">
        <v>1</v>
      </c>
      <c r="K60" s="15">
        <v>3</v>
      </c>
      <c r="L60" s="15">
        <v>0</v>
      </c>
      <c r="M60" s="15">
        <v>0</v>
      </c>
      <c r="N60" s="15">
        <v>0</v>
      </c>
      <c r="O60" s="15">
        <v>0</v>
      </c>
    </row>
    <row r="61" spans="1:15" ht="17.25" customHeight="1" x14ac:dyDescent="0.25">
      <c r="A61" s="3" t="s">
        <v>64</v>
      </c>
      <c r="B61" s="15">
        <v>21</v>
      </c>
      <c r="C61" s="15">
        <v>32</v>
      </c>
      <c r="D61" s="15">
        <v>41</v>
      </c>
      <c r="E61" s="15">
        <v>23</v>
      </c>
      <c r="F61" s="15">
        <v>5</v>
      </c>
      <c r="G61" s="15">
        <v>7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</row>
    <row r="62" spans="1:15" ht="17.25" customHeight="1" x14ac:dyDescent="0.25">
      <c r="A62" s="3" t="s">
        <v>65</v>
      </c>
      <c r="B62" s="15">
        <v>114</v>
      </c>
      <c r="C62" s="15">
        <v>185</v>
      </c>
      <c r="D62" s="15">
        <v>115</v>
      </c>
      <c r="E62" s="15">
        <v>220</v>
      </c>
      <c r="F62" s="15">
        <v>34</v>
      </c>
      <c r="G62" s="15">
        <v>87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</row>
    <row r="63" spans="1:15" ht="17.25" customHeight="1" x14ac:dyDescent="0.25">
      <c r="A63" s="3" t="s">
        <v>66</v>
      </c>
      <c r="B63" s="15">
        <v>54</v>
      </c>
      <c r="C63" s="15">
        <v>120</v>
      </c>
      <c r="D63" s="15">
        <v>59</v>
      </c>
      <c r="E63" s="15">
        <v>147</v>
      </c>
      <c r="F63" s="16">
        <v>28</v>
      </c>
      <c r="G63" s="16">
        <v>42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2</v>
      </c>
    </row>
    <row r="64" spans="1:15" ht="17.25" customHeight="1" x14ac:dyDescent="0.25">
      <c r="A64" s="3" t="s">
        <v>67</v>
      </c>
      <c r="B64" s="15">
        <v>58</v>
      </c>
      <c r="C64" s="15">
        <v>119</v>
      </c>
      <c r="D64" s="15">
        <v>32</v>
      </c>
      <c r="E64" s="15">
        <v>64</v>
      </c>
      <c r="F64" s="16">
        <v>20</v>
      </c>
      <c r="G64" s="16">
        <v>37</v>
      </c>
      <c r="H64" s="15">
        <v>1</v>
      </c>
      <c r="I64" s="15">
        <v>1</v>
      </c>
      <c r="J64" s="15">
        <v>0</v>
      </c>
      <c r="K64" s="15">
        <v>0</v>
      </c>
      <c r="L64" s="15">
        <v>2</v>
      </c>
      <c r="M64" s="15">
        <v>1</v>
      </c>
      <c r="N64" s="15">
        <v>0</v>
      </c>
      <c r="O64" s="15">
        <v>0</v>
      </c>
    </row>
    <row r="65" spans="1:15" ht="17.25" customHeight="1" x14ac:dyDescent="0.25">
      <c r="A65" s="3" t="s">
        <v>68</v>
      </c>
      <c r="B65" s="15">
        <v>103</v>
      </c>
      <c r="C65" s="15">
        <v>189</v>
      </c>
      <c r="D65" s="15">
        <v>82</v>
      </c>
      <c r="E65" s="15">
        <v>66</v>
      </c>
      <c r="F65" s="16">
        <v>26</v>
      </c>
      <c r="G65" s="16">
        <v>16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</row>
    <row r="66" spans="1:15" ht="17.25" customHeight="1" x14ac:dyDescent="0.25">
      <c r="A66" s="3" t="s">
        <v>69</v>
      </c>
      <c r="B66" s="15">
        <v>316</v>
      </c>
      <c r="C66" s="15">
        <v>534</v>
      </c>
      <c r="D66" s="15">
        <v>365</v>
      </c>
      <c r="E66" s="15">
        <v>599</v>
      </c>
      <c r="F66" s="16">
        <v>37</v>
      </c>
      <c r="G66" s="16">
        <v>35</v>
      </c>
      <c r="H66" s="15">
        <v>0</v>
      </c>
      <c r="I66" s="15">
        <v>0</v>
      </c>
      <c r="J66" s="15">
        <v>0</v>
      </c>
      <c r="K66" s="15">
        <v>6</v>
      </c>
      <c r="L66" s="15">
        <v>9</v>
      </c>
      <c r="M66" s="15">
        <v>48</v>
      </c>
      <c r="N66" s="15">
        <v>0</v>
      </c>
      <c r="O66" s="15">
        <v>5</v>
      </c>
    </row>
    <row r="67" spans="1:15" ht="17.25" customHeight="1" x14ac:dyDescent="0.25">
      <c r="A67" s="3" t="s">
        <v>70</v>
      </c>
      <c r="B67" s="15">
        <v>284</v>
      </c>
      <c r="C67" s="15">
        <v>553</v>
      </c>
      <c r="D67" s="15">
        <v>17</v>
      </c>
      <c r="E67" s="15">
        <v>32</v>
      </c>
      <c r="F67" s="16">
        <v>18</v>
      </c>
      <c r="G67" s="16">
        <v>36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5</v>
      </c>
      <c r="N67" s="15">
        <v>0</v>
      </c>
      <c r="O67" s="15">
        <v>1</v>
      </c>
    </row>
    <row r="68" spans="1:15" ht="17.25" customHeight="1" x14ac:dyDescent="0.25">
      <c r="A68" s="3" t="s">
        <v>71</v>
      </c>
      <c r="B68" s="15">
        <v>21</v>
      </c>
      <c r="C68" s="15">
        <v>93</v>
      </c>
      <c r="D68" s="15">
        <v>11</v>
      </c>
      <c r="E68" s="15">
        <v>21</v>
      </c>
      <c r="F68" s="16">
        <v>3</v>
      </c>
      <c r="G68" s="16">
        <v>20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</row>
    <row r="69" spans="1:15" ht="17.25" customHeight="1" x14ac:dyDescent="0.25">
      <c r="A69" s="12" t="s">
        <v>72</v>
      </c>
      <c r="B69" s="17">
        <v>129</v>
      </c>
      <c r="C69" s="17">
        <v>254</v>
      </c>
      <c r="D69" s="17">
        <v>28</v>
      </c>
      <c r="E69" s="17">
        <v>38</v>
      </c>
      <c r="F69" s="18">
        <v>48</v>
      </c>
      <c r="G69" s="18">
        <v>99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</row>
    <row r="70" spans="1:15" s="1" customFormat="1" ht="17.25" customHeight="1" x14ac:dyDescent="0.25">
      <c r="A70" s="4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 ht="17.25" customHeight="1" x14ac:dyDescent="0.25">
      <c r="A71" s="4" t="s">
        <v>73</v>
      </c>
      <c r="B71" s="14">
        <f t="shared" ref="B71:O71" si="5">SUM(B72:B86)</f>
        <v>3345</v>
      </c>
      <c r="C71" s="14">
        <f t="shared" si="5"/>
        <v>6868</v>
      </c>
      <c r="D71" s="14">
        <f t="shared" si="5"/>
        <v>1222</v>
      </c>
      <c r="E71" s="14">
        <f t="shared" si="5"/>
        <v>1890</v>
      </c>
      <c r="F71" s="20">
        <f t="shared" si="5"/>
        <v>496</v>
      </c>
      <c r="G71" s="20">
        <f t="shared" si="5"/>
        <v>779</v>
      </c>
      <c r="H71" s="14">
        <f t="shared" si="5"/>
        <v>0</v>
      </c>
      <c r="I71" s="14">
        <f t="shared" si="5"/>
        <v>0</v>
      </c>
      <c r="J71" s="14">
        <f t="shared" si="5"/>
        <v>0</v>
      </c>
      <c r="K71" s="14">
        <f t="shared" si="5"/>
        <v>12</v>
      </c>
      <c r="L71" s="14">
        <f t="shared" si="5"/>
        <v>43</v>
      </c>
      <c r="M71" s="14">
        <f t="shared" si="5"/>
        <v>246</v>
      </c>
      <c r="N71" s="14">
        <f t="shared" si="5"/>
        <v>2</v>
      </c>
      <c r="O71" s="14">
        <f t="shared" si="5"/>
        <v>45</v>
      </c>
    </row>
    <row r="72" spans="1:15" ht="17.25" customHeight="1" x14ac:dyDescent="0.25">
      <c r="A72" s="3" t="s">
        <v>74</v>
      </c>
      <c r="B72" s="15">
        <v>1273</v>
      </c>
      <c r="C72" s="15">
        <v>2366</v>
      </c>
      <c r="D72" s="15">
        <v>322</v>
      </c>
      <c r="E72" s="15">
        <v>170</v>
      </c>
      <c r="F72" s="16">
        <v>64</v>
      </c>
      <c r="G72" s="16">
        <v>81</v>
      </c>
      <c r="H72" s="15">
        <v>0</v>
      </c>
      <c r="I72" s="15">
        <v>0</v>
      </c>
      <c r="J72" s="15">
        <v>0</v>
      </c>
      <c r="K72" s="15">
        <v>12</v>
      </c>
      <c r="L72" s="15">
        <v>33</v>
      </c>
      <c r="M72" s="15">
        <v>139</v>
      </c>
      <c r="N72" s="15">
        <v>0</v>
      </c>
      <c r="O72" s="15">
        <v>19</v>
      </c>
    </row>
    <row r="73" spans="1:15" ht="17.25" customHeight="1" x14ac:dyDescent="0.25">
      <c r="A73" s="3" t="s">
        <v>75</v>
      </c>
      <c r="B73" s="15">
        <v>112</v>
      </c>
      <c r="C73" s="15">
        <v>210</v>
      </c>
      <c r="D73" s="15">
        <v>75</v>
      </c>
      <c r="E73" s="15">
        <v>242</v>
      </c>
      <c r="F73" s="16">
        <v>40</v>
      </c>
      <c r="G73" s="16">
        <v>63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2</v>
      </c>
      <c r="N73" s="15">
        <v>0</v>
      </c>
      <c r="O73" s="15">
        <v>0</v>
      </c>
    </row>
    <row r="74" spans="1:15" ht="17.25" customHeight="1" x14ac:dyDescent="0.25">
      <c r="A74" s="3" t="s">
        <v>76</v>
      </c>
      <c r="B74" s="15">
        <v>20</v>
      </c>
      <c r="C74" s="15">
        <v>48</v>
      </c>
      <c r="D74" s="15">
        <v>19</v>
      </c>
      <c r="E74" s="15">
        <v>29</v>
      </c>
      <c r="F74" s="16">
        <v>0</v>
      </c>
      <c r="G74" s="16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</row>
    <row r="75" spans="1:15" ht="17.25" customHeight="1" x14ac:dyDescent="0.25">
      <c r="A75" s="3" t="s">
        <v>77</v>
      </c>
      <c r="B75" s="15">
        <v>15</v>
      </c>
      <c r="C75" s="15">
        <v>51</v>
      </c>
      <c r="D75" s="15">
        <v>23</v>
      </c>
      <c r="E75" s="15">
        <v>30</v>
      </c>
      <c r="F75" s="16">
        <v>16</v>
      </c>
      <c r="G75" s="16">
        <v>20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</row>
    <row r="76" spans="1:15" ht="17.25" customHeight="1" x14ac:dyDescent="0.25">
      <c r="A76" s="3" t="s">
        <v>78</v>
      </c>
      <c r="B76" s="15">
        <v>26</v>
      </c>
      <c r="C76" s="15">
        <v>54</v>
      </c>
      <c r="D76" s="15">
        <v>19</v>
      </c>
      <c r="E76" s="15">
        <v>34</v>
      </c>
      <c r="F76" s="15">
        <v>1</v>
      </c>
      <c r="G76" s="15">
        <v>5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</row>
    <row r="77" spans="1:15" ht="17.25" customHeight="1" x14ac:dyDescent="0.25">
      <c r="A77" s="3" t="s">
        <v>79</v>
      </c>
      <c r="B77" s="15">
        <v>24</v>
      </c>
      <c r="C77" s="15">
        <v>103</v>
      </c>
      <c r="D77" s="15">
        <v>33</v>
      </c>
      <c r="E77" s="15">
        <v>80</v>
      </c>
      <c r="F77" s="15">
        <v>3</v>
      </c>
      <c r="G77" s="15">
        <v>1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</row>
    <row r="78" spans="1:15" ht="17.25" customHeight="1" x14ac:dyDescent="0.25">
      <c r="A78" s="3" t="s">
        <v>80</v>
      </c>
      <c r="B78" s="15">
        <v>151</v>
      </c>
      <c r="C78" s="15">
        <v>342</v>
      </c>
      <c r="D78" s="15">
        <v>110</v>
      </c>
      <c r="E78" s="15">
        <v>315</v>
      </c>
      <c r="F78" s="16">
        <v>26</v>
      </c>
      <c r="G78" s="16">
        <v>67</v>
      </c>
      <c r="H78" s="15">
        <v>0</v>
      </c>
      <c r="I78" s="15">
        <v>0</v>
      </c>
      <c r="J78" s="15">
        <v>0</v>
      </c>
      <c r="K78" s="15">
        <v>0</v>
      </c>
      <c r="L78" s="15">
        <v>6</v>
      </c>
      <c r="M78" s="15">
        <v>30</v>
      </c>
      <c r="N78" s="15">
        <v>0</v>
      </c>
      <c r="O78" s="15">
        <v>0</v>
      </c>
    </row>
    <row r="79" spans="1:15" ht="17.25" customHeight="1" x14ac:dyDescent="0.25">
      <c r="A79" s="3" t="s">
        <v>81</v>
      </c>
      <c r="B79" s="15">
        <v>46</v>
      </c>
      <c r="C79" s="15">
        <v>126</v>
      </c>
      <c r="D79" s="15">
        <v>1</v>
      </c>
      <c r="E79" s="15">
        <v>2</v>
      </c>
      <c r="F79" s="16">
        <v>6</v>
      </c>
      <c r="G79" s="16">
        <v>23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</row>
    <row r="80" spans="1:15" ht="17.25" customHeight="1" x14ac:dyDescent="0.25">
      <c r="A80" s="3" t="s">
        <v>82</v>
      </c>
      <c r="B80" s="15">
        <v>44</v>
      </c>
      <c r="C80" s="15">
        <v>100</v>
      </c>
      <c r="D80" s="15">
        <v>89</v>
      </c>
      <c r="E80" s="15">
        <v>91</v>
      </c>
      <c r="F80" s="16">
        <v>14</v>
      </c>
      <c r="G80" s="16">
        <v>9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</row>
    <row r="81" spans="1:15" ht="17.25" customHeight="1" x14ac:dyDescent="0.25">
      <c r="A81" s="3" t="s">
        <v>83</v>
      </c>
      <c r="B81" s="15">
        <v>472</v>
      </c>
      <c r="C81" s="15">
        <v>1206</v>
      </c>
      <c r="D81" s="15">
        <v>26</v>
      </c>
      <c r="E81" s="15">
        <v>37</v>
      </c>
      <c r="F81" s="16">
        <v>170</v>
      </c>
      <c r="G81" s="16">
        <v>264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25</v>
      </c>
      <c r="N81" s="15">
        <v>0</v>
      </c>
      <c r="O81" s="15">
        <v>0</v>
      </c>
    </row>
    <row r="82" spans="1:15" ht="17.25" customHeight="1" x14ac:dyDescent="0.25">
      <c r="A82" s="3" t="s">
        <v>84</v>
      </c>
      <c r="B82" s="15">
        <v>74</v>
      </c>
      <c r="C82" s="15">
        <v>191</v>
      </c>
      <c r="D82" s="15">
        <v>9</v>
      </c>
      <c r="E82" s="15">
        <v>54</v>
      </c>
      <c r="F82" s="16">
        <v>2</v>
      </c>
      <c r="G82" s="16">
        <v>10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</row>
    <row r="83" spans="1:15" ht="17.25" customHeight="1" x14ac:dyDescent="0.25">
      <c r="A83" s="3" t="s">
        <v>85</v>
      </c>
      <c r="B83" s="15">
        <v>248</v>
      </c>
      <c r="C83" s="15">
        <v>398</v>
      </c>
      <c r="D83" s="15">
        <v>226</v>
      </c>
      <c r="E83" s="15">
        <v>437</v>
      </c>
      <c r="F83" s="15">
        <v>31</v>
      </c>
      <c r="G83" s="15">
        <v>60</v>
      </c>
      <c r="H83" s="15">
        <v>0</v>
      </c>
      <c r="I83" s="15">
        <v>0</v>
      </c>
      <c r="J83" s="15">
        <v>0</v>
      </c>
      <c r="K83" s="15">
        <v>0</v>
      </c>
      <c r="L83" s="15">
        <v>3</v>
      </c>
      <c r="M83" s="15">
        <v>39</v>
      </c>
      <c r="N83" s="15">
        <v>0</v>
      </c>
      <c r="O83" s="15">
        <v>0</v>
      </c>
    </row>
    <row r="84" spans="1:15" ht="17.25" customHeight="1" x14ac:dyDescent="0.25">
      <c r="A84" s="3" t="s">
        <v>86</v>
      </c>
      <c r="B84" s="15">
        <v>286</v>
      </c>
      <c r="C84" s="15">
        <v>649</v>
      </c>
      <c r="D84" s="15">
        <v>47</v>
      </c>
      <c r="E84" s="15">
        <v>52</v>
      </c>
      <c r="F84" s="16">
        <v>33</v>
      </c>
      <c r="G84" s="16">
        <v>20</v>
      </c>
      <c r="H84" s="15">
        <v>0</v>
      </c>
      <c r="I84" s="15">
        <v>0</v>
      </c>
      <c r="J84" s="15">
        <v>0</v>
      </c>
      <c r="K84" s="15">
        <v>0</v>
      </c>
      <c r="L84" s="15">
        <v>1</v>
      </c>
      <c r="M84" s="15">
        <v>11</v>
      </c>
      <c r="N84" s="15">
        <v>2</v>
      </c>
      <c r="O84" s="15">
        <v>26</v>
      </c>
    </row>
    <row r="85" spans="1:15" ht="17.25" customHeight="1" x14ac:dyDescent="0.25">
      <c r="A85" s="3" t="s">
        <v>87</v>
      </c>
      <c r="B85" s="15">
        <v>79</v>
      </c>
      <c r="C85" s="15">
        <v>136</v>
      </c>
      <c r="D85" s="15">
        <v>85</v>
      </c>
      <c r="E85" s="15">
        <v>120</v>
      </c>
      <c r="F85" s="16">
        <v>35</v>
      </c>
      <c r="G85" s="16">
        <v>62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</row>
    <row r="86" spans="1:15" ht="17.25" customHeight="1" x14ac:dyDescent="0.25">
      <c r="A86" s="12" t="s">
        <v>88</v>
      </c>
      <c r="B86" s="17">
        <v>475</v>
      </c>
      <c r="C86" s="17">
        <v>888</v>
      </c>
      <c r="D86" s="17">
        <v>138</v>
      </c>
      <c r="E86" s="17">
        <v>197</v>
      </c>
      <c r="F86" s="18">
        <v>55</v>
      </c>
      <c r="G86" s="18">
        <v>94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</row>
    <row r="87" spans="1:15" s="1" customFormat="1" ht="17.25" customHeight="1" x14ac:dyDescent="0.25">
      <c r="A87" s="4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spans="1:15" ht="17.25" customHeight="1" x14ac:dyDescent="0.25">
      <c r="A88" s="4" t="s">
        <v>89</v>
      </c>
      <c r="B88" s="14">
        <f t="shared" ref="B88:O88" si="6">SUM(B89:B101)</f>
        <v>1803</v>
      </c>
      <c r="C88" s="14">
        <f t="shared" si="6"/>
        <v>4248</v>
      </c>
      <c r="D88" s="14">
        <f t="shared" si="6"/>
        <v>1977</v>
      </c>
      <c r="E88" s="14">
        <f t="shared" si="6"/>
        <v>3467</v>
      </c>
      <c r="F88" s="20">
        <f t="shared" si="6"/>
        <v>316</v>
      </c>
      <c r="G88" s="20">
        <f t="shared" si="6"/>
        <v>763</v>
      </c>
      <c r="H88" s="14">
        <f t="shared" si="6"/>
        <v>0</v>
      </c>
      <c r="I88" s="14">
        <f t="shared" si="6"/>
        <v>0</v>
      </c>
      <c r="J88" s="14">
        <f t="shared" si="6"/>
        <v>0</v>
      </c>
      <c r="K88" s="14">
        <f t="shared" si="6"/>
        <v>0</v>
      </c>
      <c r="L88" s="14">
        <f t="shared" si="6"/>
        <v>27</v>
      </c>
      <c r="M88" s="14">
        <f t="shared" si="6"/>
        <v>138</v>
      </c>
      <c r="N88" s="14">
        <f t="shared" si="6"/>
        <v>0</v>
      </c>
      <c r="O88" s="14">
        <f t="shared" si="6"/>
        <v>0</v>
      </c>
    </row>
    <row r="89" spans="1:15" ht="17.25" customHeight="1" x14ac:dyDescent="0.25">
      <c r="A89" s="3" t="s">
        <v>90</v>
      </c>
      <c r="B89" s="15">
        <v>86</v>
      </c>
      <c r="C89" s="15">
        <v>488</v>
      </c>
      <c r="D89" s="15">
        <v>704</v>
      </c>
      <c r="E89" s="15">
        <v>1366</v>
      </c>
      <c r="F89" s="16">
        <v>101</v>
      </c>
      <c r="G89" s="16">
        <v>189</v>
      </c>
      <c r="H89" s="15">
        <v>0</v>
      </c>
      <c r="I89" s="15">
        <v>0</v>
      </c>
      <c r="J89" s="15">
        <v>0</v>
      </c>
      <c r="K89" s="15">
        <v>0</v>
      </c>
      <c r="L89" s="15">
        <v>25</v>
      </c>
      <c r="M89" s="15">
        <v>81</v>
      </c>
      <c r="N89" s="15">
        <v>0</v>
      </c>
      <c r="O89" s="15">
        <v>0</v>
      </c>
    </row>
    <row r="90" spans="1:15" ht="17.25" customHeight="1" x14ac:dyDescent="0.25">
      <c r="A90" s="3" t="s">
        <v>91</v>
      </c>
      <c r="B90" s="15">
        <v>265</v>
      </c>
      <c r="C90" s="15">
        <v>358</v>
      </c>
      <c r="D90" s="15">
        <v>87</v>
      </c>
      <c r="E90" s="15">
        <v>240</v>
      </c>
      <c r="F90" s="16">
        <v>8</v>
      </c>
      <c r="G90" s="16">
        <v>32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</row>
    <row r="91" spans="1:15" ht="17.25" customHeight="1" x14ac:dyDescent="0.25">
      <c r="A91" s="3" t="s">
        <v>92</v>
      </c>
      <c r="B91" s="15">
        <v>89</v>
      </c>
      <c r="C91" s="15">
        <v>243</v>
      </c>
      <c r="D91" s="15">
        <v>58</v>
      </c>
      <c r="E91" s="15">
        <v>214</v>
      </c>
      <c r="F91" s="16">
        <v>13</v>
      </c>
      <c r="G91" s="16">
        <v>47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</row>
    <row r="92" spans="1:15" ht="17.25" customHeight="1" x14ac:dyDescent="0.25">
      <c r="A92" s="3" t="s">
        <v>93</v>
      </c>
      <c r="B92" s="15">
        <v>30</v>
      </c>
      <c r="C92" s="15">
        <v>101</v>
      </c>
      <c r="D92" s="15">
        <v>9</v>
      </c>
      <c r="E92" s="15">
        <v>18</v>
      </c>
      <c r="F92" s="16">
        <v>3</v>
      </c>
      <c r="G92" s="16">
        <v>14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</row>
    <row r="93" spans="1:15" ht="17.25" customHeight="1" x14ac:dyDescent="0.25">
      <c r="A93" s="3" t="s">
        <v>94</v>
      </c>
      <c r="B93" s="15">
        <v>10</v>
      </c>
      <c r="C93" s="15">
        <v>4</v>
      </c>
      <c r="D93" s="15">
        <v>77</v>
      </c>
      <c r="E93" s="15">
        <v>72</v>
      </c>
      <c r="F93" s="16">
        <v>0</v>
      </c>
      <c r="G93" s="16">
        <v>4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</row>
    <row r="94" spans="1:15" ht="17.25" customHeight="1" x14ac:dyDescent="0.25">
      <c r="A94" s="3" t="s">
        <v>95</v>
      </c>
      <c r="B94" s="15">
        <v>72</v>
      </c>
      <c r="C94" s="15">
        <v>131</v>
      </c>
      <c r="D94" s="15">
        <v>44</v>
      </c>
      <c r="E94" s="15">
        <v>53</v>
      </c>
      <c r="F94" s="15">
        <v>14</v>
      </c>
      <c r="G94" s="15">
        <v>62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</row>
    <row r="95" spans="1:15" ht="17.25" customHeight="1" x14ac:dyDescent="0.25">
      <c r="A95" s="3" t="s">
        <v>96</v>
      </c>
      <c r="B95" s="15">
        <v>35</v>
      </c>
      <c r="C95" s="15">
        <v>76</v>
      </c>
      <c r="D95" s="15">
        <v>26</v>
      </c>
      <c r="E95" s="15">
        <v>45</v>
      </c>
      <c r="F95" s="15">
        <v>4</v>
      </c>
      <c r="G95" s="15">
        <v>6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</row>
    <row r="96" spans="1:15" ht="17.25" customHeight="1" x14ac:dyDescent="0.25">
      <c r="A96" s="3" t="s">
        <v>97</v>
      </c>
      <c r="B96" s="15">
        <v>10</v>
      </c>
      <c r="C96" s="15">
        <v>34</v>
      </c>
      <c r="D96" s="15">
        <v>18</v>
      </c>
      <c r="E96" s="15">
        <v>19</v>
      </c>
      <c r="F96" s="15">
        <v>0</v>
      </c>
      <c r="G96" s="15">
        <v>2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</row>
    <row r="97" spans="1:15" ht="17.25" customHeight="1" x14ac:dyDescent="0.25">
      <c r="A97" s="3" t="s">
        <v>98</v>
      </c>
      <c r="B97" s="15">
        <v>495</v>
      </c>
      <c r="C97" s="15">
        <v>1050</v>
      </c>
      <c r="D97" s="15">
        <v>288</v>
      </c>
      <c r="E97" s="15">
        <v>435</v>
      </c>
      <c r="F97" s="16">
        <v>47</v>
      </c>
      <c r="G97" s="16">
        <v>76</v>
      </c>
      <c r="H97" s="15">
        <v>0</v>
      </c>
      <c r="I97" s="15">
        <v>0</v>
      </c>
      <c r="J97" s="15">
        <v>0</v>
      </c>
      <c r="K97" s="15">
        <v>0</v>
      </c>
      <c r="L97" s="15">
        <v>1</v>
      </c>
      <c r="M97" s="15">
        <v>36</v>
      </c>
      <c r="N97" s="15">
        <v>0</v>
      </c>
      <c r="O97" s="15">
        <v>0</v>
      </c>
    </row>
    <row r="98" spans="1:15" ht="17.25" customHeight="1" x14ac:dyDescent="0.25">
      <c r="A98" s="3" t="s">
        <v>99</v>
      </c>
      <c r="B98" s="15">
        <v>191</v>
      </c>
      <c r="C98" s="15">
        <v>475</v>
      </c>
      <c r="D98" s="15">
        <v>122</v>
      </c>
      <c r="E98" s="15">
        <v>231</v>
      </c>
      <c r="F98" s="16">
        <v>42</v>
      </c>
      <c r="G98" s="16">
        <v>147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5</v>
      </c>
      <c r="N98" s="15">
        <v>0</v>
      </c>
      <c r="O98" s="15">
        <v>0</v>
      </c>
    </row>
    <row r="99" spans="1:15" ht="17.25" customHeight="1" x14ac:dyDescent="0.25">
      <c r="A99" s="3" t="s">
        <v>100</v>
      </c>
      <c r="B99" s="15">
        <v>332</v>
      </c>
      <c r="C99" s="15">
        <v>653</v>
      </c>
      <c r="D99" s="15">
        <v>215</v>
      </c>
      <c r="E99" s="15">
        <v>228</v>
      </c>
      <c r="F99" s="16">
        <v>49</v>
      </c>
      <c r="G99" s="16">
        <v>101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</row>
    <row r="100" spans="1:15" ht="17.25" customHeight="1" x14ac:dyDescent="0.25">
      <c r="A100" s="3" t="s">
        <v>101</v>
      </c>
      <c r="B100" s="15">
        <v>67</v>
      </c>
      <c r="C100" s="15">
        <v>336</v>
      </c>
      <c r="D100" s="15">
        <v>120</v>
      </c>
      <c r="E100" s="15">
        <v>219</v>
      </c>
      <c r="F100" s="16">
        <v>18</v>
      </c>
      <c r="G100" s="16">
        <v>58</v>
      </c>
      <c r="H100" s="15">
        <v>0</v>
      </c>
      <c r="I100" s="15">
        <v>0</v>
      </c>
      <c r="J100" s="15">
        <v>0</v>
      </c>
      <c r="K100" s="15">
        <v>0</v>
      </c>
      <c r="L100" s="15">
        <v>1</v>
      </c>
      <c r="M100" s="15">
        <v>9</v>
      </c>
      <c r="N100" s="15">
        <v>0</v>
      </c>
      <c r="O100" s="15">
        <v>0</v>
      </c>
    </row>
    <row r="101" spans="1:15" ht="17.25" customHeight="1" x14ac:dyDescent="0.25">
      <c r="A101" s="12" t="s">
        <v>47</v>
      </c>
      <c r="B101" s="17">
        <v>121</v>
      </c>
      <c r="C101" s="17">
        <v>299</v>
      </c>
      <c r="D101" s="17">
        <v>209</v>
      </c>
      <c r="E101" s="17">
        <v>327</v>
      </c>
      <c r="F101" s="18">
        <v>17</v>
      </c>
      <c r="G101" s="18">
        <v>25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7</v>
      </c>
      <c r="N101" s="17">
        <v>0</v>
      </c>
      <c r="O101" s="17">
        <v>0</v>
      </c>
    </row>
    <row r="102" spans="1:15" s="1" customFormat="1" ht="17.25" customHeight="1" x14ac:dyDescent="0.25">
      <c r="A102" s="4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 ht="17.25" customHeight="1" x14ac:dyDescent="0.25">
      <c r="A103" s="4" t="s">
        <v>102</v>
      </c>
      <c r="B103" s="14">
        <f t="shared" ref="B103:O103" si="7">SUM(B104:B107)</f>
        <v>2222</v>
      </c>
      <c r="C103" s="14">
        <f t="shared" si="7"/>
        <v>4630</v>
      </c>
      <c r="D103" s="14">
        <f t="shared" si="7"/>
        <v>172</v>
      </c>
      <c r="E103" s="14">
        <f t="shared" si="7"/>
        <v>282</v>
      </c>
      <c r="F103" s="20">
        <f t="shared" si="7"/>
        <v>562</v>
      </c>
      <c r="G103" s="20">
        <f t="shared" si="7"/>
        <v>683</v>
      </c>
      <c r="H103" s="14">
        <f t="shared" si="7"/>
        <v>1</v>
      </c>
      <c r="I103" s="14">
        <f t="shared" si="7"/>
        <v>0</v>
      </c>
      <c r="J103" s="14">
        <f t="shared" si="7"/>
        <v>0</v>
      </c>
      <c r="K103" s="14">
        <f t="shared" si="7"/>
        <v>0</v>
      </c>
      <c r="L103" s="14">
        <f t="shared" si="7"/>
        <v>0</v>
      </c>
      <c r="M103" s="14">
        <f t="shared" si="7"/>
        <v>21</v>
      </c>
      <c r="N103" s="14">
        <f t="shared" si="7"/>
        <v>0</v>
      </c>
      <c r="O103" s="14">
        <f t="shared" si="7"/>
        <v>16</v>
      </c>
    </row>
    <row r="104" spans="1:15" ht="17.25" customHeight="1" x14ac:dyDescent="0.25">
      <c r="A104" s="3" t="s">
        <v>103</v>
      </c>
      <c r="B104" s="15">
        <v>1706</v>
      </c>
      <c r="C104" s="15">
        <v>3608</v>
      </c>
      <c r="D104" s="15">
        <v>0</v>
      </c>
      <c r="E104" s="15">
        <v>1</v>
      </c>
      <c r="F104" s="16">
        <v>419</v>
      </c>
      <c r="G104" s="16">
        <v>388</v>
      </c>
      <c r="H104" s="15">
        <v>1</v>
      </c>
      <c r="I104" s="15">
        <v>0</v>
      </c>
      <c r="J104" s="15">
        <v>0</v>
      </c>
      <c r="K104" s="15">
        <v>0</v>
      </c>
      <c r="L104" s="15">
        <v>0</v>
      </c>
      <c r="M104" s="15">
        <v>20</v>
      </c>
      <c r="N104" s="15">
        <v>0</v>
      </c>
      <c r="O104" s="15">
        <v>10</v>
      </c>
    </row>
    <row r="105" spans="1:15" ht="17.25" customHeight="1" x14ac:dyDescent="0.25">
      <c r="A105" s="3" t="s">
        <v>104</v>
      </c>
      <c r="B105" s="15">
        <v>41</v>
      </c>
      <c r="C105" s="15">
        <v>19</v>
      </c>
      <c r="D105" s="15">
        <v>9</v>
      </c>
      <c r="E105" s="15">
        <v>15</v>
      </c>
      <c r="F105" s="16">
        <v>73</v>
      </c>
      <c r="G105" s="16">
        <v>164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4</v>
      </c>
    </row>
    <row r="106" spans="1:15" ht="17.25" customHeight="1" x14ac:dyDescent="0.25">
      <c r="A106" s="3" t="s">
        <v>105</v>
      </c>
      <c r="B106" s="15">
        <v>420</v>
      </c>
      <c r="C106" s="15">
        <v>961</v>
      </c>
      <c r="D106" s="15">
        <v>94</v>
      </c>
      <c r="E106" s="15">
        <v>149</v>
      </c>
      <c r="F106" s="16">
        <v>45</v>
      </c>
      <c r="G106" s="16">
        <v>92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1</v>
      </c>
      <c r="N106" s="15">
        <v>0</v>
      </c>
      <c r="O106" s="15">
        <v>2</v>
      </c>
    </row>
    <row r="107" spans="1:15" ht="17.25" customHeight="1" x14ac:dyDescent="0.25">
      <c r="A107" s="12" t="s">
        <v>106</v>
      </c>
      <c r="B107" s="17">
        <v>55</v>
      </c>
      <c r="C107" s="17">
        <v>42</v>
      </c>
      <c r="D107" s="17">
        <v>69</v>
      </c>
      <c r="E107" s="17">
        <v>117</v>
      </c>
      <c r="F107" s="18">
        <v>25</v>
      </c>
      <c r="G107" s="18">
        <v>39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</row>
    <row r="108" spans="1:15" s="1" customFormat="1" ht="17.25" customHeight="1" x14ac:dyDescent="0.25">
      <c r="A108" s="4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</row>
    <row r="109" spans="1:15" ht="17.25" customHeight="1" x14ac:dyDescent="0.25">
      <c r="A109" s="4" t="s">
        <v>107</v>
      </c>
      <c r="B109" s="14">
        <f t="shared" ref="B109:O109" si="8">SUM(B110:B118)</f>
        <v>2950</v>
      </c>
      <c r="C109" s="14">
        <f t="shared" si="8"/>
        <v>6225</v>
      </c>
      <c r="D109" s="14">
        <f t="shared" si="8"/>
        <v>2107</v>
      </c>
      <c r="E109" s="14">
        <f t="shared" si="8"/>
        <v>3895</v>
      </c>
      <c r="F109" s="20">
        <f t="shared" si="8"/>
        <v>828</v>
      </c>
      <c r="G109" s="20">
        <f t="shared" si="8"/>
        <v>1443</v>
      </c>
      <c r="H109" s="14">
        <f t="shared" si="8"/>
        <v>0</v>
      </c>
      <c r="I109" s="14">
        <f t="shared" si="8"/>
        <v>0</v>
      </c>
      <c r="J109" s="14">
        <f t="shared" si="8"/>
        <v>0</v>
      </c>
      <c r="K109" s="14">
        <f t="shared" si="8"/>
        <v>0</v>
      </c>
      <c r="L109" s="14">
        <f t="shared" si="8"/>
        <v>3</v>
      </c>
      <c r="M109" s="14">
        <f t="shared" si="8"/>
        <v>4</v>
      </c>
      <c r="N109" s="14">
        <f t="shared" si="8"/>
        <v>0</v>
      </c>
      <c r="O109" s="14">
        <f t="shared" si="8"/>
        <v>0</v>
      </c>
    </row>
    <row r="110" spans="1:15" ht="17.25" customHeight="1" x14ac:dyDescent="0.25">
      <c r="A110" s="3" t="s">
        <v>108</v>
      </c>
      <c r="B110" s="15">
        <v>571</v>
      </c>
      <c r="C110" s="15">
        <v>1409</v>
      </c>
      <c r="D110" s="15">
        <v>641</v>
      </c>
      <c r="E110" s="15">
        <v>1274</v>
      </c>
      <c r="F110" s="15">
        <v>210</v>
      </c>
      <c r="G110" s="15">
        <v>397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2</v>
      </c>
      <c r="N110" s="15">
        <v>0</v>
      </c>
      <c r="O110" s="15">
        <v>0</v>
      </c>
    </row>
    <row r="111" spans="1:15" ht="17.25" customHeight="1" x14ac:dyDescent="0.25">
      <c r="A111" s="3" t="s">
        <v>109</v>
      </c>
      <c r="B111" s="15">
        <v>503</v>
      </c>
      <c r="C111" s="15">
        <v>1171</v>
      </c>
      <c r="D111" s="15">
        <v>250</v>
      </c>
      <c r="E111" s="15">
        <v>500</v>
      </c>
      <c r="F111" s="15">
        <v>87</v>
      </c>
      <c r="G111" s="15">
        <v>199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1</v>
      </c>
      <c r="N111" s="15">
        <v>0</v>
      </c>
      <c r="O111" s="15">
        <v>0</v>
      </c>
    </row>
    <row r="112" spans="1:15" ht="17.25" customHeight="1" x14ac:dyDescent="0.25">
      <c r="A112" s="3" t="s">
        <v>110</v>
      </c>
      <c r="B112" s="15">
        <v>167</v>
      </c>
      <c r="C112" s="15">
        <v>306</v>
      </c>
      <c r="D112" s="15">
        <v>233</v>
      </c>
      <c r="E112" s="15">
        <v>289</v>
      </c>
      <c r="F112" s="16">
        <v>52</v>
      </c>
      <c r="G112" s="16">
        <v>104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</row>
    <row r="113" spans="1:15" ht="17.25" customHeight="1" x14ac:dyDescent="0.25">
      <c r="A113" s="3" t="s">
        <v>111</v>
      </c>
      <c r="B113" s="15">
        <v>694</v>
      </c>
      <c r="C113" s="15">
        <v>1276</v>
      </c>
      <c r="D113" s="15">
        <v>277</v>
      </c>
      <c r="E113" s="15">
        <v>508</v>
      </c>
      <c r="F113" s="16">
        <v>121</v>
      </c>
      <c r="G113" s="16">
        <v>291</v>
      </c>
      <c r="H113" s="15">
        <v>0</v>
      </c>
      <c r="I113" s="15">
        <v>0</v>
      </c>
      <c r="J113" s="15">
        <v>0</v>
      </c>
      <c r="K113" s="15">
        <v>0</v>
      </c>
      <c r="L113" s="15">
        <v>1</v>
      </c>
      <c r="M113" s="15">
        <v>0</v>
      </c>
      <c r="N113" s="15">
        <v>0</v>
      </c>
      <c r="O113" s="15">
        <v>0</v>
      </c>
    </row>
    <row r="114" spans="1:15" ht="17.25" customHeight="1" x14ac:dyDescent="0.25">
      <c r="A114" s="3" t="s">
        <v>112</v>
      </c>
      <c r="B114" s="15">
        <v>179</v>
      </c>
      <c r="C114" s="15">
        <v>497</v>
      </c>
      <c r="D114" s="15">
        <v>146</v>
      </c>
      <c r="E114" s="15">
        <v>426</v>
      </c>
      <c r="F114" s="16">
        <v>35</v>
      </c>
      <c r="G114" s="16">
        <v>72</v>
      </c>
      <c r="H114" s="15">
        <v>0</v>
      </c>
      <c r="I114" s="15">
        <v>0</v>
      </c>
      <c r="J114" s="15">
        <v>0</v>
      </c>
      <c r="K114" s="15">
        <v>0</v>
      </c>
      <c r="L114" s="15">
        <v>1</v>
      </c>
      <c r="M114" s="15">
        <v>0</v>
      </c>
      <c r="N114" s="15">
        <v>0</v>
      </c>
      <c r="O114" s="15">
        <v>0</v>
      </c>
    </row>
    <row r="115" spans="1:15" ht="17.25" customHeight="1" x14ac:dyDescent="0.25">
      <c r="A115" s="3" t="s">
        <v>113</v>
      </c>
      <c r="B115" s="15">
        <v>329</v>
      </c>
      <c r="C115" s="15">
        <v>644</v>
      </c>
      <c r="D115" s="15">
        <v>154</v>
      </c>
      <c r="E115" s="15">
        <v>281</v>
      </c>
      <c r="F115" s="16">
        <v>170</v>
      </c>
      <c r="G115" s="16">
        <v>173</v>
      </c>
      <c r="H115" s="15">
        <v>0</v>
      </c>
      <c r="I115" s="15">
        <v>0</v>
      </c>
      <c r="J115" s="15">
        <v>0</v>
      </c>
      <c r="K115" s="15">
        <v>0</v>
      </c>
      <c r="L115" s="15">
        <v>1</v>
      </c>
      <c r="M115" s="15">
        <v>0</v>
      </c>
      <c r="N115" s="15">
        <v>0</v>
      </c>
      <c r="O115" s="15">
        <v>0</v>
      </c>
    </row>
    <row r="116" spans="1:15" ht="17.25" customHeight="1" x14ac:dyDescent="0.25">
      <c r="A116" s="3" t="s">
        <v>114</v>
      </c>
      <c r="B116" s="15">
        <v>77</v>
      </c>
      <c r="C116" s="15">
        <v>164</v>
      </c>
      <c r="D116" s="15">
        <v>57</v>
      </c>
      <c r="E116" s="15">
        <v>75</v>
      </c>
      <c r="F116" s="16">
        <v>31</v>
      </c>
      <c r="G116" s="16">
        <v>47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</row>
    <row r="117" spans="1:15" ht="17.25" customHeight="1" x14ac:dyDescent="0.25">
      <c r="A117" s="3" t="s">
        <v>115</v>
      </c>
      <c r="B117" s="15">
        <v>188</v>
      </c>
      <c r="C117" s="15">
        <v>511</v>
      </c>
      <c r="D117" s="15">
        <v>178</v>
      </c>
      <c r="E117" s="15">
        <v>352</v>
      </c>
      <c r="F117" s="15">
        <v>43</v>
      </c>
      <c r="G117" s="15">
        <v>94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1</v>
      </c>
      <c r="N117" s="15">
        <v>0</v>
      </c>
      <c r="O117" s="15">
        <v>0</v>
      </c>
    </row>
    <row r="118" spans="1:15" ht="17.25" customHeight="1" x14ac:dyDescent="0.25">
      <c r="A118" s="12" t="s">
        <v>116</v>
      </c>
      <c r="B118" s="17">
        <v>242</v>
      </c>
      <c r="C118" s="17">
        <v>247</v>
      </c>
      <c r="D118" s="17">
        <v>171</v>
      </c>
      <c r="E118" s="17">
        <v>190</v>
      </c>
      <c r="F118" s="17">
        <v>79</v>
      </c>
      <c r="G118" s="17">
        <v>66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</row>
    <row r="119" spans="1:15" s="1" customFormat="1" ht="17.25" customHeight="1" x14ac:dyDescent="0.25">
      <c r="A119" s="4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 spans="1:15" ht="17.25" customHeight="1" x14ac:dyDescent="0.25">
      <c r="A120" s="4" t="s">
        <v>117</v>
      </c>
      <c r="B120" s="14">
        <f t="shared" ref="B120:O120" si="9">SUM(B121:B128)</f>
        <v>978</v>
      </c>
      <c r="C120" s="14">
        <f t="shared" si="9"/>
        <v>1789</v>
      </c>
      <c r="D120" s="14">
        <f t="shared" si="9"/>
        <v>641</v>
      </c>
      <c r="E120" s="14">
        <f t="shared" si="9"/>
        <v>822</v>
      </c>
      <c r="F120" s="14">
        <f t="shared" si="9"/>
        <v>251</v>
      </c>
      <c r="G120" s="14">
        <f t="shared" si="9"/>
        <v>479</v>
      </c>
      <c r="H120" s="14">
        <f t="shared" si="9"/>
        <v>0</v>
      </c>
      <c r="I120" s="14">
        <f t="shared" si="9"/>
        <v>0</v>
      </c>
      <c r="J120" s="14">
        <f t="shared" si="9"/>
        <v>0</v>
      </c>
      <c r="K120" s="14">
        <f t="shared" si="9"/>
        <v>3</v>
      </c>
      <c r="L120" s="14">
        <f t="shared" si="9"/>
        <v>0</v>
      </c>
      <c r="M120" s="14">
        <f t="shared" si="9"/>
        <v>12</v>
      </c>
      <c r="N120" s="14">
        <f t="shared" si="9"/>
        <v>0</v>
      </c>
      <c r="O120" s="14">
        <f t="shared" si="9"/>
        <v>0</v>
      </c>
    </row>
    <row r="121" spans="1:15" ht="17.25" customHeight="1" x14ac:dyDescent="0.25">
      <c r="A121" s="3" t="s">
        <v>118</v>
      </c>
      <c r="B121" s="15">
        <v>193</v>
      </c>
      <c r="C121" s="15">
        <v>437</v>
      </c>
      <c r="D121" s="15">
        <v>6</v>
      </c>
      <c r="E121" s="15">
        <v>27</v>
      </c>
      <c r="F121" s="16">
        <v>41</v>
      </c>
      <c r="G121" s="16">
        <v>99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2</v>
      </c>
      <c r="N121" s="15">
        <v>0</v>
      </c>
      <c r="O121" s="15">
        <v>0</v>
      </c>
    </row>
    <row r="122" spans="1:15" ht="17.25" customHeight="1" x14ac:dyDescent="0.25">
      <c r="A122" s="3" t="s">
        <v>119</v>
      </c>
      <c r="B122" s="15">
        <v>84</v>
      </c>
      <c r="C122" s="15">
        <v>220</v>
      </c>
      <c r="D122" s="15">
        <v>27</v>
      </c>
      <c r="E122" s="15">
        <v>59</v>
      </c>
      <c r="F122" s="16">
        <v>16</v>
      </c>
      <c r="G122" s="16">
        <v>23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1</v>
      </c>
      <c r="N122" s="15">
        <v>0</v>
      </c>
      <c r="O122" s="15">
        <v>0</v>
      </c>
    </row>
    <row r="123" spans="1:15" ht="17.25" customHeight="1" x14ac:dyDescent="0.25">
      <c r="A123" s="3" t="s">
        <v>120</v>
      </c>
      <c r="B123" s="15">
        <v>41</v>
      </c>
      <c r="C123" s="15">
        <v>90</v>
      </c>
      <c r="D123" s="15">
        <v>231</v>
      </c>
      <c r="E123" s="15">
        <v>339</v>
      </c>
      <c r="F123" s="16">
        <v>26</v>
      </c>
      <c r="G123" s="16">
        <v>23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7</v>
      </c>
      <c r="N123" s="15">
        <v>0</v>
      </c>
      <c r="O123" s="15">
        <v>0</v>
      </c>
    </row>
    <row r="124" spans="1:15" ht="17.25" customHeight="1" x14ac:dyDescent="0.25">
      <c r="A124" s="3" t="s">
        <v>121</v>
      </c>
      <c r="B124" s="15">
        <v>154</v>
      </c>
      <c r="C124" s="15">
        <v>170</v>
      </c>
      <c r="D124" s="15">
        <v>49</v>
      </c>
      <c r="E124" s="15">
        <v>42</v>
      </c>
      <c r="F124" s="16">
        <v>30</v>
      </c>
      <c r="G124" s="16">
        <v>73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0</v>
      </c>
    </row>
    <row r="125" spans="1:15" ht="17.25" customHeight="1" x14ac:dyDescent="0.25">
      <c r="A125" s="3" t="s">
        <v>95</v>
      </c>
      <c r="B125" s="15">
        <v>37</v>
      </c>
      <c r="C125" s="15">
        <v>32</v>
      </c>
      <c r="D125" s="15">
        <v>7</v>
      </c>
      <c r="E125" s="15">
        <v>13</v>
      </c>
      <c r="F125" s="16">
        <v>29</v>
      </c>
      <c r="G125" s="16">
        <v>20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</row>
    <row r="126" spans="1:15" ht="17.25" customHeight="1" x14ac:dyDescent="0.25">
      <c r="A126" s="5" t="s">
        <v>122</v>
      </c>
      <c r="B126" s="15">
        <v>115</v>
      </c>
      <c r="C126" s="15">
        <v>186</v>
      </c>
      <c r="D126" s="15">
        <v>96</v>
      </c>
      <c r="E126" s="15">
        <v>108</v>
      </c>
      <c r="F126" s="16">
        <v>32</v>
      </c>
      <c r="G126" s="16">
        <v>68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</row>
    <row r="127" spans="1:15" ht="17.25" customHeight="1" x14ac:dyDescent="0.25">
      <c r="A127" s="3" t="s">
        <v>123</v>
      </c>
      <c r="B127" s="15">
        <v>202</v>
      </c>
      <c r="C127" s="15">
        <v>323</v>
      </c>
      <c r="D127" s="15">
        <v>46</v>
      </c>
      <c r="E127" s="15">
        <v>47</v>
      </c>
      <c r="F127" s="16">
        <v>42</v>
      </c>
      <c r="G127" s="16">
        <v>75</v>
      </c>
      <c r="H127" s="15">
        <v>0</v>
      </c>
      <c r="I127" s="15">
        <v>0</v>
      </c>
      <c r="J127" s="15">
        <v>0</v>
      </c>
      <c r="K127" s="15">
        <v>3</v>
      </c>
      <c r="L127" s="15">
        <v>0</v>
      </c>
      <c r="M127" s="15">
        <v>1</v>
      </c>
      <c r="N127" s="15">
        <v>0</v>
      </c>
      <c r="O127" s="15">
        <v>0</v>
      </c>
    </row>
    <row r="128" spans="1:15" ht="17.25" customHeight="1" x14ac:dyDescent="0.25">
      <c r="A128" s="12" t="s">
        <v>124</v>
      </c>
      <c r="B128" s="17">
        <v>152</v>
      </c>
      <c r="C128" s="17">
        <v>331</v>
      </c>
      <c r="D128" s="17">
        <v>179</v>
      </c>
      <c r="E128" s="17">
        <v>187</v>
      </c>
      <c r="F128" s="17">
        <v>35</v>
      </c>
      <c r="G128" s="17">
        <v>98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</row>
    <row r="129" spans="1:15" s="1" customFormat="1" ht="17.25" customHeight="1" x14ac:dyDescent="0.25">
      <c r="A129" s="4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</row>
    <row r="130" spans="1:15" ht="17.25" customHeight="1" x14ac:dyDescent="0.25">
      <c r="A130" s="4" t="s">
        <v>125</v>
      </c>
      <c r="B130" s="14">
        <f t="shared" ref="B130:O130" si="10">SUM(B131:B140)</f>
        <v>2972</v>
      </c>
      <c r="C130" s="14">
        <f t="shared" si="10"/>
        <v>6701</v>
      </c>
      <c r="D130" s="14">
        <f t="shared" si="10"/>
        <v>1758</v>
      </c>
      <c r="E130" s="14">
        <f t="shared" si="10"/>
        <v>2318</v>
      </c>
      <c r="F130" s="20">
        <f t="shared" si="10"/>
        <v>419</v>
      </c>
      <c r="G130" s="20">
        <f t="shared" si="10"/>
        <v>1034</v>
      </c>
      <c r="H130" s="14">
        <f t="shared" si="10"/>
        <v>2</v>
      </c>
      <c r="I130" s="14">
        <f t="shared" si="10"/>
        <v>0</v>
      </c>
      <c r="J130" s="14">
        <f t="shared" si="10"/>
        <v>0</v>
      </c>
      <c r="K130" s="14">
        <f t="shared" si="10"/>
        <v>0</v>
      </c>
      <c r="L130" s="14">
        <f t="shared" si="10"/>
        <v>54</v>
      </c>
      <c r="M130" s="14">
        <f t="shared" si="10"/>
        <v>184</v>
      </c>
      <c r="N130" s="14">
        <f t="shared" si="10"/>
        <v>0</v>
      </c>
      <c r="O130" s="14">
        <f t="shared" si="10"/>
        <v>0</v>
      </c>
    </row>
    <row r="131" spans="1:15" ht="17.25" customHeight="1" x14ac:dyDescent="0.25">
      <c r="A131" s="3" t="s">
        <v>126</v>
      </c>
      <c r="B131" s="15">
        <v>55</v>
      </c>
      <c r="C131" s="15">
        <v>121</v>
      </c>
      <c r="D131" s="15">
        <v>84</v>
      </c>
      <c r="E131" s="15">
        <v>118</v>
      </c>
      <c r="F131" s="16">
        <v>42</v>
      </c>
      <c r="G131" s="16">
        <v>72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</row>
    <row r="132" spans="1:15" ht="17.25" customHeight="1" x14ac:dyDescent="0.25">
      <c r="A132" s="3" t="s">
        <v>127</v>
      </c>
      <c r="B132" s="15">
        <v>42</v>
      </c>
      <c r="C132" s="15">
        <v>108</v>
      </c>
      <c r="D132" s="15">
        <v>53</v>
      </c>
      <c r="E132" s="15">
        <v>131</v>
      </c>
      <c r="F132" s="16">
        <v>16</v>
      </c>
      <c r="G132" s="16">
        <v>40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</row>
    <row r="133" spans="1:15" ht="17.25" customHeight="1" x14ac:dyDescent="0.25">
      <c r="A133" s="3" t="s">
        <v>128</v>
      </c>
      <c r="B133" s="15">
        <v>49</v>
      </c>
      <c r="C133" s="15">
        <v>114</v>
      </c>
      <c r="D133" s="15">
        <v>18</v>
      </c>
      <c r="E133" s="15">
        <v>57</v>
      </c>
      <c r="F133" s="16">
        <v>12</v>
      </c>
      <c r="G133" s="16">
        <v>21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</row>
    <row r="134" spans="1:15" ht="17.25" customHeight="1" x14ac:dyDescent="0.25">
      <c r="A134" s="3" t="s">
        <v>129</v>
      </c>
      <c r="B134" s="15">
        <v>1168</v>
      </c>
      <c r="C134" s="15">
        <v>2276</v>
      </c>
      <c r="D134" s="15">
        <v>553</v>
      </c>
      <c r="E134" s="15">
        <v>550</v>
      </c>
      <c r="F134" s="16">
        <v>102</v>
      </c>
      <c r="G134" s="16">
        <v>346</v>
      </c>
      <c r="H134" s="15">
        <v>0</v>
      </c>
      <c r="I134" s="15">
        <v>0</v>
      </c>
      <c r="J134" s="15">
        <v>0</v>
      </c>
      <c r="K134" s="15">
        <v>0</v>
      </c>
      <c r="L134" s="15">
        <v>27</v>
      </c>
      <c r="M134" s="15">
        <v>86</v>
      </c>
      <c r="N134" s="15">
        <v>0</v>
      </c>
      <c r="O134" s="15">
        <v>0</v>
      </c>
    </row>
    <row r="135" spans="1:15" ht="17.25" customHeight="1" x14ac:dyDescent="0.25">
      <c r="A135" s="3" t="s">
        <v>130</v>
      </c>
      <c r="B135" s="15">
        <v>60</v>
      </c>
      <c r="C135" s="15">
        <v>130</v>
      </c>
      <c r="D135" s="15">
        <v>33</v>
      </c>
      <c r="E135" s="15">
        <v>36</v>
      </c>
      <c r="F135" s="16">
        <v>20</v>
      </c>
      <c r="G135" s="16">
        <v>20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1</v>
      </c>
      <c r="N135" s="15">
        <v>0</v>
      </c>
      <c r="O135" s="15">
        <v>0</v>
      </c>
    </row>
    <row r="136" spans="1:15" ht="17.25" customHeight="1" x14ac:dyDescent="0.25">
      <c r="A136" s="5" t="s">
        <v>131</v>
      </c>
      <c r="B136" s="15">
        <v>104</v>
      </c>
      <c r="C136" s="15">
        <v>256</v>
      </c>
      <c r="D136" s="15">
        <v>186</v>
      </c>
      <c r="E136" s="15">
        <v>349</v>
      </c>
      <c r="F136" s="16">
        <v>30</v>
      </c>
      <c r="G136" s="16">
        <v>80</v>
      </c>
      <c r="H136" s="15">
        <v>1</v>
      </c>
      <c r="I136" s="15">
        <v>0</v>
      </c>
      <c r="J136" s="15">
        <v>0</v>
      </c>
      <c r="K136" s="15">
        <v>0</v>
      </c>
      <c r="L136" s="15">
        <v>15</v>
      </c>
      <c r="M136" s="15">
        <v>35</v>
      </c>
      <c r="N136" s="15">
        <v>0</v>
      </c>
      <c r="O136" s="15">
        <v>0</v>
      </c>
    </row>
    <row r="137" spans="1:15" ht="17.25" customHeight="1" x14ac:dyDescent="0.25">
      <c r="A137" s="5" t="s">
        <v>132</v>
      </c>
      <c r="B137" s="15">
        <v>249</v>
      </c>
      <c r="C137" s="15">
        <v>848</v>
      </c>
      <c r="D137" s="15">
        <v>37</v>
      </c>
      <c r="E137" s="15">
        <v>95</v>
      </c>
      <c r="F137" s="16">
        <v>21</v>
      </c>
      <c r="G137" s="16">
        <v>85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5</v>
      </c>
      <c r="N137" s="15">
        <v>0</v>
      </c>
      <c r="O137" s="15">
        <v>0</v>
      </c>
    </row>
    <row r="138" spans="1:15" ht="17.25" customHeight="1" x14ac:dyDescent="0.25">
      <c r="A138" s="3" t="s">
        <v>20</v>
      </c>
      <c r="B138" s="15">
        <v>47</v>
      </c>
      <c r="C138" s="15">
        <v>49</v>
      </c>
      <c r="D138" s="15">
        <v>9</v>
      </c>
      <c r="E138" s="15">
        <v>21</v>
      </c>
      <c r="F138" s="16">
        <v>6</v>
      </c>
      <c r="G138" s="16">
        <v>10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</row>
    <row r="139" spans="1:15" ht="17.25" customHeight="1" x14ac:dyDescent="0.25">
      <c r="A139" s="3" t="s">
        <v>133</v>
      </c>
      <c r="B139" s="15">
        <v>169</v>
      </c>
      <c r="C139" s="15">
        <v>397</v>
      </c>
      <c r="D139" s="15">
        <v>226</v>
      </c>
      <c r="E139" s="15">
        <v>199</v>
      </c>
      <c r="F139" s="15">
        <v>82</v>
      </c>
      <c r="G139" s="15">
        <v>132</v>
      </c>
      <c r="H139" s="15">
        <v>0</v>
      </c>
      <c r="I139" s="15">
        <v>0</v>
      </c>
      <c r="J139" s="15">
        <v>0</v>
      </c>
      <c r="K139" s="15">
        <v>0</v>
      </c>
      <c r="L139" s="15">
        <v>1</v>
      </c>
      <c r="M139" s="15">
        <v>1</v>
      </c>
      <c r="N139" s="15">
        <v>0</v>
      </c>
      <c r="O139" s="15">
        <v>0</v>
      </c>
    </row>
    <row r="140" spans="1:15" ht="17.25" customHeight="1" x14ac:dyDescent="0.25">
      <c r="A140" s="12" t="s">
        <v>134</v>
      </c>
      <c r="B140" s="17">
        <v>1029</v>
      </c>
      <c r="C140" s="17">
        <v>2402</v>
      </c>
      <c r="D140" s="17">
        <v>559</v>
      </c>
      <c r="E140" s="17">
        <v>762</v>
      </c>
      <c r="F140" s="17">
        <v>88</v>
      </c>
      <c r="G140" s="17">
        <v>228</v>
      </c>
      <c r="H140" s="17">
        <v>1</v>
      </c>
      <c r="I140" s="17">
        <v>0</v>
      </c>
      <c r="J140" s="17">
        <v>0</v>
      </c>
      <c r="K140" s="17">
        <v>0</v>
      </c>
      <c r="L140" s="17">
        <v>11</v>
      </c>
      <c r="M140" s="17">
        <v>56</v>
      </c>
      <c r="N140" s="17">
        <v>0</v>
      </c>
      <c r="O140" s="17">
        <v>0</v>
      </c>
    </row>
    <row r="141" spans="1:15" s="1" customFormat="1" ht="17.25" customHeight="1" x14ac:dyDescent="0.25">
      <c r="A141" s="4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</row>
    <row r="142" spans="1:15" ht="17.25" customHeight="1" x14ac:dyDescent="0.25">
      <c r="A142" s="4" t="s">
        <v>135</v>
      </c>
      <c r="B142" s="14">
        <f t="shared" ref="B142:O142" si="11">SUM(B143:B147)</f>
        <v>30</v>
      </c>
      <c r="C142" s="14">
        <f t="shared" si="11"/>
        <v>163</v>
      </c>
      <c r="D142" s="14">
        <f t="shared" si="11"/>
        <v>45</v>
      </c>
      <c r="E142" s="14">
        <f t="shared" si="11"/>
        <v>77</v>
      </c>
      <c r="F142" s="20">
        <f t="shared" si="11"/>
        <v>35</v>
      </c>
      <c r="G142" s="20">
        <f t="shared" si="11"/>
        <v>59</v>
      </c>
      <c r="H142" s="14">
        <f t="shared" si="11"/>
        <v>0</v>
      </c>
      <c r="I142" s="14">
        <f t="shared" si="11"/>
        <v>0</v>
      </c>
      <c r="J142" s="14">
        <f t="shared" si="11"/>
        <v>0</v>
      </c>
      <c r="K142" s="14">
        <f t="shared" si="11"/>
        <v>0</v>
      </c>
      <c r="L142" s="14">
        <f t="shared" si="11"/>
        <v>0</v>
      </c>
      <c r="M142" s="14">
        <f t="shared" si="11"/>
        <v>2</v>
      </c>
      <c r="N142" s="14">
        <f t="shared" si="11"/>
        <v>0</v>
      </c>
      <c r="O142" s="14">
        <f t="shared" si="11"/>
        <v>0</v>
      </c>
    </row>
    <row r="143" spans="1:15" ht="17.25" customHeight="1" x14ac:dyDescent="0.25">
      <c r="A143" s="3" t="s">
        <v>136</v>
      </c>
      <c r="B143" s="15">
        <v>0</v>
      </c>
      <c r="C143" s="15">
        <v>1</v>
      </c>
      <c r="D143" s="15">
        <v>8</v>
      </c>
      <c r="E143" s="15">
        <v>20</v>
      </c>
      <c r="F143" s="16">
        <v>6</v>
      </c>
      <c r="G143" s="16">
        <v>19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</row>
    <row r="144" spans="1:15" ht="17.25" customHeight="1" x14ac:dyDescent="0.25">
      <c r="A144" s="3" t="s">
        <v>137</v>
      </c>
      <c r="B144" s="15">
        <v>0</v>
      </c>
      <c r="C144" s="15">
        <v>0</v>
      </c>
      <c r="D144" s="15">
        <v>0</v>
      </c>
      <c r="E144" s="15">
        <v>0</v>
      </c>
      <c r="F144" s="16">
        <v>0</v>
      </c>
      <c r="G144" s="16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</row>
    <row r="145" spans="1:15" ht="17.25" customHeight="1" x14ac:dyDescent="0.25">
      <c r="A145" s="3" t="s">
        <v>138</v>
      </c>
      <c r="B145" s="15">
        <v>30</v>
      </c>
      <c r="C145" s="15">
        <v>160</v>
      </c>
      <c r="D145" s="15">
        <v>36</v>
      </c>
      <c r="E145" s="15">
        <v>53</v>
      </c>
      <c r="F145" s="16">
        <v>29</v>
      </c>
      <c r="G145" s="16">
        <v>36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2</v>
      </c>
      <c r="N145" s="15">
        <v>0</v>
      </c>
      <c r="O145" s="15">
        <v>0</v>
      </c>
    </row>
    <row r="146" spans="1:15" ht="17.25" customHeight="1" x14ac:dyDescent="0.25">
      <c r="A146" s="3" t="s">
        <v>139</v>
      </c>
      <c r="B146" s="15">
        <v>0</v>
      </c>
      <c r="C146" s="15">
        <v>2</v>
      </c>
      <c r="D146" s="15">
        <v>0</v>
      </c>
      <c r="E146" s="15">
        <v>1</v>
      </c>
      <c r="F146" s="16">
        <v>0</v>
      </c>
      <c r="G146" s="16">
        <v>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</row>
    <row r="147" spans="1:15" ht="17.25" customHeight="1" x14ac:dyDescent="0.25">
      <c r="A147" s="12" t="s">
        <v>140</v>
      </c>
      <c r="B147" s="17">
        <v>0</v>
      </c>
      <c r="C147" s="17">
        <v>0</v>
      </c>
      <c r="D147" s="17">
        <v>1</v>
      </c>
      <c r="E147" s="17">
        <v>3</v>
      </c>
      <c r="F147" s="18">
        <v>0</v>
      </c>
      <c r="G147" s="18">
        <v>3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</row>
    <row r="148" spans="1:15" s="1" customFormat="1" ht="17.25" customHeight="1" x14ac:dyDescent="0.25">
      <c r="A148" s="4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</row>
    <row r="149" spans="1:15" ht="17.25" customHeight="1" x14ac:dyDescent="0.25">
      <c r="A149" s="4" t="s">
        <v>141</v>
      </c>
      <c r="B149" s="14">
        <f t="shared" ref="B149:O149" si="12">SUM(B150:B158)</f>
        <v>967</v>
      </c>
      <c r="C149" s="14">
        <f t="shared" si="12"/>
        <v>2244</v>
      </c>
      <c r="D149" s="14">
        <f t="shared" si="12"/>
        <v>662</v>
      </c>
      <c r="E149" s="14">
        <f t="shared" si="12"/>
        <v>1023</v>
      </c>
      <c r="F149" s="14">
        <f t="shared" si="12"/>
        <v>167</v>
      </c>
      <c r="G149" s="14">
        <f t="shared" si="12"/>
        <v>360</v>
      </c>
      <c r="H149" s="14">
        <f t="shared" si="12"/>
        <v>0</v>
      </c>
      <c r="I149" s="14">
        <f t="shared" si="12"/>
        <v>0</v>
      </c>
      <c r="J149" s="14">
        <f t="shared" si="12"/>
        <v>0</v>
      </c>
      <c r="K149" s="14">
        <f t="shared" si="12"/>
        <v>0</v>
      </c>
      <c r="L149" s="14">
        <f t="shared" si="12"/>
        <v>4</v>
      </c>
      <c r="M149" s="14">
        <f t="shared" si="12"/>
        <v>31</v>
      </c>
      <c r="N149" s="14">
        <f t="shared" si="12"/>
        <v>0</v>
      </c>
      <c r="O149" s="14">
        <f t="shared" si="12"/>
        <v>1</v>
      </c>
    </row>
    <row r="150" spans="1:15" ht="17.25" customHeight="1" x14ac:dyDescent="0.25">
      <c r="A150" s="3" t="s">
        <v>142</v>
      </c>
      <c r="B150" s="15">
        <v>1</v>
      </c>
      <c r="C150" s="15">
        <v>6</v>
      </c>
      <c r="D150" s="15">
        <v>2</v>
      </c>
      <c r="E150" s="15">
        <v>6</v>
      </c>
      <c r="F150" s="16">
        <v>1</v>
      </c>
      <c r="G150" s="16">
        <v>3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</row>
    <row r="151" spans="1:15" ht="17.25" customHeight="1" x14ac:dyDescent="0.25">
      <c r="A151" s="3" t="s">
        <v>143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</row>
    <row r="152" spans="1:15" ht="17.25" customHeight="1" x14ac:dyDescent="0.25">
      <c r="A152" s="3" t="s">
        <v>144</v>
      </c>
      <c r="B152" s="15">
        <v>32</v>
      </c>
      <c r="C152" s="15">
        <v>33</v>
      </c>
      <c r="D152" s="15">
        <v>11</v>
      </c>
      <c r="E152" s="15">
        <v>4</v>
      </c>
      <c r="F152" s="15">
        <v>1</v>
      </c>
      <c r="G152" s="15">
        <v>6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</row>
    <row r="153" spans="1:15" ht="17.25" customHeight="1" x14ac:dyDescent="0.25">
      <c r="A153" s="3" t="s">
        <v>145</v>
      </c>
      <c r="B153" s="15">
        <v>384</v>
      </c>
      <c r="C153" s="15">
        <v>992</v>
      </c>
      <c r="D153" s="15">
        <v>128</v>
      </c>
      <c r="E153" s="15">
        <v>164</v>
      </c>
      <c r="F153" s="16">
        <v>40</v>
      </c>
      <c r="G153" s="16">
        <v>145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4</v>
      </c>
      <c r="N153" s="15">
        <v>0</v>
      </c>
      <c r="O153" s="15">
        <v>0</v>
      </c>
    </row>
    <row r="154" spans="1:15" ht="17.25" customHeight="1" x14ac:dyDescent="0.25">
      <c r="A154" s="3" t="s">
        <v>146</v>
      </c>
      <c r="B154" s="15">
        <v>220</v>
      </c>
      <c r="C154" s="15">
        <v>409</v>
      </c>
      <c r="D154" s="15">
        <v>325</v>
      </c>
      <c r="E154" s="15">
        <v>511</v>
      </c>
      <c r="F154" s="16">
        <v>41</v>
      </c>
      <c r="G154" s="16">
        <v>56</v>
      </c>
      <c r="H154" s="15">
        <v>0</v>
      </c>
      <c r="I154" s="15">
        <v>0</v>
      </c>
      <c r="J154" s="15">
        <v>0</v>
      </c>
      <c r="K154" s="15">
        <v>0</v>
      </c>
      <c r="L154" s="15">
        <v>4</v>
      </c>
      <c r="M154" s="15">
        <v>25</v>
      </c>
      <c r="N154" s="15">
        <v>0</v>
      </c>
      <c r="O154" s="15">
        <v>1</v>
      </c>
    </row>
    <row r="155" spans="1:15" ht="17.25" customHeight="1" x14ac:dyDescent="0.25">
      <c r="A155" s="3" t="s">
        <v>147</v>
      </c>
      <c r="B155" s="15">
        <v>98</v>
      </c>
      <c r="C155" s="15">
        <v>280</v>
      </c>
      <c r="D155" s="15">
        <v>25</v>
      </c>
      <c r="E155" s="15">
        <v>77</v>
      </c>
      <c r="F155" s="16">
        <v>24</v>
      </c>
      <c r="G155" s="16">
        <v>76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</row>
    <row r="156" spans="1:15" ht="17.25" customHeight="1" x14ac:dyDescent="0.25">
      <c r="A156" s="3" t="s">
        <v>148</v>
      </c>
      <c r="B156" s="15">
        <v>29</v>
      </c>
      <c r="C156" s="15">
        <v>84</v>
      </c>
      <c r="D156" s="15">
        <v>5</v>
      </c>
      <c r="E156" s="15">
        <v>12</v>
      </c>
      <c r="F156" s="16">
        <v>1</v>
      </c>
      <c r="G156" s="16">
        <v>2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</row>
    <row r="157" spans="1:15" ht="17.25" customHeight="1" x14ac:dyDescent="0.25">
      <c r="A157" s="3" t="s">
        <v>149</v>
      </c>
      <c r="B157" s="15">
        <v>127</v>
      </c>
      <c r="C157" s="15">
        <v>258</v>
      </c>
      <c r="D157" s="15">
        <v>113</v>
      </c>
      <c r="E157" s="15">
        <v>174</v>
      </c>
      <c r="F157" s="16">
        <v>40</v>
      </c>
      <c r="G157" s="16">
        <v>51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2</v>
      </c>
      <c r="N157" s="15">
        <v>0</v>
      </c>
      <c r="O157" s="15">
        <v>0</v>
      </c>
    </row>
    <row r="158" spans="1:15" ht="17.25" customHeight="1" x14ac:dyDescent="0.25">
      <c r="A158" s="12" t="s">
        <v>85</v>
      </c>
      <c r="B158" s="17">
        <v>76</v>
      </c>
      <c r="C158" s="17">
        <v>182</v>
      </c>
      <c r="D158" s="17">
        <v>53</v>
      </c>
      <c r="E158" s="17">
        <v>75</v>
      </c>
      <c r="F158" s="17">
        <v>19</v>
      </c>
      <c r="G158" s="17">
        <v>21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</row>
    <row r="159" spans="1:15" s="1" customFormat="1" ht="17.25" customHeight="1" x14ac:dyDescent="0.25">
      <c r="A159" s="4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</row>
    <row r="160" spans="1:15" ht="17.25" customHeight="1" x14ac:dyDescent="0.25">
      <c r="A160" s="4" t="s">
        <v>150</v>
      </c>
      <c r="B160" s="14">
        <f t="shared" ref="B160:O160" si="13">SUM(B161:B165)</f>
        <v>1113</v>
      </c>
      <c r="C160" s="14">
        <f t="shared" si="13"/>
        <v>1260</v>
      </c>
      <c r="D160" s="14">
        <f t="shared" si="13"/>
        <v>1156</v>
      </c>
      <c r="E160" s="14">
        <f t="shared" si="13"/>
        <v>1167</v>
      </c>
      <c r="F160" s="20">
        <f t="shared" si="13"/>
        <v>252</v>
      </c>
      <c r="G160" s="20">
        <f t="shared" si="13"/>
        <v>303</v>
      </c>
      <c r="H160" s="14">
        <f t="shared" si="13"/>
        <v>0</v>
      </c>
      <c r="I160" s="14">
        <f t="shared" si="13"/>
        <v>0</v>
      </c>
      <c r="J160" s="14">
        <f t="shared" si="13"/>
        <v>0</v>
      </c>
      <c r="K160" s="14">
        <f t="shared" si="13"/>
        <v>0</v>
      </c>
      <c r="L160" s="14">
        <f t="shared" si="13"/>
        <v>11</v>
      </c>
      <c r="M160" s="14">
        <f t="shared" si="13"/>
        <v>5</v>
      </c>
      <c r="N160" s="14">
        <f t="shared" si="13"/>
        <v>0</v>
      </c>
      <c r="O160" s="14">
        <f t="shared" si="13"/>
        <v>0</v>
      </c>
    </row>
    <row r="161" spans="1:15" ht="17.25" customHeight="1" x14ac:dyDescent="0.25">
      <c r="A161" s="3" t="s">
        <v>151</v>
      </c>
      <c r="B161" s="15">
        <v>562</v>
      </c>
      <c r="C161" s="15">
        <v>542</v>
      </c>
      <c r="D161" s="15">
        <v>412</v>
      </c>
      <c r="E161" s="15">
        <v>538</v>
      </c>
      <c r="F161" s="16">
        <v>107</v>
      </c>
      <c r="G161" s="16">
        <v>117</v>
      </c>
      <c r="H161" s="15">
        <v>0</v>
      </c>
      <c r="I161" s="15">
        <v>0</v>
      </c>
      <c r="J161" s="15">
        <v>0</v>
      </c>
      <c r="K161" s="15">
        <v>0</v>
      </c>
      <c r="L161" s="15">
        <v>4</v>
      </c>
      <c r="M161" s="15">
        <v>2</v>
      </c>
      <c r="N161" s="15">
        <v>0</v>
      </c>
      <c r="O161" s="15">
        <v>0</v>
      </c>
    </row>
    <row r="162" spans="1:15" ht="17.25" customHeight="1" x14ac:dyDescent="0.25">
      <c r="A162" s="3" t="s">
        <v>152</v>
      </c>
      <c r="B162" s="15">
        <v>19</v>
      </c>
      <c r="C162" s="15">
        <v>29</v>
      </c>
      <c r="D162" s="15">
        <v>154</v>
      </c>
      <c r="E162" s="15">
        <v>121</v>
      </c>
      <c r="F162" s="16">
        <v>7</v>
      </c>
      <c r="G162" s="16">
        <v>10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</row>
    <row r="163" spans="1:15" ht="17.25" customHeight="1" x14ac:dyDescent="0.25">
      <c r="A163" s="3" t="s">
        <v>68</v>
      </c>
      <c r="B163" s="15">
        <v>18</v>
      </c>
      <c r="C163" s="15">
        <v>36</v>
      </c>
      <c r="D163" s="15">
        <v>32</v>
      </c>
      <c r="E163" s="15">
        <v>42</v>
      </c>
      <c r="F163" s="16">
        <v>7</v>
      </c>
      <c r="G163" s="16">
        <v>23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</row>
    <row r="164" spans="1:15" ht="17.25" customHeight="1" x14ac:dyDescent="0.25">
      <c r="A164" s="3" t="s">
        <v>153</v>
      </c>
      <c r="B164" s="15">
        <v>472</v>
      </c>
      <c r="C164" s="15">
        <v>600</v>
      </c>
      <c r="D164" s="15">
        <v>182</v>
      </c>
      <c r="E164" s="15">
        <v>167</v>
      </c>
      <c r="F164" s="16">
        <v>66</v>
      </c>
      <c r="G164" s="16">
        <v>65</v>
      </c>
      <c r="H164" s="15">
        <v>0</v>
      </c>
      <c r="I164" s="15">
        <v>0</v>
      </c>
      <c r="J164" s="15">
        <v>0</v>
      </c>
      <c r="K164" s="15">
        <v>0</v>
      </c>
      <c r="L164" s="15">
        <v>5</v>
      </c>
      <c r="M164" s="15">
        <v>3</v>
      </c>
      <c r="N164" s="15">
        <v>0</v>
      </c>
      <c r="O164" s="15">
        <v>0</v>
      </c>
    </row>
    <row r="165" spans="1:15" ht="17.25" customHeight="1" x14ac:dyDescent="0.25">
      <c r="A165" s="12" t="s">
        <v>154</v>
      </c>
      <c r="B165" s="17">
        <v>42</v>
      </c>
      <c r="C165" s="17">
        <v>53</v>
      </c>
      <c r="D165" s="17">
        <v>376</v>
      </c>
      <c r="E165" s="17">
        <v>299</v>
      </c>
      <c r="F165" s="18">
        <v>65</v>
      </c>
      <c r="G165" s="18">
        <v>88</v>
      </c>
      <c r="H165" s="17">
        <v>0</v>
      </c>
      <c r="I165" s="17">
        <v>0</v>
      </c>
      <c r="J165" s="17">
        <v>0</v>
      </c>
      <c r="K165" s="17">
        <v>0</v>
      </c>
      <c r="L165" s="17">
        <v>2</v>
      </c>
      <c r="M165" s="17">
        <v>0</v>
      </c>
      <c r="N165" s="17">
        <v>0</v>
      </c>
      <c r="O165" s="17">
        <v>0</v>
      </c>
    </row>
    <row r="166" spans="1:15" s="1" customFormat="1" ht="17.25" customHeight="1" x14ac:dyDescent="0.25">
      <c r="A166" s="4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</row>
    <row r="167" spans="1:15" ht="17.25" customHeight="1" x14ac:dyDescent="0.25">
      <c r="A167" s="4" t="s">
        <v>155</v>
      </c>
      <c r="B167" s="14">
        <f t="shared" ref="B167:O167" si="14">SUM(B168:B174)</f>
        <v>1686</v>
      </c>
      <c r="C167" s="14">
        <f t="shared" si="14"/>
        <v>3603</v>
      </c>
      <c r="D167" s="14">
        <f t="shared" si="14"/>
        <v>348</v>
      </c>
      <c r="E167" s="14">
        <f t="shared" si="14"/>
        <v>492</v>
      </c>
      <c r="F167" s="20">
        <f t="shared" si="14"/>
        <v>154</v>
      </c>
      <c r="G167" s="20">
        <f t="shared" si="14"/>
        <v>296</v>
      </c>
      <c r="H167" s="14">
        <f t="shared" si="14"/>
        <v>0</v>
      </c>
      <c r="I167" s="14">
        <f t="shared" si="14"/>
        <v>0</v>
      </c>
      <c r="J167" s="14">
        <f t="shared" si="14"/>
        <v>0</v>
      </c>
      <c r="K167" s="14">
        <f t="shared" si="14"/>
        <v>2</v>
      </c>
      <c r="L167" s="14">
        <f t="shared" si="14"/>
        <v>13</v>
      </c>
      <c r="M167" s="14">
        <f t="shared" si="14"/>
        <v>79</v>
      </c>
      <c r="N167" s="14">
        <f t="shared" si="14"/>
        <v>0</v>
      </c>
      <c r="O167" s="14">
        <f t="shared" si="14"/>
        <v>1</v>
      </c>
    </row>
    <row r="168" spans="1:15" ht="17.25" customHeight="1" x14ac:dyDescent="0.25">
      <c r="A168" s="3" t="s">
        <v>80</v>
      </c>
      <c r="B168" s="15">
        <v>156</v>
      </c>
      <c r="C168" s="15">
        <v>537</v>
      </c>
      <c r="D168" s="15">
        <v>70</v>
      </c>
      <c r="E168" s="15">
        <v>84</v>
      </c>
      <c r="F168" s="16">
        <v>38</v>
      </c>
      <c r="G168" s="16">
        <v>69</v>
      </c>
      <c r="H168" s="15">
        <v>0</v>
      </c>
      <c r="I168" s="15">
        <v>0</v>
      </c>
      <c r="J168" s="15">
        <v>0</v>
      </c>
      <c r="K168" s="15">
        <v>0</v>
      </c>
      <c r="L168" s="15">
        <v>3</v>
      </c>
      <c r="M168" s="15">
        <v>1</v>
      </c>
      <c r="N168" s="15">
        <v>0</v>
      </c>
      <c r="O168" s="15">
        <v>0</v>
      </c>
    </row>
    <row r="169" spans="1:15" ht="17.25" customHeight="1" x14ac:dyDescent="0.25">
      <c r="A169" s="3" t="s">
        <v>156</v>
      </c>
      <c r="B169" s="15">
        <v>213</v>
      </c>
      <c r="C169" s="15">
        <v>403</v>
      </c>
      <c r="D169" s="15">
        <v>94</v>
      </c>
      <c r="E169" s="15">
        <v>120</v>
      </c>
      <c r="F169" s="16">
        <v>7</v>
      </c>
      <c r="G169" s="16">
        <v>42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1</v>
      </c>
      <c r="N169" s="15">
        <v>0</v>
      </c>
      <c r="O169" s="15">
        <v>0</v>
      </c>
    </row>
    <row r="170" spans="1:15" ht="17.25" customHeight="1" x14ac:dyDescent="0.25">
      <c r="A170" s="3" t="s">
        <v>157</v>
      </c>
      <c r="B170" s="15">
        <v>26</v>
      </c>
      <c r="C170" s="15">
        <v>81</v>
      </c>
      <c r="D170" s="15">
        <v>10</v>
      </c>
      <c r="E170" s="15">
        <v>46</v>
      </c>
      <c r="F170" s="15">
        <v>3</v>
      </c>
      <c r="G170" s="15">
        <v>10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</row>
    <row r="171" spans="1:15" ht="17.25" customHeight="1" x14ac:dyDescent="0.25">
      <c r="A171" s="3" t="s">
        <v>158</v>
      </c>
      <c r="B171" s="15">
        <v>216</v>
      </c>
      <c r="C171" s="15">
        <v>422</v>
      </c>
      <c r="D171" s="15">
        <v>113</v>
      </c>
      <c r="E171" s="15">
        <v>135</v>
      </c>
      <c r="F171" s="15">
        <v>45</v>
      </c>
      <c r="G171" s="15">
        <v>68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</row>
    <row r="172" spans="1:15" ht="17.25" customHeight="1" x14ac:dyDescent="0.25">
      <c r="A172" s="3" t="s">
        <v>159</v>
      </c>
      <c r="B172" s="15">
        <v>0</v>
      </c>
      <c r="C172" s="15">
        <v>2</v>
      </c>
      <c r="D172" s="15">
        <v>0</v>
      </c>
      <c r="E172" s="15">
        <v>0</v>
      </c>
      <c r="F172" s="16">
        <v>0</v>
      </c>
      <c r="G172" s="16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</row>
    <row r="173" spans="1:15" ht="17.25" customHeight="1" x14ac:dyDescent="0.25">
      <c r="A173" s="3" t="s">
        <v>160</v>
      </c>
      <c r="B173" s="15">
        <v>193</v>
      </c>
      <c r="C173" s="15">
        <v>613</v>
      </c>
      <c r="D173" s="15">
        <v>9</v>
      </c>
      <c r="E173" s="15">
        <v>23</v>
      </c>
      <c r="F173" s="16">
        <v>9</v>
      </c>
      <c r="G173" s="16">
        <v>23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</row>
    <row r="174" spans="1:15" ht="17.25" customHeight="1" x14ac:dyDescent="0.25">
      <c r="A174" s="12" t="s">
        <v>161</v>
      </c>
      <c r="B174" s="17">
        <v>882</v>
      </c>
      <c r="C174" s="17">
        <v>1545</v>
      </c>
      <c r="D174" s="17">
        <v>52</v>
      </c>
      <c r="E174" s="17">
        <v>84</v>
      </c>
      <c r="F174" s="18">
        <v>52</v>
      </c>
      <c r="G174" s="18">
        <v>84</v>
      </c>
      <c r="H174" s="17">
        <v>0</v>
      </c>
      <c r="I174" s="17">
        <v>0</v>
      </c>
      <c r="J174" s="17">
        <v>0</v>
      </c>
      <c r="K174" s="17">
        <v>2</v>
      </c>
      <c r="L174" s="17">
        <v>10</v>
      </c>
      <c r="M174" s="17">
        <v>77</v>
      </c>
      <c r="N174" s="17">
        <v>0</v>
      </c>
      <c r="O174" s="17">
        <v>1</v>
      </c>
    </row>
    <row r="175" spans="1:15" s="1" customFormat="1" ht="17.25" customHeight="1" x14ac:dyDescent="0.25">
      <c r="A175" s="4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</row>
    <row r="176" spans="1:15" ht="17.25" customHeight="1" x14ac:dyDescent="0.25">
      <c r="A176" s="4" t="s">
        <v>162</v>
      </c>
      <c r="B176" s="14">
        <f t="shared" ref="B176:O176" si="15">SUM(B177:B189)</f>
        <v>2490</v>
      </c>
      <c r="C176" s="14">
        <f t="shared" si="15"/>
        <v>4076</v>
      </c>
      <c r="D176" s="14">
        <f t="shared" si="15"/>
        <v>952</v>
      </c>
      <c r="E176" s="14">
        <f t="shared" si="15"/>
        <v>1290</v>
      </c>
      <c r="F176" s="20">
        <f t="shared" si="15"/>
        <v>507</v>
      </c>
      <c r="G176" s="20">
        <f t="shared" si="15"/>
        <v>793</v>
      </c>
      <c r="H176" s="14">
        <f t="shared" si="15"/>
        <v>0</v>
      </c>
      <c r="I176" s="14">
        <f t="shared" si="15"/>
        <v>0</v>
      </c>
      <c r="J176" s="14">
        <f t="shared" si="15"/>
        <v>3</v>
      </c>
      <c r="K176" s="14">
        <f t="shared" si="15"/>
        <v>10</v>
      </c>
      <c r="L176" s="14">
        <f t="shared" si="15"/>
        <v>15</v>
      </c>
      <c r="M176" s="14">
        <f t="shared" si="15"/>
        <v>65</v>
      </c>
      <c r="N176" s="14">
        <f t="shared" si="15"/>
        <v>2</v>
      </c>
      <c r="O176" s="14">
        <f t="shared" si="15"/>
        <v>3</v>
      </c>
    </row>
    <row r="177" spans="1:15" ht="17.25" customHeight="1" x14ac:dyDescent="0.25">
      <c r="A177" s="3" t="s">
        <v>163</v>
      </c>
      <c r="B177" s="15">
        <v>1010</v>
      </c>
      <c r="C177" s="15">
        <v>1371</v>
      </c>
      <c r="D177" s="15">
        <v>185</v>
      </c>
      <c r="E177" s="15">
        <v>168</v>
      </c>
      <c r="F177" s="15">
        <v>125</v>
      </c>
      <c r="G177" s="15">
        <v>97</v>
      </c>
      <c r="H177" s="15">
        <v>0</v>
      </c>
      <c r="I177" s="15">
        <v>0</v>
      </c>
      <c r="J177" s="15">
        <v>0</v>
      </c>
      <c r="K177" s="15">
        <v>10</v>
      </c>
      <c r="L177" s="15">
        <v>1</v>
      </c>
      <c r="M177" s="15">
        <v>19</v>
      </c>
      <c r="N177" s="15">
        <v>2</v>
      </c>
      <c r="O177" s="15">
        <v>0</v>
      </c>
    </row>
    <row r="178" spans="1:15" ht="17.25" customHeight="1" x14ac:dyDescent="0.25">
      <c r="A178" s="3" t="s">
        <v>164</v>
      </c>
      <c r="B178" s="15">
        <v>225</v>
      </c>
      <c r="C178" s="15">
        <v>542</v>
      </c>
      <c r="D178" s="15">
        <v>77</v>
      </c>
      <c r="E178" s="15">
        <v>183</v>
      </c>
      <c r="F178" s="15">
        <v>63</v>
      </c>
      <c r="G178" s="15">
        <v>67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</row>
    <row r="179" spans="1:15" ht="17.25" customHeight="1" x14ac:dyDescent="0.25">
      <c r="A179" s="3" t="s">
        <v>165</v>
      </c>
      <c r="B179" s="15">
        <v>315</v>
      </c>
      <c r="C179" s="15">
        <v>364</v>
      </c>
      <c r="D179" s="15">
        <v>18</v>
      </c>
      <c r="E179" s="15">
        <v>24</v>
      </c>
      <c r="F179" s="16">
        <v>28</v>
      </c>
      <c r="G179" s="16">
        <v>67</v>
      </c>
      <c r="H179" s="15">
        <v>0</v>
      </c>
      <c r="I179" s="15">
        <v>0</v>
      </c>
      <c r="J179" s="15">
        <v>0</v>
      </c>
      <c r="K179" s="15">
        <v>0</v>
      </c>
      <c r="L179" s="15">
        <v>2</v>
      </c>
      <c r="M179" s="15">
        <v>3</v>
      </c>
      <c r="N179" s="15">
        <v>0</v>
      </c>
      <c r="O179" s="15">
        <v>0</v>
      </c>
    </row>
    <row r="180" spans="1:15" ht="17.25" customHeight="1" x14ac:dyDescent="0.25">
      <c r="A180" s="3" t="s">
        <v>166</v>
      </c>
      <c r="B180" s="15">
        <v>185</v>
      </c>
      <c r="C180" s="15">
        <v>705</v>
      </c>
      <c r="D180" s="15">
        <v>152</v>
      </c>
      <c r="E180" s="15">
        <v>287</v>
      </c>
      <c r="F180" s="16">
        <v>67</v>
      </c>
      <c r="G180" s="16">
        <v>189</v>
      </c>
      <c r="H180" s="15">
        <v>0</v>
      </c>
      <c r="I180" s="15">
        <v>0</v>
      </c>
      <c r="J180" s="15">
        <v>0</v>
      </c>
      <c r="K180" s="15">
        <v>0</v>
      </c>
      <c r="L180" s="15">
        <v>6</v>
      </c>
      <c r="M180" s="15">
        <v>17</v>
      </c>
      <c r="N180" s="15">
        <v>0</v>
      </c>
      <c r="O180" s="15">
        <v>0</v>
      </c>
    </row>
    <row r="181" spans="1:15" ht="17.25" customHeight="1" x14ac:dyDescent="0.25">
      <c r="A181" s="3" t="s">
        <v>109</v>
      </c>
      <c r="B181" s="15">
        <v>85</v>
      </c>
      <c r="C181" s="15">
        <v>162</v>
      </c>
      <c r="D181" s="15">
        <v>81</v>
      </c>
      <c r="E181" s="15">
        <v>82</v>
      </c>
      <c r="F181" s="16">
        <v>48</v>
      </c>
      <c r="G181" s="16">
        <v>64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6</v>
      </c>
      <c r="N181" s="15">
        <v>0</v>
      </c>
      <c r="O181" s="15">
        <v>0</v>
      </c>
    </row>
    <row r="182" spans="1:15" ht="17.25" customHeight="1" x14ac:dyDescent="0.25">
      <c r="A182" s="3" t="s">
        <v>167</v>
      </c>
      <c r="B182" s="15">
        <v>50</v>
      </c>
      <c r="C182" s="15">
        <v>65</v>
      </c>
      <c r="D182" s="15">
        <v>83</v>
      </c>
      <c r="E182" s="15">
        <v>33</v>
      </c>
      <c r="F182" s="16">
        <v>33</v>
      </c>
      <c r="G182" s="16">
        <v>64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1</v>
      </c>
    </row>
    <row r="183" spans="1:15" ht="17.25" customHeight="1" x14ac:dyDescent="0.25">
      <c r="A183" s="3" t="s">
        <v>168</v>
      </c>
      <c r="B183" s="15">
        <v>28</v>
      </c>
      <c r="C183" s="15">
        <v>34</v>
      </c>
      <c r="D183" s="15">
        <v>105</v>
      </c>
      <c r="E183" s="15">
        <v>220</v>
      </c>
      <c r="F183" s="16">
        <v>21</v>
      </c>
      <c r="G183" s="16">
        <v>30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1</v>
      </c>
      <c r="N183" s="15">
        <v>0</v>
      </c>
      <c r="O183" s="15">
        <v>0</v>
      </c>
    </row>
    <row r="184" spans="1:15" ht="17.25" customHeight="1" x14ac:dyDescent="0.25">
      <c r="A184" s="3" t="s">
        <v>169</v>
      </c>
      <c r="B184" s="15">
        <v>2</v>
      </c>
      <c r="C184" s="15">
        <v>2</v>
      </c>
      <c r="D184" s="15">
        <v>6</v>
      </c>
      <c r="E184" s="15">
        <v>3</v>
      </c>
      <c r="F184" s="16">
        <v>1</v>
      </c>
      <c r="G184" s="16">
        <v>2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2</v>
      </c>
      <c r="N184" s="15">
        <v>0</v>
      </c>
      <c r="O184" s="15">
        <v>0</v>
      </c>
    </row>
    <row r="185" spans="1:15" ht="17.25" customHeight="1" x14ac:dyDescent="0.25">
      <c r="A185" s="3" t="s">
        <v>170</v>
      </c>
      <c r="B185" s="15">
        <v>14</v>
      </c>
      <c r="C185" s="15">
        <v>17</v>
      </c>
      <c r="D185" s="15">
        <v>26</v>
      </c>
      <c r="E185" s="15">
        <v>26</v>
      </c>
      <c r="F185" s="16">
        <v>0</v>
      </c>
      <c r="G185" s="16">
        <v>2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</row>
    <row r="186" spans="1:15" ht="17.25" customHeight="1" x14ac:dyDescent="0.25">
      <c r="A186" s="3" t="s">
        <v>171</v>
      </c>
      <c r="B186" s="15">
        <v>259</v>
      </c>
      <c r="C186" s="15">
        <v>391</v>
      </c>
      <c r="D186" s="15">
        <v>66</v>
      </c>
      <c r="E186" s="15">
        <v>76</v>
      </c>
      <c r="F186" s="16">
        <v>40</v>
      </c>
      <c r="G186" s="16">
        <v>85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4</v>
      </c>
      <c r="N186" s="15">
        <v>0</v>
      </c>
      <c r="O186" s="15">
        <v>0</v>
      </c>
    </row>
    <row r="187" spans="1:15" ht="17.25" customHeight="1" x14ac:dyDescent="0.25">
      <c r="A187" s="3" t="s">
        <v>127</v>
      </c>
      <c r="B187" s="15">
        <v>41</v>
      </c>
      <c r="C187" s="15">
        <v>126</v>
      </c>
      <c r="D187" s="15">
        <v>43</v>
      </c>
      <c r="E187" s="15">
        <v>56</v>
      </c>
      <c r="F187" s="15">
        <v>36</v>
      </c>
      <c r="G187" s="15">
        <v>56</v>
      </c>
      <c r="H187" s="15">
        <v>0</v>
      </c>
      <c r="I187" s="15">
        <v>0</v>
      </c>
      <c r="J187" s="15">
        <v>0</v>
      </c>
      <c r="K187" s="15">
        <v>0</v>
      </c>
      <c r="L187" s="15">
        <v>2</v>
      </c>
      <c r="M187" s="15">
        <v>6</v>
      </c>
      <c r="N187" s="15">
        <v>0</v>
      </c>
      <c r="O187" s="15">
        <v>0</v>
      </c>
    </row>
    <row r="188" spans="1:15" ht="17.25" customHeight="1" x14ac:dyDescent="0.25">
      <c r="A188" s="3" t="s">
        <v>172</v>
      </c>
      <c r="B188" s="15">
        <v>74</v>
      </c>
      <c r="C188" s="15">
        <v>96</v>
      </c>
      <c r="D188" s="15">
        <v>63</v>
      </c>
      <c r="E188" s="15">
        <v>55</v>
      </c>
      <c r="F188" s="15">
        <v>31</v>
      </c>
      <c r="G188" s="15">
        <v>58</v>
      </c>
      <c r="H188" s="15">
        <v>0</v>
      </c>
      <c r="I188" s="15">
        <v>0</v>
      </c>
      <c r="J188" s="15">
        <v>1</v>
      </c>
      <c r="K188" s="15">
        <v>0</v>
      </c>
      <c r="L188" s="15">
        <v>0</v>
      </c>
      <c r="M188" s="15">
        <v>3</v>
      </c>
      <c r="N188" s="15">
        <v>0</v>
      </c>
      <c r="O188" s="15">
        <v>0</v>
      </c>
    </row>
    <row r="189" spans="1:15" ht="17.25" customHeight="1" x14ac:dyDescent="0.25">
      <c r="A189" s="12" t="s">
        <v>173</v>
      </c>
      <c r="B189" s="17">
        <v>202</v>
      </c>
      <c r="C189" s="17">
        <v>201</v>
      </c>
      <c r="D189" s="17">
        <v>47</v>
      </c>
      <c r="E189" s="17">
        <v>77</v>
      </c>
      <c r="F189" s="18">
        <v>14</v>
      </c>
      <c r="G189" s="18">
        <v>12</v>
      </c>
      <c r="H189" s="17">
        <v>0</v>
      </c>
      <c r="I189" s="17">
        <v>0</v>
      </c>
      <c r="J189" s="17">
        <v>2</v>
      </c>
      <c r="K189" s="17">
        <v>0</v>
      </c>
      <c r="L189" s="17">
        <v>4</v>
      </c>
      <c r="M189" s="17">
        <v>4</v>
      </c>
      <c r="N189" s="17">
        <v>0</v>
      </c>
      <c r="O189" s="17">
        <v>2</v>
      </c>
    </row>
    <row r="190" spans="1:15" s="1" customFormat="1" ht="17.25" customHeight="1" x14ac:dyDescent="0.25">
      <c r="A190" s="4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</row>
    <row r="191" spans="1:15" ht="17.25" customHeight="1" x14ac:dyDescent="0.25">
      <c r="A191" s="4" t="s">
        <v>174</v>
      </c>
      <c r="B191" s="14">
        <f t="shared" ref="B191:O191" si="16">SUM(B192:B203)</f>
        <v>4277</v>
      </c>
      <c r="C191" s="14">
        <f t="shared" si="16"/>
        <v>8206</v>
      </c>
      <c r="D191" s="14">
        <f t="shared" si="16"/>
        <v>999</v>
      </c>
      <c r="E191" s="14">
        <f t="shared" si="16"/>
        <v>1667</v>
      </c>
      <c r="F191" s="20">
        <f t="shared" si="16"/>
        <v>516</v>
      </c>
      <c r="G191" s="20">
        <f t="shared" si="16"/>
        <v>1006</v>
      </c>
      <c r="H191" s="14">
        <f t="shared" si="16"/>
        <v>0</v>
      </c>
      <c r="I191" s="14">
        <f t="shared" si="16"/>
        <v>0</v>
      </c>
      <c r="J191" s="14">
        <f t="shared" si="16"/>
        <v>0</v>
      </c>
      <c r="K191" s="14">
        <f t="shared" si="16"/>
        <v>2</v>
      </c>
      <c r="L191" s="14">
        <f t="shared" si="16"/>
        <v>3</v>
      </c>
      <c r="M191" s="14">
        <f t="shared" si="16"/>
        <v>31</v>
      </c>
      <c r="N191" s="14">
        <f t="shared" si="16"/>
        <v>0</v>
      </c>
      <c r="O191" s="14">
        <f t="shared" si="16"/>
        <v>0</v>
      </c>
    </row>
    <row r="192" spans="1:15" ht="17.25" customHeight="1" x14ac:dyDescent="0.25">
      <c r="A192" s="3" t="s">
        <v>175</v>
      </c>
      <c r="B192" s="15">
        <v>390</v>
      </c>
      <c r="C192" s="15">
        <v>699</v>
      </c>
      <c r="D192" s="15">
        <v>39</v>
      </c>
      <c r="E192" s="15">
        <v>46</v>
      </c>
      <c r="F192" s="16">
        <v>18</v>
      </c>
      <c r="G192" s="16">
        <v>49</v>
      </c>
      <c r="H192" s="15">
        <v>0</v>
      </c>
      <c r="I192" s="15">
        <v>0</v>
      </c>
      <c r="J192" s="15">
        <v>0</v>
      </c>
      <c r="K192" s="15">
        <v>1</v>
      </c>
      <c r="L192" s="15">
        <v>0</v>
      </c>
      <c r="M192" s="15">
        <v>0</v>
      </c>
      <c r="N192" s="15">
        <v>0</v>
      </c>
      <c r="O192" s="15">
        <v>0</v>
      </c>
    </row>
    <row r="193" spans="1:15" ht="17.25" customHeight="1" x14ac:dyDescent="0.25">
      <c r="A193" s="3" t="s">
        <v>176</v>
      </c>
      <c r="B193" s="15">
        <v>209</v>
      </c>
      <c r="C193" s="15">
        <v>336</v>
      </c>
      <c r="D193" s="15">
        <v>23</v>
      </c>
      <c r="E193" s="15">
        <v>46</v>
      </c>
      <c r="F193" s="16">
        <v>12</v>
      </c>
      <c r="G193" s="16">
        <v>15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</row>
    <row r="194" spans="1:15" ht="17.25" customHeight="1" x14ac:dyDescent="0.25">
      <c r="A194" s="3" t="s">
        <v>177</v>
      </c>
      <c r="B194" s="15">
        <v>241</v>
      </c>
      <c r="C194" s="15">
        <v>351</v>
      </c>
      <c r="D194" s="15">
        <v>58</v>
      </c>
      <c r="E194" s="15">
        <v>77</v>
      </c>
      <c r="F194" s="16">
        <v>20</v>
      </c>
      <c r="G194" s="16">
        <v>56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</row>
    <row r="195" spans="1:15" ht="17.25" customHeight="1" x14ac:dyDescent="0.25">
      <c r="A195" s="3" t="s">
        <v>178</v>
      </c>
      <c r="B195" s="15">
        <v>23</v>
      </c>
      <c r="C195" s="15">
        <v>20</v>
      </c>
      <c r="D195" s="15">
        <v>16</v>
      </c>
      <c r="E195" s="15">
        <v>46</v>
      </c>
      <c r="F195" s="16">
        <v>1</v>
      </c>
      <c r="G195" s="16">
        <v>7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</row>
    <row r="196" spans="1:15" ht="17.25" customHeight="1" x14ac:dyDescent="0.25">
      <c r="A196" s="3" t="s">
        <v>179</v>
      </c>
      <c r="B196" s="15">
        <v>1204</v>
      </c>
      <c r="C196" s="15">
        <v>1923</v>
      </c>
      <c r="D196" s="15">
        <v>175</v>
      </c>
      <c r="E196" s="15">
        <v>332</v>
      </c>
      <c r="F196" s="16">
        <v>68</v>
      </c>
      <c r="G196" s="16">
        <v>237</v>
      </c>
      <c r="H196" s="15">
        <v>0</v>
      </c>
      <c r="I196" s="15">
        <v>0</v>
      </c>
      <c r="J196" s="15">
        <v>0</v>
      </c>
      <c r="K196" s="15">
        <v>1</v>
      </c>
      <c r="L196" s="15">
        <v>2</v>
      </c>
      <c r="M196" s="15">
        <v>24</v>
      </c>
      <c r="N196" s="15">
        <v>0</v>
      </c>
      <c r="O196" s="15">
        <v>0</v>
      </c>
    </row>
    <row r="197" spans="1:15" ht="17.25" customHeight="1" x14ac:dyDescent="0.25">
      <c r="A197" s="3" t="s">
        <v>180</v>
      </c>
      <c r="B197" s="15">
        <v>454</v>
      </c>
      <c r="C197" s="15">
        <v>877</v>
      </c>
      <c r="D197" s="15">
        <v>180</v>
      </c>
      <c r="E197" s="15">
        <v>292</v>
      </c>
      <c r="F197" s="16">
        <v>125</v>
      </c>
      <c r="G197" s="16">
        <v>156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</row>
    <row r="198" spans="1:15" ht="17.25" customHeight="1" x14ac:dyDescent="0.25">
      <c r="A198" s="3" t="s">
        <v>181</v>
      </c>
      <c r="B198" s="15">
        <v>824</v>
      </c>
      <c r="C198" s="15">
        <v>2178</v>
      </c>
      <c r="D198" s="15">
        <v>264</v>
      </c>
      <c r="E198" s="15">
        <v>403</v>
      </c>
      <c r="F198" s="16">
        <v>112</v>
      </c>
      <c r="G198" s="16">
        <v>301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4</v>
      </c>
      <c r="N198" s="15">
        <v>0</v>
      </c>
      <c r="O198" s="15">
        <v>0</v>
      </c>
    </row>
    <row r="199" spans="1:15" ht="17.25" customHeight="1" x14ac:dyDescent="0.25">
      <c r="A199" s="3" t="s">
        <v>182</v>
      </c>
      <c r="B199" s="15">
        <v>0</v>
      </c>
      <c r="C199" s="15">
        <v>13</v>
      </c>
      <c r="D199" s="15">
        <v>0</v>
      </c>
      <c r="E199" s="15">
        <v>0</v>
      </c>
      <c r="F199" s="16">
        <v>1</v>
      </c>
      <c r="G199" s="16">
        <v>1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</row>
    <row r="200" spans="1:15" ht="17.25" customHeight="1" x14ac:dyDescent="0.25">
      <c r="A200" s="3" t="s">
        <v>183</v>
      </c>
      <c r="B200" s="15">
        <v>115</v>
      </c>
      <c r="C200" s="15">
        <v>398</v>
      </c>
      <c r="D200" s="15">
        <v>61</v>
      </c>
      <c r="E200" s="15">
        <v>101</v>
      </c>
      <c r="F200" s="16">
        <v>63</v>
      </c>
      <c r="G200" s="16">
        <v>111</v>
      </c>
      <c r="H200" s="15">
        <v>0</v>
      </c>
      <c r="I200" s="15">
        <v>0</v>
      </c>
      <c r="J200" s="15">
        <v>0</v>
      </c>
      <c r="K200" s="15">
        <v>0</v>
      </c>
      <c r="L200" s="15">
        <v>1</v>
      </c>
      <c r="M200" s="15">
        <v>3</v>
      </c>
      <c r="N200" s="15">
        <v>0</v>
      </c>
      <c r="O200" s="15">
        <v>0</v>
      </c>
    </row>
    <row r="201" spans="1:15" ht="17.25" customHeight="1" x14ac:dyDescent="0.25">
      <c r="A201" s="3" t="s">
        <v>184</v>
      </c>
      <c r="B201" s="15">
        <v>614</v>
      </c>
      <c r="C201" s="15">
        <v>1059</v>
      </c>
      <c r="D201" s="15">
        <v>35</v>
      </c>
      <c r="E201" s="15">
        <v>80</v>
      </c>
      <c r="F201" s="16">
        <v>52</v>
      </c>
      <c r="G201" s="16">
        <v>31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</row>
    <row r="202" spans="1:15" ht="17.25" customHeight="1" x14ac:dyDescent="0.25">
      <c r="A202" s="3" t="s">
        <v>185</v>
      </c>
      <c r="B202" s="15">
        <v>203</v>
      </c>
      <c r="C202" s="15">
        <v>347</v>
      </c>
      <c r="D202" s="15">
        <v>148</v>
      </c>
      <c r="E202" s="15">
        <v>243</v>
      </c>
      <c r="F202" s="15">
        <v>44</v>
      </c>
      <c r="G202" s="15">
        <v>42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</row>
    <row r="203" spans="1:15" ht="17.25" customHeight="1" x14ac:dyDescent="0.25">
      <c r="A203" s="12" t="s">
        <v>186</v>
      </c>
      <c r="B203" s="17">
        <v>0</v>
      </c>
      <c r="C203" s="17">
        <v>5</v>
      </c>
      <c r="D203" s="17">
        <v>0</v>
      </c>
      <c r="E203" s="17">
        <v>1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s="1" customFormat="1" ht="17.25" customHeight="1" x14ac:dyDescent="0.25">
      <c r="A204" s="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</row>
    <row r="205" spans="1:15" ht="17.25" customHeight="1" x14ac:dyDescent="0.25">
      <c r="A205" s="4" t="s">
        <v>187</v>
      </c>
      <c r="B205" s="14">
        <f t="shared" ref="B205:O205" si="17">SUM(B206:B215)</f>
        <v>2152</v>
      </c>
      <c r="C205" s="14">
        <f t="shared" si="17"/>
        <v>4728</v>
      </c>
      <c r="D205" s="14">
        <f t="shared" si="17"/>
        <v>1716</v>
      </c>
      <c r="E205" s="14">
        <f t="shared" si="17"/>
        <v>3616</v>
      </c>
      <c r="F205" s="14">
        <f t="shared" si="17"/>
        <v>381</v>
      </c>
      <c r="G205" s="14">
        <f t="shared" si="17"/>
        <v>831</v>
      </c>
      <c r="H205" s="14">
        <f t="shared" si="17"/>
        <v>1</v>
      </c>
      <c r="I205" s="14">
        <f t="shared" si="17"/>
        <v>0</v>
      </c>
      <c r="J205" s="14">
        <f t="shared" si="17"/>
        <v>2</v>
      </c>
      <c r="K205" s="14">
        <f t="shared" si="17"/>
        <v>8</v>
      </c>
      <c r="L205" s="14">
        <f t="shared" si="17"/>
        <v>0</v>
      </c>
      <c r="M205" s="14">
        <f t="shared" si="17"/>
        <v>22</v>
      </c>
      <c r="N205" s="14">
        <f t="shared" si="17"/>
        <v>2</v>
      </c>
      <c r="O205" s="14">
        <f t="shared" si="17"/>
        <v>6</v>
      </c>
    </row>
    <row r="206" spans="1:15" ht="17.25" customHeight="1" x14ac:dyDescent="0.25">
      <c r="A206" s="3" t="s">
        <v>188</v>
      </c>
      <c r="B206" s="15">
        <v>976</v>
      </c>
      <c r="C206" s="15">
        <v>1742</v>
      </c>
      <c r="D206" s="15">
        <v>727</v>
      </c>
      <c r="E206" s="15">
        <v>1613</v>
      </c>
      <c r="F206" s="16">
        <v>169</v>
      </c>
      <c r="G206" s="16">
        <v>376</v>
      </c>
      <c r="H206" s="15">
        <v>0</v>
      </c>
      <c r="I206" s="15">
        <v>0</v>
      </c>
      <c r="J206" s="15">
        <v>0</v>
      </c>
      <c r="K206" s="15">
        <v>6</v>
      </c>
      <c r="L206" s="15">
        <v>0</v>
      </c>
      <c r="M206" s="15">
        <v>15</v>
      </c>
      <c r="N206" s="15">
        <v>0</v>
      </c>
      <c r="O206" s="15">
        <v>1</v>
      </c>
    </row>
    <row r="207" spans="1:15" ht="17.25" customHeight="1" x14ac:dyDescent="0.25">
      <c r="A207" s="3" t="s">
        <v>189</v>
      </c>
      <c r="B207" s="15">
        <v>120</v>
      </c>
      <c r="C207" s="15">
        <v>535</v>
      </c>
      <c r="D207" s="15">
        <v>120</v>
      </c>
      <c r="E207" s="15">
        <v>222</v>
      </c>
      <c r="F207" s="16">
        <v>17</v>
      </c>
      <c r="G207" s="16">
        <v>49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</row>
    <row r="208" spans="1:15" ht="17.25" customHeight="1" x14ac:dyDescent="0.25">
      <c r="A208" s="3" t="s">
        <v>183</v>
      </c>
      <c r="B208" s="15">
        <v>243</v>
      </c>
      <c r="C208" s="15">
        <v>598</v>
      </c>
      <c r="D208" s="15">
        <v>27</v>
      </c>
      <c r="E208" s="15">
        <v>71</v>
      </c>
      <c r="F208" s="16">
        <v>28</v>
      </c>
      <c r="G208" s="16">
        <v>75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</row>
    <row r="209" spans="1:15" ht="17.25" customHeight="1" x14ac:dyDescent="0.25">
      <c r="A209" s="3" t="s">
        <v>151</v>
      </c>
      <c r="B209" s="15">
        <v>130</v>
      </c>
      <c r="C209" s="15">
        <v>272</v>
      </c>
      <c r="D209" s="15">
        <v>38</v>
      </c>
      <c r="E209" s="15">
        <v>159</v>
      </c>
      <c r="F209" s="16">
        <v>12</v>
      </c>
      <c r="G209" s="16">
        <v>26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</row>
    <row r="210" spans="1:15" ht="17.25" customHeight="1" x14ac:dyDescent="0.25">
      <c r="A210" s="3" t="s">
        <v>190</v>
      </c>
      <c r="B210" s="15">
        <v>79</v>
      </c>
      <c r="C210" s="15">
        <v>198</v>
      </c>
      <c r="D210" s="15">
        <v>101</v>
      </c>
      <c r="E210" s="15">
        <v>168</v>
      </c>
      <c r="F210" s="16">
        <v>52</v>
      </c>
      <c r="G210" s="16">
        <v>86</v>
      </c>
      <c r="H210" s="15">
        <v>0</v>
      </c>
      <c r="I210" s="15">
        <v>0</v>
      </c>
      <c r="J210" s="15">
        <v>2</v>
      </c>
      <c r="K210" s="15">
        <v>2</v>
      </c>
      <c r="L210" s="15">
        <v>0</v>
      </c>
      <c r="M210" s="15">
        <v>0</v>
      </c>
      <c r="N210" s="15">
        <v>0</v>
      </c>
      <c r="O210" s="15">
        <v>0</v>
      </c>
    </row>
    <row r="211" spans="1:15" ht="17.25" customHeight="1" x14ac:dyDescent="0.25">
      <c r="A211" s="3" t="s">
        <v>191</v>
      </c>
      <c r="B211" s="15">
        <v>341</v>
      </c>
      <c r="C211" s="15">
        <v>823</v>
      </c>
      <c r="D211" s="15">
        <v>354</v>
      </c>
      <c r="E211" s="15">
        <v>771</v>
      </c>
      <c r="F211" s="16">
        <v>62</v>
      </c>
      <c r="G211" s="16">
        <v>154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4</v>
      </c>
      <c r="N211" s="15">
        <v>2</v>
      </c>
      <c r="O211" s="15">
        <v>5</v>
      </c>
    </row>
    <row r="212" spans="1:15" ht="17.25" customHeight="1" x14ac:dyDescent="0.25">
      <c r="A212" s="3" t="s">
        <v>192</v>
      </c>
      <c r="B212" s="15">
        <v>25</v>
      </c>
      <c r="C212" s="15">
        <v>41</v>
      </c>
      <c r="D212" s="15">
        <v>72</v>
      </c>
      <c r="E212" s="15">
        <v>120</v>
      </c>
      <c r="F212" s="16">
        <v>14</v>
      </c>
      <c r="G212" s="16">
        <v>21</v>
      </c>
      <c r="H212" s="15">
        <v>1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</row>
    <row r="213" spans="1:15" ht="17.25" customHeight="1" x14ac:dyDescent="0.25">
      <c r="A213" s="3" t="s">
        <v>193</v>
      </c>
      <c r="B213" s="15">
        <v>237</v>
      </c>
      <c r="C213" s="15">
        <v>519</v>
      </c>
      <c r="D213" s="15">
        <v>170</v>
      </c>
      <c r="E213" s="15">
        <v>410</v>
      </c>
      <c r="F213" s="16">
        <v>9</v>
      </c>
      <c r="G213" s="16">
        <v>27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3</v>
      </c>
      <c r="N213" s="15">
        <v>0</v>
      </c>
      <c r="O213" s="15">
        <v>0</v>
      </c>
    </row>
    <row r="214" spans="1:15" ht="17.25" customHeight="1" x14ac:dyDescent="0.25">
      <c r="A214" s="3" t="s">
        <v>194</v>
      </c>
      <c r="B214" s="15">
        <v>1</v>
      </c>
      <c r="C214" s="15">
        <v>0</v>
      </c>
      <c r="D214" s="15">
        <v>107</v>
      </c>
      <c r="E214" s="15">
        <v>82</v>
      </c>
      <c r="F214" s="16">
        <v>18</v>
      </c>
      <c r="G214" s="16">
        <v>17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</row>
    <row r="215" spans="1:15" ht="17.25" customHeight="1" x14ac:dyDescent="0.25">
      <c r="A215" s="12" t="s">
        <v>195</v>
      </c>
      <c r="B215" s="17">
        <v>0</v>
      </c>
      <c r="C215" s="17">
        <v>0</v>
      </c>
      <c r="D215" s="17">
        <v>0</v>
      </c>
      <c r="E215" s="17">
        <v>0</v>
      </c>
      <c r="F215" s="18">
        <v>0</v>
      </c>
      <c r="G215" s="18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</row>
    <row r="216" spans="1:15" s="1" customFormat="1" ht="17.25" customHeight="1" x14ac:dyDescent="0.25">
      <c r="A216" s="4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</row>
    <row r="217" spans="1:15" ht="17.25" customHeight="1" x14ac:dyDescent="0.25">
      <c r="A217" s="4" t="s">
        <v>196</v>
      </c>
      <c r="B217" s="14">
        <f t="shared" ref="B217:O217" si="18">SUM(B218:B226)</f>
        <v>1975</v>
      </c>
      <c r="C217" s="14">
        <f t="shared" si="18"/>
        <v>4196</v>
      </c>
      <c r="D217" s="14">
        <f t="shared" si="18"/>
        <v>1793</v>
      </c>
      <c r="E217" s="14">
        <f t="shared" si="18"/>
        <v>3689</v>
      </c>
      <c r="F217" s="20">
        <f t="shared" si="18"/>
        <v>396</v>
      </c>
      <c r="G217" s="20">
        <f t="shared" si="18"/>
        <v>632</v>
      </c>
      <c r="H217" s="14">
        <f t="shared" si="18"/>
        <v>0</v>
      </c>
      <c r="I217" s="14">
        <f t="shared" si="18"/>
        <v>0</v>
      </c>
      <c r="J217" s="14">
        <f t="shared" si="18"/>
        <v>11</v>
      </c>
      <c r="K217" s="14">
        <f t="shared" si="18"/>
        <v>19</v>
      </c>
      <c r="L217" s="14">
        <f t="shared" si="18"/>
        <v>16</v>
      </c>
      <c r="M217" s="14">
        <f t="shared" si="18"/>
        <v>41</v>
      </c>
      <c r="N217" s="14">
        <f t="shared" si="18"/>
        <v>17</v>
      </c>
      <c r="O217" s="14">
        <f t="shared" si="18"/>
        <v>14</v>
      </c>
    </row>
    <row r="218" spans="1:15" ht="17.25" customHeight="1" x14ac:dyDescent="0.25">
      <c r="A218" s="3" t="s">
        <v>137</v>
      </c>
      <c r="B218" s="15">
        <v>680</v>
      </c>
      <c r="C218" s="15">
        <v>1347</v>
      </c>
      <c r="D218" s="15">
        <v>537</v>
      </c>
      <c r="E218" s="15">
        <v>1115</v>
      </c>
      <c r="F218" s="15">
        <v>151</v>
      </c>
      <c r="G218" s="15">
        <v>138</v>
      </c>
      <c r="H218" s="15">
        <v>0</v>
      </c>
      <c r="I218" s="15">
        <v>0</v>
      </c>
      <c r="J218" s="15">
        <v>11</v>
      </c>
      <c r="K218" s="15">
        <v>14</v>
      </c>
      <c r="L218" s="15">
        <v>15</v>
      </c>
      <c r="M218" s="15">
        <v>33</v>
      </c>
      <c r="N218" s="15">
        <v>17</v>
      </c>
      <c r="O218" s="15">
        <v>14</v>
      </c>
    </row>
    <row r="219" spans="1:15" ht="17.25" customHeight="1" x14ac:dyDescent="0.25">
      <c r="A219" s="3" t="s">
        <v>197</v>
      </c>
      <c r="B219" s="15">
        <v>336</v>
      </c>
      <c r="C219" s="15">
        <v>978</v>
      </c>
      <c r="D219" s="15">
        <v>248</v>
      </c>
      <c r="E219" s="15">
        <v>535</v>
      </c>
      <c r="F219" s="16">
        <v>42</v>
      </c>
      <c r="G219" s="16">
        <v>79</v>
      </c>
      <c r="H219" s="15">
        <v>0</v>
      </c>
      <c r="I219" s="15">
        <v>0</v>
      </c>
      <c r="J219" s="15">
        <v>0</v>
      </c>
      <c r="K219" s="15">
        <v>3</v>
      </c>
      <c r="L219" s="15">
        <v>0</v>
      </c>
      <c r="M219" s="15">
        <v>0</v>
      </c>
      <c r="N219" s="15">
        <v>0</v>
      </c>
      <c r="O219" s="15">
        <v>0</v>
      </c>
    </row>
    <row r="220" spans="1:15" ht="17.25" customHeight="1" x14ac:dyDescent="0.25">
      <c r="A220" s="3" t="s">
        <v>198</v>
      </c>
      <c r="B220" s="15">
        <v>57</v>
      </c>
      <c r="C220" s="15">
        <v>161</v>
      </c>
      <c r="D220" s="15">
        <v>143</v>
      </c>
      <c r="E220" s="15">
        <v>367</v>
      </c>
      <c r="F220" s="16">
        <v>0</v>
      </c>
      <c r="G220" s="16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</row>
    <row r="221" spans="1:15" ht="17.25" customHeight="1" x14ac:dyDescent="0.25">
      <c r="A221" s="3" t="s">
        <v>199</v>
      </c>
      <c r="B221" s="15">
        <v>361</v>
      </c>
      <c r="C221" s="15">
        <v>611</v>
      </c>
      <c r="D221" s="15">
        <v>162</v>
      </c>
      <c r="E221" s="15">
        <v>202</v>
      </c>
      <c r="F221" s="16">
        <v>62</v>
      </c>
      <c r="G221" s="16">
        <v>74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7</v>
      </c>
      <c r="N221" s="15">
        <v>0</v>
      </c>
      <c r="O221" s="15">
        <v>0</v>
      </c>
    </row>
    <row r="222" spans="1:15" ht="17.25" customHeight="1" x14ac:dyDescent="0.25">
      <c r="A222" s="3" t="s">
        <v>76</v>
      </c>
      <c r="B222" s="15">
        <v>23</v>
      </c>
      <c r="C222" s="15">
        <v>49</v>
      </c>
      <c r="D222" s="15">
        <v>150</v>
      </c>
      <c r="E222" s="15">
        <v>227</v>
      </c>
      <c r="F222" s="16">
        <v>22</v>
      </c>
      <c r="G222" s="16">
        <v>11</v>
      </c>
      <c r="H222" s="15">
        <v>0</v>
      </c>
      <c r="I222" s="15">
        <v>0</v>
      </c>
      <c r="J222" s="15">
        <v>0</v>
      </c>
      <c r="K222" s="15">
        <v>1</v>
      </c>
      <c r="L222" s="15">
        <v>0</v>
      </c>
      <c r="M222" s="15">
        <v>1</v>
      </c>
      <c r="N222" s="15">
        <v>0</v>
      </c>
      <c r="O222" s="15">
        <v>0</v>
      </c>
    </row>
    <row r="223" spans="1:15" ht="17.25" customHeight="1" x14ac:dyDescent="0.25">
      <c r="A223" s="3" t="s">
        <v>200</v>
      </c>
      <c r="B223" s="15">
        <v>324</v>
      </c>
      <c r="C223" s="15">
        <v>677</v>
      </c>
      <c r="D223" s="15">
        <v>39</v>
      </c>
      <c r="E223" s="15">
        <v>89</v>
      </c>
      <c r="F223" s="16">
        <v>52</v>
      </c>
      <c r="G223" s="16">
        <v>106</v>
      </c>
      <c r="H223" s="15">
        <v>0</v>
      </c>
      <c r="I223" s="15">
        <v>0</v>
      </c>
      <c r="J223" s="15">
        <v>0</v>
      </c>
      <c r="K223" s="15">
        <v>0</v>
      </c>
      <c r="L223" s="15">
        <v>1</v>
      </c>
      <c r="M223" s="15">
        <v>0</v>
      </c>
      <c r="N223" s="15">
        <v>0</v>
      </c>
      <c r="O223" s="15">
        <v>0</v>
      </c>
    </row>
    <row r="224" spans="1:15" ht="17.25" customHeight="1" x14ac:dyDescent="0.25">
      <c r="A224" s="3" t="s">
        <v>201</v>
      </c>
      <c r="B224" s="15">
        <v>49</v>
      </c>
      <c r="C224" s="15">
        <v>92</v>
      </c>
      <c r="D224" s="15">
        <v>21</v>
      </c>
      <c r="E224" s="15">
        <v>36</v>
      </c>
      <c r="F224" s="16">
        <v>13</v>
      </c>
      <c r="G224" s="16">
        <v>41</v>
      </c>
      <c r="H224" s="15">
        <v>0</v>
      </c>
      <c r="I224" s="15">
        <v>0</v>
      </c>
      <c r="J224" s="15">
        <v>0</v>
      </c>
      <c r="K224" s="15">
        <v>1</v>
      </c>
      <c r="L224" s="15">
        <v>0</v>
      </c>
      <c r="M224" s="15">
        <v>0</v>
      </c>
      <c r="N224" s="15">
        <v>0</v>
      </c>
      <c r="O224" s="15">
        <v>0</v>
      </c>
    </row>
    <row r="225" spans="1:15" ht="17.25" customHeight="1" x14ac:dyDescent="0.25">
      <c r="A225" s="3" t="s">
        <v>202</v>
      </c>
      <c r="B225" s="15">
        <v>34</v>
      </c>
      <c r="C225" s="15">
        <v>86</v>
      </c>
      <c r="D225" s="15">
        <v>76</v>
      </c>
      <c r="E225" s="15">
        <v>173</v>
      </c>
      <c r="F225" s="16">
        <v>27</v>
      </c>
      <c r="G225" s="16">
        <v>125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</row>
    <row r="226" spans="1:15" ht="17.25" customHeight="1" x14ac:dyDescent="0.25">
      <c r="A226" s="12" t="s">
        <v>203</v>
      </c>
      <c r="B226" s="17">
        <v>111</v>
      </c>
      <c r="C226" s="17">
        <v>195</v>
      </c>
      <c r="D226" s="17">
        <v>417</v>
      </c>
      <c r="E226" s="17">
        <v>945</v>
      </c>
      <c r="F226" s="18">
        <v>27</v>
      </c>
      <c r="G226" s="18">
        <v>58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</row>
    <row r="227" spans="1:15" s="1" customFormat="1" ht="17.25" customHeight="1" x14ac:dyDescent="0.25">
      <c r="A227" s="4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</row>
    <row r="228" spans="1:15" s="1" customFormat="1" ht="17.25" customHeight="1" x14ac:dyDescent="0.25">
      <c r="A228" s="4" t="s">
        <v>204</v>
      </c>
      <c r="B228" s="14">
        <v>2283</v>
      </c>
      <c r="C228" s="14">
        <v>3325</v>
      </c>
      <c r="D228" s="14">
        <v>529</v>
      </c>
      <c r="E228" s="14">
        <v>1100</v>
      </c>
      <c r="F228" s="14">
        <v>138</v>
      </c>
      <c r="G228" s="14">
        <v>291</v>
      </c>
      <c r="H228" s="14">
        <v>0</v>
      </c>
      <c r="I228" s="14">
        <v>0</v>
      </c>
      <c r="J228" s="14">
        <v>0</v>
      </c>
      <c r="K228" s="14">
        <v>1</v>
      </c>
      <c r="L228" s="14">
        <v>1</v>
      </c>
      <c r="M228" s="14">
        <v>17</v>
      </c>
      <c r="N228" s="14">
        <v>0</v>
      </c>
      <c r="O228" s="14">
        <v>1</v>
      </c>
    </row>
    <row r="229" spans="1:15" ht="17.25" customHeight="1" x14ac:dyDescent="0.25">
      <c r="A229" s="12" t="s">
        <v>205</v>
      </c>
      <c r="B229" s="17">
        <v>2283</v>
      </c>
      <c r="C229" s="17">
        <v>3325</v>
      </c>
      <c r="D229" s="17">
        <v>529</v>
      </c>
      <c r="E229" s="17">
        <v>1100</v>
      </c>
      <c r="F229" s="17">
        <v>138</v>
      </c>
      <c r="G229" s="17">
        <v>291</v>
      </c>
      <c r="H229" s="17">
        <v>0</v>
      </c>
      <c r="I229" s="17">
        <v>0</v>
      </c>
      <c r="J229" s="17">
        <v>0</v>
      </c>
      <c r="K229" s="17">
        <v>1</v>
      </c>
      <c r="L229" s="17">
        <v>1</v>
      </c>
      <c r="M229" s="17">
        <v>17</v>
      </c>
      <c r="N229" s="17">
        <v>0</v>
      </c>
      <c r="O229" s="17">
        <v>1</v>
      </c>
    </row>
    <row r="230" spans="1:15" ht="17.25" customHeight="1" x14ac:dyDescent="0.25">
      <c r="A230" s="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spans="1:15" ht="17.25" customHeight="1" x14ac:dyDescent="0.25">
      <c r="A231" s="4" t="s">
        <v>206</v>
      </c>
      <c r="B231" s="21">
        <f t="shared" ref="B231:O231" si="19">SUM(B232:B237)</f>
        <v>2925</v>
      </c>
      <c r="C231" s="21">
        <f t="shared" si="19"/>
        <v>8418</v>
      </c>
      <c r="D231" s="14">
        <f t="shared" si="19"/>
        <v>950</v>
      </c>
      <c r="E231" s="14">
        <f t="shared" si="19"/>
        <v>2568</v>
      </c>
      <c r="F231" s="14">
        <f t="shared" si="19"/>
        <v>328</v>
      </c>
      <c r="G231" s="21">
        <f t="shared" si="19"/>
        <v>966</v>
      </c>
      <c r="H231" s="21">
        <f t="shared" si="19"/>
        <v>0</v>
      </c>
      <c r="I231" s="21">
        <f t="shared" si="19"/>
        <v>1</v>
      </c>
      <c r="J231" s="21">
        <f t="shared" si="19"/>
        <v>0</v>
      </c>
      <c r="K231" s="21">
        <f t="shared" si="19"/>
        <v>5</v>
      </c>
      <c r="L231" s="21">
        <f t="shared" si="19"/>
        <v>7</v>
      </c>
      <c r="M231" s="21">
        <f t="shared" si="19"/>
        <v>74</v>
      </c>
      <c r="N231" s="21">
        <f t="shared" si="19"/>
        <v>4</v>
      </c>
      <c r="O231" s="21">
        <f t="shared" si="19"/>
        <v>10</v>
      </c>
    </row>
    <row r="232" spans="1:15" ht="17.25" customHeight="1" x14ac:dyDescent="0.25">
      <c r="A232" s="3" t="s">
        <v>184</v>
      </c>
      <c r="B232" s="16">
        <v>1664</v>
      </c>
      <c r="C232" s="16">
        <v>4220</v>
      </c>
      <c r="D232" s="15">
        <v>503</v>
      </c>
      <c r="E232" s="15">
        <v>1619</v>
      </c>
      <c r="F232" s="15">
        <v>185</v>
      </c>
      <c r="G232" s="15">
        <v>398</v>
      </c>
      <c r="H232" s="15">
        <v>0</v>
      </c>
      <c r="I232" s="15">
        <v>0</v>
      </c>
      <c r="J232" s="15">
        <v>0</v>
      </c>
      <c r="K232" s="15">
        <v>3</v>
      </c>
      <c r="L232" s="15">
        <v>7</v>
      </c>
      <c r="M232" s="15">
        <v>62</v>
      </c>
      <c r="N232" s="15">
        <v>3</v>
      </c>
      <c r="O232" s="15">
        <v>1</v>
      </c>
    </row>
    <row r="233" spans="1:15" ht="17.25" customHeight="1" x14ac:dyDescent="0.25">
      <c r="A233" s="3" t="s">
        <v>207</v>
      </c>
      <c r="B233" s="16">
        <v>319</v>
      </c>
      <c r="C233" s="16">
        <v>947</v>
      </c>
      <c r="D233" s="15">
        <v>170</v>
      </c>
      <c r="E233" s="15">
        <v>369</v>
      </c>
      <c r="F233" s="16">
        <v>41</v>
      </c>
      <c r="G233" s="16">
        <v>170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7</v>
      </c>
      <c r="N233" s="15">
        <v>0</v>
      </c>
      <c r="O233" s="15">
        <v>7</v>
      </c>
    </row>
    <row r="234" spans="1:15" ht="17.25" customHeight="1" x14ac:dyDescent="0.25">
      <c r="A234" s="3" t="s">
        <v>208</v>
      </c>
      <c r="B234" s="16">
        <v>159</v>
      </c>
      <c r="C234" s="16">
        <v>454</v>
      </c>
      <c r="D234" s="15">
        <v>36</v>
      </c>
      <c r="E234" s="15">
        <v>96</v>
      </c>
      <c r="F234" s="16">
        <v>22</v>
      </c>
      <c r="G234" s="16">
        <v>76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1</v>
      </c>
      <c r="O234" s="15">
        <v>0</v>
      </c>
    </row>
    <row r="235" spans="1:15" ht="17.25" customHeight="1" x14ac:dyDescent="0.25">
      <c r="A235" s="3" t="s">
        <v>48</v>
      </c>
      <c r="B235" s="16">
        <v>372</v>
      </c>
      <c r="C235" s="16">
        <v>1391</v>
      </c>
      <c r="D235" s="15">
        <v>48</v>
      </c>
      <c r="E235" s="15">
        <v>141</v>
      </c>
      <c r="F235" s="16">
        <v>43</v>
      </c>
      <c r="G235" s="16">
        <v>153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2</v>
      </c>
      <c r="N235" s="15">
        <v>0</v>
      </c>
      <c r="O235" s="15">
        <v>1</v>
      </c>
    </row>
    <row r="236" spans="1:15" ht="17.25" customHeight="1" x14ac:dyDescent="0.25">
      <c r="A236" s="3" t="s">
        <v>209</v>
      </c>
      <c r="B236" s="16">
        <v>174</v>
      </c>
      <c r="C236" s="16">
        <v>656</v>
      </c>
      <c r="D236" s="15">
        <v>77</v>
      </c>
      <c r="E236" s="15">
        <v>162</v>
      </c>
      <c r="F236" s="16">
        <v>16</v>
      </c>
      <c r="G236" s="16">
        <v>62</v>
      </c>
      <c r="H236" s="15">
        <v>0</v>
      </c>
      <c r="I236" s="15">
        <v>1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</row>
    <row r="237" spans="1:15" ht="17.25" customHeight="1" x14ac:dyDescent="0.25">
      <c r="A237" s="13" t="s">
        <v>80</v>
      </c>
      <c r="B237" s="22">
        <v>237</v>
      </c>
      <c r="C237" s="22">
        <v>750</v>
      </c>
      <c r="D237" s="23">
        <v>116</v>
      </c>
      <c r="E237" s="23">
        <v>181</v>
      </c>
      <c r="F237" s="22">
        <v>21</v>
      </c>
      <c r="G237" s="22">
        <v>107</v>
      </c>
      <c r="H237" s="23">
        <v>0</v>
      </c>
      <c r="I237" s="23">
        <v>0</v>
      </c>
      <c r="J237" s="23">
        <v>0</v>
      </c>
      <c r="K237" s="23">
        <v>2</v>
      </c>
      <c r="L237" s="23">
        <v>0</v>
      </c>
      <c r="M237" s="23">
        <v>3</v>
      </c>
      <c r="N237" s="23">
        <v>0</v>
      </c>
      <c r="O237" s="23">
        <v>1</v>
      </c>
    </row>
    <row r="238" spans="1:15" ht="17.25" customHeight="1" x14ac:dyDescent="0.25">
      <c r="A238" s="2" t="s">
        <v>210</v>
      </c>
      <c r="B238" s="9"/>
      <c r="C238" s="9"/>
      <c r="D238" s="9"/>
      <c r="E238" s="9"/>
      <c r="F238" s="9"/>
      <c r="G238" s="9"/>
      <c r="J238" s="9"/>
      <c r="K238" s="9"/>
      <c r="L238" s="9"/>
      <c r="M238" s="9"/>
      <c r="N238" s="9"/>
      <c r="O238" s="9"/>
    </row>
    <row r="239" spans="1:15" ht="17.25" customHeight="1" x14ac:dyDescent="0.25">
      <c r="B239" s="26"/>
      <c r="C239" s="26"/>
      <c r="D239" s="10"/>
      <c r="E239" s="10"/>
      <c r="F239" s="26"/>
      <c r="G239" s="26"/>
    </row>
    <row r="240" spans="1:15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</sheetData>
  <mergeCells count="12">
    <mergeCell ref="V13:Z13"/>
    <mergeCell ref="B239:C239"/>
    <mergeCell ref="F239:G239"/>
    <mergeCell ref="A1:O1"/>
    <mergeCell ref="A3:A4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scale="52" orientation="portrait" r:id="rId1"/>
  <rowBreaks count="2" manualBreakCount="2">
    <brk id="69" max="14" man="1"/>
    <brk id="12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6.17</vt:lpstr>
      <vt:lpstr>'6.17'!Print_Area</vt:lpstr>
      <vt:lpstr>'6.17'!Print_Titles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2017-01-17T05:24:32Z</cp:lastPrinted>
  <dcterms:created xsi:type="dcterms:W3CDTF">2014-03-04T09:17:57Z</dcterms:created>
  <dcterms:modified xsi:type="dcterms:W3CDTF">2017-01-17T05:24:37Z</dcterms:modified>
</cp:coreProperties>
</file>