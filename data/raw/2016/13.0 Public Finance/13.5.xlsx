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0" yWindow="-255" windowWidth="20670" windowHeight="10455" tabRatio="688"/>
  </bookViews>
  <sheets>
    <sheet name="13.5" sheetId="14" r:id="rId1"/>
  </sheets>
  <externalReferences>
    <externalReference r:id="rId2"/>
  </externalReferences>
  <definedNames>
    <definedName name="_xlnm.Print_Area" localSheetId="0">'13.5'!$A$1:$U$34</definedName>
  </definedNames>
  <calcPr calcId="144525"/>
</workbook>
</file>

<file path=xl/calcChain.xml><?xml version="1.0" encoding="utf-8"?>
<calcChain xmlns="http://schemas.openxmlformats.org/spreadsheetml/2006/main">
  <c r="S33" i="14" l="1"/>
  <c r="R33" i="14"/>
  <c r="I12" i="14"/>
  <c r="M23" i="14"/>
  <c r="M17" i="14"/>
  <c r="M12" i="14"/>
  <c r="M10" i="14" s="1"/>
  <c r="T33" i="14"/>
  <c r="T31" i="14"/>
  <c r="T30" i="14"/>
  <c r="T29" i="14"/>
  <c r="T28" i="14"/>
  <c r="T27" i="14"/>
  <c r="T26" i="14"/>
  <c r="T25" i="14"/>
  <c r="T24" i="14"/>
  <c r="T22" i="14"/>
  <c r="T21" i="14"/>
  <c r="T20" i="14"/>
  <c r="T19" i="14"/>
  <c r="T18" i="14"/>
  <c r="T16" i="14"/>
  <c r="T15" i="14"/>
  <c r="T14" i="14"/>
  <c r="T13" i="14"/>
  <c r="T11" i="14"/>
  <c r="M9" i="14" l="1"/>
  <c r="M8" i="14" s="1"/>
  <c r="S11" i="14" l="1"/>
  <c r="S13" i="14" l="1"/>
  <c r="S14" i="14"/>
  <c r="S15" i="14"/>
  <c r="S16" i="14"/>
  <c r="S18" i="14"/>
  <c r="S19" i="14"/>
  <c r="S20" i="14"/>
  <c r="S21" i="14"/>
  <c r="S22" i="14"/>
  <c r="S24" i="14"/>
  <c r="S25" i="14"/>
  <c r="S26" i="14"/>
  <c r="S27" i="14"/>
  <c r="S28" i="14"/>
  <c r="S29" i="14"/>
  <c r="S30" i="14"/>
  <c r="S31" i="14"/>
  <c r="R22" i="14" l="1"/>
  <c r="Q11" i="14"/>
  <c r="G17" i="14" l="1"/>
  <c r="H17" i="14"/>
  <c r="I17" i="14"/>
  <c r="J17" i="14"/>
  <c r="K17" i="14"/>
  <c r="L17" i="14"/>
  <c r="F17" i="14"/>
  <c r="Q21" i="14"/>
  <c r="R21" i="14"/>
  <c r="L12" i="14"/>
  <c r="G12" i="14"/>
  <c r="H12" i="14"/>
  <c r="J12" i="14"/>
  <c r="K12" i="14"/>
  <c r="T12" i="14" s="1"/>
  <c r="F12" i="14"/>
  <c r="S17" i="14" l="1"/>
  <c r="T17" i="14"/>
  <c r="S12" i="14"/>
  <c r="R12" i="14"/>
  <c r="R31" i="14" l="1"/>
  <c r="R30" i="14"/>
  <c r="R29" i="14"/>
  <c r="R28" i="14"/>
  <c r="R27" i="14"/>
  <c r="R26" i="14"/>
  <c r="R25" i="14"/>
  <c r="R24" i="14"/>
  <c r="R20" i="14"/>
  <c r="R19" i="14"/>
  <c r="R18" i="14"/>
  <c r="R16" i="14"/>
  <c r="R15" i="14"/>
  <c r="R14" i="14"/>
  <c r="R13" i="14"/>
  <c r="R11" i="14"/>
  <c r="K23" i="14"/>
  <c r="K10" i="14"/>
  <c r="K9" i="14" l="1"/>
  <c r="Q29" i="14"/>
  <c r="Q24" i="14"/>
  <c r="Q14" i="14"/>
  <c r="K8" i="14" l="1"/>
  <c r="Q13" i="14" l="1"/>
  <c r="Q12" i="14" l="1"/>
  <c r="Q15" i="14"/>
  <c r="Q16" i="14"/>
  <c r="Q18" i="14"/>
  <c r="Q19" i="14"/>
  <c r="Q20" i="14"/>
  <c r="Q25" i="14"/>
  <c r="Q26" i="14"/>
  <c r="Q27" i="14"/>
  <c r="Q28" i="14"/>
  <c r="Q30" i="14"/>
  <c r="Q31" i="14"/>
  <c r="Q33" i="14"/>
  <c r="L23" i="14"/>
  <c r="J23" i="14"/>
  <c r="T23" i="14" s="1"/>
  <c r="I23" i="14"/>
  <c r="S23" i="14" s="1"/>
  <c r="H23" i="14"/>
  <c r="G23" i="14"/>
  <c r="F23" i="14"/>
  <c r="E23" i="14"/>
  <c r="D23" i="14"/>
  <c r="C23" i="14"/>
  <c r="B23" i="14"/>
  <c r="E17" i="14"/>
  <c r="D17" i="14"/>
  <c r="C17" i="14"/>
  <c r="B17" i="14"/>
  <c r="L10" i="14"/>
  <c r="L9" i="14" s="1"/>
  <c r="L8" i="14" s="1"/>
  <c r="J10" i="14"/>
  <c r="I10" i="14"/>
  <c r="H10" i="14"/>
  <c r="G10" i="14"/>
  <c r="G9" i="14" s="1"/>
  <c r="F10" i="14"/>
  <c r="F9" i="14" s="1"/>
  <c r="F8" i="14" s="1"/>
  <c r="E10" i="14"/>
  <c r="D10" i="14"/>
  <c r="C10" i="14"/>
  <c r="C9" i="14" s="1"/>
  <c r="C8" i="14" s="1"/>
  <c r="B10" i="14"/>
  <c r="D9" i="14" l="1"/>
  <c r="D8" i="14" s="1"/>
  <c r="T10" i="14"/>
  <c r="J9" i="14"/>
  <c r="J8" i="14" s="1"/>
  <c r="T8" i="14" s="1"/>
  <c r="S10" i="14"/>
  <c r="E9" i="14"/>
  <c r="E8" i="14" s="1"/>
  <c r="B9" i="14"/>
  <c r="B8" i="14" s="1"/>
  <c r="Q10" i="14"/>
  <c r="R10" i="14"/>
  <c r="R23" i="14"/>
  <c r="H9" i="14"/>
  <c r="N20" i="14" s="1"/>
  <c r="G8" i="14"/>
  <c r="I9" i="14"/>
  <c r="R17" i="14"/>
  <c r="Q23" i="14"/>
  <c r="N14" i="14"/>
  <c r="Q17" i="14"/>
  <c r="N13" i="14"/>
  <c r="N33" i="14"/>
  <c r="N19" i="14"/>
  <c r="N27" i="14"/>
  <c r="N28" i="14"/>
  <c r="N29" i="14" l="1"/>
  <c r="N24" i="14"/>
  <c r="P9" i="14"/>
  <c r="P17" i="14"/>
  <c r="P12" i="14"/>
  <c r="P14" i="14"/>
  <c r="P16" i="14"/>
  <c r="P20" i="14"/>
  <c r="P22" i="14"/>
  <c r="P24" i="14"/>
  <c r="P26" i="14"/>
  <c r="P28" i="14"/>
  <c r="P30" i="14"/>
  <c r="P33" i="14"/>
  <c r="P18" i="14"/>
  <c r="P11" i="14"/>
  <c r="P13" i="14"/>
  <c r="P15" i="14"/>
  <c r="P19" i="14"/>
  <c r="P21" i="14"/>
  <c r="P23" i="14"/>
  <c r="P25" i="14"/>
  <c r="P27" i="14"/>
  <c r="P29" i="14"/>
  <c r="P31" i="14"/>
  <c r="T9" i="14"/>
  <c r="P10" i="14"/>
  <c r="S9" i="14"/>
  <c r="O9" i="14"/>
  <c r="O10" i="14"/>
  <c r="O21" i="14"/>
  <c r="O22" i="14"/>
  <c r="N18" i="14"/>
  <c r="N22" i="14"/>
  <c r="N26" i="14"/>
  <c r="N25" i="14"/>
  <c r="N21" i="14"/>
  <c r="N31" i="14"/>
  <c r="N16" i="14"/>
  <c r="N15" i="14"/>
  <c r="N12" i="14"/>
  <c r="N30" i="14"/>
  <c r="Q9" i="14"/>
  <c r="N11" i="14"/>
  <c r="N23" i="14"/>
  <c r="N17" i="14"/>
  <c r="N10" i="14"/>
  <c r="O14" i="14"/>
  <c r="O18" i="14"/>
  <c r="O27" i="14"/>
  <c r="O31" i="14"/>
  <c r="O12" i="14"/>
  <c r="O16" i="14"/>
  <c r="O25" i="14"/>
  <c r="O29" i="14"/>
  <c r="O11" i="14"/>
  <c r="O26" i="14"/>
  <c r="O15" i="14"/>
  <c r="O19" i="14"/>
  <c r="O24" i="14"/>
  <c r="O28" i="14"/>
  <c r="O20" i="14"/>
  <c r="O33" i="14"/>
  <c r="R9" i="14"/>
  <c r="O13" i="14"/>
  <c r="O30" i="14"/>
  <c r="I8" i="14"/>
  <c r="S8" i="14" s="1"/>
  <c r="O23" i="14"/>
  <c r="O17" i="14"/>
  <c r="N9" i="14"/>
  <c r="H8" i="14"/>
  <c r="Q8" i="14" s="1"/>
  <c r="R8" i="14" l="1"/>
</calcChain>
</file>

<file path=xl/sharedStrings.xml><?xml version="1.0" encoding="utf-8"?>
<sst xmlns="http://schemas.openxmlformats.org/spreadsheetml/2006/main" count="77" uniqueCount="71">
  <si>
    <t>Particulars</t>
  </si>
  <si>
    <t>clIBcfwt</t>
  </si>
  <si>
    <t>Actual</t>
  </si>
  <si>
    <t>Revised</t>
  </si>
  <si>
    <t>(cTejwbWtcsWrudem)</t>
  </si>
  <si>
    <t>MTEF</t>
  </si>
  <si>
    <t>Total Expenditure</t>
  </si>
  <si>
    <t>udwrwK</t>
  </si>
  <si>
    <t>Net lending</t>
  </si>
  <si>
    <t>IkWbufWs egInwrwd EverukUd</t>
  </si>
  <si>
    <t>Source:  Ministry of Finance and Treasury</t>
  </si>
  <si>
    <t>IrwRercT cDcnea cscnEnif cfoa IrcTcsinim :ctWrwf ivcaedutWmUluAwm</t>
  </si>
  <si>
    <t>(cniaWyifur cnwyilim)</t>
  </si>
  <si>
    <t>Memorandum item:</t>
  </si>
  <si>
    <t>caeacmwTiawa Wviawfiveruk cDrOker iawkwTcSwnWdwh</t>
  </si>
  <si>
    <t>urwvcnimivurutia</t>
  </si>
  <si>
    <t>% change</t>
  </si>
  <si>
    <t>Total Expenditure and Net Lending</t>
  </si>
  <si>
    <t>IkWbufWs egInwrwd EverukUd iaWdwrwK</t>
  </si>
  <si>
    <t>Public services</t>
  </si>
  <si>
    <t>ctwmcdiK umcaWA EvedcSwncnutiycawr</t>
  </si>
  <si>
    <t xml:space="preserve">  General administration</t>
  </si>
  <si>
    <t>EhebWmugcnih</t>
  </si>
  <si>
    <t xml:space="preserve">  Defence</t>
  </si>
  <si>
    <t xml:space="preserve"> cnuTcaeheleb cSwtcawtcnwkIaWfid</t>
  </si>
  <si>
    <t xml:space="preserve">        Military Defence</t>
  </si>
  <si>
    <t xml:space="preserve">        Civil Defence</t>
  </si>
  <si>
    <t xml:space="preserve">  Public order and Internal security</t>
  </si>
  <si>
    <t>cnuTcaeleb cSokiretWkcawrcnwmwa iaWmurukcmiaWq ufWscniauludwa</t>
  </si>
  <si>
    <t xml:space="preserve"> Environmental Protection</t>
  </si>
  <si>
    <t>cnuTcaeleb iaWmurukiretWkcawr iSevWmit</t>
  </si>
  <si>
    <t>Social services</t>
  </si>
  <si>
    <t>Ihea EvediaWdwrwK Everuk cSwaIqcawrwt eguAwmwtcjum</t>
  </si>
  <si>
    <t xml:space="preserve">  Education</t>
  </si>
  <si>
    <t>cmIluAwt</t>
  </si>
  <si>
    <t xml:space="preserve">  Health </t>
  </si>
  <si>
    <t>utwHcaiB</t>
  </si>
  <si>
    <t xml:space="preserve">  Social security and welfare services</t>
  </si>
  <si>
    <t>ctwmcdiK egrwaefcleviaWmuTcaeheleb cSokiretWkcawr uAwmwtcjum</t>
  </si>
  <si>
    <t xml:space="preserve">  Community programmes</t>
  </si>
  <si>
    <t>udwrwK Everuk iawkwTcSwaWdiawf egutwAWmwj</t>
  </si>
  <si>
    <t>Economic services</t>
  </si>
  <si>
    <t>ctwmcdiK IdWBitcqia</t>
  </si>
  <si>
    <t xml:space="preserve">  Fisheries and Agriculture</t>
  </si>
  <si>
    <t>cnwkirevcswm iaWmwkirevuDnwd</t>
  </si>
  <si>
    <t xml:space="preserve">  Transportation</t>
  </si>
  <si>
    <t>udwrwK EhebWrutwfurutwd</t>
  </si>
  <si>
    <t xml:space="preserve">  Communication</t>
  </si>
  <si>
    <t>ctwmcdiK ugetWlwBWvum</t>
  </si>
  <si>
    <t xml:space="preserve">  Tourism</t>
  </si>
  <si>
    <t>cmwzirUT</t>
  </si>
  <si>
    <t xml:space="preserve">  Trade and Industries</t>
  </si>
  <si>
    <t>cnwkiretctwkcawswm iaWairWfwyiv</t>
  </si>
  <si>
    <t xml:space="preserve">  Electricity</t>
  </si>
  <si>
    <t>cTcnwrwk</t>
  </si>
  <si>
    <t>Interest on public debt</t>
  </si>
  <si>
    <t>udwrwK egutwmcdiK EvedcSwaWsiawf WviawfigencSwNcnwrwd</t>
  </si>
  <si>
    <t>Loans disbursements</t>
  </si>
  <si>
    <t>ލޯނުން ޚަރަދު ކުރެވުނު</t>
  </si>
  <si>
    <t>2012 - 2013</t>
  </si>
  <si>
    <t xml:space="preserve"> cniawfis</t>
  </si>
  <si>
    <t>cnuhuluf</t>
  </si>
  <si>
    <t xml:space="preserve"> (In million MVR)</t>
  </si>
  <si>
    <t>2013 - 2014</t>
  </si>
  <si>
    <t xml:space="preserve">  Religion, Culture and Entertainment</t>
  </si>
  <si>
    <t>ދީނީ، ސަޤާފީ، މުނިފޫހިފިލުވުން</t>
  </si>
  <si>
    <t>2014 - 2015</t>
  </si>
  <si>
    <t>2018 -2012 ,ctogWviawfiverukudwrwK cnuTejwb egurWkurws cnutogegukwtiawb WviawfiLeawDnwk cSwmugcnihudwrwK : 13.5 ulwvWt</t>
  </si>
  <si>
    <t>Table  13.5 :  FUNCTIONAL CLASSIFICATION OF CENTRAL GOVERNMENT EXPENDITURE, 2012- 2018</t>
  </si>
  <si>
    <t>2015-2016</t>
  </si>
  <si>
    <r>
      <rPr>
        <b/>
        <sz val="8"/>
        <color theme="1"/>
        <rFont val="Faruma"/>
      </rPr>
      <t>ބެހިފައިވާ ގޮތް އިން ސައްތައިން</t>
    </r>
    <r>
      <rPr>
        <b/>
        <sz val="8"/>
        <color theme="1"/>
        <rFont val="Arial"/>
        <family val="2"/>
      </rPr>
      <t xml:space="preserve"> % share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</si>
</sst>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9" formatCode="0.0"/>
    <numFmt numFmtId="171" formatCode="_-* #,##0.00_-;\-* #,##0.00_-;_-* &quot;-&quot;??_-;_-@_-"/>
    <numFmt numFmtId="172" formatCode="#,##0.00\ ;&quot; (&quot;#,##0.00\);&quot; -&quot;#\ ;@\ 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8"/>
      <color theme="1"/>
      <name val="Arial"/>
      <family val="2"/>
    </font>
    <font>
      <sz val="9"/>
      <color theme="1"/>
      <name val="A_Randhoo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"/>
      <color theme="1"/>
      <name val="A_Utheem"/>
    </font>
    <font>
      <sz val="9"/>
      <color theme="1"/>
      <name val="A_Utheem"/>
    </font>
    <font>
      <b/>
      <sz val="8"/>
      <color theme="1"/>
      <name val="Faruma"/>
    </font>
    <font>
      <b/>
      <sz val="9"/>
      <color theme="1"/>
      <name val="Win Ahamedey PRB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</borders>
  <cellStyleXfs count="11">
    <xf numFmtId="0" fontId="0" fillId="0" borderId="0"/>
    <xf numFmtId="0" fontId="2" fillId="0" borderId="0"/>
    <xf numFmtId="40" fontId="3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6" fillId="0" borderId="0"/>
    <xf numFmtId="172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89">
    <xf numFmtId="0" fontId="0" fillId="0" borderId="0" xfId="0"/>
    <xf numFmtId="165" fontId="5" fillId="2" borderId="0" xfId="1" applyNumberFormat="1" applyFont="1" applyFill="1" applyBorder="1" applyAlignment="1" applyProtection="1">
      <alignment horizontal="right" vertical="center"/>
      <protection locked="0"/>
    </xf>
    <xf numFmtId="164" fontId="8" fillId="2" borderId="0" xfId="1" applyNumberFormat="1" applyFont="1" applyFill="1" applyBorder="1" applyAlignment="1">
      <alignment horizontal="right" vertical="center"/>
    </xf>
    <xf numFmtId="164" fontId="10" fillId="2" borderId="1" xfId="1" applyNumberFormat="1" applyFont="1" applyFill="1" applyBorder="1" applyAlignment="1">
      <alignment horizontal="right" vertical="center"/>
    </xf>
    <xf numFmtId="164" fontId="17" fillId="2" borderId="0" xfId="1" applyNumberFormat="1" applyFont="1" applyFill="1" applyAlignment="1">
      <alignment vertical="center"/>
    </xf>
    <xf numFmtId="164" fontId="18" fillId="2" borderId="0" xfId="1" applyNumberFormat="1" applyFont="1" applyFill="1" applyAlignment="1">
      <alignment vertical="center"/>
    </xf>
    <xf numFmtId="164" fontId="5" fillId="2" borderId="0" xfId="1" applyNumberFormat="1" applyFont="1" applyFill="1" applyAlignment="1" applyProtection="1">
      <alignment horizontal="left" vertical="center"/>
    </xf>
    <xf numFmtId="165" fontId="11" fillId="2" borderId="0" xfId="1" applyNumberFormat="1" applyFont="1" applyFill="1" applyBorder="1" applyAlignment="1" applyProtection="1">
      <alignment horizontal="right" vertical="center"/>
    </xf>
    <xf numFmtId="164" fontId="9" fillId="2" borderId="0" xfId="1" applyNumberFormat="1" applyFont="1" applyFill="1" applyAlignment="1">
      <alignment vertical="center"/>
    </xf>
    <xf numFmtId="164" fontId="22" fillId="2" borderId="0" xfId="1" applyNumberFormat="1" applyFont="1" applyFill="1" applyAlignment="1">
      <alignment vertical="center"/>
    </xf>
    <xf numFmtId="164" fontId="15" fillId="2" borderId="0" xfId="1" applyNumberFormat="1" applyFont="1" applyFill="1" applyAlignment="1" applyProtection="1">
      <alignment horizontal="left" vertical="center"/>
    </xf>
    <xf numFmtId="164" fontId="17" fillId="2" borderId="0" xfId="1" applyNumberFormat="1" applyFont="1" applyFill="1" applyAlignment="1">
      <alignment horizontal="center" vertical="center"/>
    </xf>
    <xf numFmtId="165" fontId="11" fillId="2" borderId="0" xfId="1" applyNumberFormat="1" applyFont="1" applyFill="1" applyBorder="1" applyAlignment="1" applyProtection="1">
      <alignment horizontal="right" vertical="center"/>
      <protection locked="0"/>
    </xf>
    <xf numFmtId="164" fontId="21" fillId="2" borderId="0" xfId="1" applyNumberFormat="1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vertical="center"/>
    </xf>
    <xf numFmtId="164" fontId="8" fillId="2" borderId="0" xfId="1" applyNumberFormat="1" applyFont="1" applyFill="1" applyAlignment="1">
      <alignment horizontal="right" vertical="center"/>
    </xf>
    <xf numFmtId="41" fontId="23" fillId="2" borderId="0" xfId="2" applyNumberFormat="1" applyFont="1" applyFill="1" applyBorder="1" applyAlignment="1" applyProtection="1">
      <alignment horizontal="right" vertical="center"/>
      <protection locked="0"/>
    </xf>
    <xf numFmtId="164" fontId="25" fillId="2" borderId="0" xfId="1" applyNumberFormat="1" applyFont="1" applyFill="1" applyAlignment="1">
      <alignment vertical="center" wrapText="1"/>
    </xf>
    <xf numFmtId="164" fontId="20" fillId="2" borderId="2" xfId="1" applyNumberFormat="1" applyFont="1" applyFill="1" applyBorder="1" applyAlignment="1">
      <alignment vertical="center"/>
    </xf>
    <xf numFmtId="164" fontId="19" fillId="2" borderId="0" xfId="1" applyNumberFormat="1" applyFont="1" applyFill="1" applyBorder="1" applyAlignment="1"/>
    <xf numFmtId="164" fontId="19" fillId="2" borderId="0" xfId="1" applyNumberFormat="1" applyFont="1" applyFill="1" applyBorder="1" applyAlignment="1">
      <alignment horizontal="center"/>
    </xf>
    <xf numFmtId="164" fontId="20" fillId="2" borderId="0" xfId="1" applyNumberFormat="1" applyFont="1" applyFill="1" applyBorder="1" applyAlignment="1">
      <alignment vertical="center"/>
    </xf>
    <xf numFmtId="164" fontId="9" fillId="2" borderId="0" xfId="1" applyNumberFormat="1" applyFont="1" applyFill="1" applyBorder="1" applyAlignment="1" applyProtection="1">
      <alignment horizontal="right" vertical="center"/>
      <protection locked="0"/>
    </xf>
    <xf numFmtId="164" fontId="20" fillId="2" borderId="0" xfId="1" applyNumberFormat="1" applyFont="1" applyFill="1" applyBorder="1" applyAlignment="1" applyProtection="1">
      <alignment horizontal="center" vertical="center"/>
      <protection locked="0"/>
    </xf>
    <xf numFmtId="164" fontId="20" fillId="2" borderId="3" xfId="1" applyNumberFormat="1" applyFont="1" applyFill="1" applyBorder="1" applyAlignment="1" applyProtection="1">
      <alignment horizontal="right" vertical="center"/>
      <protection locked="0"/>
    </xf>
    <xf numFmtId="164" fontId="20" fillId="2" borderId="13" xfId="1" applyNumberFormat="1" applyFont="1" applyFill="1" applyBorder="1" applyAlignment="1" applyProtection="1">
      <alignment horizontal="right" vertical="center"/>
      <protection locked="0"/>
    </xf>
    <xf numFmtId="164" fontId="20" fillId="2" borderId="0" xfId="1" applyNumberFormat="1" applyFont="1" applyFill="1" applyBorder="1" applyAlignment="1" applyProtection="1">
      <alignment horizontal="right" vertical="center"/>
      <protection locked="0"/>
    </xf>
    <xf numFmtId="164" fontId="20" fillId="2" borderId="11" xfId="1" applyNumberFormat="1" applyFont="1" applyFill="1" applyBorder="1" applyAlignment="1" applyProtection="1">
      <alignment horizontal="right" vertical="center"/>
      <protection locked="0"/>
    </xf>
    <xf numFmtId="164" fontId="10" fillId="2" borderId="4" xfId="1" applyNumberFormat="1" applyFont="1" applyFill="1" applyBorder="1" applyAlignment="1">
      <alignment horizontal="right" vertical="center"/>
    </xf>
    <xf numFmtId="164" fontId="10" fillId="2" borderId="7" xfId="1" applyNumberFormat="1" applyFont="1" applyFill="1" applyBorder="1" applyAlignment="1">
      <alignment horizontal="right" vertical="center"/>
    </xf>
    <xf numFmtId="169" fontId="10" fillId="2" borderId="14" xfId="1" applyNumberFormat="1" applyFont="1" applyFill="1" applyBorder="1" applyAlignment="1">
      <alignment horizontal="right" vertical="center"/>
    </xf>
    <xf numFmtId="169" fontId="10" fillId="2" borderId="12" xfId="1" applyNumberFormat="1" applyFont="1" applyFill="1" applyBorder="1" applyAlignment="1">
      <alignment horizontal="right" vertical="center"/>
    </xf>
    <xf numFmtId="164" fontId="27" fillId="2" borderId="1" xfId="1" applyNumberFormat="1" applyFont="1" applyFill="1" applyBorder="1" applyAlignment="1">
      <alignment horizontal="right" vertical="center"/>
    </xf>
    <xf numFmtId="3" fontId="5" fillId="2" borderId="0" xfId="1" applyNumberFormat="1" applyFont="1" applyFill="1" applyBorder="1" applyAlignment="1" applyProtection="1">
      <alignment horizontal="right" vertical="center"/>
    </xf>
    <xf numFmtId="3" fontId="5" fillId="2" borderId="2" xfId="1" applyNumberFormat="1" applyFont="1" applyFill="1" applyBorder="1" applyAlignment="1" applyProtection="1">
      <alignment horizontal="right" vertical="center"/>
    </xf>
    <xf numFmtId="165" fontId="5" fillId="2" borderId="2" xfId="1" applyNumberFormat="1" applyFont="1" applyFill="1" applyBorder="1" applyAlignment="1" applyProtection="1">
      <alignment horizontal="right" vertical="center"/>
    </xf>
    <xf numFmtId="165" fontId="5" fillId="2" borderId="5" xfId="1" applyNumberFormat="1" applyFont="1" applyFill="1" applyBorder="1" applyAlignment="1" applyProtection="1">
      <alignment horizontal="right" vertical="center"/>
    </xf>
    <xf numFmtId="165" fontId="5" fillId="2" borderId="8" xfId="1" applyNumberFormat="1" applyFont="1" applyFill="1" applyBorder="1" applyAlignment="1" applyProtection="1">
      <alignment horizontal="right" vertical="center"/>
    </xf>
    <xf numFmtId="169" fontId="5" fillId="2" borderId="2" xfId="1" applyNumberFormat="1" applyFont="1" applyFill="1" applyBorder="1" applyAlignment="1" applyProtection="1">
      <alignment horizontal="right" vertical="center"/>
    </xf>
    <xf numFmtId="169" fontId="5" fillId="2" borderId="8" xfId="1" applyNumberFormat="1" applyFont="1" applyFill="1" applyBorder="1" applyAlignment="1" applyProtection="1">
      <alignment horizontal="right" vertical="center"/>
    </xf>
    <xf numFmtId="169" fontId="5" fillId="2" borderId="0" xfId="1" applyNumberFormat="1" applyFont="1" applyFill="1" applyBorder="1" applyAlignment="1" applyProtection="1">
      <alignment horizontal="right" vertical="center"/>
      <protection locked="0"/>
    </xf>
    <xf numFmtId="3" fontId="5" fillId="2" borderId="0" xfId="1" applyNumberFormat="1" applyFont="1" applyFill="1" applyBorder="1" applyAlignment="1" applyProtection="1">
      <alignment horizontal="right" vertical="center"/>
      <protection locked="0"/>
    </xf>
    <xf numFmtId="165" fontId="5" fillId="2" borderId="3" xfId="1" applyNumberFormat="1" applyFont="1" applyFill="1" applyBorder="1" applyAlignment="1" applyProtection="1">
      <alignment horizontal="right" vertical="center"/>
      <protection locked="0"/>
    </xf>
    <xf numFmtId="165" fontId="5" fillId="2" borderId="6" xfId="1" applyNumberFormat="1" applyFont="1" applyFill="1" applyBorder="1" applyAlignment="1" applyProtection="1">
      <alignment horizontal="right" vertical="center"/>
      <protection locked="0"/>
    </xf>
    <xf numFmtId="169" fontId="5" fillId="2" borderId="0" xfId="1" applyNumberFormat="1" applyFont="1" applyFill="1" applyBorder="1" applyAlignment="1" applyProtection="1">
      <alignment vertical="center"/>
      <protection locked="0"/>
    </xf>
    <xf numFmtId="169" fontId="5" fillId="2" borderId="6" xfId="1" applyNumberFormat="1" applyFont="1" applyFill="1" applyBorder="1" applyAlignment="1" applyProtection="1">
      <alignment vertical="center"/>
      <protection locked="0"/>
    </xf>
    <xf numFmtId="164" fontId="11" fillId="2" borderId="0" xfId="1" applyNumberFormat="1" applyFont="1" applyFill="1" applyAlignment="1" applyProtection="1">
      <alignment horizontal="left" vertical="center"/>
    </xf>
    <xf numFmtId="3" fontId="11" fillId="2" borderId="0" xfId="1" applyNumberFormat="1" applyFont="1" applyFill="1" applyBorder="1" applyAlignment="1" applyProtection="1">
      <alignment horizontal="right" vertical="center"/>
      <protection locked="0"/>
    </xf>
    <xf numFmtId="165" fontId="11" fillId="2" borderId="3" xfId="1" applyNumberFormat="1" applyFont="1" applyFill="1" applyBorder="1" applyAlignment="1" applyProtection="1">
      <alignment horizontal="right" vertical="center"/>
      <protection locked="0"/>
    </xf>
    <xf numFmtId="165" fontId="11" fillId="2" borderId="6" xfId="1" applyNumberFormat="1" applyFont="1" applyFill="1" applyBorder="1" applyAlignment="1" applyProtection="1">
      <alignment horizontal="right" vertical="center"/>
      <protection locked="0"/>
    </xf>
    <xf numFmtId="169" fontId="11" fillId="2" borderId="0" xfId="1" applyNumberFormat="1" applyFont="1" applyFill="1" applyBorder="1" applyAlignment="1" applyProtection="1">
      <alignment vertical="center"/>
      <protection locked="0"/>
    </xf>
    <xf numFmtId="169" fontId="11" fillId="2" borderId="6" xfId="1" applyNumberFormat="1" applyFont="1" applyFill="1" applyBorder="1" applyAlignment="1" applyProtection="1">
      <alignment vertical="center"/>
      <protection locked="0"/>
    </xf>
    <xf numFmtId="169" fontId="11" fillId="2" borderId="0" xfId="1" applyNumberFormat="1" applyFont="1" applyFill="1" applyBorder="1" applyAlignment="1" applyProtection="1">
      <alignment horizontal="right" vertical="center"/>
      <protection locked="0"/>
    </xf>
    <xf numFmtId="164" fontId="21" fillId="2" borderId="0" xfId="1" applyNumberFormat="1" applyFont="1" applyFill="1" applyAlignment="1">
      <alignment horizontal="right" vertical="center" indent="3"/>
    </xf>
    <xf numFmtId="3" fontId="11" fillId="2" borderId="0" xfId="1" applyNumberFormat="1" applyFont="1" applyFill="1" applyBorder="1" applyAlignment="1">
      <alignment vertical="center"/>
    </xf>
    <xf numFmtId="164" fontId="14" fillId="2" borderId="0" xfId="1" applyNumberFormat="1" applyFont="1" applyFill="1" applyAlignment="1">
      <alignment horizontal="right" vertical="center"/>
    </xf>
    <xf numFmtId="3" fontId="11" fillId="2" borderId="0" xfId="1" applyNumberFormat="1" applyFont="1" applyFill="1" applyBorder="1" applyAlignment="1" applyProtection="1">
      <alignment horizontal="right" vertical="center"/>
    </xf>
    <xf numFmtId="164" fontId="11" fillId="2" borderId="1" xfId="1" applyNumberFormat="1" applyFont="1" applyFill="1" applyBorder="1" applyAlignment="1" applyProtection="1">
      <alignment horizontal="left" vertical="center"/>
    </xf>
    <xf numFmtId="3" fontId="11" fillId="2" borderId="1" xfId="1" applyNumberFormat="1" applyFont="1" applyFill="1" applyBorder="1" applyAlignment="1" applyProtection="1">
      <alignment horizontal="center" vertical="center"/>
      <protection locked="0"/>
    </xf>
    <xf numFmtId="3" fontId="11" fillId="2" borderId="1" xfId="1" applyNumberFormat="1" applyFont="1" applyFill="1" applyBorder="1" applyAlignment="1" applyProtection="1">
      <alignment horizontal="right" vertical="center"/>
      <protection locked="0"/>
    </xf>
    <xf numFmtId="165" fontId="11" fillId="2" borderId="1" xfId="1" applyNumberFormat="1" applyFont="1" applyFill="1" applyBorder="1" applyAlignment="1" applyProtection="1">
      <alignment horizontal="right" vertical="center"/>
      <protection locked="0"/>
    </xf>
    <xf numFmtId="165" fontId="11" fillId="2" borderId="4" xfId="1" applyNumberFormat="1" applyFont="1" applyFill="1" applyBorder="1" applyAlignment="1" applyProtection="1">
      <alignment horizontal="right" vertical="center"/>
      <protection locked="0"/>
    </xf>
    <xf numFmtId="165" fontId="11" fillId="2" borderId="7" xfId="1" applyNumberFormat="1" applyFont="1" applyFill="1" applyBorder="1" applyAlignment="1" applyProtection="1">
      <alignment horizontal="right" vertical="center"/>
      <protection locked="0"/>
    </xf>
    <xf numFmtId="169" fontId="11" fillId="2" borderId="1" xfId="1" applyNumberFormat="1" applyFont="1" applyFill="1" applyBorder="1" applyAlignment="1" applyProtection="1">
      <alignment vertical="center"/>
      <protection locked="0"/>
    </xf>
    <xf numFmtId="169" fontId="11" fillId="2" borderId="7" xfId="1" applyNumberFormat="1" applyFont="1" applyFill="1" applyBorder="1" applyAlignment="1" applyProtection="1">
      <alignment vertical="center"/>
      <protection locked="0"/>
    </xf>
    <xf numFmtId="169" fontId="11" fillId="2" borderId="1" xfId="1" applyNumberFormat="1" applyFont="1" applyFill="1" applyBorder="1" applyAlignment="1" applyProtection="1">
      <alignment horizontal="right" vertical="center"/>
      <protection locked="0"/>
    </xf>
    <xf numFmtId="164" fontId="14" fillId="2" borderId="1" xfId="1" applyNumberFormat="1" applyFont="1" applyFill="1" applyBorder="1" applyAlignment="1">
      <alignment horizontal="right" vertical="center"/>
    </xf>
    <xf numFmtId="37" fontId="13" fillId="2" borderId="0" xfId="1" applyNumberFormat="1" applyFont="1" applyFill="1" applyAlignment="1" applyProtection="1">
      <alignment horizontal="center" vertical="center"/>
    </xf>
    <xf numFmtId="169" fontId="13" fillId="2" borderId="0" xfId="1" applyNumberFormat="1" applyFont="1" applyFill="1" applyAlignment="1" applyProtection="1">
      <alignment horizontal="center" vertical="center"/>
    </xf>
    <xf numFmtId="169" fontId="17" fillId="2" borderId="0" xfId="1" applyNumberFormat="1" applyFont="1" applyFill="1" applyAlignment="1">
      <alignment horizontal="center" vertical="center"/>
    </xf>
    <xf numFmtId="165" fontId="9" fillId="2" borderId="0" xfId="1" applyNumberFormat="1" applyFont="1" applyFill="1" applyAlignment="1" applyProtection="1">
      <alignment horizontal="right" vertical="center"/>
    </xf>
    <xf numFmtId="165" fontId="9" fillId="2" borderId="0" xfId="1" applyNumberFormat="1" applyFont="1" applyFill="1" applyAlignment="1" applyProtection="1">
      <alignment horizontal="right" vertical="center"/>
      <protection locked="0"/>
    </xf>
    <xf numFmtId="164" fontId="16" fillId="2" borderId="0" xfId="1" applyNumberFormat="1" applyFont="1" applyFill="1" applyAlignment="1">
      <alignment horizontal="center" vertical="center"/>
    </xf>
    <xf numFmtId="164" fontId="12" fillId="2" borderId="0" xfId="1" applyNumberFormat="1" applyFont="1" applyFill="1" applyBorder="1" applyAlignment="1" applyProtection="1">
      <alignment horizontal="center" vertical="center" wrapText="1"/>
    </xf>
    <xf numFmtId="164" fontId="24" fillId="2" borderId="0" xfId="1" applyNumberFormat="1" applyFont="1" applyFill="1" applyAlignment="1">
      <alignment horizontal="center" vertical="center" wrapText="1"/>
    </xf>
    <xf numFmtId="164" fontId="18" fillId="2" borderId="1" xfId="1" applyNumberFormat="1" applyFont="1" applyFill="1" applyBorder="1" applyAlignment="1">
      <alignment horizontal="center" vertical="center"/>
    </xf>
    <xf numFmtId="164" fontId="10" fillId="2" borderId="2" xfId="1" applyNumberFormat="1" applyFont="1" applyFill="1" applyBorder="1" applyAlignment="1" applyProtection="1">
      <alignment horizontal="left" vertical="center"/>
    </xf>
    <xf numFmtId="164" fontId="10" fillId="2" borderId="0" xfId="1" applyNumberFormat="1" applyFont="1" applyFill="1" applyBorder="1" applyAlignment="1" applyProtection="1">
      <alignment horizontal="left" vertical="center"/>
    </xf>
    <xf numFmtId="164" fontId="10" fillId="2" borderId="1" xfId="1" applyNumberFormat="1" applyFont="1" applyFill="1" applyBorder="1" applyAlignment="1" applyProtection="1">
      <alignment horizontal="left" vertical="center"/>
    </xf>
    <xf numFmtId="164" fontId="20" fillId="2" borderId="10" xfId="1" applyNumberFormat="1" applyFont="1" applyFill="1" applyBorder="1" applyAlignment="1">
      <alignment horizontal="center" vertical="center"/>
    </xf>
    <xf numFmtId="164" fontId="20" fillId="2" borderId="9" xfId="1" applyNumberFormat="1" applyFont="1" applyFill="1" applyBorder="1" applyAlignment="1">
      <alignment horizontal="center" vertical="center"/>
    </xf>
    <xf numFmtId="164" fontId="20" fillId="2" borderId="15" xfId="1" applyNumberFormat="1" applyFont="1" applyFill="1" applyBorder="1" applyAlignment="1">
      <alignment horizontal="center" vertical="center"/>
    </xf>
    <xf numFmtId="169" fontId="19" fillId="2" borderId="5" xfId="1" applyNumberFormat="1" applyFont="1" applyFill="1" applyBorder="1" applyAlignment="1" applyProtection="1">
      <alignment horizontal="center" vertical="center"/>
      <protection hidden="1"/>
    </xf>
    <xf numFmtId="169" fontId="19" fillId="2" borderId="2" xfId="1" applyNumberFormat="1" applyFont="1" applyFill="1" applyBorder="1" applyAlignment="1" applyProtection="1">
      <alignment horizontal="center" vertical="center"/>
      <protection hidden="1"/>
    </xf>
    <xf numFmtId="169" fontId="20" fillId="2" borderId="3" xfId="1" applyNumberFormat="1" applyFont="1" applyFill="1" applyBorder="1" applyAlignment="1" applyProtection="1">
      <alignment horizontal="center" vertical="center"/>
      <protection locked="0"/>
    </xf>
    <xf numFmtId="169" fontId="20" fillId="2" borderId="0" xfId="1" applyNumberFormat="1" applyFont="1" applyFill="1" applyBorder="1" applyAlignment="1" applyProtection="1">
      <alignment horizontal="center" vertical="center"/>
      <protection locked="0"/>
    </xf>
    <xf numFmtId="164" fontId="19" fillId="2" borderId="10" xfId="1" applyNumberFormat="1" applyFont="1" applyFill="1" applyBorder="1" applyAlignment="1">
      <alignment horizontal="center" vertical="center"/>
    </xf>
    <xf numFmtId="164" fontId="19" fillId="2" borderId="9" xfId="1" applyNumberFormat="1" applyFont="1" applyFill="1" applyBorder="1" applyAlignment="1">
      <alignment horizontal="center" vertical="center"/>
    </xf>
    <xf numFmtId="164" fontId="19" fillId="2" borderId="15" xfId="1" applyNumberFormat="1" applyFont="1" applyFill="1" applyBorder="1" applyAlignment="1">
      <alignment horizontal="center" vertical="center"/>
    </xf>
  </cellXfs>
  <cellStyles count="11">
    <cellStyle name="Comma 2" xfId="6"/>
    <cellStyle name="Comma 3" xfId="7"/>
    <cellStyle name="Comma 4" xfId="3"/>
    <cellStyle name="Comma 6" xfId="9"/>
    <cellStyle name="Comma_13 Public Finance_done" xfId="2"/>
    <cellStyle name="Excel Built-in Comma" xfId="5"/>
    <cellStyle name="Excel Built-in Normal" xfId="4"/>
    <cellStyle name="Normal" xfId="0" builtinId="0"/>
    <cellStyle name="Normal 2" xfId="10"/>
    <cellStyle name="Normal 4" xfId="8"/>
    <cellStyle name="Normal_13 Public Finance_done" xfId="1"/>
  </cellStyles>
  <dxfs count="0"/>
  <tableStyles count="0" defaultTableStyle="TableStyleMedium9" defaultPivotStyle="PivotStyleLight16"/>
  <colors>
    <mruColors>
      <color rgb="FF00A8A4"/>
      <color rgb="FF7DDFDD"/>
      <color rgb="FF1C706E"/>
      <color rgb="FFE7FFFF"/>
      <color rgb="FF33CCCC"/>
      <color rgb="FF9DE7E5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3/RECEIVED%20TABLES/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8"/>
  <sheetViews>
    <sheetView tabSelected="1" zoomScale="110" zoomScaleNormal="110" workbookViewId="0">
      <selection activeCell="M15" sqref="M15"/>
    </sheetView>
  </sheetViews>
  <sheetFormatPr defaultColWidth="8.85546875" defaultRowHeight="12.75"/>
  <cols>
    <col min="1" max="1" width="32.7109375" style="4" customWidth="1"/>
    <col min="2" max="6" width="8.85546875" style="11" hidden="1" customWidth="1"/>
    <col min="7" max="7" width="8.85546875" style="11" customWidth="1"/>
    <col min="8" max="8" width="8.85546875" style="11"/>
    <col min="9" max="13" width="10.7109375" style="11" customWidth="1"/>
    <col min="14" max="16" width="10.140625" style="11" customWidth="1"/>
    <col min="17" max="18" width="10.7109375" style="69" bestFit="1" customWidth="1"/>
    <col min="19" max="20" width="10.7109375" style="69" customWidth="1"/>
    <col min="21" max="21" width="39" style="4" customWidth="1"/>
    <col min="22" max="16384" width="8.85546875" style="4"/>
  </cols>
  <sheetData>
    <row r="1" spans="1:22" ht="19.5">
      <c r="A1" s="72" t="s">
        <v>67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</row>
    <row r="2" spans="1:22" ht="15.75">
      <c r="A2" s="73" t="s">
        <v>68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</row>
    <row r="3" spans="1:22" ht="14.25">
      <c r="A3" s="74" t="s">
        <v>12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17"/>
    </row>
    <row r="4" spans="1:22" s="5" customFormat="1">
      <c r="A4" s="75" t="s">
        <v>62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r="5" spans="1:22" s="21" customFormat="1" ht="26.45" customHeight="1">
      <c r="A5" s="76" t="s">
        <v>0</v>
      </c>
      <c r="B5" s="18"/>
      <c r="C5" s="19"/>
      <c r="D5" s="19"/>
      <c r="E5" s="19"/>
      <c r="F5" s="19"/>
      <c r="G5" s="20"/>
      <c r="H5" s="20"/>
      <c r="I5" s="86" t="s">
        <v>4</v>
      </c>
      <c r="J5" s="87"/>
      <c r="K5" s="87"/>
      <c r="L5" s="87"/>
      <c r="M5" s="88"/>
      <c r="N5" s="79" t="s">
        <v>70</v>
      </c>
      <c r="O5" s="80"/>
      <c r="P5" s="81"/>
      <c r="Q5" s="82" t="s">
        <v>15</v>
      </c>
      <c r="R5" s="83"/>
      <c r="S5" s="83"/>
      <c r="T5" s="83"/>
    </row>
    <row r="6" spans="1:22" s="14" customFormat="1" ht="15">
      <c r="A6" s="77"/>
      <c r="C6" s="22"/>
      <c r="D6" s="22"/>
      <c r="E6" s="22"/>
      <c r="F6" s="22"/>
      <c r="G6" s="23"/>
      <c r="H6" s="23" t="s">
        <v>2</v>
      </c>
      <c r="I6" s="24" t="s">
        <v>2</v>
      </c>
      <c r="J6" s="25" t="s">
        <v>3</v>
      </c>
      <c r="K6" s="26" t="s">
        <v>5</v>
      </c>
      <c r="L6" s="25" t="s">
        <v>5</v>
      </c>
      <c r="M6" s="27" t="s">
        <v>5</v>
      </c>
      <c r="N6" s="26" t="s">
        <v>2</v>
      </c>
      <c r="O6" s="26" t="s">
        <v>2</v>
      </c>
      <c r="P6" s="26" t="s">
        <v>3</v>
      </c>
      <c r="Q6" s="84" t="s">
        <v>16</v>
      </c>
      <c r="R6" s="85"/>
      <c r="S6" s="85"/>
      <c r="T6" s="85"/>
      <c r="U6" s="2" t="s">
        <v>1</v>
      </c>
    </row>
    <row r="7" spans="1:22" s="8" customFormat="1" ht="12">
      <c r="A7" s="78"/>
      <c r="B7" s="3">
        <v>2007</v>
      </c>
      <c r="C7" s="3">
        <v>2008</v>
      </c>
      <c r="D7" s="3">
        <v>2009</v>
      </c>
      <c r="E7" s="3">
        <v>2010</v>
      </c>
      <c r="F7" s="3">
        <v>2011</v>
      </c>
      <c r="G7" s="3">
        <v>2012</v>
      </c>
      <c r="H7" s="3">
        <v>2013</v>
      </c>
      <c r="I7" s="28">
        <v>2014</v>
      </c>
      <c r="J7" s="3">
        <v>2015</v>
      </c>
      <c r="K7" s="3">
        <v>2016</v>
      </c>
      <c r="L7" s="3">
        <v>2017</v>
      </c>
      <c r="M7" s="29">
        <v>2018</v>
      </c>
      <c r="N7" s="3">
        <v>2013</v>
      </c>
      <c r="O7" s="3">
        <v>2014</v>
      </c>
      <c r="P7" s="3">
        <v>2015</v>
      </c>
      <c r="Q7" s="30" t="s">
        <v>59</v>
      </c>
      <c r="R7" s="31" t="s">
        <v>63</v>
      </c>
      <c r="S7" s="31" t="s">
        <v>66</v>
      </c>
      <c r="T7" s="31" t="s">
        <v>69</v>
      </c>
      <c r="U7" s="32"/>
    </row>
    <row r="8" spans="1:22" s="8" customFormat="1" ht="15">
      <c r="A8" s="6" t="s">
        <v>17</v>
      </c>
      <c r="B8" s="33">
        <f t="shared" ref="B8:L8" si="0">SUM(B9,B31)</f>
        <v>8200.9</v>
      </c>
      <c r="C8" s="34">
        <f t="shared" si="0"/>
        <v>10175.996671999999</v>
      </c>
      <c r="D8" s="34">
        <f t="shared" si="0"/>
        <v>10953.434156000003</v>
      </c>
      <c r="E8" s="34">
        <f t="shared" si="0"/>
        <v>10815.062102899999</v>
      </c>
      <c r="F8" s="35">
        <f t="shared" si="0"/>
        <v>12264.741933000001</v>
      </c>
      <c r="G8" s="35">
        <f t="shared" si="0"/>
        <v>13110.002924999997</v>
      </c>
      <c r="H8" s="35">
        <f t="shared" si="0"/>
        <v>13530.77100239</v>
      </c>
      <c r="I8" s="36">
        <f t="shared" si="0"/>
        <v>16417.281596000001</v>
      </c>
      <c r="J8" s="35">
        <f t="shared" si="0"/>
        <v>21286.09190853843</v>
      </c>
      <c r="K8" s="35">
        <f t="shared" si="0"/>
        <v>26392.531275656511</v>
      </c>
      <c r="L8" s="35">
        <f t="shared" si="0"/>
        <v>27060.180916366513</v>
      </c>
      <c r="M8" s="37">
        <f t="shared" ref="M8" si="1">SUM(M9,M31)</f>
        <v>25268.15583989942</v>
      </c>
      <c r="N8" s="38"/>
      <c r="O8" s="38"/>
      <c r="P8" s="39"/>
      <c r="Q8" s="40">
        <f t="shared" ref="Q8:T10" si="2">+((H8/G8)-1)*100</f>
        <v>3.2095193250309961</v>
      </c>
      <c r="R8" s="40">
        <f t="shared" si="2"/>
        <v>21.332935078866868</v>
      </c>
      <c r="S8" s="40">
        <f>+((J8/I8)-1)*100</f>
        <v>29.656616925695502</v>
      </c>
      <c r="T8" s="40">
        <f>+((K8/J8)-1)*100</f>
        <v>23.989558013088107</v>
      </c>
      <c r="U8" s="15" t="s">
        <v>18</v>
      </c>
    </row>
    <row r="9" spans="1:22" s="8" customFormat="1" ht="15">
      <c r="A9" s="6" t="s">
        <v>6</v>
      </c>
      <c r="B9" s="41">
        <f t="shared" ref="B9:L9" si="3">SUM(B10,B17,B23,B30)</f>
        <v>8325.4</v>
      </c>
      <c r="C9" s="41">
        <f t="shared" si="3"/>
        <v>10342.396671999999</v>
      </c>
      <c r="D9" s="41">
        <f t="shared" si="3"/>
        <v>11104.270489000002</v>
      </c>
      <c r="E9" s="41">
        <f t="shared" si="3"/>
        <v>10996.362102899999</v>
      </c>
      <c r="F9" s="1">
        <f t="shared" si="3"/>
        <v>12663.741933000001</v>
      </c>
      <c r="G9" s="1">
        <f t="shared" si="3"/>
        <v>13200.234560999997</v>
      </c>
      <c r="H9" s="1">
        <f t="shared" si="3"/>
        <v>13666.256009389999</v>
      </c>
      <c r="I9" s="42">
        <f t="shared" si="3"/>
        <v>16539.443646</v>
      </c>
      <c r="J9" s="1">
        <f t="shared" si="3"/>
        <v>21299.655352473143</v>
      </c>
      <c r="K9" s="1">
        <f t="shared" si="3"/>
        <v>26376.972882656512</v>
      </c>
      <c r="L9" s="1">
        <f t="shared" si="3"/>
        <v>26959.926034366512</v>
      </c>
      <c r="M9" s="43">
        <f t="shared" ref="M9" si="4">SUM(M10,M17,M23,M30)</f>
        <v>25294.203618656509</v>
      </c>
      <c r="N9" s="44">
        <f>+(H9/$H$9)*100</f>
        <v>100</v>
      </c>
      <c r="O9" s="44">
        <f>+(I9/$I$9)*100</f>
        <v>100</v>
      </c>
      <c r="P9" s="45">
        <f>+(J9/$J$9)*100</f>
        <v>100</v>
      </c>
      <c r="Q9" s="40">
        <f t="shared" si="2"/>
        <v>3.5304027836509766</v>
      </c>
      <c r="R9" s="40">
        <f t="shared" si="2"/>
        <v>21.023955900107904</v>
      </c>
      <c r="S9" s="40">
        <f>+((J9/I9)-1)*100</f>
        <v>28.780966327270519</v>
      </c>
      <c r="T9" s="40">
        <f>+((K9/J9)-1)*100</f>
        <v>23.837557210022343</v>
      </c>
      <c r="U9" s="15" t="s">
        <v>7</v>
      </c>
    </row>
    <row r="10" spans="1:22" s="8" customFormat="1" ht="15">
      <c r="A10" s="6" t="s">
        <v>19</v>
      </c>
      <c r="B10" s="41">
        <f>SUM(B11,B12,B15,B16)</f>
        <v>3050.7999999999997</v>
      </c>
      <c r="C10" s="41">
        <f t="shared" ref="C10:L10" si="5">SUM(C11,C12,C15,C16)</f>
        <v>3708.5</v>
      </c>
      <c r="D10" s="41">
        <f t="shared" si="5"/>
        <v>4216.3047380000016</v>
      </c>
      <c r="E10" s="41">
        <f t="shared" si="5"/>
        <v>4614.6055389999992</v>
      </c>
      <c r="F10" s="1">
        <f>SUM(F11,F12,F15,F16)</f>
        <v>5881.7756770000005</v>
      </c>
      <c r="G10" s="1">
        <f t="shared" si="5"/>
        <v>5914.3218849999994</v>
      </c>
      <c r="H10" s="1">
        <f t="shared" si="5"/>
        <v>5246.6271609999994</v>
      </c>
      <c r="I10" s="42">
        <f t="shared" si="5"/>
        <v>6216.7655439999999</v>
      </c>
      <c r="J10" s="1">
        <f t="shared" si="5"/>
        <v>7835.2370308831778</v>
      </c>
      <c r="K10" s="1">
        <f t="shared" ref="K10" si="6">SUM(K11,K12,K15,K16)</f>
        <v>7938.4895976565094</v>
      </c>
      <c r="L10" s="1">
        <f t="shared" si="5"/>
        <v>7765.1471213665118</v>
      </c>
      <c r="M10" s="43">
        <f t="shared" ref="M10" si="7">SUM(M11,M12,M15,M16)</f>
        <v>6985.7228396565097</v>
      </c>
      <c r="N10" s="44">
        <f>+(H10/$H$9)*100</f>
        <v>38.391108416197348</v>
      </c>
      <c r="O10" s="44">
        <f>+(I10/$I$9)*100</f>
        <v>37.587513081212379</v>
      </c>
      <c r="P10" s="45">
        <f>+(J10/$J$9)*100</f>
        <v>36.785745596458277</v>
      </c>
      <c r="Q10" s="40">
        <f t="shared" si="2"/>
        <v>-11.289455274550042</v>
      </c>
      <c r="R10" s="40">
        <f t="shared" si="2"/>
        <v>18.490705613910883</v>
      </c>
      <c r="S10" s="40">
        <f t="shared" si="2"/>
        <v>26.033979815198549</v>
      </c>
      <c r="T10" s="40">
        <f t="shared" si="2"/>
        <v>1.3177976156477866</v>
      </c>
      <c r="U10" s="15" t="s">
        <v>20</v>
      </c>
    </row>
    <row r="11" spans="1:22" s="9" customFormat="1" ht="15">
      <c r="A11" s="46" t="s">
        <v>21</v>
      </c>
      <c r="B11" s="47">
        <v>1607.3</v>
      </c>
      <c r="C11" s="47">
        <v>2043.9</v>
      </c>
      <c r="D11" s="47">
        <v>2197.6652670000008</v>
      </c>
      <c r="E11" s="47">
        <v>2684.2828549999995</v>
      </c>
      <c r="F11" s="12">
        <v>3414.360107</v>
      </c>
      <c r="G11" s="12">
        <v>3431.8828060000001</v>
      </c>
      <c r="H11" s="12">
        <v>2539.0598371399997</v>
      </c>
      <c r="I11" s="48">
        <v>3189.9729499999999</v>
      </c>
      <c r="J11" s="12">
        <v>3552.9629438798438</v>
      </c>
      <c r="K11" s="12">
        <v>3363.26411265651</v>
      </c>
      <c r="L11" s="12">
        <v>3208.7266373665107</v>
      </c>
      <c r="M11" s="49">
        <v>3123.1481996565103</v>
      </c>
      <c r="N11" s="50">
        <f t="shared" ref="N11:N31" si="8">+(H11/$H$9)*100</f>
        <v>18.579044878095562</v>
      </c>
      <c r="O11" s="50">
        <f>+(I11/$I$9)*100</f>
        <v>19.287063206454846</v>
      </c>
      <c r="P11" s="51">
        <f t="shared" ref="P11:P33" si="9">+(J11/$J$9)*100</f>
        <v>16.680847108013431</v>
      </c>
      <c r="Q11" s="52">
        <f>+((H11/G11)-1)*100</f>
        <v>-26.01554363392211</v>
      </c>
      <c r="R11" s="52">
        <f t="shared" ref="Q11:T31" si="10">+((I11/H11)-1)*100</f>
        <v>25.635989484721613</v>
      </c>
      <c r="S11" s="52">
        <f>+((J11/I11)-1)*100</f>
        <v>11.37909316377883</v>
      </c>
      <c r="T11" s="52">
        <f>+((K11/J11)-1)*100</f>
        <v>-5.3391728036482728</v>
      </c>
      <c r="U11" s="13" t="s">
        <v>22</v>
      </c>
    </row>
    <row r="12" spans="1:22" s="9" customFormat="1" ht="15">
      <c r="A12" s="46" t="s">
        <v>23</v>
      </c>
      <c r="B12" s="47">
        <v>475.70000000000005</v>
      </c>
      <c r="C12" s="47">
        <v>586.4</v>
      </c>
      <c r="D12" s="47">
        <v>752.52470600000004</v>
      </c>
      <c r="E12" s="47">
        <v>669.42846799999995</v>
      </c>
      <c r="F12" s="1">
        <f>SUM(F13:F14)</f>
        <v>910.58722000000012</v>
      </c>
      <c r="G12" s="1">
        <f t="shared" ref="G12:L12" si="11">SUM(G13:G14)</f>
        <v>812.66227900000001</v>
      </c>
      <c r="H12" s="1">
        <f t="shared" si="11"/>
        <v>796.60127067999997</v>
      </c>
      <c r="I12" s="42">
        <f>SUM(I13:I14)</f>
        <v>923.31431999999995</v>
      </c>
      <c r="J12" s="1">
        <f t="shared" si="11"/>
        <v>1104.3199049133334</v>
      </c>
      <c r="K12" s="1">
        <f t="shared" si="11"/>
        <v>1199.3696219999999</v>
      </c>
      <c r="L12" s="1">
        <f t="shared" si="11"/>
        <v>1068.734929</v>
      </c>
      <c r="M12" s="43">
        <f t="shared" ref="M12" si="12">SUM(M13:M14)</f>
        <v>980.26558299999999</v>
      </c>
      <c r="N12" s="44">
        <f t="shared" si="8"/>
        <v>5.8289649347462849</v>
      </c>
      <c r="O12" s="44">
        <f>+(I12/$I$9)*100</f>
        <v>5.5824992651630083</v>
      </c>
      <c r="P12" s="51">
        <f t="shared" si="9"/>
        <v>5.1846843840368004</v>
      </c>
      <c r="Q12" s="40">
        <f t="shared" si="10"/>
        <v>-1.976344754153414</v>
      </c>
      <c r="R12" s="40">
        <f>+((I12/H12)-1)*100</f>
        <v>15.906709414590114</v>
      </c>
      <c r="S12" s="40">
        <f>+((J12/I12)-1)*100</f>
        <v>19.603896635474417</v>
      </c>
      <c r="T12" s="40">
        <f>+((K12/J12)-1)*100</f>
        <v>8.6070817580822236</v>
      </c>
      <c r="U12" s="13" t="s">
        <v>24</v>
      </c>
    </row>
    <row r="13" spans="1:22" s="9" customFormat="1" ht="15">
      <c r="A13" s="46" t="s">
        <v>25</v>
      </c>
      <c r="B13" s="47">
        <v>0</v>
      </c>
      <c r="C13" s="47">
        <v>0</v>
      </c>
      <c r="D13" s="47">
        <v>0</v>
      </c>
      <c r="E13" s="47">
        <v>0</v>
      </c>
      <c r="F13" s="12">
        <v>777.54432100000008</v>
      </c>
      <c r="G13" s="12">
        <v>800.809574</v>
      </c>
      <c r="H13" s="12">
        <v>787.97938867999994</v>
      </c>
      <c r="I13" s="48">
        <v>913.25778199999991</v>
      </c>
      <c r="J13" s="12">
        <v>1086.9068900366667</v>
      </c>
      <c r="K13" s="12">
        <v>1188.1437699999999</v>
      </c>
      <c r="L13" s="12">
        <v>1057.267797</v>
      </c>
      <c r="M13" s="49">
        <v>968.549935</v>
      </c>
      <c r="N13" s="50">
        <f>+(H13/$G$9)*100</f>
        <v>5.9694347478345549</v>
      </c>
      <c r="O13" s="50">
        <f t="shared" ref="O13:O33" si="13">+(I13/$I$9)*100</f>
        <v>5.5216959019106291</v>
      </c>
      <c r="P13" s="51">
        <f t="shared" si="9"/>
        <v>5.1029318176759322</v>
      </c>
      <c r="Q13" s="52">
        <f t="shared" si="10"/>
        <v>-1.6021518394084611</v>
      </c>
      <c r="R13" s="52">
        <f t="shared" si="10"/>
        <v>15.898689117980958</v>
      </c>
      <c r="S13" s="52">
        <f t="shared" si="10"/>
        <v>19.014248929407618</v>
      </c>
      <c r="T13" s="52">
        <f t="shared" si="10"/>
        <v>9.3142182546950281</v>
      </c>
      <c r="U13" s="53" t="s">
        <v>60</v>
      </c>
    </row>
    <row r="14" spans="1:22" s="9" customFormat="1" ht="15">
      <c r="A14" s="46" t="s">
        <v>26</v>
      </c>
      <c r="B14" s="47">
        <v>0</v>
      </c>
      <c r="C14" s="47">
        <v>0</v>
      </c>
      <c r="D14" s="47">
        <v>0</v>
      </c>
      <c r="E14" s="47">
        <v>0</v>
      </c>
      <c r="F14" s="12">
        <v>133.04289900000001</v>
      </c>
      <c r="G14" s="12">
        <v>11.852705</v>
      </c>
      <c r="H14" s="12">
        <v>8.6218819999999994</v>
      </c>
      <c r="I14" s="48">
        <v>10.056538</v>
      </c>
      <c r="J14" s="12">
        <v>17.413014876666669</v>
      </c>
      <c r="K14" s="12">
        <v>11.225852</v>
      </c>
      <c r="L14" s="12">
        <v>11.467131999999999</v>
      </c>
      <c r="M14" s="49">
        <v>11.715648</v>
      </c>
      <c r="N14" s="50">
        <f>+(H14/$G$9)*100</f>
        <v>6.5316127226051651E-2</v>
      </c>
      <c r="O14" s="50">
        <f t="shared" si="13"/>
        <v>6.0803363252379616E-2</v>
      </c>
      <c r="P14" s="51">
        <f t="shared" si="9"/>
        <v>8.1752566360867474E-2</v>
      </c>
      <c r="Q14" s="52">
        <f>+((H14/G14)-1)*100</f>
        <v>-27.25810690471079</v>
      </c>
      <c r="R14" s="52">
        <f>+((I14/H14)-1)*100</f>
        <v>16.639708128689314</v>
      </c>
      <c r="S14" s="52">
        <f>+((J14/I14)-1)*100</f>
        <v>73.151186587935825</v>
      </c>
      <c r="T14" s="52">
        <f>+((K14/J14)-1)*100</f>
        <v>-35.531830188449611</v>
      </c>
      <c r="U14" s="53" t="s">
        <v>61</v>
      </c>
    </row>
    <row r="15" spans="1:22" s="9" customFormat="1" ht="15">
      <c r="A15" s="46" t="s">
        <v>27</v>
      </c>
      <c r="B15" s="47">
        <v>825.69999999999993</v>
      </c>
      <c r="C15" s="54">
        <v>982.5</v>
      </c>
      <c r="D15" s="47">
        <v>1170.997198</v>
      </c>
      <c r="E15" s="47">
        <v>1192.3427610000001</v>
      </c>
      <c r="F15" s="12">
        <v>1364.5149330000002</v>
      </c>
      <c r="G15" s="12">
        <v>1525.6040499999999</v>
      </c>
      <c r="H15" s="12">
        <v>1725.97350061</v>
      </c>
      <c r="I15" s="48">
        <v>1982.1994500000001</v>
      </c>
      <c r="J15" s="12">
        <v>2699.8374944233333</v>
      </c>
      <c r="K15" s="12">
        <v>2676.41932</v>
      </c>
      <c r="L15" s="12">
        <v>2893.1537020000001</v>
      </c>
      <c r="M15" s="49">
        <v>2390.9394249999996</v>
      </c>
      <c r="N15" s="50">
        <f t="shared" si="8"/>
        <v>12.629453885717451</v>
      </c>
      <c r="O15" s="50">
        <f t="shared" si="13"/>
        <v>11.984680334029175</v>
      </c>
      <c r="P15" s="51">
        <f t="shared" si="9"/>
        <v>12.67549849866397</v>
      </c>
      <c r="Q15" s="52">
        <f t="shared" si="10"/>
        <v>13.133778099894267</v>
      </c>
      <c r="R15" s="52">
        <f t="shared" si="10"/>
        <v>14.845300307301578</v>
      </c>
      <c r="S15" s="52">
        <f t="shared" si="10"/>
        <v>36.204128924732238</v>
      </c>
      <c r="T15" s="52">
        <f t="shared" si="10"/>
        <v>-0.86739199939643852</v>
      </c>
      <c r="U15" s="13" t="s">
        <v>28</v>
      </c>
    </row>
    <row r="16" spans="1:22" s="9" customFormat="1" ht="15">
      <c r="A16" s="46" t="s">
        <v>29</v>
      </c>
      <c r="B16" s="47">
        <v>142.1</v>
      </c>
      <c r="C16" s="47">
        <v>95.7</v>
      </c>
      <c r="D16" s="47">
        <v>95.117567000000008</v>
      </c>
      <c r="E16" s="47">
        <v>68.551455000000004</v>
      </c>
      <c r="F16" s="12">
        <v>192.31341699999999</v>
      </c>
      <c r="G16" s="12">
        <v>144.17275000000001</v>
      </c>
      <c r="H16" s="12">
        <v>184.99255256999999</v>
      </c>
      <c r="I16" s="48">
        <v>121.27882399999999</v>
      </c>
      <c r="J16" s="12">
        <v>478.11668766666668</v>
      </c>
      <c r="K16" s="12">
        <v>699.43654300000003</v>
      </c>
      <c r="L16" s="12">
        <v>594.53185299999996</v>
      </c>
      <c r="M16" s="49">
        <v>491.36963200000002</v>
      </c>
      <c r="N16" s="50">
        <f t="shared" si="8"/>
        <v>1.3536447176380477</v>
      </c>
      <c r="O16" s="50">
        <f t="shared" si="13"/>
        <v>0.73327027556535007</v>
      </c>
      <c r="P16" s="51">
        <f t="shared" si="9"/>
        <v>2.2447156057440698</v>
      </c>
      <c r="Q16" s="52">
        <f t="shared" si="10"/>
        <v>28.313119205952564</v>
      </c>
      <c r="R16" s="52">
        <f t="shared" si="10"/>
        <v>-34.441239760660714</v>
      </c>
      <c r="S16" s="52">
        <f t="shared" si="10"/>
        <v>294.22932371661744</v>
      </c>
      <c r="T16" s="52">
        <f t="shared" si="10"/>
        <v>46.289924832666188</v>
      </c>
      <c r="U16" s="13" t="s">
        <v>30</v>
      </c>
    </row>
    <row r="17" spans="1:21" s="8" customFormat="1" ht="15">
      <c r="A17" s="6" t="s">
        <v>31</v>
      </c>
      <c r="B17" s="41">
        <f>SUM(B18:B21)</f>
        <v>4444.1000000000004</v>
      </c>
      <c r="C17" s="41">
        <f>SUM(C18:C21)</f>
        <v>5122.8</v>
      </c>
      <c r="D17" s="41">
        <f>SUM(D18:D21)</f>
        <v>5432.5708530000002</v>
      </c>
      <c r="E17" s="41">
        <f>SUM(E18:E21)</f>
        <v>5279.2611290000004</v>
      </c>
      <c r="F17" s="1">
        <f>SUM(F18:F22)</f>
        <v>4927.7102970000005</v>
      </c>
      <c r="G17" s="1">
        <f t="shared" ref="G17:L17" si="14">SUM(G18:G22)</f>
        <v>5307.4933679999995</v>
      </c>
      <c r="H17" s="1">
        <f t="shared" si="14"/>
        <v>6639.8532862999991</v>
      </c>
      <c r="I17" s="42">
        <f t="shared" si="14"/>
        <v>8245.5721549999998</v>
      </c>
      <c r="J17" s="1">
        <f t="shared" si="14"/>
        <v>10226.343213316666</v>
      </c>
      <c r="K17" s="1">
        <f t="shared" si="14"/>
        <v>12582.230105000001</v>
      </c>
      <c r="L17" s="1">
        <f t="shared" si="14"/>
        <v>12738.562942999999</v>
      </c>
      <c r="M17" s="43">
        <f t="shared" ref="M17" si="15">SUM(M18:M22)</f>
        <v>11566.700989999998</v>
      </c>
      <c r="N17" s="44">
        <f t="shared" si="8"/>
        <v>48.585752248002649</v>
      </c>
      <c r="O17" s="44">
        <f t="shared" si="13"/>
        <v>49.8539874223288</v>
      </c>
      <c r="P17" s="45">
        <f>+(J17/$J$9)*100</f>
        <v>48.011777862543049</v>
      </c>
      <c r="Q17" s="40">
        <f t="shared" si="10"/>
        <v>25.103374152723013</v>
      </c>
      <c r="R17" s="40">
        <f t="shared" si="10"/>
        <v>24.183047417825911</v>
      </c>
      <c r="S17" s="40">
        <f t="shared" si="10"/>
        <v>24.022239100964683</v>
      </c>
      <c r="T17" s="40">
        <f t="shared" si="10"/>
        <v>23.037432272129465</v>
      </c>
      <c r="U17" s="15" t="s">
        <v>32</v>
      </c>
    </row>
    <row r="18" spans="1:21" s="9" customFormat="1" ht="15">
      <c r="A18" s="46" t="s">
        <v>33</v>
      </c>
      <c r="B18" s="47">
        <v>1313.8000000000002</v>
      </c>
      <c r="C18" s="47">
        <v>1630.5</v>
      </c>
      <c r="D18" s="47">
        <v>1935.0878400000001</v>
      </c>
      <c r="E18" s="47">
        <v>1643.137213</v>
      </c>
      <c r="F18" s="12">
        <v>1796.661055</v>
      </c>
      <c r="G18" s="12">
        <v>2203.168764</v>
      </c>
      <c r="H18" s="12">
        <v>2002.2797697200001</v>
      </c>
      <c r="I18" s="48">
        <v>2212.015058</v>
      </c>
      <c r="J18" s="12">
        <v>2980.97203795</v>
      </c>
      <c r="K18" s="12">
        <v>3216.7983429999999</v>
      </c>
      <c r="L18" s="12">
        <v>3246.4225770000003</v>
      </c>
      <c r="M18" s="49">
        <v>3128.9930400000003</v>
      </c>
      <c r="N18" s="50">
        <f t="shared" si="8"/>
        <v>14.651267825981353</v>
      </c>
      <c r="O18" s="50">
        <f t="shared" si="13"/>
        <v>13.374180567040822</v>
      </c>
      <c r="P18" s="51">
        <f>+(J18/$J$9)*100</f>
        <v>13.995400341554697</v>
      </c>
      <c r="Q18" s="52">
        <f t="shared" si="10"/>
        <v>-9.11818456954121</v>
      </c>
      <c r="R18" s="52">
        <f t="shared" si="10"/>
        <v>10.474824320346077</v>
      </c>
      <c r="S18" s="52">
        <f t="shared" si="10"/>
        <v>34.762737132777687</v>
      </c>
      <c r="T18" s="52">
        <f t="shared" si="10"/>
        <v>7.9110539128765645</v>
      </c>
      <c r="U18" s="13" t="s">
        <v>34</v>
      </c>
    </row>
    <row r="19" spans="1:21" s="9" customFormat="1" ht="15">
      <c r="A19" s="46" t="s">
        <v>35</v>
      </c>
      <c r="B19" s="47">
        <v>782.19999999999993</v>
      </c>
      <c r="C19" s="47">
        <v>1326.4</v>
      </c>
      <c r="D19" s="47">
        <v>1396.1558639999998</v>
      </c>
      <c r="E19" s="47">
        <v>990.87232799999992</v>
      </c>
      <c r="F19" s="12">
        <v>368.31382600000001</v>
      </c>
      <c r="G19" s="12">
        <v>296.66393599999998</v>
      </c>
      <c r="H19" s="12">
        <v>1391.70545487</v>
      </c>
      <c r="I19" s="48">
        <v>1866.0390179999999</v>
      </c>
      <c r="J19" s="12">
        <v>2213.6856564666668</v>
      </c>
      <c r="K19" s="12">
        <v>2548.305175</v>
      </c>
      <c r="L19" s="12">
        <v>2530.7711389999999</v>
      </c>
      <c r="M19" s="49">
        <v>2345.5326650000002</v>
      </c>
      <c r="N19" s="50">
        <f t="shared" si="8"/>
        <v>10.183516640649552</v>
      </c>
      <c r="O19" s="50">
        <f t="shared" si="13"/>
        <v>11.28235663749968</v>
      </c>
      <c r="P19" s="51">
        <f t="shared" si="9"/>
        <v>10.393058572234747</v>
      </c>
      <c r="Q19" s="52">
        <f t="shared" si="10"/>
        <v>369.1185162695341</v>
      </c>
      <c r="R19" s="52">
        <f t="shared" si="10"/>
        <v>34.082898897188542</v>
      </c>
      <c r="S19" s="52">
        <f t="shared" si="10"/>
        <v>18.630191282884901</v>
      </c>
      <c r="T19" s="52">
        <f t="shared" si="10"/>
        <v>15.115945552424549</v>
      </c>
      <c r="U19" s="13" t="s">
        <v>36</v>
      </c>
    </row>
    <row r="20" spans="1:21" s="9" customFormat="1" ht="15">
      <c r="A20" s="46" t="s">
        <v>37</v>
      </c>
      <c r="B20" s="47">
        <v>235.5</v>
      </c>
      <c r="C20" s="47">
        <v>640.6</v>
      </c>
      <c r="D20" s="47">
        <v>464.54098499999998</v>
      </c>
      <c r="E20" s="47">
        <v>578.16290700000002</v>
      </c>
      <c r="F20" s="12">
        <v>1135.3461150000001</v>
      </c>
      <c r="G20" s="12">
        <v>1578.1540559999999</v>
      </c>
      <c r="H20" s="12">
        <v>1959.2764668599998</v>
      </c>
      <c r="I20" s="48">
        <v>2925.2288200000003</v>
      </c>
      <c r="J20" s="12">
        <v>3312.4706706699999</v>
      </c>
      <c r="K20" s="12">
        <v>3262.9947070000003</v>
      </c>
      <c r="L20" s="12">
        <v>3277.0963849999998</v>
      </c>
      <c r="M20" s="49">
        <v>3259.8915899999997</v>
      </c>
      <c r="N20" s="50">
        <f t="shared" si="8"/>
        <v>14.336600057205084</v>
      </c>
      <c r="O20" s="50">
        <f t="shared" si="13"/>
        <v>17.686379799767057</v>
      </c>
      <c r="P20" s="51">
        <f t="shared" si="9"/>
        <v>15.55175713341006</v>
      </c>
      <c r="Q20" s="52">
        <f t="shared" si="10"/>
        <v>24.149886344175762</v>
      </c>
      <c r="R20" s="52">
        <f t="shared" si="10"/>
        <v>49.30148294426602</v>
      </c>
      <c r="S20" s="52">
        <f t="shared" si="10"/>
        <v>13.238002033290485</v>
      </c>
      <c r="T20" s="52">
        <f t="shared" si="10"/>
        <v>-1.493627222365479</v>
      </c>
      <c r="U20" s="13" t="s">
        <v>38</v>
      </c>
    </row>
    <row r="21" spans="1:21" s="9" customFormat="1" ht="15">
      <c r="A21" s="46" t="s">
        <v>39</v>
      </c>
      <c r="B21" s="47">
        <v>2112.6</v>
      </c>
      <c r="C21" s="47">
        <v>1525.3000000000002</v>
      </c>
      <c r="D21" s="47">
        <v>1636.7861640000001</v>
      </c>
      <c r="E21" s="47">
        <v>2067.0886810000002</v>
      </c>
      <c r="F21" s="12">
        <v>1627.3893010000002</v>
      </c>
      <c r="G21" s="12">
        <v>1229.5066119999999</v>
      </c>
      <c r="H21" s="12">
        <v>979.91802029999997</v>
      </c>
      <c r="I21" s="48">
        <v>772.59129199999995</v>
      </c>
      <c r="J21" s="12">
        <v>1103.739194</v>
      </c>
      <c r="K21" s="12">
        <v>2866.4051289999998</v>
      </c>
      <c r="L21" s="12">
        <v>2798.9009900000001</v>
      </c>
      <c r="M21" s="49">
        <v>1757.959576</v>
      </c>
      <c r="N21" s="50">
        <f>+(H21/$H$9)*100</f>
        <v>7.1703473111194782</v>
      </c>
      <c r="O21" s="50">
        <f>+(I21/$I$9)*100</f>
        <v>4.6712048393891905</v>
      </c>
      <c r="P21" s="51">
        <f t="shared" si="9"/>
        <v>5.1819579976060171</v>
      </c>
      <c r="Q21" s="52">
        <f>+((H21/G21)-1)*100</f>
        <v>-20.299898289607565</v>
      </c>
      <c r="R21" s="52">
        <f>+((I21/H21)-1)*100</f>
        <v>-21.157558490099749</v>
      </c>
      <c r="S21" s="52">
        <f>+((J21/I21)-1)*100</f>
        <v>42.86197701539718</v>
      </c>
      <c r="T21" s="52">
        <f>+((K21/J21)-1)*100</f>
        <v>159.69949645550048</v>
      </c>
      <c r="U21" s="13" t="s">
        <v>40</v>
      </c>
    </row>
    <row r="22" spans="1:21" s="9" customFormat="1" ht="17.25">
      <c r="A22" s="46" t="s">
        <v>64</v>
      </c>
      <c r="B22" s="47"/>
      <c r="C22" s="47"/>
      <c r="D22" s="47"/>
      <c r="E22" s="47"/>
      <c r="F22" s="12"/>
      <c r="G22" s="16">
        <v>0</v>
      </c>
      <c r="H22" s="12">
        <v>306.67357454999978</v>
      </c>
      <c r="I22" s="48">
        <v>469.69796699999995</v>
      </c>
      <c r="J22" s="12">
        <v>615.47565422999992</v>
      </c>
      <c r="K22" s="12">
        <v>687.72675100000004</v>
      </c>
      <c r="L22" s="12">
        <v>885.37185199999999</v>
      </c>
      <c r="M22" s="49">
        <v>1074.3241189999999</v>
      </c>
      <c r="N22" s="50">
        <f>+(H22/$H$9)*100</f>
        <v>2.2440204130471892</v>
      </c>
      <c r="O22" s="50">
        <f>+(I22/$I$9)*100</f>
        <v>2.8398655786320512</v>
      </c>
      <c r="P22" s="51">
        <f t="shared" si="9"/>
        <v>2.8896038177375294</v>
      </c>
      <c r="Q22" s="16">
        <v>0</v>
      </c>
      <c r="R22" s="52">
        <f>+((I22/H22)-1)*100</f>
        <v>53.158930530358049</v>
      </c>
      <c r="S22" s="52">
        <f>+((J22/I22)-1)*100</f>
        <v>31.036473962426147</v>
      </c>
      <c r="T22" s="52">
        <f>+((K22/J22)-1)*100</f>
        <v>11.739066569642119</v>
      </c>
      <c r="U22" s="55" t="s">
        <v>65</v>
      </c>
    </row>
    <row r="23" spans="1:21" s="8" customFormat="1" ht="15">
      <c r="A23" s="6" t="s">
        <v>41</v>
      </c>
      <c r="B23" s="41">
        <f t="shared" ref="B23:L23" si="16">SUM(B24:B29)</f>
        <v>596.20000000000005</v>
      </c>
      <c r="C23" s="41">
        <f t="shared" si="16"/>
        <v>1231.0999999999999</v>
      </c>
      <c r="D23" s="41">
        <f t="shared" si="16"/>
        <v>837.51612</v>
      </c>
      <c r="E23" s="41">
        <f t="shared" si="16"/>
        <v>440.44009790000001</v>
      </c>
      <c r="F23" s="1">
        <f t="shared" si="16"/>
        <v>1128.4559589999999</v>
      </c>
      <c r="G23" s="1">
        <f t="shared" si="16"/>
        <v>871.33807899999999</v>
      </c>
      <c r="H23" s="1">
        <f t="shared" si="16"/>
        <v>823.04936508999992</v>
      </c>
      <c r="I23" s="42">
        <f t="shared" si="16"/>
        <v>1098.7585779999999</v>
      </c>
      <c r="J23" s="1">
        <f t="shared" si="16"/>
        <v>1922.1416052206666</v>
      </c>
      <c r="K23" s="1">
        <f t="shared" ref="K23" si="17">SUM(K24:K29)</f>
        <v>4455.9421330000005</v>
      </c>
      <c r="L23" s="1">
        <f t="shared" si="16"/>
        <v>5066.5311490000004</v>
      </c>
      <c r="M23" s="43">
        <f t="shared" ref="M23" si="18">SUM(M24:M29)</f>
        <v>5099.7665840000009</v>
      </c>
      <c r="N23" s="44">
        <f t="shared" si="8"/>
        <v>6.0224933919318344</v>
      </c>
      <c r="O23" s="44">
        <f t="shared" si="13"/>
        <v>6.6432620196733794</v>
      </c>
      <c r="P23" s="45">
        <f t="shared" si="9"/>
        <v>9.0242850103087857</v>
      </c>
      <c r="Q23" s="40">
        <f t="shared" si="10"/>
        <v>-5.5419033178739419</v>
      </c>
      <c r="R23" s="40">
        <f t="shared" si="10"/>
        <v>33.498502593444243</v>
      </c>
      <c r="S23" s="40">
        <f t="shared" si="10"/>
        <v>74.937574432357849</v>
      </c>
      <c r="T23" s="40">
        <f t="shared" si="10"/>
        <v>131.82174096317149</v>
      </c>
      <c r="U23" s="15" t="s">
        <v>42</v>
      </c>
    </row>
    <row r="24" spans="1:21" s="9" customFormat="1" ht="15">
      <c r="A24" s="46" t="s">
        <v>43</v>
      </c>
      <c r="B24" s="47">
        <v>179.9</v>
      </c>
      <c r="C24" s="47">
        <v>159.79999999999998</v>
      </c>
      <c r="D24" s="47">
        <v>58.986502000000002</v>
      </c>
      <c r="E24" s="47">
        <v>146.70229599999999</v>
      </c>
      <c r="F24" s="12">
        <v>93.345458000000008</v>
      </c>
      <c r="G24" s="12">
        <v>70.257467000000005</v>
      </c>
      <c r="H24" s="12">
        <v>70.500645059999997</v>
      </c>
      <c r="I24" s="48">
        <v>93.968531999999996</v>
      </c>
      <c r="J24" s="12">
        <v>81.529609336666653</v>
      </c>
      <c r="K24" s="12">
        <v>147.09247299999998</v>
      </c>
      <c r="L24" s="12">
        <v>114.259006</v>
      </c>
      <c r="M24" s="49">
        <v>92.226301000000007</v>
      </c>
      <c r="N24" s="50">
        <f t="shared" si="8"/>
        <v>0.51587387951432673</v>
      </c>
      <c r="O24" s="50">
        <f t="shared" si="13"/>
        <v>0.56814808291768581</v>
      </c>
      <c r="P24" s="51">
        <f t="shared" si="9"/>
        <v>0.38277431248294869</v>
      </c>
      <c r="Q24" s="52">
        <f>+((H24/G24)-1)*100</f>
        <v>0.34612414933774538</v>
      </c>
      <c r="R24" s="52">
        <f>+((I24/H24)-1)*100</f>
        <v>33.287478320272832</v>
      </c>
      <c r="S24" s="52">
        <f>+((J24/I24)-1)*100</f>
        <v>-13.237327857088733</v>
      </c>
      <c r="T24" s="52">
        <f>+((K24/J24)-1)*100</f>
        <v>80.416015968627335</v>
      </c>
      <c r="U24" s="13" t="s">
        <v>44</v>
      </c>
    </row>
    <row r="25" spans="1:21" s="9" customFormat="1" ht="15">
      <c r="A25" s="46" t="s">
        <v>45</v>
      </c>
      <c r="B25" s="47">
        <v>172.2</v>
      </c>
      <c r="C25" s="47">
        <v>837.8</v>
      </c>
      <c r="D25" s="47">
        <v>106.089237</v>
      </c>
      <c r="E25" s="47">
        <v>120.04688899999999</v>
      </c>
      <c r="F25" s="12">
        <v>471.08129199999996</v>
      </c>
      <c r="G25" s="12">
        <v>607.73237199999994</v>
      </c>
      <c r="H25" s="12">
        <v>404.45810542000004</v>
      </c>
      <c r="I25" s="48">
        <v>735.60389299999997</v>
      </c>
      <c r="J25" s="12">
        <v>1339.0409750839999</v>
      </c>
      <c r="K25" s="12">
        <v>3393.1372979999996</v>
      </c>
      <c r="L25" s="12">
        <v>3929.855861</v>
      </c>
      <c r="M25" s="49">
        <v>3531.0676320000002</v>
      </c>
      <c r="N25" s="50">
        <f t="shared" si="8"/>
        <v>2.9595384803423808</v>
      </c>
      <c r="O25" s="50">
        <f t="shared" si="13"/>
        <v>4.4475733812116642</v>
      </c>
      <c r="P25" s="51">
        <f t="shared" si="9"/>
        <v>6.2866790702720055</v>
      </c>
      <c r="Q25" s="52">
        <f t="shared" si="10"/>
        <v>-33.44799058688286</v>
      </c>
      <c r="R25" s="52">
        <f t="shared" si="10"/>
        <v>81.873940253003298</v>
      </c>
      <c r="S25" s="52">
        <f t="shared" si="10"/>
        <v>82.032883162569121</v>
      </c>
      <c r="T25" s="52">
        <f t="shared" si="10"/>
        <v>153.40055764814392</v>
      </c>
      <c r="U25" s="13" t="s">
        <v>46</v>
      </c>
    </row>
    <row r="26" spans="1:21" s="9" customFormat="1" ht="15">
      <c r="A26" s="46" t="s">
        <v>47</v>
      </c>
      <c r="B26" s="47">
        <v>88.9</v>
      </c>
      <c r="C26" s="47">
        <v>35.700000000000003</v>
      </c>
      <c r="D26" s="47">
        <v>62.029623999999998</v>
      </c>
      <c r="E26" s="47">
        <v>43.271078000000003</v>
      </c>
      <c r="F26" s="12">
        <v>59.675843</v>
      </c>
      <c r="G26" s="12">
        <v>66.77496099999999</v>
      </c>
      <c r="H26" s="12">
        <v>31.982870659999989</v>
      </c>
      <c r="I26" s="48">
        <v>75.050148000000007</v>
      </c>
      <c r="J26" s="12">
        <v>45.230073653333335</v>
      </c>
      <c r="K26" s="12">
        <v>100.74466200000001</v>
      </c>
      <c r="L26" s="12">
        <v>101.79250500000001</v>
      </c>
      <c r="M26" s="49">
        <v>95.414063999999996</v>
      </c>
      <c r="N26" s="50">
        <f t="shared" si="8"/>
        <v>0.23402803692558338</v>
      </c>
      <c r="O26" s="50">
        <f t="shared" si="13"/>
        <v>0.45376464654027582</v>
      </c>
      <c r="P26" s="51">
        <f t="shared" si="9"/>
        <v>0.21235119960793916</v>
      </c>
      <c r="Q26" s="52">
        <f t="shared" si="10"/>
        <v>-52.103497806610477</v>
      </c>
      <c r="R26" s="52">
        <f t="shared" si="10"/>
        <v>134.65732265822828</v>
      </c>
      <c r="S26" s="52">
        <f t="shared" si="10"/>
        <v>-39.733531700252833</v>
      </c>
      <c r="T26" s="52">
        <f t="shared" si="10"/>
        <v>122.73822229908174</v>
      </c>
      <c r="U26" s="13" t="s">
        <v>48</v>
      </c>
    </row>
    <row r="27" spans="1:21" s="8" customFormat="1" ht="15">
      <c r="A27" s="46" t="s">
        <v>49</v>
      </c>
      <c r="B27" s="47">
        <v>108.2</v>
      </c>
      <c r="C27" s="47">
        <v>93.3</v>
      </c>
      <c r="D27" s="47">
        <v>78.466514000000004</v>
      </c>
      <c r="E27" s="47">
        <v>46.860301</v>
      </c>
      <c r="F27" s="12">
        <v>33.749803</v>
      </c>
      <c r="G27" s="12">
        <v>52.519985999999996</v>
      </c>
      <c r="H27" s="12">
        <v>33.124519409999998</v>
      </c>
      <c r="I27" s="48">
        <v>49.642775</v>
      </c>
      <c r="J27" s="12">
        <v>89.307228723333324</v>
      </c>
      <c r="K27" s="12">
        <v>174.26482200000001</v>
      </c>
      <c r="L27" s="12">
        <v>129.405888</v>
      </c>
      <c r="M27" s="49">
        <v>119.04955299999999</v>
      </c>
      <c r="N27" s="50">
        <f t="shared" si="8"/>
        <v>0.24238181537972323</v>
      </c>
      <c r="O27" s="50">
        <f t="shared" si="13"/>
        <v>0.30014779252871615</v>
      </c>
      <c r="P27" s="51">
        <f t="shared" si="9"/>
        <v>0.41928954833047899</v>
      </c>
      <c r="Q27" s="52">
        <f t="shared" si="10"/>
        <v>-36.929687281333244</v>
      </c>
      <c r="R27" s="52">
        <f t="shared" si="10"/>
        <v>49.867155461320564</v>
      </c>
      <c r="S27" s="52">
        <f t="shared" si="10"/>
        <v>79.899751219252593</v>
      </c>
      <c r="T27" s="52">
        <f t="shared" si="10"/>
        <v>95.129581883968811</v>
      </c>
      <c r="U27" s="13" t="s">
        <v>50</v>
      </c>
    </row>
    <row r="28" spans="1:21" s="8" customFormat="1" ht="15">
      <c r="A28" s="46" t="s">
        <v>51</v>
      </c>
      <c r="B28" s="47">
        <v>42.8</v>
      </c>
      <c r="C28" s="47">
        <v>92.3</v>
      </c>
      <c r="D28" s="47">
        <v>505.93436100000002</v>
      </c>
      <c r="E28" s="47">
        <v>52.495815900000004</v>
      </c>
      <c r="F28" s="12">
        <v>80.384180000000001</v>
      </c>
      <c r="G28" s="12">
        <v>54.566487000000002</v>
      </c>
      <c r="H28" s="12">
        <v>168.21187463999996</v>
      </c>
      <c r="I28" s="48">
        <v>51.606206</v>
      </c>
      <c r="J28" s="12">
        <v>139.71635442333331</v>
      </c>
      <c r="K28" s="12">
        <v>297.769678</v>
      </c>
      <c r="L28" s="12">
        <v>343.10576900000001</v>
      </c>
      <c r="M28" s="49">
        <v>293.58884999999998</v>
      </c>
      <c r="N28" s="50">
        <f t="shared" si="8"/>
        <v>1.2308555797902705</v>
      </c>
      <c r="O28" s="50">
        <f t="shared" si="13"/>
        <v>0.31201899595020999</v>
      </c>
      <c r="P28" s="51">
        <f t="shared" si="9"/>
        <v>0.65595593971482069</v>
      </c>
      <c r="Q28" s="52">
        <f t="shared" si="10"/>
        <v>208.26956963529639</v>
      </c>
      <c r="R28" s="52">
        <f t="shared" si="10"/>
        <v>-69.320711685518361</v>
      </c>
      <c r="S28" s="52">
        <f t="shared" si="10"/>
        <v>170.7355670039633</v>
      </c>
      <c r="T28" s="52">
        <f t="shared" si="10"/>
        <v>113.12442571881979</v>
      </c>
      <c r="U28" s="13" t="s">
        <v>52</v>
      </c>
    </row>
    <row r="29" spans="1:21" s="9" customFormat="1" ht="15">
      <c r="A29" s="46" t="s">
        <v>53</v>
      </c>
      <c r="B29" s="47">
        <v>4.2</v>
      </c>
      <c r="C29" s="47">
        <v>12.2</v>
      </c>
      <c r="D29" s="47">
        <v>26.009882000000001</v>
      </c>
      <c r="E29" s="47">
        <v>31.063718000000001</v>
      </c>
      <c r="F29" s="12">
        <v>390.21938299999999</v>
      </c>
      <c r="G29" s="12">
        <v>19.486806000000001</v>
      </c>
      <c r="H29" s="12">
        <v>114.7713499</v>
      </c>
      <c r="I29" s="48">
        <v>92.887023999999997</v>
      </c>
      <c r="J29" s="12">
        <v>227.31736400000003</v>
      </c>
      <c r="K29" s="12">
        <v>342.9332</v>
      </c>
      <c r="L29" s="12">
        <v>448.11212</v>
      </c>
      <c r="M29" s="49">
        <v>968.42018400000006</v>
      </c>
      <c r="N29" s="50">
        <f t="shared" si="8"/>
        <v>0.83981559997955058</v>
      </c>
      <c r="O29" s="50">
        <f t="shared" si="13"/>
        <v>0.56160912052482703</v>
      </c>
      <c r="P29" s="51">
        <f t="shared" si="9"/>
        <v>1.0672349399005923</v>
      </c>
      <c r="Q29" s="52">
        <f>+((H29/G29)-1)*100</f>
        <v>488.96953097393174</v>
      </c>
      <c r="R29" s="52">
        <f>+((I29/H29)-1)*100</f>
        <v>-19.06776030696491</v>
      </c>
      <c r="S29" s="52">
        <f>+((J29/I29)-1)*100</f>
        <v>144.7245634653986</v>
      </c>
      <c r="T29" s="52">
        <f>+((K29/J29)-1)*100</f>
        <v>50.860978662413125</v>
      </c>
      <c r="U29" s="13" t="s">
        <v>54</v>
      </c>
    </row>
    <row r="30" spans="1:21" s="8" customFormat="1" ht="15">
      <c r="A30" s="6" t="s">
        <v>55</v>
      </c>
      <c r="B30" s="41">
        <v>234.3</v>
      </c>
      <c r="C30" s="41">
        <v>279.99667199999999</v>
      </c>
      <c r="D30" s="41">
        <v>617.87877800000001</v>
      </c>
      <c r="E30" s="41">
        <v>662.05533700000001</v>
      </c>
      <c r="F30" s="1">
        <v>725.8</v>
      </c>
      <c r="G30" s="1">
        <v>1107.0812289999999</v>
      </c>
      <c r="H30" s="1">
        <v>956.72619699999996</v>
      </c>
      <c r="I30" s="42">
        <v>978.34736899999996</v>
      </c>
      <c r="J30" s="1">
        <v>1315.9335030526299</v>
      </c>
      <c r="K30" s="1">
        <v>1400.3110469999999</v>
      </c>
      <c r="L30" s="1">
        <v>1389.6848210000001</v>
      </c>
      <c r="M30" s="43">
        <v>1642.013205</v>
      </c>
      <c r="N30" s="44">
        <f t="shared" si="8"/>
        <v>7.0006459438681627</v>
      </c>
      <c r="O30" s="44">
        <f t="shared" si="13"/>
        <v>5.9152374767854381</v>
      </c>
      <c r="P30" s="45">
        <f t="shared" si="9"/>
        <v>6.1781915306898822</v>
      </c>
      <c r="Q30" s="40">
        <f t="shared" si="10"/>
        <v>-13.581210489478901</v>
      </c>
      <c r="R30" s="40">
        <f t="shared" si="10"/>
        <v>2.2599121951293322</v>
      </c>
      <c r="S30" s="40">
        <f t="shared" si="10"/>
        <v>34.505753758778688</v>
      </c>
      <c r="T30" s="40">
        <f t="shared" si="10"/>
        <v>6.4119914685381696</v>
      </c>
      <c r="U30" s="15" t="s">
        <v>56</v>
      </c>
    </row>
    <row r="31" spans="1:21" s="8" customFormat="1" ht="15">
      <c r="A31" s="6" t="s">
        <v>8</v>
      </c>
      <c r="B31" s="41">
        <v>-124.5</v>
      </c>
      <c r="C31" s="41">
        <v>-166.4</v>
      </c>
      <c r="D31" s="41">
        <v>-150.836333</v>
      </c>
      <c r="E31" s="41">
        <v>-181.3</v>
      </c>
      <c r="F31" s="1">
        <v>-399</v>
      </c>
      <c r="G31" s="1">
        <v>-90.231635999999995</v>
      </c>
      <c r="H31" s="1">
        <v>-135.485007</v>
      </c>
      <c r="I31" s="42">
        <v>-122.16204999999999</v>
      </c>
      <c r="J31" s="1">
        <v>-13.563443934712012</v>
      </c>
      <c r="K31" s="1">
        <v>15.558392999999981</v>
      </c>
      <c r="L31" s="1">
        <v>100.25488200000001</v>
      </c>
      <c r="M31" s="43">
        <v>-26.047778757089993</v>
      </c>
      <c r="N31" s="44">
        <f t="shared" si="8"/>
        <v>-0.9913834989400836</v>
      </c>
      <c r="O31" s="44">
        <f t="shared" si="13"/>
        <v>-0.73861039473080714</v>
      </c>
      <c r="P31" s="45">
        <f t="shared" si="9"/>
        <v>-6.3679170907979671E-2</v>
      </c>
      <c r="Q31" s="40">
        <f t="shared" si="10"/>
        <v>50.152444315650001</v>
      </c>
      <c r="R31" s="40">
        <f t="shared" si="10"/>
        <v>-9.833528664909764</v>
      </c>
      <c r="S31" s="40">
        <f t="shared" si="10"/>
        <v>-88.89717065593446</v>
      </c>
      <c r="T31" s="40">
        <f t="shared" si="10"/>
        <v>-214.70827818429234</v>
      </c>
      <c r="U31" s="15" t="s">
        <v>9</v>
      </c>
    </row>
    <row r="32" spans="1:21" s="9" customFormat="1" ht="15">
      <c r="A32" s="46" t="s">
        <v>13</v>
      </c>
      <c r="B32" s="56"/>
      <c r="C32" s="56"/>
      <c r="D32" s="56"/>
      <c r="E32" s="56"/>
      <c r="F32" s="7"/>
      <c r="G32" s="1"/>
      <c r="H32" s="1"/>
      <c r="I32" s="42"/>
      <c r="J32" s="1"/>
      <c r="K32" s="1"/>
      <c r="L32" s="1"/>
      <c r="M32" s="43"/>
      <c r="N32" s="44"/>
      <c r="O32" s="50"/>
      <c r="P32" s="51"/>
      <c r="Q32" s="52"/>
      <c r="R32" s="52"/>
      <c r="S32" s="52"/>
      <c r="T32" s="52"/>
      <c r="U32" s="13" t="s">
        <v>14</v>
      </c>
    </row>
    <row r="33" spans="1:21" ht="17.25">
      <c r="A33" s="57" t="s">
        <v>57</v>
      </c>
      <c r="B33" s="58">
        <v>1007.8</v>
      </c>
      <c r="C33" s="58">
        <v>390.30930799999999</v>
      </c>
      <c r="D33" s="59">
        <v>584.5</v>
      </c>
      <c r="E33" s="59">
        <v>877.1</v>
      </c>
      <c r="F33" s="60">
        <v>987.6</v>
      </c>
      <c r="G33" s="60">
        <v>1145.8582073000002</v>
      </c>
      <c r="H33" s="60">
        <v>1187.19235</v>
      </c>
      <c r="I33" s="61">
        <v>188.39416600000001</v>
      </c>
      <c r="J33" s="60">
        <v>568.29718400000002</v>
      </c>
      <c r="K33" s="60">
        <v>2779.267159</v>
      </c>
      <c r="L33" s="60">
        <v>3289.8189120000002</v>
      </c>
      <c r="M33" s="62">
        <v>3312.2719229999998</v>
      </c>
      <c r="N33" s="63">
        <f>+(H33/$D$9)*100</f>
        <v>10.691313321087092</v>
      </c>
      <c r="O33" s="63">
        <f t="shared" si="13"/>
        <v>1.1390598742755318</v>
      </c>
      <c r="P33" s="64">
        <f t="shared" si="9"/>
        <v>2.6681050683480376</v>
      </c>
      <c r="Q33" s="65">
        <f>+((H33/G33)-1)*100</f>
        <v>3.6072650557171348</v>
      </c>
      <c r="R33" s="65">
        <f>+((I33/H33)-1)*100</f>
        <v>-84.131116916310987</v>
      </c>
      <c r="S33" s="65">
        <f>+((J33/I33)-1)*100</f>
        <v>201.65328155649996</v>
      </c>
      <c r="T33" s="65">
        <f>+((K33/J33)-1)*100</f>
        <v>389.05172104460047</v>
      </c>
      <c r="U33" s="66" t="s">
        <v>58</v>
      </c>
    </row>
    <row r="34" spans="1:21" ht="15">
      <c r="A34" s="10" t="s">
        <v>10</v>
      </c>
      <c r="B34" s="67"/>
      <c r="C34" s="67"/>
      <c r="D34" s="67"/>
      <c r="E34" s="67"/>
      <c r="F34" s="67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13" t="s">
        <v>11</v>
      </c>
    </row>
    <row r="35" spans="1:21" ht="15">
      <c r="G35" s="69"/>
      <c r="H35" s="69"/>
      <c r="I35" s="69"/>
      <c r="J35" s="69"/>
      <c r="K35" s="69"/>
      <c r="L35" s="69"/>
      <c r="M35" s="69"/>
      <c r="N35" s="69"/>
      <c r="O35" s="69"/>
      <c r="P35" s="69"/>
      <c r="U35" s="13"/>
    </row>
    <row r="36" spans="1:21">
      <c r="G36" s="69"/>
      <c r="H36" s="69"/>
      <c r="I36" s="69"/>
      <c r="J36" s="69"/>
      <c r="K36" s="69"/>
      <c r="L36" s="69"/>
      <c r="M36" s="69"/>
      <c r="N36" s="69"/>
      <c r="O36" s="69"/>
      <c r="P36" s="69"/>
    </row>
    <row r="37" spans="1:21">
      <c r="B37" s="70"/>
      <c r="C37" s="70"/>
      <c r="G37" s="69"/>
      <c r="H37" s="69"/>
      <c r="I37" s="69"/>
      <c r="J37" s="69"/>
      <c r="K37" s="69"/>
      <c r="L37" s="69"/>
      <c r="M37" s="69"/>
      <c r="N37" s="69"/>
      <c r="O37" s="69"/>
      <c r="P37" s="69"/>
    </row>
    <row r="38" spans="1:21">
      <c r="B38" s="71"/>
      <c r="C38" s="71"/>
      <c r="G38" s="69"/>
      <c r="H38" s="69"/>
      <c r="I38" s="69"/>
      <c r="J38" s="69"/>
      <c r="K38" s="69"/>
      <c r="L38" s="69"/>
      <c r="M38" s="69"/>
      <c r="N38" s="69"/>
      <c r="O38" s="69"/>
      <c r="P38" s="69"/>
    </row>
    <row r="39" spans="1:21">
      <c r="G39" s="69"/>
      <c r="H39" s="69"/>
      <c r="I39" s="69"/>
      <c r="J39" s="69"/>
      <c r="K39" s="69"/>
      <c r="L39" s="69"/>
      <c r="M39" s="69"/>
      <c r="N39" s="69"/>
      <c r="O39" s="69"/>
      <c r="P39" s="69"/>
    </row>
    <row r="40" spans="1:21">
      <c r="N40" s="69"/>
      <c r="O40" s="69"/>
      <c r="P40" s="69"/>
    </row>
    <row r="41" spans="1:21">
      <c r="N41" s="69"/>
      <c r="O41" s="69"/>
      <c r="P41" s="69"/>
    </row>
    <row r="42" spans="1:21">
      <c r="G42" s="69"/>
      <c r="H42" s="69"/>
      <c r="I42" s="69"/>
      <c r="J42" s="69"/>
      <c r="K42" s="69"/>
      <c r="L42" s="69"/>
      <c r="M42" s="69"/>
      <c r="N42" s="69"/>
      <c r="O42" s="69"/>
      <c r="P42" s="69"/>
    </row>
    <row r="43" spans="1:21">
      <c r="G43" s="69"/>
      <c r="H43" s="69"/>
      <c r="I43" s="69"/>
      <c r="J43" s="69"/>
      <c r="K43" s="69"/>
      <c r="L43" s="69"/>
      <c r="M43" s="69"/>
      <c r="N43" s="69"/>
      <c r="O43" s="69"/>
      <c r="P43" s="69"/>
    </row>
    <row r="44" spans="1:21">
      <c r="G44" s="69"/>
      <c r="H44" s="69"/>
      <c r="I44" s="69"/>
      <c r="J44" s="69"/>
      <c r="K44" s="69"/>
      <c r="L44" s="69"/>
      <c r="M44" s="69"/>
      <c r="N44" s="69"/>
      <c r="O44" s="69"/>
      <c r="P44" s="69"/>
    </row>
    <row r="45" spans="1:21">
      <c r="G45" s="69"/>
      <c r="H45" s="69"/>
      <c r="I45" s="69"/>
      <c r="J45" s="69"/>
      <c r="K45" s="69"/>
      <c r="L45" s="69"/>
      <c r="M45" s="69"/>
      <c r="N45" s="69"/>
      <c r="O45" s="69"/>
      <c r="P45" s="69"/>
    </row>
    <row r="46" spans="1:21">
      <c r="G46" s="69"/>
      <c r="H46" s="69"/>
      <c r="I46" s="69"/>
      <c r="J46" s="69"/>
      <c r="K46" s="69"/>
      <c r="L46" s="69"/>
      <c r="M46" s="69"/>
      <c r="N46" s="69"/>
      <c r="O46" s="69"/>
      <c r="P46" s="69"/>
    </row>
    <row r="47" spans="1:21">
      <c r="G47" s="69"/>
      <c r="H47" s="69"/>
      <c r="I47" s="69"/>
      <c r="J47" s="69"/>
      <c r="K47" s="69"/>
      <c r="L47" s="69"/>
      <c r="M47" s="69"/>
      <c r="N47" s="69"/>
      <c r="O47" s="69"/>
      <c r="P47" s="69"/>
    </row>
    <row r="48" spans="1:21">
      <c r="G48" s="69"/>
      <c r="H48" s="69"/>
      <c r="I48" s="69"/>
      <c r="J48" s="69"/>
      <c r="K48" s="69"/>
      <c r="L48" s="69"/>
      <c r="M48" s="69"/>
      <c r="N48" s="69"/>
      <c r="O48" s="69"/>
      <c r="P48" s="69"/>
    </row>
    <row r="49" spans="7:16">
      <c r="G49" s="69"/>
      <c r="H49" s="69"/>
      <c r="I49" s="69"/>
      <c r="J49" s="69"/>
      <c r="K49" s="69"/>
      <c r="L49" s="69"/>
      <c r="M49" s="69"/>
      <c r="N49" s="69"/>
      <c r="O49" s="69"/>
      <c r="P49" s="69"/>
    </row>
    <row r="50" spans="7:16">
      <c r="G50" s="69"/>
      <c r="H50" s="69"/>
      <c r="I50" s="69"/>
      <c r="J50" s="69"/>
      <c r="K50" s="69"/>
      <c r="L50" s="69"/>
      <c r="M50" s="69"/>
      <c r="N50" s="69"/>
      <c r="O50" s="69"/>
      <c r="P50" s="69"/>
    </row>
    <row r="51" spans="7:16">
      <c r="G51" s="69"/>
      <c r="H51" s="69"/>
      <c r="I51" s="69"/>
      <c r="J51" s="69"/>
      <c r="K51" s="69"/>
      <c r="L51" s="69"/>
      <c r="M51" s="69"/>
      <c r="N51" s="69"/>
      <c r="O51" s="69"/>
      <c r="P51" s="69"/>
    </row>
    <row r="52" spans="7:16">
      <c r="G52" s="69"/>
      <c r="H52" s="69"/>
      <c r="I52" s="69"/>
      <c r="J52" s="69"/>
      <c r="K52" s="69"/>
      <c r="L52" s="69"/>
      <c r="M52" s="69"/>
      <c r="N52" s="69"/>
      <c r="O52" s="69"/>
      <c r="P52" s="69"/>
    </row>
    <row r="53" spans="7:16">
      <c r="G53" s="69"/>
      <c r="H53" s="69"/>
      <c r="I53" s="69"/>
      <c r="J53" s="69"/>
      <c r="K53" s="69"/>
      <c r="L53" s="69"/>
      <c r="M53" s="69"/>
      <c r="N53" s="69"/>
      <c r="O53" s="69"/>
      <c r="P53" s="69"/>
    </row>
    <row r="54" spans="7:16">
      <c r="G54" s="69"/>
      <c r="H54" s="69"/>
      <c r="I54" s="69"/>
      <c r="J54" s="69"/>
      <c r="K54" s="69"/>
      <c r="L54" s="69"/>
      <c r="M54" s="69"/>
      <c r="N54" s="69"/>
      <c r="O54" s="69"/>
      <c r="P54" s="69"/>
    </row>
    <row r="55" spans="7:16">
      <c r="G55" s="69"/>
      <c r="H55" s="69"/>
      <c r="I55" s="69"/>
      <c r="J55" s="69"/>
      <c r="K55" s="69"/>
      <c r="L55" s="69"/>
      <c r="M55" s="69"/>
      <c r="N55" s="69"/>
      <c r="O55" s="69"/>
      <c r="P55" s="69"/>
    </row>
    <row r="56" spans="7:16">
      <c r="G56" s="69"/>
      <c r="H56" s="69"/>
      <c r="I56" s="69"/>
      <c r="J56" s="69"/>
      <c r="K56" s="69"/>
      <c r="L56" s="69"/>
      <c r="M56" s="69"/>
      <c r="N56" s="69"/>
      <c r="O56" s="69"/>
      <c r="P56" s="69"/>
    </row>
    <row r="57" spans="7:16">
      <c r="G57" s="69"/>
      <c r="H57" s="69"/>
      <c r="I57" s="69"/>
      <c r="J57" s="69"/>
      <c r="K57" s="69"/>
      <c r="L57" s="69"/>
      <c r="M57" s="69"/>
      <c r="N57" s="69"/>
      <c r="O57" s="69"/>
      <c r="P57" s="69"/>
    </row>
    <row r="58" spans="7:16">
      <c r="G58" s="69"/>
      <c r="H58" s="69"/>
      <c r="I58" s="69"/>
      <c r="J58" s="69"/>
      <c r="K58" s="69"/>
      <c r="L58" s="69"/>
      <c r="M58" s="69"/>
      <c r="N58" s="69"/>
      <c r="O58" s="69"/>
      <c r="P58" s="69"/>
    </row>
    <row r="59" spans="7:16">
      <c r="G59" s="69"/>
      <c r="H59" s="69"/>
      <c r="I59" s="69"/>
      <c r="J59" s="69"/>
      <c r="K59" s="69"/>
      <c r="L59" s="69"/>
      <c r="M59" s="69"/>
      <c r="N59" s="69"/>
      <c r="O59" s="69"/>
      <c r="P59" s="69"/>
    </row>
    <row r="60" spans="7:16">
      <c r="G60" s="69"/>
      <c r="H60" s="69"/>
      <c r="I60" s="69"/>
      <c r="J60" s="69"/>
      <c r="K60" s="69"/>
      <c r="L60" s="69"/>
      <c r="M60" s="69"/>
      <c r="N60" s="69"/>
      <c r="O60" s="69"/>
      <c r="P60" s="69"/>
    </row>
    <row r="61" spans="7:16">
      <c r="G61" s="69"/>
      <c r="H61" s="69"/>
      <c r="I61" s="69"/>
      <c r="J61" s="69"/>
      <c r="K61" s="69"/>
      <c r="L61" s="69"/>
      <c r="M61" s="69"/>
      <c r="N61" s="69"/>
      <c r="O61" s="69"/>
      <c r="P61" s="69"/>
    </row>
    <row r="62" spans="7:16">
      <c r="G62" s="69"/>
      <c r="H62" s="69"/>
      <c r="I62" s="69"/>
      <c r="J62" s="69"/>
      <c r="K62" s="69"/>
      <c r="L62" s="69"/>
      <c r="M62" s="69"/>
      <c r="N62" s="69"/>
      <c r="O62" s="69"/>
      <c r="P62" s="69"/>
    </row>
    <row r="63" spans="7:16">
      <c r="G63" s="69"/>
      <c r="H63" s="69"/>
      <c r="I63" s="69"/>
      <c r="J63" s="69"/>
      <c r="K63" s="69"/>
      <c r="L63" s="69"/>
      <c r="M63" s="69"/>
      <c r="N63" s="69"/>
      <c r="O63" s="69"/>
      <c r="P63" s="69"/>
    </row>
    <row r="64" spans="7:16">
      <c r="G64" s="69"/>
      <c r="H64" s="69"/>
      <c r="I64" s="69"/>
      <c r="J64" s="69"/>
      <c r="K64" s="69"/>
      <c r="L64" s="69"/>
      <c r="M64" s="69"/>
      <c r="N64" s="69"/>
      <c r="O64" s="69"/>
      <c r="P64" s="69"/>
    </row>
    <row r="65" spans="7:16">
      <c r="G65" s="69"/>
      <c r="H65" s="69"/>
      <c r="I65" s="69"/>
      <c r="J65" s="69"/>
      <c r="K65" s="69"/>
      <c r="L65" s="69"/>
      <c r="M65" s="69"/>
      <c r="N65" s="69"/>
      <c r="O65" s="69"/>
      <c r="P65" s="69"/>
    </row>
    <row r="66" spans="7:16">
      <c r="G66" s="69"/>
      <c r="H66" s="69"/>
      <c r="I66" s="69"/>
      <c r="J66" s="69"/>
      <c r="K66" s="69"/>
      <c r="L66" s="69"/>
      <c r="M66" s="69"/>
      <c r="N66" s="69"/>
      <c r="O66" s="69"/>
      <c r="P66" s="69"/>
    </row>
    <row r="67" spans="7:16">
      <c r="G67" s="69"/>
      <c r="H67" s="69"/>
      <c r="I67" s="69"/>
      <c r="J67" s="69"/>
      <c r="K67" s="69"/>
      <c r="L67" s="69"/>
      <c r="M67" s="69"/>
      <c r="N67" s="69"/>
      <c r="O67" s="69"/>
      <c r="P67" s="69"/>
    </row>
    <row r="68" spans="7:16">
      <c r="G68" s="69"/>
      <c r="H68" s="69"/>
      <c r="I68" s="69"/>
      <c r="J68" s="69"/>
      <c r="K68" s="69"/>
      <c r="L68" s="69"/>
      <c r="M68" s="69"/>
      <c r="N68" s="69"/>
      <c r="O68" s="69"/>
      <c r="P68" s="69"/>
    </row>
  </sheetData>
  <mergeCells count="9">
    <mergeCell ref="A1:U1"/>
    <mergeCell ref="A2:U2"/>
    <mergeCell ref="A3:U3"/>
    <mergeCell ref="A4:U4"/>
    <mergeCell ref="A5:A7"/>
    <mergeCell ref="N5:P5"/>
    <mergeCell ref="Q5:T5"/>
    <mergeCell ref="Q6:T6"/>
    <mergeCell ref="I5:M5"/>
  </mergeCells>
  <pageMargins left="0.17" right="0.16" top="0.75" bottom="0.75" header="0.3" footer="0.3"/>
  <pageSetup paperSize="9" scale="66" orientation="landscape" r:id="rId1"/>
  <ignoredErrors>
    <ignoredError sqref="Q23:Q29 Q30:Q33 N23:N31 N9:N21 Q8:Q11 N32:N33 Q12:Q21 O11:O21 R8:R21 O23:O33 R23:R32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13.5</vt:lpstr>
      <vt:lpstr>'13.5'!Print_Area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2016-04-19T09:05:24Z</cp:lastPrinted>
  <dcterms:created xsi:type="dcterms:W3CDTF">2014-03-06T08:38:12Z</dcterms:created>
  <dcterms:modified xsi:type="dcterms:W3CDTF">2016-04-19T09:05:26Z</dcterms:modified>
</cp:coreProperties>
</file>