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0" yWindow="-255" windowWidth="20670" windowHeight="10455" tabRatio="688"/>
  </bookViews>
  <sheets>
    <sheet name="13.4" sheetId="4" r:id="rId1"/>
  </sheets>
  <externalReferences>
    <externalReference r:id="rId2"/>
  </externalReferences>
  <definedNames>
    <definedName name="_xlnm.Print_Area" localSheetId="0">'13.4'!$A$1:$W$40</definedName>
  </definedNames>
  <calcPr calcId="144525"/>
</workbook>
</file>

<file path=xl/calcChain.xml><?xml version="1.0" encoding="utf-8"?>
<calcChain xmlns="http://schemas.openxmlformats.org/spreadsheetml/2006/main">
  <c r="V15" i="4" l="1"/>
  <c r="V34" i="4" l="1"/>
  <c r="V33" i="4"/>
  <c r="V32" i="4"/>
  <c r="V31" i="4"/>
  <c r="V29" i="4"/>
  <c r="V26" i="4"/>
  <c r="V25" i="4"/>
  <c r="V23" i="4"/>
  <c r="V22" i="4"/>
  <c r="V20" i="4"/>
  <c r="V18" i="4"/>
  <c r="V17" i="4"/>
  <c r="V16" i="4"/>
  <c r="V14" i="4"/>
  <c r="V13" i="4"/>
  <c r="V12" i="4"/>
  <c r="V11" i="4"/>
  <c r="H24" i="4"/>
  <c r="I24" i="4"/>
  <c r="J24" i="4"/>
  <c r="K24" i="4"/>
  <c r="V24" i="4" s="1"/>
  <c r="L24" i="4"/>
  <c r="M24" i="4"/>
  <c r="I10" i="4" l="1"/>
  <c r="M27" i="4"/>
  <c r="I28" i="4"/>
  <c r="I27" i="4" s="1"/>
  <c r="J28" i="4"/>
  <c r="J27" i="4" s="1"/>
  <c r="K28" i="4"/>
  <c r="V28" i="4" s="1"/>
  <c r="L28" i="4"/>
  <c r="L27" i="4" s="1"/>
  <c r="M28" i="4"/>
  <c r="J10" i="4"/>
  <c r="K10" i="4"/>
  <c r="V10" i="4" s="1"/>
  <c r="L10" i="4"/>
  <c r="L9" i="4" s="1"/>
  <c r="M10" i="4"/>
  <c r="J9" i="4"/>
  <c r="K27" i="4" l="1"/>
  <c r="V27" i="4" s="1"/>
  <c r="M9" i="4"/>
  <c r="M8" i="4" s="1"/>
  <c r="K9" i="4"/>
  <c r="V9" i="4" s="1"/>
  <c r="U13" i="4" l="1"/>
  <c r="U18" i="4" l="1"/>
  <c r="U11" i="4"/>
  <c r="U12" i="4"/>
  <c r="U14" i="4"/>
  <c r="U15" i="4"/>
  <c r="U16" i="4"/>
  <c r="U17" i="4"/>
  <c r="U20" i="4"/>
  <c r="U22" i="4"/>
  <c r="U23" i="4"/>
  <c r="U24" i="4"/>
  <c r="U25" i="4"/>
  <c r="U26" i="4"/>
  <c r="U28" i="4"/>
  <c r="U29" i="4"/>
  <c r="U31" i="4"/>
  <c r="U32" i="4"/>
  <c r="U33" i="4"/>
  <c r="U34" i="4"/>
  <c r="T12" i="4" l="1"/>
  <c r="T11" i="4" l="1"/>
  <c r="T13" i="4"/>
  <c r="T14" i="4"/>
  <c r="T15" i="4"/>
  <c r="T16" i="4"/>
  <c r="T17" i="4"/>
  <c r="T18" i="4"/>
  <c r="T20" i="4"/>
  <c r="T22" i="4"/>
  <c r="T23" i="4"/>
  <c r="T25" i="4"/>
  <c r="T26" i="4"/>
  <c r="T29" i="4"/>
  <c r="T31" i="4"/>
  <c r="T32" i="4"/>
  <c r="T33" i="4"/>
  <c r="T34" i="4"/>
  <c r="L8" i="4"/>
  <c r="S31" i="4" l="1"/>
  <c r="S34" i="4"/>
  <c r="S15" i="4" l="1"/>
  <c r="S18" i="4"/>
  <c r="S20" i="4"/>
  <c r="S33" i="4" l="1"/>
  <c r="S37" i="4"/>
  <c r="S32" i="4"/>
  <c r="S23" i="4"/>
  <c r="S25" i="4"/>
  <c r="S26" i="4"/>
  <c r="S29" i="4"/>
  <c r="S22" i="4"/>
  <c r="S17" i="4"/>
  <c r="S16" i="4"/>
  <c r="S14" i="4"/>
  <c r="S11" i="4"/>
  <c r="S12" i="4"/>
  <c r="S13" i="4"/>
  <c r="K8" i="4"/>
  <c r="H28" i="4"/>
  <c r="H27" i="4" s="1"/>
  <c r="G28" i="4"/>
  <c r="G27" i="4" s="1"/>
  <c r="F28" i="4"/>
  <c r="F27" i="4" s="1"/>
  <c r="E28" i="4"/>
  <c r="D28" i="4"/>
  <c r="D27" i="4" s="1"/>
  <c r="C28" i="4"/>
  <c r="C27" i="4" s="1"/>
  <c r="B28" i="4"/>
  <c r="B27" i="4" s="1"/>
  <c r="E27" i="4"/>
  <c r="G24" i="4"/>
  <c r="F24" i="4"/>
  <c r="E24" i="4"/>
  <c r="D24" i="4"/>
  <c r="C24" i="4"/>
  <c r="B24" i="4"/>
  <c r="H10" i="4"/>
  <c r="H9" i="4" s="1"/>
  <c r="G10" i="4"/>
  <c r="G9" i="4" s="1"/>
  <c r="G8" i="4" s="1"/>
  <c r="F10" i="4"/>
  <c r="E10" i="4"/>
  <c r="D10" i="4"/>
  <c r="C10" i="4"/>
  <c r="C9" i="4" s="1"/>
  <c r="B10" i="4"/>
  <c r="D9" i="4" l="1"/>
  <c r="E9" i="4"/>
  <c r="E8" i="4" s="1"/>
  <c r="F9" i="4"/>
  <c r="B9" i="4"/>
  <c r="I9" i="4"/>
  <c r="U9" i="4" s="1"/>
  <c r="U10" i="4"/>
  <c r="B8" i="4"/>
  <c r="F8" i="4"/>
  <c r="H8" i="4"/>
  <c r="P11" i="4" s="1"/>
  <c r="C8" i="4"/>
  <c r="D8" i="4"/>
  <c r="T27" i="4"/>
  <c r="T24" i="4"/>
  <c r="T28" i="4"/>
  <c r="T10" i="4"/>
  <c r="O23" i="4"/>
  <c r="O26" i="4"/>
  <c r="O37" i="4"/>
  <c r="S9" i="4"/>
  <c r="S10" i="4"/>
  <c r="S24" i="4"/>
  <c r="S27" i="4"/>
  <c r="S28" i="4"/>
  <c r="O15" i="4" l="1"/>
  <c r="O11" i="4"/>
  <c r="P33" i="4"/>
  <c r="P31" i="4"/>
  <c r="P29" i="4"/>
  <c r="P27" i="4"/>
  <c r="P25" i="4"/>
  <c r="P23" i="4"/>
  <c r="P20" i="4"/>
  <c r="P17" i="4"/>
  <c r="P15" i="4"/>
  <c r="P13" i="4"/>
  <c r="P37" i="4"/>
  <c r="P32" i="4"/>
  <c r="P30" i="4"/>
  <c r="P28" i="4"/>
  <c r="P26" i="4"/>
  <c r="P24" i="4"/>
  <c r="P22" i="4"/>
  <c r="P18" i="4"/>
  <c r="P16" i="4"/>
  <c r="P14" i="4"/>
  <c r="P12" i="4"/>
  <c r="P10" i="4"/>
  <c r="P8" i="4"/>
  <c r="O13" i="4"/>
  <c r="P9" i="4"/>
  <c r="I8" i="4"/>
  <c r="T9" i="4"/>
  <c r="J8" i="4"/>
  <c r="V8" i="4" s="1"/>
  <c r="U27" i="4"/>
  <c r="O32" i="4"/>
  <c r="S8" i="4"/>
  <c r="O8" i="4"/>
  <c r="O27" i="4"/>
  <c r="O30" i="4"/>
  <c r="T8" i="4"/>
  <c r="O20" i="4"/>
  <c r="O9" i="4"/>
  <c r="O10" i="4"/>
  <c r="O17" i="4"/>
  <c r="O28" i="4"/>
  <c r="O24" i="4"/>
  <c r="O33" i="4"/>
  <c r="O31" i="4"/>
  <c r="O29" i="4"/>
  <c r="O25" i="4"/>
  <c r="O22" i="4"/>
  <c r="O18" i="4"/>
  <c r="O16" i="4"/>
  <c r="O14" i="4"/>
  <c r="O12" i="4"/>
  <c r="Q27" i="4" l="1"/>
  <c r="Q22" i="4"/>
  <c r="Q12" i="4"/>
  <c r="Q9" i="4"/>
  <c r="Q20" i="4"/>
  <c r="Q10" i="4"/>
  <c r="Q8" i="4"/>
  <c r="Q34" i="4"/>
  <c r="Q24" i="4"/>
  <c r="Q26" i="4"/>
  <c r="Q28" i="4"/>
  <c r="Q30" i="4"/>
  <c r="Q32" i="4"/>
  <c r="Q37" i="4"/>
  <c r="Q11" i="4"/>
  <c r="Q14" i="4"/>
  <c r="Q16" i="4"/>
  <c r="Q17" i="4"/>
  <c r="Q15" i="4"/>
  <c r="Q18" i="4"/>
  <c r="Q23" i="4"/>
  <c r="Q25" i="4"/>
  <c r="Q29" i="4"/>
  <c r="Q31" i="4"/>
  <c r="Q33" i="4"/>
  <c r="Q13" i="4"/>
  <c r="U8" i="4"/>
</calcChain>
</file>

<file path=xl/sharedStrings.xml><?xml version="1.0" encoding="utf-8"?>
<sst xmlns="http://schemas.openxmlformats.org/spreadsheetml/2006/main" count="85" uniqueCount="79">
  <si>
    <t>Particulars</t>
  </si>
  <si>
    <t>clIBcfwt</t>
  </si>
  <si>
    <t>Actual</t>
  </si>
  <si>
    <t>Revised</t>
  </si>
  <si>
    <t>MTEF</t>
  </si>
  <si>
    <t>Expenditure and net lending</t>
  </si>
  <si>
    <t>Current expenditure</t>
  </si>
  <si>
    <t>udwrwK Wditenivua</t>
  </si>
  <si>
    <t>Net lending</t>
  </si>
  <si>
    <t>IkWbufWs egInwrwd EverukUd</t>
  </si>
  <si>
    <t>Source:  Ministry of Finance and Treasury</t>
  </si>
  <si>
    <t>IrwRercT cDcnea cscnEnif cfoa IrcTcsinim :ctWrwf ivcaedutWmUluAwm</t>
  </si>
  <si>
    <t>(cniaWyifur cnwyilim)</t>
  </si>
  <si>
    <t>ikWbufWs egInwrwd EverukUd iaWdwrwK wlcmuj</t>
  </si>
  <si>
    <t>Expenditure on goods and services</t>
  </si>
  <si>
    <t>udwrwK unuveruk cSwtwmcdiK iaWSwCcaekwt</t>
  </si>
  <si>
    <t xml:space="preserve">  Salaries and wages</t>
  </si>
  <si>
    <t>wrUjua iaWawrWsum</t>
  </si>
  <si>
    <t xml:space="preserve">  Other allowances</t>
  </si>
  <si>
    <t>Eved cSwncnufwzcawvum cnutogctog cnehinehea</t>
  </si>
  <si>
    <t xml:space="preserve">  Other benefits and gratuities</t>
  </si>
  <si>
    <t>Wsiawf EdcSwkwtog cnUn cSwkwtwmcdiKikwv</t>
  </si>
  <si>
    <t xml:space="preserve">  Travel expenses</t>
  </si>
  <si>
    <t>udwrwK egumurukurutwd</t>
  </si>
  <si>
    <t xml:space="preserve">  Supplies and requisites</t>
  </si>
  <si>
    <t>cnudOh itekwt iaWSwmutwgitekwt</t>
  </si>
  <si>
    <t xml:space="preserve">  Repairs and maintenance</t>
  </si>
  <si>
    <t>cSwmuTcaeheleb iaWSwmurukutWmWrwm</t>
  </si>
  <si>
    <t xml:space="preserve">  Transportation, communication,</t>
  </si>
  <si>
    <t>EverukcnunEb iaWtWlwBWvum iaWmulufua itekwt</t>
  </si>
  <si>
    <t xml:space="preserve">  utilities, and other services </t>
  </si>
  <si>
    <t>udwrwK egutwmcdiK</t>
  </si>
  <si>
    <t xml:space="preserve">  Subscriptions, membership fees, etc,</t>
  </si>
  <si>
    <t>egWtcnwt iaWkwtctwAWmwj ikeaikea egurEb</t>
  </si>
  <si>
    <t xml:space="preserve">  to international organizations </t>
  </si>
  <si>
    <t>Wsiawf Eved cSwaWdcnwC</t>
  </si>
  <si>
    <t xml:space="preserve">  Social welfare contributions and transfers</t>
  </si>
  <si>
    <t>Wsiawf egIheaEved iawkwTcSwaWdiawf egutwAWmwj</t>
  </si>
  <si>
    <t>Interest payments</t>
  </si>
  <si>
    <t>udwrwK egutwmcdiK Eved cSwaWsiawf Wviawfigen cSwNcnwrwd</t>
  </si>
  <si>
    <t>Subsidies and transfers</t>
  </si>
  <si>
    <t>cSwmurukulwdwb iaWSwaIDiscbws</t>
  </si>
  <si>
    <t xml:space="preserve">  Food, medicine and other  </t>
  </si>
  <si>
    <t>cSwaIDiscbws eguhEb iaWCcaekwtObWk</t>
  </si>
  <si>
    <t xml:space="preserve">  Pension</t>
  </si>
  <si>
    <t xml:space="preserve">cSwnwxcnep </t>
  </si>
  <si>
    <t>Capital expenditure and net lending</t>
  </si>
  <si>
    <t>IkWbufWs egInwrwd EverukUd idwa udwrwK ivinwncnuhimed</t>
  </si>
  <si>
    <t xml:space="preserve">  Development expenditure</t>
  </si>
  <si>
    <t>udwrwK Everuk iawkwTcSwaIqcawrwt</t>
  </si>
  <si>
    <t xml:space="preserve">  Foreign loan-financed</t>
  </si>
  <si>
    <t>udwrwK Everuk cnunOlEbil cnurEb</t>
  </si>
  <si>
    <t>Other 1_/</t>
  </si>
  <si>
    <t>1_/ cnutogctog cnehinehea</t>
  </si>
  <si>
    <t>Memorandum item:</t>
  </si>
  <si>
    <t>caeacmwTiawa Wviawfiveruk cDrOker iawkwTcSwnWdwh</t>
  </si>
  <si>
    <t>Capital contributions to</t>
  </si>
  <si>
    <t>Wtcnwt iaWkwtctwAWmwj ikeaikea egurEb</t>
  </si>
  <si>
    <t xml:space="preserve">      foreign organizations </t>
  </si>
  <si>
    <t>cSwmukcaed cSwlWmcsuawr</t>
  </si>
  <si>
    <t xml:space="preserve"> 1_/  Comprises development expenditure financed from domestic sources   and by foreign grants. </t>
  </si>
  <si>
    <t>Wsiawf EverukudwrwK cSwaIqcawrwt  cnegibil iawgutog egIhea Elih egurEb iaWncnEjcaWr Inenemih iawgiawbim 1_/</t>
  </si>
  <si>
    <t>ބެހިފައިވާ ގޮތް އިން ސައްތައިން</t>
  </si>
  <si>
    <t>Percentage Share</t>
  </si>
  <si>
    <t>Percentage Change</t>
  </si>
  <si>
    <t>އިތުރުވި މިންވަރު</t>
  </si>
  <si>
    <t>2012-2013</t>
  </si>
  <si>
    <t>(In million MVR)</t>
  </si>
  <si>
    <t>cawtunOl egEretea</t>
  </si>
  <si>
    <t xml:space="preserve">  Training expenses</t>
  </si>
  <si>
    <t>unIrcmwt</t>
  </si>
  <si>
    <t>2013-2014</t>
  </si>
  <si>
    <t xml:space="preserve">  Domestic Loan</t>
  </si>
  <si>
    <t xml:space="preserve">  Grant Financed</t>
  </si>
  <si>
    <t xml:space="preserve">  Domestic PSIP</t>
  </si>
  <si>
    <t>2014-2015</t>
  </si>
  <si>
    <t>2015-2016</t>
  </si>
  <si>
    <t>2018 - 2012 ,IkWbufWs egInwrwd iaWdwrwK EverukcnurWkurws cnutogegukwtiawb IdWBitcqia : 13.4 ulwvWt</t>
  </si>
  <si>
    <t>Table  13.4 :  ECONOMIC CLASSIFICATION OF CENTRAL GOVERNMENT EXPENDITURE AND NET LENDING, 20012 - 2018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</si>
</sst>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(* #,##0_);_(* \(#,##0\);_(* &quot;-&quot;_);_(@_)"/>
    <numFmt numFmtId="43" formatCode="_(* #,##0.00_);_(* \(#,##0.00\);_(* &quot;-&quot;??_);_(@_)"/>
    <numFmt numFmtId="164" formatCode="General_)"/>
    <numFmt numFmtId="165" formatCode="#,##0.0"/>
    <numFmt numFmtId="167" formatCode="_(* #,##0.0_);_(* \(#,##0.0\);_(* &quot;-&quot;??_);_(@_)"/>
    <numFmt numFmtId="169" formatCode="0.0"/>
    <numFmt numFmtId="170" formatCode="0.0_);\(0.0\)"/>
    <numFmt numFmtId="171" formatCode="_-* #,##0.00_-;\-* #,##0.00_-;_-* &quot;-&quot;??_-;_-@_-"/>
    <numFmt numFmtId="172" formatCode="#,##0.00\ ;&quot; (&quot;#,##0.00\);&quot; -&quot;#\ ;@\ 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_Randhoo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theme="1"/>
      <name val="A_Randhoo"/>
    </font>
    <font>
      <sz val="10"/>
      <color theme="1"/>
      <name val="Arial"/>
      <family val="2"/>
    </font>
    <font>
      <sz val="9"/>
      <color theme="1"/>
      <name val="A_Randhoo"/>
    </font>
    <font>
      <sz val="9"/>
      <color theme="1"/>
      <name val="Akuru"/>
      <family val="2"/>
      <charset val="2"/>
    </font>
    <font>
      <sz val="9"/>
      <color theme="1"/>
      <name val="Arial"/>
      <family val="2"/>
    </font>
    <font>
      <sz val="9.3000000000000007"/>
      <color theme="1"/>
      <name val="Calibri"/>
      <family val="2"/>
      <scheme val="minor"/>
    </font>
    <font>
      <b/>
      <sz val="9"/>
      <color theme="1"/>
      <name val="Akuru"/>
      <family val="2"/>
      <charset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0" fontId="3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4" fillId="0" borderId="0"/>
    <xf numFmtId="172" fontId="4" fillId="0" borderId="0"/>
    <xf numFmtId="0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4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96">
    <xf numFmtId="0" fontId="0" fillId="0" borderId="0" xfId="0"/>
    <xf numFmtId="164" fontId="8" fillId="2" borderId="0" xfId="2" applyNumberFormat="1" applyFont="1" applyFill="1" applyBorder="1" applyAlignment="1" applyProtection="1">
      <alignment horizontal="right" vertical="center"/>
      <protection locked="0"/>
    </xf>
    <xf numFmtId="164" fontId="6" fillId="2" borderId="0" xfId="2" applyNumberFormat="1" applyFont="1" applyFill="1" applyBorder="1" applyAlignment="1">
      <alignment horizontal="right" vertical="center"/>
    </xf>
    <xf numFmtId="164" fontId="14" fillId="2" borderId="0" xfId="2" applyNumberFormat="1" applyFont="1" applyFill="1" applyAlignment="1">
      <alignment vertical="center"/>
    </xf>
    <xf numFmtId="165" fontId="6" fillId="2" borderId="0" xfId="2" applyNumberFormat="1" applyFont="1" applyFill="1" applyAlignment="1">
      <alignment horizontal="right" vertical="center"/>
    </xf>
    <xf numFmtId="165" fontId="15" fillId="2" borderId="0" xfId="2" applyNumberFormat="1" applyFont="1" applyFill="1" applyAlignment="1">
      <alignment horizontal="right" vertical="center"/>
    </xf>
    <xf numFmtId="164" fontId="7" fillId="2" borderId="0" xfId="2" applyNumberFormat="1" applyFont="1" applyFill="1" applyAlignment="1">
      <alignment vertical="center"/>
    </xf>
    <xf numFmtId="164" fontId="17" fillId="2" borderId="0" xfId="2" applyNumberFormat="1" applyFont="1" applyFill="1" applyAlignment="1">
      <alignment vertical="center"/>
    </xf>
    <xf numFmtId="165" fontId="15" fillId="2" borderId="1" xfId="2" applyNumberFormat="1" applyFont="1" applyFill="1" applyBorder="1" applyAlignment="1">
      <alignment horizontal="right" vertical="center"/>
    </xf>
    <xf numFmtId="164" fontId="12" fillId="2" borderId="0" xfId="2" applyNumberFormat="1" applyFont="1" applyFill="1" applyAlignment="1" applyProtection="1">
      <alignment horizontal="left" vertical="center"/>
    </xf>
    <xf numFmtId="165" fontId="15" fillId="2" borderId="0" xfId="2" applyNumberFormat="1" applyFont="1" applyFill="1" applyBorder="1" applyAlignment="1">
      <alignment horizontal="right" vertical="center"/>
    </xf>
    <xf numFmtId="164" fontId="11" fillId="2" borderId="1" xfId="2" applyNumberFormat="1" applyFont="1" applyFill="1" applyBorder="1" applyAlignment="1" applyProtection="1">
      <alignment horizontal="left" vertical="center"/>
    </xf>
    <xf numFmtId="164" fontId="15" fillId="2" borderId="0" xfId="2" applyNumberFormat="1" applyFont="1" applyFill="1" applyAlignment="1">
      <alignment horizontal="right" vertical="center"/>
    </xf>
    <xf numFmtId="164" fontId="8" fillId="2" borderId="0" xfId="2" applyNumberFormat="1" applyFont="1" applyFill="1" applyBorder="1" applyAlignment="1" applyProtection="1">
      <alignment horizontal="left" vertical="center"/>
    </xf>
    <xf numFmtId="164" fontId="7" fillId="2" borderId="0" xfId="2" applyNumberFormat="1" applyFont="1" applyFill="1" applyBorder="1" applyAlignment="1">
      <alignment vertical="center"/>
    </xf>
    <xf numFmtId="164" fontId="8" fillId="2" borderId="1" xfId="2" applyNumberFormat="1" applyFont="1" applyFill="1" applyBorder="1" applyAlignment="1" applyProtection="1">
      <alignment horizontal="left" vertical="center"/>
    </xf>
    <xf numFmtId="164" fontId="8" fillId="2" borderId="1" xfId="2" applyNumberFormat="1" applyFont="1" applyFill="1" applyBorder="1" applyAlignment="1" applyProtection="1">
      <alignment horizontal="right" vertical="center"/>
    </xf>
    <xf numFmtId="41" fontId="18" fillId="2" borderId="0" xfId="3" applyNumberFormat="1" applyFont="1" applyFill="1" applyAlignment="1" applyProtection="1">
      <alignment horizontal="right" vertical="center"/>
      <protection locked="0"/>
    </xf>
    <xf numFmtId="37" fontId="11" fillId="2" borderId="0" xfId="2" applyNumberFormat="1" applyFont="1" applyFill="1" applyAlignment="1" applyProtection="1">
      <alignment vertical="center"/>
    </xf>
    <xf numFmtId="164" fontId="14" fillId="2" borderId="0" xfId="2" applyNumberFormat="1" applyFont="1" applyFill="1" applyBorder="1" applyAlignment="1">
      <alignment vertical="center"/>
    </xf>
    <xf numFmtId="164" fontId="7" fillId="2" borderId="0" xfId="2" applyNumberFormat="1" applyFont="1" applyFill="1" applyBorder="1" applyAlignment="1" applyProtection="1">
      <alignment horizontal="center" vertical="center"/>
    </xf>
    <xf numFmtId="164" fontId="7" fillId="2" borderId="2" xfId="2" applyNumberFormat="1" applyFont="1" applyFill="1" applyBorder="1" applyAlignment="1" applyProtection="1">
      <alignment horizontal="center" vertical="center"/>
    </xf>
    <xf numFmtId="164" fontId="10" fillId="2" borderId="10" xfId="2" applyNumberFormat="1" applyFont="1" applyFill="1" applyBorder="1" applyAlignment="1" applyProtection="1">
      <alignment horizontal="center" vertical="center"/>
    </xf>
    <xf numFmtId="169" fontId="10" fillId="2" borderId="2" xfId="2" applyNumberFormat="1" applyFont="1" applyFill="1" applyBorder="1" applyAlignment="1" applyProtection="1">
      <alignment horizontal="center" vertical="center"/>
      <protection hidden="1"/>
    </xf>
    <xf numFmtId="164" fontId="8" fillId="2" borderId="11" xfId="2" applyNumberFormat="1" applyFont="1" applyFill="1" applyBorder="1" applyAlignment="1" applyProtection="1">
      <alignment horizontal="center" vertical="center"/>
      <protection locked="0"/>
    </xf>
    <xf numFmtId="164" fontId="8" fillId="2" borderId="1" xfId="2" applyNumberFormat="1" applyFont="1" applyFill="1" applyBorder="1" applyAlignment="1" applyProtection="1">
      <alignment horizontal="center" vertical="center"/>
      <protection locked="0"/>
    </xf>
    <xf numFmtId="164" fontId="8" fillId="2" borderId="0" xfId="2" applyNumberFormat="1" applyFont="1" applyFill="1" applyBorder="1" applyAlignment="1" applyProtection="1">
      <alignment horizontal="center" vertical="center"/>
      <protection locked="0"/>
    </xf>
    <xf numFmtId="164" fontId="8" fillId="2" borderId="4" xfId="2" applyNumberFormat="1" applyFont="1" applyFill="1" applyBorder="1" applyAlignment="1" applyProtection="1">
      <alignment horizontal="right" vertical="center"/>
    </xf>
    <xf numFmtId="164" fontId="8" fillId="2" borderId="13" xfId="2" applyNumberFormat="1" applyFont="1" applyFill="1" applyBorder="1" applyAlignment="1" applyProtection="1">
      <alignment horizontal="right" vertical="center"/>
    </xf>
    <xf numFmtId="164" fontId="8" fillId="2" borderId="9" xfId="2" applyNumberFormat="1" applyFont="1" applyFill="1" applyBorder="1" applyAlignment="1" applyProtection="1">
      <alignment horizontal="right" vertical="center"/>
    </xf>
    <xf numFmtId="169" fontId="8" fillId="2" borderId="1" xfId="2" applyNumberFormat="1" applyFont="1" applyFill="1" applyBorder="1" applyAlignment="1" applyProtection="1">
      <alignment horizontal="right" vertical="center"/>
      <protection locked="0"/>
    </xf>
    <xf numFmtId="169" fontId="8" fillId="2" borderId="12" xfId="2" applyNumberFormat="1" applyFont="1" applyFill="1" applyBorder="1" applyAlignment="1" applyProtection="1">
      <alignment horizontal="right" vertical="center"/>
      <protection locked="0"/>
    </xf>
    <xf numFmtId="1" fontId="7" fillId="2" borderId="1" xfId="2" applyNumberFormat="1" applyFont="1" applyFill="1" applyBorder="1" applyAlignment="1">
      <alignment vertical="center"/>
    </xf>
    <xf numFmtId="164" fontId="8" fillId="2" borderId="0" xfId="2" applyNumberFormat="1" applyFont="1" applyFill="1" applyAlignment="1" applyProtection="1">
      <alignment horizontal="left" vertical="center"/>
    </xf>
    <xf numFmtId="165" fontId="8" fillId="2" borderId="0" xfId="2" applyNumberFormat="1" applyFont="1" applyFill="1" applyAlignment="1" applyProtection="1">
      <alignment horizontal="right" vertical="center"/>
    </xf>
    <xf numFmtId="165" fontId="8" fillId="2" borderId="0" xfId="2" applyNumberFormat="1" applyFont="1" applyFill="1" applyAlignment="1" applyProtection="1">
      <alignment horizontal="right" vertical="center"/>
      <protection locked="0"/>
    </xf>
    <xf numFmtId="165" fontId="8" fillId="2" borderId="3" xfId="2" applyNumberFormat="1" applyFont="1" applyFill="1" applyBorder="1" applyAlignment="1" applyProtection="1">
      <alignment horizontal="right" vertical="center"/>
      <protection locked="0"/>
    </xf>
    <xf numFmtId="165" fontId="8" fillId="2" borderId="2" xfId="2" applyNumberFormat="1" applyFont="1" applyFill="1" applyBorder="1" applyAlignment="1" applyProtection="1">
      <alignment horizontal="right" vertical="center"/>
      <protection locked="0"/>
    </xf>
    <xf numFmtId="165" fontId="8" fillId="2" borderId="8" xfId="2" applyNumberFormat="1" applyFont="1" applyFill="1" applyBorder="1" applyAlignment="1" applyProtection="1">
      <alignment horizontal="right" vertical="center"/>
      <protection locked="0"/>
    </xf>
    <xf numFmtId="169" fontId="8" fillId="2" borderId="0" xfId="1" applyNumberFormat="1" applyFont="1" applyFill="1" applyBorder="1" applyAlignment="1" applyProtection="1">
      <alignment horizontal="right" vertical="center" indent="2"/>
    </xf>
    <xf numFmtId="164" fontId="6" fillId="2" borderId="0" xfId="2" applyNumberFormat="1" applyFont="1" applyFill="1" applyAlignment="1">
      <alignment horizontal="right" vertical="center"/>
    </xf>
    <xf numFmtId="165" fontId="8" fillId="2" borderId="0" xfId="2" applyNumberFormat="1" applyFont="1" applyFill="1" applyBorder="1" applyAlignment="1" applyProtection="1">
      <alignment horizontal="right" vertical="center"/>
      <protection locked="0"/>
    </xf>
    <xf numFmtId="164" fontId="11" fillId="2" borderId="0" xfId="2" applyNumberFormat="1" applyFont="1" applyFill="1" applyAlignment="1" applyProtection="1">
      <alignment horizontal="left" vertical="center"/>
    </xf>
    <xf numFmtId="164" fontId="11" fillId="2" borderId="0" xfId="2" applyNumberFormat="1" applyFont="1" applyFill="1" applyAlignment="1">
      <alignment horizontal="right" vertical="center"/>
    </xf>
    <xf numFmtId="165" fontId="11" fillId="2" borderId="0" xfId="2" applyNumberFormat="1" applyFont="1" applyFill="1" applyAlignment="1" applyProtection="1">
      <alignment horizontal="right" vertical="center"/>
      <protection locked="0"/>
    </xf>
    <xf numFmtId="165" fontId="11" fillId="2" borderId="3" xfId="2" applyNumberFormat="1" applyFont="1" applyFill="1" applyBorder="1" applyAlignment="1" applyProtection="1">
      <alignment horizontal="right" vertical="center"/>
      <protection locked="0"/>
    </xf>
    <xf numFmtId="165" fontId="11" fillId="2" borderId="0" xfId="2" applyNumberFormat="1" applyFont="1" applyFill="1" applyBorder="1" applyAlignment="1" applyProtection="1">
      <alignment horizontal="right" vertical="center"/>
      <protection locked="0"/>
    </xf>
    <xf numFmtId="165" fontId="11" fillId="2" borderId="8" xfId="2" applyNumberFormat="1" applyFont="1" applyFill="1" applyBorder="1" applyAlignment="1" applyProtection="1">
      <alignment horizontal="right" vertical="center"/>
      <protection locked="0"/>
    </xf>
    <xf numFmtId="169" fontId="11" fillId="2" borderId="0" xfId="1" applyNumberFormat="1" applyFont="1" applyFill="1" applyBorder="1" applyAlignment="1" applyProtection="1">
      <alignment horizontal="right" vertical="center" indent="2"/>
    </xf>
    <xf numFmtId="167" fontId="11" fillId="2" borderId="0" xfId="1" applyNumberFormat="1" applyFont="1" applyFill="1" applyBorder="1" applyAlignment="1" applyProtection="1">
      <alignment horizontal="center" vertical="center"/>
      <protection locked="0"/>
    </xf>
    <xf numFmtId="165" fontId="11" fillId="2" borderId="0" xfId="2" applyNumberFormat="1" applyFont="1" applyFill="1" applyBorder="1" applyAlignment="1" applyProtection="1">
      <alignment horizontal="center" vertical="center"/>
      <protection locked="0"/>
    </xf>
    <xf numFmtId="165" fontId="11" fillId="2" borderId="8" xfId="2" applyNumberFormat="1" applyFont="1" applyFill="1" applyBorder="1" applyAlignment="1" applyProtection="1">
      <alignment vertical="center"/>
      <protection locked="0"/>
    </xf>
    <xf numFmtId="164" fontId="8" fillId="2" borderId="0" xfId="2" applyNumberFormat="1" applyFont="1" applyFill="1" applyAlignment="1">
      <alignment horizontal="right" vertical="center"/>
    </xf>
    <xf numFmtId="164" fontId="11" fillId="2" borderId="0" xfId="2" applyNumberFormat="1" applyFont="1" applyFill="1" applyAlignment="1" applyProtection="1">
      <alignment vertical="center"/>
    </xf>
    <xf numFmtId="164" fontId="16" fillId="2" borderId="0" xfId="2" applyNumberFormat="1" applyFont="1" applyFill="1" applyAlignment="1">
      <alignment horizontal="right" vertical="center"/>
    </xf>
    <xf numFmtId="170" fontId="8" fillId="2" borderId="0" xfId="2" applyNumberFormat="1" applyFont="1" applyFill="1" applyAlignment="1" applyProtection="1">
      <alignment horizontal="right" vertical="center"/>
      <protection locked="0"/>
    </xf>
    <xf numFmtId="41" fontId="18" fillId="2" borderId="3" xfId="3" applyNumberFormat="1" applyFont="1" applyFill="1" applyBorder="1" applyAlignment="1" applyProtection="1">
      <alignment horizontal="right" vertical="center"/>
      <protection locked="0"/>
    </xf>
    <xf numFmtId="41" fontId="18" fillId="2" borderId="0" xfId="3" applyNumberFormat="1" applyFont="1" applyFill="1" applyBorder="1" applyAlignment="1" applyProtection="1">
      <alignment horizontal="right" vertical="center"/>
      <protection locked="0"/>
    </xf>
    <xf numFmtId="41" fontId="18" fillId="2" borderId="8" xfId="3" applyNumberFormat="1" applyFont="1" applyFill="1" applyBorder="1" applyAlignment="1" applyProtection="1">
      <alignment horizontal="right" vertical="center"/>
      <protection locked="0"/>
    </xf>
    <xf numFmtId="164" fontId="19" fillId="2" borderId="0" xfId="2" applyNumberFormat="1" applyFont="1" applyFill="1" applyAlignment="1">
      <alignment horizontal="right" vertical="center"/>
    </xf>
    <xf numFmtId="164" fontId="11" fillId="2" borderId="0" xfId="2" applyNumberFormat="1" applyFont="1" applyFill="1" applyBorder="1" applyAlignment="1" applyProtection="1">
      <alignment horizontal="left" vertical="center"/>
    </xf>
    <xf numFmtId="165" fontId="11" fillId="2" borderId="0" xfId="2" applyNumberFormat="1" applyFont="1" applyFill="1" applyBorder="1" applyAlignment="1" applyProtection="1">
      <alignment horizontal="right" vertical="center"/>
    </xf>
    <xf numFmtId="165" fontId="11" fillId="2" borderId="1" xfId="2" applyNumberFormat="1" applyFont="1" applyFill="1" applyBorder="1" applyAlignment="1" applyProtection="1">
      <alignment horizontal="right" vertical="center"/>
      <protection locked="0"/>
    </xf>
    <xf numFmtId="165" fontId="8" fillId="2" borderId="4" xfId="2" applyNumberFormat="1" applyFont="1" applyFill="1" applyBorder="1" applyAlignment="1" applyProtection="1">
      <alignment horizontal="right" vertical="center"/>
      <protection locked="0"/>
    </xf>
    <xf numFmtId="165" fontId="8" fillId="2" borderId="1" xfId="2" applyNumberFormat="1" applyFont="1" applyFill="1" applyBorder="1" applyAlignment="1" applyProtection="1">
      <alignment horizontal="right" vertical="center"/>
      <protection locked="0"/>
    </xf>
    <xf numFmtId="165" fontId="8" fillId="2" borderId="9" xfId="2" applyNumberFormat="1" applyFont="1" applyFill="1" applyBorder="1" applyAlignment="1" applyProtection="1">
      <alignment horizontal="right" vertical="center"/>
      <protection locked="0"/>
    </xf>
    <xf numFmtId="169" fontId="11" fillId="2" borderId="1" xfId="1" applyNumberFormat="1" applyFont="1" applyFill="1" applyBorder="1" applyAlignment="1" applyProtection="1">
      <alignment horizontal="right" vertical="center" indent="2"/>
    </xf>
    <xf numFmtId="165" fontId="8" fillId="2" borderId="1" xfId="2" applyNumberFormat="1" applyFont="1" applyFill="1" applyBorder="1" applyAlignment="1" applyProtection="1">
      <alignment horizontal="right" vertical="center" indent="2"/>
      <protection locked="0"/>
    </xf>
    <xf numFmtId="164" fontId="12" fillId="2" borderId="0" xfId="2" applyNumberFormat="1" applyFont="1" applyFill="1" applyAlignment="1" applyProtection="1">
      <alignment horizontal="left"/>
    </xf>
    <xf numFmtId="169" fontId="11" fillId="2" borderId="0" xfId="2" applyNumberFormat="1" applyFont="1" applyFill="1" applyAlignment="1" applyProtection="1">
      <alignment horizontal="right" vertical="center"/>
    </xf>
    <xf numFmtId="169" fontId="17" fillId="2" borderId="0" xfId="2" applyNumberFormat="1" applyFont="1" applyFill="1" applyAlignment="1">
      <alignment horizontal="right" vertical="center"/>
    </xf>
    <xf numFmtId="1" fontId="17" fillId="2" borderId="0" xfId="2" applyNumberFormat="1" applyFont="1" applyFill="1" applyAlignment="1">
      <alignment vertical="center"/>
    </xf>
    <xf numFmtId="169" fontId="14" fillId="2" borderId="0" xfId="2" applyNumberFormat="1" applyFont="1" applyFill="1" applyAlignment="1">
      <alignment horizontal="right" vertical="center"/>
    </xf>
    <xf numFmtId="1" fontId="14" fillId="2" borderId="0" xfId="2" applyNumberFormat="1" applyFont="1" applyFill="1" applyAlignment="1">
      <alignment vertical="center"/>
    </xf>
    <xf numFmtId="164" fontId="13" fillId="2" borderId="0" xfId="2" applyNumberFormat="1" applyFont="1" applyFill="1" applyAlignment="1">
      <alignment horizontal="center" vertical="center"/>
    </xf>
    <xf numFmtId="164" fontId="9" fillId="2" borderId="0" xfId="2" applyNumberFormat="1" applyFont="1" applyFill="1" applyBorder="1" applyAlignment="1" applyProtection="1">
      <alignment horizontal="center" vertical="center"/>
    </xf>
    <xf numFmtId="169" fontId="11" fillId="2" borderId="0" xfId="1" applyNumberFormat="1" applyFont="1" applyFill="1" applyBorder="1" applyAlignment="1" applyProtection="1">
      <alignment horizontal="right" vertical="center" indent="2"/>
    </xf>
    <xf numFmtId="164" fontId="10" fillId="2" borderId="5" xfId="2" applyNumberFormat="1" applyFont="1" applyFill="1" applyBorder="1" applyAlignment="1" applyProtection="1">
      <alignment horizontal="center" vertical="center"/>
    </xf>
    <xf numFmtId="164" fontId="10" fillId="2" borderId="2" xfId="2" applyNumberFormat="1" applyFont="1" applyFill="1" applyBorder="1" applyAlignment="1" applyProtection="1">
      <alignment horizontal="center" vertical="center"/>
    </xf>
    <xf numFmtId="164" fontId="8" fillId="2" borderId="7" xfId="2" applyNumberFormat="1" applyFont="1" applyFill="1" applyBorder="1" applyAlignment="1" applyProtection="1">
      <alignment horizontal="center" vertical="center"/>
      <protection locked="0"/>
    </xf>
    <xf numFmtId="164" fontId="8" fillId="2" borderId="6" xfId="2" applyNumberFormat="1" applyFont="1" applyFill="1" applyBorder="1" applyAlignment="1" applyProtection="1">
      <alignment horizontal="center" vertical="center"/>
      <protection locked="0"/>
    </xf>
    <xf numFmtId="169" fontId="10" fillId="2" borderId="2" xfId="2" applyNumberFormat="1" applyFont="1" applyFill="1" applyBorder="1" applyAlignment="1" applyProtection="1">
      <alignment horizontal="center" vertical="center"/>
      <protection hidden="1"/>
    </xf>
    <xf numFmtId="164" fontId="8" fillId="2" borderId="4" xfId="2" applyNumberFormat="1" applyFont="1" applyFill="1" applyBorder="1" applyAlignment="1" applyProtection="1">
      <alignment horizontal="center" vertical="center"/>
      <protection locked="0"/>
    </xf>
    <xf numFmtId="164" fontId="8" fillId="2" borderId="1" xfId="2" applyNumberFormat="1" applyFont="1" applyFill="1" applyBorder="1" applyAlignment="1" applyProtection="1">
      <alignment horizontal="center" vertical="center"/>
      <protection locked="0"/>
    </xf>
    <xf numFmtId="165" fontId="11" fillId="2" borderId="0" xfId="2" applyNumberFormat="1" applyFont="1" applyFill="1" applyBorder="1" applyAlignment="1" applyProtection="1">
      <alignment vertical="center"/>
      <protection locked="0"/>
    </xf>
    <xf numFmtId="164" fontId="15" fillId="2" borderId="0" xfId="2" applyNumberFormat="1" applyFont="1" applyFill="1" applyAlignment="1">
      <alignment horizontal="center" vertical="center" wrapText="1"/>
    </xf>
    <xf numFmtId="164" fontId="8" fillId="2" borderId="1" xfId="2" applyNumberFormat="1" applyFont="1" applyFill="1" applyBorder="1" applyAlignment="1" applyProtection="1">
      <alignment horizontal="center" vertical="center"/>
    </xf>
    <xf numFmtId="164" fontId="11" fillId="2" borderId="0" xfId="2" applyNumberFormat="1" applyFont="1" applyFill="1" applyAlignment="1">
      <alignment horizontal="right" vertical="center"/>
    </xf>
    <xf numFmtId="165" fontId="11" fillId="2" borderId="0" xfId="2" applyNumberFormat="1" applyFont="1" applyFill="1" applyAlignment="1" applyProtection="1">
      <alignment horizontal="right" vertical="center"/>
      <protection locked="0"/>
    </xf>
    <xf numFmtId="167" fontId="11" fillId="2" borderId="0" xfId="1" applyNumberFormat="1" applyFont="1" applyFill="1" applyAlignment="1" applyProtection="1">
      <alignment horizontal="right" vertical="center"/>
      <protection locked="0"/>
    </xf>
    <xf numFmtId="167" fontId="11" fillId="2" borderId="0" xfId="1" applyNumberFormat="1" applyFont="1" applyFill="1" applyAlignment="1" applyProtection="1">
      <alignment horizontal="center" vertical="center"/>
      <protection locked="0"/>
    </xf>
    <xf numFmtId="167" fontId="11" fillId="2" borderId="0" xfId="1" applyNumberFormat="1" applyFont="1" applyFill="1" applyBorder="1" applyAlignment="1" applyProtection="1">
      <alignment horizontal="center" vertical="center"/>
      <protection locked="0"/>
    </xf>
    <xf numFmtId="165" fontId="11" fillId="2" borderId="0" xfId="2" applyNumberFormat="1" applyFont="1" applyFill="1" applyBorder="1" applyAlignment="1" applyProtection="1">
      <alignment horizontal="right" vertical="center"/>
      <protection locked="0"/>
    </xf>
    <xf numFmtId="165" fontId="11" fillId="2" borderId="3" xfId="2" applyNumberFormat="1" applyFont="1" applyFill="1" applyBorder="1" applyAlignment="1" applyProtection="1">
      <alignment vertical="center"/>
      <protection locked="0"/>
    </xf>
    <xf numFmtId="165" fontId="11" fillId="2" borderId="3" xfId="2" applyNumberFormat="1" applyFont="1" applyFill="1" applyBorder="1" applyAlignment="1" applyProtection="1">
      <alignment horizontal="right" vertical="center"/>
      <protection locked="0"/>
    </xf>
    <xf numFmtId="165" fontId="11" fillId="2" borderId="0" xfId="2" applyNumberFormat="1" applyFont="1" applyFill="1" applyAlignment="1" applyProtection="1">
      <alignment horizontal="center" vertical="center"/>
      <protection locked="0"/>
    </xf>
  </cellXfs>
  <cellStyles count="12">
    <cellStyle name="Comma" xfId="1" builtinId="3"/>
    <cellStyle name="Comma 2" xfId="7"/>
    <cellStyle name="Comma 3" xfId="8"/>
    <cellStyle name="Comma 4" xfId="4"/>
    <cellStyle name="Comma 6" xfId="10"/>
    <cellStyle name="Comma_13 Public Finance_done" xfId="3"/>
    <cellStyle name="Excel Built-in Comma" xfId="6"/>
    <cellStyle name="Excel Built-in Normal" xfId="5"/>
    <cellStyle name="Normal" xfId="0" builtinId="0"/>
    <cellStyle name="Normal 2" xfId="11"/>
    <cellStyle name="Normal 4" xfId="9"/>
    <cellStyle name="Normal_13 Public Finance_done" xfId="2"/>
  </cellStyles>
  <dxfs count="0"/>
  <tableStyles count="0" defaultTableStyle="TableStyleMedium9" defaultPivotStyle="PivotStyleLight16"/>
  <colors>
    <mruColors>
      <color rgb="FF00A8A4"/>
      <color rgb="FF7DDFDD"/>
      <color rgb="FF1C706E"/>
      <color rgb="FFE7FFFF"/>
      <color rgb="FF33CCCC"/>
      <color rgb="FF9DE7E5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3/RECEIVED%20TABLES/13.%20public%20finance_%20Min%20of%20Fin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13.1"/>
      <sheetName val="13.2"/>
      <sheetName val="13.3"/>
      <sheetName val="13.4"/>
      <sheetName val="13.5"/>
      <sheetName val=" 5 cd"/>
      <sheetName val="13.6"/>
      <sheetName val="13.7"/>
      <sheetName val="13.8"/>
      <sheetName val="13.9cd"/>
      <sheetName val="13.10cd"/>
      <sheetName val="13.11cd"/>
      <sheetName val="13.12cd"/>
      <sheetName val="13.13 cd"/>
      <sheetName val="13.14cd"/>
      <sheetName val="Fig13.1&amp;13.2"/>
      <sheetName val="fig13.5&amp;13.6"/>
      <sheetName val="Graph 13.5"/>
      <sheetName val="Graph 13.6"/>
      <sheetName val="Graph 13.7"/>
    </sheetNames>
    <sheetDataSet>
      <sheetData sheetId="0" refreshError="1"/>
      <sheetData sheetId="1" refreshError="1"/>
      <sheetData sheetId="2" refreshError="1"/>
      <sheetData sheetId="3">
        <row r="11">
          <cell r="C11">
            <v>2731.9902730000003</v>
          </cell>
        </row>
      </sheetData>
      <sheetData sheetId="4">
        <row r="10">
          <cell r="C10">
            <v>8764.9308290000008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B9">
            <v>1998</v>
          </cell>
          <cell r="C9">
            <v>1999</v>
          </cell>
          <cell r="D9">
            <v>2000</v>
          </cell>
          <cell r="E9">
            <v>2001</v>
          </cell>
          <cell r="F9">
            <v>2002</v>
          </cell>
          <cell r="G9">
            <v>2003</v>
          </cell>
          <cell r="H9">
            <v>2004</v>
          </cell>
          <cell r="I9">
            <v>2005</v>
          </cell>
          <cell r="J9">
            <v>2006</v>
          </cell>
          <cell r="K9">
            <v>2007</v>
          </cell>
        </row>
        <row r="10">
          <cell r="A10" t="str">
            <v>Expenditure on goods and services</v>
          </cell>
          <cell r="B10">
            <v>91.563294552739038</v>
          </cell>
          <cell r="C10">
            <v>91.996117761242317</v>
          </cell>
          <cell r="D10">
            <v>92.819446665600509</v>
          </cell>
          <cell r="E10">
            <v>92.563660342903518</v>
          </cell>
          <cell r="F10">
            <v>91.959798994974875</v>
          </cell>
          <cell r="G10">
            <v>92.71006522573218</v>
          </cell>
          <cell r="H10">
            <v>93.282163480506455</v>
          </cell>
          <cell r="I10">
            <v>91.764477849805104</v>
          </cell>
          <cell r="J10">
            <v>93.783658475694565</v>
          </cell>
          <cell r="K10">
            <v>93.862898431426345</v>
          </cell>
        </row>
        <row r="11">
          <cell r="A11" t="str">
            <v>Interest payments</v>
          </cell>
          <cell r="B11">
            <v>6.2870791278218654</v>
          </cell>
          <cell r="C11">
            <v>6.3862827563895177</v>
          </cell>
          <cell r="D11">
            <v>5.6719441334825946</v>
          </cell>
          <cell r="E11">
            <v>5.9095059348686219</v>
          </cell>
          <cell r="F11">
            <v>6.471034417369868</v>
          </cell>
          <cell r="G11">
            <v>5.7637379033977068</v>
          </cell>
          <cell r="H11">
            <v>4.9711272909866935</v>
          </cell>
          <cell r="I11">
            <v>3.3359894902332399</v>
          </cell>
          <cell r="J11">
            <v>3.5450622347444622</v>
          </cell>
          <cell r="K11">
            <v>3.5715918964649926</v>
          </cell>
        </row>
        <row r="12">
          <cell r="A12" t="str">
            <v>Subsidies and transfers</v>
          </cell>
          <cell r="B12">
            <v>2.1496263194390934</v>
          </cell>
          <cell r="C12">
            <v>1.6175994823681656</v>
          </cell>
          <cell r="D12">
            <v>1.5086092009168932</v>
          </cell>
          <cell r="E12">
            <v>1.5268337222278585</v>
          </cell>
          <cell r="F12">
            <v>1.5691665876552574</v>
          </cell>
          <cell r="G12">
            <v>1.5261968708701028</v>
          </cell>
          <cell r="H12">
            <v>1.7467092285068688</v>
          </cell>
          <cell r="I12">
            <v>4.8995326599616664</v>
          </cell>
          <cell r="J12">
            <v>2.6712792895609683</v>
          </cell>
          <cell r="K12">
            <v>2.5655096721086568</v>
          </cell>
        </row>
      </sheetData>
      <sheetData sheetId="17">
        <row r="4">
          <cell r="B4">
            <v>2000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1"/>
  <sheetViews>
    <sheetView tabSelected="1" zoomScale="110" zoomScaleNormal="110" zoomScaleSheetLayoutView="89" workbookViewId="0">
      <pane ySplit="7" topLeftCell="A8" activePane="bottomLeft" state="frozen"/>
      <selection pane="bottomLeft" activeCell="O27" sqref="O27"/>
    </sheetView>
  </sheetViews>
  <sheetFormatPr defaultColWidth="9.140625" defaultRowHeight="12.75"/>
  <cols>
    <col min="1" max="1" width="35.5703125" style="3" customWidth="1"/>
    <col min="2" max="3" width="9.140625" style="3" hidden="1" customWidth="1"/>
    <col min="4" max="4" width="10.28515625" style="3" hidden="1" customWidth="1"/>
    <col min="5" max="5" width="9.140625" style="3" hidden="1" customWidth="1"/>
    <col min="6" max="6" width="10.85546875" style="3" hidden="1" customWidth="1"/>
    <col min="7" max="9" width="9.140625" style="3"/>
    <col min="10" max="12" width="9.28515625" style="3" bestFit="1" customWidth="1"/>
    <col min="13" max="13" width="9.28515625" style="3" customWidth="1"/>
    <col min="14" max="14" width="2.28515625" style="3" customWidth="1"/>
    <col min="15" max="17" width="11" style="3" customWidth="1"/>
    <col min="18" max="18" width="1" style="3" customWidth="1"/>
    <col min="19" max="19" width="9.85546875" style="72" customWidth="1"/>
    <col min="20" max="22" width="12.140625" style="72" customWidth="1"/>
    <col min="23" max="23" width="42.28515625" style="73" bestFit="1" customWidth="1"/>
    <col min="24" max="16384" width="9.140625" style="3"/>
  </cols>
  <sheetData>
    <row r="1" spans="1:24" ht="19.5">
      <c r="A1" s="74" t="s">
        <v>77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</row>
    <row r="2" spans="1:24" ht="15">
      <c r="A2" s="75" t="s">
        <v>78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</row>
    <row r="3" spans="1:24" ht="15">
      <c r="A3" s="85" t="s">
        <v>12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</row>
    <row r="4" spans="1:24">
      <c r="A4" s="86" t="s">
        <v>67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19"/>
    </row>
    <row r="5" spans="1:24" ht="17.25">
      <c r="A5" s="20"/>
      <c r="B5" s="21"/>
      <c r="C5" s="21"/>
      <c r="D5" s="21"/>
      <c r="E5" s="20"/>
      <c r="F5" s="20"/>
      <c r="G5" s="20"/>
      <c r="H5" s="20"/>
      <c r="I5" s="20"/>
      <c r="J5" s="20"/>
      <c r="K5" s="20"/>
      <c r="L5" s="20"/>
      <c r="M5" s="20"/>
      <c r="N5" s="20"/>
      <c r="O5" s="77" t="s">
        <v>62</v>
      </c>
      <c r="P5" s="78"/>
      <c r="Q5" s="78"/>
      <c r="R5" s="22"/>
      <c r="S5" s="81" t="s">
        <v>65</v>
      </c>
      <c r="T5" s="81"/>
      <c r="U5" s="23"/>
      <c r="V5" s="23"/>
      <c r="W5" s="21"/>
      <c r="X5" s="19"/>
    </row>
    <row r="6" spans="1:24" s="14" customFormat="1" ht="15">
      <c r="A6" s="13" t="s">
        <v>0</v>
      </c>
      <c r="B6" s="1"/>
      <c r="C6" s="1"/>
      <c r="D6" s="1"/>
      <c r="E6" s="1" t="s">
        <v>2</v>
      </c>
      <c r="F6" s="1" t="s">
        <v>3</v>
      </c>
      <c r="G6" s="1" t="s">
        <v>2</v>
      </c>
      <c r="H6" s="1" t="s">
        <v>2</v>
      </c>
      <c r="I6" s="1" t="s">
        <v>2</v>
      </c>
      <c r="J6" s="1" t="s">
        <v>3</v>
      </c>
      <c r="K6" s="1" t="s">
        <v>4</v>
      </c>
      <c r="L6" s="1" t="s">
        <v>4</v>
      </c>
      <c r="M6" s="1" t="s">
        <v>4</v>
      </c>
      <c r="N6" s="1"/>
      <c r="O6" s="79" t="s">
        <v>63</v>
      </c>
      <c r="P6" s="80"/>
      <c r="Q6" s="80"/>
      <c r="R6" s="24"/>
      <c r="S6" s="82" t="s">
        <v>64</v>
      </c>
      <c r="T6" s="83"/>
      <c r="U6" s="25"/>
      <c r="V6" s="26"/>
      <c r="W6" s="2" t="s">
        <v>1</v>
      </c>
    </row>
    <row r="7" spans="1:24" s="6" customFormat="1" ht="12">
      <c r="A7" s="15"/>
      <c r="B7" s="16">
        <v>2008</v>
      </c>
      <c r="C7" s="16">
        <v>2009</v>
      </c>
      <c r="D7" s="16">
        <v>2010</v>
      </c>
      <c r="E7" s="16">
        <v>2011</v>
      </c>
      <c r="F7" s="16">
        <v>2012</v>
      </c>
      <c r="G7" s="16">
        <v>2012</v>
      </c>
      <c r="H7" s="16">
        <v>2013</v>
      </c>
      <c r="I7" s="16">
        <v>2014</v>
      </c>
      <c r="J7" s="16">
        <v>2015</v>
      </c>
      <c r="K7" s="16">
        <v>2016</v>
      </c>
      <c r="L7" s="16">
        <v>2017</v>
      </c>
      <c r="M7" s="16">
        <v>2018</v>
      </c>
      <c r="N7" s="16"/>
      <c r="O7" s="27">
        <v>2013</v>
      </c>
      <c r="P7" s="16">
        <v>2014</v>
      </c>
      <c r="Q7" s="28">
        <v>2015</v>
      </c>
      <c r="R7" s="29"/>
      <c r="S7" s="30" t="s">
        <v>66</v>
      </c>
      <c r="T7" s="30" t="s">
        <v>71</v>
      </c>
      <c r="U7" s="30" t="s">
        <v>75</v>
      </c>
      <c r="V7" s="31" t="s">
        <v>76</v>
      </c>
      <c r="W7" s="32"/>
    </row>
    <row r="8" spans="1:24" s="6" customFormat="1" ht="21" customHeight="1">
      <c r="A8" s="33" t="s">
        <v>5</v>
      </c>
      <c r="B8" s="34">
        <f t="shared" ref="B8:M8" si="0">+B9+B27</f>
        <v>10176</v>
      </c>
      <c r="C8" s="34">
        <f t="shared" si="0"/>
        <v>10953.434156000001</v>
      </c>
      <c r="D8" s="34">
        <f t="shared" si="0"/>
        <v>10815.062102899999</v>
      </c>
      <c r="E8" s="34">
        <f t="shared" si="0"/>
        <v>12264.726665999999</v>
      </c>
      <c r="F8" s="34">
        <f t="shared" si="0"/>
        <v>14145.628022305787</v>
      </c>
      <c r="G8" s="35">
        <f t="shared" si="0"/>
        <v>13110.002924999999</v>
      </c>
      <c r="H8" s="35">
        <f t="shared" si="0"/>
        <v>13530.771002489999</v>
      </c>
      <c r="I8" s="35">
        <f t="shared" si="0"/>
        <v>16417.244472999999</v>
      </c>
      <c r="J8" s="35">
        <f t="shared" si="0"/>
        <v>21286.098396313031</v>
      </c>
      <c r="K8" s="35">
        <f t="shared" si="0"/>
        <v>26131.694404999995</v>
      </c>
      <c r="L8" s="35">
        <f t="shared" si="0"/>
        <v>26738.408435999998</v>
      </c>
      <c r="M8" s="35">
        <f t="shared" si="0"/>
        <v>24912.376244242907</v>
      </c>
      <c r="N8" s="35"/>
      <c r="O8" s="36">
        <f>H8/H8*100</f>
        <v>100</v>
      </c>
      <c r="P8" s="37">
        <f>H8/H8*100</f>
        <v>100</v>
      </c>
      <c r="Q8" s="37">
        <f>J8/$J$8*100</f>
        <v>100</v>
      </c>
      <c r="R8" s="38"/>
      <c r="S8" s="39">
        <f>+(H8-G8)/G8*100</f>
        <v>3.2095193257937438</v>
      </c>
      <c r="T8" s="39">
        <f>+(I8-H8)/H8*100</f>
        <v>21.332660718142499</v>
      </c>
      <c r="U8" s="39">
        <f>+(J8-I8)/I8*100</f>
        <v>29.656949625866929</v>
      </c>
      <c r="V8" s="39">
        <f>+(K8-J8)/J8*100</f>
        <v>22.764134217881235</v>
      </c>
      <c r="W8" s="40" t="s">
        <v>13</v>
      </c>
    </row>
    <row r="9" spans="1:24" s="6" customFormat="1" ht="21" customHeight="1">
      <c r="A9" s="33" t="s">
        <v>6</v>
      </c>
      <c r="B9" s="34">
        <f t="shared" ref="B9:M9" si="1">+B10+B23+B24</f>
        <v>7463.2000000000007</v>
      </c>
      <c r="C9" s="34">
        <f t="shared" si="1"/>
        <v>8764.9308290000008</v>
      </c>
      <c r="D9" s="34">
        <f t="shared" si="1"/>
        <v>8428.0733739999996</v>
      </c>
      <c r="E9" s="34">
        <f t="shared" si="1"/>
        <v>9075.7434510000003</v>
      </c>
      <c r="F9" s="34">
        <f t="shared" si="1"/>
        <v>10522.12938529569</v>
      </c>
      <c r="G9" s="35">
        <f t="shared" si="1"/>
        <v>10316.485255</v>
      </c>
      <c r="H9" s="35">
        <f t="shared" si="1"/>
        <v>11573.214585849999</v>
      </c>
      <c r="I9" s="35">
        <f t="shared" si="1"/>
        <v>13960.001397</v>
      </c>
      <c r="J9" s="35">
        <f t="shared" si="1"/>
        <v>16234.904366467077</v>
      </c>
      <c r="K9" s="35">
        <f t="shared" si="1"/>
        <v>16227.501863999998</v>
      </c>
      <c r="L9" s="35">
        <f t="shared" si="1"/>
        <v>16225.199133</v>
      </c>
      <c r="M9" s="35">
        <f t="shared" si="1"/>
        <v>16170.712633999998</v>
      </c>
      <c r="N9" s="35"/>
      <c r="O9" s="36">
        <f t="shared" ref="O9:O18" si="2">H9/H$8*100</f>
        <v>85.532558223919679</v>
      </c>
      <c r="P9" s="41">
        <f t="shared" ref="P9:P18" si="3">H9/H$8*100</f>
        <v>85.532558223919679</v>
      </c>
      <c r="Q9" s="41">
        <f>J9/$J$8*100</f>
        <v>76.269986468159559</v>
      </c>
      <c r="R9" s="38"/>
      <c r="S9" s="39">
        <f t="shared" ref="S9:V18" si="4">+(H9-G9)/G9*100</f>
        <v>12.18175861048133</v>
      </c>
      <c r="T9" s="39">
        <f>+(I9-H9)/H9*100</f>
        <v>20.623369535273355</v>
      </c>
      <c r="U9" s="39">
        <f>+(J9-I9)/I9*100</f>
        <v>16.29586491270662</v>
      </c>
      <c r="V9" s="39">
        <f>+(K9-J9)/J9*100</f>
        <v>-4.5596218493093484E-2</v>
      </c>
      <c r="W9" s="4" t="s">
        <v>7</v>
      </c>
    </row>
    <row r="10" spans="1:24" s="7" customFormat="1" ht="21" customHeight="1">
      <c r="A10" s="33" t="s">
        <v>14</v>
      </c>
      <c r="B10" s="35">
        <f t="shared" ref="B10:H10" si="5">SUM(B11:B22)</f>
        <v>6704.0000000000009</v>
      </c>
      <c r="C10" s="35">
        <f t="shared" si="5"/>
        <v>7725.4148610000011</v>
      </c>
      <c r="D10" s="35">
        <f t="shared" si="5"/>
        <v>7113.477116</v>
      </c>
      <c r="E10" s="35">
        <f t="shared" si="5"/>
        <v>7352.3074530000004</v>
      </c>
      <c r="F10" s="35">
        <f t="shared" si="5"/>
        <v>8817.3874749850675</v>
      </c>
      <c r="G10" s="35">
        <f t="shared" si="5"/>
        <v>8519.2447279999997</v>
      </c>
      <c r="H10" s="35">
        <f t="shared" si="5"/>
        <v>8842.2643139699994</v>
      </c>
      <c r="I10" s="35">
        <f>SUM(I11:I22)</f>
        <v>10437.031647</v>
      </c>
      <c r="J10" s="35">
        <f t="shared" ref="J10:M10" si="6">SUM(J11:J22)</f>
        <v>13176.737087791109</v>
      </c>
      <c r="K10" s="35">
        <f t="shared" si="6"/>
        <v>13544.515696999999</v>
      </c>
      <c r="L10" s="35">
        <f t="shared" si="6"/>
        <v>13525.383776999999</v>
      </c>
      <c r="M10" s="35">
        <f t="shared" si="6"/>
        <v>13200.112980999998</v>
      </c>
      <c r="N10" s="35"/>
      <c r="O10" s="36">
        <f t="shared" si="2"/>
        <v>65.349301324682855</v>
      </c>
      <c r="P10" s="41">
        <f t="shared" si="3"/>
        <v>65.349301324682855</v>
      </c>
      <c r="Q10" s="41">
        <f>J10/$J$8*100</f>
        <v>61.90301690080252</v>
      </c>
      <c r="R10" s="38"/>
      <c r="S10" s="39">
        <f t="shared" si="4"/>
        <v>3.7916458123140768</v>
      </c>
      <c r="T10" s="39">
        <f t="shared" si="4"/>
        <v>18.035734698751408</v>
      </c>
      <c r="U10" s="39">
        <f t="shared" ref="U10:V13" si="7">+(J10-I10)/I10*100</f>
        <v>26.249852768996874</v>
      </c>
      <c r="V10" s="39">
        <f t="shared" si="7"/>
        <v>2.7911204933249736</v>
      </c>
      <c r="W10" s="5" t="s">
        <v>15</v>
      </c>
    </row>
    <row r="11" spans="1:24" s="7" customFormat="1" ht="15">
      <c r="A11" s="42" t="s">
        <v>16</v>
      </c>
      <c r="B11" s="43">
        <v>2588.9</v>
      </c>
      <c r="C11" s="44">
        <v>2944.8222249999999</v>
      </c>
      <c r="D11" s="44">
        <v>2486.4620610000002</v>
      </c>
      <c r="E11" s="44">
        <v>2596.3040620000002</v>
      </c>
      <c r="F11" s="44">
        <v>2527.3335364730301</v>
      </c>
      <c r="G11" s="44">
        <v>2722.7159489999999</v>
      </c>
      <c r="H11" s="44">
        <v>3283.7425111899997</v>
      </c>
      <c r="I11" s="44">
        <v>3392.859852</v>
      </c>
      <c r="J11" s="44">
        <v>3737.9494379066659</v>
      </c>
      <c r="K11" s="44">
        <v>3756.547208</v>
      </c>
      <c r="L11" s="44">
        <v>3757.3584049999999</v>
      </c>
      <c r="M11" s="44">
        <v>3758.1458779999998</v>
      </c>
      <c r="N11" s="44"/>
      <c r="O11" s="45">
        <f t="shared" si="2"/>
        <v>24.268702135197685</v>
      </c>
      <c r="P11" s="46">
        <f>H11/H$8*100</f>
        <v>24.268702135197685</v>
      </c>
      <c r="Q11" s="46">
        <f t="shared" ref="Q11:Q16" si="8">J11/$J$8*100</f>
        <v>17.560519397740435</v>
      </c>
      <c r="R11" s="47"/>
      <c r="S11" s="48">
        <f t="shared" si="4"/>
        <v>20.605401837678066</v>
      </c>
      <c r="T11" s="48">
        <f>+(I11-H11)/H11*100</f>
        <v>3.3229566702675823</v>
      </c>
      <c r="U11" s="48">
        <f t="shared" si="7"/>
        <v>10.171053357928853</v>
      </c>
      <c r="V11" s="48">
        <f t="shared" si="7"/>
        <v>0.49753937024223588</v>
      </c>
      <c r="W11" s="5" t="s">
        <v>17</v>
      </c>
    </row>
    <row r="12" spans="1:24" s="7" customFormat="1" ht="15">
      <c r="A12" s="42" t="s">
        <v>18</v>
      </c>
      <c r="B12" s="43">
        <v>977.2</v>
      </c>
      <c r="C12" s="44">
        <v>1797.9487119999999</v>
      </c>
      <c r="D12" s="44">
        <v>1691.8551520000001</v>
      </c>
      <c r="E12" s="44">
        <v>1684.651282</v>
      </c>
      <c r="F12" s="44">
        <v>1693.9412848249981</v>
      </c>
      <c r="G12" s="44">
        <v>1836.5324539999999</v>
      </c>
      <c r="H12" s="44">
        <v>2321.9727118199999</v>
      </c>
      <c r="I12" s="44">
        <v>2435.6551049999998</v>
      </c>
      <c r="J12" s="44">
        <v>2858.3992169433332</v>
      </c>
      <c r="K12" s="44">
        <v>3035.9225419999998</v>
      </c>
      <c r="L12" s="44">
        <v>3036.4055349999999</v>
      </c>
      <c r="M12" s="44">
        <v>3036.8176680000001</v>
      </c>
      <c r="N12" s="44"/>
      <c r="O12" s="45">
        <f t="shared" si="2"/>
        <v>17.160682945507681</v>
      </c>
      <c r="P12" s="46">
        <f t="shared" si="3"/>
        <v>17.160682945507681</v>
      </c>
      <c r="Q12" s="46">
        <f>J12/$J$8*100</f>
        <v>13.428478830288773</v>
      </c>
      <c r="R12" s="47"/>
      <c r="S12" s="48">
        <f t="shared" si="4"/>
        <v>26.432435580580272</v>
      </c>
      <c r="T12" s="48">
        <f>+(I12-H12)/H12*100</f>
        <v>4.8959401030554695</v>
      </c>
      <c r="U12" s="48">
        <f t="shared" si="7"/>
        <v>17.356484958626083</v>
      </c>
      <c r="V12" s="48">
        <f t="shared" si="7"/>
        <v>6.2105854215319702</v>
      </c>
      <c r="W12" s="5" t="s">
        <v>19</v>
      </c>
    </row>
    <row r="13" spans="1:24" s="7" customFormat="1" ht="15">
      <c r="A13" s="42" t="s">
        <v>20</v>
      </c>
      <c r="B13" s="43">
        <v>126.3</v>
      </c>
      <c r="C13" s="44">
        <v>286.51753100000002</v>
      </c>
      <c r="D13" s="44">
        <v>155.387157</v>
      </c>
      <c r="E13" s="44">
        <v>146.63359800000001</v>
      </c>
      <c r="F13" s="44">
        <v>159.16254198666658</v>
      </c>
      <c r="G13" s="44">
        <v>157.925938</v>
      </c>
      <c r="H13" s="44">
        <v>321.28531844000003</v>
      </c>
      <c r="I13" s="44">
        <v>192.40862899999999</v>
      </c>
      <c r="J13" s="44">
        <v>1001.09599288</v>
      </c>
      <c r="K13" s="44">
        <v>1223.691129</v>
      </c>
      <c r="L13" s="44">
        <v>1213.863482</v>
      </c>
      <c r="M13" s="44">
        <v>1230.2006730000001</v>
      </c>
      <c r="N13" s="44"/>
      <c r="O13" s="45">
        <f t="shared" si="2"/>
        <v>2.37447901809051</v>
      </c>
      <c r="P13" s="46">
        <f t="shared" si="3"/>
        <v>2.37447901809051</v>
      </c>
      <c r="Q13" s="46">
        <f t="shared" si="8"/>
        <v>4.7030506682868669</v>
      </c>
      <c r="R13" s="47"/>
      <c r="S13" s="48">
        <f t="shared" si="4"/>
        <v>103.44050034390173</v>
      </c>
      <c r="T13" s="48">
        <f t="shared" si="4"/>
        <v>-40.112847379942679</v>
      </c>
      <c r="U13" s="48">
        <f t="shared" si="7"/>
        <v>420.29682768541534</v>
      </c>
      <c r="V13" s="48">
        <f t="shared" si="7"/>
        <v>22.235144052432759</v>
      </c>
      <c r="W13" s="5" t="s">
        <v>21</v>
      </c>
    </row>
    <row r="14" spans="1:24" s="7" customFormat="1" ht="15">
      <c r="A14" s="42" t="s">
        <v>22</v>
      </c>
      <c r="B14" s="43">
        <v>173.5</v>
      </c>
      <c r="C14" s="44">
        <v>133.39837399999999</v>
      </c>
      <c r="D14" s="44">
        <v>103.018094</v>
      </c>
      <c r="E14" s="44">
        <v>136.514331</v>
      </c>
      <c r="F14" s="44">
        <v>138.30028738441143</v>
      </c>
      <c r="G14" s="44">
        <v>139.60034300000001</v>
      </c>
      <c r="H14" s="44">
        <v>118.49545676999999</v>
      </c>
      <c r="I14" s="44">
        <v>133.54383899999999</v>
      </c>
      <c r="J14" s="44">
        <v>179.71020222666664</v>
      </c>
      <c r="K14" s="44">
        <v>165.69679500000001</v>
      </c>
      <c r="L14" s="44">
        <v>173.14958799999999</v>
      </c>
      <c r="M14" s="44">
        <v>177.83531199999999</v>
      </c>
      <c r="N14" s="44"/>
      <c r="O14" s="45">
        <f t="shared" si="2"/>
        <v>0.87574800244711748</v>
      </c>
      <c r="P14" s="46">
        <f t="shared" si="3"/>
        <v>0.87574800244711748</v>
      </c>
      <c r="Q14" s="46">
        <f t="shared" si="8"/>
        <v>0.84426088276372091</v>
      </c>
      <c r="R14" s="47"/>
      <c r="S14" s="48">
        <f t="shared" si="4"/>
        <v>-15.118076199855768</v>
      </c>
      <c r="T14" s="48">
        <f t="shared" si="4"/>
        <v>12.699543628249776</v>
      </c>
      <c r="U14" s="48">
        <f t="shared" si="4"/>
        <v>34.570193258160451</v>
      </c>
      <c r="V14" s="48">
        <f t="shared" si="4"/>
        <v>-7.7977805672889184</v>
      </c>
      <c r="W14" s="5" t="s">
        <v>23</v>
      </c>
    </row>
    <row r="15" spans="1:24" s="7" customFormat="1" ht="15">
      <c r="A15" s="42" t="s">
        <v>69</v>
      </c>
      <c r="B15" s="43">
        <v>0</v>
      </c>
      <c r="C15" s="43">
        <v>0</v>
      </c>
      <c r="D15" s="43">
        <v>0</v>
      </c>
      <c r="E15" s="43">
        <v>0</v>
      </c>
      <c r="F15" s="44"/>
      <c r="G15" s="44">
        <v>308.01030900000001</v>
      </c>
      <c r="H15" s="44">
        <v>274.06769034999996</v>
      </c>
      <c r="I15" s="44">
        <v>305.657895</v>
      </c>
      <c r="J15" s="44">
        <v>416.29568405222227</v>
      </c>
      <c r="K15" s="44">
        <v>573.04064800000003</v>
      </c>
      <c r="L15" s="44">
        <v>612.11514999999997</v>
      </c>
      <c r="M15" s="44">
        <v>593.21151499999996</v>
      </c>
      <c r="N15" s="44"/>
      <c r="O15" s="45">
        <f t="shared" si="2"/>
        <v>2.0255142171836673</v>
      </c>
      <c r="P15" s="46">
        <f t="shared" si="3"/>
        <v>2.0255142171836673</v>
      </c>
      <c r="Q15" s="46">
        <f t="shared" si="8"/>
        <v>1.9557162440080089</v>
      </c>
      <c r="R15" s="47"/>
      <c r="S15" s="48">
        <f t="shared" si="4"/>
        <v>-11.019961883808261</v>
      </c>
      <c r="T15" s="48">
        <f t="shared" si="4"/>
        <v>11.526424223759303</v>
      </c>
      <c r="U15" s="48">
        <f t="shared" si="4"/>
        <v>36.196607665646027</v>
      </c>
      <c r="V15" s="48">
        <f>+(K15-J15)/J15*100</f>
        <v>37.652315398041665</v>
      </c>
      <c r="W15" s="5" t="s">
        <v>70</v>
      </c>
    </row>
    <row r="16" spans="1:24" s="7" customFormat="1" ht="15">
      <c r="A16" s="42" t="s">
        <v>24</v>
      </c>
      <c r="B16" s="43">
        <v>435.7</v>
      </c>
      <c r="C16" s="44">
        <v>345.66474499999998</v>
      </c>
      <c r="D16" s="44">
        <v>315.84864700000003</v>
      </c>
      <c r="E16" s="44">
        <v>353.68075299999998</v>
      </c>
      <c r="F16" s="44">
        <v>387.57731545110539</v>
      </c>
      <c r="G16" s="44">
        <v>496.65301599999998</v>
      </c>
      <c r="H16" s="44">
        <v>537.30073173999995</v>
      </c>
      <c r="I16" s="44">
        <v>825.74070600000005</v>
      </c>
      <c r="J16" s="44">
        <v>1075.1806673877782</v>
      </c>
      <c r="K16" s="44">
        <v>1085.6613309999998</v>
      </c>
      <c r="L16" s="44">
        <v>1106.41211</v>
      </c>
      <c r="M16" s="44">
        <v>952.42615999999998</v>
      </c>
      <c r="N16" s="44"/>
      <c r="O16" s="45">
        <f t="shared" si="2"/>
        <v>3.9709542910830669</v>
      </c>
      <c r="P16" s="46">
        <f t="shared" si="3"/>
        <v>3.9709542910830669</v>
      </c>
      <c r="Q16" s="46">
        <f t="shared" si="8"/>
        <v>5.0510931941102486</v>
      </c>
      <c r="R16" s="47"/>
      <c r="S16" s="48">
        <f t="shared" si="4"/>
        <v>8.1843287829747045</v>
      </c>
      <c r="T16" s="48">
        <f t="shared" si="4"/>
        <v>53.683153068843446</v>
      </c>
      <c r="U16" s="48">
        <f t="shared" si="4"/>
        <v>30.208025300835551</v>
      </c>
      <c r="V16" s="48">
        <f t="shared" si="4"/>
        <v>0.97478162788074418</v>
      </c>
      <c r="W16" s="5" t="s">
        <v>25</v>
      </c>
    </row>
    <row r="17" spans="1:23" s="7" customFormat="1" ht="15">
      <c r="A17" s="42" t="s">
        <v>26</v>
      </c>
      <c r="B17" s="43">
        <v>181.1</v>
      </c>
      <c r="C17" s="44">
        <v>138.21754999999999</v>
      </c>
      <c r="D17" s="44">
        <v>121.898888</v>
      </c>
      <c r="E17" s="44">
        <v>127.86300199999999</v>
      </c>
      <c r="F17" s="44">
        <v>121.2473748227352</v>
      </c>
      <c r="G17" s="44">
        <v>195.09169399999999</v>
      </c>
      <c r="H17" s="44">
        <v>99.355695399999988</v>
      </c>
      <c r="I17" s="44">
        <v>216.49781200000001</v>
      </c>
      <c r="J17" s="44">
        <v>312.95598116111114</v>
      </c>
      <c r="K17" s="44">
        <v>260.11812900000001</v>
      </c>
      <c r="L17" s="44">
        <v>262.17761000000002</v>
      </c>
      <c r="M17" s="44">
        <v>200.91672600000001</v>
      </c>
      <c r="N17" s="44"/>
      <c r="O17" s="45">
        <f t="shared" si="2"/>
        <v>0.73429441220841052</v>
      </c>
      <c r="P17" s="46">
        <f t="shared" si="3"/>
        <v>0.73429441220841052</v>
      </c>
      <c r="Q17" s="46">
        <f>J17/$J$8*100</f>
        <v>1.4702364676436819</v>
      </c>
      <c r="R17" s="47"/>
      <c r="S17" s="48">
        <f t="shared" si="4"/>
        <v>-49.072308839555213</v>
      </c>
      <c r="T17" s="48">
        <f t="shared" si="4"/>
        <v>117.90176308302507</v>
      </c>
      <c r="U17" s="48">
        <f t="shared" si="4"/>
        <v>44.553877136232273</v>
      </c>
      <c r="V17" s="48">
        <f t="shared" si="4"/>
        <v>-16.883477339233202</v>
      </c>
      <c r="W17" s="5" t="s">
        <v>27</v>
      </c>
    </row>
    <row r="18" spans="1:23" s="7" customFormat="1" ht="15">
      <c r="A18" s="42" t="s">
        <v>28</v>
      </c>
      <c r="B18" s="87">
        <v>1044.5999999999999</v>
      </c>
      <c r="C18" s="88">
        <v>883.85667899999999</v>
      </c>
      <c r="D18" s="88">
        <v>864.94494099999997</v>
      </c>
      <c r="E18" s="89">
        <v>990.785977</v>
      </c>
      <c r="F18" s="89">
        <v>1009.8796036041454</v>
      </c>
      <c r="G18" s="89">
        <v>1035.3256839999999</v>
      </c>
      <c r="H18" s="90">
        <v>1038.28734955</v>
      </c>
      <c r="I18" s="90">
        <v>1366</v>
      </c>
      <c r="J18" s="90">
        <v>1835.6</v>
      </c>
      <c r="K18" s="90">
        <v>1681</v>
      </c>
      <c r="L18" s="91">
        <v>1635.1</v>
      </c>
      <c r="M18" s="91">
        <v>1514.7</v>
      </c>
      <c r="N18" s="49"/>
      <c r="O18" s="94">
        <f t="shared" si="2"/>
        <v>7.6735268770636145</v>
      </c>
      <c r="P18" s="92">
        <f t="shared" si="3"/>
        <v>7.6735268770636145</v>
      </c>
      <c r="Q18" s="92">
        <f>J18/J$8*100</f>
        <v>8.6234685465794172</v>
      </c>
      <c r="R18" s="47"/>
      <c r="S18" s="76">
        <f t="shared" si="4"/>
        <v>0.28606124582534115</v>
      </c>
      <c r="T18" s="76">
        <f t="shared" si="4"/>
        <v>31.562808753475863</v>
      </c>
      <c r="U18" s="76">
        <f>+(J18-I18)/I18*100</f>
        <v>34.377745241581252</v>
      </c>
      <c r="V18" s="48">
        <f>+(K18-J18)/J18*100</f>
        <v>-8.4223142296796638</v>
      </c>
      <c r="W18" s="5" t="s">
        <v>29</v>
      </c>
    </row>
    <row r="19" spans="1:23" s="7" customFormat="1" ht="15">
      <c r="A19" s="42" t="s">
        <v>30</v>
      </c>
      <c r="B19" s="87"/>
      <c r="C19" s="88"/>
      <c r="D19" s="88"/>
      <c r="E19" s="89"/>
      <c r="F19" s="89"/>
      <c r="G19" s="89"/>
      <c r="H19" s="90"/>
      <c r="I19" s="90"/>
      <c r="J19" s="90"/>
      <c r="K19" s="90"/>
      <c r="L19" s="91"/>
      <c r="M19" s="91"/>
      <c r="N19" s="49"/>
      <c r="O19" s="94"/>
      <c r="P19" s="92"/>
      <c r="Q19" s="92"/>
      <c r="R19" s="47"/>
      <c r="S19" s="76"/>
      <c r="T19" s="76"/>
      <c r="U19" s="76"/>
      <c r="V19" s="48"/>
      <c r="W19" s="5" t="s">
        <v>31</v>
      </c>
    </row>
    <row r="20" spans="1:23" s="7" customFormat="1" ht="15">
      <c r="A20" s="42" t="s">
        <v>32</v>
      </c>
      <c r="B20" s="87">
        <v>21.2</v>
      </c>
      <c r="C20" s="88">
        <v>16.188054000000001</v>
      </c>
      <c r="D20" s="88">
        <v>13.388978</v>
      </c>
      <c r="E20" s="88">
        <v>17.164441</v>
      </c>
      <c r="F20" s="88">
        <v>23.852456573333328</v>
      </c>
      <c r="G20" s="88">
        <v>32.124121000000002</v>
      </c>
      <c r="H20" s="95">
        <v>24.469034969999999</v>
      </c>
      <c r="I20" s="95">
        <v>29.4</v>
      </c>
      <c r="J20" s="88">
        <v>39.6</v>
      </c>
      <c r="K20" s="88">
        <v>40.200000000000003</v>
      </c>
      <c r="L20" s="92">
        <v>42.9</v>
      </c>
      <c r="M20" s="92">
        <v>45.8</v>
      </c>
      <c r="N20" s="50"/>
      <c r="O20" s="93">
        <f>H20/H$8*100</f>
        <v>0.18083991640607242</v>
      </c>
      <c r="P20" s="84">
        <f>H20/H$8*100</f>
        <v>0.18083991640607242</v>
      </c>
      <c r="Q20" s="84">
        <f>J20/J$8*100</f>
        <v>0.18603691133392075</v>
      </c>
      <c r="R20" s="51"/>
      <c r="S20" s="76">
        <f>+(H20-G20)/G20*100</f>
        <v>-23.829713597455328</v>
      </c>
      <c r="T20" s="76">
        <f>+(I20-H20)/H20*100</f>
        <v>20.151857382383724</v>
      </c>
      <c r="U20" s="76">
        <f>+(J20-I20)/I20*100</f>
        <v>34.693877551020421</v>
      </c>
      <c r="V20" s="48">
        <f>+(K20-J20)/J20*100</f>
        <v>1.5151515151515187</v>
      </c>
      <c r="W20" s="5" t="s">
        <v>33</v>
      </c>
    </row>
    <row r="21" spans="1:23" s="6" customFormat="1" ht="15">
      <c r="A21" s="42" t="s">
        <v>34</v>
      </c>
      <c r="B21" s="87"/>
      <c r="C21" s="88"/>
      <c r="D21" s="88"/>
      <c r="E21" s="88"/>
      <c r="F21" s="88"/>
      <c r="G21" s="88"/>
      <c r="H21" s="95"/>
      <c r="I21" s="95"/>
      <c r="J21" s="88"/>
      <c r="K21" s="88"/>
      <c r="L21" s="92"/>
      <c r="M21" s="92"/>
      <c r="N21" s="50"/>
      <c r="O21" s="93"/>
      <c r="P21" s="84"/>
      <c r="Q21" s="84"/>
      <c r="R21" s="51"/>
      <c r="S21" s="76"/>
      <c r="T21" s="76"/>
      <c r="U21" s="76"/>
      <c r="V21" s="48"/>
      <c r="W21" s="5" t="s">
        <v>35</v>
      </c>
    </row>
    <row r="22" spans="1:23" s="6" customFormat="1" ht="15">
      <c r="A22" s="42" t="s">
        <v>36</v>
      </c>
      <c r="B22" s="43">
        <v>1155.5</v>
      </c>
      <c r="C22" s="44">
        <v>1178.8009910000001</v>
      </c>
      <c r="D22" s="44">
        <v>1360.673198</v>
      </c>
      <c r="E22" s="44">
        <v>1298.7100069999999</v>
      </c>
      <c r="F22" s="44">
        <v>2756.0930738646425</v>
      </c>
      <c r="G22" s="44">
        <v>1595.26522</v>
      </c>
      <c r="H22" s="44">
        <v>823.28781374000005</v>
      </c>
      <c r="I22" s="44">
        <v>1539.2678089999999</v>
      </c>
      <c r="J22" s="44">
        <v>1719.9499052333331</v>
      </c>
      <c r="K22" s="44">
        <v>1722.637915</v>
      </c>
      <c r="L22" s="44">
        <v>1685.901897</v>
      </c>
      <c r="M22" s="44">
        <v>1690.059049</v>
      </c>
      <c r="N22" s="44"/>
      <c r="O22" s="45">
        <f t="shared" ref="O22:O33" si="9">H22/H$8*100</f>
        <v>6.0845595094950209</v>
      </c>
      <c r="P22" s="46">
        <f t="shared" ref="P22:P33" si="10">H22/H$8*100</f>
        <v>6.0845595094950209</v>
      </c>
      <c r="Q22" s="46">
        <f>J22/J$8*100</f>
        <v>8.0801557580474483</v>
      </c>
      <c r="R22" s="47"/>
      <c r="S22" s="48">
        <f>+(H22-G22)/G22*100</f>
        <v>-48.391790692960754</v>
      </c>
      <c r="T22" s="48">
        <f>+(I22-H22)/H22*100</f>
        <v>86.965941109643495</v>
      </c>
      <c r="U22" s="48">
        <f>+(J22-I22)/I22*100</f>
        <v>11.73818455611795</v>
      </c>
      <c r="V22" s="48">
        <f>+(K22-J22)/J22*100</f>
        <v>0.15628418935272853</v>
      </c>
      <c r="W22" s="5" t="s">
        <v>37</v>
      </c>
    </row>
    <row r="23" spans="1:23" s="7" customFormat="1" ht="15">
      <c r="A23" s="33" t="s">
        <v>38</v>
      </c>
      <c r="B23" s="52">
        <v>280</v>
      </c>
      <c r="C23" s="35">
        <v>617.87877800000001</v>
      </c>
      <c r="D23" s="35">
        <v>675.78201999999999</v>
      </c>
      <c r="E23" s="35">
        <v>725.78473299999996</v>
      </c>
      <c r="F23" s="35">
        <v>924.91904556651195</v>
      </c>
      <c r="G23" s="35">
        <v>1107.0812289999999</v>
      </c>
      <c r="H23" s="35">
        <v>956.72619699999996</v>
      </c>
      <c r="I23" s="35">
        <v>978.34736899999996</v>
      </c>
      <c r="J23" s="35">
        <v>1315.9350030526341</v>
      </c>
      <c r="K23" s="35">
        <v>1400.3110469999999</v>
      </c>
      <c r="L23" s="35">
        <v>1389.6848210000001</v>
      </c>
      <c r="M23" s="35">
        <v>1642.013205</v>
      </c>
      <c r="N23" s="35"/>
      <c r="O23" s="36">
        <f t="shared" si="9"/>
        <v>7.0707441344173105</v>
      </c>
      <c r="P23" s="41">
        <f t="shared" si="10"/>
        <v>7.0707441344173105</v>
      </c>
      <c r="Q23" s="41">
        <f t="shared" ref="Q23:Q37" si="11">J23/J$8*100</f>
        <v>6.1821334213157986</v>
      </c>
      <c r="R23" s="38"/>
      <c r="S23" s="39">
        <f t="shared" ref="S23:V37" si="12">+(H23-G23)/G23*100</f>
        <v>-13.581210489478904</v>
      </c>
      <c r="T23" s="39">
        <f t="shared" si="12"/>
        <v>2.2599121951293242</v>
      </c>
      <c r="U23" s="39">
        <f t="shared" si="12"/>
        <v>34.505907078555673</v>
      </c>
      <c r="V23" s="39">
        <f t="shared" si="12"/>
        <v>6.4118701722831961</v>
      </c>
      <c r="W23" s="4" t="s">
        <v>39</v>
      </c>
    </row>
    <row r="24" spans="1:23" s="7" customFormat="1" ht="15">
      <c r="A24" s="33" t="s">
        <v>40</v>
      </c>
      <c r="B24" s="35">
        <f t="shared" ref="B24:M24" si="13">SUM(B25:B26)</f>
        <v>479.2</v>
      </c>
      <c r="C24" s="35">
        <f t="shared" si="13"/>
        <v>421.63718999999998</v>
      </c>
      <c r="D24" s="35">
        <f t="shared" si="13"/>
        <v>638.81423799999993</v>
      </c>
      <c r="E24" s="35">
        <f t="shared" si="13"/>
        <v>997.65126500000008</v>
      </c>
      <c r="F24" s="35">
        <f t="shared" si="13"/>
        <v>779.82286474411012</v>
      </c>
      <c r="G24" s="35">
        <f t="shared" si="13"/>
        <v>690.15929800000004</v>
      </c>
      <c r="H24" s="35">
        <f t="shared" si="13"/>
        <v>1774.22407488</v>
      </c>
      <c r="I24" s="35">
        <f t="shared" si="13"/>
        <v>2544.6223810000001</v>
      </c>
      <c r="J24" s="35">
        <f t="shared" si="13"/>
        <v>1742.2322756233332</v>
      </c>
      <c r="K24" s="35">
        <f t="shared" si="13"/>
        <v>1282.6751199999999</v>
      </c>
      <c r="L24" s="35">
        <f t="shared" si="13"/>
        <v>1310.130535</v>
      </c>
      <c r="M24" s="35">
        <f t="shared" si="13"/>
        <v>1328.586448</v>
      </c>
      <c r="N24" s="35"/>
      <c r="O24" s="36">
        <f t="shared" si="9"/>
        <v>13.112512764819526</v>
      </c>
      <c r="P24" s="41">
        <f t="shared" si="10"/>
        <v>13.112512764819526</v>
      </c>
      <c r="Q24" s="41">
        <f t="shared" si="11"/>
        <v>8.1848361460412367</v>
      </c>
      <c r="R24" s="38"/>
      <c r="S24" s="39">
        <f t="shared" si="12"/>
        <v>157.07457394568056</v>
      </c>
      <c r="T24" s="39">
        <f t="shared" si="12"/>
        <v>43.421702874373757</v>
      </c>
      <c r="U24" s="39">
        <f t="shared" si="12"/>
        <v>-31.532777176208722</v>
      </c>
      <c r="V24" s="39">
        <f t="shared" si="12"/>
        <v>-26.377490651119619</v>
      </c>
      <c r="W24" s="4" t="s">
        <v>41</v>
      </c>
    </row>
    <row r="25" spans="1:23" s="6" customFormat="1" ht="15">
      <c r="A25" s="53" t="s">
        <v>42</v>
      </c>
      <c r="B25" s="43">
        <v>409.5</v>
      </c>
      <c r="C25" s="44">
        <v>326.71006599999998</v>
      </c>
      <c r="D25" s="44">
        <v>389.53778699999998</v>
      </c>
      <c r="E25" s="44">
        <v>748.89331000000004</v>
      </c>
      <c r="F25" s="44">
        <v>524.65218775999983</v>
      </c>
      <c r="G25" s="44">
        <v>442.056106</v>
      </c>
      <c r="H25" s="44">
        <v>1308.5437119999999</v>
      </c>
      <c r="I25" s="44">
        <v>1338.103672</v>
      </c>
      <c r="J25" s="44">
        <v>1161.016893</v>
      </c>
      <c r="K25" s="44">
        <v>712.97770000000003</v>
      </c>
      <c r="L25" s="44">
        <v>725.78703099999996</v>
      </c>
      <c r="M25" s="44">
        <v>739.21164199999998</v>
      </c>
      <c r="N25" s="44"/>
      <c r="O25" s="45">
        <f t="shared" si="9"/>
        <v>9.6708732396638393</v>
      </c>
      <c r="P25" s="46">
        <f t="shared" si="10"/>
        <v>9.6708732396638393</v>
      </c>
      <c r="Q25" s="46">
        <f t="shared" si="11"/>
        <v>5.4543433530359886</v>
      </c>
      <c r="R25" s="47"/>
      <c r="S25" s="48">
        <f t="shared" si="12"/>
        <v>196.01303867070664</v>
      </c>
      <c r="T25" s="48">
        <f t="shared" si="12"/>
        <v>2.2589967556238615</v>
      </c>
      <c r="U25" s="48">
        <f t="shared" si="12"/>
        <v>-13.23415985663628</v>
      </c>
      <c r="V25" s="48">
        <f t="shared" si="12"/>
        <v>-38.590238927729366</v>
      </c>
      <c r="W25" s="5" t="s">
        <v>43</v>
      </c>
    </row>
    <row r="26" spans="1:23" s="7" customFormat="1" ht="15">
      <c r="A26" s="42" t="s">
        <v>44</v>
      </c>
      <c r="B26" s="43">
        <v>69.7</v>
      </c>
      <c r="C26" s="44">
        <v>94.927124000000006</v>
      </c>
      <c r="D26" s="44">
        <v>249.27645100000001</v>
      </c>
      <c r="E26" s="44">
        <v>248.75795500000001</v>
      </c>
      <c r="F26" s="44">
        <v>255.17067698411032</v>
      </c>
      <c r="G26" s="44">
        <v>248.10319200000001</v>
      </c>
      <c r="H26" s="44">
        <v>465.68036288000002</v>
      </c>
      <c r="I26" s="44">
        <v>1206.5187089999999</v>
      </c>
      <c r="J26" s="44">
        <v>581.2153826233332</v>
      </c>
      <c r="K26" s="44">
        <v>569.69741999999997</v>
      </c>
      <c r="L26" s="44">
        <v>584.34350400000005</v>
      </c>
      <c r="M26" s="44">
        <v>589.37480600000004</v>
      </c>
      <c r="N26" s="44"/>
      <c r="O26" s="45">
        <f t="shared" si="9"/>
        <v>3.4416395251556855</v>
      </c>
      <c r="P26" s="46">
        <f t="shared" si="10"/>
        <v>3.4416395251556855</v>
      </c>
      <c r="Q26" s="46">
        <f t="shared" si="11"/>
        <v>2.7304927930052489</v>
      </c>
      <c r="R26" s="47"/>
      <c r="S26" s="48">
        <f t="shared" si="12"/>
        <v>87.696240070945962</v>
      </c>
      <c r="T26" s="48">
        <f t="shared" si="12"/>
        <v>159.08730648170032</v>
      </c>
      <c r="U26" s="48">
        <f t="shared" si="12"/>
        <v>-51.827072527945916</v>
      </c>
      <c r="V26" s="48">
        <f t="shared" si="12"/>
        <v>-1.9817029912984341</v>
      </c>
      <c r="W26" s="5" t="s">
        <v>45</v>
      </c>
    </row>
    <row r="27" spans="1:23" s="6" customFormat="1" ht="15">
      <c r="A27" s="33" t="s">
        <v>46</v>
      </c>
      <c r="B27" s="34">
        <f t="shared" ref="B27:M27" si="14">+B28+B34</f>
        <v>2712.7999999999997</v>
      </c>
      <c r="C27" s="34">
        <f t="shared" si="14"/>
        <v>2188.5033270000004</v>
      </c>
      <c r="D27" s="34">
        <f t="shared" si="14"/>
        <v>2386.9887288999994</v>
      </c>
      <c r="E27" s="34">
        <f t="shared" si="14"/>
        <v>3188.9832149999993</v>
      </c>
      <c r="F27" s="34">
        <f t="shared" si="14"/>
        <v>3623.4986370100969</v>
      </c>
      <c r="G27" s="35">
        <f t="shared" si="14"/>
        <v>2793.5176699999997</v>
      </c>
      <c r="H27" s="35">
        <f t="shared" si="14"/>
        <v>1957.5564166399993</v>
      </c>
      <c r="I27" s="35">
        <f>+I28+I34</f>
        <v>2457.2430760000007</v>
      </c>
      <c r="J27" s="35">
        <f t="shared" si="14"/>
        <v>5051.1940298459549</v>
      </c>
      <c r="K27" s="35">
        <f t="shared" si="14"/>
        <v>9904.1925409999985</v>
      </c>
      <c r="L27" s="35">
        <f t="shared" si="14"/>
        <v>10513.209302999998</v>
      </c>
      <c r="M27" s="35">
        <f t="shared" si="14"/>
        <v>8741.6636102429093</v>
      </c>
      <c r="N27" s="35"/>
      <c r="O27" s="36">
        <f t="shared" si="9"/>
        <v>14.467441776080314</v>
      </c>
      <c r="P27" s="41">
        <f t="shared" si="10"/>
        <v>14.467441776080314</v>
      </c>
      <c r="Q27" s="41">
        <f t="shared" si="11"/>
        <v>23.730013531840449</v>
      </c>
      <c r="R27" s="38"/>
      <c r="S27" s="39">
        <f t="shared" si="12"/>
        <v>-29.925039040830569</v>
      </c>
      <c r="T27" s="39">
        <f t="shared" si="12"/>
        <v>25.526041298859553</v>
      </c>
      <c r="U27" s="39">
        <f t="shared" si="12"/>
        <v>105.56346578737714</v>
      </c>
      <c r="V27" s="39">
        <f t="shared" si="12"/>
        <v>96.076263997763007</v>
      </c>
      <c r="W27" s="4" t="s">
        <v>47</v>
      </c>
    </row>
    <row r="28" spans="1:23" s="7" customFormat="1" ht="15">
      <c r="A28" s="33" t="s">
        <v>48</v>
      </c>
      <c r="B28" s="35">
        <f t="shared" ref="B28:M28" si="15">SUM(B29:B33)</f>
        <v>2879.2</v>
      </c>
      <c r="C28" s="35">
        <f t="shared" si="15"/>
        <v>2339.3396600000005</v>
      </c>
      <c r="D28" s="35">
        <f t="shared" si="15"/>
        <v>2568.2887288999996</v>
      </c>
      <c r="E28" s="35">
        <f t="shared" si="15"/>
        <v>3587.9832149999993</v>
      </c>
      <c r="F28" s="35">
        <f t="shared" si="15"/>
        <v>3693.7986370100971</v>
      </c>
      <c r="G28" s="35">
        <f t="shared" si="15"/>
        <v>2883.7493059999997</v>
      </c>
      <c r="H28" s="35">
        <f t="shared" si="15"/>
        <v>2093.0414236399993</v>
      </c>
      <c r="I28" s="35">
        <f t="shared" si="15"/>
        <v>2579.4051260000006</v>
      </c>
      <c r="J28" s="35">
        <f t="shared" si="15"/>
        <v>5064.7574737806672</v>
      </c>
      <c r="K28" s="35">
        <f t="shared" si="15"/>
        <v>9888.6341479999992</v>
      </c>
      <c r="L28" s="35">
        <f t="shared" si="15"/>
        <v>10412.954420999999</v>
      </c>
      <c r="M28" s="35">
        <f t="shared" si="15"/>
        <v>8767.7113890000001</v>
      </c>
      <c r="N28" s="35"/>
      <c r="O28" s="36">
        <f t="shared" si="9"/>
        <v>15.468752100340973</v>
      </c>
      <c r="P28" s="41">
        <f t="shared" si="10"/>
        <v>15.468752100340973</v>
      </c>
      <c r="Q28" s="41">
        <f t="shared" si="11"/>
        <v>23.793733259534001</v>
      </c>
      <c r="R28" s="38"/>
      <c r="S28" s="39">
        <f t="shared" si="12"/>
        <v>-27.419439016936536</v>
      </c>
      <c r="T28" s="39">
        <f t="shared" si="12"/>
        <v>23.237175187587464</v>
      </c>
      <c r="U28" s="39">
        <f t="shared" si="12"/>
        <v>96.353702748308251</v>
      </c>
      <c r="V28" s="39">
        <f t="shared" si="12"/>
        <v>95.243981556701755</v>
      </c>
      <c r="W28" s="4" t="s">
        <v>49</v>
      </c>
    </row>
    <row r="29" spans="1:23" s="6" customFormat="1" ht="15">
      <c r="A29" s="42" t="s">
        <v>50</v>
      </c>
      <c r="B29" s="44">
        <v>1098</v>
      </c>
      <c r="C29" s="44">
        <v>738.42376899999999</v>
      </c>
      <c r="D29" s="44">
        <v>1256.347945</v>
      </c>
      <c r="E29" s="44">
        <v>1327.61689</v>
      </c>
      <c r="F29" s="44">
        <v>1891.8309750000001</v>
      </c>
      <c r="G29" s="44">
        <v>1131.645327</v>
      </c>
      <c r="H29" s="44">
        <v>1176.9269400000001</v>
      </c>
      <c r="I29" s="44">
        <v>188.39416600000001</v>
      </c>
      <c r="J29" s="44">
        <v>568.29718400000002</v>
      </c>
      <c r="K29" s="44">
        <v>2779.267159</v>
      </c>
      <c r="L29" s="44">
        <v>3289.8189120000002</v>
      </c>
      <c r="M29" s="44">
        <v>3312.2719229999998</v>
      </c>
      <c r="N29" s="44"/>
      <c r="O29" s="45">
        <f t="shared" si="9"/>
        <v>8.6981513454289949</v>
      </c>
      <c r="P29" s="46">
        <f t="shared" si="10"/>
        <v>8.6981513454289949</v>
      </c>
      <c r="Q29" s="46">
        <f t="shared" si="11"/>
        <v>2.6698043644223448</v>
      </c>
      <c r="R29" s="47"/>
      <c r="S29" s="48">
        <f t="shared" si="12"/>
        <v>4.0013961900980046</v>
      </c>
      <c r="T29" s="48">
        <f t="shared" si="12"/>
        <v>-83.992705103682979</v>
      </c>
      <c r="U29" s="48">
        <f t="shared" si="12"/>
        <v>201.65328155649996</v>
      </c>
      <c r="V29" s="48">
        <f t="shared" si="12"/>
        <v>389.05172104460047</v>
      </c>
      <c r="W29" s="5" t="s">
        <v>51</v>
      </c>
    </row>
    <row r="30" spans="1:23" s="6" customFormat="1" ht="15">
      <c r="A30" s="42" t="s">
        <v>72</v>
      </c>
      <c r="B30" s="17">
        <v>0</v>
      </c>
      <c r="C30" s="17">
        <v>0</v>
      </c>
      <c r="D30" s="17">
        <v>0</v>
      </c>
      <c r="E30" s="17">
        <v>0</v>
      </c>
      <c r="F30" s="17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/>
      <c r="O30" s="45">
        <f t="shared" si="9"/>
        <v>0</v>
      </c>
      <c r="P30" s="46">
        <f t="shared" si="10"/>
        <v>0</v>
      </c>
      <c r="Q30" s="46">
        <f t="shared" si="11"/>
        <v>0</v>
      </c>
      <c r="R30" s="47"/>
      <c r="S30" s="48">
        <v>0</v>
      </c>
      <c r="T30" s="48">
        <v>1</v>
      </c>
      <c r="U30" s="48">
        <v>2</v>
      </c>
      <c r="V30" s="48">
        <v>2</v>
      </c>
      <c r="W30" s="5" t="s">
        <v>68</v>
      </c>
    </row>
    <row r="31" spans="1:23" s="6" customFormat="1" ht="15">
      <c r="A31" s="42" t="s">
        <v>73</v>
      </c>
      <c r="B31" s="17">
        <v>0</v>
      </c>
      <c r="C31" s="17">
        <v>0</v>
      </c>
      <c r="D31" s="17">
        <v>0</v>
      </c>
      <c r="E31" s="17">
        <v>0</v>
      </c>
      <c r="F31" s="17">
        <v>0</v>
      </c>
      <c r="G31" s="44">
        <v>154.819729</v>
      </c>
      <c r="H31" s="44">
        <v>36.444533999999997</v>
      </c>
      <c r="I31" s="44">
        <v>84.145286999999996</v>
      </c>
      <c r="J31" s="44">
        <v>988.28146896400006</v>
      </c>
      <c r="K31" s="44">
        <v>1173.6418819999999</v>
      </c>
      <c r="L31" s="44">
        <v>1188.0648269999999</v>
      </c>
      <c r="M31" s="44">
        <v>920.65923199999997</v>
      </c>
      <c r="N31" s="44"/>
      <c r="O31" s="45">
        <f t="shared" si="9"/>
        <v>0.26934558269660536</v>
      </c>
      <c r="P31" s="46">
        <f t="shared" si="10"/>
        <v>0.26934558269660536</v>
      </c>
      <c r="Q31" s="46">
        <f t="shared" si="11"/>
        <v>4.6428492932982985</v>
      </c>
      <c r="R31" s="47"/>
      <c r="S31" s="48">
        <f>+(H31-G31)/G31*100</f>
        <v>-76.460019510820871</v>
      </c>
      <c r="T31" s="48">
        <f>+(I31-H31)/H31*100</f>
        <v>130.88589087186574</v>
      </c>
      <c r="U31" s="48">
        <f>+(J31-I31)/I31*100</f>
        <v>1074.4941448283373</v>
      </c>
      <c r="V31" s="48">
        <f>+(K31-J31)/J31*100</f>
        <v>18.755832104219284</v>
      </c>
      <c r="W31" s="5"/>
    </row>
    <row r="32" spans="1:23" s="6" customFormat="1" ht="17.25" customHeight="1">
      <c r="A32" s="42" t="s">
        <v>74</v>
      </c>
      <c r="B32" s="17">
        <v>0</v>
      </c>
      <c r="C32" s="17">
        <v>0</v>
      </c>
      <c r="D32" s="17">
        <v>0</v>
      </c>
      <c r="E32" s="17">
        <v>0</v>
      </c>
      <c r="F32" s="17">
        <v>0</v>
      </c>
      <c r="G32" s="44">
        <v>522.60649899999999</v>
      </c>
      <c r="H32" s="44">
        <v>645.19940499999996</v>
      </c>
      <c r="I32" s="44">
        <v>1702.5169109999999</v>
      </c>
      <c r="J32" s="44">
        <v>2300</v>
      </c>
      <c r="K32" s="44">
        <v>5230</v>
      </c>
      <c r="L32" s="44">
        <v>5251.6069010000001</v>
      </c>
      <c r="M32" s="44">
        <v>3872.0590940000002</v>
      </c>
      <c r="N32" s="44"/>
      <c r="O32" s="45">
        <f t="shared" si="9"/>
        <v>4.7683861095666105</v>
      </c>
      <c r="P32" s="46">
        <f t="shared" si="10"/>
        <v>4.7683861095666105</v>
      </c>
      <c r="Q32" s="46">
        <f t="shared" si="11"/>
        <v>10.80517414313176</v>
      </c>
      <c r="R32" s="47"/>
      <c r="S32" s="48">
        <f t="shared" si="12"/>
        <v>23.457975787629838</v>
      </c>
      <c r="T32" s="48">
        <f t="shared" si="12"/>
        <v>163.87453209136174</v>
      </c>
      <c r="U32" s="48">
        <f t="shared" si="12"/>
        <v>35.09410597566746</v>
      </c>
      <c r="V32" s="48">
        <f t="shared" si="12"/>
        <v>127.39130434782608</v>
      </c>
      <c r="W32" s="5"/>
    </row>
    <row r="33" spans="1:27" s="7" customFormat="1" ht="17.25" customHeight="1">
      <c r="A33" s="42" t="s">
        <v>52</v>
      </c>
      <c r="B33" s="44">
        <v>1781.2</v>
      </c>
      <c r="C33" s="44">
        <v>1600.9158910000006</v>
      </c>
      <c r="D33" s="44">
        <v>1311.9407838999996</v>
      </c>
      <c r="E33" s="44">
        <v>2260.3663249999995</v>
      </c>
      <c r="F33" s="44">
        <v>1801.9676620100972</v>
      </c>
      <c r="G33" s="44">
        <v>1074.6777509999999</v>
      </c>
      <c r="H33" s="44">
        <v>234.47054463999962</v>
      </c>
      <c r="I33" s="44">
        <v>604.34876200000042</v>
      </c>
      <c r="J33" s="44">
        <v>1208.1788208166672</v>
      </c>
      <c r="K33" s="44">
        <v>705.72510699999964</v>
      </c>
      <c r="L33" s="44">
        <v>683.46378099999947</v>
      </c>
      <c r="M33" s="44">
        <v>662.72114000000022</v>
      </c>
      <c r="N33" s="44"/>
      <c r="O33" s="45">
        <f t="shared" si="9"/>
        <v>1.7328690626487671</v>
      </c>
      <c r="P33" s="46">
        <f t="shared" si="10"/>
        <v>1.7328690626487671</v>
      </c>
      <c r="Q33" s="46">
        <f t="shared" si="11"/>
        <v>5.6759054586815969</v>
      </c>
      <c r="R33" s="47"/>
      <c r="S33" s="48">
        <f t="shared" si="12"/>
        <v>-78.182246313202057</v>
      </c>
      <c r="T33" s="48">
        <f t="shared" si="12"/>
        <v>157.75039799899079</v>
      </c>
      <c r="U33" s="48">
        <f t="shared" si="12"/>
        <v>99.914171548624168</v>
      </c>
      <c r="V33" s="48">
        <f t="shared" si="12"/>
        <v>-41.587694235281703</v>
      </c>
      <c r="W33" s="5" t="s">
        <v>53</v>
      </c>
      <c r="X33" s="12"/>
      <c r="AA33" s="54"/>
    </row>
    <row r="34" spans="1:27" s="6" customFormat="1" ht="17.25" customHeight="1">
      <c r="A34" s="33" t="s">
        <v>8</v>
      </c>
      <c r="B34" s="55">
        <v>-166.4</v>
      </c>
      <c r="C34" s="55">
        <v>-150.836333</v>
      </c>
      <c r="D34" s="55">
        <v>-181.3</v>
      </c>
      <c r="E34" s="55">
        <v>-399</v>
      </c>
      <c r="F34" s="55">
        <v>-70.3</v>
      </c>
      <c r="G34" s="55">
        <v>-90.231635999999995</v>
      </c>
      <c r="H34" s="55">
        <v>-135.485007</v>
      </c>
      <c r="I34" s="55">
        <v>-122.16204999999999</v>
      </c>
      <c r="J34" s="55">
        <v>-13.563443934712012</v>
      </c>
      <c r="K34" s="55">
        <v>15.558392999999981</v>
      </c>
      <c r="L34" s="55">
        <v>100.25488200000001</v>
      </c>
      <c r="M34" s="55">
        <v>-26.047778757089993</v>
      </c>
      <c r="N34" s="55"/>
      <c r="O34" s="56">
        <v>0</v>
      </c>
      <c r="P34" s="57">
        <v>0</v>
      </c>
      <c r="Q34" s="57">
        <f>J34/J$8*100</f>
        <v>-6.3719727693551109E-2</v>
      </c>
      <c r="R34" s="58"/>
      <c r="S34" s="39">
        <f>+(H34-G34)/G34*100</f>
        <v>50.152444315650001</v>
      </c>
      <c r="T34" s="39">
        <f>+(I34-H34)/H34*100</f>
        <v>-9.8335286649097657</v>
      </c>
      <c r="U34" s="39">
        <f>+(J34-I34)/I34*100</f>
        <v>-88.89717065593446</v>
      </c>
      <c r="V34" s="39">
        <f>+(K34-J34)/J34*100</f>
        <v>-214.70827818429234</v>
      </c>
      <c r="W34" s="4" t="s">
        <v>9</v>
      </c>
      <c r="X34" s="40"/>
      <c r="AA34" s="59"/>
    </row>
    <row r="35" spans="1:27" s="7" customFormat="1" ht="17.25" customHeight="1">
      <c r="A35" s="60" t="s">
        <v>54</v>
      </c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36"/>
      <c r="P35" s="41"/>
      <c r="Q35" s="41"/>
      <c r="R35" s="38"/>
      <c r="S35" s="48"/>
      <c r="T35" s="48"/>
      <c r="U35" s="48"/>
      <c r="V35" s="48"/>
      <c r="W35" s="10" t="s">
        <v>55</v>
      </c>
    </row>
    <row r="36" spans="1:27" s="7" customFormat="1" ht="17.25" customHeight="1">
      <c r="A36" s="60" t="s">
        <v>56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36"/>
      <c r="P36" s="41"/>
      <c r="Q36" s="41"/>
      <c r="R36" s="38"/>
      <c r="S36" s="48"/>
      <c r="T36" s="48"/>
      <c r="U36" s="48"/>
      <c r="V36" s="48"/>
      <c r="W36" s="10" t="s">
        <v>57</v>
      </c>
    </row>
    <row r="37" spans="1:27" s="7" customFormat="1" ht="17.25" customHeight="1">
      <c r="A37" s="11" t="s">
        <v>58</v>
      </c>
      <c r="B37" s="62">
        <v>0.2</v>
      </c>
      <c r="C37" s="62">
        <v>1.1656</v>
      </c>
      <c r="D37" s="62">
        <v>0</v>
      </c>
      <c r="E37" s="62">
        <v>8.7040279999999992</v>
      </c>
      <c r="F37" s="62">
        <v>61.816024759999998</v>
      </c>
      <c r="G37" s="62">
        <v>46.362653000000002</v>
      </c>
      <c r="H37" s="62">
        <v>0</v>
      </c>
      <c r="I37" s="62">
        <v>5.5719279999999998</v>
      </c>
      <c r="J37" s="62">
        <v>140.584798065288</v>
      </c>
      <c r="K37" s="62">
        <v>141.00892099999999</v>
      </c>
      <c r="L37" s="62">
        <v>185.04888800000001</v>
      </c>
      <c r="M37" s="62">
        <v>58.508817000000001</v>
      </c>
      <c r="N37" s="62"/>
      <c r="O37" s="63">
        <f>H37/H$8*100</f>
        <v>0</v>
      </c>
      <c r="P37" s="64">
        <f>H37/H$8*100</f>
        <v>0</v>
      </c>
      <c r="Q37" s="64">
        <f t="shared" si="11"/>
        <v>0.66045357607497812</v>
      </c>
      <c r="R37" s="65"/>
      <c r="S37" s="66">
        <f t="shared" si="12"/>
        <v>-100</v>
      </c>
      <c r="T37" s="67">
        <v>0</v>
      </c>
      <c r="U37" s="67">
        <v>1</v>
      </c>
      <c r="V37" s="67">
        <v>1</v>
      </c>
      <c r="W37" s="8" t="s">
        <v>59</v>
      </c>
    </row>
    <row r="38" spans="1:27" s="7" customFormat="1" ht="17.25" customHeight="1">
      <c r="A38" s="68" t="s">
        <v>60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69"/>
      <c r="T38" s="69"/>
      <c r="U38" s="69"/>
      <c r="V38" s="69"/>
      <c r="W38" s="12" t="s">
        <v>61</v>
      </c>
    </row>
    <row r="39" spans="1:27" s="7" customFormat="1" ht="17.25" customHeight="1">
      <c r="A39" s="9" t="s">
        <v>10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69"/>
      <c r="T39" s="69"/>
      <c r="U39" s="69"/>
      <c r="V39" s="69"/>
      <c r="W39" s="12" t="s">
        <v>11</v>
      </c>
    </row>
    <row r="40" spans="1:27" s="7" customFormat="1" ht="12"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69"/>
      <c r="T40" s="69"/>
      <c r="U40" s="69"/>
      <c r="V40" s="69"/>
    </row>
    <row r="41" spans="1:27" s="7" customFormat="1" ht="12">
      <c r="S41" s="70"/>
      <c r="T41" s="70"/>
      <c r="U41" s="70"/>
      <c r="V41" s="70"/>
      <c r="W41" s="71"/>
    </row>
    <row r="42" spans="1:27" s="7" customFormat="1" ht="12">
      <c r="S42" s="70"/>
      <c r="T42" s="70"/>
      <c r="U42" s="70"/>
      <c r="V42" s="70"/>
      <c r="W42" s="71"/>
    </row>
    <row r="43" spans="1:27" s="7" customFormat="1" ht="12">
      <c r="S43" s="70"/>
      <c r="T43" s="70"/>
      <c r="U43" s="70"/>
      <c r="V43" s="70"/>
      <c r="W43" s="71"/>
    </row>
    <row r="44" spans="1:27" s="7" customFormat="1" ht="12">
      <c r="S44" s="70"/>
      <c r="T44" s="70"/>
      <c r="U44" s="70"/>
      <c r="V44" s="70"/>
      <c r="W44" s="71"/>
    </row>
    <row r="45" spans="1:27" s="7" customFormat="1" ht="12">
      <c r="S45" s="70"/>
      <c r="T45" s="70"/>
      <c r="U45" s="70"/>
      <c r="V45" s="70"/>
      <c r="W45" s="71"/>
    </row>
    <row r="46" spans="1:27" s="7" customFormat="1" ht="12">
      <c r="S46" s="70"/>
      <c r="T46" s="70"/>
      <c r="U46" s="70"/>
      <c r="V46" s="70"/>
      <c r="W46" s="71"/>
    </row>
    <row r="47" spans="1:27" s="7" customFormat="1" ht="12">
      <c r="S47" s="70"/>
      <c r="T47" s="70"/>
      <c r="U47" s="70"/>
      <c r="V47" s="70"/>
      <c r="W47" s="71"/>
    </row>
    <row r="48" spans="1:27" s="7" customFormat="1" ht="12">
      <c r="S48" s="70"/>
      <c r="T48" s="70"/>
      <c r="U48" s="70"/>
      <c r="V48" s="70"/>
      <c r="W48" s="71"/>
    </row>
    <row r="49" spans="19:23" s="7" customFormat="1" ht="12">
      <c r="S49" s="70"/>
      <c r="T49" s="70"/>
      <c r="U49" s="70"/>
      <c r="V49" s="70"/>
      <c r="W49" s="71"/>
    </row>
    <row r="50" spans="19:23" s="7" customFormat="1" ht="12">
      <c r="S50" s="70"/>
      <c r="T50" s="70"/>
      <c r="U50" s="70"/>
      <c r="V50" s="70"/>
      <c r="W50" s="71"/>
    </row>
    <row r="51" spans="19:23" s="7" customFormat="1" ht="12">
      <c r="S51" s="70"/>
      <c r="T51" s="70"/>
      <c r="U51" s="70"/>
      <c r="V51" s="70"/>
      <c r="W51" s="71"/>
    </row>
  </sheetData>
  <mergeCells count="44">
    <mergeCell ref="M20:M21"/>
    <mergeCell ref="G20:G21"/>
    <mergeCell ref="S20:S21"/>
    <mergeCell ref="S18:S19"/>
    <mergeCell ref="O20:O21"/>
    <mergeCell ref="O18:O19"/>
    <mergeCell ref="H20:H21"/>
    <mergeCell ref="I20:I21"/>
    <mergeCell ref="J20:J21"/>
    <mergeCell ref="K20:K21"/>
    <mergeCell ref="J18:J19"/>
    <mergeCell ref="K18:K19"/>
    <mergeCell ref="L20:L21"/>
    <mergeCell ref="Q18:Q19"/>
    <mergeCell ref="Q20:Q21"/>
    <mergeCell ref="L18:L19"/>
    <mergeCell ref="B20:B21"/>
    <mergeCell ref="C20:C21"/>
    <mergeCell ref="D20:D21"/>
    <mergeCell ref="E20:E21"/>
    <mergeCell ref="F20:F21"/>
    <mergeCell ref="A1:W1"/>
    <mergeCell ref="A2:W2"/>
    <mergeCell ref="A3:W3"/>
    <mergeCell ref="A4:W4"/>
    <mergeCell ref="B18:B19"/>
    <mergeCell ref="C18:C19"/>
    <mergeCell ref="D18:D19"/>
    <mergeCell ref="E18:E19"/>
    <mergeCell ref="F18:F19"/>
    <mergeCell ref="G18:G19"/>
    <mergeCell ref="H18:H19"/>
    <mergeCell ref="I18:I19"/>
    <mergeCell ref="T18:T19"/>
    <mergeCell ref="U18:U19"/>
    <mergeCell ref="M18:M19"/>
    <mergeCell ref="P18:P19"/>
    <mergeCell ref="U20:U21"/>
    <mergeCell ref="O5:Q5"/>
    <mergeCell ref="O6:Q6"/>
    <mergeCell ref="S5:T5"/>
    <mergeCell ref="S6:T6"/>
    <mergeCell ref="T20:T21"/>
    <mergeCell ref="P20:P21"/>
  </mergeCells>
  <pageMargins left="0.17" right="0.16" top="0.35" bottom="0.27" header="0.17" footer="0.17"/>
  <pageSetup paperSize="9" scale="63" orientation="landscape" r:id="rId1"/>
  <colBreaks count="1" manualBreakCount="1">
    <brk id="23" max="1048575" man="1"/>
  </colBreaks>
  <ignoredErrors>
    <ignoredError sqref="I27:M27 I24:M24 I9:M9 I8:M8" unlockedFormula="1"/>
    <ignoredError sqref="I28:M28 I10:M10" formulaRange="1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13.4</vt:lpstr>
      <vt:lpstr>'13.4'!Print_Area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2016-04-19T09:02:03Z</cp:lastPrinted>
  <dcterms:created xsi:type="dcterms:W3CDTF">2014-03-06T08:38:12Z</dcterms:created>
  <dcterms:modified xsi:type="dcterms:W3CDTF">2016-04-19T09:02:08Z</dcterms:modified>
</cp:coreProperties>
</file>