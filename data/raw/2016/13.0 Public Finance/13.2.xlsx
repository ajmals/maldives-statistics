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/>
  </bookViews>
  <sheets>
    <sheet name="13.2" sheetId="2" r:id="rId1"/>
  </sheets>
  <externalReferences>
    <externalReference r:id="rId2"/>
  </externalReferences>
  <calcPr calcId="144525"/>
</workbook>
</file>

<file path=xl/calcChain.xml><?xml version="1.0" encoding="utf-8"?>
<calcChain xmlns="http://schemas.openxmlformats.org/spreadsheetml/2006/main">
  <c r="I9" i="2" l="1"/>
  <c r="Q25" i="2" l="1"/>
  <c r="Q24" i="2"/>
  <c r="Q23" i="2"/>
  <c r="Q17" i="2"/>
  <c r="Q16" i="2"/>
  <c r="Q15" i="2"/>
  <c r="Q12" i="2"/>
  <c r="Q11" i="2"/>
  <c r="Q10" i="2"/>
  <c r="P10" i="2"/>
  <c r="O10" i="2"/>
  <c r="I22" i="2"/>
  <c r="I21" i="2" s="1"/>
  <c r="J22" i="2"/>
  <c r="J21" i="2" s="1"/>
  <c r="K22" i="2"/>
  <c r="K21" i="2" s="1"/>
  <c r="L22" i="2"/>
  <c r="L21" i="2" s="1"/>
  <c r="M22" i="2"/>
  <c r="M21" i="2" s="1"/>
  <c r="H22" i="2"/>
  <c r="H21" i="2"/>
  <c r="I14" i="2"/>
  <c r="I13" i="2" s="1"/>
  <c r="Q21" i="2" l="1"/>
  <c r="Q22" i="2"/>
  <c r="J14" i="2"/>
  <c r="J13" i="2" s="1"/>
  <c r="K14" i="2"/>
  <c r="L14" i="2"/>
  <c r="M14" i="2"/>
  <c r="I19" i="2"/>
  <c r="M9" i="2"/>
  <c r="M8" i="2" s="1"/>
  <c r="L9" i="2"/>
  <c r="L8" i="2" s="1"/>
  <c r="K9" i="2"/>
  <c r="J9" i="2"/>
  <c r="J8" i="2" s="1"/>
  <c r="I8" i="2"/>
  <c r="I18" i="2" s="1"/>
  <c r="Q14" i="2" l="1"/>
  <c r="K8" i="2"/>
  <c r="Q8" i="2" s="1"/>
  <c r="Q9" i="2"/>
  <c r="M19" i="2"/>
  <c r="M18" i="2"/>
  <c r="M13" i="2"/>
  <c r="L18" i="2"/>
  <c r="L19" i="2"/>
  <c r="L13" i="2"/>
  <c r="K19" i="2"/>
  <c r="K13" i="2"/>
  <c r="Q13" i="2" s="1"/>
  <c r="J18" i="2"/>
  <c r="J19" i="2"/>
  <c r="Q19" i="2" l="1"/>
  <c r="K18" i="2"/>
  <c r="Q18" i="2" s="1"/>
  <c r="P15" i="2" l="1"/>
  <c r="P11" i="2"/>
  <c r="P12" i="2" l="1"/>
  <c r="P16" i="2"/>
  <c r="P17" i="2"/>
  <c r="P23" i="2"/>
  <c r="P24" i="2"/>
  <c r="P25" i="2"/>
  <c r="O25" i="2" l="1"/>
  <c r="O24" i="2"/>
  <c r="O17" i="2"/>
  <c r="O16" i="2"/>
  <c r="O15" i="2"/>
  <c r="O12" i="2"/>
  <c r="O11" i="2"/>
  <c r="N25" i="2" l="1"/>
  <c r="N11" i="2"/>
  <c r="N15" i="2"/>
  <c r="N24" i="2" l="1"/>
  <c r="N10" i="2"/>
  <c r="N12" i="2"/>
  <c r="N16" i="2"/>
  <c r="N17" i="2"/>
  <c r="D22" i="2"/>
  <c r="D21" i="2" s="1"/>
  <c r="F22" i="2"/>
  <c r="F21" i="2" s="1"/>
  <c r="E22" i="2"/>
  <c r="E21" i="2" s="1"/>
  <c r="C22" i="2"/>
  <c r="C21" i="2" s="1"/>
  <c r="B22" i="2"/>
  <c r="B21" i="2" s="1"/>
  <c r="F19" i="2"/>
  <c r="E19" i="2"/>
  <c r="B18" i="2"/>
  <c r="H14" i="2"/>
  <c r="G14" i="2"/>
  <c r="D14" i="2"/>
  <c r="C14" i="2"/>
  <c r="C13" i="2" s="1"/>
  <c r="B14" i="2"/>
  <c r="H9" i="2"/>
  <c r="H8" i="2" s="1"/>
  <c r="G9" i="2"/>
  <c r="G8" i="2" s="1"/>
  <c r="D9" i="2"/>
  <c r="D19" i="2" s="1"/>
  <c r="C9" i="2"/>
  <c r="B9" i="2"/>
  <c r="B19" i="2" s="1"/>
  <c r="H13" i="2" l="1"/>
  <c r="H18" i="2"/>
  <c r="P22" i="2"/>
  <c r="P9" i="2"/>
  <c r="P8" i="2"/>
  <c r="P13" i="2"/>
  <c r="P14" i="2"/>
  <c r="P21" i="2"/>
  <c r="P18" i="2"/>
  <c r="P19" i="2"/>
  <c r="H19" i="2"/>
  <c r="G13" i="2"/>
  <c r="N13" i="2" s="1"/>
  <c r="O9" i="2"/>
  <c r="C19" i="2"/>
  <c r="C8" i="2"/>
  <c r="C18" i="2" s="1"/>
  <c r="G22" i="2"/>
  <c r="G21" i="2" s="1"/>
  <c r="N21" i="2" s="1"/>
  <c r="O19" i="2"/>
  <c r="O13" i="2"/>
  <c r="O14" i="2"/>
  <c r="O21" i="2"/>
  <c r="O22" i="2"/>
  <c r="O23" i="2"/>
  <c r="N14" i="2"/>
  <c r="N23" i="2"/>
  <c r="N9" i="2"/>
  <c r="G18" i="2" l="1"/>
  <c r="N18" i="2" s="1"/>
  <c r="G19" i="2"/>
  <c r="N19" i="2" s="1"/>
  <c r="N8" i="2"/>
  <c r="O8" i="2"/>
  <c r="N22" i="2"/>
  <c r="O18" i="2"/>
</calcChain>
</file>

<file path=xl/sharedStrings.xml><?xml version="1.0" encoding="utf-8"?>
<sst xmlns="http://schemas.openxmlformats.org/spreadsheetml/2006/main" count="64" uniqueCount="61">
  <si>
    <t>(cniaWyifur cnwailim)</t>
  </si>
  <si>
    <t>Particulars</t>
  </si>
  <si>
    <t>clIBcfwt</t>
  </si>
  <si>
    <t>Actual</t>
  </si>
  <si>
    <t>(MTEF)</t>
  </si>
  <si>
    <t>Revised</t>
  </si>
  <si>
    <t>IrwRercT cDcnea cscnEnif cfoa IrcTcsinim :ctWrwfivcaed utWmUluAwm</t>
  </si>
  <si>
    <t>Source:  Ministry of Finance and Treasury.</t>
  </si>
  <si>
    <t>iawfiverukuhWlcsia</t>
  </si>
  <si>
    <t>(urwvcnimivurutia)</t>
  </si>
  <si>
    <t>Actuals</t>
  </si>
  <si>
    <t>MTEF</t>
  </si>
  <si>
    <t>Total Revenue and grants</t>
  </si>
  <si>
    <t>Wsiawf unubil iawgutogegIhea egurEb iaWaInwdcmWa</t>
  </si>
  <si>
    <t>Total  Revenue</t>
  </si>
  <si>
    <t>InwdcmWa</t>
  </si>
  <si>
    <t>Current Revenue</t>
  </si>
  <si>
    <t>InwdcmWA cTcnwrwk</t>
  </si>
  <si>
    <t>3_/InwdcmWA clwTipek</t>
  </si>
  <si>
    <t>Grants  1_/</t>
  </si>
  <si>
    <t>1_/ unubil iawgutogegIhea egurEb</t>
  </si>
  <si>
    <t>Expenditure and net lending</t>
  </si>
  <si>
    <t>IkWbufWs egInwrwdEverukUd iaWdwrwK</t>
  </si>
  <si>
    <t>Total Expenditure</t>
  </si>
  <si>
    <t>udwrwK</t>
  </si>
  <si>
    <t>Current expenditure</t>
  </si>
  <si>
    <t>udwrwK Wditenivua</t>
  </si>
  <si>
    <t xml:space="preserve">Capital expenditure </t>
  </si>
  <si>
    <t>Net lending</t>
  </si>
  <si>
    <t>IkWbufWs egInwrwd EverukUd</t>
  </si>
  <si>
    <t>މުޅިބަޖެޓުގައި އާމްދަނީއަށްވުރެ ޚަރަދުއިތުރުވި މިންވަރު (-) (އެހީގެ ގޮތިގައި ލިބޭ ފައިސާ ހިމަނައިގެން)</t>
  </si>
  <si>
    <t>މުޅިބަޖެޓުގައި އާމްދަނީއަށްވުރެ ޚަރަދުއިތުރުވި މިންވަރު (-) (އެހީގެ ގޮތިގައި ލިބޭ ފައިސާ ނުހިމަނާ)</t>
  </si>
  <si>
    <t>Financing</t>
  </si>
  <si>
    <t xml:space="preserve"> ctogunuscaejwmwh udwrwK ivurutia eruvcSwaInwdcmWa egcTejwb iLum</t>
  </si>
  <si>
    <t>Foreign (net)</t>
  </si>
  <si>
    <t>IkWbufWs egWsiawf unubilcnurEb</t>
  </si>
  <si>
    <t>Disbursements</t>
  </si>
  <si>
    <t>unuverukudwrwK cnunOl</t>
  </si>
  <si>
    <t>Repayments  (-)</t>
  </si>
  <si>
    <t>(-) cSwmukcaedWrubwa cnunOl</t>
  </si>
  <si>
    <t>Domestic 2_/</t>
  </si>
  <si>
    <t>2_/ cniaejcaWr</t>
  </si>
  <si>
    <t>1_/  Excludes grants for direct expenditure by donors.</t>
  </si>
  <si>
    <t>.eveaevun caeawfinemih udwrwK Wruk WdIs ctWrwf EdIhea 1_/</t>
  </si>
  <si>
    <t>2_/  Primarily reflects net borrowing from MMA.</t>
  </si>
  <si>
    <t>.everwvcnim Wviawfigencnia Ea.cmea.cmea Inediawkcawd iawgcaetoguDnwgiawm 2_/</t>
  </si>
  <si>
    <t>3_/  Sales of capital assets (include privatization of Airport in 2009</t>
  </si>
  <si>
    <t>(.eveaeviawfinemih  iawgiawbim cnurukcziawTeviawrcpcTrOprwaea ) cnegiawkcaivcTesea clwTiPek 3_/</t>
  </si>
  <si>
    <t>2012 - 2013</t>
  </si>
  <si>
    <t>Percentage Change</t>
  </si>
  <si>
    <t>(In million MVR)</t>
  </si>
  <si>
    <t>2013 - 2014</t>
  </si>
  <si>
    <t xml:space="preserve">4_/  Starting from 2012, Overall balance is calculated excluding net lending </t>
  </si>
  <si>
    <t>2014 - 2015</t>
  </si>
  <si>
    <t>2015-2016</t>
  </si>
  <si>
    <t>2018- 2013 ,WsWluK egutogWviawfihebutwycailWm egurWkurws  : 13.2 ulwvWt</t>
  </si>
  <si>
    <t xml:space="preserve">Table  13.2 :   SUMMARY OF CENTRAL GOVERNMENT FINANCE, 2013 - 2018 
</t>
  </si>
  <si>
    <r>
      <t xml:space="preserve">Capital Revenue </t>
    </r>
    <r>
      <rPr>
        <b/>
        <sz val="10"/>
        <color theme="1"/>
        <rFont val="Calibri"/>
        <family val="2"/>
        <scheme val="minor"/>
      </rPr>
      <t>3_/</t>
    </r>
  </si>
  <si>
    <r>
      <t>udwrwK ivinwncnuhimed</t>
    </r>
    <r>
      <rPr>
        <sz val="9"/>
        <color theme="1"/>
        <rFont val="Akuru"/>
        <family val="2"/>
        <charset val="2"/>
      </rPr>
      <t xml:space="preserve">    </t>
    </r>
  </si>
  <si>
    <r>
      <t xml:space="preserve">Overall deficit (-) </t>
    </r>
    <r>
      <rPr>
        <sz val="10"/>
        <color theme="1"/>
        <rFont val="Calibri"/>
        <family val="2"/>
      </rPr>
      <t xml:space="preserve">(Including grants) </t>
    </r>
    <r>
      <rPr>
        <b/>
        <sz val="10"/>
        <color theme="1"/>
        <rFont val="Calibri"/>
        <family val="2"/>
      </rPr>
      <t xml:space="preserve"> 4_/</t>
    </r>
  </si>
  <si>
    <r>
      <t xml:space="preserve">Overall deficit (-) </t>
    </r>
    <r>
      <rPr>
        <sz val="10"/>
        <color theme="1"/>
        <rFont val="Calibri"/>
        <family val="2"/>
      </rPr>
      <t>(excluding grants)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</si>
</sst>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#,##0.0"/>
    <numFmt numFmtId="171" formatCode="_-* #,##0.00_-;\-* #,##0.00_-;_-* &quot;-&quot;??_-;_-@_-"/>
    <numFmt numFmtId="172" formatCode="#,##0.00\ ;&quot; (&quot;#,##0.00\);&quot; -&quot;#\ ;@\ 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9"/>
      <color theme="1"/>
      <name val="Akuru"/>
      <family val="2"/>
      <charset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theme="1" tint="4.9989318521683403E-2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171" fontId="1" fillId="0" borderId="0" applyFont="0" applyFill="0" applyBorder="0" applyAlignment="0" applyProtection="0"/>
    <xf numFmtId="0" fontId="6" fillId="0" borderId="0"/>
    <xf numFmtId="172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62">
    <xf numFmtId="0" fontId="0" fillId="0" borderId="0" xfId="0"/>
    <xf numFmtId="165" fontId="5" fillId="2" borderId="0" xfId="2" applyNumberFormat="1" applyFont="1" applyFill="1" applyBorder="1" applyAlignment="1" applyProtection="1">
      <alignment horizontal="right" vertical="center"/>
      <protection locked="0"/>
    </xf>
    <xf numFmtId="164" fontId="8" fillId="2" borderId="0" xfId="2" applyNumberFormat="1" applyFont="1" applyFill="1" applyBorder="1" applyAlignment="1">
      <alignment horizontal="right" vertical="center"/>
    </xf>
    <xf numFmtId="164" fontId="5" fillId="2" borderId="0" xfId="2" applyNumberFormat="1" applyFont="1" applyFill="1" applyBorder="1" applyAlignment="1" applyProtection="1">
      <alignment horizontal="right" vertical="center"/>
      <protection locked="0"/>
    </xf>
    <xf numFmtId="164" fontId="5" fillId="2" borderId="1" xfId="2" applyNumberFormat="1" applyFont="1" applyFill="1" applyBorder="1" applyAlignment="1" applyProtection="1">
      <alignment horizontal="right" vertical="center"/>
    </xf>
    <xf numFmtId="164" fontId="17" fillId="2" borderId="0" xfId="2" applyNumberFormat="1" applyFont="1" applyFill="1" applyAlignment="1">
      <alignment vertical="center"/>
    </xf>
    <xf numFmtId="164" fontId="18" fillId="2" borderId="0" xfId="2" applyNumberFormat="1" applyFont="1" applyFill="1" applyAlignment="1">
      <alignment vertical="center"/>
    </xf>
    <xf numFmtId="164" fontId="5" fillId="2" borderId="3" xfId="2" applyNumberFormat="1" applyFont="1" applyFill="1" applyBorder="1" applyAlignment="1">
      <alignment vertical="center"/>
    </xf>
    <xf numFmtId="164" fontId="5" fillId="2" borderId="3" xfId="2" applyNumberFormat="1" applyFont="1" applyFill="1" applyBorder="1" applyAlignment="1">
      <alignment horizontal="center" vertical="center"/>
    </xf>
    <xf numFmtId="164" fontId="19" fillId="2" borderId="3" xfId="2" applyNumberFormat="1" applyFont="1" applyFill="1" applyBorder="1" applyAlignment="1">
      <alignment horizontal="right" vertical="center"/>
    </xf>
    <xf numFmtId="164" fontId="20" fillId="2" borderId="0" xfId="2" applyNumberFormat="1" applyFont="1" applyFill="1" applyBorder="1" applyAlignment="1">
      <alignment horizontal="right" vertical="center" indent="1"/>
    </xf>
    <xf numFmtId="164" fontId="5" fillId="2" borderId="2" xfId="2" applyNumberFormat="1" applyFont="1" applyFill="1" applyBorder="1" applyAlignment="1" applyProtection="1">
      <alignment horizontal="right" vertical="center"/>
    </xf>
    <xf numFmtId="164" fontId="10" fillId="2" borderId="1" xfId="2" applyNumberFormat="1" applyFont="1" applyFill="1" applyBorder="1" applyAlignment="1" applyProtection="1">
      <alignment horizontal="right" vertical="center"/>
    </xf>
    <xf numFmtId="164" fontId="5" fillId="2" borderId="9" xfId="2" applyNumberFormat="1" applyFont="1" applyFill="1" applyBorder="1" applyAlignment="1">
      <alignment horizontal="right" vertical="center"/>
    </xf>
    <xf numFmtId="164" fontId="5" fillId="2" borderId="1" xfId="2" applyNumberFormat="1" applyFont="1" applyFill="1" applyBorder="1" applyAlignment="1">
      <alignment horizontal="right" vertical="center"/>
    </xf>
    <xf numFmtId="164" fontId="5" fillId="2" borderId="0" xfId="2" applyNumberFormat="1" applyFont="1" applyFill="1" applyBorder="1" applyAlignment="1" applyProtection="1">
      <alignment horizontal="left" vertical="center"/>
    </xf>
    <xf numFmtId="165" fontId="5" fillId="2" borderId="0" xfId="2" applyNumberFormat="1" applyFont="1" applyFill="1" applyBorder="1" applyAlignment="1" applyProtection="1">
      <alignment horizontal="right" vertical="center"/>
    </xf>
    <xf numFmtId="165" fontId="5" fillId="2" borderId="4" xfId="2" applyNumberFormat="1" applyFont="1" applyFill="1" applyBorder="1" applyAlignment="1" applyProtection="1">
      <alignment horizontal="right" vertical="center"/>
    </xf>
    <xf numFmtId="164" fontId="5" fillId="2" borderId="0" xfId="2" applyNumberFormat="1" applyFont="1" applyFill="1" applyAlignment="1" applyProtection="1">
      <alignment horizontal="left" vertical="center"/>
    </xf>
    <xf numFmtId="165" fontId="8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Alignment="1" applyProtection="1">
      <alignment horizontal="left" vertical="center" indent="1"/>
    </xf>
    <xf numFmtId="165" fontId="12" fillId="2" borderId="0" xfId="2" applyNumberFormat="1" applyFont="1" applyFill="1" applyBorder="1" applyAlignment="1" applyProtection="1">
      <alignment horizontal="right" vertical="center"/>
    </xf>
    <xf numFmtId="165" fontId="12" fillId="2" borderId="4" xfId="2" applyNumberFormat="1" applyFont="1" applyFill="1" applyBorder="1" applyAlignment="1" applyProtection="1">
      <alignment horizontal="right" vertical="center"/>
    </xf>
    <xf numFmtId="165" fontId="21" fillId="2" borderId="0" xfId="2" applyNumberFormat="1" applyFont="1" applyFill="1" applyAlignment="1">
      <alignment horizontal="right" vertical="center"/>
    </xf>
    <xf numFmtId="164" fontId="5" fillId="2" borderId="0" xfId="2" applyNumberFormat="1" applyFont="1" applyFill="1" applyAlignment="1" applyProtection="1">
      <alignment vertical="center"/>
    </xf>
    <xf numFmtId="164" fontId="9" fillId="2" borderId="0" xfId="2" applyNumberFormat="1" applyFont="1" applyFill="1" applyAlignment="1">
      <alignment vertical="center"/>
    </xf>
    <xf numFmtId="164" fontId="5" fillId="2" borderId="0" xfId="2" applyNumberFormat="1" applyFont="1" applyFill="1" applyBorder="1" applyAlignment="1" applyProtection="1">
      <alignment vertical="center"/>
    </xf>
    <xf numFmtId="165" fontId="13" fillId="2" borderId="0" xfId="2" applyNumberFormat="1" applyFont="1" applyFill="1" applyAlignment="1">
      <alignment horizontal="right" vertical="center" wrapText="1"/>
    </xf>
    <xf numFmtId="164" fontId="25" fillId="2" borderId="0" xfId="2" applyNumberFormat="1" applyFont="1" applyFill="1" applyAlignment="1">
      <alignment vertical="center"/>
    </xf>
    <xf numFmtId="165" fontId="5" fillId="2" borderId="0" xfId="2" applyNumberFormat="1" applyFont="1" applyFill="1" applyBorder="1" applyAlignment="1">
      <alignment vertical="center"/>
    </xf>
    <xf numFmtId="165" fontId="12" fillId="2" borderId="0" xfId="2" applyNumberFormat="1" applyFont="1" applyFill="1" applyBorder="1" applyAlignment="1">
      <alignment vertical="center"/>
    </xf>
    <xf numFmtId="164" fontId="5" fillId="2" borderId="2" xfId="2" applyNumberFormat="1" applyFont="1" applyFill="1" applyBorder="1" applyAlignment="1" applyProtection="1">
      <alignment vertical="center"/>
    </xf>
    <xf numFmtId="165" fontId="5" fillId="2" borderId="2" xfId="2" applyNumberFormat="1" applyFont="1" applyFill="1" applyBorder="1" applyAlignment="1" applyProtection="1">
      <alignment horizontal="right" vertical="center"/>
      <protection locked="0"/>
    </xf>
    <xf numFmtId="165" fontId="5" fillId="2" borderId="5" xfId="2" applyNumberFormat="1" applyFont="1" applyFill="1" applyBorder="1" applyAlignment="1" applyProtection="1">
      <alignment horizontal="right" vertical="center"/>
    </xf>
    <xf numFmtId="165" fontId="5" fillId="2" borderId="2" xfId="2" applyNumberFormat="1" applyFont="1" applyFill="1" applyBorder="1" applyAlignment="1" applyProtection="1">
      <alignment horizontal="right" vertical="center"/>
    </xf>
    <xf numFmtId="165" fontId="21" fillId="2" borderId="2" xfId="2" applyNumberFormat="1" applyFont="1" applyFill="1" applyBorder="1" applyAlignment="1">
      <alignment horizontal="right" vertical="center"/>
    </xf>
    <xf numFmtId="164" fontId="15" fillId="2" borderId="0" xfId="2" applyNumberFormat="1" applyFont="1" applyFill="1" applyAlignment="1" applyProtection="1">
      <alignment horizontal="left" vertical="center"/>
    </xf>
    <xf numFmtId="165" fontId="14" fillId="2" borderId="0" xfId="2" applyNumberFormat="1" applyFont="1" applyFill="1" applyAlignment="1" applyProtection="1">
      <alignment horizontal="center" vertical="center"/>
    </xf>
    <xf numFmtId="164" fontId="14" fillId="2" borderId="0" xfId="2" applyNumberFormat="1" applyFont="1" applyFill="1" applyAlignment="1">
      <alignment vertical="center"/>
    </xf>
    <xf numFmtId="165" fontId="25" fillId="2" borderId="0" xfId="2" applyNumberFormat="1" applyFont="1" applyFill="1" applyAlignment="1" applyProtection="1">
      <alignment horizontal="center" vertical="center"/>
    </xf>
    <xf numFmtId="164" fontId="12" fillId="2" borderId="0" xfId="2" applyNumberFormat="1" applyFont="1" applyFill="1" applyAlignment="1">
      <alignment vertical="center"/>
    </xf>
    <xf numFmtId="165" fontId="21" fillId="2" borderId="0" xfId="2" applyNumberFormat="1" applyFont="1" applyFill="1" applyBorder="1" applyAlignment="1">
      <alignment horizontal="right" vertical="center"/>
    </xf>
    <xf numFmtId="164" fontId="12" fillId="2" borderId="0" xfId="2" applyNumberFormat="1" applyFont="1" applyFill="1" applyAlignment="1">
      <alignment horizontal="center" vertical="center"/>
    </xf>
    <xf numFmtId="164" fontId="17" fillId="2" borderId="0" xfId="2" applyNumberFormat="1" applyFont="1" applyFill="1" applyAlignment="1">
      <alignment horizontal="center" vertical="center"/>
    </xf>
    <xf numFmtId="43" fontId="17" fillId="2" borderId="0" xfId="1" applyFont="1" applyFill="1" applyAlignment="1">
      <alignment horizontal="center" vertical="center"/>
    </xf>
    <xf numFmtId="0" fontId="1" fillId="2" borderId="0" xfId="0" applyFont="1" applyFill="1"/>
    <xf numFmtId="1" fontId="1" fillId="2" borderId="0" xfId="0" applyNumberFormat="1" applyFont="1" applyFill="1"/>
    <xf numFmtId="164" fontId="16" fillId="2" borderId="0" xfId="2" applyNumberFormat="1" applyFont="1" applyFill="1" applyAlignment="1">
      <alignment horizontal="center" vertical="center"/>
    </xf>
    <xf numFmtId="164" fontId="11" fillId="2" borderId="0" xfId="2" applyNumberFormat="1" applyFont="1" applyFill="1" applyBorder="1" applyAlignment="1" applyProtection="1">
      <alignment horizontal="center" vertical="center"/>
    </xf>
    <xf numFmtId="164" fontId="8" fillId="2" borderId="0" xfId="2" applyNumberFormat="1" applyFont="1" applyFill="1" applyAlignment="1">
      <alignment horizontal="center" vertical="center" wrapText="1"/>
    </xf>
    <xf numFmtId="164" fontId="5" fillId="2" borderId="0" xfId="2" applyNumberFormat="1" applyFont="1" applyFill="1" applyBorder="1" applyAlignment="1" applyProtection="1">
      <alignment horizontal="left" vertical="center"/>
    </xf>
    <xf numFmtId="164" fontId="5" fillId="2" borderId="1" xfId="2" applyNumberFormat="1" applyFont="1" applyFill="1" applyBorder="1" applyAlignment="1" applyProtection="1">
      <alignment horizontal="left" vertical="center"/>
    </xf>
    <xf numFmtId="164" fontId="5" fillId="2" borderId="3" xfId="2" applyNumberFormat="1" applyFont="1" applyFill="1" applyBorder="1" applyAlignment="1" applyProtection="1">
      <alignment horizontal="left" vertical="center"/>
    </xf>
    <xf numFmtId="164" fontId="8" fillId="2" borderId="3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>
      <alignment horizontal="right" vertical="center"/>
    </xf>
    <xf numFmtId="164" fontId="8" fillId="2" borderId="1" xfId="2" applyNumberFormat="1" applyFont="1" applyFill="1" applyBorder="1" applyAlignment="1">
      <alignment horizontal="right" vertical="center"/>
    </xf>
    <xf numFmtId="164" fontId="11" fillId="2" borderId="0" xfId="2" applyNumberFormat="1" applyFont="1" applyFill="1" applyBorder="1" applyAlignment="1" applyProtection="1">
      <alignment horizontal="center" vertical="center" wrapText="1"/>
    </xf>
    <xf numFmtId="164" fontId="5" fillId="2" borderId="0" xfId="2" applyNumberFormat="1" applyFont="1" applyFill="1" applyBorder="1" applyAlignment="1">
      <alignment horizontal="center" vertical="center"/>
    </xf>
    <xf numFmtId="0" fontId="10" fillId="2" borderId="8" xfId="3" applyFont="1" applyFill="1" applyBorder="1" applyAlignment="1">
      <alignment horizontal="center"/>
    </xf>
    <xf numFmtId="0" fontId="10" fillId="2" borderId="7" xfId="3" applyFont="1" applyFill="1" applyBorder="1" applyAlignment="1">
      <alignment horizontal="center"/>
    </xf>
    <xf numFmtId="164" fontId="19" fillId="2" borderId="6" xfId="2" applyNumberFormat="1" applyFont="1" applyFill="1" applyBorder="1" applyAlignment="1">
      <alignment horizontal="center" vertical="center"/>
    </xf>
    <xf numFmtId="164" fontId="19" fillId="2" borderId="3" xfId="2" applyNumberFormat="1" applyFont="1" applyFill="1" applyBorder="1" applyAlignment="1">
      <alignment horizontal="center" vertical="center"/>
    </xf>
  </cellXfs>
  <cellStyles count="12">
    <cellStyle name="Comma" xfId="1" builtinId="3"/>
    <cellStyle name="Comma 2" xfId="7"/>
    <cellStyle name="Comma 3" xfId="8"/>
    <cellStyle name="Comma 4" xfId="4"/>
    <cellStyle name="Comma 6" xfId="10"/>
    <cellStyle name="Excel Built-in Comma" xfId="6"/>
    <cellStyle name="Excel Built-in Normal" xfId="5"/>
    <cellStyle name="Normal" xfId="0" builtinId="0"/>
    <cellStyle name="Normal 2" xfId="11"/>
    <cellStyle name="Normal 4" xfId="9"/>
    <cellStyle name="Normal_13 Public Finance_done" xfId="2"/>
    <cellStyle name="Normal_X-5 (Electricity)" xfId="3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3/RECEIVED%20TABLES/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tabSelected="1" zoomScaleSheetLayoutView="80" workbookViewId="0">
      <selection activeCell="O17" sqref="O17"/>
    </sheetView>
  </sheetViews>
  <sheetFormatPr defaultRowHeight="12.75"/>
  <cols>
    <col min="1" max="1" width="33.7109375" style="5" customWidth="1"/>
    <col min="2" max="2" width="8.7109375" style="43" hidden="1" customWidth="1"/>
    <col min="3" max="4" width="11.28515625" style="43" hidden="1" customWidth="1"/>
    <col min="5" max="5" width="11.28515625" style="5" hidden="1" customWidth="1"/>
    <col min="6" max="7" width="11.85546875" style="5" hidden="1" customWidth="1"/>
    <col min="8" max="13" width="11.85546875" style="5" customWidth="1"/>
    <col min="14" max="17" width="12.7109375" style="43" customWidth="1"/>
    <col min="18" max="18" width="46.5703125" style="5" customWidth="1"/>
    <col min="19" max="16384" width="9.140625" style="5"/>
  </cols>
  <sheetData>
    <row r="1" spans="1:18" ht="19.5">
      <c r="A1" s="47" t="s">
        <v>55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ht="15">
      <c r="A2" s="56" t="s">
        <v>56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8" ht="15">
      <c r="A3" s="49" t="s">
        <v>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1:18" s="6" customFormat="1">
      <c r="A4" s="57" t="s">
        <v>50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</row>
    <row r="5" spans="1:18" s="6" customFormat="1" ht="13.5">
      <c r="A5" s="52" t="s">
        <v>1</v>
      </c>
      <c r="B5" s="7"/>
      <c r="C5" s="8"/>
      <c r="D5" s="8"/>
      <c r="E5" s="8"/>
      <c r="F5" s="9" t="s">
        <v>8</v>
      </c>
      <c r="G5" s="9"/>
      <c r="H5" s="9"/>
      <c r="I5" s="9"/>
      <c r="J5" s="9"/>
      <c r="K5" s="9"/>
      <c r="L5" s="9"/>
      <c r="M5" s="9"/>
      <c r="N5" s="60" t="s">
        <v>9</v>
      </c>
      <c r="O5" s="61"/>
      <c r="P5" s="61"/>
      <c r="Q5" s="61"/>
      <c r="R5" s="53" t="s">
        <v>2</v>
      </c>
    </row>
    <row r="6" spans="1:18" s="6" customFormat="1" ht="14.45" customHeight="1">
      <c r="A6" s="50"/>
      <c r="B6" s="3"/>
      <c r="C6" s="3"/>
      <c r="D6" s="3"/>
      <c r="E6" s="3"/>
      <c r="F6" s="10" t="s">
        <v>5</v>
      </c>
      <c r="G6" s="3" t="s">
        <v>10</v>
      </c>
      <c r="H6" s="3" t="s">
        <v>10</v>
      </c>
      <c r="I6" s="3" t="s">
        <v>3</v>
      </c>
      <c r="J6" s="3" t="s">
        <v>5</v>
      </c>
      <c r="K6" s="3" t="s">
        <v>11</v>
      </c>
      <c r="L6" s="3" t="s">
        <v>11</v>
      </c>
      <c r="M6" s="3" t="s">
        <v>4</v>
      </c>
      <c r="N6" s="58" t="s">
        <v>49</v>
      </c>
      <c r="O6" s="59"/>
      <c r="P6" s="59"/>
      <c r="Q6" s="59"/>
      <c r="R6" s="54"/>
    </row>
    <row r="7" spans="1:18" s="6" customFormat="1" ht="15.75" customHeight="1">
      <c r="A7" s="51"/>
      <c r="B7" s="11">
        <v>2008</v>
      </c>
      <c r="C7" s="4">
        <v>2009</v>
      </c>
      <c r="D7" s="4">
        <v>2010</v>
      </c>
      <c r="E7" s="4">
        <v>2011</v>
      </c>
      <c r="F7" s="12">
        <v>2012</v>
      </c>
      <c r="G7" s="4">
        <v>2012</v>
      </c>
      <c r="H7" s="4">
        <v>2013</v>
      </c>
      <c r="I7" s="4">
        <v>2014</v>
      </c>
      <c r="J7" s="4">
        <v>2015</v>
      </c>
      <c r="K7" s="4">
        <v>2016</v>
      </c>
      <c r="L7" s="4">
        <v>2017</v>
      </c>
      <c r="M7" s="4">
        <v>2018</v>
      </c>
      <c r="N7" s="13" t="s">
        <v>48</v>
      </c>
      <c r="O7" s="14" t="s">
        <v>51</v>
      </c>
      <c r="P7" s="14" t="s">
        <v>53</v>
      </c>
      <c r="Q7" s="14" t="s">
        <v>54</v>
      </c>
      <c r="R7" s="55"/>
    </row>
    <row r="8" spans="1:18" ht="21" customHeight="1">
      <c r="A8" s="15" t="s">
        <v>12</v>
      </c>
      <c r="B8" s="16">
        <v>7456.54</v>
      </c>
      <c r="C8" s="16">
        <f>+C9+C12</f>
        <v>5734.8352960000002</v>
      </c>
      <c r="D8" s="16">
        <v>6546.9287702799966</v>
      </c>
      <c r="E8" s="16">
        <v>9904.5614829999995</v>
      </c>
      <c r="F8" s="16">
        <v>9831.9774639999996</v>
      </c>
      <c r="G8" s="16">
        <f t="shared" ref="G8" si="0">G9+G12</f>
        <v>10138.11294952</v>
      </c>
      <c r="H8" s="16">
        <f>H9+H12</f>
        <v>11900.748051730001</v>
      </c>
      <c r="I8" s="16">
        <f>I9+I12</f>
        <v>15164.227912</v>
      </c>
      <c r="J8" s="16">
        <f t="shared" ref="J8:M8" si="1">J9+J12</f>
        <v>17700.558494455538</v>
      </c>
      <c r="K8" s="16">
        <f t="shared" si="1"/>
        <v>22759.564470753161</v>
      </c>
      <c r="L8" s="16">
        <f t="shared" si="1"/>
        <v>22523.459265352478</v>
      </c>
      <c r="M8" s="16">
        <f t="shared" si="1"/>
        <v>22034.656550369597</v>
      </c>
      <c r="N8" s="17">
        <f t="shared" ref="N8:O19" si="2">+((H8/G8)-1)*100</f>
        <v>17.386224744058065</v>
      </c>
      <c r="O8" s="16">
        <f>+((I8/H8)-1)*100</f>
        <v>27.422476688728747</v>
      </c>
      <c r="P8" s="16">
        <f>+((J8/I8)-1)*100</f>
        <v>16.725748235744</v>
      </c>
      <c r="Q8" s="16">
        <f>+((K8/J8)-1)*100</f>
        <v>28.581052840125288</v>
      </c>
      <c r="R8" s="2" t="s">
        <v>13</v>
      </c>
    </row>
    <row r="9" spans="1:18" ht="21" customHeight="1">
      <c r="A9" s="18" t="s">
        <v>14</v>
      </c>
      <c r="B9" s="16">
        <f>SUM(B10:B11)</f>
        <v>6939.54</v>
      </c>
      <c r="C9" s="16">
        <f>SUM(C10:C11)</f>
        <v>5313.319469</v>
      </c>
      <c r="D9" s="16">
        <f>SUM(D10:D11)</f>
        <v>6392.3855347199969</v>
      </c>
      <c r="E9" s="16">
        <v>9172.1262260000003</v>
      </c>
      <c r="F9" s="16">
        <v>9366.453458</v>
      </c>
      <c r="G9" s="16">
        <f t="shared" ref="G9:H9" si="3">SUM(G10:G11)</f>
        <v>9771.4430765199995</v>
      </c>
      <c r="H9" s="16">
        <f t="shared" si="3"/>
        <v>11783.092824200001</v>
      </c>
      <c r="I9" s="16">
        <f>SUM(I10:I11)</f>
        <v>14998.954087</v>
      </c>
      <c r="J9" s="16">
        <f t="shared" ref="J9:M9" si="4">SUM(J10:J11)</f>
        <v>16618.143448491537</v>
      </c>
      <c r="K9" s="16">
        <f t="shared" si="4"/>
        <v>21538.994560753163</v>
      </c>
      <c r="L9" s="16">
        <f t="shared" si="4"/>
        <v>21288.487670352479</v>
      </c>
      <c r="M9" s="16">
        <f t="shared" si="4"/>
        <v>21067.065050369598</v>
      </c>
      <c r="N9" s="17">
        <f t="shared" si="2"/>
        <v>20.587028261095199</v>
      </c>
      <c r="O9" s="16">
        <f>+((I9/H9)-1)*100</f>
        <v>27.292166078801451</v>
      </c>
      <c r="P9" s="16">
        <f t="shared" ref="P9:Q25" si="5">+((J9/I9)-1)*100</f>
        <v>10.79534847629764</v>
      </c>
      <c r="Q9" s="16">
        <f t="shared" si="5"/>
        <v>29.611316856867663</v>
      </c>
      <c r="R9" s="19" t="s">
        <v>15</v>
      </c>
    </row>
    <row r="10" spans="1:18" ht="21" customHeight="1">
      <c r="A10" s="20" t="s">
        <v>16</v>
      </c>
      <c r="B10" s="21">
        <v>6897.24</v>
      </c>
      <c r="C10" s="21">
        <v>5299.4316959999996</v>
      </c>
      <c r="D10" s="21">
        <v>6343.0314386499977</v>
      </c>
      <c r="E10" s="21">
        <v>8637.6616890000005</v>
      </c>
      <c r="F10" s="21">
        <v>9352.4548689999992</v>
      </c>
      <c r="G10" s="21">
        <v>9723.3702617999988</v>
      </c>
      <c r="H10" s="21">
        <v>11514.974798200001</v>
      </c>
      <c r="I10" s="21">
        <v>14874.843471</v>
      </c>
      <c r="J10" s="21">
        <v>16476.744519905435</v>
      </c>
      <c r="K10" s="21">
        <v>20020.816877667188</v>
      </c>
      <c r="L10" s="21">
        <v>20375.721852897514</v>
      </c>
      <c r="M10" s="21">
        <v>21026.619890087979</v>
      </c>
      <c r="N10" s="22">
        <f t="shared" si="2"/>
        <v>18.425756586053723</v>
      </c>
      <c r="O10" s="21">
        <f>+((I10/H10)-1)*100</f>
        <v>29.178254678639924</v>
      </c>
      <c r="P10" s="21">
        <f>+((J10/I10)-1)*100</f>
        <v>10.769196005514292</v>
      </c>
      <c r="Q10" s="21">
        <f>+((K10/J10)-1)*100</f>
        <v>21.509542455308363</v>
      </c>
      <c r="R10" s="23" t="s">
        <v>17</v>
      </c>
    </row>
    <row r="11" spans="1:18" ht="21" customHeight="1">
      <c r="A11" s="20" t="s">
        <v>57</v>
      </c>
      <c r="B11" s="21">
        <v>42.3</v>
      </c>
      <c r="C11" s="21">
        <v>13.887772999999999</v>
      </c>
      <c r="D11" s="21">
        <v>49.354096069998995</v>
      </c>
      <c r="E11" s="21">
        <v>534.46453699999995</v>
      </c>
      <c r="F11" s="21">
        <v>13.998589000000001</v>
      </c>
      <c r="G11" s="21">
        <v>48.072814719999997</v>
      </c>
      <c r="H11" s="21">
        <v>268.11802599999999</v>
      </c>
      <c r="I11" s="21">
        <v>124.11061599999999</v>
      </c>
      <c r="J11" s="21">
        <v>141.39892858610074</v>
      </c>
      <c r="K11" s="21">
        <v>1518.1776830859742</v>
      </c>
      <c r="L11" s="21">
        <v>912.7658174549648</v>
      </c>
      <c r="M11" s="21">
        <v>40.445160281618286</v>
      </c>
      <c r="N11" s="22">
        <f t="shared" si="2"/>
        <v>457.73315451082459</v>
      </c>
      <c r="O11" s="21">
        <f t="shared" si="2"/>
        <v>-53.710454365347296</v>
      </c>
      <c r="P11" s="21">
        <f>+((J11/I11)-1)*100</f>
        <v>13.92976132364112</v>
      </c>
      <c r="Q11" s="21">
        <f>+((K11/J11)-1)*100</f>
        <v>973.68400755704772</v>
      </c>
      <c r="R11" s="23" t="s">
        <v>18</v>
      </c>
    </row>
    <row r="12" spans="1:18" s="6" customFormat="1" ht="21" customHeight="1">
      <c r="A12" s="24" t="s">
        <v>19</v>
      </c>
      <c r="B12" s="16">
        <v>517</v>
      </c>
      <c r="C12" s="16">
        <v>421.515827</v>
      </c>
      <c r="D12" s="16">
        <v>154.54323556</v>
      </c>
      <c r="E12" s="16">
        <v>732.43525699999998</v>
      </c>
      <c r="F12" s="16">
        <v>465.52400599999999</v>
      </c>
      <c r="G12" s="16">
        <v>366.669873</v>
      </c>
      <c r="H12" s="16">
        <v>117.65522753</v>
      </c>
      <c r="I12" s="16">
        <v>165.27382499999999</v>
      </c>
      <c r="J12" s="16">
        <v>1082.415045964</v>
      </c>
      <c r="K12" s="16">
        <v>1220.5699099999999</v>
      </c>
      <c r="L12" s="16">
        <v>1234.971595</v>
      </c>
      <c r="M12" s="16">
        <v>967.5915</v>
      </c>
      <c r="N12" s="17">
        <f t="shared" si="2"/>
        <v>-67.912491264315022</v>
      </c>
      <c r="O12" s="16">
        <f t="shared" si="2"/>
        <v>40.472997647178978</v>
      </c>
      <c r="P12" s="16">
        <f t="shared" si="5"/>
        <v>554.92224553041001</v>
      </c>
      <c r="Q12" s="16">
        <f t="shared" si="5"/>
        <v>12.76357572366884</v>
      </c>
      <c r="R12" s="19" t="s">
        <v>20</v>
      </c>
    </row>
    <row r="13" spans="1:18" ht="21" customHeight="1">
      <c r="A13" s="24" t="s">
        <v>21</v>
      </c>
      <c r="B13" s="16">
        <v>10176.000000000002</v>
      </c>
      <c r="C13" s="16">
        <f>+C14+C17</f>
        <v>10953.434156000003</v>
      </c>
      <c r="D13" s="16">
        <v>10815.062102899999</v>
      </c>
      <c r="E13" s="16">
        <v>12264.726665999999</v>
      </c>
      <c r="F13" s="16">
        <v>14145.628022305787</v>
      </c>
      <c r="G13" s="16">
        <f t="shared" ref="G13:M13" si="6">G14+G17</f>
        <v>13110.002924999999</v>
      </c>
      <c r="H13" s="16">
        <f t="shared" si="6"/>
        <v>13530.771002489999</v>
      </c>
      <c r="I13" s="16">
        <f>I14+I17</f>
        <v>16417.211596000001</v>
      </c>
      <c r="J13" s="16">
        <f t="shared" si="6"/>
        <v>21286.091908538427</v>
      </c>
      <c r="K13" s="16">
        <f t="shared" si="6"/>
        <v>26131.714556999996</v>
      </c>
      <c r="L13" s="16">
        <f t="shared" si="6"/>
        <v>26738.388578999999</v>
      </c>
      <c r="M13" s="16">
        <f t="shared" si="6"/>
        <v>24912.329664242909</v>
      </c>
      <c r="N13" s="17">
        <f t="shared" si="2"/>
        <v>3.2095193257937416</v>
      </c>
      <c r="O13" s="16">
        <f t="shared" si="2"/>
        <v>21.332417738640498</v>
      </c>
      <c r="P13" s="16">
        <f>+((J13/I13)-1)*100</f>
        <v>29.657169757894273</v>
      </c>
      <c r="Q13" s="16">
        <f>+((K13/J13)-1)*100</f>
        <v>22.764266307230674</v>
      </c>
      <c r="R13" s="19" t="s">
        <v>22</v>
      </c>
    </row>
    <row r="14" spans="1:18" ht="21" customHeight="1">
      <c r="A14" s="24" t="s">
        <v>23</v>
      </c>
      <c r="B14" s="16">
        <f>SUM(B15:B16)</f>
        <v>10342.400000000001</v>
      </c>
      <c r="C14" s="16">
        <f>SUM(C15:C16)</f>
        <v>11104.270489000002</v>
      </c>
      <c r="D14" s="16">
        <f>SUM(D15:D16)</f>
        <v>10996.362102899999</v>
      </c>
      <c r="E14" s="16">
        <v>12663.726665999999</v>
      </c>
      <c r="F14" s="16">
        <v>14215.928022305787</v>
      </c>
      <c r="G14" s="16">
        <f t="shared" ref="G14:M14" si="7">SUM(G15:G16)</f>
        <v>13200.234560999999</v>
      </c>
      <c r="H14" s="16">
        <f t="shared" si="7"/>
        <v>13666.256009489998</v>
      </c>
      <c r="I14" s="16">
        <f>SUM(I15:I16)</f>
        <v>16539.373646</v>
      </c>
      <c r="J14" s="16">
        <f t="shared" si="7"/>
        <v>21299.655352473139</v>
      </c>
      <c r="K14" s="16">
        <f t="shared" si="7"/>
        <v>26116.156163999996</v>
      </c>
      <c r="L14" s="16">
        <f t="shared" si="7"/>
        <v>26638.133696999997</v>
      </c>
      <c r="M14" s="16">
        <f t="shared" si="7"/>
        <v>24938.377442999998</v>
      </c>
      <c r="N14" s="17">
        <f t="shared" si="2"/>
        <v>3.530402784408504</v>
      </c>
      <c r="O14" s="16">
        <f t="shared" si="2"/>
        <v>21.023443688709452</v>
      </c>
      <c r="P14" s="16">
        <f t="shared" si="5"/>
        <v>28.781511370138247</v>
      </c>
      <c r="Q14" s="16">
        <f t="shared" si="5"/>
        <v>22.613045759764393</v>
      </c>
      <c r="R14" s="19" t="s">
        <v>24</v>
      </c>
    </row>
    <row r="15" spans="1:18" ht="21" customHeight="1">
      <c r="A15" s="20" t="s">
        <v>25</v>
      </c>
      <c r="B15" s="21">
        <v>7463.2000000000007</v>
      </c>
      <c r="C15" s="21">
        <v>8764.9308290000008</v>
      </c>
      <c r="D15" s="21">
        <v>8428.0733739999996</v>
      </c>
      <c r="E15" s="21">
        <v>9075.7434510000003</v>
      </c>
      <c r="F15" s="21">
        <v>10522.12938529569</v>
      </c>
      <c r="G15" s="21">
        <v>10316.485255</v>
      </c>
      <c r="H15" s="21">
        <v>11573.214585849999</v>
      </c>
      <c r="I15" s="21">
        <v>13959.968519999999</v>
      </c>
      <c r="J15" s="21">
        <v>16234.897878692473</v>
      </c>
      <c r="K15" s="21">
        <v>16227.522015999997</v>
      </c>
      <c r="L15" s="21">
        <v>16225.179275999999</v>
      </c>
      <c r="M15" s="21">
        <v>16170.666053999998</v>
      </c>
      <c r="N15" s="22">
        <f t="shared" si="2"/>
        <v>12.181758610481342</v>
      </c>
      <c r="O15" s="21">
        <f t="shared" si="2"/>
        <v>20.623085456897748</v>
      </c>
      <c r="P15" s="21">
        <f>+((J15/I15)-1)*100</f>
        <v>16.296092325947974</v>
      </c>
      <c r="Q15" s="21">
        <f>+((K15/J15)-1)*100</f>
        <v>-4.5432147141222234E-2</v>
      </c>
      <c r="R15" s="23" t="s">
        <v>26</v>
      </c>
    </row>
    <row r="16" spans="1:18" s="25" customFormat="1" ht="21" customHeight="1">
      <c r="A16" s="20" t="s">
        <v>27</v>
      </c>
      <c r="B16" s="21">
        <v>2879.2</v>
      </c>
      <c r="C16" s="21">
        <v>2339.3396600000005</v>
      </c>
      <c r="D16" s="21">
        <v>2568.2887288999996</v>
      </c>
      <c r="E16" s="21">
        <v>3587.9832149999993</v>
      </c>
      <c r="F16" s="21">
        <v>3693.7986370100971</v>
      </c>
      <c r="G16" s="21">
        <v>2883.7493059999997</v>
      </c>
      <c r="H16" s="21">
        <v>2093.0414236399993</v>
      </c>
      <c r="I16" s="21">
        <v>2579.4051260000006</v>
      </c>
      <c r="J16" s="21">
        <v>5064.7574737806672</v>
      </c>
      <c r="K16" s="21">
        <v>9888.6341479999992</v>
      </c>
      <c r="L16" s="21">
        <v>10412.954420999999</v>
      </c>
      <c r="M16" s="21">
        <v>8767.7113890000001</v>
      </c>
      <c r="N16" s="22">
        <f t="shared" si="2"/>
        <v>-27.419439016936529</v>
      </c>
      <c r="O16" s="21">
        <f t="shared" si="2"/>
        <v>23.237175187587454</v>
      </c>
      <c r="P16" s="21">
        <f t="shared" si="5"/>
        <v>96.353702748308251</v>
      </c>
      <c r="Q16" s="21">
        <f t="shared" si="5"/>
        <v>95.243981556701755</v>
      </c>
      <c r="R16" s="23" t="s">
        <v>58</v>
      </c>
    </row>
    <row r="17" spans="1:18" s="25" customFormat="1" ht="21" customHeight="1">
      <c r="A17" s="24" t="s">
        <v>28</v>
      </c>
      <c r="B17" s="1">
        <v>-166.4</v>
      </c>
      <c r="C17" s="1">
        <v>-150.836333</v>
      </c>
      <c r="D17" s="1">
        <v>-181.3</v>
      </c>
      <c r="E17" s="1">
        <v>-399</v>
      </c>
      <c r="F17" s="1">
        <v>-70.3</v>
      </c>
      <c r="G17" s="1">
        <v>-90.231635999999995</v>
      </c>
      <c r="H17" s="1">
        <v>-135.485007</v>
      </c>
      <c r="I17" s="1">
        <v>-122.16204999999999</v>
      </c>
      <c r="J17" s="1">
        <v>-13.563443934712012</v>
      </c>
      <c r="K17" s="1">
        <v>15.558392999999981</v>
      </c>
      <c r="L17" s="1">
        <v>100.25488200000001</v>
      </c>
      <c r="M17" s="1">
        <v>-26.047778757089993</v>
      </c>
      <c r="N17" s="17">
        <f t="shared" si="2"/>
        <v>50.152444315650001</v>
      </c>
      <c r="O17" s="16">
        <f t="shared" si="2"/>
        <v>-9.833528664909764</v>
      </c>
      <c r="P17" s="16">
        <f t="shared" si="5"/>
        <v>-88.89717065593446</v>
      </c>
      <c r="Q17" s="16">
        <f t="shared" si="5"/>
        <v>-214.70827818429234</v>
      </c>
      <c r="R17" s="19" t="s">
        <v>29</v>
      </c>
    </row>
    <row r="18" spans="1:18" s="28" customFormat="1" ht="32.25" customHeight="1">
      <c r="A18" s="26" t="s">
        <v>59</v>
      </c>
      <c r="B18" s="16">
        <f>+B8-B13</f>
        <v>-2719.4600000000019</v>
      </c>
      <c r="C18" s="16">
        <f>+C8-C13</f>
        <v>-5218.5988600000028</v>
      </c>
      <c r="D18" s="16">
        <v>-4268.1333326200029</v>
      </c>
      <c r="E18" s="16">
        <v>-2360.1651829999992</v>
      </c>
      <c r="F18" s="16">
        <v>-4313.6505583057879</v>
      </c>
      <c r="G18" s="16">
        <f t="shared" ref="G18" si="8">G8-G13</f>
        <v>-2971.8899754799986</v>
      </c>
      <c r="H18" s="16">
        <f>H8-H14</f>
        <v>-1765.5079577599972</v>
      </c>
      <c r="I18" s="16">
        <f>I8-I14</f>
        <v>-1375.1457339999997</v>
      </c>
      <c r="J18" s="16">
        <f t="shared" ref="J18:M18" si="9">J8-J14</f>
        <v>-3599.0968580176013</v>
      </c>
      <c r="K18" s="16">
        <f t="shared" si="9"/>
        <v>-3356.5916932468353</v>
      </c>
      <c r="L18" s="16">
        <f t="shared" si="9"/>
        <v>-4114.6744316475197</v>
      </c>
      <c r="M18" s="16">
        <f t="shared" si="9"/>
        <v>-2903.7208926304011</v>
      </c>
      <c r="N18" s="17">
        <f t="shared" si="2"/>
        <v>-40.593091523354765</v>
      </c>
      <c r="O18" s="16">
        <f t="shared" si="2"/>
        <v>-22.110476593675223</v>
      </c>
      <c r="P18" s="16">
        <f t="shared" si="5"/>
        <v>161.72475898598847</v>
      </c>
      <c r="Q18" s="16">
        <f t="shared" si="5"/>
        <v>-6.7379449438973671</v>
      </c>
      <c r="R18" s="27" t="s">
        <v>30</v>
      </c>
    </row>
    <row r="19" spans="1:18" ht="39" customHeight="1">
      <c r="A19" s="26" t="s">
        <v>60</v>
      </c>
      <c r="B19" s="1">
        <f t="shared" ref="B19:G19" si="10">+B9-B13</f>
        <v>-3236.4600000000019</v>
      </c>
      <c r="C19" s="1">
        <f t="shared" si="10"/>
        <v>-5640.114687000003</v>
      </c>
      <c r="D19" s="1">
        <f t="shared" si="10"/>
        <v>-4422.6765681800025</v>
      </c>
      <c r="E19" s="1">
        <f t="shared" si="10"/>
        <v>-3092.6004399999983</v>
      </c>
      <c r="F19" s="1">
        <f t="shared" si="10"/>
        <v>-4779.1745643057875</v>
      </c>
      <c r="G19" s="1">
        <f t="shared" si="10"/>
        <v>-3338.5598484799993</v>
      </c>
      <c r="H19" s="1">
        <f>+H9-H14</f>
        <v>-1883.1631852899973</v>
      </c>
      <c r="I19" s="1">
        <f t="shared" ref="I19:M19" si="11">+I9-I14</f>
        <v>-1540.4195589999999</v>
      </c>
      <c r="J19" s="1">
        <f t="shared" si="11"/>
        <v>-4681.5119039816018</v>
      </c>
      <c r="K19" s="1">
        <f t="shared" si="11"/>
        <v>-4577.1616032468337</v>
      </c>
      <c r="L19" s="1">
        <f t="shared" si="11"/>
        <v>-5349.6460266475187</v>
      </c>
      <c r="M19" s="1">
        <f t="shared" si="11"/>
        <v>-3871.3123926303997</v>
      </c>
      <c r="N19" s="17">
        <f t="shared" si="2"/>
        <v>-43.593547195286142</v>
      </c>
      <c r="O19" s="16">
        <f t="shared" si="2"/>
        <v>-18.200420917702708</v>
      </c>
      <c r="P19" s="16">
        <f t="shared" si="5"/>
        <v>203.91148155900569</v>
      </c>
      <c r="Q19" s="16">
        <f t="shared" si="5"/>
        <v>-2.2289871920654236</v>
      </c>
      <c r="R19" s="27" t="s">
        <v>31</v>
      </c>
    </row>
    <row r="20" spans="1:18" ht="3" customHeight="1">
      <c r="A20" s="2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  <c r="O20" s="16"/>
      <c r="P20" s="16"/>
      <c r="Q20" s="16"/>
      <c r="R20" s="19"/>
    </row>
    <row r="21" spans="1:18" s="28" customFormat="1" ht="21" customHeight="1">
      <c r="A21" s="24" t="s">
        <v>32</v>
      </c>
      <c r="B21" s="29">
        <f t="shared" ref="B21:G21" si="12">+B22+B25</f>
        <v>2719.4</v>
      </c>
      <c r="C21" s="29">
        <f t="shared" si="12"/>
        <v>5218.5418559999998</v>
      </c>
      <c r="D21" s="29">
        <f t="shared" si="12"/>
        <v>4268.1000000000004</v>
      </c>
      <c r="E21" s="29">
        <f t="shared" si="12"/>
        <v>2360.0889139999999</v>
      </c>
      <c r="F21" s="29">
        <f t="shared" si="12"/>
        <v>2313.7515280000002</v>
      </c>
      <c r="G21" s="29">
        <f t="shared" si="12"/>
        <v>2971.889975</v>
      </c>
      <c r="H21" s="29">
        <f>+H22+H25</f>
        <v>1765.5079579999997</v>
      </c>
      <c r="I21" s="29">
        <f t="shared" ref="I21:M21" si="13">+I22+I25</f>
        <v>1375.1457340000004</v>
      </c>
      <c r="J21" s="29">
        <f t="shared" si="13"/>
        <v>3599.0968579109399</v>
      </c>
      <c r="K21" s="29">
        <f t="shared" si="13"/>
        <v>3356.5664792468265</v>
      </c>
      <c r="L21" s="29">
        <f t="shared" si="13"/>
        <v>4114.7168306475214</v>
      </c>
      <c r="M21" s="29">
        <f t="shared" si="13"/>
        <v>2903.7527276303981</v>
      </c>
      <c r="N21" s="17">
        <f t="shared" ref="N21:O25" si="14">+((H21/G21)-1)*100</f>
        <v>-40.593091505684029</v>
      </c>
      <c r="O21" s="16">
        <f t="shared" si="14"/>
        <v>-22.11047660426345</v>
      </c>
      <c r="P21" s="16">
        <f t="shared" si="5"/>
        <v>161.72475897823199</v>
      </c>
      <c r="Q21" s="16">
        <f t="shared" si="5"/>
        <v>-6.7386455057752421</v>
      </c>
      <c r="R21" s="19" t="s">
        <v>33</v>
      </c>
    </row>
    <row r="22" spans="1:18" s="28" customFormat="1" ht="21" customHeight="1">
      <c r="A22" s="24" t="s">
        <v>34</v>
      </c>
      <c r="B22" s="1">
        <f t="shared" ref="B22:G22" si="15">SUM(B23:B24)</f>
        <v>747.69999999999993</v>
      </c>
      <c r="C22" s="1">
        <f t="shared" si="15"/>
        <v>1006.141856</v>
      </c>
      <c r="D22" s="1">
        <f t="shared" si="15"/>
        <v>1228.3000000000002</v>
      </c>
      <c r="E22" s="1">
        <f>SUM(E23:E24)</f>
        <v>967.96693600000003</v>
      </c>
      <c r="F22" s="1">
        <f t="shared" si="15"/>
        <v>3313.7000000000003</v>
      </c>
      <c r="G22" s="1">
        <f t="shared" si="15"/>
        <v>772.15054499999997</v>
      </c>
      <c r="H22" s="1">
        <f>SUM(H23:H24)</f>
        <v>472.55445400000008</v>
      </c>
      <c r="I22" s="1">
        <f t="shared" ref="I22:M22" si="16">SUM(I23:I24)</f>
        <v>-370.60431500000004</v>
      </c>
      <c r="J22" s="1">
        <f t="shared" si="16"/>
        <v>-438.92917</v>
      </c>
      <c r="K22" s="1">
        <f t="shared" si="16"/>
        <v>2486.5462120000002</v>
      </c>
      <c r="L22" s="1">
        <f t="shared" si="16"/>
        <v>2227.061952</v>
      </c>
      <c r="M22" s="1">
        <f t="shared" si="16"/>
        <v>2197.222651</v>
      </c>
      <c r="N22" s="17">
        <f t="shared" si="14"/>
        <v>-38.800217514578051</v>
      </c>
      <c r="O22" s="16">
        <f t="shared" si="14"/>
        <v>-178.42573736486253</v>
      </c>
      <c r="P22" s="21">
        <f t="shared" si="5"/>
        <v>18.436065699882633</v>
      </c>
      <c r="Q22" s="21">
        <f t="shared" si="5"/>
        <v>-666.50283962672154</v>
      </c>
      <c r="R22" s="23" t="s">
        <v>35</v>
      </c>
    </row>
    <row r="23" spans="1:18" s="28" customFormat="1" ht="21" customHeight="1">
      <c r="A23" s="20" t="s">
        <v>36</v>
      </c>
      <c r="B23" s="30">
        <v>1137.5999999999999</v>
      </c>
      <c r="C23" s="30">
        <v>1416.341856</v>
      </c>
      <c r="D23" s="30">
        <v>1817.7</v>
      </c>
      <c r="E23" s="30">
        <v>1884.5</v>
      </c>
      <c r="F23" s="30">
        <v>4286.3</v>
      </c>
      <c r="G23" s="30">
        <v>1713.11293</v>
      </c>
      <c r="H23" s="30">
        <v>1187.19235</v>
      </c>
      <c r="I23" s="30">
        <v>641.742166</v>
      </c>
      <c r="J23" s="30">
        <v>568.29718400000002</v>
      </c>
      <c r="K23" s="30">
        <v>3550.267159</v>
      </c>
      <c r="L23" s="30">
        <v>3289.8189120000002</v>
      </c>
      <c r="M23" s="30">
        <v>3312.2719229999998</v>
      </c>
      <c r="N23" s="22">
        <f t="shared" si="14"/>
        <v>-30.699702908669302</v>
      </c>
      <c r="O23" s="21">
        <f t="shared" si="14"/>
        <v>-45.944550097547378</v>
      </c>
      <c r="P23" s="21">
        <f t="shared" si="5"/>
        <v>-11.444624631381938</v>
      </c>
      <c r="Q23" s="21">
        <f t="shared" si="5"/>
        <v>524.72017440086415</v>
      </c>
      <c r="R23" s="23" t="s">
        <v>37</v>
      </c>
    </row>
    <row r="24" spans="1:18" s="28" customFormat="1" ht="21" customHeight="1">
      <c r="A24" s="20" t="s">
        <v>38</v>
      </c>
      <c r="B24" s="30">
        <v>-389.9</v>
      </c>
      <c r="C24" s="30">
        <v>-410.2</v>
      </c>
      <c r="D24" s="30">
        <v>-589.4</v>
      </c>
      <c r="E24" s="30">
        <v>-916.53306399999997</v>
      </c>
      <c r="F24" s="30">
        <v>-972.6</v>
      </c>
      <c r="G24" s="30">
        <v>-940.96238500000004</v>
      </c>
      <c r="H24" s="30">
        <v>-714.63789599999996</v>
      </c>
      <c r="I24" s="30">
        <v>-1012.346481</v>
      </c>
      <c r="J24" s="30">
        <v>-1007.226354</v>
      </c>
      <c r="K24" s="30">
        <v>-1063.720947</v>
      </c>
      <c r="L24" s="30">
        <v>-1062.7569599999999</v>
      </c>
      <c r="M24" s="30">
        <v>-1115.049272</v>
      </c>
      <c r="N24" s="22">
        <f t="shared" si="14"/>
        <v>-24.052448068899167</v>
      </c>
      <c r="O24" s="21">
        <f t="shared" si="14"/>
        <v>41.658661913445471</v>
      </c>
      <c r="P24" s="21">
        <f t="shared" si="5"/>
        <v>-0.50576824200962989</v>
      </c>
      <c r="Q24" s="21">
        <f t="shared" si="5"/>
        <v>5.6089272064459905</v>
      </c>
      <c r="R24" s="23" t="s">
        <v>39</v>
      </c>
    </row>
    <row r="25" spans="1:18" s="28" customFormat="1" ht="21" customHeight="1">
      <c r="A25" s="31" t="s">
        <v>40</v>
      </c>
      <c r="B25" s="32">
        <v>1971.7</v>
      </c>
      <c r="C25" s="32">
        <v>4212.3999999999996</v>
      </c>
      <c r="D25" s="32">
        <v>3039.8</v>
      </c>
      <c r="E25" s="32">
        <v>1392.1219779999999</v>
      </c>
      <c r="F25" s="32">
        <v>-999.94847200000004</v>
      </c>
      <c r="G25" s="32">
        <v>2199.7394300000001</v>
      </c>
      <c r="H25" s="32">
        <v>1292.9535039999996</v>
      </c>
      <c r="I25" s="32">
        <v>1745.7500490000004</v>
      </c>
      <c r="J25" s="32">
        <v>4038.0260279109398</v>
      </c>
      <c r="K25" s="32">
        <v>870.02026724682617</v>
      </c>
      <c r="L25" s="32">
        <v>1887.6548786475219</v>
      </c>
      <c r="M25" s="32">
        <v>706.53007663039784</v>
      </c>
      <c r="N25" s="33">
        <f t="shared" si="14"/>
        <v>-41.222424512343281</v>
      </c>
      <c r="O25" s="34">
        <f t="shared" si="14"/>
        <v>35.020326995455584</v>
      </c>
      <c r="P25" s="34">
        <f t="shared" si="5"/>
        <v>131.30608131582179</v>
      </c>
      <c r="Q25" s="34">
        <f t="shared" si="5"/>
        <v>-78.454317499857012</v>
      </c>
      <c r="R25" s="35" t="s">
        <v>41</v>
      </c>
    </row>
    <row r="26" spans="1:18" s="28" customFormat="1" ht="15">
      <c r="A26" s="36" t="s">
        <v>42</v>
      </c>
      <c r="B26" s="37"/>
      <c r="C26" s="37"/>
      <c r="D26" s="37"/>
      <c r="E26" s="38"/>
      <c r="F26" s="38"/>
      <c r="G26" s="38"/>
      <c r="H26" s="38"/>
      <c r="I26" s="38"/>
      <c r="J26" s="38"/>
      <c r="K26" s="38"/>
      <c r="L26" s="38"/>
      <c r="M26" s="38"/>
      <c r="N26" s="39"/>
      <c r="O26" s="39"/>
      <c r="P26" s="39"/>
      <c r="Q26" s="39"/>
      <c r="R26" s="23" t="s">
        <v>43</v>
      </c>
    </row>
    <row r="27" spans="1:18" s="28" customFormat="1" ht="15">
      <c r="A27" s="36" t="s">
        <v>44</v>
      </c>
      <c r="B27" s="37"/>
      <c r="C27" s="37"/>
      <c r="D27" s="37"/>
      <c r="E27" s="38"/>
      <c r="F27" s="38"/>
      <c r="G27" s="38"/>
      <c r="H27" s="38"/>
      <c r="I27" s="38"/>
      <c r="J27" s="38"/>
      <c r="K27" s="38"/>
      <c r="L27" s="38"/>
      <c r="M27" s="38"/>
      <c r="N27" s="39"/>
      <c r="O27" s="39"/>
      <c r="P27" s="39"/>
      <c r="Q27" s="39"/>
      <c r="R27" s="23" t="s">
        <v>45</v>
      </c>
    </row>
    <row r="28" spans="1:18" s="28" customFormat="1" ht="15">
      <c r="A28" s="36" t="s">
        <v>46</v>
      </c>
      <c r="B28" s="37"/>
      <c r="C28" s="37"/>
      <c r="D28" s="37"/>
      <c r="E28" s="38"/>
      <c r="F28" s="38"/>
      <c r="G28" s="38"/>
      <c r="H28" s="38"/>
      <c r="I28" s="38"/>
      <c r="J28" s="38"/>
      <c r="K28" s="38"/>
      <c r="L28" s="38"/>
      <c r="M28" s="38"/>
      <c r="N28" s="39"/>
      <c r="O28" s="39"/>
      <c r="P28" s="39"/>
      <c r="Q28" s="39"/>
      <c r="R28" s="23" t="s">
        <v>47</v>
      </c>
    </row>
    <row r="29" spans="1:18" s="28" customFormat="1" ht="15">
      <c r="A29" s="36" t="s">
        <v>52</v>
      </c>
      <c r="B29" s="37"/>
      <c r="C29" s="37"/>
      <c r="D29" s="37"/>
      <c r="E29" s="38"/>
      <c r="F29" s="38"/>
      <c r="G29" s="38"/>
      <c r="H29" s="38"/>
      <c r="I29" s="38"/>
      <c r="J29" s="38"/>
      <c r="K29" s="38"/>
      <c r="L29" s="38"/>
      <c r="M29" s="38"/>
      <c r="N29" s="39"/>
      <c r="O29" s="39"/>
      <c r="P29" s="39"/>
      <c r="Q29" s="39"/>
      <c r="R29" s="23"/>
    </row>
    <row r="30" spans="1:18" ht="15">
      <c r="A30" s="36" t="s">
        <v>7</v>
      </c>
      <c r="B30" s="37"/>
      <c r="C30" s="37"/>
      <c r="D30" s="37"/>
      <c r="E30" s="40"/>
      <c r="F30" s="40"/>
      <c r="G30" s="40"/>
      <c r="H30" s="40"/>
      <c r="I30" s="40"/>
      <c r="J30" s="40"/>
      <c r="K30" s="40"/>
      <c r="L30" s="40"/>
      <c r="M30" s="40"/>
      <c r="N30" s="39"/>
      <c r="O30" s="39"/>
      <c r="P30" s="39"/>
      <c r="Q30" s="39"/>
      <c r="R30" s="41" t="s">
        <v>6</v>
      </c>
    </row>
    <row r="31" spans="1:18">
      <c r="A31" s="40"/>
      <c r="B31" s="42"/>
      <c r="C31" s="42"/>
      <c r="D31" s="42"/>
      <c r="E31" s="40"/>
      <c r="F31" s="40"/>
      <c r="G31" s="40"/>
      <c r="H31" s="40"/>
      <c r="I31" s="40"/>
      <c r="J31" s="40"/>
      <c r="K31" s="40"/>
      <c r="L31" s="40"/>
      <c r="M31" s="40"/>
    </row>
    <row r="36" spans="2:14">
      <c r="B36" s="44"/>
      <c r="C36" s="44"/>
      <c r="D36" s="44"/>
    </row>
    <row r="38" spans="2:14" ht="15">
      <c r="I38" s="45"/>
      <c r="J38" s="45"/>
      <c r="K38" s="45"/>
      <c r="L38" s="45"/>
      <c r="M38" s="45"/>
    </row>
    <row r="39" spans="2:14" ht="15">
      <c r="I39" s="46"/>
      <c r="J39" s="46"/>
      <c r="K39" s="46"/>
      <c r="L39" s="46"/>
      <c r="M39" s="46"/>
    </row>
    <row r="44" spans="2:14" ht="15">
      <c r="J44" s="46"/>
      <c r="K44" s="46"/>
      <c r="L44" s="46"/>
      <c r="M44" s="46"/>
      <c r="N44" s="46"/>
    </row>
  </sheetData>
  <mergeCells count="8">
    <mergeCell ref="A5:A7"/>
    <mergeCell ref="R5:R7"/>
    <mergeCell ref="A1:R1"/>
    <mergeCell ref="A2:R2"/>
    <mergeCell ref="A3:R3"/>
    <mergeCell ref="A4:R4"/>
    <mergeCell ref="N6:Q6"/>
    <mergeCell ref="N5:Q5"/>
  </mergeCells>
  <pageMargins left="0.17" right="0.16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13.2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2016-04-19T08:50:19Z</cp:lastPrinted>
  <dcterms:created xsi:type="dcterms:W3CDTF">2014-03-06T08:38:12Z</dcterms:created>
  <dcterms:modified xsi:type="dcterms:W3CDTF">2016-04-19T08:50:20Z</dcterms:modified>
</cp:coreProperties>
</file>