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12" sheetId="25" r:id="rId1"/>
  </sheets>
  <externalReferences>
    <externalReference r:id="rId2"/>
    <externalReference r:id="rId3"/>
  </externalReferences>
  <definedNames>
    <definedName name="_xlnm.Print_Area" localSheetId="0">'13.12'!$A$1:$O$42</definedName>
  </definedNames>
  <calcPr calcId="144525"/>
</workbook>
</file>

<file path=xl/calcChain.xml><?xml version="1.0" encoding="utf-8"?>
<calcChain xmlns="http://schemas.openxmlformats.org/spreadsheetml/2006/main">
  <c r="L8" i="25" l="1"/>
  <c r="M8" i="25"/>
  <c r="F28" i="25" l="1"/>
  <c r="F29" i="25" s="1"/>
  <c r="E28" i="25"/>
  <c r="J27" i="25" s="1"/>
  <c r="D28" i="25"/>
  <c r="I27" i="25" s="1"/>
  <c r="C28" i="25"/>
  <c r="H24" i="25" s="1"/>
  <c r="B28" i="25"/>
  <c r="G27" i="25" s="1"/>
  <c r="M27" i="25"/>
  <c r="L27" i="25"/>
  <c r="M26" i="25"/>
  <c r="L26" i="25"/>
  <c r="H26" i="25"/>
  <c r="M25" i="25"/>
  <c r="L25" i="25"/>
  <c r="J25" i="25"/>
  <c r="H25" i="25"/>
  <c r="M24" i="25"/>
  <c r="L24" i="25"/>
  <c r="J24" i="25"/>
  <c r="G24" i="25"/>
  <c r="M23" i="25"/>
  <c r="L23" i="25"/>
  <c r="M22" i="25"/>
  <c r="L22" i="25"/>
  <c r="K22" i="25"/>
  <c r="H22" i="25"/>
  <c r="M21" i="25"/>
  <c r="L21" i="25"/>
  <c r="H21" i="25"/>
  <c r="M20" i="25"/>
  <c r="L20" i="25"/>
  <c r="H20" i="25"/>
  <c r="G20" i="25"/>
  <c r="M19" i="25"/>
  <c r="L19" i="25"/>
  <c r="H19" i="25"/>
  <c r="M18" i="25"/>
  <c r="J18" i="25"/>
  <c r="H18" i="25"/>
  <c r="M17" i="25"/>
  <c r="L17" i="25"/>
  <c r="J17" i="25"/>
  <c r="H17" i="25"/>
  <c r="M16" i="25"/>
  <c r="M15" i="25"/>
  <c r="L15" i="25"/>
  <c r="J15" i="25"/>
  <c r="H15" i="25"/>
  <c r="H14" i="25"/>
  <c r="M13" i="25"/>
  <c r="L13" i="25"/>
  <c r="K13" i="25"/>
  <c r="J13" i="25"/>
  <c r="H13" i="25"/>
  <c r="M12" i="25"/>
  <c r="L12" i="25"/>
  <c r="J12" i="25"/>
  <c r="H12" i="25"/>
  <c r="M11" i="25"/>
  <c r="L11" i="25"/>
  <c r="H11" i="25"/>
  <c r="G11" i="25"/>
  <c r="M10" i="25"/>
  <c r="L10" i="25"/>
  <c r="I10" i="25"/>
  <c r="H10" i="25"/>
  <c r="M9" i="25"/>
  <c r="L9" i="25"/>
  <c r="J9" i="25"/>
  <c r="H9" i="25"/>
  <c r="G9" i="25"/>
  <c r="J8" i="25"/>
  <c r="I8" i="25"/>
  <c r="H8" i="25"/>
  <c r="I23" i="25" l="1"/>
  <c r="I11" i="25"/>
  <c r="I20" i="25"/>
  <c r="K20" i="25"/>
  <c r="I22" i="25"/>
  <c r="I24" i="25"/>
  <c r="I12" i="25"/>
  <c r="I17" i="25"/>
  <c r="I19" i="25"/>
  <c r="J21" i="25"/>
  <c r="H23" i="25"/>
  <c r="H27" i="25"/>
  <c r="H28" i="25"/>
  <c r="K12" i="25"/>
  <c r="K15" i="25"/>
  <c r="K21" i="25"/>
  <c r="G10" i="25"/>
  <c r="J11" i="25"/>
  <c r="G14" i="25"/>
  <c r="K17" i="25"/>
  <c r="J20" i="25"/>
  <c r="K24" i="25"/>
  <c r="G8" i="25"/>
  <c r="K10" i="25"/>
  <c r="G13" i="25"/>
  <c r="I14" i="25"/>
  <c r="K16" i="25"/>
  <c r="J19" i="25"/>
  <c r="G22" i="25"/>
  <c r="J23" i="25"/>
  <c r="K14" i="25"/>
  <c r="G18" i="25"/>
  <c r="G25" i="25"/>
  <c r="K26" i="25"/>
  <c r="G26" i="25"/>
  <c r="G12" i="25"/>
  <c r="K9" i="25"/>
  <c r="G15" i="25"/>
  <c r="G17" i="25"/>
  <c r="G21" i="25"/>
  <c r="K8" i="25"/>
  <c r="K18" i="25"/>
  <c r="K25" i="25"/>
  <c r="I26" i="25"/>
  <c r="I9" i="25"/>
  <c r="J10" i="25"/>
  <c r="K11" i="25"/>
  <c r="I15" i="25"/>
  <c r="I18" i="25"/>
  <c r="K19" i="25"/>
  <c r="G23" i="25"/>
  <c r="I25" i="25"/>
  <c r="J26" i="25"/>
  <c r="K27" i="25"/>
  <c r="G28" i="25"/>
  <c r="I28" i="25"/>
  <c r="J28" i="25"/>
  <c r="I13" i="25"/>
  <c r="J14" i="25"/>
  <c r="G19" i="25"/>
  <c r="I21" i="25"/>
  <c r="J22" i="25"/>
  <c r="K23" i="25"/>
  <c r="K28" i="25"/>
  <c r="L28" i="25"/>
  <c r="M28" i="25"/>
</calcChain>
</file>

<file path=xl/sharedStrings.xml><?xml version="1.0" encoding="utf-8"?>
<sst xmlns="http://schemas.openxmlformats.org/spreadsheetml/2006/main" count="77" uniqueCount="70">
  <si>
    <t>ގްރީން ޓެކްސް</t>
  </si>
  <si>
    <t>-</t>
  </si>
  <si>
    <t>ތާވަލު 13.12: ޢާމްދަނީގެ ގޮތުގައި ލިބުނު ފައިސާ އެކި ބައިތަކަށް، 2011 - 2015</t>
  </si>
  <si>
    <t>Table 13.12: REVENUE COLLECTED BY MAJOR CATEGORIES, 2011 - 2015</t>
  </si>
  <si>
    <t>Description</t>
  </si>
  <si>
    <t>Revenue collected (MVR)</t>
  </si>
  <si>
    <t>Percentage shares</t>
  </si>
  <si>
    <t>*Percentage change over 2013</t>
  </si>
  <si>
    <t>Percentage change over 2014</t>
  </si>
  <si>
    <t>ތަފްސީލު</t>
  </si>
  <si>
    <t>ލިބުނު އާމްދަނީ (ރުފިޔާއިން)</t>
  </si>
  <si>
    <t>cniawtcaws ctogWviawfiheb</t>
  </si>
  <si>
    <t>2013 އާއި އަޅާބަލާއިރު 2014 ގައި އިތުރުވި މިންވަރު (%)</t>
  </si>
  <si>
    <t>2014 އާއި އަޅާބަލާއިރު 2015 ގައި އިތުރުވި މިންވަރު (%)</t>
  </si>
  <si>
    <t>2014*</t>
  </si>
  <si>
    <t xml:space="preserve">Airport Service Charge
</t>
  </si>
  <si>
    <t>އެއަރޕޯޓް ސަރވިސް ޗާޖް</t>
  </si>
  <si>
    <t xml:space="preserve">Bank Profit Tax
</t>
  </si>
  <si>
    <t>ބެންކް ޕްރޮފިޓް ޓެކްސް</t>
  </si>
  <si>
    <t xml:space="preserve">Business Profit Tax
</t>
  </si>
  <si>
    <t>ވިޔަފާރި ފައިދާއިން ނެގޭ ޓެކްސް</t>
  </si>
  <si>
    <t xml:space="preserve">Fines
</t>
  </si>
  <si>
    <t>ޖޫރިމަނާ</t>
  </si>
  <si>
    <t xml:space="preserve">Goods and Services Tax
</t>
  </si>
  <si>
    <t>މުދަލާއި ޙިދުމަތުގެ އަގުން ނެގޭ ޓެކްސް</t>
  </si>
  <si>
    <t>Green Tax</t>
  </si>
  <si>
    <t>Land Acquisition and Conversion Fee</t>
  </si>
  <si>
    <t>ބިން ވިއްކުމާއި ބިން ބަދަލުކުރުމުގެ ފީ</t>
  </si>
  <si>
    <t xml:space="preserve">Land Sales Tax
</t>
  </si>
  <si>
    <t>ބިން ވިއްކުމަށް ނެގޭ ޓެކްސް</t>
  </si>
  <si>
    <t xml:space="preserve">Lease  Period Extension
</t>
  </si>
  <si>
    <t>ކުލީގެ މުއްދަތު އިތުރުކުރުން</t>
  </si>
  <si>
    <t xml:space="preserve">Resident Permit
</t>
  </si>
  <si>
    <t>ރެސިޑެންޓް ޕަރމިޓް</t>
  </si>
  <si>
    <t xml:space="preserve">Revenue Stamp
</t>
  </si>
  <si>
    <t>ރެވެނިއު ސްޓޭމްޕް</t>
  </si>
  <si>
    <t xml:space="preserve">Tourism Land Rent
</t>
  </si>
  <si>
    <t>ޓޫރިޒަމް ލޭންޑް ރެންޓް</t>
  </si>
  <si>
    <t xml:space="preserve">Tourism Tax
</t>
  </si>
  <si>
    <t>ޓޫރިޒަމް ޓެކްސް</t>
  </si>
  <si>
    <t xml:space="preserve">Vehicle Fee
</t>
  </si>
  <si>
    <t xml:space="preserve"> އުޅަނދުފަހަރުގެ ފީ</t>
  </si>
  <si>
    <t xml:space="preserve">Vessels Fee
</t>
  </si>
  <si>
    <t xml:space="preserve"> ކަނޑުގައި ދުއްވާ އުޅަނދުފަހަރުގެ ފީ</t>
  </si>
  <si>
    <t>އެހެނިހެން</t>
  </si>
  <si>
    <t>Total</t>
  </si>
  <si>
    <t>ޖުމްލަ</t>
  </si>
  <si>
    <t>Note:</t>
  </si>
  <si>
    <t>* 2014 figures are revised</t>
  </si>
  <si>
    <t>Source: Maldives Inland Revenue Authority</t>
  </si>
  <si>
    <t>ވިޔަފާރި ހުއްދަ: ކުންފުނިތަކުގެ އަހަރީ ފީ، ރެސްޓޯރަންޓް، ކެފޭ އަދި ކެންޓީންތަކުގެ ވިޔަފާރި ފީ، ފްލެޓް ބެލެހެއްޓުމުގެ އަގު ، ޕާޓްނާޝިޕް އަހަރީ ފީ، އިމްޕޯޓް ވިޔަފާރި ފީ، ކޯޕަރޭޓިވް ސޮސައިޓީ ރެޖިސްޓްރޭޝަން ފީ، ޓްރޭޑް ރަޖިސްޓްރީ ފީ، ފޮރިން އިންވެސްޓްމަންޓް އެޑްމިނިސްޓްރޭޝަން ފީ، ކުންފުނި ރަޖިސްޓްރީ ކުރުމުގެ ފީ، ބިދޭސީން ވިޔަފާރި ކުރުމުގެ ހުއްދަ</t>
  </si>
  <si>
    <t>ރޯޔަލްޓީ: ޑިއުޓީ ފްރީ ޝޮޕްގެ ރޯޔަލްޓީ، ބިދޭސީން ކުރާ ވިޔަފާރިގެ ރޯޔަލްޓީ، ބިދޭސީން ކުރާ މަސްވެރިކަމުގެ ރޯޔަލްޓީ، ގާމެންޓް އިންޑަސްޓްރީގެ ރޯޔަލްޓީ، ބުލިއަން ރޯޔަލްޓީ، ފިއުލް ރީއެކްސްޕޯޓް ރޯޔަލްޓީ، ރީއެކްސްޕޯޓް ރޯޔަލްޓީ، ބޮޑު ކަންނެލީގެ އެކްސްޕޯޓް ރޯޔަލްޓީ، މަސް އެކްސްޕޯޓް ކުރުމުގެ ރޯޔަލްޓީ</t>
  </si>
  <si>
    <t>ހަރުމުދާ ވިއްކައިގެން ލިބޭ ފައިސާ: ނީލަމުގައި ތަކެތި ވިއްކައިގެން ލިބޭ، ސަރުކާރުގެ އިމާރާތް ވިއްކި، ސަރުކާރުގެ ބިން ވިއްކި</t>
  </si>
  <si>
    <t>އެހެނިހެން: ކުރީ އަހަރުގެ ބަޖެޓުން އަނބުރާ ލިބޭ ފައިސާ</t>
  </si>
  <si>
    <t>މަޢުލޫމާތު ދެއްވި ފަރާތް: މޯލްޑިވްސް އިންލަންޑް ރެވެނިއު އޮތޯރިޓީ</t>
  </si>
  <si>
    <r>
      <t>Business Permits</t>
    </r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
</t>
    </r>
  </si>
  <si>
    <r>
      <t>ބިމުގެ ކުލި</t>
    </r>
    <r>
      <rPr>
        <vertAlign val="superscript"/>
        <sz val="10"/>
        <rFont val="Faruma"/>
      </rPr>
      <t>1</t>
    </r>
  </si>
  <si>
    <r>
      <t>Land Rent</t>
    </r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
</t>
    </r>
  </si>
  <si>
    <r>
      <t>ބިމުގެ ކުލި</t>
    </r>
    <r>
      <rPr>
        <vertAlign val="superscript"/>
        <sz val="9.5"/>
        <rFont val="Faruma"/>
      </rPr>
      <t>2</t>
    </r>
  </si>
  <si>
    <r>
      <t>Royalties</t>
    </r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
</t>
    </r>
  </si>
  <si>
    <r>
      <t>ރޯޔަލްޓީ</t>
    </r>
    <r>
      <rPr>
        <vertAlign val="superscript"/>
        <sz val="9.5"/>
        <rFont val="Faruma"/>
      </rPr>
      <t>3</t>
    </r>
  </si>
  <si>
    <r>
      <t>Sale of Capital Assets</t>
    </r>
    <r>
      <rPr>
        <vertAlign val="superscript"/>
        <sz val="10"/>
        <rFont val="Calibri"/>
        <family val="2"/>
        <scheme val="minor"/>
      </rPr>
      <t>4</t>
    </r>
    <r>
      <rPr>
        <sz val="10"/>
        <rFont val="Calibri"/>
        <family val="2"/>
        <scheme val="minor"/>
      </rPr>
      <t xml:space="preserve">
</t>
    </r>
  </si>
  <si>
    <r>
      <t>ހަރުމުދާ ވިއްކައިގެން ލިބޭ ފައިސާ</t>
    </r>
    <r>
      <rPr>
        <vertAlign val="superscript"/>
        <sz val="9.5"/>
        <rFont val="Faruma"/>
      </rPr>
      <t>4</t>
    </r>
  </si>
  <si>
    <r>
      <t>Others</t>
    </r>
    <r>
      <rPr>
        <vertAlign val="superscript"/>
        <sz val="10"/>
        <rFont val="Calibri"/>
        <family val="2"/>
        <scheme val="minor"/>
      </rPr>
      <t>5</t>
    </r>
  </si>
  <si>
    <r>
      <rPr>
        <vertAlign val="superscript"/>
        <sz val="10"/>
        <rFont val="Calibri"/>
        <family val="2"/>
        <scheme val="minor"/>
      </rPr>
      <t xml:space="preserve">1 </t>
    </r>
    <r>
      <rPr>
        <sz val="10"/>
        <rFont val="Calibri"/>
        <family val="2"/>
        <scheme val="minor"/>
      </rPr>
      <t>Business Permits: Company Annual Fee, Restaurant, Café, Canteen Fee, Flat Maintanance Fee, Partnership Fees, Import Trade Fee, Co-operative Society Fees, Trade Registry Fee, Foreign Investment Administration Annual Fee, Company Registration Fee, Foreign Business Fee, Sole Traders Registration Fee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</si>
  <si>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Land Rent: Uninhabited Islands Rent, Government Buildings Rent, Commercial Land Rent, Rent from Land for Industry, Longterm Agricultural Leased Islands Rent, Rent from Floating Jetty, Uninhabited Islands Administration Fee</t>
    </r>
  </si>
  <si>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 Royalties: Duty Free Royalty, Foreign Investment Royalty, Fishing Royalty, Fuel re-export Royalty, Re-Export Royalty, Yellowfin Tuna Export Royalty, Skipjack Industry Royalty</t>
    </r>
  </si>
  <si>
    <r>
      <rPr>
        <vertAlign val="superscript"/>
        <sz val="10"/>
        <rFont val="Calibri"/>
        <family val="2"/>
        <scheme val="minor"/>
      </rPr>
      <t>4</t>
    </r>
    <r>
      <rPr>
        <sz val="10"/>
        <rFont val="Calibri"/>
        <family val="2"/>
        <scheme val="minor"/>
      </rPr>
      <t xml:space="preserve"> Sale of Capital Assets: Sale of Items At Auction, Sale of Government Buildings, Sale of Government Lands</t>
    </r>
  </si>
  <si>
    <r>
      <rPr>
        <vertAlign val="superscript"/>
        <sz val="10"/>
        <rFont val="Calibri"/>
        <family val="2"/>
        <scheme val="minor"/>
      </rPr>
      <t>5</t>
    </r>
    <r>
      <rPr>
        <sz val="10"/>
        <rFont val="Calibri"/>
        <family val="2"/>
        <scheme val="minor"/>
      </rPr>
      <t xml:space="preserve"> Others: Reimbursements from Previous Year's Budget</t>
    </r>
  </si>
  <si>
    <r>
      <rPr>
        <sz val="10"/>
        <rFont val="Faruma"/>
      </rPr>
      <t xml:space="preserve">ބިމުގެ ކުލި: ގޮއިފާލައްބަ، ހިންނަ ފަދަ ތަންތަނުގެ ވަރުވާ، ސަރުކާރު އިމާރާތްތަކުގެ ކުލި، ވިޔަފާރިކުރުމަށް ދޫކުރެވިފައިވާ ބިންބިމުގެ ކުލި، ސިނާޢީ މަސައްކަތްތަކަށް ދޫކުރެވިފައިވާ ބިމުގެ ކުލި، ދަނޑުވެރިކަމަށް ދޫކުރެވިފައިވާ ރަށްރަށުގެ ކުލި، ފްލޯޓިންގ ޖެޓީގެ ކުލި، ފަޅުރަށްރަށް ބެލެހެއްޓުމުގެ ފީ   </t>
    </r>
    <r>
      <rPr>
        <sz val="1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</si>
</sst>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9" formatCode="0.0"/>
    <numFmt numFmtId="171" formatCode="_-* #,##0.00_-;\-* #,##0.00_-;_-* &quot;-&quot;??_-;_-@_-"/>
    <numFmt numFmtId="172" formatCode="#,##0.00\ ;&quot; (&quot;#,##0.00\);&quot; -&quot;#\ ;@\ "/>
    <numFmt numFmtId="173" formatCode="_(* #,##0_);_(* \(#,##0\);_(* &quot;-&quot;??_);_(@_)"/>
    <numFmt numFmtId="174" formatCode="#,##0_);\-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.5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1"/>
      <name val="Faruma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b/>
      <sz val="9"/>
      <name val="Faruma"/>
    </font>
    <font>
      <b/>
      <sz val="9"/>
      <name val="A_Faseyha"/>
    </font>
    <font>
      <sz val="10"/>
      <name val="Faruma"/>
    </font>
    <font>
      <vertAlign val="superscript"/>
      <sz val="10"/>
      <name val="Faruma"/>
    </font>
    <font>
      <sz val="9.5"/>
      <name val="Faruma"/>
    </font>
    <font>
      <vertAlign val="superscript"/>
      <sz val="9.5"/>
      <name val="Faruma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 style="hair">
        <color indexed="64"/>
      </right>
      <top style="thin">
        <color auto="1"/>
      </top>
      <bottom style="hair">
        <color theme="1"/>
      </bottom>
      <diagonal/>
    </border>
    <border>
      <left style="hair">
        <color indexed="64"/>
      </left>
      <right/>
      <top style="thin">
        <color auto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theme="1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hair">
        <color indexed="64"/>
      </right>
      <top style="hair">
        <color theme="1"/>
      </top>
      <bottom style="thin">
        <color auto="1"/>
      </bottom>
      <diagonal/>
    </border>
    <border>
      <left style="hair">
        <color indexed="64"/>
      </left>
      <right/>
      <top style="hair">
        <color theme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5">
    <xf numFmtId="0" fontId="0" fillId="0" borderId="0" xfId="0"/>
    <xf numFmtId="173" fontId="5" fillId="2" borderId="0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 readingOrder="2"/>
    </xf>
    <xf numFmtId="0" fontId="17" fillId="2" borderId="14" xfId="0" applyFont="1" applyFill="1" applyBorder="1" applyAlignment="1">
      <alignment horizontal="center" vertical="center" wrapText="1" readingOrder="2"/>
    </xf>
    <xf numFmtId="0" fontId="17" fillId="2" borderId="15" xfId="0" applyFont="1" applyFill="1" applyBorder="1" applyAlignment="1">
      <alignment horizontal="center" vertical="center" wrapText="1" readingOrder="2"/>
    </xf>
    <xf numFmtId="0" fontId="16" fillId="2" borderId="17" xfId="0" applyFont="1" applyFill="1" applyBorder="1" applyAlignment="1">
      <alignment horizontal="center" vertical="center" wrapText="1" readingOrder="2"/>
    </xf>
    <xf numFmtId="0" fontId="16" fillId="2" borderId="0" xfId="0" applyFont="1" applyFill="1" applyBorder="1" applyAlignment="1">
      <alignment horizontal="center" vertical="center" wrapText="1" readingOrder="2"/>
    </xf>
    <xf numFmtId="0" fontId="15" fillId="2" borderId="0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vertical="top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right" vertical="center" wrapText="1"/>
    </xf>
    <xf numFmtId="0" fontId="14" fillId="2" borderId="9" xfId="0" applyFont="1" applyFill="1" applyBorder="1" applyAlignment="1">
      <alignment horizontal="right" vertical="center" wrapText="1"/>
    </xf>
    <xf numFmtId="0" fontId="14" fillId="2" borderId="7" xfId="0" applyFont="1" applyFill="1" applyBorder="1" applyAlignment="1">
      <alignment horizontal="right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left" vertical="top"/>
    </xf>
    <xf numFmtId="173" fontId="5" fillId="2" borderId="4" xfId="1" applyNumberFormat="1" applyFont="1" applyFill="1" applyBorder="1" applyAlignment="1">
      <alignment horizontal="right" vertical="center"/>
    </xf>
    <xf numFmtId="169" fontId="5" fillId="2" borderId="3" xfId="0" applyNumberFormat="1" applyFont="1" applyFill="1" applyBorder="1" applyAlignment="1">
      <alignment horizontal="right" vertical="center" wrapText="1"/>
    </xf>
    <xf numFmtId="169" fontId="5" fillId="2" borderId="0" xfId="0" applyNumberFormat="1" applyFont="1" applyFill="1" applyBorder="1" applyAlignment="1">
      <alignment horizontal="right" vertical="center" wrapText="1"/>
    </xf>
    <xf numFmtId="169" fontId="5" fillId="2" borderId="4" xfId="0" applyNumberFormat="1" applyFont="1" applyFill="1" applyBorder="1" applyAlignment="1">
      <alignment horizontal="right" vertical="center" wrapText="1"/>
    </xf>
    <xf numFmtId="165" fontId="5" fillId="2" borderId="17" xfId="1" applyNumberFormat="1" applyFont="1" applyFill="1" applyBorder="1" applyAlignment="1">
      <alignment horizontal="center" vertical="center" wrapText="1"/>
    </xf>
    <xf numFmtId="165" fontId="5" fillId="2" borderId="0" xfId="1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vertical="top" wrapText="1"/>
    </xf>
    <xf numFmtId="173" fontId="10" fillId="2" borderId="0" xfId="0" applyNumberFormat="1" applyFont="1" applyFill="1" applyAlignment="1">
      <alignment vertical="top" wrapText="1"/>
    </xf>
    <xf numFmtId="174" fontId="10" fillId="2" borderId="0" xfId="0" applyNumberFormat="1" applyFont="1" applyFill="1" applyAlignment="1">
      <alignment horizontal="left" vertical="top"/>
    </xf>
    <xf numFmtId="43" fontId="10" fillId="2" borderId="0" xfId="0" applyNumberFormat="1" applyFont="1" applyFill="1" applyAlignment="1">
      <alignment vertical="top" wrapText="1"/>
    </xf>
    <xf numFmtId="174" fontId="10" fillId="2" borderId="0" xfId="0" applyNumberFormat="1" applyFont="1" applyFill="1" applyAlignment="1">
      <alignment horizontal="left" vertical="top" wrapText="1"/>
    </xf>
    <xf numFmtId="43" fontId="10" fillId="2" borderId="0" xfId="1" applyFont="1" applyFill="1" applyAlignment="1">
      <alignment vertical="top" wrapText="1"/>
    </xf>
    <xf numFmtId="165" fontId="20" fillId="2" borderId="0" xfId="2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 wrapText="1"/>
    </xf>
    <xf numFmtId="173" fontId="5" fillId="2" borderId="17" xfId="1" applyNumberFormat="1" applyFont="1" applyFill="1" applyBorder="1" applyAlignment="1">
      <alignment horizontal="center" vertical="center"/>
    </xf>
    <xf numFmtId="173" fontId="5" fillId="2" borderId="0" xfId="1" applyNumberFormat="1" applyFont="1" applyFill="1" applyBorder="1" applyAlignment="1">
      <alignment horizontal="center" vertical="center"/>
    </xf>
    <xf numFmtId="165" fontId="20" fillId="2" borderId="0" xfId="2" applyNumberFormat="1" applyFont="1" applyFill="1" applyBorder="1" applyAlignment="1">
      <alignment horizontal="right" vertical="center"/>
    </xf>
    <xf numFmtId="173" fontId="5" fillId="2" borderId="3" xfId="1" applyNumberFormat="1" applyFont="1" applyFill="1" applyBorder="1" applyAlignment="1">
      <alignment horizontal="center" vertical="center"/>
    </xf>
    <xf numFmtId="174" fontId="10" fillId="2" borderId="0" xfId="0" applyNumberFormat="1" applyFont="1" applyFill="1" applyBorder="1" applyAlignment="1">
      <alignment horizontal="left" vertical="top"/>
    </xf>
    <xf numFmtId="174" fontId="10" fillId="2" borderId="1" xfId="0" applyNumberFormat="1" applyFont="1" applyFill="1" applyBorder="1" applyAlignment="1">
      <alignment horizontal="left" vertical="top"/>
    </xf>
    <xf numFmtId="173" fontId="5" fillId="2" borderId="1" xfId="1" applyNumberFormat="1" applyFont="1" applyFill="1" applyBorder="1" applyAlignment="1">
      <alignment horizontal="right" vertical="center"/>
    </xf>
    <xf numFmtId="173" fontId="5" fillId="2" borderId="5" xfId="1" applyNumberFormat="1" applyFont="1" applyFill="1" applyBorder="1" applyAlignment="1">
      <alignment horizontal="right" vertical="center"/>
    </xf>
    <xf numFmtId="174" fontId="14" fillId="2" borderId="6" xfId="0" applyNumberFormat="1" applyFont="1" applyFill="1" applyBorder="1" applyAlignment="1">
      <alignment horizontal="left" vertical="top"/>
    </xf>
    <xf numFmtId="173" fontId="22" fillId="2" borderId="2" xfId="1" applyNumberFormat="1" applyFont="1" applyFill="1" applyBorder="1" applyAlignment="1">
      <alignment horizontal="right" vertical="center"/>
    </xf>
    <xf numFmtId="173" fontId="22" fillId="2" borderId="9" xfId="1" applyNumberFormat="1" applyFont="1" applyFill="1" applyBorder="1" applyAlignment="1">
      <alignment horizontal="right" vertical="center"/>
    </xf>
    <xf numFmtId="1" fontId="22" fillId="2" borderId="7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69" fontId="5" fillId="2" borderId="6" xfId="0" applyNumberFormat="1" applyFont="1" applyFill="1" applyBorder="1" applyAlignment="1">
      <alignment horizontal="right" vertical="center" wrapText="1"/>
    </xf>
    <xf numFmtId="169" fontId="5" fillId="2" borderId="9" xfId="0" applyNumberFormat="1" applyFont="1" applyFill="1" applyBorder="1" applyAlignment="1">
      <alignment horizontal="right" vertical="center" wrapText="1"/>
    </xf>
    <xf numFmtId="165" fontId="22" fillId="2" borderId="8" xfId="1" applyNumberFormat="1" applyFont="1" applyFill="1" applyBorder="1" applyAlignment="1">
      <alignment horizontal="center" vertical="center" wrapText="1"/>
    </xf>
    <xf numFmtId="165" fontId="22" fillId="2" borderId="6" xfId="1" applyNumberFormat="1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vertical="top" wrapText="1"/>
    </xf>
    <xf numFmtId="0" fontId="14" fillId="2" borderId="0" xfId="0" applyFont="1" applyFill="1" applyAlignment="1">
      <alignment vertical="top"/>
    </xf>
    <xf numFmtId="173" fontId="14" fillId="2" borderId="2" xfId="1" applyNumberFormat="1" applyFont="1" applyFill="1" applyBorder="1" applyAlignment="1">
      <alignment horizontal="right" vertical="center"/>
    </xf>
    <xf numFmtId="173" fontId="14" fillId="2" borderId="0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top"/>
    </xf>
    <xf numFmtId="0" fontId="10" fillId="2" borderId="2" xfId="0" applyFont="1" applyFill="1" applyBorder="1" applyAlignment="1">
      <alignment vertical="top"/>
    </xf>
    <xf numFmtId="0" fontId="10" fillId="2" borderId="0" xfId="0" applyFont="1" applyFill="1" applyBorder="1" applyAlignment="1">
      <alignment vertical="top"/>
    </xf>
    <xf numFmtId="0" fontId="23" fillId="2" borderId="0" xfId="0" applyFont="1" applyFill="1" applyAlignment="1">
      <alignment vertical="top"/>
    </xf>
    <xf numFmtId="0" fontId="10" fillId="2" borderId="0" xfId="0" applyNumberFormat="1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top"/>
    </xf>
    <xf numFmtId="0" fontId="24" fillId="2" borderId="0" xfId="0" applyFont="1" applyFill="1" applyAlignment="1">
      <alignment vertical="top"/>
    </xf>
    <xf numFmtId="174" fontId="23" fillId="2" borderId="0" xfId="0" applyNumberFormat="1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right" vertical="top" wrapText="1"/>
    </xf>
    <xf numFmtId="0" fontId="11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right" vertical="top" wrapText="1"/>
    </xf>
    <xf numFmtId="0" fontId="18" fillId="2" borderId="0" xfId="0" applyFont="1" applyFill="1" applyBorder="1" applyAlignment="1">
      <alignment horizontal="right" vertical="top" wrapText="1"/>
    </xf>
    <xf numFmtId="0" fontId="18" fillId="2" borderId="0" xfId="0" applyFont="1" applyFill="1" applyBorder="1" applyAlignment="1">
      <alignment horizontal="right" vertical="top" wrapText="1"/>
    </xf>
    <xf numFmtId="0" fontId="11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</cellXfs>
  <cellStyles count="11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D/Planning%20&amp;%20International%20Relations%20Division/Planning%20&amp;%20Statistics%20Section/GOVERNMENT%20REVENUE/REVENUE%20MONITORING/REVENUE%20REPORTS/2015/Old%20Reports/MIRA%20Revenue%20Collection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 Revenue 2015"/>
      <sheetName val="MVR Revenue 2015"/>
      <sheetName val="US$ Revenue 2015"/>
      <sheetName val="USD in MVR 2015"/>
      <sheetName val="K.Branch"/>
      <sheetName val="FVM"/>
      <sheetName val="ADDU"/>
    </sheetNames>
    <sheetDataSet>
      <sheetData sheetId="0" refreshError="1">
        <row r="55">
          <cell r="O55">
            <v>13018024019.756102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tabSelected="1" zoomScaleNormal="100" workbookViewId="0">
      <selection activeCell="C36" sqref="C36"/>
    </sheetView>
  </sheetViews>
  <sheetFormatPr defaultColWidth="8" defaultRowHeight="12.75" x14ac:dyDescent="0.25"/>
  <cols>
    <col min="1" max="1" width="30.28515625" style="2" customWidth="1"/>
    <col min="2" max="6" width="15.85546875" style="2" customWidth="1"/>
    <col min="7" max="11" width="9.140625" style="2" customWidth="1"/>
    <col min="12" max="13" width="19.7109375" style="2" customWidth="1"/>
    <col min="14" max="14" width="23.42578125" style="2" customWidth="1"/>
    <col min="15" max="15" width="1.5703125" style="2" customWidth="1"/>
    <col min="16" max="16" width="14.28515625" style="2" bestFit="1" customWidth="1"/>
    <col min="17" max="17" width="8.28515625" style="2" bestFit="1" customWidth="1"/>
    <col min="18" max="16384" width="8" style="2"/>
  </cols>
  <sheetData>
    <row r="1" spans="1:17" ht="8.25" customHeight="1" x14ac:dyDescent="0.25"/>
    <row r="2" spans="1:17" ht="18.75" customHeight="1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ht="15.75" customHeight="1" x14ac:dyDescent="0.25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7" ht="6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7" ht="25.9" customHeight="1" x14ac:dyDescent="0.25">
      <c r="A5" s="6" t="s">
        <v>4</v>
      </c>
      <c r="B5" s="7" t="s">
        <v>5</v>
      </c>
      <c r="C5" s="7"/>
      <c r="D5" s="7"/>
      <c r="E5" s="7"/>
      <c r="F5" s="8"/>
      <c r="G5" s="9" t="s">
        <v>6</v>
      </c>
      <c r="H5" s="7"/>
      <c r="I5" s="7"/>
      <c r="J5" s="7"/>
      <c r="K5" s="8"/>
      <c r="L5" s="10" t="s">
        <v>7</v>
      </c>
      <c r="M5" s="11" t="s">
        <v>8</v>
      </c>
      <c r="N5" s="12" t="s">
        <v>9</v>
      </c>
    </row>
    <row r="6" spans="1:17" s="22" customFormat="1" ht="51" customHeight="1" x14ac:dyDescent="0.25">
      <c r="A6" s="13"/>
      <c r="B6" s="14" t="s">
        <v>10</v>
      </c>
      <c r="C6" s="14"/>
      <c r="D6" s="14"/>
      <c r="E6" s="14"/>
      <c r="F6" s="15"/>
      <c r="G6" s="16" t="s">
        <v>11</v>
      </c>
      <c r="H6" s="17"/>
      <c r="I6" s="17"/>
      <c r="J6" s="17"/>
      <c r="K6" s="18"/>
      <c r="L6" s="19" t="s">
        <v>12</v>
      </c>
      <c r="M6" s="20" t="s">
        <v>13</v>
      </c>
      <c r="N6" s="21"/>
    </row>
    <row r="7" spans="1:17" ht="18.75" customHeight="1" x14ac:dyDescent="0.25">
      <c r="A7" s="23"/>
      <c r="B7" s="24">
        <v>2011</v>
      </c>
      <c r="C7" s="24">
        <v>2012</v>
      </c>
      <c r="D7" s="24">
        <v>2013</v>
      </c>
      <c r="E7" s="24" t="s">
        <v>14</v>
      </c>
      <c r="F7" s="25">
        <v>2015</v>
      </c>
      <c r="G7" s="26">
        <v>2011</v>
      </c>
      <c r="H7" s="24">
        <v>2012</v>
      </c>
      <c r="I7" s="24">
        <v>2013</v>
      </c>
      <c r="J7" s="24">
        <v>2014</v>
      </c>
      <c r="K7" s="25">
        <v>2015</v>
      </c>
      <c r="L7" s="27">
        <v>2014</v>
      </c>
      <c r="M7" s="28">
        <v>2015</v>
      </c>
      <c r="N7" s="29"/>
    </row>
    <row r="8" spans="1:17" ht="19.5" customHeight="1" x14ac:dyDescent="0.25">
      <c r="A8" s="30" t="s">
        <v>15</v>
      </c>
      <c r="B8" s="1">
        <v>337494704.2076</v>
      </c>
      <c r="C8" s="1">
        <v>299914418.10500002</v>
      </c>
      <c r="D8" s="1">
        <v>350246279.87499994</v>
      </c>
      <c r="E8" s="1">
        <v>431977863.3118999</v>
      </c>
      <c r="F8" s="31">
        <v>496472273.14529997</v>
      </c>
      <c r="G8" s="32">
        <f t="shared" ref="G8:G28" si="0">(B8/$B$28)*100</f>
        <v>7.400866620570616</v>
      </c>
      <c r="H8" s="33">
        <f t="shared" ref="H8:H28" si="1">(C8/$C$28)*100</f>
        <v>4.1933328367356175</v>
      </c>
      <c r="I8" s="33">
        <f>(D8/$D$28)*100</f>
        <v>3.8990700171998918</v>
      </c>
      <c r="J8" s="33">
        <f>(E8/$E$28)*100</f>
        <v>3.7571793063672669</v>
      </c>
      <c r="K8" s="34">
        <f>(F8/$F$28)*100</f>
        <v>3.8137298901266101</v>
      </c>
      <c r="L8" s="35">
        <f>((E8/D8)-1)*100</f>
        <v>23.335460826612998</v>
      </c>
      <c r="M8" s="36">
        <f>((F8/E8)-1)*100</f>
        <v>14.930026584911671</v>
      </c>
      <c r="N8" s="37" t="s">
        <v>16</v>
      </c>
      <c r="Q8" s="38"/>
    </row>
    <row r="9" spans="1:17" ht="19.5" customHeight="1" x14ac:dyDescent="0.25">
      <c r="A9" s="39" t="s">
        <v>17</v>
      </c>
      <c r="B9" s="1">
        <v>229856988.79999998</v>
      </c>
      <c r="C9" s="1">
        <v>313152517.39999998</v>
      </c>
      <c r="D9" s="1">
        <v>355036694.05000001</v>
      </c>
      <c r="E9" s="1">
        <v>482197189.75</v>
      </c>
      <c r="F9" s="31">
        <v>512725167.70999998</v>
      </c>
      <c r="G9" s="32">
        <f t="shared" si="0"/>
        <v>5.0404966202621857</v>
      </c>
      <c r="H9" s="33">
        <f t="shared" si="1"/>
        <v>4.3784248267120889</v>
      </c>
      <c r="I9" s="33">
        <f>(D9/$D$28)*100</f>
        <v>3.9523986643631916</v>
      </c>
      <c r="J9" s="33">
        <f>(E9/$E$28)*100</f>
        <v>4.1939679247152819</v>
      </c>
      <c r="K9" s="34">
        <f t="shared" ref="K9:K28" si="2">(F9/$F$28)*100</f>
        <v>3.9385790572508581</v>
      </c>
      <c r="L9" s="35">
        <f>((E9/D9)-1)*100</f>
        <v>35.816155859679078</v>
      </c>
      <c r="M9" s="36">
        <f t="shared" ref="M9:M27" si="3">((F9/E9)-1)*100</f>
        <v>6.3310153208954834</v>
      </c>
      <c r="N9" s="37" t="s">
        <v>18</v>
      </c>
      <c r="P9" s="40"/>
      <c r="Q9" s="38"/>
    </row>
    <row r="10" spans="1:17" ht="19.5" customHeight="1" x14ac:dyDescent="0.25">
      <c r="A10" s="41" t="s">
        <v>55</v>
      </c>
      <c r="B10" s="1">
        <v>29029741.73</v>
      </c>
      <c r="C10" s="1">
        <v>28598365.850000001</v>
      </c>
      <c r="D10" s="1">
        <v>27710614</v>
      </c>
      <c r="E10" s="1">
        <v>28174257</v>
      </c>
      <c r="F10" s="31">
        <v>30778895.300000001</v>
      </c>
      <c r="G10" s="32">
        <f t="shared" si="0"/>
        <v>0.63658849722627686</v>
      </c>
      <c r="H10" s="33">
        <f t="shared" si="1"/>
        <v>0.39985562332584712</v>
      </c>
      <c r="I10" s="33">
        <f t="shared" ref="I10:I27" si="4">(D10/$D$28)*100</f>
        <v>0.30848471608081079</v>
      </c>
      <c r="J10" s="33">
        <f t="shared" ref="J10:J27" si="5">(E10/$E$28)*100</f>
        <v>0.24504898135542275</v>
      </c>
      <c r="K10" s="34">
        <f t="shared" si="2"/>
        <v>0.23643292755713219</v>
      </c>
      <c r="L10" s="35">
        <f>((E10/D10)-1)*100</f>
        <v>1.6731603276636253</v>
      </c>
      <c r="M10" s="36">
        <f t="shared" si="3"/>
        <v>9.2447453006480274</v>
      </c>
      <c r="N10" s="37" t="s">
        <v>56</v>
      </c>
      <c r="P10" s="42"/>
      <c r="Q10" s="38"/>
    </row>
    <row r="11" spans="1:17" ht="19.5" customHeight="1" x14ac:dyDescent="0.25">
      <c r="A11" s="39" t="s">
        <v>19</v>
      </c>
      <c r="B11" s="1">
        <v>35069424.219999999</v>
      </c>
      <c r="C11" s="1">
        <v>1401117904.5887001</v>
      </c>
      <c r="D11" s="1">
        <v>1881814670.0172997</v>
      </c>
      <c r="E11" s="1">
        <v>2475402851.9278002</v>
      </c>
      <c r="F11" s="31">
        <v>2673628146.3839998</v>
      </c>
      <c r="G11" s="32">
        <f t="shared" si="0"/>
        <v>0.76903171479922761</v>
      </c>
      <c r="H11" s="33">
        <f t="shared" si="1"/>
        <v>19.590100918032675</v>
      </c>
      <c r="I11" s="33">
        <f t="shared" si="4"/>
        <v>20.949050937557406</v>
      </c>
      <c r="J11" s="33">
        <f t="shared" si="5"/>
        <v>21.53011336942145</v>
      </c>
      <c r="K11" s="34">
        <f t="shared" si="2"/>
        <v>20.537895323641383</v>
      </c>
      <c r="L11" s="35">
        <f>((E11/D11)-1)*100</f>
        <v>31.543392203709608</v>
      </c>
      <c r="M11" s="36">
        <f>((F11/E11)-1)*100</f>
        <v>8.0077993891711543</v>
      </c>
      <c r="N11" s="43" t="s">
        <v>20</v>
      </c>
      <c r="Q11" s="38"/>
    </row>
    <row r="12" spans="1:17" ht="19.5" customHeight="1" x14ac:dyDescent="0.25">
      <c r="A12" s="41" t="s">
        <v>21</v>
      </c>
      <c r="B12" s="1">
        <v>44654557.465700001</v>
      </c>
      <c r="C12" s="1">
        <v>51539663.522400007</v>
      </c>
      <c r="D12" s="1">
        <v>54796856.450100005</v>
      </c>
      <c r="E12" s="1">
        <v>116054694.13689999</v>
      </c>
      <c r="F12" s="31">
        <v>219550748.9149</v>
      </c>
      <c r="G12" s="32">
        <f t="shared" si="0"/>
        <v>0.9792225468550313</v>
      </c>
      <c r="H12" s="33">
        <f t="shared" si="1"/>
        <v>0.7206154502619484</v>
      </c>
      <c r="I12" s="33">
        <f t="shared" si="4"/>
        <v>0.61001869912121209</v>
      </c>
      <c r="J12" s="33">
        <f t="shared" si="5"/>
        <v>1.0093996295896108</v>
      </c>
      <c r="K12" s="34">
        <f t="shared" si="2"/>
        <v>1.686513625890617</v>
      </c>
      <c r="L12" s="35">
        <f t="shared" ref="L12:M28" si="6">((E12/D12)-1)*100</f>
        <v>111.79078811315316</v>
      </c>
      <c r="M12" s="36">
        <f t="shared" si="3"/>
        <v>89.178689020466834</v>
      </c>
      <c r="N12" s="37" t="s">
        <v>22</v>
      </c>
      <c r="Q12" s="38"/>
    </row>
    <row r="13" spans="1:17" ht="19.5" customHeight="1" x14ac:dyDescent="0.25">
      <c r="A13" s="39" t="s">
        <v>23</v>
      </c>
      <c r="B13" s="1">
        <v>923334858.34319997</v>
      </c>
      <c r="C13" s="1">
        <v>2572005117.2307997</v>
      </c>
      <c r="D13" s="1">
        <v>3654632712.6659002</v>
      </c>
      <c r="E13" s="1">
        <v>4542200766.8251991</v>
      </c>
      <c r="F13" s="31">
        <v>6018466639.1227999</v>
      </c>
      <c r="G13" s="32">
        <f t="shared" si="0"/>
        <v>20.2476603263027</v>
      </c>
      <c r="H13" s="33">
        <f t="shared" si="1"/>
        <v>35.961170464835831</v>
      </c>
      <c r="I13" s="33">
        <f t="shared" si="4"/>
        <v>40.684711451950641</v>
      </c>
      <c r="J13" s="33">
        <f>(E13/$E$28)*100</f>
        <v>39.506336263715319</v>
      </c>
      <c r="K13" s="34">
        <f t="shared" si="2"/>
        <v>46.23179854322899</v>
      </c>
      <c r="L13" s="35">
        <f t="shared" si="6"/>
        <v>24.286108179441523</v>
      </c>
      <c r="M13" s="36">
        <f t="shared" si="3"/>
        <v>32.501114505545004</v>
      </c>
      <c r="N13" s="37" t="s">
        <v>24</v>
      </c>
      <c r="Q13" s="38"/>
    </row>
    <row r="14" spans="1:17" ht="19.5" customHeight="1" x14ac:dyDescent="0.25">
      <c r="A14" s="44" t="s">
        <v>25</v>
      </c>
      <c r="B14" s="1">
        <v>0</v>
      </c>
      <c r="C14" s="1">
        <v>0</v>
      </c>
      <c r="D14" s="1">
        <v>0</v>
      </c>
      <c r="E14" s="1">
        <v>0</v>
      </c>
      <c r="F14" s="31">
        <v>46759964.469999999</v>
      </c>
      <c r="G14" s="32">
        <f t="shared" si="0"/>
        <v>0</v>
      </c>
      <c r="H14" s="33">
        <f t="shared" si="1"/>
        <v>0</v>
      </c>
      <c r="I14" s="33">
        <f t="shared" si="4"/>
        <v>0</v>
      </c>
      <c r="J14" s="33">
        <f>(E14/$E$28)*100</f>
        <v>0</v>
      </c>
      <c r="K14" s="34">
        <f t="shared" si="2"/>
        <v>0.35919402513804921</v>
      </c>
      <c r="L14" s="45" t="s">
        <v>1</v>
      </c>
      <c r="M14" s="46" t="s">
        <v>1</v>
      </c>
      <c r="N14" s="47" t="s">
        <v>0</v>
      </c>
      <c r="Q14" s="38"/>
    </row>
    <row r="15" spans="1:17" ht="19.5" customHeight="1" x14ac:dyDescent="0.25">
      <c r="A15" s="41" t="s">
        <v>57</v>
      </c>
      <c r="B15" s="1">
        <v>91658196.929999992</v>
      </c>
      <c r="C15" s="1">
        <v>89591327.080000013</v>
      </c>
      <c r="D15" s="1">
        <v>95183780.023000002</v>
      </c>
      <c r="E15" s="1">
        <v>107989839.28320001</v>
      </c>
      <c r="F15" s="31">
        <v>109629838.70999999</v>
      </c>
      <c r="G15" s="32">
        <f t="shared" si="0"/>
        <v>2.0099577317920159</v>
      </c>
      <c r="H15" s="33">
        <f t="shared" si="1"/>
        <v>1.2526448581733647</v>
      </c>
      <c r="I15" s="33">
        <f t="shared" si="4"/>
        <v>1.0596207415647125</v>
      </c>
      <c r="J15" s="33">
        <f t="shared" si="5"/>
        <v>0.93925458666342043</v>
      </c>
      <c r="K15" s="34">
        <f t="shared" si="2"/>
        <v>0.84213885720003445</v>
      </c>
      <c r="L15" s="35">
        <f t="shared" si="6"/>
        <v>13.454035190770508</v>
      </c>
      <c r="M15" s="36">
        <f t="shared" si="3"/>
        <v>1.5186608644718325</v>
      </c>
      <c r="N15" s="43" t="s">
        <v>58</v>
      </c>
      <c r="P15" s="42"/>
      <c r="Q15" s="38"/>
    </row>
    <row r="16" spans="1:17" ht="19.5" customHeight="1" x14ac:dyDescent="0.25">
      <c r="A16" s="44" t="s">
        <v>26</v>
      </c>
      <c r="B16" s="1">
        <v>0</v>
      </c>
      <c r="C16" s="1">
        <v>0</v>
      </c>
      <c r="D16" s="1">
        <v>0</v>
      </c>
      <c r="E16" s="1">
        <v>114128047.2168</v>
      </c>
      <c r="F16" s="31">
        <v>106059531.70860001</v>
      </c>
      <c r="G16" s="48" t="s">
        <v>1</v>
      </c>
      <c r="H16" s="46" t="s">
        <v>1</v>
      </c>
      <c r="I16" s="46" t="s">
        <v>1</v>
      </c>
      <c r="J16" s="46" t="s">
        <v>1</v>
      </c>
      <c r="K16" s="34">
        <f t="shared" si="2"/>
        <v>0.8147129821518575</v>
      </c>
      <c r="L16" s="45" t="s">
        <v>1</v>
      </c>
      <c r="M16" s="36">
        <f t="shared" si="3"/>
        <v>-7.0697043408382125</v>
      </c>
      <c r="N16" s="47" t="s">
        <v>27</v>
      </c>
      <c r="P16" s="42"/>
      <c r="Q16" s="38"/>
    </row>
    <row r="17" spans="1:17" ht="19.5" customHeight="1" x14ac:dyDescent="0.25">
      <c r="A17" s="39" t="s">
        <v>28</v>
      </c>
      <c r="B17" s="1">
        <v>7338828.0599999996</v>
      </c>
      <c r="C17" s="1">
        <v>16626055.370000001</v>
      </c>
      <c r="D17" s="1">
        <v>20650873.640000001</v>
      </c>
      <c r="E17" s="1">
        <v>28491864.500000004</v>
      </c>
      <c r="F17" s="31">
        <v>29076730.280000005</v>
      </c>
      <c r="G17" s="32">
        <f t="shared" si="0"/>
        <v>0.16093197003159945</v>
      </c>
      <c r="H17" s="33">
        <f t="shared" si="1"/>
        <v>0.23246159477400338</v>
      </c>
      <c r="I17" s="33">
        <f t="shared" si="4"/>
        <v>0.2298930977009784</v>
      </c>
      <c r="J17" s="33">
        <f t="shared" si="5"/>
        <v>0.24781141070168178</v>
      </c>
      <c r="K17" s="34">
        <f t="shared" si="2"/>
        <v>0.22335747910645487</v>
      </c>
      <c r="L17" s="35">
        <f t="shared" si="6"/>
        <v>37.969293680690996</v>
      </c>
      <c r="M17" s="36">
        <f t="shared" si="3"/>
        <v>2.0527466007007167</v>
      </c>
      <c r="N17" s="43" t="s">
        <v>29</v>
      </c>
      <c r="Q17" s="38"/>
    </row>
    <row r="18" spans="1:17" ht="19.5" customHeight="1" x14ac:dyDescent="0.25">
      <c r="A18" s="39" t="s">
        <v>30</v>
      </c>
      <c r="B18" s="1">
        <v>511255000</v>
      </c>
      <c r="C18" s="1">
        <v>168705000</v>
      </c>
      <c r="D18" s="1">
        <v>0</v>
      </c>
      <c r="E18" s="1">
        <v>789362981.79999995</v>
      </c>
      <c r="F18" s="31">
        <v>1099036730.9112</v>
      </c>
      <c r="G18" s="32">
        <f t="shared" si="0"/>
        <v>11.211227959809348</v>
      </c>
      <c r="H18" s="33">
        <f t="shared" si="1"/>
        <v>2.3587936208315563</v>
      </c>
      <c r="I18" s="33">
        <f t="shared" si="4"/>
        <v>0</v>
      </c>
      <c r="J18" s="33">
        <f t="shared" si="5"/>
        <v>6.8655792630048449</v>
      </c>
      <c r="K18" s="34">
        <f t="shared" si="2"/>
        <v>8.4424235908868095</v>
      </c>
      <c r="L18" s="45" t="s">
        <v>1</v>
      </c>
      <c r="M18" s="36">
        <f t="shared" si="3"/>
        <v>39.230842622622731</v>
      </c>
      <c r="N18" s="37" t="s">
        <v>31</v>
      </c>
      <c r="Q18" s="38"/>
    </row>
    <row r="19" spans="1:17" ht="19.5" customHeight="1" x14ac:dyDescent="0.25">
      <c r="A19" s="41" t="s">
        <v>32</v>
      </c>
      <c r="B19" s="1">
        <v>87861980</v>
      </c>
      <c r="C19" s="1">
        <v>171860080</v>
      </c>
      <c r="D19" s="1">
        <v>177775270</v>
      </c>
      <c r="E19" s="1">
        <v>227539500</v>
      </c>
      <c r="F19" s="31">
        <v>248718070</v>
      </c>
      <c r="G19" s="32">
        <f t="shared" si="0"/>
        <v>1.9267111065519353</v>
      </c>
      <c r="H19" s="33">
        <f t="shared" si="1"/>
        <v>2.4029072071343522</v>
      </c>
      <c r="I19" s="33">
        <f t="shared" si="4"/>
        <v>1.9790594929487844</v>
      </c>
      <c r="J19" s="33">
        <f t="shared" si="5"/>
        <v>1.9790521075009084</v>
      </c>
      <c r="K19" s="34">
        <f t="shared" si="2"/>
        <v>1.9105669925216493</v>
      </c>
      <c r="L19" s="35">
        <f t="shared" si="6"/>
        <v>27.99277424807174</v>
      </c>
      <c r="M19" s="36">
        <f t="shared" si="3"/>
        <v>9.3076454857288446</v>
      </c>
      <c r="N19" s="37" t="s">
        <v>33</v>
      </c>
      <c r="Q19" s="38"/>
    </row>
    <row r="20" spans="1:17" ht="19.5" customHeight="1" x14ac:dyDescent="0.25">
      <c r="A20" s="39" t="s">
        <v>34</v>
      </c>
      <c r="B20" s="1">
        <v>37072935</v>
      </c>
      <c r="C20" s="1">
        <v>39918623.75</v>
      </c>
      <c r="D20" s="1">
        <v>32890380.349999998</v>
      </c>
      <c r="E20" s="1">
        <v>38065530.5</v>
      </c>
      <c r="F20" s="31">
        <v>37635924.899999999</v>
      </c>
      <c r="G20" s="32">
        <f t="shared" si="0"/>
        <v>0.81296637768666236</v>
      </c>
      <c r="H20" s="33">
        <f t="shared" si="1"/>
        <v>0.55813280610459126</v>
      </c>
      <c r="I20" s="33">
        <f t="shared" si="4"/>
        <v>0.36614777442533858</v>
      </c>
      <c r="J20" s="33">
        <f t="shared" si="5"/>
        <v>0.33107951964017285</v>
      </c>
      <c r="K20" s="34">
        <f t="shared" si="2"/>
        <v>0.28910627943905987</v>
      </c>
      <c r="L20" s="35">
        <f t="shared" si="6"/>
        <v>15.734540296977762</v>
      </c>
      <c r="M20" s="36">
        <f t="shared" si="3"/>
        <v>-1.1285948057390138</v>
      </c>
      <c r="N20" s="43" t="s">
        <v>35</v>
      </c>
      <c r="P20" s="40"/>
      <c r="Q20" s="38"/>
    </row>
    <row r="21" spans="1:17" ht="19.5" customHeight="1" x14ac:dyDescent="0.25">
      <c r="A21" s="41" t="s">
        <v>59</v>
      </c>
      <c r="B21" s="1">
        <v>78480509.9366</v>
      </c>
      <c r="C21" s="1">
        <v>76481814.014899984</v>
      </c>
      <c r="D21" s="1">
        <v>101471706.8211</v>
      </c>
      <c r="E21" s="1">
        <v>89108745.615999997</v>
      </c>
      <c r="F21" s="31">
        <v>78504606.268000007</v>
      </c>
      <c r="G21" s="32">
        <f t="shared" si="0"/>
        <v>1.720986371382784</v>
      </c>
      <c r="H21" s="33">
        <f t="shared" si="1"/>
        <v>1.0693507306124395</v>
      </c>
      <c r="I21" s="33">
        <f t="shared" si="4"/>
        <v>1.1296202483619564</v>
      </c>
      <c r="J21" s="33">
        <f t="shared" si="5"/>
        <v>0.77503400863633398</v>
      </c>
      <c r="K21" s="34">
        <f t="shared" si="2"/>
        <v>0.60304548638765576</v>
      </c>
      <c r="L21" s="35">
        <f t="shared" si="6"/>
        <v>-12.18365354482167</v>
      </c>
      <c r="M21" s="36">
        <f t="shared" si="3"/>
        <v>-11.900222895850032</v>
      </c>
      <c r="N21" s="43" t="s">
        <v>60</v>
      </c>
      <c r="P21" s="42"/>
      <c r="Q21" s="38"/>
    </row>
    <row r="22" spans="1:17" ht="19.5" customHeight="1" x14ac:dyDescent="0.25">
      <c r="A22" s="41" t="s">
        <v>61</v>
      </c>
      <c r="B22" s="1">
        <v>139511809.34999999</v>
      </c>
      <c r="C22" s="1">
        <v>17563271.770000003</v>
      </c>
      <c r="D22" s="1">
        <v>245418995.9262</v>
      </c>
      <c r="E22" s="1">
        <v>6604867.4700000007</v>
      </c>
      <c r="F22" s="31">
        <v>6990379.9299999997</v>
      </c>
      <c r="G22" s="32">
        <f t="shared" si="0"/>
        <v>3.0593318357929231</v>
      </c>
      <c r="H22" s="33">
        <f t="shared" si="1"/>
        <v>0.24556553399132786</v>
      </c>
      <c r="I22" s="33">
        <f t="shared" si="4"/>
        <v>2.7320942538166597</v>
      </c>
      <c r="J22" s="33">
        <f t="shared" si="5"/>
        <v>5.744662744827906E-2</v>
      </c>
      <c r="K22" s="34">
        <f t="shared" si="2"/>
        <v>5.3697703425584629E-2</v>
      </c>
      <c r="L22" s="35">
        <f t="shared" si="6"/>
        <v>-97.308738288544646</v>
      </c>
      <c r="M22" s="36">
        <f t="shared" si="3"/>
        <v>5.8367932702819036</v>
      </c>
      <c r="N22" s="43" t="s">
        <v>62</v>
      </c>
      <c r="P22" s="42"/>
      <c r="Q22" s="38"/>
    </row>
    <row r="23" spans="1:17" ht="19.5" customHeight="1" x14ac:dyDescent="0.25">
      <c r="A23" s="39" t="s">
        <v>36</v>
      </c>
      <c r="B23" s="1">
        <v>1202495510.0143998</v>
      </c>
      <c r="C23" s="1">
        <v>1049841778.2217</v>
      </c>
      <c r="D23" s="1">
        <v>1068823153.4752001</v>
      </c>
      <c r="E23" s="1">
        <v>1156222825.7628999</v>
      </c>
      <c r="F23" s="31">
        <v>1234003148.4213002</v>
      </c>
      <c r="G23" s="32">
        <f t="shared" si="0"/>
        <v>26.369328971684659</v>
      </c>
      <c r="H23" s="33">
        <f t="shared" si="1"/>
        <v>14.678640759620659</v>
      </c>
      <c r="I23" s="33">
        <f t="shared" si="4"/>
        <v>11.898531264604745</v>
      </c>
      <c r="J23" s="33">
        <f t="shared" si="5"/>
        <v>10.056386781489467</v>
      </c>
      <c r="K23" s="34">
        <f t="shared" si="2"/>
        <v>9.4791893650571097</v>
      </c>
      <c r="L23" s="35">
        <f t="shared" si="6"/>
        <v>8.1771874050001756</v>
      </c>
      <c r="M23" s="36">
        <f t="shared" si="3"/>
        <v>6.7271049252188186</v>
      </c>
      <c r="N23" s="43" t="s">
        <v>37</v>
      </c>
      <c r="P23" s="40"/>
      <c r="Q23" s="38"/>
    </row>
    <row r="24" spans="1:17" ht="19.5" customHeight="1" x14ac:dyDescent="0.25">
      <c r="A24" s="39" t="s">
        <v>38</v>
      </c>
      <c r="B24" s="1">
        <v>750739844.92149997</v>
      </c>
      <c r="C24" s="1">
        <v>802900158.02600002</v>
      </c>
      <c r="D24" s="1">
        <v>860140725.22539997</v>
      </c>
      <c r="E24" s="1">
        <v>804701951.22000003</v>
      </c>
      <c r="F24" s="31">
        <v>642475.1399999999</v>
      </c>
      <c r="G24" s="32">
        <f t="shared" si="0"/>
        <v>16.4628522751403</v>
      </c>
      <c r="H24" s="33">
        <f t="shared" si="1"/>
        <v>11.225961120988574</v>
      </c>
      <c r="I24" s="33">
        <f t="shared" si="4"/>
        <v>9.5754019528654339</v>
      </c>
      <c r="J24" s="33">
        <f t="shared" si="5"/>
        <v>6.9989917903134806</v>
      </c>
      <c r="K24" s="34">
        <f t="shared" si="2"/>
        <v>4.9352738866127637E-3</v>
      </c>
      <c r="L24" s="35">
        <f t="shared" si="6"/>
        <v>-6.4453143979285699</v>
      </c>
      <c r="M24" s="36">
        <f t="shared" si="3"/>
        <v>-99.920159863036744</v>
      </c>
      <c r="N24" s="43" t="s">
        <v>39</v>
      </c>
      <c r="Q24" s="38"/>
    </row>
    <row r="25" spans="1:17" ht="19.5" customHeight="1" x14ac:dyDescent="0.25">
      <c r="A25" s="39" t="s">
        <v>40</v>
      </c>
      <c r="B25" s="1">
        <v>47548283.660000004</v>
      </c>
      <c r="C25" s="1">
        <v>45912900.350000001</v>
      </c>
      <c r="D25" s="1">
        <v>49700980.010000005</v>
      </c>
      <c r="E25" s="1">
        <v>52186302.670000002</v>
      </c>
      <c r="F25" s="31">
        <v>62246567.850000001</v>
      </c>
      <c r="G25" s="32">
        <f t="shared" si="0"/>
        <v>1.042678599152943</v>
      </c>
      <c r="H25" s="33">
        <f t="shared" si="1"/>
        <v>0.64194337132541979</v>
      </c>
      <c r="I25" s="33">
        <f t="shared" si="4"/>
        <v>0.55328953401476078</v>
      </c>
      <c r="J25" s="33">
        <f t="shared" si="5"/>
        <v>0.45389663017517307</v>
      </c>
      <c r="K25" s="34">
        <f t="shared" si="2"/>
        <v>0.47815680594485677</v>
      </c>
      <c r="L25" s="35">
        <f t="shared" si="6"/>
        <v>5.0005506118791621</v>
      </c>
      <c r="M25" s="36">
        <f t="shared" si="3"/>
        <v>19.277597118952983</v>
      </c>
      <c r="N25" s="37" t="s">
        <v>41</v>
      </c>
      <c r="Q25" s="38"/>
    </row>
    <row r="26" spans="1:17" ht="19.5" customHeight="1" x14ac:dyDescent="0.25">
      <c r="A26" s="49" t="s">
        <v>42</v>
      </c>
      <c r="B26" s="1">
        <v>6802023.7300000004</v>
      </c>
      <c r="C26" s="1">
        <v>6443984.5899999999</v>
      </c>
      <c r="D26" s="1">
        <v>6238700.8399999999</v>
      </c>
      <c r="E26" s="1">
        <v>6704584.9800000004</v>
      </c>
      <c r="F26" s="31">
        <v>7018232.3599999994</v>
      </c>
      <c r="G26" s="32">
        <f t="shared" si="0"/>
        <v>0.14916047495880269</v>
      </c>
      <c r="H26" s="33">
        <f t="shared" si="1"/>
        <v>9.009827653969267E-2</v>
      </c>
      <c r="I26" s="33">
        <f t="shared" si="4"/>
        <v>6.9451505381314033E-2</v>
      </c>
      <c r="J26" s="33">
        <f t="shared" si="5"/>
        <v>5.8313932458267409E-2</v>
      </c>
      <c r="K26" s="34">
        <f t="shared" si="2"/>
        <v>5.3911656249436626E-2</v>
      </c>
      <c r="L26" s="35">
        <f t="shared" si="6"/>
        <v>7.4676467416572079</v>
      </c>
      <c r="M26" s="36">
        <f t="shared" si="3"/>
        <v>4.6781028346365883</v>
      </c>
      <c r="N26" s="37" t="s">
        <v>43</v>
      </c>
      <c r="Q26" s="38"/>
    </row>
    <row r="27" spans="1:17" ht="19.5" customHeight="1" x14ac:dyDescent="0.25">
      <c r="A27" s="50" t="s">
        <v>63</v>
      </c>
      <c r="B27" s="51">
        <v>0</v>
      </c>
      <c r="C27" s="51">
        <v>0</v>
      </c>
      <c r="D27" s="51">
        <v>283466.0528</v>
      </c>
      <c r="E27" s="51">
        <v>283466.0528</v>
      </c>
      <c r="F27" s="52">
        <v>79948.23</v>
      </c>
      <c r="G27" s="32">
        <f t="shared" si="0"/>
        <v>0</v>
      </c>
      <c r="H27" s="33">
        <f t="shared" si="1"/>
        <v>0</v>
      </c>
      <c r="I27" s="33">
        <f t="shared" si="4"/>
        <v>3.1556480421746028E-3</v>
      </c>
      <c r="J27" s="33">
        <f t="shared" si="5"/>
        <v>2.4654800120366082E-3</v>
      </c>
      <c r="K27" s="34">
        <f t="shared" si="2"/>
        <v>6.1413490925098083E-4</v>
      </c>
      <c r="L27" s="35">
        <f t="shared" si="6"/>
        <v>0</v>
      </c>
      <c r="M27" s="36">
        <f t="shared" si="3"/>
        <v>-71.796188922696984</v>
      </c>
      <c r="N27" s="37" t="s">
        <v>44</v>
      </c>
      <c r="Q27" s="38"/>
    </row>
    <row r="28" spans="1:17" ht="19.5" customHeight="1" x14ac:dyDescent="0.25">
      <c r="A28" s="53" t="s">
        <v>45</v>
      </c>
      <c r="B28" s="54">
        <f>SUM(B8:B27)</f>
        <v>4560205196.3689995</v>
      </c>
      <c r="C28" s="54">
        <f>SUM(C8:C27)</f>
        <v>7152172979.8695002</v>
      </c>
      <c r="D28" s="54">
        <f>SUM(D8:D27)</f>
        <v>8982815859.421999</v>
      </c>
      <c r="E28" s="54">
        <f>SUM(E8:E27)</f>
        <v>11497398130.023495</v>
      </c>
      <c r="F28" s="55">
        <f>SUM(F8:F27)</f>
        <v>13018024019.756098</v>
      </c>
      <c r="G28" s="56">
        <f t="shared" si="0"/>
        <v>100</v>
      </c>
      <c r="H28" s="57">
        <f t="shared" si="1"/>
        <v>100</v>
      </c>
      <c r="I28" s="58">
        <f>(D28/$D$28)*100</f>
        <v>100</v>
      </c>
      <c r="J28" s="58">
        <f>(E28/$E$28)*100</f>
        <v>100</v>
      </c>
      <c r="K28" s="59">
        <f t="shared" si="2"/>
        <v>100</v>
      </c>
      <c r="L28" s="60">
        <f t="shared" si="6"/>
        <v>27.993251892879133</v>
      </c>
      <c r="M28" s="61">
        <f t="shared" si="6"/>
        <v>13.225826161153353</v>
      </c>
      <c r="N28" s="62" t="s">
        <v>46</v>
      </c>
    </row>
    <row r="29" spans="1:17" s="66" customFormat="1" ht="15" customHeight="1" x14ac:dyDescent="0.25">
      <c r="A29" s="63" t="s">
        <v>47</v>
      </c>
      <c r="B29" s="64"/>
      <c r="C29" s="64"/>
      <c r="D29" s="64"/>
      <c r="E29" s="64"/>
      <c r="F29" s="65">
        <f>F28-'[2]MIRA Revenue 2015'!$O$55</f>
        <v>0</v>
      </c>
      <c r="J29" s="67"/>
      <c r="K29" s="68"/>
    </row>
    <row r="30" spans="1:17" s="66" customFormat="1" ht="15" customHeight="1" x14ac:dyDescent="0.25">
      <c r="A30" s="69" t="s">
        <v>48</v>
      </c>
      <c r="B30" s="65"/>
      <c r="C30" s="65"/>
      <c r="D30" s="65"/>
      <c r="E30" s="65"/>
      <c r="F30" s="65"/>
      <c r="J30" s="68"/>
      <c r="K30" s="68"/>
    </row>
    <row r="31" spans="1:17" s="66" customFormat="1" ht="28.5" customHeight="1" x14ac:dyDescent="0.25">
      <c r="A31" s="70" t="s">
        <v>64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</row>
    <row r="32" spans="1:17" s="66" customFormat="1" x14ac:dyDescent="0.25">
      <c r="A32" s="71" t="s">
        <v>65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 spans="1:15" s="66" customFormat="1" x14ac:dyDescent="0.25">
      <c r="A33" s="71" t="s">
        <v>66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</row>
    <row r="34" spans="1:15" s="66" customFormat="1" ht="15" x14ac:dyDescent="0.25">
      <c r="A34" s="71" t="s">
        <v>67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2"/>
    </row>
    <row r="35" spans="1:15" s="73" customFormat="1" ht="17.25" x14ac:dyDescent="0.25">
      <c r="A35" s="71" t="s">
        <v>68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</row>
    <row r="36" spans="1:15" s="73" customFormat="1" ht="17.25" x14ac:dyDescent="0.25">
      <c r="A36" s="74" t="s">
        <v>49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</row>
    <row r="37" spans="1:15" s="66" customFormat="1" ht="18.75" x14ac:dyDescent="0.25">
      <c r="A37" s="76" t="s">
        <v>50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>
        <v>1</v>
      </c>
    </row>
    <row r="38" spans="1:15" ht="15" x14ac:dyDescent="0.25">
      <c r="A38" s="78" t="s">
        <v>69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7">
        <v>2</v>
      </c>
    </row>
    <row r="39" spans="1:15" ht="18.75" x14ac:dyDescent="0.25">
      <c r="A39" s="76" t="s">
        <v>51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>
        <v>3</v>
      </c>
    </row>
    <row r="40" spans="1:15" ht="18.75" x14ac:dyDescent="0.25">
      <c r="A40" s="79" t="s">
        <v>52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7">
        <v>4</v>
      </c>
    </row>
    <row r="41" spans="1:15" s="82" customFormat="1" ht="37.5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 t="s">
        <v>53</v>
      </c>
      <c r="O41" s="81">
        <v>5</v>
      </c>
    </row>
    <row r="42" spans="1:15" ht="18.75" x14ac:dyDescent="0.25">
      <c r="H42" s="79" t="s">
        <v>54</v>
      </c>
      <c r="I42" s="79"/>
      <c r="J42" s="79"/>
      <c r="K42" s="79"/>
      <c r="L42" s="79"/>
      <c r="M42" s="79"/>
      <c r="N42" s="79"/>
    </row>
    <row r="57" spans="15:15" s="83" customFormat="1" x14ac:dyDescent="0.25"/>
    <row r="58" spans="15:15" s="83" customFormat="1" x14ac:dyDescent="0.25"/>
    <row r="59" spans="15:15" s="83" customFormat="1" x14ac:dyDescent="0.25"/>
    <row r="60" spans="15:15" s="83" customFormat="1" x14ac:dyDescent="0.25"/>
    <row r="61" spans="15:15" s="83" customFormat="1" x14ac:dyDescent="0.25"/>
    <row r="62" spans="15:15" s="83" customFormat="1" x14ac:dyDescent="0.25"/>
    <row r="64" spans="15:15" ht="15" x14ac:dyDescent="0.25">
      <c r="O64" s="84"/>
    </row>
    <row r="65" spans="15:15" ht="15" x14ac:dyDescent="0.25">
      <c r="O65" s="84"/>
    </row>
    <row r="66" spans="15:15" ht="15" x14ac:dyDescent="0.25">
      <c r="O66" s="84"/>
    </row>
    <row r="67" spans="15:15" ht="15" x14ac:dyDescent="0.25">
      <c r="O67" s="84"/>
    </row>
  </sheetData>
  <mergeCells count="18">
    <mergeCell ref="A38:N38"/>
    <mergeCell ref="A39:N39"/>
    <mergeCell ref="A40:N40"/>
    <mergeCell ref="H42:N42"/>
    <mergeCell ref="A31:N31"/>
    <mergeCell ref="A32:N32"/>
    <mergeCell ref="A33:N33"/>
    <mergeCell ref="A34:N34"/>
    <mergeCell ref="A35:N35"/>
    <mergeCell ref="A37:N37"/>
    <mergeCell ref="A2:N2"/>
    <mergeCell ref="A3:N3"/>
    <mergeCell ref="A5:A7"/>
    <mergeCell ref="B5:F5"/>
    <mergeCell ref="G5:K5"/>
    <mergeCell ref="N5:N7"/>
    <mergeCell ref="B6:F6"/>
    <mergeCell ref="G6:K6"/>
  </mergeCells>
  <pageMargins left="0.7" right="0.7" top="0.75" bottom="0.75" header="0.3" footer="0.3"/>
  <pageSetup paperSize="9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13.12</vt:lpstr>
      <vt:lpstr>'13.12'!Print_Area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2016-04-20T07:17:03Z</cp:lastPrinted>
  <dcterms:created xsi:type="dcterms:W3CDTF">2014-03-06T08:38:12Z</dcterms:created>
  <dcterms:modified xsi:type="dcterms:W3CDTF">2016-04-20T07:17:05Z</dcterms:modified>
</cp:coreProperties>
</file>