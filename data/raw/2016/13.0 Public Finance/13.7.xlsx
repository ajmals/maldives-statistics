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7" sheetId="15" r:id="rId1"/>
  </sheets>
  <externalReferences>
    <externalReference r:id="rId2"/>
  </externalReferences>
  <definedNames>
    <definedName name="_xlnm.Print_Area" localSheetId="0">'13.7'!$A$1:$Z$36</definedName>
  </definedNames>
  <calcPr calcId="144525"/>
</workbook>
</file>

<file path=xl/calcChain.xml><?xml version="1.0" encoding="utf-8"?>
<calcChain xmlns="http://schemas.openxmlformats.org/spreadsheetml/2006/main">
  <c r="Q21" i="15" l="1"/>
  <c r="Q15" i="15"/>
  <c r="Q10" i="15"/>
  <c r="Q9" i="15" l="1"/>
  <c r="Q8" i="15" s="1"/>
  <c r="Y30" i="15" l="1"/>
  <c r="Y20" i="15"/>
  <c r="Y11" i="15"/>
  <c r="Y12" i="15"/>
  <c r="Y13" i="15"/>
  <c r="Y14" i="15"/>
  <c r="Y16" i="15"/>
  <c r="Y17" i="15"/>
  <c r="Y18" i="15"/>
  <c r="Y19" i="15"/>
  <c r="Y22" i="15"/>
  <c r="Y23" i="15"/>
  <c r="Y24" i="15"/>
  <c r="Y25" i="15"/>
  <c r="Y26" i="15"/>
  <c r="Y27" i="15"/>
  <c r="Y28" i="15"/>
  <c r="Y31" i="15"/>
  <c r="X11" i="15"/>
  <c r="X12" i="15"/>
  <c r="X13" i="15"/>
  <c r="X14" i="15"/>
  <c r="X16" i="15"/>
  <c r="X17" i="15"/>
  <c r="X18" i="15"/>
  <c r="X19" i="15"/>
  <c r="X20" i="15"/>
  <c r="X22" i="15"/>
  <c r="X23" i="15"/>
  <c r="X24" i="15"/>
  <c r="X25" i="15"/>
  <c r="X26" i="15"/>
  <c r="X27" i="15"/>
  <c r="X28" i="15"/>
  <c r="W25" i="15" l="1"/>
  <c r="W22" i="15"/>
  <c r="W20" i="15" l="1"/>
  <c r="C15" i="15" l="1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Y15" i="15" l="1"/>
  <c r="X15" i="15"/>
  <c r="W28" i="15" l="1"/>
  <c r="W27" i="15"/>
  <c r="W26" i="15"/>
  <c r="W24" i="15"/>
  <c r="W23" i="15"/>
  <c r="W19" i="15"/>
  <c r="W18" i="15"/>
  <c r="W17" i="15"/>
  <c r="W16" i="15"/>
  <c r="W14" i="15"/>
  <c r="W13" i="15"/>
  <c r="W12" i="15"/>
  <c r="W11" i="15"/>
  <c r="P21" i="15"/>
  <c r="P10" i="15"/>
  <c r="P9" i="15" l="1"/>
  <c r="P8" i="15" s="1"/>
  <c r="V11" i="15"/>
  <c r="V12" i="15"/>
  <c r="V13" i="15"/>
  <c r="V14" i="15"/>
  <c r="V16" i="15"/>
  <c r="V17" i="15"/>
  <c r="V18" i="15"/>
  <c r="V19" i="15"/>
  <c r="V22" i="15"/>
  <c r="V23" i="15"/>
  <c r="V24" i="15"/>
  <c r="V25" i="15"/>
  <c r="V26" i="15"/>
  <c r="V27" i="15"/>
  <c r="V28" i="15"/>
  <c r="O21" i="15"/>
  <c r="N21" i="15"/>
  <c r="M21" i="15"/>
  <c r="L21" i="15"/>
  <c r="K21" i="15"/>
  <c r="K9" i="15" s="1"/>
  <c r="J21" i="15"/>
  <c r="I21" i="15"/>
  <c r="H21" i="15"/>
  <c r="G21" i="15"/>
  <c r="F21" i="15"/>
  <c r="E21" i="15"/>
  <c r="D21" i="15"/>
  <c r="C21" i="15"/>
  <c r="C9" i="15" s="1"/>
  <c r="C8" i="15" s="1"/>
  <c r="B21" i="15"/>
  <c r="B9" i="15" s="1"/>
  <c r="B8" i="15" s="1"/>
  <c r="O10" i="15"/>
  <c r="N10" i="15"/>
  <c r="M10" i="15"/>
  <c r="L10" i="15"/>
  <c r="L9" i="15" s="1"/>
  <c r="K10" i="15"/>
  <c r="J10" i="15"/>
  <c r="J9" i="15" s="1"/>
  <c r="J8" i="15" s="1"/>
  <c r="I10" i="15"/>
  <c r="I9" i="15" s="1"/>
  <c r="I8" i="15" s="1"/>
  <c r="H10" i="15"/>
  <c r="H9" i="15" s="1"/>
  <c r="H8" i="15" s="1"/>
  <c r="G10" i="15"/>
  <c r="F10" i="15"/>
  <c r="E10" i="15"/>
  <c r="E9" i="15" s="1"/>
  <c r="E8" i="15" s="1"/>
  <c r="D10" i="15"/>
  <c r="D9" i="15" s="1"/>
  <c r="D8" i="15" s="1"/>
  <c r="C10" i="15"/>
  <c r="B10" i="15"/>
  <c r="O9" i="15"/>
  <c r="O8" i="15" s="1"/>
  <c r="N9" i="15"/>
  <c r="T12" i="15" s="1"/>
  <c r="G9" i="15"/>
  <c r="G8" i="15" s="1"/>
  <c r="F9" i="15"/>
  <c r="F8" i="15" s="1"/>
  <c r="Y21" i="15" l="1"/>
  <c r="X21" i="15"/>
  <c r="T30" i="15"/>
  <c r="T23" i="15"/>
  <c r="T11" i="15"/>
  <c r="T14" i="15"/>
  <c r="T17" i="15"/>
  <c r="T20" i="15"/>
  <c r="T22" i="15"/>
  <c r="T25" i="15"/>
  <c r="T27" i="15"/>
  <c r="T31" i="15"/>
  <c r="T15" i="15"/>
  <c r="T19" i="15"/>
  <c r="T13" i="15"/>
  <c r="T16" i="15"/>
  <c r="T18" i="15"/>
  <c r="T21" i="15"/>
  <c r="T24" i="15"/>
  <c r="T26" i="15"/>
  <c r="T28" i="15"/>
  <c r="T9" i="15"/>
  <c r="T10" i="15"/>
  <c r="Y10" i="15"/>
  <c r="X10" i="15"/>
  <c r="R20" i="15"/>
  <c r="R16" i="15"/>
  <c r="N8" i="15"/>
  <c r="R27" i="15"/>
  <c r="L8" i="15"/>
  <c r="W10" i="15"/>
  <c r="W21" i="15"/>
  <c r="K8" i="15"/>
  <c r="M9" i="15"/>
  <c r="W15" i="15"/>
  <c r="V10" i="15"/>
  <c r="V15" i="15"/>
  <c r="V21" i="15"/>
  <c r="V9" i="15"/>
  <c r="R9" i="15"/>
  <c r="R10" i="15"/>
  <c r="R11" i="15"/>
  <c r="R12" i="15"/>
  <c r="R13" i="15"/>
  <c r="R14" i="15"/>
  <c r="R15" i="15"/>
  <c r="R17" i="15"/>
  <c r="R18" i="15"/>
  <c r="R19" i="15"/>
  <c r="R21" i="15"/>
  <c r="R22" i="15"/>
  <c r="R23" i="15"/>
  <c r="R24" i="15"/>
  <c r="R25" i="15"/>
  <c r="R26" i="15"/>
  <c r="X9" i="15" l="1"/>
  <c r="Y9" i="15"/>
  <c r="S10" i="15"/>
  <c r="S20" i="15"/>
  <c r="V8" i="15"/>
  <c r="S21" i="15"/>
  <c r="S12" i="15"/>
  <c r="S16" i="15"/>
  <c r="S25" i="15"/>
  <c r="S9" i="15"/>
  <c r="W9" i="15"/>
  <c r="S14" i="15"/>
  <c r="S23" i="15"/>
  <c r="S19" i="15"/>
  <c r="S24" i="15"/>
  <c r="S13" i="15"/>
  <c r="S17" i="15"/>
  <c r="S22" i="15"/>
  <c r="S26" i="15"/>
  <c r="S18" i="15"/>
  <c r="S27" i="15"/>
  <c r="S11" i="15"/>
  <c r="M8" i="15"/>
  <c r="S15" i="15"/>
  <c r="W8" i="15" l="1"/>
  <c r="Y8" i="15"/>
  <c r="X8" i="15"/>
</calcChain>
</file>

<file path=xl/sharedStrings.xml><?xml version="1.0" encoding="utf-8"?>
<sst xmlns="http://schemas.openxmlformats.org/spreadsheetml/2006/main" count="86" uniqueCount="73">
  <si>
    <t>Particulars</t>
  </si>
  <si>
    <t>(iawfiverukuhWlcsia)</t>
  </si>
  <si>
    <t>clIBcfwt</t>
  </si>
  <si>
    <t>Actual</t>
  </si>
  <si>
    <t>(MTEF)</t>
  </si>
  <si>
    <t>Revised</t>
  </si>
  <si>
    <t>(cTejwbWtcsWrudem)</t>
  </si>
  <si>
    <t>Source:  Ministry of Finance and Treasury</t>
  </si>
  <si>
    <t>IrwRercT cDcnea cscnEnif cfoa IrcTcsinim :ctWrwf ivcaedutWmUluAwm</t>
  </si>
  <si>
    <t>(cniaWyifur cnwyilim)</t>
  </si>
  <si>
    <t>caeacmwTiawa Wviawfiveruk cDrOker iawkwTcSwnWdwh</t>
  </si>
  <si>
    <t>% change</t>
  </si>
  <si>
    <t>ctwmcdiK IdWBitcqia</t>
  </si>
  <si>
    <t>2012 - 2013</t>
  </si>
  <si>
    <t>އިތުރުވި މިންވަރު</t>
  </si>
  <si>
    <t xml:space="preserve"> (In million MVR)</t>
  </si>
  <si>
    <t>% Share</t>
  </si>
  <si>
    <t xml:space="preserve">EhebWmugcnih       </t>
  </si>
  <si>
    <t xml:space="preserve">cnuTcaeheleb cSwtcawtcnwkIaWfid       </t>
  </si>
  <si>
    <t xml:space="preserve">cnuTcaeleb iaWmurukiretWkcawr iSevWmit       </t>
  </si>
  <si>
    <t xml:space="preserve">cmIluAwt       </t>
  </si>
  <si>
    <t xml:space="preserve">rwaefclev iaWmuTcaeheleb cSokiretWkcawr uAwmwtcjum       </t>
  </si>
  <si>
    <t xml:space="preserve">   Economic services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</si>
  <si>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</si>
  <si>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</si>
  <si>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</si>
  <si>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</si>
  <si>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</si>
  <si>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</si>
  <si>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</si>
  <si>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</si>
  <si>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</si>
  <si>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</si>
  <si>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</si>
  <si>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</si>
  <si>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</si>
  <si>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</si>
  <si>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</si>
  <si>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</si>
  <si>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</si>
  <si>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</si>
  <si>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</si>
  <si>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</si>
  <si>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</si>
  <si>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</si>
  <si>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</si>
  <si>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</si>
  <si>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</si>
  <si>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</si>
  <si>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</si>
  <si>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</si>
  <si>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</si>
  <si>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</si>
  <si>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</si>
  <si>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</si>
  <si>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</si>
  <si>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</si>
  <si>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</si>
  <si>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</si>
  <si>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</si>
  <si>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</si>
  <si>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</si>
  <si>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</si>
  <si>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</si>
  <si>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</si>
  <si>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>2013 - 2014</t>
  </si>
  <si>
    <t xml:space="preserve">        Religion, Culture and Entertainment</t>
  </si>
  <si>
    <t>_</t>
  </si>
  <si>
    <t>ދީނީ، ސަޤާފީ، މުނިފޫހިފިލުވުން</t>
  </si>
  <si>
    <t>2014 - 2014</t>
  </si>
  <si>
    <t>2015 - 2014</t>
  </si>
  <si>
    <t>Table  13.7 :  FUNCTIONAL CLASSIFICATION OF CENTRAL GOVERNMENT  CAPITAL EXPENDITURE, 2013 - 2018</t>
  </si>
  <si>
    <t>2018 -2013 ,ctEverukudwrwK ivinwncnuhimed cnurWkurws cnutog egukwtiawb WviawfiLeawDnwk cSwmugcnihudwrwK : 13.7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</si>
</sst>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9" formatCode="0.0"/>
    <numFmt numFmtId="171" formatCode="_-* #,##0.00_-;\-* #,##0.00_-;_-* &quot;-&quot;??_-;_-@_-"/>
    <numFmt numFmtId="172" formatCode="#,##0.00\ ;&quot; (&quot;#,##0.00\);&quot; -&quot;#\ ;@\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sz val="9"/>
      <color theme="1"/>
      <name val="A_Utheem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1">
    <xf numFmtId="0" fontId="0" fillId="0" borderId="0"/>
    <xf numFmtId="0" fontId="2" fillId="0" borderId="0"/>
    <xf numFmtId="40" fontId="3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6" fillId="0" borderId="0"/>
    <xf numFmtId="172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78">
    <xf numFmtId="0" fontId="0" fillId="0" borderId="0" xfId="0"/>
    <xf numFmtId="164" fontId="8" fillId="2" borderId="0" xfId="1" applyNumberFormat="1" applyFont="1" applyFill="1" applyBorder="1" applyAlignment="1">
      <alignment horizontal="right" vertical="center"/>
    </xf>
    <xf numFmtId="164" fontId="17" fillId="2" borderId="0" xfId="1" applyNumberFormat="1" applyFont="1" applyFill="1" applyAlignment="1">
      <alignment vertical="center"/>
    </xf>
    <xf numFmtId="164" fontId="18" fillId="2" borderId="0" xfId="1" applyNumberFormat="1" applyFont="1" applyFill="1" applyAlignment="1">
      <alignment vertical="center"/>
    </xf>
    <xf numFmtId="164" fontId="9" fillId="2" borderId="0" xfId="1" applyNumberFormat="1" applyFont="1" applyFill="1" applyAlignment="1">
      <alignment vertical="center"/>
    </xf>
    <xf numFmtId="164" fontId="20" fillId="2" borderId="0" xfId="1" applyNumberFormat="1" applyFont="1" applyFill="1" applyAlignment="1">
      <alignment vertical="center"/>
    </xf>
    <xf numFmtId="164" fontId="15" fillId="2" borderId="0" xfId="1" applyNumberFormat="1" applyFont="1" applyFill="1" applyAlignment="1" applyProtection="1">
      <alignment horizontal="left" vertical="center"/>
    </xf>
    <xf numFmtId="164" fontId="13" fillId="2" borderId="0" xfId="1" applyNumberFormat="1" applyFont="1" applyFill="1" applyAlignment="1">
      <alignment vertical="center"/>
    </xf>
    <xf numFmtId="164" fontId="11" fillId="2" borderId="0" xfId="1" applyNumberFormat="1" applyFont="1" applyFill="1" applyAlignment="1">
      <alignment horizontal="center" vertical="center"/>
    </xf>
    <xf numFmtId="164" fontId="17" fillId="2" borderId="0" xfId="1" applyNumberFormat="1" applyFont="1" applyFill="1" applyAlignment="1">
      <alignment horizontal="center" vertical="center"/>
    </xf>
    <xf numFmtId="164" fontId="13" fillId="2" borderId="1" xfId="1" applyNumberFormat="1" applyFont="1" applyFill="1" applyBorder="1" applyAlignment="1" applyProtection="1">
      <alignment horizontal="left" vertical="center"/>
    </xf>
    <xf numFmtId="41" fontId="21" fillId="2" borderId="1" xfId="2" applyNumberFormat="1" applyFont="1" applyFill="1" applyBorder="1" applyAlignment="1" applyProtection="1">
      <alignment horizontal="right" vertical="center"/>
      <protection locked="0"/>
    </xf>
    <xf numFmtId="164" fontId="19" fillId="2" borderId="1" xfId="1" applyNumberFormat="1" applyFont="1" applyFill="1" applyBorder="1" applyAlignment="1">
      <alignment horizontal="right" vertical="center"/>
    </xf>
    <xf numFmtId="164" fontId="19" fillId="2" borderId="0" xfId="1" applyNumberFormat="1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vertical="center"/>
    </xf>
    <xf numFmtId="164" fontId="10" fillId="2" borderId="0" xfId="1" applyNumberFormat="1" applyFont="1" applyFill="1" applyAlignment="1" applyProtection="1">
      <alignment horizontal="left" vertical="center"/>
    </xf>
    <xf numFmtId="165" fontId="10" fillId="2" borderId="0" xfId="1" applyNumberFormat="1" applyFont="1" applyFill="1" applyAlignment="1" applyProtection="1">
      <alignment horizontal="right" vertical="center"/>
    </xf>
    <xf numFmtId="165" fontId="10" fillId="2" borderId="0" xfId="1" applyNumberFormat="1" applyFont="1" applyFill="1" applyAlignment="1" applyProtection="1">
      <alignment horizontal="right" vertical="center"/>
      <protection locked="0"/>
    </xf>
    <xf numFmtId="164" fontId="8" fillId="2" borderId="0" xfId="1" applyNumberFormat="1" applyFont="1" applyFill="1" applyAlignment="1">
      <alignment horizontal="right" vertical="center"/>
    </xf>
    <xf numFmtId="164" fontId="13" fillId="2" borderId="0" xfId="1" applyNumberFormat="1" applyFont="1" applyFill="1" applyAlignment="1" applyProtection="1">
      <alignment horizontal="left" vertical="center"/>
    </xf>
    <xf numFmtId="165" fontId="13" fillId="2" borderId="0" xfId="1" applyNumberFormat="1" applyFont="1" applyFill="1" applyAlignment="1" applyProtection="1">
      <alignment horizontal="right" vertical="center"/>
      <protection locked="0"/>
    </xf>
    <xf numFmtId="41" fontId="21" fillId="2" borderId="0" xfId="2" applyNumberFormat="1" applyFont="1" applyFill="1" applyBorder="1" applyAlignment="1" applyProtection="1">
      <alignment horizontal="right" vertical="center"/>
      <protection locked="0"/>
    </xf>
    <xf numFmtId="165" fontId="13" fillId="2" borderId="0" xfId="1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Border="1" applyAlignment="1" applyProtection="1">
      <alignment horizontal="right" vertical="center"/>
      <protection locked="0"/>
    </xf>
    <xf numFmtId="37" fontId="13" fillId="2" borderId="0" xfId="1" applyNumberFormat="1" applyFont="1" applyFill="1" applyAlignment="1" applyProtection="1">
      <alignment horizontal="center" vertical="center"/>
    </xf>
    <xf numFmtId="164" fontId="18" fillId="2" borderId="0" xfId="1" applyNumberFormat="1" applyFont="1" applyFill="1" applyBorder="1" applyAlignment="1" applyProtection="1">
      <alignment horizontal="center" vertical="center"/>
    </xf>
    <xf numFmtId="164" fontId="8" fillId="2" borderId="0" xfId="1" applyNumberFormat="1" applyFont="1" applyFill="1" applyBorder="1" applyAlignment="1"/>
    <xf numFmtId="164" fontId="8" fillId="2" borderId="2" xfId="1" applyNumberFormat="1" applyFont="1" applyFill="1" applyBorder="1" applyAlignment="1">
      <alignment horizontal="center"/>
    </xf>
    <xf numFmtId="0" fontId="12" fillId="2" borderId="2" xfId="1" applyFont="1" applyFill="1" applyBorder="1" applyAlignment="1" applyProtection="1">
      <alignment horizontal="center" vertical="center"/>
    </xf>
    <xf numFmtId="164" fontId="9" fillId="2" borderId="0" xfId="1" applyNumberFormat="1" applyFont="1" applyFill="1" applyBorder="1" applyAlignment="1" applyProtection="1">
      <alignment horizontal="left" vertical="center"/>
    </xf>
    <xf numFmtId="164" fontId="9" fillId="2" borderId="0" xfId="1" applyNumberFormat="1" applyFont="1" applyFill="1" applyBorder="1" applyAlignment="1">
      <alignment horizontal="right"/>
    </xf>
    <xf numFmtId="164" fontId="5" fillId="2" borderId="10" xfId="1" applyNumberFormat="1" applyFont="1" applyFill="1" applyBorder="1" applyAlignment="1" applyProtection="1">
      <alignment horizontal="center" vertical="center"/>
      <protection locked="0"/>
    </xf>
    <xf numFmtId="1" fontId="10" fillId="2" borderId="1" xfId="1" applyNumberFormat="1" applyFont="1" applyFill="1" applyBorder="1" applyAlignment="1" applyProtection="1">
      <alignment horizontal="right" vertical="center"/>
    </xf>
    <xf numFmtId="1" fontId="10" fillId="2" borderId="5" xfId="1" applyNumberFormat="1" applyFont="1" applyFill="1" applyBorder="1" applyAlignment="1" applyProtection="1">
      <alignment horizontal="right" vertical="center"/>
    </xf>
    <xf numFmtId="1" fontId="10" fillId="2" borderId="6" xfId="1" applyNumberFormat="1" applyFont="1" applyFill="1" applyBorder="1" applyAlignment="1" applyProtection="1">
      <alignment horizontal="right" vertical="center"/>
    </xf>
    <xf numFmtId="1" fontId="10" fillId="2" borderId="1" xfId="1" applyNumberFormat="1" applyFont="1" applyFill="1" applyBorder="1" applyAlignment="1" applyProtection="1">
      <alignment horizontal="center" vertical="center"/>
    </xf>
    <xf numFmtId="1" fontId="10" fillId="2" borderId="1" xfId="1" applyNumberFormat="1" applyFont="1" applyFill="1" applyBorder="1" applyAlignment="1">
      <alignment horizontal="right" vertical="center"/>
    </xf>
    <xf numFmtId="1" fontId="10" fillId="2" borderId="0" xfId="1" applyNumberFormat="1" applyFont="1" applyFill="1" applyAlignment="1">
      <alignment horizontal="right" vertical="center"/>
    </xf>
    <xf numFmtId="165" fontId="10" fillId="2" borderId="0" xfId="1" applyNumberFormat="1" applyFont="1" applyFill="1" applyAlignment="1">
      <alignment horizontal="right" vertical="center"/>
    </xf>
    <xf numFmtId="165" fontId="10" fillId="2" borderId="11" xfId="1" applyNumberFormat="1" applyFont="1" applyFill="1" applyBorder="1" applyAlignment="1">
      <alignment horizontal="right" vertical="center"/>
    </xf>
    <xf numFmtId="165" fontId="10" fillId="2" borderId="2" xfId="1" applyNumberFormat="1" applyFont="1" applyFill="1" applyBorder="1" applyAlignment="1">
      <alignment horizontal="right" vertical="center"/>
    </xf>
    <xf numFmtId="165" fontId="10" fillId="2" borderId="3" xfId="1" applyNumberFormat="1" applyFont="1" applyFill="1" applyBorder="1" applyAlignment="1">
      <alignment horizontal="right" vertical="center"/>
    </xf>
    <xf numFmtId="165" fontId="10" fillId="2" borderId="0" xfId="1" applyNumberFormat="1" applyFont="1" applyFill="1" applyBorder="1" applyAlignment="1">
      <alignment horizontal="right" vertical="center"/>
    </xf>
    <xf numFmtId="165" fontId="10" fillId="2" borderId="0" xfId="1" applyNumberFormat="1" applyFont="1" applyFill="1" applyAlignment="1">
      <alignment horizontal="right" vertical="center" indent="3"/>
    </xf>
    <xf numFmtId="165" fontId="10" fillId="2" borderId="0" xfId="1" applyNumberFormat="1" applyFont="1" applyFill="1" applyBorder="1" applyAlignment="1">
      <alignment horizontal="right" vertical="center" indent="3"/>
    </xf>
    <xf numFmtId="165" fontId="10" fillId="2" borderId="4" xfId="1" applyNumberFormat="1" applyFont="1" applyFill="1" applyBorder="1" applyAlignment="1">
      <alignment horizontal="right" vertical="center"/>
    </xf>
    <xf numFmtId="165" fontId="13" fillId="2" borderId="0" xfId="1" applyNumberFormat="1" applyFont="1" applyFill="1" applyAlignment="1">
      <alignment horizontal="right" vertical="center"/>
    </xf>
    <xf numFmtId="165" fontId="13" fillId="2" borderId="11" xfId="1" applyNumberFormat="1" applyFont="1" applyFill="1" applyBorder="1" applyAlignment="1" applyProtection="1">
      <alignment horizontal="right" vertical="center"/>
    </xf>
    <xf numFmtId="165" fontId="13" fillId="2" borderId="0" xfId="1" applyNumberFormat="1" applyFont="1" applyFill="1" applyBorder="1" applyAlignment="1">
      <alignment horizontal="right" vertical="center"/>
    </xf>
    <xf numFmtId="165" fontId="13" fillId="2" borderId="0" xfId="1" applyNumberFormat="1" applyFont="1" applyFill="1" applyAlignment="1">
      <alignment horizontal="right" vertical="center" indent="3"/>
    </xf>
    <xf numFmtId="165" fontId="13" fillId="2" borderId="11" xfId="1" applyNumberFormat="1" applyFont="1" applyFill="1" applyBorder="1" applyAlignment="1">
      <alignment horizontal="right" vertical="center"/>
    </xf>
    <xf numFmtId="165" fontId="13" fillId="2" borderId="0" xfId="1" applyNumberFormat="1" applyFont="1" applyFill="1" applyBorder="1" applyAlignment="1">
      <alignment horizontal="right" vertical="center" indent="3"/>
    </xf>
    <xf numFmtId="37" fontId="21" fillId="2" borderId="0" xfId="2" applyNumberFormat="1" applyFont="1" applyFill="1" applyBorder="1" applyAlignment="1" applyProtection="1">
      <alignment horizontal="center" vertical="center"/>
      <protection locked="0"/>
    </xf>
    <xf numFmtId="164" fontId="14" fillId="2" borderId="0" xfId="1" applyNumberFormat="1" applyFont="1" applyFill="1" applyAlignment="1">
      <alignment horizontal="right" vertical="center" indent="4"/>
    </xf>
    <xf numFmtId="41" fontId="21" fillId="2" borderId="11" xfId="2" applyNumberFormat="1" applyFont="1" applyFill="1" applyBorder="1" applyAlignment="1" applyProtection="1">
      <alignment horizontal="right" vertical="center"/>
      <protection locked="0"/>
    </xf>
    <xf numFmtId="165" fontId="13" fillId="2" borderId="0" xfId="1" applyNumberFormat="1" applyFont="1" applyFill="1" applyAlignment="1" applyProtection="1">
      <alignment horizontal="right" vertical="center"/>
    </xf>
    <xf numFmtId="169" fontId="13" fillId="2" borderId="0" xfId="1" applyNumberFormat="1" applyFont="1" applyFill="1" applyBorder="1" applyAlignment="1" applyProtection="1">
      <alignment horizontal="right" vertical="center"/>
      <protection locked="0"/>
    </xf>
    <xf numFmtId="169" fontId="13" fillId="2" borderId="0" xfId="1" applyNumberFormat="1" applyFont="1" applyFill="1" applyAlignment="1">
      <alignment vertical="center"/>
    </xf>
    <xf numFmtId="164" fontId="19" fillId="2" borderId="0" xfId="1" applyNumberFormat="1" applyFont="1" applyFill="1" applyBorder="1" applyAlignment="1">
      <alignment horizontal="right" vertical="center"/>
    </xf>
    <xf numFmtId="169" fontId="13" fillId="2" borderId="1" xfId="1" applyNumberFormat="1" applyFont="1" applyFill="1" applyBorder="1" applyAlignment="1" applyProtection="1">
      <alignment horizontal="right" vertical="center"/>
      <protection locked="0"/>
    </xf>
    <xf numFmtId="41" fontId="21" fillId="2" borderId="5" xfId="2" applyNumberFormat="1" applyFont="1" applyFill="1" applyBorder="1" applyAlignment="1" applyProtection="1">
      <alignment horizontal="right" vertical="center"/>
      <protection locked="0"/>
    </xf>
    <xf numFmtId="165" fontId="10" fillId="2" borderId="6" xfId="1" applyNumberFormat="1" applyFont="1" applyFill="1" applyBorder="1" applyAlignment="1">
      <alignment horizontal="right" vertical="center"/>
    </xf>
    <xf numFmtId="37" fontId="21" fillId="2" borderId="1" xfId="2" applyNumberFormat="1" applyFont="1" applyFill="1" applyBorder="1" applyAlignment="1" applyProtection="1">
      <alignment horizontal="center" vertical="center"/>
      <protection locked="0"/>
    </xf>
    <xf numFmtId="165" fontId="10" fillId="2" borderId="1" xfId="1" applyNumberFormat="1" applyFont="1" applyFill="1" applyBorder="1" applyAlignment="1">
      <alignment horizontal="right" vertical="center" indent="3"/>
    </xf>
    <xf numFmtId="164" fontId="13" fillId="2" borderId="0" xfId="1" applyNumberFormat="1" applyFont="1" applyFill="1" applyAlignment="1">
      <alignment horizontal="center" vertical="center"/>
    </xf>
    <xf numFmtId="164" fontId="16" fillId="2" borderId="0" xfId="1" applyNumberFormat="1" applyFont="1" applyFill="1" applyAlignment="1">
      <alignment horizontal="center" vertical="center"/>
    </xf>
    <xf numFmtId="164" fontId="18" fillId="2" borderId="1" xfId="1" applyNumberFormat="1" applyFont="1" applyFill="1" applyBorder="1" applyAlignment="1">
      <alignment horizontal="center" vertical="center"/>
    </xf>
    <xf numFmtId="164" fontId="18" fillId="2" borderId="0" xfId="1" applyNumberFormat="1" applyFont="1" applyFill="1" applyBorder="1" applyAlignment="1" applyProtection="1">
      <alignment horizontal="center" vertical="center"/>
    </xf>
    <xf numFmtId="164" fontId="22" fillId="2" borderId="0" xfId="1" applyNumberFormat="1" applyFont="1" applyFill="1" applyAlignment="1">
      <alignment horizontal="center" vertical="center" wrapText="1"/>
    </xf>
    <xf numFmtId="164" fontId="5" fillId="2" borderId="10" xfId="1" applyNumberFormat="1" applyFont="1" applyFill="1" applyBorder="1" applyAlignment="1" applyProtection="1">
      <alignment horizontal="center" vertical="center"/>
      <protection locked="0"/>
    </xf>
    <xf numFmtId="164" fontId="5" fillId="2" borderId="8" xfId="1" applyNumberFormat="1" applyFont="1" applyFill="1" applyBorder="1" applyAlignment="1" applyProtection="1">
      <alignment horizontal="center" vertical="center"/>
      <protection locked="0"/>
    </xf>
    <xf numFmtId="164" fontId="5" fillId="2" borderId="12" xfId="1" applyNumberFormat="1" applyFont="1" applyFill="1" applyBorder="1" applyAlignment="1" applyProtection="1">
      <alignment horizontal="center" vertical="center"/>
      <protection locked="0"/>
    </xf>
    <xf numFmtId="169" fontId="12" fillId="2" borderId="2" xfId="1" applyNumberFormat="1" applyFont="1" applyFill="1" applyBorder="1" applyAlignment="1" applyProtection="1">
      <alignment horizontal="center" vertical="center"/>
      <protection hidden="1"/>
    </xf>
    <xf numFmtId="1" fontId="5" fillId="2" borderId="8" xfId="1" applyNumberFormat="1" applyFont="1" applyFill="1" applyBorder="1" applyAlignment="1" applyProtection="1">
      <alignment horizontal="center" vertical="center"/>
      <protection locked="0"/>
    </xf>
    <xf numFmtId="164" fontId="8" fillId="2" borderId="9" xfId="1" applyNumberFormat="1" applyFont="1" applyFill="1" applyBorder="1" applyAlignment="1">
      <alignment horizontal="center"/>
    </xf>
    <xf numFmtId="0" fontId="12" fillId="2" borderId="7" xfId="1" applyFont="1" applyFill="1" applyBorder="1" applyAlignment="1" applyProtection="1">
      <alignment horizontal="center" vertical="center"/>
    </xf>
    <xf numFmtId="0" fontId="12" fillId="2" borderId="2" xfId="1" applyFont="1" applyFill="1" applyBorder="1" applyAlignment="1" applyProtection="1">
      <alignment horizontal="center" vertical="center"/>
    </xf>
    <xf numFmtId="0" fontId="12" fillId="2" borderId="3" xfId="1" applyFont="1" applyFill="1" applyBorder="1" applyAlignment="1" applyProtection="1">
      <alignment horizontal="center" vertical="center"/>
    </xf>
  </cellXfs>
  <cellStyles count="11">
    <cellStyle name="Comma 2" xfId="6"/>
    <cellStyle name="Comma 3" xfId="7"/>
    <cellStyle name="Comma 4" xfId="3"/>
    <cellStyle name="Comma 6" xfId="9"/>
    <cellStyle name="Comma_13 Public Finance_done" xfId="2"/>
    <cellStyle name="Excel Built-in Comma" xfId="5"/>
    <cellStyle name="Excel Built-in Normal" xfId="4"/>
    <cellStyle name="Normal" xfId="0" builtinId="0"/>
    <cellStyle name="Normal 2" xfId="10"/>
    <cellStyle name="Normal 4" xfId="8"/>
    <cellStyle name="Normal_13 Public Finance_done" xfId="1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Views>
    <sheetView tabSelected="1" topLeftCell="A2" zoomScale="110" zoomScaleNormal="110" workbookViewId="0">
      <selection activeCell="N32" sqref="N32"/>
    </sheetView>
  </sheetViews>
  <sheetFormatPr defaultColWidth="8.85546875" defaultRowHeight="12.75" x14ac:dyDescent="0.25"/>
  <cols>
    <col min="1" max="1" width="29.140625" style="2" customWidth="1"/>
    <col min="2" max="11" width="8.85546875" style="9" hidden="1" customWidth="1"/>
    <col min="12" max="12" width="8.85546875" style="9"/>
    <col min="13" max="13" width="10.140625" style="9" customWidth="1"/>
    <col min="14" max="14" width="11.5703125" style="9" customWidth="1"/>
    <col min="15" max="17" width="8.85546875" style="9"/>
    <col min="18" max="18" width="12.42578125" style="9" customWidth="1"/>
    <col min="19" max="20" width="10.28515625" style="9" customWidth="1"/>
    <col min="21" max="21" width="1.28515625" style="9" customWidth="1"/>
    <col min="22" max="22" width="14.7109375" style="9" customWidth="1"/>
    <col min="23" max="23" width="12.5703125" style="9" customWidth="1"/>
    <col min="24" max="24" width="0.140625" style="9" customWidth="1"/>
    <col min="25" max="25" width="16.28515625" style="9" customWidth="1"/>
    <col min="26" max="26" width="42" style="2" customWidth="1"/>
    <col min="27" max="16384" width="8.85546875" style="2"/>
  </cols>
  <sheetData>
    <row r="1" spans="1:26" ht="19.5" x14ac:dyDescent="0.25">
      <c r="A1" s="65" t="s">
        <v>72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x14ac:dyDescent="0.25">
      <c r="A2" s="67" t="s">
        <v>71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4.25" x14ac:dyDescent="0.25">
      <c r="A3" s="68" t="s">
        <v>9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s="3" customFormat="1" x14ac:dyDescent="0.25">
      <c r="A4" s="66" t="s">
        <v>15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s="3" customFormat="1" ht="18.75" x14ac:dyDescent="0.4">
      <c r="A5" s="25"/>
      <c r="B5" s="25"/>
      <c r="D5" s="26" t="s">
        <v>1</v>
      </c>
      <c r="E5" s="74" t="s">
        <v>6</v>
      </c>
      <c r="F5" s="74"/>
      <c r="G5" s="74"/>
      <c r="H5" s="27"/>
      <c r="I5" s="27"/>
      <c r="J5" s="27"/>
      <c r="K5" s="27"/>
      <c r="L5" s="27"/>
      <c r="M5" s="27"/>
      <c r="N5" s="27"/>
      <c r="O5" s="27"/>
      <c r="P5" s="27"/>
      <c r="Q5" s="27"/>
      <c r="R5" s="75" t="s">
        <v>23</v>
      </c>
      <c r="S5" s="76"/>
      <c r="T5" s="77"/>
      <c r="U5" s="28"/>
      <c r="V5" s="72" t="s">
        <v>14</v>
      </c>
      <c r="W5" s="72"/>
      <c r="X5" s="72"/>
      <c r="Y5" s="72"/>
    </row>
    <row r="6" spans="1:26" s="14" customFormat="1" ht="15" x14ac:dyDescent="0.2">
      <c r="A6" s="29" t="s">
        <v>0</v>
      </c>
      <c r="D6" s="23" t="s">
        <v>24</v>
      </c>
      <c r="E6" s="30" t="s">
        <v>4</v>
      </c>
      <c r="F6" s="30" t="s">
        <v>4</v>
      </c>
      <c r="G6" s="30" t="s">
        <v>4</v>
      </c>
      <c r="H6" s="30"/>
      <c r="I6" s="30"/>
      <c r="J6" s="30"/>
      <c r="K6" s="30" t="s">
        <v>3</v>
      </c>
      <c r="L6" s="30" t="s">
        <v>3</v>
      </c>
      <c r="M6" s="30" t="s">
        <v>3</v>
      </c>
      <c r="N6" s="30" t="s">
        <v>5</v>
      </c>
      <c r="O6" s="30" t="s">
        <v>4</v>
      </c>
      <c r="P6" s="30" t="s">
        <v>4</v>
      </c>
      <c r="Q6" s="30" t="s">
        <v>4</v>
      </c>
      <c r="R6" s="69" t="s">
        <v>16</v>
      </c>
      <c r="S6" s="70"/>
      <c r="T6" s="71"/>
      <c r="U6" s="31"/>
      <c r="V6" s="73" t="s">
        <v>11</v>
      </c>
      <c r="W6" s="73"/>
      <c r="X6" s="73"/>
      <c r="Y6" s="73"/>
      <c r="Z6" s="1" t="s">
        <v>2</v>
      </c>
    </row>
    <row r="7" spans="1:26" s="37" customFormat="1" ht="12" x14ac:dyDescent="0.25">
      <c r="A7" s="32"/>
      <c r="B7" s="32">
        <v>2007</v>
      </c>
      <c r="C7" s="32">
        <v>2008</v>
      </c>
      <c r="D7" s="32">
        <v>2009</v>
      </c>
      <c r="E7" s="32">
        <v>2010</v>
      </c>
      <c r="F7" s="32">
        <v>2011</v>
      </c>
      <c r="G7" s="32">
        <v>2012</v>
      </c>
      <c r="H7" s="32">
        <v>2009</v>
      </c>
      <c r="I7" s="32">
        <v>2010</v>
      </c>
      <c r="J7" s="32">
        <v>2011</v>
      </c>
      <c r="K7" s="32">
        <v>2012</v>
      </c>
      <c r="L7" s="32">
        <v>2013</v>
      </c>
      <c r="M7" s="32">
        <v>2014</v>
      </c>
      <c r="N7" s="32">
        <v>2015</v>
      </c>
      <c r="O7" s="32">
        <v>2016</v>
      </c>
      <c r="P7" s="32">
        <v>2017</v>
      </c>
      <c r="Q7" s="32">
        <v>2018</v>
      </c>
      <c r="R7" s="33">
        <v>2013</v>
      </c>
      <c r="S7" s="32">
        <v>2014</v>
      </c>
      <c r="T7" s="34">
        <v>2015</v>
      </c>
      <c r="U7" s="32"/>
      <c r="V7" s="35" t="s">
        <v>13</v>
      </c>
      <c r="W7" s="35" t="s">
        <v>65</v>
      </c>
      <c r="X7" s="35" t="s">
        <v>69</v>
      </c>
      <c r="Y7" s="35" t="s">
        <v>70</v>
      </c>
      <c r="Z7" s="36"/>
    </row>
    <row r="8" spans="1:26" s="4" customFormat="1" ht="18" customHeight="1" x14ac:dyDescent="0.25">
      <c r="A8" s="15" t="s">
        <v>25</v>
      </c>
      <c r="B8" s="38">
        <f t="shared" ref="B8:O8" si="0">SUM(B9,B28)</f>
        <v>1640.8000000000002</v>
      </c>
      <c r="C8" s="38">
        <f t="shared" si="0"/>
        <v>2712.7999999999997</v>
      </c>
      <c r="D8" s="38">
        <f t="shared" si="0"/>
        <v>2938.9670029999997</v>
      </c>
      <c r="E8" s="38">
        <f t="shared" si="0"/>
        <v>1791.4</v>
      </c>
      <c r="F8" s="38">
        <f t="shared" si="0"/>
        <v>1261.8</v>
      </c>
      <c r="G8" s="38">
        <f t="shared" si="0"/>
        <v>1398.8000000000002</v>
      </c>
      <c r="H8" s="38">
        <f t="shared" si="0"/>
        <v>2214.6986589999997</v>
      </c>
      <c r="I8" s="38">
        <f t="shared" si="0"/>
        <v>2445.9177938999997</v>
      </c>
      <c r="J8" s="38">
        <f t="shared" si="0"/>
        <v>3188.9832150000002</v>
      </c>
      <c r="K8" s="38">
        <f t="shared" si="0"/>
        <v>2793.5176700000002</v>
      </c>
      <c r="L8" s="38">
        <f t="shared" si="0"/>
        <v>1957.5564169399997</v>
      </c>
      <c r="M8" s="38">
        <f t="shared" si="0"/>
        <v>2462.8850039999998</v>
      </c>
      <c r="N8" s="38">
        <f t="shared" si="0"/>
        <v>5191.7788279112428</v>
      </c>
      <c r="O8" s="38">
        <f t="shared" si="0"/>
        <v>10045.176248</v>
      </c>
      <c r="P8" s="38">
        <f t="shared" ref="P8" si="1">SUM(P9,P28)</f>
        <v>10698.300589709999</v>
      </c>
      <c r="Q8" s="38">
        <f t="shared" ref="Q8" si="2">SUM(Q9,Q28)</f>
        <v>8800.204262242909</v>
      </c>
      <c r="R8" s="39"/>
      <c r="S8" s="40"/>
      <c r="T8" s="41"/>
      <c r="U8" s="42"/>
      <c r="V8" s="43">
        <f>+((L8/K8)-1)*100</f>
        <v>-29.925039030091416</v>
      </c>
      <c r="W8" s="43">
        <f>+((M8/L8)-1)*100</f>
        <v>25.814254071405827</v>
      </c>
      <c r="X8" s="43">
        <f t="shared" ref="X8" si="3">+((N8/M8)-1)*100</f>
        <v>110.80069997093713</v>
      </c>
      <c r="Y8" s="44">
        <f>+((N8/M8)-1)*100</f>
        <v>110.80069997093713</v>
      </c>
      <c r="Z8" s="18" t="s">
        <v>26</v>
      </c>
    </row>
    <row r="9" spans="1:26" s="4" customFormat="1" ht="18" customHeight="1" x14ac:dyDescent="0.25">
      <c r="A9" s="15" t="s">
        <v>27</v>
      </c>
      <c r="B9" s="38">
        <f t="shared" ref="B9:O9" si="4">SUM(B10,B15,B21)</f>
        <v>1765.3000000000002</v>
      </c>
      <c r="C9" s="38">
        <f t="shared" si="4"/>
        <v>2879.2</v>
      </c>
      <c r="D9" s="38">
        <f t="shared" si="4"/>
        <v>3007.8670029999998</v>
      </c>
      <c r="E9" s="38">
        <f t="shared" si="4"/>
        <v>2038.9</v>
      </c>
      <c r="F9" s="38">
        <f t="shared" si="4"/>
        <v>1537</v>
      </c>
      <c r="G9" s="38">
        <f t="shared" si="4"/>
        <v>1645.0000000000002</v>
      </c>
      <c r="H9" s="38">
        <f t="shared" si="4"/>
        <v>2365.5349919999999</v>
      </c>
      <c r="I9" s="38">
        <f t="shared" si="4"/>
        <v>2627.2177938999998</v>
      </c>
      <c r="J9" s="38">
        <f t="shared" si="4"/>
        <v>3587.9832150000002</v>
      </c>
      <c r="K9" s="38">
        <f t="shared" si="4"/>
        <v>2883.7493060000002</v>
      </c>
      <c r="L9" s="38">
        <f t="shared" si="4"/>
        <v>2093.0414239399997</v>
      </c>
      <c r="M9" s="38">
        <f t="shared" si="4"/>
        <v>2585.0470539999997</v>
      </c>
      <c r="N9" s="38">
        <f t="shared" si="4"/>
        <v>5205.3422718459551</v>
      </c>
      <c r="O9" s="38">
        <f t="shared" si="4"/>
        <v>10029.617855</v>
      </c>
      <c r="P9" s="38">
        <f t="shared" ref="P9:Q9" si="5">SUM(P10,P15,P21)</f>
        <v>10598.04570771</v>
      </c>
      <c r="Q9" s="38">
        <f t="shared" si="5"/>
        <v>8826.2520409999997</v>
      </c>
      <c r="R9" s="39">
        <f>+(L9/$L$9)*100</f>
        <v>100</v>
      </c>
      <c r="S9" s="42">
        <f>+(M9/$M$9)*100</f>
        <v>100</v>
      </c>
      <c r="T9" s="45">
        <f>+(N9/$N$9)*100</f>
        <v>100</v>
      </c>
      <c r="U9" s="42"/>
      <c r="V9" s="43">
        <f t="shared" ref="V9:W28" si="6">+((L9/K9)-1)*100</f>
        <v>-27.419439006533409</v>
      </c>
      <c r="W9" s="43">
        <f t="shared" si="6"/>
        <v>23.506731612307739</v>
      </c>
      <c r="X9" s="43">
        <f t="shared" ref="X9:X23" si="7">+((N9/M9)-1)*100</f>
        <v>101.36354051240244</v>
      </c>
      <c r="Y9" s="44">
        <f t="shared" ref="Y9:Y31" si="8">+((N9/M9)-1)*100</f>
        <v>101.36354051240244</v>
      </c>
      <c r="Z9" s="18" t="s">
        <v>28</v>
      </c>
    </row>
    <row r="10" spans="1:26" s="4" customFormat="1" ht="18" customHeight="1" x14ac:dyDescent="0.25">
      <c r="A10" s="15" t="s">
        <v>29</v>
      </c>
      <c r="B10" s="38">
        <f t="shared" ref="B10:O10" si="9">SUM(B11:B14)</f>
        <v>808.9</v>
      </c>
      <c r="C10" s="38">
        <f t="shared" si="9"/>
        <v>498.79999999999995</v>
      </c>
      <c r="D10" s="38">
        <f t="shared" si="9"/>
        <v>867.71007999999995</v>
      </c>
      <c r="E10" s="38">
        <f t="shared" si="9"/>
        <v>495.4</v>
      </c>
      <c r="F10" s="38">
        <f t="shared" si="9"/>
        <v>381.3</v>
      </c>
      <c r="G10" s="38">
        <f t="shared" si="9"/>
        <v>709.7</v>
      </c>
      <c r="H10" s="38">
        <f t="shared" si="9"/>
        <v>696.52141600000004</v>
      </c>
      <c r="I10" s="38">
        <f t="shared" si="9"/>
        <v>635.70163600000001</v>
      </c>
      <c r="J10" s="38">
        <f t="shared" si="9"/>
        <v>1285.636868</v>
      </c>
      <c r="K10" s="38">
        <f t="shared" si="9"/>
        <v>1139.8289990000001</v>
      </c>
      <c r="L10" s="38">
        <f t="shared" si="9"/>
        <v>462.58586595999998</v>
      </c>
      <c r="M10" s="38">
        <f t="shared" si="9"/>
        <v>679.01722999999993</v>
      </c>
      <c r="N10" s="38">
        <f t="shared" si="9"/>
        <v>1719.7020305552883</v>
      </c>
      <c r="O10" s="38">
        <f t="shared" si="9"/>
        <v>2002.5255470000002</v>
      </c>
      <c r="P10" s="38">
        <f t="shared" ref="P10:Q10" si="10">SUM(P11:P14)</f>
        <v>1850.2315947099999</v>
      </c>
      <c r="Q10" s="38">
        <f t="shared" si="10"/>
        <v>1086.6580180000001</v>
      </c>
      <c r="R10" s="39">
        <f t="shared" ref="R10:R27" si="11">+(L10/$L$9)*100</f>
        <v>22.101132861919922</v>
      </c>
      <c r="S10" s="42">
        <f>+(M10/$M$9)*100</f>
        <v>26.267112969928942</v>
      </c>
      <c r="T10" s="45">
        <f>+(N10/$N$9)*100</f>
        <v>33.037251745319629</v>
      </c>
      <c r="U10" s="42"/>
      <c r="V10" s="43">
        <f t="shared" si="6"/>
        <v>-59.416204854777519</v>
      </c>
      <c r="W10" s="43">
        <f t="shared" si="6"/>
        <v>46.787284257127482</v>
      </c>
      <c r="X10" s="43">
        <f t="shared" si="7"/>
        <v>153.2633863437145</v>
      </c>
      <c r="Y10" s="44">
        <f t="shared" si="8"/>
        <v>153.2633863437145</v>
      </c>
      <c r="Z10" s="18" t="s">
        <v>30</v>
      </c>
    </row>
    <row r="11" spans="1:26" s="5" customFormat="1" ht="18" customHeight="1" x14ac:dyDescent="0.25">
      <c r="A11" s="19" t="s">
        <v>31</v>
      </c>
      <c r="B11" s="20">
        <v>465.50000000000006</v>
      </c>
      <c r="C11" s="46">
        <v>300.39999999999998</v>
      </c>
      <c r="D11" s="46">
        <v>659</v>
      </c>
      <c r="E11" s="46">
        <v>197</v>
      </c>
      <c r="F11" s="46">
        <v>230.9</v>
      </c>
      <c r="G11" s="46">
        <v>523.29999999999995</v>
      </c>
      <c r="H11" s="46">
        <v>557.45811400000002</v>
      </c>
      <c r="I11" s="46">
        <v>524.06922099999997</v>
      </c>
      <c r="J11" s="46">
        <v>923.85471400000006</v>
      </c>
      <c r="K11" s="46">
        <v>967.18460399999992</v>
      </c>
      <c r="L11" s="22">
        <v>254.18770169000001</v>
      </c>
      <c r="M11" s="22">
        <v>432.35995500000001</v>
      </c>
      <c r="N11" s="22">
        <v>975.26589728862155</v>
      </c>
      <c r="O11" s="22">
        <v>785.99118899999996</v>
      </c>
      <c r="P11" s="22">
        <v>675.49368071000004</v>
      </c>
      <c r="Q11" s="22">
        <v>463.37517200000002</v>
      </c>
      <c r="R11" s="47">
        <f t="shared" si="11"/>
        <v>12.144418107669841</v>
      </c>
      <c r="S11" s="48">
        <f t="shared" ref="S11:S27" si="12">+(M11/$M$9)*100</f>
        <v>16.725419149759123</v>
      </c>
      <c r="T11" s="45">
        <f t="shared" ref="T11:T31" si="13">+(N11/$N$9)*100</f>
        <v>18.735864931755312</v>
      </c>
      <c r="U11" s="48"/>
      <c r="V11" s="49">
        <f t="shared" si="6"/>
        <v>-73.718801908265277</v>
      </c>
      <c r="W11" s="49">
        <f t="shared" si="6"/>
        <v>70.094757584807837</v>
      </c>
      <c r="X11" s="49">
        <f t="shared" si="7"/>
        <v>125.56804486868391</v>
      </c>
      <c r="Y11" s="44">
        <f t="shared" si="8"/>
        <v>125.56804486868391</v>
      </c>
      <c r="Z11" s="13" t="s">
        <v>17</v>
      </c>
    </row>
    <row r="12" spans="1:26" s="5" customFormat="1" ht="18" customHeight="1" x14ac:dyDescent="0.25">
      <c r="A12" s="19" t="s">
        <v>32</v>
      </c>
      <c r="B12" s="20">
        <v>71.099999999999994</v>
      </c>
      <c r="C12" s="46">
        <v>37.299999999999997</v>
      </c>
      <c r="D12" s="46">
        <v>41.634203999999997</v>
      </c>
      <c r="E12" s="46">
        <v>33</v>
      </c>
      <c r="F12" s="46">
        <v>26.7</v>
      </c>
      <c r="G12" s="46">
        <v>21.2</v>
      </c>
      <c r="H12" s="46">
        <v>39.637543000000001</v>
      </c>
      <c r="I12" s="46">
        <v>18.016133</v>
      </c>
      <c r="J12" s="46">
        <v>136.47622799999999</v>
      </c>
      <c r="K12" s="46">
        <v>12.031162</v>
      </c>
      <c r="L12" s="22">
        <v>2.399518</v>
      </c>
      <c r="M12" s="22">
        <v>88.919511</v>
      </c>
      <c r="N12" s="22">
        <v>140.82248321666665</v>
      </c>
      <c r="O12" s="22">
        <v>209.857304</v>
      </c>
      <c r="P12" s="22">
        <v>76.563387999999989</v>
      </c>
      <c r="Q12" s="22">
        <v>43.845184000000003</v>
      </c>
      <c r="R12" s="47">
        <f t="shared" si="11"/>
        <v>0.11464264264216424</v>
      </c>
      <c r="S12" s="48">
        <f t="shared" si="12"/>
        <v>3.439763731279454</v>
      </c>
      <c r="T12" s="45">
        <f>+(N12/$N$9)*100</f>
        <v>2.7053453137621859</v>
      </c>
      <c r="U12" s="48"/>
      <c r="V12" s="49">
        <f t="shared" si="6"/>
        <v>-80.055808408198629</v>
      </c>
      <c r="W12" s="49">
        <f t="shared" si="6"/>
        <v>3605.7238578747902</v>
      </c>
      <c r="X12" s="49">
        <f t="shared" si="7"/>
        <v>58.370735098471968</v>
      </c>
      <c r="Y12" s="44">
        <f t="shared" si="8"/>
        <v>58.370735098471968</v>
      </c>
      <c r="Z12" s="13" t="s">
        <v>18</v>
      </c>
    </row>
    <row r="13" spans="1:26" s="4" customFormat="1" ht="18" customHeight="1" x14ac:dyDescent="0.25">
      <c r="A13" s="19" t="s">
        <v>33</v>
      </c>
      <c r="B13" s="46">
        <v>225.4</v>
      </c>
      <c r="C13" s="46">
        <v>149.1</v>
      </c>
      <c r="D13" s="46">
        <v>145.506271</v>
      </c>
      <c r="E13" s="46">
        <v>227.5</v>
      </c>
      <c r="F13" s="46">
        <v>86.3</v>
      </c>
      <c r="G13" s="46">
        <v>118</v>
      </c>
      <c r="H13" s="46">
        <v>73.816480999999996</v>
      </c>
      <c r="I13" s="46">
        <v>59.56033</v>
      </c>
      <c r="J13" s="46">
        <v>67.595481000000007</v>
      </c>
      <c r="K13" s="46">
        <v>55.118071999999998</v>
      </c>
      <c r="L13" s="22">
        <v>66.5179136</v>
      </c>
      <c r="M13" s="22">
        <v>105.52811699999999</v>
      </c>
      <c r="N13" s="22">
        <v>233.05439305000002</v>
      </c>
      <c r="O13" s="22">
        <v>456.03029400000003</v>
      </c>
      <c r="P13" s="22">
        <v>654.13568999999995</v>
      </c>
      <c r="Q13" s="22">
        <v>217.86199099999999</v>
      </c>
      <c r="R13" s="47">
        <f t="shared" si="11"/>
        <v>3.1780505077049463</v>
      </c>
      <c r="S13" s="48">
        <f t="shared" si="12"/>
        <v>4.0822513012561981</v>
      </c>
      <c r="T13" s="45">
        <f t="shared" si="13"/>
        <v>4.4772155389380881</v>
      </c>
      <c r="U13" s="48"/>
      <c r="V13" s="49">
        <f t="shared" si="6"/>
        <v>20.682584107804058</v>
      </c>
      <c r="W13" s="49">
        <f t="shared" si="6"/>
        <v>58.646162046790337</v>
      </c>
      <c r="X13" s="49">
        <f t="shared" si="7"/>
        <v>120.84577994507382</v>
      </c>
      <c r="Y13" s="44">
        <f t="shared" si="8"/>
        <v>120.84577994507382</v>
      </c>
      <c r="Z13" s="13" t="s">
        <v>34</v>
      </c>
    </row>
    <row r="14" spans="1:26" s="5" customFormat="1" ht="18" customHeight="1" x14ac:dyDescent="0.25">
      <c r="A14" s="19" t="s">
        <v>35</v>
      </c>
      <c r="B14" s="20">
        <v>46.9</v>
      </c>
      <c r="C14" s="46">
        <v>12</v>
      </c>
      <c r="D14" s="46">
        <v>21.569604999999999</v>
      </c>
      <c r="E14" s="46">
        <v>37.9</v>
      </c>
      <c r="F14" s="46">
        <v>37.4</v>
      </c>
      <c r="G14" s="46">
        <v>47.2</v>
      </c>
      <c r="H14" s="46">
        <v>25.609278</v>
      </c>
      <c r="I14" s="46">
        <v>34.055951999999998</v>
      </c>
      <c r="J14" s="46">
        <v>157.71044499999999</v>
      </c>
      <c r="K14" s="46">
        <v>105.495161</v>
      </c>
      <c r="L14" s="46">
        <v>139.48073266999998</v>
      </c>
      <c r="M14" s="46">
        <v>52.209646999999997</v>
      </c>
      <c r="N14" s="46">
        <v>370.559257</v>
      </c>
      <c r="O14" s="46">
        <v>550.64675999999997</v>
      </c>
      <c r="P14" s="46">
        <v>444.038836</v>
      </c>
      <c r="Q14" s="46">
        <v>361.575671</v>
      </c>
      <c r="R14" s="47">
        <f t="shared" si="11"/>
        <v>6.6640216039029729</v>
      </c>
      <c r="S14" s="48">
        <f t="shared" si="12"/>
        <v>2.0196787876341693</v>
      </c>
      <c r="T14" s="45">
        <f t="shared" si="13"/>
        <v>7.1188259608640436</v>
      </c>
      <c r="U14" s="48"/>
      <c r="V14" s="49">
        <f t="shared" si="6"/>
        <v>32.215289637787258</v>
      </c>
      <c r="W14" s="49">
        <f t="shared" si="6"/>
        <v>-62.568559828601011</v>
      </c>
      <c r="X14" s="49">
        <f t="shared" si="7"/>
        <v>609.7524658613379</v>
      </c>
      <c r="Y14" s="44">
        <f t="shared" si="8"/>
        <v>609.7524658613379</v>
      </c>
      <c r="Z14" s="13" t="s">
        <v>19</v>
      </c>
    </row>
    <row r="15" spans="1:26" s="4" customFormat="1" ht="18" customHeight="1" x14ac:dyDescent="0.25">
      <c r="A15" s="15" t="s">
        <v>36</v>
      </c>
      <c r="B15" s="38">
        <f>SUM(B16:B20)</f>
        <v>626.5</v>
      </c>
      <c r="C15" s="38">
        <f t="shared" ref="C15:P15" si="14">SUM(C16:C20)</f>
        <v>1443.3</v>
      </c>
      <c r="D15" s="38">
        <f t="shared" si="14"/>
        <v>849.36242600000003</v>
      </c>
      <c r="E15" s="38">
        <f t="shared" si="14"/>
        <v>896.5</v>
      </c>
      <c r="F15" s="38">
        <f t="shared" si="14"/>
        <v>834.6</v>
      </c>
      <c r="G15" s="38">
        <f t="shared" si="14"/>
        <v>734.1</v>
      </c>
      <c r="H15" s="38">
        <f t="shared" si="14"/>
        <v>1087.278699</v>
      </c>
      <c r="I15" s="38">
        <f t="shared" si="14"/>
        <v>1816.638207</v>
      </c>
      <c r="J15" s="38">
        <f t="shared" si="14"/>
        <v>1383.244537</v>
      </c>
      <c r="K15" s="38">
        <f t="shared" si="14"/>
        <v>1081.7647489999999</v>
      </c>
      <c r="L15" s="38">
        <f t="shared" si="14"/>
        <v>1108.2257616500001</v>
      </c>
      <c r="M15" s="38">
        <f t="shared" si="14"/>
        <v>1155.5744520000001</v>
      </c>
      <c r="N15" s="38">
        <f t="shared" si="14"/>
        <v>1989.8133760633332</v>
      </c>
      <c r="O15" s="38">
        <f t="shared" si="14"/>
        <v>4171.0280739999998</v>
      </c>
      <c r="P15" s="38">
        <f t="shared" si="14"/>
        <v>4233.077045</v>
      </c>
      <c r="Q15" s="38">
        <f t="shared" ref="Q15" si="15">SUM(Q16:Q20)</f>
        <v>3170.7842250000003</v>
      </c>
      <c r="R15" s="39">
        <f t="shared" si="11"/>
        <v>52.948104560866497</v>
      </c>
      <c r="S15" s="42">
        <f t="shared" si="12"/>
        <v>44.702259876156212</v>
      </c>
      <c r="T15" s="45">
        <f>+(N15/$N$9)*100</f>
        <v>38.226369605426378</v>
      </c>
      <c r="U15" s="42"/>
      <c r="V15" s="43">
        <f t="shared" si="6"/>
        <v>2.4460967760745689</v>
      </c>
      <c r="W15" s="43">
        <f t="shared" si="6"/>
        <v>4.272476961689109</v>
      </c>
      <c r="X15" s="43">
        <f t="shared" si="7"/>
        <v>72.192572501017267</v>
      </c>
      <c r="Y15" s="44">
        <f t="shared" si="8"/>
        <v>72.192572501017267</v>
      </c>
      <c r="Z15" s="18" t="s">
        <v>37</v>
      </c>
    </row>
    <row r="16" spans="1:26" s="5" customFormat="1" ht="18" customHeight="1" x14ac:dyDescent="0.25">
      <c r="A16" s="19" t="s">
        <v>38</v>
      </c>
      <c r="B16" s="20">
        <v>164.4</v>
      </c>
      <c r="C16" s="46">
        <v>163.4</v>
      </c>
      <c r="D16" s="46">
        <v>108.19257</v>
      </c>
      <c r="E16" s="46">
        <v>68.400000000000006</v>
      </c>
      <c r="F16" s="46">
        <v>36.6</v>
      </c>
      <c r="G16" s="46">
        <v>29.5</v>
      </c>
      <c r="H16" s="46">
        <v>133.543679</v>
      </c>
      <c r="I16" s="46">
        <v>54.517771000000003</v>
      </c>
      <c r="J16" s="46">
        <v>95.493024000000005</v>
      </c>
      <c r="K16" s="46">
        <v>108.05040099999999</v>
      </c>
      <c r="L16" s="22">
        <v>74.973524780000005</v>
      </c>
      <c r="M16" s="22">
        <v>100.486884</v>
      </c>
      <c r="N16" s="22">
        <v>354.37420818999999</v>
      </c>
      <c r="O16" s="22">
        <v>449.47949499999999</v>
      </c>
      <c r="P16" s="22">
        <v>410.369755</v>
      </c>
      <c r="Q16" s="22">
        <v>310.62532800000002</v>
      </c>
      <c r="R16" s="47">
        <f>+(L16/$L$9)*100</f>
        <v>3.5820373129007521</v>
      </c>
      <c r="S16" s="48">
        <f t="shared" si="12"/>
        <v>3.8872361663402049</v>
      </c>
      <c r="T16" s="45">
        <f t="shared" si="13"/>
        <v>6.8078944607869047</v>
      </c>
      <c r="U16" s="48"/>
      <c r="V16" s="49">
        <f t="shared" si="6"/>
        <v>-30.612451146756957</v>
      </c>
      <c r="W16" s="49">
        <f t="shared" si="6"/>
        <v>34.029824921351384</v>
      </c>
      <c r="X16" s="49">
        <f t="shared" si="7"/>
        <v>252.65717682120581</v>
      </c>
      <c r="Y16" s="44">
        <f t="shared" si="8"/>
        <v>252.65717682120581</v>
      </c>
      <c r="Z16" s="13" t="s">
        <v>20</v>
      </c>
    </row>
    <row r="17" spans="1:26" s="4" customFormat="1" ht="18" customHeight="1" x14ac:dyDescent="0.25">
      <c r="A17" s="19" t="s">
        <v>39</v>
      </c>
      <c r="B17" s="20">
        <v>99.9</v>
      </c>
      <c r="C17" s="46">
        <v>289.10000000000002</v>
      </c>
      <c r="D17" s="46">
        <v>46.711798999999999</v>
      </c>
      <c r="E17" s="46">
        <v>45.4</v>
      </c>
      <c r="F17" s="46">
        <v>27.2</v>
      </c>
      <c r="G17" s="46">
        <v>25.5</v>
      </c>
      <c r="H17" s="46">
        <v>68.366566000000006</v>
      </c>
      <c r="I17" s="46">
        <v>43.913061999999996</v>
      </c>
      <c r="J17" s="46">
        <v>11.563515000000001</v>
      </c>
      <c r="K17" s="46">
        <v>7.7340239999999998</v>
      </c>
      <c r="L17" s="22">
        <v>21.803670879999999</v>
      </c>
      <c r="M17" s="22">
        <v>142.83905899999999</v>
      </c>
      <c r="N17" s="22">
        <v>257.63199568333334</v>
      </c>
      <c r="O17" s="22">
        <v>489.37764399999998</v>
      </c>
      <c r="P17" s="22">
        <v>454.351204</v>
      </c>
      <c r="Q17" s="22">
        <v>353.49276500000002</v>
      </c>
      <c r="R17" s="47">
        <f t="shared" si="11"/>
        <v>1.041721899557829</v>
      </c>
      <c r="S17" s="48">
        <f t="shared" si="12"/>
        <v>5.5255883554992344</v>
      </c>
      <c r="T17" s="45">
        <f t="shared" si="13"/>
        <v>4.9493766639858254</v>
      </c>
      <c r="U17" s="48"/>
      <c r="V17" s="49">
        <f t="shared" si="6"/>
        <v>181.91884173103162</v>
      </c>
      <c r="W17" s="49">
        <f t="shared" si="6"/>
        <v>555.11472717661934</v>
      </c>
      <c r="X17" s="49">
        <f t="shared" si="7"/>
        <v>80.365228871560518</v>
      </c>
      <c r="Y17" s="44">
        <f t="shared" si="8"/>
        <v>80.365228871560518</v>
      </c>
      <c r="Z17" s="13" t="s">
        <v>40</v>
      </c>
    </row>
    <row r="18" spans="1:26" s="4" customFormat="1" ht="18" customHeight="1" x14ac:dyDescent="0.25">
      <c r="A18" s="19" t="s">
        <v>41</v>
      </c>
      <c r="B18" s="20">
        <v>4.0999999999999996</v>
      </c>
      <c r="C18" s="46">
        <v>2.2000000000000002</v>
      </c>
      <c r="D18" s="46">
        <v>0.68482100000000001</v>
      </c>
      <c r="E18" s="46">
        <v>8.4</v>
      </c>
      <c r="F18" s="46">
        <v>0.7</v>
      </c>
      <c r="G18" s="46">
        <v>1</v>
      </c>
      <c r="H18" s="46">
        <v>0.54541200000000001</v>
      </c>
      <c r="I18" s="46">
        <v>0.43177199999999999</v>
      </c>
      <c r="J18" s="46">
        <v>2.5820259999999999</v>
      </c>
      <c r="K18" s="46">
        <v>0.556778</v>
      </c>
      <c r="L18" s="22">
        <v>1.21422221</v>
      </c>
      <c r="M18" s="22">
        <v>1.0108220000000001</v>
      </c>
      <c r="N18" s="22">
        <v>11.09812694</v>
      </c>
      <c r="O18" s="22">
        <v>9.9648400000000006</v>
      </c>
      <c r="P18" s="22">
        <v>22.135072000000001</v>
      </c>
      <c r="Q18" s="22">
        <v>6.6169370000000001</v>
      </c>
      <c r="R18" s="47">
        <f t="shared" si="11"/>
        <v>5.8012335356187744E-2</v>
      </c>
      <c r="S18" s="48">
        <f t="shared" si="12"/>
        <v>3.9102653796413263E-2</v>
      </c>
      <c r="T18" s="45">
        <f t="shared" si="13"/>
        <v>0.21320647827571776</v>
      </c>
      <c r="U18" s="48"/>
      <c r="V18" s="49">
        <f t="shared" si="6"/>
        <v>118.08013427254669</v>
      </c>
      <c r="W18" s="49">
        <f t="shared" si="6"/>
        <v>-16.751481592483785</v>
      </c>
      <c r="X18" s="49">
        <f t="shared" si="7"/>
        <v>997.9308859522248</v>
      </c>
      <c r="Y18" s="44">
        <f t="shared" si="8"/>
        <v>997.9308859522248</v>
      </c>
      <c r="Z18" s="13" t="s">
        <v>21</v>
      </c>
    </row>
    <row r="19" spans="1:26" s="5" customFormat="1" ht="18" customHeight="1" x14ac:dyDescent="0.25">
      <c r="A19" s="19" t="s">
        <v>42</v>
      </c>
      <c r="B19" s="20">
        <v>358.1</v>
      </c>
      <c r="C19" s="46">
        <v>988.6</v>
      </c>
      <c r="D19" s="46">
        <v>693.773236</v>
      </c>
      <c r="E19" s="46">
        <v>774.3</v>
      </c>
      <c r="F19" s="46">
        <v>770.1</v>
      </c>
      <c r="G19" s="46">
        <v>678.1</v>
      </c>
      <c r="H19" s="46">
        <v>884.82304199999999</v>
      </c>
      <c r="I19" s="46">
        <v>1717.7756019999999</v>
      </c>
      <c r="J19" s="46">
        <v>1273.6059720000001</v>
      </c>
      <c r="K19" s="46">
        <v>965.42354599999999</v>
      </c>
      <c r="L19" s="46">
        <v>975.31386029999999</v>
      </c>
      <c r="M19" s="46">
        <v>768.75352099999998</v>
      </c>
      <c r="N19" s="46">
        <v>1095.374321</v>
      </c>
      <c r="O19" s="46">
        <v>2829.4478859999999</v>
      </c>
      <c r="P19" s="46">
        <v>2761.8167229999999</v>
      </c>
      <c r="Q19" s="46">
        <v>1732.2444780000001</v>
      </c>
      <c r="R19" s="50">
        <f>+(L19/$L$9)*100</f>
        <v>46.597924395783906</v>
      </c>
      <c r="S19" s="48">
        <f>+(M19/$M$9)*100</f>
        <v>29.738473031292067</v>
      </c>
      <c r="T19" s="45">
        <f>+(N19/$N$9)*100</f>
        <v>21.043271773395809</v>
      </c>
      <c r="U19" s="48"/>
      <c r="V19" s="51">
        <f>+((L19/K19)-1)*100</f>
        <v>1.0244533957119772</v>
      </c>
      <c r="W19" s="49">
        <f>+((M19/L19)-1)*100</f>
        <v>-21.178858181761452</v>
      </c>
      <c r="X19" s="49">
        <f t="shared" si="7"/>
        <v>42.487063938924074</v>
      </c>
      <c r="Y19" s="44">
        <f t="shared" si="8"/>
        <v>42.487063938924074</v>
      </c>
      <c r="Z19" s="13" t="s">
        <v>43</v>
      </c>
    </row>
    <row r="20" spans="1:26" s="5" customFormat="1" ht="18" customHeight="1" x14ac:dyDescent="0.25">
      <c r="A20" s="19" t="s">
        <v>66</v>
      </c>
      <c r="B20" s="20"/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46">
        <v>34.920483480000001</v>
      </c>
      <c r="M20" s="46">
        <v>142.48416599999999</v>
      </c>
      <c r="N20" s="46">
        <v>271.33472425000002</v>
      </c>
      <c r="O20" s="46">
        <v>392.75820900000002</v>
      </c>
      <c r="P20" s="46">
        <v>584.40429099999994</v>
      </c>
      <c r="Q20" s="46">
        <v>767.80471699999998</v>
      </c>
      <c r="R20" s="50">
        <f>+(L20/$L$9)*100</f>
        <v>1.6684086172678181</v>
      </c>
      <c r="S20" s="48">
        <f>+(M20/$M$9)*100</f>
        <v>5.5118596692282882</v>
      </c>
      <c r="T20" s="45">
        <f t="shared" si="13"/>
        <v>5.212620228982126</v>
      </c>
      <c r="U20" s="48"/>
      <c r="V20" s="52" t="s">
        <v>67</v>
      </c>
      <c r="W20" s="49">
        <f>+((M20/L20)-1)*100</f>
        <v>308.02460848402882</v>
      </c>
      <c r="X20" s="49">
        <f t="shared" si="7"/>
        <v>90.431492752675439</v>
      </c>
      <c r="Y20" s="44">
        <f>+((N20/M20)-1)*100</f>
        <v>90.431492752675439</v>
      </c>
      <c r="Z20" s="53" t="s">
        <v>68</v>
      </c>
    </row>
    <row r="21" spans="1:26" s="4" customFormat="1" ht="18" customHeight="1" x14ac:dyDescent="0.25">
      <c r="A21" s="15" t="s">
        <v>22</v>
      </c>
      <c r="B21" s="16">
        <f t="shared" ref="B21:O21" si="16">SUM(B22:B27)</f>
        <v>329.9</v>
      </c>
      <c r="C21" s="16">
        <f t="shared" si="16"/>
        <v>937.10000000000014</v>
      </c>
      <c r="D21" s="16">
        <f t="shared" si="16"/>
        <v>1290.7944969999999</v>
      </c>
      <c r="E21" s="16">
        <f t="shared" si="16"/>
        <v>647</v>
      </c>
      <c r="F21" s="16">
        <f t="shared" si="16"/>
        <v>321.10000000000002</v>
      </c>
      <c r="G21" s="16">
        <f t="shared" si="16"/>
        <v>201.2</v>
      </c>
      <c r="H21" s="16">
        <f t="shared" si="16"/>
        <v>581.73487699999998</v>
      </c>
      <c r="I21" s="16">
        <f t="shared" si="16"/>
        <v>174.8779509</v>
      </c>
      <c r="J21" s="16">
        <f t="shared" si="16"/>
        <v>919.10181</v>
      </c>
      <c r="K21" s="16">
        <f t="shared" si="16"/>
        <v>662.15555800000004</v>
      </c>
      <c r="L21" s="16">
        <f t="shared" si="16"/>
        <v>522.22979633</v>
      </c>
      <c r="M21" s="16">
        <f t="shared" si="16"/>
        <v>750.4553719999999</v>
      </c>
      <c r="N21" s="16">
        <f t="shared" si="16"/>
        <v>1495.8268652273334</v>
      </c>
      <c r="O21" s="16">
        <f t="shared" si="16"/>
        <v>3856.0642340000004</v>
      </c>
      <c r="P21" s="16">
        <f t="shared" ref="P21:Q21" si="17">SUM(P22:P27)</f>
        <v>4514.7370679999995</v>
      </c>
      <c r="Q21" s="16">
        <f t="shared" si="17"/>
        <v>4568.8097980000002</v>
      </c>
      <c r="R21" s="39">
        <f t="shared" si="11"/>
        <v>24.950762577213595</v>
      </c>
      <c r="S21" s="42">
        <f t="shared" si="12"/>
        <v>29.030627153914857</v>
      </c>
      <c r="T21" s="45">
        <f t="shared" si="13"/>
        <v>28.736378649253986</v>
      </c>
      <c r="U21" s="42"/>
      <c r="V21" s="44">
        <f t="shared" si="6"/>
        <v>-21.131856401332215</v>
      </c>
      <c r="W21" s="43">
        <f t="shared" si="6"/>
        <v>43.702135970384745</v>
      </c>
      <c r="X21" s="43">
        <f t="shared" si="7"/>
        <v>99.322560812761253</v>
      </c>
      <c r="Y21" s="44">
        <f t="shared" si="8"/>
        <v>99.322560812761253</v>
      </c>
      <c r="Z21" s="18" t="s">
        <v>12</v>
      </c>
    </row>
    <row r="22" spans="1:26" s="5" customFormat="1" ht="18" customHeight="1" x14ac:dyDescent="0.25">
      <c r="A22" s="19" t="s">
        <v>44</v>
      </c>
      <c r="B22" s="20">
        <v>154.1</v>
      </c>
      <c r="C22" s="46">
        <v>129.69999999999999</v>
      </c>
      <c r="D22" s="46">
        <v>42.402295000000002</v>
      </c>
      <c r="E22" s="46">
        <v>60.5</v>
      </c>
      <c r="F22" s="46">
        <v>71.900000000000006</v>
      </c>
      <c r="G22" s="46">
        <v>64.2</v>
      </c>
      <c r="H22" s="46">
        <v>23.587022999999999</v>
      </c>
      <c r="I22" s="46">
        <v>37.776733</v>
      </c>
      <c r="J22" s="46">
        <v>33.651007999999997</v>
      </c>
      <c r="K22" s="46">
        <v>24.679010000000002</v>
      </c>
      <c r="L22" s="22">
        <v>7.6444678900000005</v>
      </c>
      <c r="M22" s="22">
        <v>16.246099999999998</v>
      </c>
      <c r="N22" s="22">
        <v>37.305747113333332</v>
      </c>
      <c r="O22" s="22">
        <v>45.995458999999997</v>
      </c>
      <c r="P22" s="22">
        <v>14.250147999999999</v>
      </c>
      <c r="Q22" s="22">
        <v>2.4655230000000001</v>
      </c>
      <c r="R22" s="50">
        <f t="shared" si="11"/>
        <v>0.36523251774013343</v>
      </c>
      <c r="S22" s="48">
        <f t="shared" si="12"/>
        <v>0.62846438229669455</v>
      </c>
      <c r="T22" s="45">
        <f t="shared" si="13"/>
        <v>0.71668192339835712</v>
      </c>
      <c r="U22" s="48"/>
      <c r="V22" s="51">
        <f t="shared" si="6"/>
        <v>-69.024414309974347</v>
      </c>
      <c r="W22" s="49">
        <f>+((M22/L22)-1)*100</f>
        <v>112.52100517358569</v>
      </c>
      <c r="X22" s="49">
        <f t="shared" si="7"/>
        <v>129.62893933518407</v>
      </c>
      <c r="Y22" s="44">
        <f t="shared" si="8"/>
        <v>129.62893933518407</v>
      </c>
      <c r="Z22" s="13" t="s">
        <v>45</v>
      </c>
    </row>
    <row r="23" spans="1:26" s="5" customFormat="1" ht="18" customHeight="1" x14ac:dyDescent="0.25">
      <c r="A23" s="19" t="s">
        <v>46</v>
      </c>
      <c r="B23" s="20">
        <v>74.7</v>
      </c>
      <c r="C23" s="46">
        <v>692.8</v>
      </c>
      <c r="D23" s="46">
        <v>318.28409399999998</v>
      </c>
      <c r="E23" s="46">
        <v>294.2</v>
      </c>
      <c r="F23" s="46">
        <v>118.6</v>
      </c>
      <c r="G23" s="46">
        <v>66.7</v>
      </c>
      <c r="H23" s="46">
        <v>10.808646</v>
      </c>
      <c r="I23" s="46">
        <v>38.970894999999999</v>
      </c>
      <c r="J23" s="46">
        <v>392.140671</v>
      </c>
      <c r="K23" s="46">
        <v>539.738832</v>
      </c>
      <c r="L23" s="22">
        <v>368.65407792000002</v>
      </c>
      <c r="M23" s="22">
        <v>579.69850299999996</v>
      </c>
      <c r="N23" s="22">
        <v>1126.118397534</v>
      </c>
      <c r="O23" s="22">
        <v>3152.9439929999999</v>
      </c>
      <c r="P23" s="22">
        <v>3696.3850729999999</v>
      </c>
      <c r="Q23" s="22">
        <v>3298.6161080000002</v>
      </c>
      <c r="R23" s="50">
        <f t="shared" si="11"/>
        <v>17.613319722360547</v>
      </c>
      <c r="S23" s="48">
        <f t="shared" si="12"/>
        <v>22.42506580694527</v>
      </c>
      <c r="T23" s="45">
        <f>+(N23/$N$9)*100</f>
        <v>21.6338972294832</v>
      </c>
      <c r="U23" s="48"/>
      <c r="V23" s="51">
        <f t="shared" si="6"/>
        <v>-31.697692279439327</v>
      </c>
      <c r="W23" s="49">
        <f t="shared" si="6"/>
        <v>57.24727806369139</v>
      </c>
      <c r="X23" s="49">
        <f t="shared" si="7"/>
        <v>94.259324753509006</v>
      </c>
      <c r="Y23" s="44">
        <f t="shared" si="8"/>
        <v>94.259324753509006</v>
      </c>
      <c r="Z23" s="13" t="s">
        <v>47</v>
      </c>
    </row>
    <row r="24" spans="1:26" s="5" customFormat="1" ht="18" customHeight="1" x14ac:dyDescent="0.25">
      <c r="A24" s="19" t="s">
        <v>48</v>
      </c>
      <c r="B24" s="20">
        <v>72</v>
      </c>
      <c r="C24" s="46">
        <v>17.100000000000001</v>
      </c>
      <c r="D24" s="46">
        <v>26.934477000000001</v>
      </c>
      <c r="E24" s="46">
        <v>16.8</v>
      </c>
      <c r="F24" s="46">
        <v>7.5</v>
      </c>
      <c r="G24" s="46">
        <v>14</v>
      </c>
      <c r="H24" s="46">
        <v>32.757654000000002</v>
      </c>
      <c r="I24" s="46">
        <v>26.097563999999998</v>
      </c>
      <c r="J24" s="46">
        <v>39.440274000000002</v>
      </c>
      <c r="K24" s="46">
        <v>39.200918999999999</v>
      </c>
      <c r="L24" s="22">
        <v>5.0254116199999999</v>
      </c>
      <c r="M24" s="22">
        <v>42.439954</v>
      </c>
      <c r="N24" s="22">
        <v>16.152001299999998</v>
      </c>
      <c r="O24" s="22">
        <v>59.256925000000003</v>
      </c>
      <c r="P24" s="22">
        <v>59.975262000000001</v>
      </c>
      <c r="Q24" s="22">
        <v>54.457756000000003</v>
      </c>
      <c r="R24" s="50">
        <f t="shared" si="11"/>
        <v>0.24010091546778967</v>
      </c>
      <c r="S24" s="48">
        <f t="shared" si="12"/>
        <v>1.6417478333452418</v>
      </c>
      <c r="T24" s="45">
        <f t="shared" si="13"/>
        <v>0.31029662328567803</v>
      </c>
      <c r="U24" s="48"/>
      <c r="V24" s="51">
        <f t="shared" si="6"/>
        <v>-87.18037293972624</v>
      </c>
      <c r="W24" s="49">
        <f t="shared" si="6"/>
        <v>744.50702169546867</v>
      </c>
      <c r="X24" s="49">
        <f t="shared" ref="X24:X28" si="18">+((N24/M24)-1)*100</f>
        <v>-61.941520247642124</v>
      </c>
      <c r="Y24" s="44">
        <f t="shared" si="8"/>
        <v>-61.941520247642124</v>
      </c>
      <c r="Z24" s="13" t="s">
        <v>49</v>
      </c>
    </row>
    <row r="25" spans="1:26" s="4" customFormat="1" ht="18" customHeight="1" x14ac:dyDescent="0.25">
      <c r="A25" s="19" t="s">
        <v>50</v>
      </c>
      <c r="B25" s="20">
        <v>0.4</v>
      </c>
      <c r="C25" s="46">
        <v>13.2</v>
      </c>
      <c r="D25" s="46">
        <v>64.703819999999993</v>
      </c>
      <c r="E25" s="46">
        <v>0.5</v>
      </c>
      <c r="F25" s="46">
        <v>0.3</v>
      </c>
      <c r="G25" s="46">
        <v>0.4</v>
      </c>
      <c r="H25" s="46">
        <v>0.13069</v>
      </c>
      <c r="I25" s="46">
        <v>3.0217360000000002</v>
      </c>
      <c r="J25" s="46">
        <v>9.7469E-2</v>
      </c>
      <c r="K25" s="46">
        <v>0.167854</v>
      </c>
      <c r="L25" s="22">
        <v>7.0538000000000003E-2</v>
      </c>
      <c r="M25" s="22">
        <v>0.765787</v>
      </c>
      <c r="N25" s="22">
        <v>0.55528294666666667</v>
      </c>
      <c r="O25" s="22">
        <v>0.17874999999999999</v>
      </c>
      <c r="P25" s="22">
        <v>0.184113</v>
      </c>
      <c r="Q25" s="22">
        <v>0.189636</v>
      </c>
      <c r="R25" s="50">
        <f t="shared" si="11"/>
        <v>3.3701196351488016E-3</v>
      </c>
      <c r="S25" s="48">
        <f t="shared" si="12"/>
        <v>2.9623716087297192E-2</v>
      </c>
      <c r="T25" s="45">
        <f t="shared" si="13"/>
        <v>1.0667558782253686E-2</v>
      </c>
      <c r="U25" s="48"/>
      <c r="V25" s="51">
        <f t="shared" si="6"/>
        <v>-57.976574880550949</v>
      </c>
      <c r="W25" s="49">
        <f>+((M25/L25)-1)*100</f>
        <v>985.63752870793041</v>
      </c>
      <c r="X25" s="49">
        <f t="shared" si="18"/>
        <v>-27.488590604611119</v>
      </c>
      <c r="Y25" s="44">
        <f t="shared" si="8"/>
        <v>-27.488590604611119</v>
      </c>
      <c r="Z25" s="13" t="s">
        <v>51</v>
      </c>
    </row>
    <row r="26" spans="1:26" s="4" customFormat="1" ht="18" customHeight="1" x14ac:dyDescent="0.25">
      <c r="A26" s="19" t="s">
        <v>52</v>
      </c>
      <c r="B26" s="20">
        <v>24.5</v>
      </c>
      <c r="C26" s="46">
        <v>72.099999999999994</v>
      </c>
      <c r="D26" s="46">
        <v>604.09765100000004</v>
      </c>
      <c r="E26" s="46">
        <v>178</v>
      </c>
      <c r="F26" s="46">
        <v>26.2</v>
      </c>
      <c r="G26" s="46">
        <v>0.6</v>
      </c>
      <c r="H26" s="46">
        <v>488.44098200000002</v>
      </c>
      <c r="I26" s="46">
        <v>37.947304900000006</v>
      </c>
      <c r="J26" s="46">
        <v>63.553004999999999</v>
      </c>
      <c r="K26" s="46">
        <v>38.882137</v>
      </c>
      <c r="L26" s="46">
        <v>27.925922</v>
      </c>
      <c r="M26" s="46">
        <v>20.208456999999999</v>
      </c>
      <c r="N26" s="46">
        <v>91.387343333333334</v>
      </c>
      <c r="O26" s="46">
        <v>256.99009899999999</v>
      </c>
      <c r="P26" s="46">
        <v>298.06454400000001</v>
      </c>
      <c r="Q26" s="46">
        <v>246.89478299999999</v>
      </c>
      <c r="R26" s="50">
        <f t="shared" si="11"/>
        <v>1.334226914029798</v>
      </c>
      <c r="S26" s="48">
        <f t="shared" si="12"/>
        <v>0.78174426143347109</v>
      </c>
      <c r="T26" s="45">
        <f t="shared" si="13"/>
        <v>1.7556452306242853</v>
      </c>
      <c r="U26" s="48"/>
      <c r="V26" s="51">
        <f t="shared" si="6"/>
        <v>-28.178016552948204</v>
      </c>
      <c r="W26" s="49">
        <f t="shared" si="6"/>
        <v>-27.63548863310583</v>
      </c>
      <c r="X26" s="49">
        <f t="shared" si="18"/>
        <v>352.22326144610321</v>
      </c>
      <c r="Y26" s="44">
        <f t="shared" si="8"/>
        <v>352.22326144610321</v>
      </c>
      <c r="Z26" s="13" t="s">
        <v>53</v>
      </c>
    </row>
    <row r="27" spans="1:26" s="4" customFormat="1" ht="18" customHeight="1" x14ac:dyDescent="0.25">
      <c r="A27" s="19" t="s">
        <v>54</v>
      </c>
      <c r="B27" s="20">
        <v>4.2</v>
      </c>
      <c r="C27" s="46">
        <v>12.2</v>
      </c>
      <c r="D27" s="46">
        <v>234.37216000000001</v>
      </c>
      <c r="E27" s="46">
        <v>97</v>
      </c>
      <c r="F27" s="46">
        <v>96.6</v>
      </c>
      <c r="G27" s="46">
        <v>55.3</v>
      </c>
      <c r="H27" s="46">
        <v>26.009882000000001</v>
      </c>
      <c r="I27" s="46">
        <v>31.063718000000001</v>
      </c>
      <c r="J27" s="46">
        <v>390.21938299999999</v>
      </c>
      <c r="K27" s="46">
        <v>19.486806000000001</v>
      </c>
      <c r="L27" s="46">
        <v>112.90937890000001</v>
      </c>
      <c r="M27" s="46">
        <v>91.096570999999997</v>
      </c>
      <c r="N27" s="46">
        <v>224.30809300000001</v>
      </c>
      <c r="O27" s="46">
        <v>340.69900799999999</v>
      </c>
      <c r="P27" s="46">
        <v>445.877928</v>
      </c>
      <c r="Q27" s="46">
        <v>966.18599200000006</v>
      </c>
      <c r="R27" s="50">
        <f t="shared" si="11"/>
        <v>5.3945123879801784</v>
      </c>
      <c r="S27" s="48">
        <f t="shared" si="12"/>
        <v>3.5239811538068819</v>
      </c>
      <c r="T27" s="45">
        <f t="shared" si="13"/>
        <v>4.3091900836802086</v>
      </c>
      <c r="U27" s="48"/>
      <c r="V27" s="51">
        <f t="shared" si="6"/>
        <v>479.4144966599452</v>
      </c>
      <c r="W27" s="49">
        <f t="shared" si="6"/>
        <v>-19.318862713184238</v>
      </c>
      <c r="X27" s="49">
        <f t="shared" si="18"/>
        <v>146.23110457143332</v>
      </c>
      <c r="Y27" s="44">
        <f t="shared" si="8"/>
        <v>146.23110457143332</v>
      </c>
      <c r="Z27" s="13" t="s">
        <v>55</v>
      </c>
    </row>
    <row r="28" spans="1:26" s="4" customFormat="1" ht="18" customHeight="1" x14ac:dyDescent="0.25">
      <c r="A28" s="15" t="s">
        <v>56</v>
      </c>
      <c r="B28" s="17">
        <v>-124.5</v>
      </c>
      <c r="C28" s="38">
        <v>-166.4</v>
      </c>
      <c r="D28" s="38">
        <v>-68.900000000000006</v>
      </c>
      <c r="E28" s="38">
        <v>-247.5</v>
      </c>
      <c r="F28" s="38">
        <v>-275.2</v>
      </c>
      <c r="G28" s="38">
        <v>-246.2</v>
      </c>
      <c r="H28" s="38">
        <v>-150.836333</v>
      </c>
      <c r="I28" s="38">
        <v>-181.3</v>
      </c>
      <c r="J28" s="38">
        <v>-399</v>
      </c>
      <c r="K28" s="38">
        <v>-90.231635999999995</v>
      </c>
      <c r="L28" s="38">
        <v>-135.485007</v>
      </c>
      <c r="M28" s="38">
        <v>-122.16204999999999</v>
      </c>
      <c r="N28" s="38">
        <v>-13.563443934712012</v>
      </c>
      <c r="O28" s="38">
        <v>15.558392999999981</v>
      </c>
      <c r="P28" s="38">
        <v>100.25488200000001</v>
      </c>
      <c r="Q28" s="38">
        <v>-26.047778757089993</v>
      </c>
      <c r="R28" s="54">
        <v>0</v>
      </c>
      <c r="S28" s="21">
        <v>0</v>
      </c>
      <c r="T28" s="45">
        <f t="shared" si="13"/>
        <v>-0.26056776339324267</v>
      </c>
      <c r="U28" s="21"/>
      <c r="V28" s="44">
        <f t="shared" si="6"/>
        <v>50.152444315650001</v>
      </c>
      <c r="W28" s="43">
        <f t="shared" si="6"/>
        <v>-9.833528664909764</v>
      </c>
      <c r="X28" s="43">
        <f t="shared" si="18"/>
        <v>-88.89717065593446</v>
      </c>
      <c r="Y28" s="44">
        <f t="shared" si="8"/>
        <v>-88.89717065593446</v>
      </c>
      <c r="Z28" s="18" t="s">
        <v>57</v>
      </c>
    </row>
    <row r="29" spans="1:26" s="5" customFormat="1" ht="18" customHeight="1" x14ac:dyDescent="0.25">
      <c r="A29" s="19" t="s">
        <v>58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47"/>
      <c r="S29" s="22"/>
      <c r="T29" s="45"/>
      <c r="U29" s="22"/>
      <c r="V29" s="51"/>
      <c r="W29" s="49"/>
      <c r="X29" s="49"/>
      <c r="Y29" s="44"/>
      <c r="Z29" s="13" t="s">
        <v>10</v>
      </c>
    </row>
    <row r="30" spans="1:26" s="5" customFormat="1" ht="18" customHeight="1" x14ac:dyDescent="0.25">
      <c r="A30" s="19" t="s">
        <v>59</v>
      </c>
      <c r="B30" s="56">
        <v>1007.8</v>
      </c>
      <c r="C30" s="57">
        <v>1137.6071899999999</v>
      </c>
      <c r="D30" s="57">
        <v>1774.5</v>
      </c>
      <c r="E30" s="57">
        <v>1441</v>
      </c>
      <c r="F30" s="57">
        <v>1100.8999999999999</v>
      </c>
      <c r="G30" s="57">
        <v>737.1</v>
      </c>
      <c r="H30" s="57">
        <v>778.8</v>
      </c>
      <c r="I30" s="57">
        <v>1283</v>
      </c>
      <c r="J30" s="57">
        <v>916.69999999999993</v>
      </c>
      <c r="K30" s="57">
        <v>1145.9000000000001</v>
      </c>
      <c r="L30" s="57">
        <v>1187.19235</v>
      </c>
      <c r="M30" s="57">
        <v>188.39416600000001</v>
      </c>
      <c r="N30" s="57">
        <v>568.29718400000002</v>
      </c>
      <c r="O30" s="57">
        <v>2779.267159</v>
      </c>
      <c r="P30" s="57">
        <v>3289.8189120000002</v>
      </c>
      <c r="Q30" s="57">
        <v>3312.2719229999998</v>
      </c>
      <c r="R30" s="54">
        <v>0</v>
      </c>
      <c r="S30" s="21">
        <v>0</v>
      </c>
      <c r="T30" s="45">
        <f t="shared" si="13"/>
        <v>10.917575719732</v>
      </c>
      <c r="U30" s="21"/>
      <c r="V30" s="52" t="s">
        <v>67</v>
      </c>
      <c r="W30" s="52" t="s">
        <v>67</v>
      </c>
      <c r="X30" s="52" t="s">
        <v>67</v>
      </c>
      <c r="Y30" s="44">
        <f t="shared" si="8"/>
        <v>201.65328155649996</v>
      </c>
      <c r="Z30" s="58" t="s">
        <v>60</v>
      </c>
    </row>
    <row r="31" spans="1:26" s="5" customFormat="1" ht="18" customHeight="1" x14ac:dyDescent="0.25">
      <c r="A31" s="10" t="s">
        <v>61</v>
      </c>
      <c r="B31" s="59">
        <v>392.7</v>
      </c>
      <c r="C31" s="59">
        <v>390.3</v>
      </c>
      <c r="D31" s="59">
        <v>-993.3</v>
      </c>
      <c r="E31" s="59">
        <v>-1332</v>
      </c>
      <c r="F31" s="59">
        <v>-1393</v>
      </c>
      <c r="G31" s="59">
        <v>-668.6</v>
      </c>
      <c r="H31" s="59">
        <v>584.5</v>
      </c>
      <c r="I31" s="59">
        <v>877.1</v>
      </c>
      <c r="J31" s="59">
        <v>987.6</v>
      </c>
      <c r="K31" s="59">
        <v>1806.07971</v>
      </c>
      <c r="L31" s="59">
        <v>1632.2075219999999</v>
      </c>
      <c r="M31" s="59">
        <v>1413.2714820000001</v>
      </c>
      <c r="N31" s="59">
        <v>1202.30951817</v>
      </c>
      <c r="O31" s="59">
        <v>1200.2252140000001</v>
      </c>
      <c r="P31" s="59">
        <v>1202.6576010000001</v>
      </c>
      <c r="Q31" s="59">
        <v>1226.168165</v>
      </c>
      <c r="R31" s="60">
        <v>0</v>
      </c>
      <c r="S31" s="11">
        <v>0</v>
      </c>
      <c r="T31" s="61">
        <f t="shared" si="13"/>
        <v>23.097607330701592</v>
      </c>
      <c r="U31" s="11"/>
      <c r="V31" s="62" t="s">
        <v>67</v>
      </c>
      <c r="W31" s="62" t="s">
        <v>67</v>
      </c>
      <c r="X31" s="62" t="s">
        <v>67</v>
      </c>
      <c r="Y31" s="63">
        <f t="shared" si="8"/>
        <v>-14.927207300005508</v>
      </c>
      <c r="Z31" s="12" t="s">
        <v>62</v>
      </c>
    </row>
    <row r="32" spans="1:26" s="5" customFormat="1" ht="15" x14ac:dyDescent="0.25">
      <c r="A32" s="6" t="s">
        <v>63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13" t="s">
        <v>64</v>
      </c>
    </row>
    <row r="33" spans="1:26" s="5" customFormat="1" ht="15" x14ac:dyDescent="0.25">
      <c r="A33" s="6" t="s">
        <v>7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13" t="s">
        <v>8</v>
      </c>
    </row>
    <row r="34" spans="1:26" s="5" customFormat="1" ht="12" x14ac:dyDescent="0.25">
      <c r="A34" s="7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spans="1:26" x14ac:dyDescent="0.25">
      <c r="R35" s="8"/>
      <c r="S35" s="8"/>
      <c r="T35" s="8"/>
      <c r="U35" s="8"/>
      <c r="V35" s="8"/>
      <c r="W35" s="8"/>
      <c r="X35" s="8"/>
      <c r="Y35" s="8"/>
    </row>
  </sheetData>
  <mergeCells count="9">
    <mergeCell ref="R6:T6"/>
    <mergeCell ref="V5:Y5"/>
    <mergeCell ref="V6:Y6"/>
    <mergeCell ref="A2:Z2"/>
    <mergeCell ref="A1:Z1"/>
    <mergeCell ref="A3:Z3"/>
    <mergeCell ref="A4:Z4"/>
    <mergeCell ref="E5:G5"/>
    <mergeCell ref="R5:T5"/>
  </mergeCells>
  <pageMargins left="0.17" right="0.16" top="0.75" bottom="0.75" header="0.3" footer="0.3"/>
  <pageSetup paperSize="9" scale="69" orientation="landscape" r:id="rId1"/>
  <colBreaks count="1" manualBreakCount="1">
    <brk id="26" max="1048575" man="1"/>
  </colBreaks>
  <ignoredErrors>
    <ignoredError sqref="M21:Q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13.7</vt:lpstr>
      <vt:lpstr>'13.7'!Print_Area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2016-04-19T09:07:10Z</cp:lastPrinted>
  <dcterms:created xsi:type="dcterms:W3CDTF">2014-03-06T08:38:12Z</dcterms:created>
  <dcterms:modified xsi:type="dcterms:W3CDTF">2016-04-19T09:08:25Z</dcterms:modified>
</cp:coreProperties>
</file>