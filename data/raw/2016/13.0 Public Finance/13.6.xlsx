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0" yWindow="-255" windowWidth="20670" windowHeight="10455" tabRatio="688"/>
  </bookViews>
  <sheets>
    <sheet name="13.6" sheetId="16" r:id="rId1"/>
  </sheets>
  <externalReferences>
    <externalReference r:id="rId2"/>
  </externalReferences>
  <definedNames>
    <definedName name="_xlnm.Print_Area" localSheetId="0">'13.6'!$A$1:$X$37</definedName>
  </definedNames>
  <calcPr calcId="144525"/>
</workbook>
</file>

<file path=xl/calcChain.xml><?xml version="1.0" encoding="utf-8"?>
<calcChain xmlns="http://schemas.openxmlformats.org/spreadsheetml/2006/main">
  <c r="Q20" i="16" l="1"/>
  <c r="Q14" i="16"/>
  <c r="Q9" i="16"/>
  <c r="Q8" i="16" l="1"/>
  <c r="W23" i="16" l="1"/>
  <c r="W16" i="16"/>
  <c r="W13" i="16"/>
  <c r="W10" i="16"/>
  <c r="W11" i="16"/>
  <c r="W12" i="16"/>
  <c r="W15" i="16"/>
  <c r="W17" i="16"/>
  <c r="W18" i="16"/>
  <c r="W19" i="16"/>
  <c r="W21" i="16"/>
  <c r="W22" i="16"/>
  <c r="W24" i="16"/>
  <c r="W25" i="16"/>
  <c r="W26" i="16"/>
  <c r="W27" i="16"/>
  <c r="V26" i="16" l="1"/>
  <c r="V25" i="16"/>
  <c r="U25" i="16"/>
  <c r="V19" i="16"/>
  <c r="K20" i="16" l="1"/>
  <c r="L20" i="16"/>
  <c r="M20" i="16"/>
  <c r="N20" i="16"/>
  <c r="O20" i="16"/>
  <c r="P20" i="16"/>
  <c r="J20" i="16"/>
  <c r="K14" i="16"/>
  <c r="L14" i="16"/>
  <c r="M14" i="16"/>
  <c r="N14" i="16"/>
  <c r="O14" i="16"/>
  <c r="P14" i="16"/>
  <c r="J14" i="16"/>
  <c r="W20" i="16" l="1"/>
  <c r="W14" i="16"/>
  <c r="V17" i="16" l="1"/>
  <c r="V15" i="16"/>
  <c r="V12" i="16"/>
  <c r="V27" i="16"/>
  <c r="V24" i="16"/>
  <c r="V23" i="16"/>
  <c r="V22" i="16"/>
  <c r="V21" i="16"/>
  <c r="V18" i="16"/>
  <c r="V16" i="16"/>
  <c r="V13" i="16"/>
  <c r="V11" i="16"/>
  <c r="V10" i="16"/>
  <c r="P9" i="16"/>
  <c r="P8" i="16" s="1"/>
  <c r="U18" i="16" l="1"/>
  <c r="U16" i="16"/>
  <c r="U13" i="16"/>
  <c r="U11" i="16"/>
  <c r="U10" i="16"/>
  <c r="U12" i="16"/>
  <c r="U15" i="16"/>
  <c r="U17" i="16"/>
  <c r="U21" i="16"/>
  <c r="U22" i="16"/>
  <c r="U23" i="16"/>
  <c r="U24" i="16"/>
  <c r="U27" i="16"/>
  <c r="H14" i="16"/>
  <c r="I20" i="16"/>
  <c r="H20" i="16"/>
  <c r="G20" i="16"/>
  <c r="F20" i="16"/>
  <c r="E20" i="16"/>
  <c r="D20" i="16"/>
  <c r="C20" i="16"/>
  <c r="B20" i="16"/>
  <c r="I14" i="16"/>
  <c r="G14" i="16"/>
  <c r="F14" i="16"/>
  <c r="F8" i="16" s="1"/>
  <c r="E14" i="16"/>
  <c r="D14" i="16"/>
  <c r="C14" i="16"/>
  <c r="B14" i="16"/>
  <c r="B8" i="16" s="1"/>
  <c r="O9" i="16"/>
  <c r="O8" i="16" s="1"/>
  <c r="N9" i="16"/>
  <c r="M9" i="16"/>
  <c r="W9" i="16" s="1"/>
  <c r="L9" i="16"/>
  <c r="L8" i="16" s="1"/>
  <c r="K9" i="16"/>
  <c r="K8" i="16" s="1"/>
  <c r="J9" i="16"/>
  <c r="I9" i="16"/>
  <c r="H9" i="16"/>
  <c r="G9" i="16"/>
  <c r="F9" i="16"/>
  <c r="E9" i="16"/>
  <c r="D9" i="16"/>
  <c r="D8" i="16" s="1"/>
  <c r="C9" i="16"/>
  <c r="B9" i="16"/>
  <c r="N8" i="16"/>
  <c r="T10" i="16" s="1"/>
  <c r="J8" i="16"/>
  <c r="R17" i="16" l="1"/>
  <c r="R18" i="16"/>
  <c r="R19" i="16"/>
  <c r="R15" i="16"/>
  <c r="R16" i="16"/>
  <c r="H8" i="16"/>
  <c r="T19" i="16"/>
  <c r="T11" i="16"/>
  <c r="T13" i="16"/>
  <c r="T16" i="16"/>
  <c r="T18" i="16"/>
  <c r="T21" i="16"/>
  <c r="T23" i="16"/>
  <c r="T25" i="16"/>
  <c r="T27" i="16"/>
  <c r="T14" i="16"/>
  <c r="T12" i="16"/>
  <c r="T15" i="16"/>
  <c r="T17" i="16"/>
  <c r="T20" i="16"/>
  <c r="T22" i="16"/>
  <c r="T24" i="16"/>
  <c r="T26" i="16"/>
  <c r="T8" i="16"/>
  <c r="T9" i="16"/>
  <c r="R26" i="16"/>
  <c r="C8" i="16"/>
  <c r="G8" i="16"/>
  <c r="E8" i="16"/>
  <c r="I8" i="16"/>
  <c r="R27" i="16"/>
  <c r="U8" i="16"/>
  <c r="V14" i="16"/>
  <c r="V9" i="16"/>
  <c r="M8" i="16"/>
  <c r="V20" i="16"/>
  <c r="U9" i="16"/>
  <c r="R14" i="16"/>
  <c r="U20" i="16"/>
  <c r="U14" i="16"/>
  <c r="R8" i="16"/>
  <c r="R9" i="16"/>
  <c r="R23" i="16"/>
  <c r="R10" i="16"/>
  <c r="R11" i="16"/>
  <c r="R12" i="16"/>
  <c r="R13" i="16"/>
  <c r="R20" i="16"/>
  <c r="R21" i="16"/>
  <c r="R22" i="16"/>
  <c r="R24" i="16"/>
  <c r="R25" i="16"/>
  <c r="S19" i="16" l="1"/>
  <c r="W8" i="16"/>
  <c r="S9" i="16"/>
  <c r="S26" i="16"/>
  <c r="S10" i="16"/>
  <c r="S13" i="16"/>
  <c r="S17" i="16"/>
  <c r="S22" i="16"/>
  <c r="S27" i="16"/>
  <c r="S15" i="16"/>
  <c r="S24" i="16"/>
  <c r="S12" i="16"/>
  <c r="S16" i="16"/>
  <c r="S21" i="16"/>
  <c r="S18" i="16"/>
  <c r="S23" i="16"/>
  <c r="S8" i="16"/>
  <c r="V8" i="16"/>
  <c r="S11" i="16"/>
  <c r="S25" i="16"/>
  <c r="S14" i="16"/>
  <c r="S20" i="16"/>
</calcChain>
</file>

<file path=xl/sharedStrings.xml><?xml version="1.0" encoding="utf-8"?>
<sst xmlns="http://schemas.openxmlformats.org/spreadsheetml/2006/main" count="69" uniqueCount="62">
  <si>
    <t>Particulars</t>
  </si>
  <si>
    <t>(iawfiverukuhWlcsia)</t>
  </si>
  <si>
    <t>clIBcfwt</t>
  </si>
  <si>
    <t>Actual</t>
  </si>
  <si>
    <t>(MTEF)</t>
  </si>
  <si>
    <t>Revised</t>
  </si>
  <si>
    <t>(cTejwbWtcsWrudem)</t>
  </si>
  <si>
    <t>Current expenditure</t>
  </si>
  <si>
    <t>udwrwK Wditenivua</t>
  </si>
  <si>
    <t>Source:  Ministry of Finance and Treasury</t>
  </si>
  <si>
    <t>IrwRercT cDcnea cscnEnif cfoa IrcTcsinim :ctWrwf ivcaedutWmUluAwm</t>
  </si>
  <si>
    <t>(cniaWyifur cnwyilim)</t>
  </si>
  <si>
    <t>% change</t>
  </si>
  <si>
    <t>ctwmcdiK IdWBitcqia</t>
  </si>
  <si>
    <t>2012 - 2013</t>
  </si>
  <si>
    <t>އިތުރުވި މިންވަރު</t>
  </si>
  <si>
    <t xml:space="preserve"> (In million MVR)</t>
  </si>
  <si>
    <t>(Rev.)</t>
  </si>
  <si>
    <t>% Share</t>
  </si>
  <si>
    <t xml:space="preserve">   Public services</t>
  </si>
  <si>
    <t xml:space="preserve">cawtctwmcdiK EvedcSwncnutiycawr  </t>
  </si>
  <si>
    <t xml:space="preserve">      General administration</t>
  </si>
  <si>
    <t xml:space="preserve">EhebWmugcnih       </t>
  </si>
  <si>
    <t xml:space="preserve">      Defence</t>
  </si>
  <si>
    <t xml:space="preserve">cnuTcaeheleb cSwtcawtcnwkIaWfid       </t>
  </si>
  <si>
    <t xml:space="preserve">      Public order and Internal security</t>
  </si>
  <si>
    <t xml:space="preserve"> cnuTcaeheleb cSokiretWkcawr   cnwmwa iaWmurukcmiaWq ufWscniauludwa       </t>
  </si>
  <si>
    <t xml:space="preserve">      Environmental Protection</t>
  </si>
  <si>
    <t xml:space="preserve">cnuTcaeleb iaWmurukiretWkcawr iSevWmit       </t>
  </si>
  <si>
    <t xml:space="preserve">   Social services</t>
  </si>
  <si>
    <t xml:space="preserve">Ihea EvediaWdwrwK Everuk cSwaIqcawrwt eguAwmwtcjum  </t>
  </si>
  <si>
    <t xml:space="preserve">      Education</t>
  </si>
  <si>
    <t xml:space="preserve">cmIluAwt       </t>
  </si>
  <si>
    <t xml:space="preserve">      Health 1_/</t>
  </si>
  <si>
    <t xml:space="preserve">1_/ utwHcaiB       </t>
  </si>
  <si>
    <t xml:space="preserve">      Social security &amp; Welfare</t>
  </si>
  <si>
    <t xml:space="preserve">rwaefclev iaWmuTcaeheleb cSokiretWkcawr uAwmwtcjum       </t>
  </si>
  <si>
    <t xml:space="preserve">      Community programmes</t>
  </si>
  <si>
    <t xml:space="preserve">udwrwK Everuk iawkwTcSwaWdiawf egutwAWmwj       </t>
  </si>
  <si>
    <t xml:space="preserve">   Economic services</t>
  </si>
  <si>
    <t xml:space="preserve">      Fisheries and Agriculture</t>
  </si>
  <si>
    <t xml:space="preserve">                            cnwkirevcswm iaWmwkirevuDnwd    </t>
  </si>
  <si>
    <t xml:space="preserve">      Transportation</t>
  </si>
  <si>
    <t xml:space="preserve">                                 udwrwK EhebWrutwfurutwd   </t>
  </si>
  <si>
    <t xml:space="preserve">      Communication</t>
  </si>
  <si>
    <t xml:space="preserve">                              ctwmcdiK ugetWlwBWvum</t>
  </si>
  <si>
    <t xml:space="preserve">      Tourism</t>
  </si>
  <si>
    <t xml:space="preserve">                                          cmwzirUT   </t>
  </si>
  <si>
    <t xml:space="preserve">      Trade and Industries</t>
  </si>
  <si>
    <t xml:space="preserve">                          cnwkiretctwkcawswm iaWairWfwyiv   </t>
  </si>
  <si>
    <t xml:space="preserve">   Interest payments</t>
  </si>
  <si>
    <t>udwrwK egutwmcdiK EvedcSwaWsiawf Wviawfigen cSwNcnwrwd</t>
  </si>
  <si>
    <t>1_/     Expenses for water and sanitation is included in the health sector</t>
  </si>
  <si>
    <t>.eveawgiawbEhebWtwHcaiB Inwviawfinemih cawtudwrwK Wviawfiveruk cSwa WnWKWf iaWnef  1_/</t>
  </si>
  <si>
    <t>ބެހިފައިވަ ގޮތް އިންސައްތައިން</t>
  </si>
  <si>
    <t>2013 - 2014</t>
  </si>
  <si>
    <t xml:space="preserve">      Religion, Culture and Entertainment</t>
  </si>
  <si>
    <t xml:space="preserve">      Electricity</t>
  </si>
  <si>
    <t>ދީނީ، ސަޤާފީ، މުނިފޫހިފިލުވުން</t>
  </si>
  <si>
    <t>2014 - 2015</t>
  </si>
  <si>
    <t>2018-2013 ,ctogEverukudwrwK Wditenivua cnurWkurws cnutog egukwtiawb WviawfiLeawDnwk cSwmugcnihudwrwK : 13.6 ulwvWt</t>
  </si>
  <si>
    <t>Table  13.6 :  FUNCTIONAL CLASSIFICATION OF CENTRAL GOVERNMENT  CURRENT EXPENDITURE, 2013 - 2018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</si>
</sst>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(* #,##0_);_(* \(#,##0\);_(* &quot;-&quot;_);_(@_)"/>
    <numFmt numFmtId="43" formatCode="_(* #,##0.00_);_(* \(#,##0.00\);_(* &quot;-&quot;??_);_(@_)"/>
    <numFmt numFmtId="164" formatCode="General_)"/>
    <numFmt numFmtId="165" formatCode="#,##0.0"/>
    <numFmt numFmtId="169" formatCode="0.0"/>
    <numFmt numFmtId="171" formatCode="_-* #,##0.00_-;\-* #,##0.00_-;_-* &quot;-&quot;??_-;_-@_-"/>
    <numFmt numFmtId="172" formatCode="#,##0.00\ ;&quot; (&quot;#,##0.00\);&quot; -&quot;#\ ;@\ 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theme="1"/>
      <name val="Faruma"/>
    </font>
    <font>
      <sz val="9"/>
      <color theme="1"/>
      <name val="Calibri"/>
      <family val="2"/>
      <scheme val="minor"/>
    </font>
    <font>
      <sz val="9"/>
      <color theme="1"/>
      <name val="Faruma"/>
    </font>
    <font>
      <i/>
      <sz val="9"/>
      <color theme="1"/>
      <name val="Calibri"/>
      <family val="2"/>
      <scheme val="minor"/>
    </font>
    <font>
      <b/>
      <sz val="12"/>
      <color theme="1"/>
      <name val="A_Randhoo"/>
    </font>
    <font>
      <b/>
      <sz val="10"/>
      <color theme="1"/>
      <name val="Arial"/>
      <family val="2"/>
    </font>
    <font>
      <sz val="9"/>
      <color theme="1"/>
      <name val="A_Randhoo"/>
    </font>
    <font>
      <sz val="9"/>
      <color theme="1"/>
      <name val="Arial"/>
      <family val="2"/>
    </font>
    <font>
      <sz val="9.3000000000000007"/>
      <color theme="1"/>
      <name val="Calibri"/>
      <family val="2"/>
      <scheme val="minor"/>
    </font>
    <font>
      <sz val="9"/>
      <color theme="1"/>
      <name val="A_Utheem"/>
    </font>
    <font>
      <b/>
      <sz val="9"/>
      <color theme="1"/>
      <name val="Win Ahamedey PRB"/>
      <family val="2"/>
    </font>
    <font>
      <sz val="10"/>
      <color theme="1"/>
      <name val="Courier"/>
      <family val="3"/>
    </font>
    <font>
      <sz val="9"/>
      <color theme="1"/>
      <name val="Courier"/>
      <family val="3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0" fontId="2" fillId="0" borderId="0"/>
    <xf numFmtId="40" fontId="3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5" fillId="0" borderId="0"/>
    <xf numFmtId="172" fontId="5" fillId="0" borderId="0"/>
    <xf numFmtId="0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78">
    <xf numFmtId="0" fontId="0" fillId="0" borderId="0" xfId="0"/>
    <xf numFmtId="164" fontId="9" fillId="2" borderId="0" xfId="1" applyNumberFormat="1" applyFont="1" applyFill="1" applyBorder="1" applyAlignment="1" applyProtection="1">
      <alignment horizontal="right" vertical="center"/>
      <protection locked="0"/>
    </xf>
    <xf numFmtId="164" fontId="4" fillId="2" borderId="0" xfId="1" applyNumberFormat="1" applyFont="1" applyFill="1" applyBorder="1" applyAlignment="1">
      <alignment horizontal="center" vertical="center"/>
    </xf>
    <xf numFmtId="164" fontId="15" fillId="2" borderId="0" xfId="1" applyNumberFormat="1" applyFont="1" applyFill="1" applyAlignment="1">
      <alignment vertical="center"/>
    </xf>
    <xf numFmtId="164" fontId="7" fillId="2" borderId="0" xfId="1" applyNumberFormat="1" applyFont="1" applyFill="1" applyBorder="1" applyAlignment="1">
      <alignment horizontal="right" vertical="center"/>
    </xf>
    <xf numFmtId="164" fontId="8" fillId="2" borderId="0" xfId="1" applyNumberFormat="1" applyFont="1" applyFill="1" applyAlignment="1">
      <alignment vertical="center"/>
    </xf>
    <xf numFmtId="164" fontId="17" fillId="2" borderId="0" xfId="1" applyNumberFormat="1" applyFont="1" applyFill="1" applyAlignment="1">
      <alignment vertical="center"/>
    </xf>
    <xf numFmtId="164" fontId="13" fillId="2" borderId="0" xfId="1" applyNumberFormat="1" applyFont="1" applyFill="1" applyAlignment="1" applyProtection="1">
      <alignment horizontal="left" vertical="center"/>
    </xf>
    <xf numFmtId="164" fontId="16" fillId="2" borderId="0" xfId="1" applyNumberFormat="1" applyFont="1" applyFill="1" applyAlignment="1">
      <alignment horizontal="right" vertical="center"/>
    </xf>
    <xf numFmtId="164" fontId="8" fillId="2" borderId="0" xfId="1" applyNumberFormat="1" applyFont="1" applyFill="1" applyBorder="1" applyAlignment="1">
      <alignment vertical="center"/>
    </xf>
    <xf numFmtId="164" fontId="9" fillId="2" borderId="1" xfId="1" applyNumberFormat="1" applyFont="1" applyFill="1" applyBorder="1" applyAlignment="1" applyProtection="1">
      <alignment horizontal="right" vertical="center"/>
    </xf>
    <xf numFmtId="164" fontId="9" fillId="2" borderId="9" xfId="1" applyNumberFormat="1" applyFont="1" applyFill="1" applyBorder="1" applyAlignment="1" applyProtection="1">
      <alignment horizontal="center" vertical="center"/>
      <protection locked="0"/>
    </xf>
    <xf numFmtId="164" fontId="9" fillId="2" borderId="7" xfId="1" applyNumberFormat="1" applyFont="1" applyFill="1" applyBorder="1" applyAlignment="1" applyProtection="1">
      <alignment horizontal="right" vertical="center"/>
    </xf>
    <xf numFmtId="164" fontId="9" fillId="2" borderId="0" xfId="1" applyNumberFormat="1" applyFont="1" applyFill="1" applyAlignment="1" applyProtection="1">
      <alignment horizontal="left" vertical="center"/>
    </xf>
    <xf numFmtId="164" fontId="7" fillId="2" borderId="0" xfId="1" applyNumberFormat="1" applyFont="1" applyFill="1" applyAlignment="1">
      <alignment horizontal="right" vertical="center"/>
    </xf>
    <xf numFmtId="164" fontId="11" fillId="2" borderId="0" xfId="1" applyNumberFormat="1" applyFont="1" applyFill="1" applyAlignment="1" applyProtection="1">
      <alignment horizontal="left" vertical="center"/>
    </xf>
    <xf numFmtId="165" fontId="11" fillId="2" borderId="0" xfId="1" applyNumberFormat="1" applyFont="1" applyFill="1" applyBorder="1" applyAlignment="1" applyProtection="1">
      <alignment horizontal="right" vertical="center"/>
      <protection locked="0"/>
    </xf>
    <xf numFmtId="41" fontId="18" fillId="2" borderId="0" xfId="2" applyNumberFormat="1" applyFont="1" applyFill="1" applyBorder="1" applyAlignment="1" applyProtection="1">
      <alignment horizontal="right" vertical="center"/>
      <protection locked="0"/>
    </xf>
    <xf numFmtId="164" fontId="11" fillId="2" borderId="0" xfId="1" applyNumberFormat="1" applyFont="1" applyFill="1" applyBorder="1" applyAlignment="1" applyProtection="1">
      <alignment horizontal="left" vertical="center"/>
    </xf>
    <xf numFmtId="165" fontId="11" fillId="2" borderId="0" xfId="1" applyNumberFormat="1" applyFont="1" applyFill="1" applyBorder="1" applyAlignment="1" applyProtection="1">
      <alignment horizontal="right" vertical="center"/>
    </xf>
    <xf numFmtId="165" fontId="9" fillId="2" borderId="1" xfId="1" applyNumberFormat="1" applyFont="1" applyFill="1" applyBorder="1" applyAlignment="1" applyProtection="1">
      <alignment horizontal="right" vertical="center"/>
      <protection locked="0"/>
    </xf>
    <xf numFmtId="164" fontId="9" fillId="2" borderId="0" xfId="1" applyNumberFormat="1" applyFont="1" applyFill="1" applyBorder="1" applyAlignment="1" applyProtection="1">
      <alignment horizontal="left" vertical="center"/>
    </xf>
    <xf numFmtId="164" fontId="9" fillId="2" borderId="1" xfId="1" applyNumberFormat="1" applyFont="1" applyFill="1" applyBorder="1" applyAlignment="1" applyProtection="1">
      <alignment horizontal="left" vertical="center"/>
    </xf>
    <xf numFmtId="37" fontId="11" fillId="2" borderId="0" xfId="1" applyNumberFormat="1" applyFont="1" applyFill="1" applyAlignment="1" applyProtection="1">
      <alignment horizontal="center" vertical="center"/>
    </xf>
    <xf numFmtId="169" fontId="11" fillId="2" borderId="0" xfId="1" applyNumberFormat="1" applyFont="1" applyFill="1" applyAlignment="1" applyProtection="1">
      <alignment horizontal="center" vertical="center"/>
    </xf>
    <xf numFmtId="164" fontId="8" fillId="2" borderId="0" xfId="1" applyNumberFormat="1" applyFont="1" applyFill="1" applyBorder="1" applyAlignment="1">
      <alignment horizontal="right"/>
    </xf>
    <xf numFmtId="165" fontId="11" fillId="2" borderId="12" xfId="1" applyNumberFormat="1" applyFont="1" applyFill="1" applyBorder="1" applyAlignment="1" applyProtection="1">
      <alignment horizontal="right" vertical="center"/>
    </xf>
    <xf numFmtId="165" fontId="11" fillId="2" borderId="0" xfId="1" applyNumberFormat="1" applyFont="1" applyFill="1" applyBorder="1" applyAlignment="1">
      <alignment horizontal="right" vertical="center"/>
    </xf>
    <xf numFmtId="164" fontId="12" fillId="2" borderId="0" xfId="1" applyNumberFormat="1" applyFont="1" applyFill="1" applyAlignment="1">
      <alignment horizontal="right" vertical="center" indent="4"/>
    </xf>
    <xf numFmtId="164" fontId="11" fillId="2" borderId="0" xfId="1" applyNumberFormat="1" applyFont="1" applyFill="1" applyAlignment="1">
      <alignment horizontal="center" vertical="center"/>
    </xf>
    <xf numFmtId="164" fontId="21" fillId="2" borderId="0" xfId="1" applyNumberFormat="1" applyFont="1" applyFill="1"/>
    <xf numFmtId="164" fontId="4" fillId="2" borderId="0" xfId="1" applyNumberFormat="1" applyFont="1" applyFill="1" applyBorder="1" applyAlignment="1">
      <alignment horizontal="right" vertical="center"/>
    </xf>
    <xf numFmtId="164" fontId="4" fillId="2" borderId="0" xfId="1" applyNumberFormat="1" applyFont="1" applyFill="1" applyAlignment="1">
      <alignment horizontal="right" vertical="center"/>
    </xf>
    <xf numFmtId="164" fontId="9" fillId="2" borderId="0" xfId="1" applyNumberFormat="1" applyFont="1" applyFill="1" applyBorder="1" applyAlignment="1">
      <alignment horizontal="right"/>
    </xf>
    <xf numFmtId="164" fontId="9" fillId="2" borderId="2" xfId="1" applyNumberFormat="1" applyFont="1" applyFill="1" applyBorder="1" applyAlignment="1">
      <alignment horizontal="right"/>
    </xf>
    <xf numFmtId="0" fontId="10" fillId="2" borderId="8" xfId="1" applyFont="1" applyFill="1" applyBorder="1" applyAlignment="1" applyProtection="1">
      <alignment horizontal="center" vertical="center"/>
    </xf>
    <xf numFmtId="0" fontId="10" fillId="2" borderId="0" xfId="1" applyFont="1" applyFill="1" applyBorder="1" applyAlignment="1" applyProtection="1">
      <alignment horizontal="center" vertical="center"/>
    </xf>
    <xf numFmtId="164" fontId="15" fillId="2" borderId="0" xfId="1" applyNumberFormat="1" applyFont="1" applyFill="1" applyBorder="1" applyAlignment="1">
      <alignment horizontal="center" vertical="center"/>
    </xf>
    <xf numFmtId="164" fontId="9" fillId="2" borderId="0" xfId="1" applyNumberFormat="1" applyFont="1" applyFill="1" applyBorder="1" applyAlignment="1">
      <alignment horizontal="right" vertical="center"/>
    </xf>
    <xf numFmtId="169" fontId="9" fillId="2" borderId="0" xfId="1" applyNumberFormat="1" applyFont="1" applyFill="1" applyBorder="1" applyAlignment="1" applyProtection="1">
      <alignment horizontal="center" vertical="center"/>
      <protection locked="0"/>
    </xf>
    <xf numFmtId="164" fontId="9" fillId="2" borderId="3" xfId="1" applyNumberFormat="1" applyFont="1" applyFill="1" applyBorder="1" applyAlignment="1" applyProtection="1">
      <alignment horizontal="right" vertical="center"/>
    </xf>
    <xf numFmtId="169" fontId="9" fillId="2" borderId="1" xfId="1" applyNumberFormat="1" applyFont="1" applyFill="1" applyBorder="1" applyAlignment="1">
      <alignment horizontal="right" vertical="center"/>
    </xf>
    <xf numFmtId="164" fontId="20" fillId="2" borderId="1" xfId="1" applyNumberFormat="1" applyFont="1" applyFill="1" applyBorder="1" applyAlignment="1">
      <alignment vertical="center"/>
    </xf>
    <xf numFmtId="165" fontId="9" fillId="2" borderId="0" xfId="1" applyNumberFormat="1" applyFont="1" applyFill="1" applyBorder="1" applyAlignment="1" applyProtection="1">
      <alignment horizontal="right" vertical="center"/>
    </xf>
    <xf numFmtId="165" fontId="9" fillId="2" borderId="12" xfId="1" applyNumberFormat="1" applyFont="1" applyFill="1" applyBorder="1" applyAlignment="1" applyProtection="1">
      <alignment horizontal="right" vertical="center"/>
    </xf>
    <xf numFmtId="165" fontId="9" fillId="2" borderId="8" xfId="1" applyNumberFormat="1" applyFont="1" applyFill="1" applyBorder="1" applyAlignment="1" applyProtection="1">
      <alignment horizontal="right" vertical="center"/>
    </xf>
    <xf numFmtId="169" fontId="9" fillId="2" borderId="0" xfId="1" applyNumberFormat="1" applyFont="1" applyFill="1" applyBorder="1" applyAlignment="1" applyProtection="1">
      <alignment horizontal="right" vertical="center"/>
    </xf>
    <xf numFmtId="165" fontId="9" fillId="2" borderId="6" xfId="1" applyNumberFormat="1" applyFont="1" applyFill="1" applyBorder="1" applyAlignment="1" applyProtection="1">
      <alignment horizontal="right" vertical="center"/>
    </xf>
    <xf numFmtId="165" fontId="11" fillId="2" borderId="6" xfId="1" applyNumberFormat="1" applyFont="1" applyFill="1" applyBorder="1" applyAlignment="1" applyProtection="1">
      <alignment horizontal="right" vertical="center"/>
    </xf>
    <xf numFmtId="169" fontId="11" fillId="2" borderId="0" xfId="1" applyNumberFormat="1" applyFont="1" applyFill="1" applyBorder="1" applyAlignment="1" applyProtection="1">
      <alignment horizontal="right" vertical="center"/>
    </xf>
    <xf numFmtId="164" fontId="11" fillId="2" borderId="0" xfId="1" applyNumberFormat="1" applyFont="1" applyFill="1" applyBorder="1" applyAlignment="1">
      <alignment vertical="center"/>
    </xf>
    <xf numFmtId="165" fontId="11" fillId="2" borderId="0" xfId="1" applyNumberFormat="1" applyFont="1" applyFill="1" applyBorder="1" applyAlignment="1" applyProtection="1">
      <alignment horizontal="right"/>
    </xf>
    <xf numFmtId="164" fontId="16" fillId="2" borderId="0" xfId="1" applyNumberFormat="1" applyFont="1" applyFill="1" applyAlignment="1">
      <alignment horizontal="center" vertical="center"/>
    </xf>
    <xf numFmtId="164" fontId="16" fillId="2" borderId="0" xfId="1" applyNumberFormat="1" applyFont="1" applyFill="1" applyBorder="1" applyAlignment="1">
      <alignment horizontal="center" vertical="center"/>
    </xf>
    <xf numFmtId="165" fontId="9" fillId="2" borderId="1" xfId="1" applyNumberFormat="1" applyFont="1" applyFill="1" applyBorder="1" applyAlignment="1" applyProtection="1">
      <alignment horizontal="right" vertical="center"/>
    </xf>
    <xf numFmtId="165" fontId="9" fillId="2" borderId="3" xfId="1" applyNumberFormat="1" applyFont="1" applyFill="1" applyBorder="1" applyAlignment="1" applyProtection="1">
      <alignment horizontal="right" vertical="center"/>
    </xf>
    <xf numFmtId="165" fontId="9" fillId="2" borderId="7" xfId="1" applyNumberFormat="1" applyFont="1" applyFill="1" applyBorder="1" applyAlignment="1" applyProtection="1">
      <alignment horizontal="right" vertical="center"/>
    </xf>
    <xf numFmtId="169" fontId="9" fillId="2" borderId="1" xfId="1" applyNumberFormat="1" applyFont="1" applyFill="1" applyBorder="1" applyAlignment="1" applyProtection="1">
      <alignment horizontal="right" vertical="center"/>
    </xf>
    <xf numFmtId="164" fontId="7" fillId="2" borderId="1" xfId="1" applyNumberFormat="1" applyFont="1" applyFill="1" applyBorder="1" applyAlignment="1">
      <alignment horizontal="right" vertical="center"/>
    </xf>
    <xf numFmtId="169" fontId="11" fillId="2" borderId="0" xfId="1" applyNumberFormat="1" applyFont="1" applyFill="1" applyAlignment="1">
      <alignment horizontal="center" vertical="center"/>
    </xf>
    <xf numFmtId="164" fontId="11" fillId="2" borderId="0" xfId="1" applyNumberFormat="1" applyFont="1" applyFill="1"/>
    <xf numFmtId="164" fontId="11" fillId="2" borderId="0" xfId="1" applyNumberFormat="1" applyFont="1" applyFill="1" applyAlignment="1">
      <alignment horizontal="center"/>
    </xf>
    <xf numFmtId="169" fontId="11" fillId="2" borderId="0" xfId="1" applyNumberFormat="1" applyFont="1" applyFill="1" applyAlignment="1">
      <alignment horizontal="center"/>
    </xf>
    <xf numFmtId="164" fontId="22" fillId="2" borderId="0" xfId="1" applyNumberFormat="1" applyFont="1" applyFill="1"/>
    <xf numFmtId="164" fontId="22" fillId="2" borderId="0" xfId="1" applyNumberFormat="1" applyFont="1" applyFill="1" applyAlignment="1">
      <alignment horizontal="center"/>
    </xf>
    <xf numFmtId="169" fontId="22" fillId="2" borderId="0" xfId="1" applyNumberFormat="1" applyFont="1" applyFill="1" applyAlignment="1">
      <alignment horizontal="center"/>
    </xf>
    <xf numFmtId="164" fontId="21" fillId="2" borderId="0" xfId="1" applyNumberFormat="1" applyFont="1" applyFill="1" applyAlignment="1">
      <alignment horizontal="center"/>
    </xf>
    <xf numFmtId="169" fontId="21" fillId="2" borderId="0" xfId="1" applyNumberFormat="1" applyFont="1" applyFill="1" applyAlignment="1">
      <alignment horizontal="center"/>
    </xf>
    <xf numFmtId="164" fontId="14" fillId="2" borderId="0" xfId="1" applyNumberFormat="1" applyFont="1" applyFill="1" applyAlignment="1">
      <alignment horizontal="center" vertical="center"/>
    </xf>
    <xf numFmtId="164" fontId="9" fillId="2" borderId="5" xfId="1" applyNumberFormat="1" applyFont="1" applyFill="1" applyBorder="1" applyAlignment="1" applyProtection="1">
      <alignment horizontal="center" vertical="center"/>
      <protection locked="0"/>
    </xf>
    <xf numFmtId="164" fontId="15" fillId="2" borderId="1" xfId="1" applyNumberFormat="1" applyFont="1" applyFill="1" applyBorder="1" applyAlignment="1">
      <alignment horizontal="center" vertical="center"/>
    </xf>
    <xf numFmtId="164" fontId="9" fillId="2" borderId="11" xfId="1" applyNumberFormat="1" applyFont="1" applyFill="1" applyBorder="1" applyAlignment="1" applyProtection="1">
      <alignment horizontal="center" vertical="center"/>
      <protection locked="0"/>
    </xf>
    <xf numFmtId="0" fontId="10" fillId="2" borderId="2" xfId="1" applyFont="1" applyFill="1" applyBorder="1" applyAlignment="1" applyProtection="1">
      <alignment horizontal="center" vertical="center"/>
    </xf>
    <xf numFmtId="169" fontId="9" fillId="2" borderId="5" xfId="1" applyNumberFormat="1" applyFont="1" applyFill="1" applyBorder="1" applyAlignment="1" applyProtection="1">
      <alignment horizontal="center" vertical="center"/>
      <protection locked="0"/>
    </xf>
    <xf numFmtId="164" fontId="15" fillId="2" borderId="0" xfId="1" applyNumberFormat="1" applyFont="1" applyFill="1" applyBorder="1" applyAlignment="1" applyProtection="1">
      <alignment horizontal="center" vertical="center"/>
    </xf>
    <xf numFmtId="164" fontId="19" fillId="2" borderId="0" xfId="1" applyNumberFormat="1" applyFont="1" applyFill="1" applyAlignment="1">
      <alignment horizontal="center" vertical="center" wrapText="1"/>
    </xf>
    <xf numFmtId="164" fontId="9" fillId="2" borderId="10" xfId="1" applyNumberFormat="1" applyFont="1" applyFill="1" applyBorder="1" applyAlignment="1">
      <alignment horizontal="right"/>
    </xf>
    <xf numFmtId="0" fontId="10" fillId="2" borderId="4" xfId="1" applyFont="1" applyFill="1" applyBorder="1" applyAlignment="1" applyProtection="1">
      <alignment horizontal="center" vertical="center"/>
    </xf>
  </cellXfs>
  <cellStyles count="11">
    <cellStyle name="Comma 2" xfId="6"/>
    <cellStyle name="Comma 3" xfId="7"/>
    <cellStyle name="Comma 4" xfId="3"/>
    <cellStyle name="Comma 6" xfId="9"/>
    <cellStyle name="Comma_13 Public Finance_done" xfId="2"/>
    <cellStyle name="Excel Built-in Comma" xfId="5"/>
    <cellStyle name="Excel Built-in Normal" xfId="4"/>
    <cellStyle name="Normal" xfId="0" builtinId="0"/>
    <cellStyle name="Normal 2" xfId="10"/>
    <cellStyle name="Normal 4" xfId="8"/>
    <cellStyle name="Normal_13 Public Finance_done" xfId="1"/>
  </cellStyles>
  <dxfs count="0"/>
  <tableStyles count="0" defaultTableStyle="TableStyleMedium9" defaultPivotStyle="PivotStyleLight16"/>
  <colors>
    <mruColors>
      <color rgb="FF00A8A4"/>
      <color rgb="FF7DDFDD"/>
      <color rgb="FF1C706E"/>
      <color rgb="FFE7FFFF"/>
      <color rgb="FF33CCCC"/>
      <color rgb="FF9DE7E5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3" name="Text Box 658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4" name="Text Box 659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5" name="Text Box 660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3/RECEIVED%20TABLES/13.%20public%20finance_%20Min%20of%20Fin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3.1"/>
      <sheetName val="13.2"/>
      <sheetName val="13.3"/>
      <sheetName val="13.4"/>
      <sheetName val="13.5"/>
      <sheetName val=" 5 cd"/>
      <sheetName val="13.6"/>
      <sheetName val="13.7"/>
      <sheetName val="13.8"/>
      <sheetName val="13.9cd"/>
      <sheetName val="13.10cd"/>
      <sheetName val="13.11cd"/>
      <sheetName val="13.12cd"/>
      <sheetName val="13.13 cd"/>
      <sheetName val="13.14cd"/>
      <sheetName val="Fig13.1&amp;13.2"/>
      <sheetName val="fig13.5&amp;13.6"/>
      <sheetName val="Graph 13.5"/>
      <sheetName val="Graph 13.6"/>
      <sheetName val="Graph 13.7"/>
    </sheetNames>
    <sheetDataSet>
      <sheetData sheetId="0" refreshError="1"/>
      <sheetData sheetId="1" refreshError="1"/>
      <sheetData sheetId="2" refreshError="1"/>
      <sheetData sheetId="3">
        <row r="11">
          <cell r="C11">
            <v>2731.9902730000003</v>
          </cell>
        </row>
      </sheetData>
      <sheetData sheetId="4">
        <row r="10">
          <cell r="C10">
            <v>8764.9308290000008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B9">
            <v>1998</v>
          </cell>
          <cell r="C9">
            <v>1999</v>
          </cell>
          <cell r="D9">
            <v>2000</v>
          </cell>
          <cell r="E9">
            <v>2001</v>
          </cell>
          <cell r="F9">
            <v>2002</v>
          </cell>
          <cell r="G9">
            <v>2003</v>
          </cell>
          <cell r="H9">
            <v>2004</v>
          </cell>
          <cell r="I9">
            <v>2005</v>
          </cell>
          <cell r="J9">
            <v>2006</v>
          </cell>
          <cell r="K9">
            <v>2007</v>
          </cell>
        </row>
        <row r="10">
          <cell r="A10" t="str">
            <v>Expenditure on goods and services</v>
          </cell>
          <cell r="B10">
            <v>91.563294552739038</v>
          </cell>
          <cell r="C10">
            <v>91.996117761242317</v>
          </cell>
          <cell r="D10">
            <v>92.819446665600509</v>
          </cell>
          <cell r="E10">
            <v>92.563660342903518</v>
          </cell>
          <cell r="F10">
            <v>91.959798994974875</v>
          </cell>
          <cell r="G10">
            <v>92.71006522573218</v>
          </cell>
          <cell r="H10">
            <v>93.282163480506455</v>
          </cell>
          <cell r="I10">
            <v>91.764477849805104</v>
          </cell>
          <cell r="J10">
            <v>93.783658475694565</v>
          </cell>
          <cell r="K10">
            <v>93.862898431426345</v>
          </cell>
        </row>
        <row r="11">
          <cell r="A11" t="str">
            <v>Interest payments</v>
          </cell>
          <cell r="B11">
            <v>6.2870791278218654</v>
          </cell>
          <cell r="C11">
            <v>6.3862827563895177</v>
          </cell>
          <cell r="D11">
            <v>5.6719441334825946</v>
          </cell>
          <cell r="E11">
            <v>5.9095059348686219</v>
          </cell>
          <cell r="F11">
            <v>6.471034417369868</v>
          </cell>
          <cell r="G11">
            <v>5.7637379033977068</v>
          </cell>
          <cell r="H11">
            <v>4.9711272909866935</v>
          </cell>
          <cell r="I11">
            <v>3.3359894902332399</v>
          </cell>
          <cell r="J11">
            <v>3.5450622347444622</v>
          </cell>
          <cell r="K11">
            <v>3.5715918964649926</v>
          </cell>
        </row>
        <row r="12">
          <cell r="A12" t="str">
            <v>Subsidies and transfers</v>
          </cell>
          <cell r="B12">
            <v>2.1496263194390934</v>
          </cell>
          <cell r="C12">
            <v>1.6175994823681656</v>
          </cell>
          <cell r="D12">
            <v>1.5086092009168932</v>
          </cell>
          <cell r="E12">
            <v>1.5268337222278585</v>
          </cell>
          <cell r="F12">
            <v>1.5691665876552574</v>
          </cell>
          <cell r="G12">
            <v>1.5261968708701028</v>
          </cell>
          <cell r="H12">
            <v>1.7467092285068688</v>
          </cell>
          <cell r="I12">
            <v>4.8995326599616664</v>
          </cell>
          <cell r="J12">
            <v>2.6712792895609683</v>
          </cell>
          <cell r="K12">
            <v>2.5655096721086568</v>
          </cell>
        </row>
      </sheetData>
      <sheetData sheetId="17">
        <row r="4">
          <cell r="B4">
            <v>2000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tabSelected="1" zoomScale="110" zoomScaleNormal="110" workbookViewId="0">
      <selection activeCell="L15" sqref="L15"/>
    </sheetView>
  </sheetViews>
  <sheetFormatPr defaultColWidth="8.85546875" defaultRowHeight="12"/>
  <cols>
    <col min="1" max="1" width="32.42578125" style="30" customWidth="1"/>
    <col min="2" max="3" width="0" style="66" hidden="1" customWidth="1"/>
    <col min="4" max="4" width="12.7109375" style="66" hidden="1" customWidth="1"/>
    <col min="5" max="7" width="8.85546875" style="66" hidden="1" customWidth="1"/>
    <col min="8" max="11" width="0" style="66" hidden="1" customWidth="1"/>
    <col min="12" max="14" width="8.85546875" style="66"/>
    <col min="15" max="17" width="9.28515625" style="66" customWidth="1"/>
    <col min="18" max="20" width="11.28515625" style="66" customWidth="1"/>
    <col min="21" max="23" width="11" style="67" customWidth="1"/>
    <col min="24" max="24" width="42" style="30" customWidth="1"/>
    <col min="25" max="25" width="17.28515625" style="30" customWidth="1"/>
    <col min="26" max="16384" width="8.85546875" style="30"/>
  </cols>
  <sheetData>
    <row r="1" spans="1:26" ht="19.5">
      <c r="A1" s="68" t="s">
        <v>60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</row>
    <row r="2" spans="1:26" ht="12.75">
      <c r="A2" s="74" t="s">
        <v>61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</row>
    <row r="3" spans="1:26" s="3" customFormat="1" ht="14.25">
      <c r="A3" s="75" t="s">
        <v>11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</row>
    <row r="4" spans="1:26" s="3" customFormat="1" ht="12.75">
      <c r="A4" s="70" t="s">
        <v>16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</row>
    <row r="5" spans="1:26" s="3" customFormat="1" ht="17.25">
      <c r="A5" s="2"/>
      <c r="B5" s="31"/>
      <c r="C5" s="32"/>
      <c r="D5" s="33" t="s">
        <v>1</v>
      </c>
      <c r="E5" s="76" t="s">
        <v>6</v>
      </c>
      <c r="F5" s="76"/>
      <c r="G5" s="76"/>
      <c r="H5" s="34"/>
      <c r="I5" s="34"/>
      <c r="J5" s="34"/>
      <c r="K5" s="34"/>
      <c r="L5" s="34"/>
      <c r="M5" s="34"/>
      <c r="N5" s="34"/>
      <c r="O5" s="34"/>
      <c r="P5" s="34"/>
      <c r="Q5" s="34"/>
      <c r="R5" s="77" t="s">
        <v>54</v>
      </c>
      <c r="S5" s="72"/>
      <c r="T5" s="35"/>
      <c r="U5" s="72" t="s">
        <v>15</v>
      </c>
      <c r="V5" s="72"/>
      <c r="W5" s="36"/>
      <c r="X5" s="37"/>
    </row>
    <row r="6" spans="1:26" s="5" customFormat="1" ht="15" customHeight="1">
      <c r="A6" s="21" t="s">
        <v>0</v>
      </c>
      <c r="B6" s="38"/>
      <c r="C6" s="1"/>
      <c r="D6" s="1" t="s">
        <v>17</v>
      </c>
      <c r="E6" s="1" t="s">
        <v>4</v>
      </c>
      <c r="F6" s="1" t="s">
        <v>4</v>
      </c>
      <c r="G6" s="1" t="s">
        <v>4</v>
      </c>
      <c r="H6" s="1"/>
      <c r="I6" s="1"/>
      <c r="J6" s="1"/>
      <c r="K6" s="1" t="s">
        <v>3</v>
      </c>
      <c r="L6" s="1" t="s">
        <v>3</v>
      </c>
      <c r="M6" s="1" t="s">
        <v>3</v>
      </c>
      <c r="N6" s="25" t="s">
        <v>5</v>
      </c>
      <c r="O6" s="1" t="s">
        <v>4</v>
      </c>
      <c r="P6" s="1" t="s">
        <v>4</v>
      </c>
      <c r="Q6" s="1" t="s">
        <v>4</v>
      </c>
      <c r="R6" s="71" t="s">
        <v>18</v>
      </c>
      <c r="S6" s="69"/>
      <c r="T6" s="11"/>
      <c r="U6" s="73" t="s">
        <v>12</v>
      </c>
      <c r="V6" s="73"/>
      <c r="W6" s="39"/>
      <c r="X6" s="4" t="s">
        <v>2</v>
      </c>
    </row>
    <row r="7" spans="1:26" s="5" customFormat="1">
      <c r="A7" s="22"/>
      <c r="B7" s="10">
        <v>2007</v>
      </c>
      <c r="C7" s="10">
        <v>2008</v>
      </c>
      <c r="D7" s="10">
        <v>2009</v>
      </c>
      <c r="E7" s="10">
        <v>2010</v>
      </c>
      <c r="F7" s="10">
        <v>2011</v>
      </c>
      <c r="G7" s="10">
        <v>2012</v>
      </c>
      <c r="H7" s="10">
        <v>2009</v>
      </c>
      <c r="I7" s="10">
        <v>2010</v>
      </c>
      <c r="J7" s="10">
        <v>2011</v>
      </c>
      <c r="K7" s="10">
        <v>2012</v>
      </c>
      <c r="L7" s="10">
        <v>2013</v>
      </c>
      <c r="M7" s="10">
        <v>2014</v>
      </c>
      <c r="N7" s="10">
        <v>2015</v>
      </c>
      <c r="O7" s="10">
        <v>2016</v>
      </c>
      <c r="P7" s="10">
        <v>2017</v>
      </c>
      <c r="Q7" s="10">
        <v>2018</v>
      </c>
      <c r="R7" s="40">
        <v>2013</v>
      </c>
      <c r="S7" s="10">
        <v>2014</v>
      </c>
      <c r="T7" s="12">
        <v>2015</v>
      </c>
      <c r="U7" s="41" t="s">
        <v>14</v>
      </c>
      <c r="V7" s="41" t="s">
        <v>55</v>
      </c>
      <c r="W7" s="41" t="s">
        <v>59</v>
      </c>
      <c r="X7" s="42"/>
      <c r="Y7" s="9"/>
      <c r="Z7" s="9"/>
    </row>
    <row r="8" spans="1:26" s="5" customFormat="1" ht="15">
      <c r="A8" s="13" t="s">
        <v>7</v>
      </c>
      <c r="B8" s="43">
        <f t="shared" ref="B8:O8" si="0">SUM(B9,B14,B20,B27)</f>
        <v>6560.1</v>
      </c>
      <c r="C8" s="43">
        <f t="shared" si="0"/>
        <v>7463.2</v>
      </c>
      <c r="D8" s="43">
        <f t="shared" si="0"/>
        <v>7942.4</v>
      </c>
      <c r="E8" s="43">
        <f t="shared" si="0"/>
        <v>9115.1999999999989</v>
      </c>
      <c r="F8" s="43">
        <f t="shared" si="0"/>
        <v>8659.1</v>
      </c>
      <c r="G8" s="43">
        <f t="shared" si="0"/>
        <v>8744.8993789999986</v>
      </c>
      <c r="H8" s="43">
        <f t="shared" si="0"/>
        <v>8738.7354969999997</v>
      </c>
      <c r="I8" s="43">
        <f t="shared" si="0"/>
        <v>8369.1443089999993</v>
      </c>
      <c r="J8" s="43">
        <f t="shared" si="0"/>
        <v>9075.7587179999991</v>
      </c>
      <c r="K8" s="43">
        <f t="shared" si="0"/>
        <v>10316.485255000001</v>
      </c>
      <c r="L8" s="43">
        <f t="shared" si="0"/>
        <v>11573.21458545</v>
      </c>
      <c r="M8" s="43">
        <f t="shared" si="0"/>
        <v>13954.396592000001</v>
      </c>
      <c r="N8" s="43">
        <f t="shared" si="0"/>
        <v>16094.313080627187</v>
      </c>
      <c r="O8" s="43">
        <f t="shared" si="0"/>
        <v>16347.355027656509</v>
      </c>
      <c r="P8" s="43">
        <f t="shared" ref="P8:Q8" si="1">SUM(P9,P14,P20,P27)</f>
        <v>16361.88032665651</v>
      </c>
      <c r="Q8" s="43">
        <f t="shared" si="1"/>
        <v>16467.951577656513</v>
      </c>
      <c r="R8" s="44">
        <f t="shared" ref="R8:R27" si="2">+(L8/$L$8)*100</f>
        <v>100</v>
      </c>
      <c r="S8" s="43">
        <f>+(M8/$M$8)*100</f>
        <v>100</v>
      </c>
      <c r="T8" s="45">
        <f>+(N8/$N$8)*100</f>
        <v>100</v>
      </c>
      <c r="U8" s="46">
        <f t="shared" ref="U8:U18" si="3">+((L8/K8)-1)*100</f>
        <v>12.181758606604021</v>
      </c>
      <c r="V8" s="46">
        <f t="shared" ref="V8:W18" si="4">+((M8/L8)-1)*100</f>
        <v>20.574940427905442</v>
      </c>
      <c r="W8" s="46">
        <f>+((N8/M8)-1)*100</f>
        <v>15.335070022690855</v>
      </c>
      <c r="X8" s="14" t="s">
        <v>8</v>
      </c>
    </row>
    <row r="9" spans="1:26" s="5" customFormat="1" ht="15">
      <c r="A9" s="13" t="s">
        <v>19</v>
      </c>
      <c r="B9" s="43">
        <f t="shared" ref="B9:O9" si="5">SUM(B10:B13)</f>
        <v>2241.8999999999996</v>
      </c>
      <c r="C9" s="43">
        <f t="shared" si="5"/>
        <v>3209.7</v>
      </c>
      <c r="D9" s="43">
        <f t="shared" si="5"/>
        <v>3276.6</v>
      </c>
      <c r="E9" s="43">
        <f t="shared" si="5"/>
        <v>4021.9</v>
      </c>
      <c r="F9" s="43">
        <f t="shared" si="5"/>
        <v>3529.1</v>
      </c>
      <c r="G9" s="43">
        <f t="shared" si="5"/>
        <v>3593.374147</v>
      </c>
      <c r="H9" s="43">
        <f t="shared" si="5"/>
        <v>3519.7833220000007</v>
      </c>
      <c r="I9" s="43">
        <f t="shared" si="5"/>
        <v>3978.9039029999999</v>
      </c>
      <c r="J9" s="43">
        <f t="shared" si="5"/>
        <v>4596.1388089999991</v>
      </c>
      <c r="K9" s="43">
        <f t="shared" si="5"/>
        <v>4774.492886</v>
      </c>
      <c r="L9" s="43">
        <f t="shared" si="5"/>
        <v>4784.0412950399996</v>
      </c>
      <c r="M9" s="43">
        <f t="shared" si="5"/>
        <v>5537.7483140000004</v>
      </c>
      <c r="N9" s="43">
        <f t="shared" si="5"/>
        <v>6115.5350003278891</v>
      </c>
      <c r="O9" s="43">
        <f t="shared" si="5"/>
        <v>5935.9640506565102</v>
      </c>
      <c r="P9" s="43">
        <f t="shared" ref="P9:Q9" si="6">SUM(P10:P13)</f>
        <v>5914.9155266565103</v>
      </c>
      <c r="Q9" s="43">
        <f t="shared" si="6"/>
        <v>5899.0648216565105</v>
      </c>
      <c r="R9" s="44">
        <f t="shared" si="2"/>
        <v>41.337186481053941</v>
      </c>
      <c r="S9" s="43">
        <f>+(M9/$M$8)*100</f>
        <v>39.684613214839899</v>
      </c>
      <c r="T9" s="47">
        <f>+(N9/$N$8)*100</f>
        <v>37.99811131852028</v>
      </c>
      <c r="U9" s="46">
        <f t="shared" si="3"/>
        <v>0.19998792056006298</v>
      </c>
      <c r="V9" s="46">
        <f t="shared" si="4"/>
        <v>15.75460938728579</v>
      </c>
      <c r="W9" s="46">
        <f>+((N9/M9)-1)*100</f>
        <v>10.433603218607534</v>
      </c>
      <c r="X9" s="14" t="s">
        <v>20</v>
      </c>
    </row>
    <row r="10" spans="1:26" s="6" customFormat="1" ht="15">
      <c r="A10" s="15" t="s">
        <v>21</v>
      </c>
      <c r="B10" s="16">
        <v>1141.8</v>
      </c>
      <c r="C10" s="19">
        <v>1743.5</v>
      </c>
      <c r="D10" s="19">
        <v>1620.1</v>
      </c>
      <c r="E10" s="19">
        <v>2323.1</v>
      </c>
      <c r="F10" s="19">
        <v>1785</v>
      </c>
      <c r="G10" s="19">
        <v>1807.6922320000001</v>
      </c>
      <c r="H10" s="19">
        <v>1640.2071530000007</v>
      </c>
      <c r="I10" s="19">
        <v>2160.2136339999997</v>
      </c>
      <c r="J10" s="19">
        <v>2490.5053929999999</v>
      </c>
      <c r="K10" s="19">
        <v>2464.698202</v>
      </c>
      <c r="L10" s="19">
        <v>2284.8721354499999</v>
      </c>
      <c r="M10" s="19">
        <v>2757.612995</v>
      </c>
      <c r="N10" s="19">
        <v>2577.6970465912223</v>
      </c>
      <c r="O10" s="19">
        <v>2577.2729236565101</v>
      </c>
      <c r="P10" s="19">
        <v>2533.2329566565104</v>
      </c>
      <c r="Q10" s="19">
        <v>2659.7730276565103</v>
      </c>
      <c r="R10" s="26">
        <f t="shared" si="2"/>
        <v>19.742761344134859</v>
      </c>
      <c r="S10" s="19">
        <f>+(M10/$M$8)*100</f>
        <v>19.761606865759628</v>
      </c>
      <c r="T10" s="48">
        <f>+(N10/$N$8)*100</f>
        <v>16.016197980478026</v>
      </c>
      <c r="U10" s="49">
        <f t="shared" si="3"/>
        <v>-7.2960683950707983</v>
      </c>
      <c r="V10" s="49">
        <f t="shared" si="4"/>
        <v>20.690035657373663</v>
      </c>
      <c r="W10" s="49">
        <f t="shared" si="4"/>
        <v>-6.5243364001763338</v>
      </c>
      <c r="X10" s="8" t="s">
        <v>22</v>
      </c>
    </row>
    <row r="11" spans="1:26" s="6" customFormat="1" ht="15">
      <c r="A11" s="15" t="s">
        <v>23</v>
      </c>
      <c r="B11" s="16">
        <v>404.6</v>
      </c>
      <c r="C11" s="19">
        <v>549.1</v>
      </c>
      <c r="D11" s="19">
        <v>593.9</v>
      </c>
      <c r="E11" s="19">
        <v>551.20000000000005</v>
      </c>
      <c r="F11" s="19">
        <v>611.5</v>
      </c>
      <c r="G11" s="19">
        <v>637.60149200000001</v>
      </c>
      <c r="H11" s="19">
        <v>712.88716299999999</v>
      </c>
      <c r="I11" s="19">
        <v>651.41233499999998</v>
      </c>
      <c r="J11" s="19">
        <v>774.11099200000001</v>
      </c>
      <c r="K11" s="19">
        <v>800.63111700000002</v>
      </c>
      <c r="L11" s="19">
        <v>794.20175268000003</v>
      </c>
      <c r="M11" s="19">
        <v>834.3948089999999</v>
      </c>
      <c r="N11" s="19">
        <v>963.49742169666672</v>
      </c>
      <c r="O11" s="19">
        <v>989.51231799999994</v>
      </c>
      <c r="P11" s="19">
        <v>992.17154100000005</v>
      </c>
      <c r="Q11" s="19">
        <v>936.42039899999997</v>
      </c>
      <c r="R11" s="26">
        <f t="shared" si="2"/>
        <v>6.862412744670622</v>
      </c>
      <c r="S11" s="19">
        <f t="shared" ref="S11:S27" si="7">+(M11/$M$8)*100</f>
        <v>5.9794402681543044</v>
      </c>
      <c r="T11" s="48">
        <f>+(N11/$N$8)*100</f>
        <v>5.9865706406347581</v>
      </c>
      <c r="U11" s="49">
        <f t="shared" si="3"/>
        <v>-0.8030370271007059</v>
      </c>
      <c r="V11" s="49">
        <f t="shared" si="4"/>
        <v>5.0608118383483891</v>
      </c>
      <c r="W11" s="49">
        <f t="shared" si="4"/>
        <v>15.472604971187787</v>
      </c>
      <c r="X11" s="8" t="s">
        <v>24</v>
      </c>
    </row>
    <row r="12" spans="1:26" s="6" customFormat="1" ht="15">
      <c r="A12" s="15" t="s">
        <v>25</v>
      </c>
      <c r="B12" s="50">
        <v>600.29999999999995</v>
      </c>
      <c r="C12" s="19">
        <v>833.4</v>
      </c>
      <c r="D12" s="19">
        <v>968.9</v>
      </c>
      <c r="E12" s="19">
        <v>1055.0999999999999</v>
      </c>
      <c r="F12" s="19">
        <v>1052.7</v>
      </c>
      <c r="G12" s="19">
        <v>1066.94895</v>
      </c>
      <c r="H12" s="19">
        <v>1097.180717</v>
      </c>
      <c r="I12" s="19">
        <v>1132.7824310000001</v>
      </c>
      <c r="J12" s="19">
        <v>1296.9194520000001</v>
      </c>
      <c r="K12" s="19">
        <v>1470.4859779999999</v>
      </c>
      <c r="L12" s="19">
        <v>1659.45558701</v>
      </c>
      <c r="M12" s="19">
        <v>1876.671333</v>
      </c>
      <c r="N12" s="19">
        <v>2466.7831013733335</v>
      </c>
      <c r="O12" s="19">
        <v>2220.3890259999998</v>
      </c>
      <c r="P12" s="19">
        <v>2239.018012</v>
      </c>
      <c r="Q12" s="19">
        <v>2173.0774339999998</v>
      </c>
      <c r="R12" s="26">
        <f t="shared" si="2"/>
        <v>14.338761065540856</v>
      </c>
      <c r="S12" s="19">
        <f t="shared" si="7"/>
        <v>13.448602529154776</v>
      </c>
      <c r="T12" s="48">
        <f t="shared" ref="T12:T27" si="8">+(N12/$N$8)*100</f>
        <v>15.327048063595916</v>
      </c>
      <c r="U12" s="49">
        <f t="shared" si="3"/>
        <v>12.850826994421038</v>
      </c>
      <c r="V12" s="49">
        <f t="shared" si="4"/>
        <v>13.089578756450981</v>
      </c>
      <c r="W12" s="49">
        <f t="shared" si="4"/>
        <v>31.444598635712918</v>
      </c>
      <c r="X12" s="8" t="s">
        <v>26</v>
      </c>
    </row>
    <row r="13" spans="1:26" s="6" customFormat="1" ht="15">
      <c r="A13" s="15" t="s">
        <v>27</v>
      </c>
      <c r="B13" s="27">
        <v>95.2</v>
      </c>
      <c r="C13" s="19">
        <v>83.7</v>
      </c>
      <c r="D13" s="19">
        <v>93.7</v>
      </c>
      <c r="E13" s="19">
        <v>92.5</v>
      </c>
      <c r="F13" s="19">
        <v>79.900000000000006</v>
      </c>
      <c r="G13" s="19">
        <v>81.131473</v>
      </c>
      <c r="H13" s="19">
        <v>69.508289000000005</v>
      </c>
      <c r="I13" s="19">
        <v>34.495502999999999</v>
      </c>
      <c r="J13" s="19">
        <v>34.602972000000001</v>
      </c>
      <c r="K13" s="19">
        <v>38.677588999999998</v>
      </c>
      <c r="L13" s="19">
        <v>45.511819899999999</v>
      </c>
      <c r="M13" s="19">
        <v>69.069176999999996</v>
      </c>
      <c r="N13" s="19">
        <v>107.55743066666668</v>
      </c>
      <c r="O13" s="19">
        <v>148.789783</v>
      </c>
      <c r="P13" s="19">
        <v>150.49301700000001</v>
      </c>
      <c r="Q13" s="19">
        <v>129.793961</v>
      </c>
      <c r="R13" s="26">
        <f t="shared" si="2"/>
        <v>0.39325132670760354</v>
      </c>
      <c r="S13" s="19">
        <f t="shared" si="7"/>
        <v>0.49496355177118212</v>
      </c>
      <c r="T13" s="48">
        <f t="shared" si="8"/>
        <v>0.66829463381157994</v>
      </c>
      <c r="U13" s="49">
        <f t="shared" si="3"/>
        <v>17.66974384054809</v>
      </c>
      <c r="V13" s="49">
        <f t="shared" si="4"/>
        <v>51.760964847727386</v>
      </c>
      <c r="W13" s="49">
        <f>+((N13/M13)-1)*100</f>
        <v>55.724210622441149</v>
      </c>
      <c r="X13" s="8" t="s">
        <v>28</v>
      </c>
    </row>
    <row r="14" spans="1:26" s="5" customFormat="1" ht="15">
      <c r="A14" s="13" t="s">
        <v>29</v>
      </c>
      <c r="B14" s="43">
        <f t="shared" ref="B14:I14" si="9">SUM(B15:B18)</f>
        <v>3817.6</v>
      </c>
      <c r="C14" s="43">
        <f t="shared" si="9"/>
        <v>3679.5</v>
      </c>
      <c r="D14" s="43">
        <f t="shared" si="9"/>
        <v>4016.4</v>
      </c>
      <c r="E14" s="43">
        <f t="shared" si="9"/>
        <v>4170.5</v>
      </c>
      <c r="F14" s="43">
        <f t="shared" si="9"/>
        <v>4282.6000000000004</v>
      </c>
      <c r="G14" s="43">
        <f t="shared" si="9"/>
        <v>4413.3455789999998</v>
      </c>
      <c r="H14" s="43">
        <f t="shared" si="9"/>
        <v>4345.2921539999998</v>
      </c>
      <c r="I14" s="43">
        <f t="shared" si="9"/>
        <v>3462.622922</v>
      </c>
      <c r="J14" s="43">
        <f>SUM(J15:J19)</f>
        <v>3544.46576</v>
      </c>
      <c r="K14" s="43">
        <f t="shared" ref="K14:Q14" si="10">SUM(K15:K19)</f>
        <v>4225.7286190000004</v>
      </c>
      <c r="L14" s="43">
        <f t="shared" si="10"/>
        <v>5531.6275246499999</v>
      </c>
      <c r="M14" s="43">
        <f t="shared" si="10"/>
        <v>7089.9977030000009</v>
      </c>
      <c r="N14" s="43">
        <f t="shared" si="10"/>
        <v>8236.5298372533343</v>
      </c>
      <c r="O14" s="43">
        <f t="shared" si="10"/>
        <v>8411.2020310000007</v>
      </c>
      <c r="P14" s="43">
        <f t="shared" si="10"/>
        <v>8505.485897999999</v>
      </c>
      <c r="Q14" s="43">
        <f t="shared" si="10"/>
        <v>8395.9167649999999</v>
      </c>
      <c r="R14" s="44">
        <f t="shared" si="2"/>
        <v>47.796811195434294</v>
      </c>
      <c r="S14" s="43">
        <f t="shared" si="7"/>
        <v>50.808343135844858</v>
      </c>
      <c r="T14" s="47">
        <f>+(N14/$N$8)*100</f>
        <v>51.176647279017395</v>
      </c>
      <c r="U14" s="46">
        <f t="shared" si="3"/>
        <v>30.90352039594617</v>
      </c>
      <c r="V14" s="46">
        <f t="shared" si="4"/>
        <v>28.17200130351516</v>
      </c>
      <c r="W14" s="46">
        <f t="shared" si="4"/>
        <v>16.171121378053478</v>
      </c>
      <c r="X14" s="14" t="s">
        <v>30</v>
      </c>
    </row>
    <row r="15" spans="1:26" s="6" customFormat="1" ht="15">
      <c r="A15" s="15" t="s">
        <v>31</v>
      </c>
      <c r="B15" s="16">
        <v>1149.4000000000001</v>
      </c>
      <c r="C15" s="19">
        <v>1467.1</v>
      </c>
      <c r="D15" s="19">
        <v>1958.3</v>
      </c>
      <c r="E15" s="19">
        <v>1632</v>
      </c>
      <c r="F15" s="19">
        <v>1703.1</v>
      </c>
      <c r="G15" s="19">
        <v>1731.0649900000001</v>
      </c>
      <c r="H15" s="19">
        <v>1801.544161</v>
      </c>
      <c r="I15" s="19">
        <v>1588.6194419999999</v>
      </c>
      <c r="J15" s="19">
        <v>1701.1680309999999</v>
      </c>
      <c r="K15" s="51">
        <v>2095.118363</v>
      </c>
      <c r="L15" s="19">
        <v>1927.3062449400002</v>
      </c>
      <c r="M15" s="19">
        <v>2111.528174</v>
      </c>
      <c r="N15" s="19">
        <v>2626.59782976</v>
      </c>
      <c r="O15" s="19">
        <v>2767.3188479999999</v>
      </c>
      <c r="P15" s="19">
        <v>2836.0528220000001</v>
      </c>
      <c r="Q15" s="19">
        <v>2818.3677120000002</v>
      </c>
      <c r="R15" s="26">
        <f t="shared" si="2"/>
        <v>16.653162617092018</v>
      </c>
      <c r="S15" s="19">
        <f t="shared" si="7"/>
        <v>15.131633676016708</v>
      </c>
      <c r="T15" s="48">
        <f t="shared" si="8"/>
        <v>16.320036876389899</v>
      </c>
      <c r="U15" s="49">
        <f t="shared" si="3"/>
        <v>-8.0096724377762492</v>
      </c>
      <c r="V15" s="49">
        <f t="shared" si="4"/>
        <v>9.5585187638788973</v>
      </c>
      <c r="W15" s="49">
        <f t="shared" si="4"/>
        <v>24.39321729646975</v>
      </c>
      <c r="X15" s="8" t="s">
        <v>32</v>
      </c>
    </row>
    <row r="16" spans="1:26" s="6" customFormat="1" ht="15">
      <c r="A16" s="15" t="s">
        <v>33</v>
      </c>
      <c r="B16" s="16">
        <v>682.3</v>
      </c>
      <c r="C16" s="19">
        <v>1037.3</v>
      </c>
      <c r="D16" s="19">
        <v>798.5</v>
      </c>
      <c r="E16" s="19">
        <v>875.1</v>
      </c>
      <c r="F16" s="19">
        <v>922.4</v>
      </c>
      <c r="G16" s="19">
        <v>966.45820000000003</v>
      </c>
      <c r="H16" s="19">
        <v>1327.7892979999999</v>
      </c>
      <c r="I16" s="19">
        <v>946.95926599999996</v>
      </c>
      <c r="J16" s="19">
        <v>356.75031100000001</v>
      </c>
      <c r="K16" s="19">
        <v>288.929912</v>
      </c>
      <c r="L16" s="19">
        <v>1369.90178399</v>
      </c>
      <c r="M16" s="19">
        <v>1723.199959</v>
      </c>
      <c r="N16" s="19">
        <v>1956.0536607833335</v>
      </c>
      <c r="O16" s="19">
        <v>2058.9275309999998</v>
      </c>
      <c r="P16" s="19">
        <v>2076.4199349999999</v>
      </c>
      <c r="Q16" s="19">
        <v>1992.0399</v>
      </c>
      <c r="R16" s="26">
        <f t="shared" si="2"/>
        <v>11.836830414535465</v>
      </c>
      <c r="S16" s="19">
        <f t="shared" si="7"/>
        <v>12.348795934235548</v>
      </c>
      <c r="T16" s="48">
        <f t="shared" si="8"/>
        <v>12.153694606188854</v>
      </c>
      <c r="U16" s="49">
        <f t="shared" si="3"/>
        <v>374.12944354131116</v>
      </c>
      <c r="V16" s="49">
        <f t="shared" si="4"/>
        <v>25.79003685804231</v>
      </c>
      <c r="W16" s="49">
        <f>+((N16/M16)-1)*100</f>
        <v>13.512866023886282</v>
      </c>
      <c r="X16" s="8" t="s">
        <v>34</v>
      </c>
    </row>
    <row r="17" spans="1:24" s="6" customFormat="1" ht="15">
      <c r="A17" s="15" t="s">
        <v>35</v>
      </c>
      <c r="B17" s="16">
        <v>231.4</v>
      </c>
      <c r="C17" s="19">
        <v>638.4</v>
      </c>
      <c r="D17" s="19">
        <v>772.2</v>
      </c>
      <c r="E17" s="19">
        <v>1202</v>
      </c>
      <c r="F17" s="19">
        <v>1115.4000000000001</v>
      </c>
      <c r="G17" s="19">
        <v>1165.9169099999999</v>
      </c>
      <c r="H17" s="19">
        <v>463.99557299999998</v>
      </c>
      <c r="I17" s="19">
        <v>577.73113499999999</v>
      </c>
      <c r="J17" s="19">
        <v>1132.764089</v>
      </c>
      <c r="K17" s="19">
        <v>1577.597278</v>
      </c>
      <c r="L17" s="19">
        <v>1958.0622446499999</v>
      </c>
      <c r="M17" s="19">
        <v>2924.2179980000001</v>
      </c>
      <c r="N17" s="19">
        <v>3301.37254373</v>
      </c>
      <c r="O17" s="19">
        <v>3253.0298670000002</v>
      </c>
      <c r="P17" s="19">
        <v>3254.9613129999998</v>
      </c>
      <c r="Q17" s="19">
        <v>3253.2746529999999</v>
      </c>
      <c r="R17" s="26">
        <f t="shared" si="2"/>
        <v>16.918914189249563</v>
      </c>
      <c r="S17" s="19">
        <f t="shared" si="7"/>
        <v>20.955531675776236</v>
      </c>
      <c r="T17" s="48">
        <f t="shared" si="8"/>
        <v>20.512665108421931</v>
      </c>
      <c r="U17" s="49">
        <f t="shared" si="3"/>
        <v>24.116735744646746</v>
      </c>
      <c r="V17" s="49">
        <f t="shared" si="4"/>
        <v>49.342443325783989</v>
      </c>
      <c r="W17" s="49">
        <f t="shared" si="4"/>
        <v>12.897620696813728</v>
      </c>
      <c r="X17" s="8" t="s">
        <v>36</v>
      </c>
    </row>
    <row r="18" spans="1:24" s="6" customFormat="1" ht="15">
      <c r="A18" s="15" t="s">
        <v>37</v>
      </c>
      <c r="B18" s="16">
        <v>1754.5</v>
      </c>
      <c r="C18" s="19">
        <v>536.70000000000005</v>
      </c>
      <c r="D18" s="19">
        <v>487.4</v>
      </c>
      <c r="E18" s="19">
        <v>461.4</v>
      </c>
      <c r="F18" s="19">
        <v>541.70000000000005</v>
      </c>
      <c r="G18" s="19">
        <v>549.90547900000001</v>
      </c>
      <c r="H18" s="19">
        <v>751.963122</v>
      </c>
      <c r="I18" s="19">
        <v>349.31307900000002</v>
      </c>
      <c r="J18" s="19">
        <v>353.78332899999998</v>
      </c>
      <c r="K18" s="19">
        <v>264.08306599999997</v>
      </c>
      <c r="L18" s="19">
        <v>4.6041600000000003</v>
      </c>
      <c r="M18" s="19">
        <v>3.837771</v>
      </c>
      <c r="N18" s="19">
        <v>8.3648729999999993</v>
      </c>
      <c r="O18" s="19">
        <v>36.957242999999998</v>
      </c>
      <c r="P18" s="19">
        <v>37.084266999999997</v>
      </c>
      <c r="Q18" s="19">
        <v>25.715098000000001</v>
      </c>
      <c r="R18" s="26">
        <f>+(L18/$L$8)*100</f>
        <v>3.9782896670631271E-2</v>
      </c>
      <c r="S18" s="19">
        <f>+(M18/$M$8)*100</f>
        <v>2.7502235404432883E-2</v>
      </c>
      <c r="T18" s="48">
        <f t="shared" si="8"/>
        <v>5.1974091457614571E-2</v>
      </c>
      <c r="U18" s="49">
        <f t="shared" si="3"/>
        <v>-98.256548566427199</v>
      </c>
      <c r="V18" s="49">
        <f t="shared" si="4"/>
        <v>-16.645577043369475</v>
      </c>
      <c r="W18" s="49">
        <f t="shared" si="4"/>
        <v>117.96175436210237</v>
      </c>
      <c r="X18" s="8" t="s">
        <v>38</v>
      </c>
    </row>
    <row r="19" spans="1:24" s="6" customFormat="1" ht="17.25">
      <c r="A19" s="15" t="s">
        <v>56</v>
      </c>
      <c r="B19" s="16"/>
      <c r="C19" s="19"/>
      <c r="D19" s="19"/>
      <c r="E19" s="19"/>
      <c r="F19" s="19"/>
      <c r="G19" s="19"/>
      <c r="H19" s="19"/>
      <c r="I19" s="19"/>
      <c r="J19" s="17">
        <v>0</v>
      </c>
      <c r="K19" s="17">
        <v>0</v>
      </c>
      <c r="L19" s="19">
        <v>271.75309106999975</v>
      </c>
      <c r="M19" s="19">
        <v>327.21380099999999</v>
      </c>
      <c r="N19" s="19">
        <v>344.14092997999995</v>
      </c>
      <c r="O19" s="19">
        <v>294.96854200000001</v>
      </c>
      <c r="P19" s="19">
        <v>300.96756099999999</v>
      </c>
      <c r="Q19" s="19">
        <v>306.51940200000001</v>
      </c>
      <c r="R19" s="26">
        <f>+(L19/$L$8)*100</f>
        <v>2.3481210778866175</v>
      </c>
      <c r="S19" s="19">
        <f>+(M19/$M$8)*100</f>
        <v>2.3448796144119219</v>
      </c>
      <c r="T19" s="48">
        <f>+(N19/$N$8)*100</f>
        <v>2.1382765965590931</v>
      </c>
      <c r="U19" s="17">
        <v>0</v>
      </c>
      <c r="V19" s="49">
        <f>+((M19/L19)-1)*100</f>
        <v>20.408492765116094</v>
      </c>
      <c r="W19" s="49">
        <f>+((N19/M19)-1)*100</f>
        <v>5.1731097307842422</v>
      </c>
      <c r="X19" s="28" t="s">
        <v>58</v>
      </c>
    </row>
    <row r="20" spans="1:24" s="5" customFormat="1" ht="15">
      <c r="A20" s="13" t="s">
        <v>39</v>
      </c>
      <c r="B20" s="43">
        <f t="shared" ref="B20:I20" si="11">SUM(B21:B25)</f>
        <v>266.3</v>
      </c>
      <c r="C20" s="43">
        <f t="shared" si="11"/>
        <v>293.99999999999994</v>
      </c>
      <c r="D20" s="43">
        <f t="shared" si="11"/>
        <v>309.5</v>
      </c>
      <c r="E20" s="43">
        <f t="shared" si="11"/>
        <v>330.00000000000006</v>
      </c>
      <c r="F20" s="43">
        <f t="shared" si="11"/>
        <v>292.89999999999998</v>
      </c>
      <c r="G20" s="43">
        <f t="shared" si="11"/>
        <v>304.13394399999993</v>
      </c>
      <c r="H20" s="43">
        <f t="shared" si="11"/>
        <v>255.78124300000002</v>
      </c>
      <c r="I20" s="43">
        <f t="shared" si="11"/>
        <v>265.56214700000004</v>
      </c>
      <c r="J20" s="43">
        <f>SUM(J21:J26)</f>
        <v>209.35414899999998</v>
      </c>
      <c r="K20" s="43">
        <f t="shared" ref="K20:Q20" si="12">SUM(K21:K26)</f>
        <v>209.18252100000001</v>
      </c>
      <c r="L20" s="43">
        <f t="shared" si="12"/>
        <v>300.81956875999992</v>
      </c>
      <c r="M20" s="43">
        <f t="shared" si="12"/>
        <v>348.30320599999999</v>
      </c>
      <c r="N20" s="43">
        <f t="shared" si="12"/>
        <v>426.31473999333332</v>
      </c>
      <c r="O20" s="43">
        <f t="shared" si="12"/>
        <v>599.87789899999996</v>
      </c>
      <c r="P20" s="43">
        <f t="shared" si="12"/>
        <v>551.79408100000012</v>
      </c>
      <c r="Q20" s="43">
        <f t="shared" si="12"/>
        <v>530.95678599999997</v>
      </c>
      <c r="R20" s="44">
        <f t="shared" si="2"/>
        <v>2.599274095705391</v>
      </c>
      <c r="S20" s="43">
        <f t="shared" si="7"/>
        <v>2.4960105132720738</v>
      </c>
      <c r="T20" s="47">
        <f t="shared" si="8"/>
        <v>2.648853280395612</v>
      </c>
      <c r="U20" s="46">
        <f t="shared" ref="U20:W24" si="13">+((L20/K20)-1)*100</f>
        <v>43.807220279174231</v>
      </c>
      <c r="V20" s="46">
        <f t="shared" si="13"/>
        <v>15.784756768228569</v>
      </c>
      <c r="W20" s="46">
        <f>+((N20/M20)-1)*100</f>
        <v>22.397592858600724</v>
      </c>
      <c r="X20" s="14" t="s">
        <v>13</v>
      </c>
    </row>
    <row r="21" spans="1:24" s="6" customFormat="1" ht="15">
      <c r="A21" s="15" t="s">
        <v>40</v>
      </c>
      <c r="B21" s="16">
        <v>25.8</v>
      </c>
      <c r="C21" s="19">
        <v>30.1</v>
      </c>
      <c r="D21" s="19">
        <v>36.9</v>
      </c>
      <c r="E21" s="19">
        <v>61.7</v>
      </c>
      <c r="F21" s="19">
        <v>63.7</v>
      </c>
      <c r="G21" s="19">
        <v>56.472088999999997</v>
      </c>
      <c r="H21" s="19">
        <v>35.399478999999999</v>
      </c>
      <c r="I21" s="19">
        <v>108.925563</v>
      </c>
      <c r="J21" s="19">
        <v>59.694450000000003</v>
      </c>
      <c r="K21" s="19">
        <v>45.578457</v>
      </c>
      <c r="L21" s="19">
        <v>62.856177169999995</v>
      </c>
      <c r="M21" s="19">
        <v>77.722431999999998</v>
      </c>
      <c r="N21" s="19">
        <v>44.223862223333327</v>
      </c>
      <c r="O21" s="19">
        <v>101.097014</v>
      </c>
      <c r="P21" s="19">
        <v>100.008858</v>
      </c>
      <c r="Q21" s="19">
        <v>89.760778000000002</v>
      </c>
      <c r="R21" s="26">
        <f t="shared" si="2"/>
        <v>0.54311770257006753</v>
      </c>
      <c r="S21" s="19">
        <f t="shared" si="7"/>
        <v>0.55697450970082041</v>
      </c>
      <c r="T21" s="48">
        <f t="shared" si="8"/>
        <v>0.27477943296980989</v>
      </c>
      <c r="U21" s="49">
        <f t="shared" si="13"/>
        <v>37.907646083762756</v>
      </c>
      <c r="V21" s="49">
        <f t="shared" si="13"/>
        <v>23.651223315399726</v>
      </c>
      <c r="W21" s="49">
        <f t="shared" si="13"/>
        <v>-43.100259364846785</v>
      </c>
      <c r="X21" s="52" t="s">
        <v>41</v>
      </c>
    </row>
    <row r="22" spans="1:24" s="6" customFormat="1" ht="15">
      <c r="A22" s="15" t="s">
        <v>42</v>
      </c>
      <c r="B22" s="16">
        <v>97.5</v>
      </c>
      <c r="C22" s="19">
        <v>145</v>
      </c>
      <c r="D22" s="19">
        <v>134</v>
      </c>
      <c r="E22" s="19">
        <v>176.9</v>
      </c>
      <c r="F22" s="19">
        <v>139.5</v>
      </c>
      <c r="G22" s="19">
        <v>154.75196</v>
      </c>
      <c r="H22" s="19">
        <v>95.280591000000001</v>
      </c>
      <c r="I22" s="19">
        <v>81.075993999999994</v>
      </c>
      <c r="J22" s="19">
        <v>78.940620999999993</v>
      </c>
      <c r="K22" s="19">
        <v>67.993539999999996</v>
      </c>
      <c r="L22" s="19">
        <v>35.804027499999997</v>
      </c>
      <c r="M22" s="19">
        <v>155.90539000000001</v>
      </c>
      <c r="N22" s="19">
        <v>212.92257755</v>
      </c>
      <c r="O22" s="19">
        <v>240.19330500000001</v>
      </c>
      <c r="P22" s="19">
        <v>233.470788</v>
      </c>
      <c r="Q22" s="19">
        <v>232.45152400000001</v>
      </c>
      <c r="R22" s="26">
        <f t="shared" si="2"/>
        <v>0.30936977134264232</v>
      </c>
      <c r="S22" s="19">
        <f t="shared" si="7"/>
        <v>1.1172492409265475</v>
      </c>
      <c r="T22" s="48">
        <f t="shared" si="8"/>
        <v>1.3229677867165146</v>
      </c>
      <c r="U22" s="49">
        <f t="shared" si="13"/>
        <v>-47.342015873860966</v>
      </c>
      <c r="V22" s="49">
        <f t="shared" si="13"/>
        <v>335.44092909659406</v>
      </c>
      <c r="W22" s="49">
        <f t="shared" si="13"/>
        <v>36.571658972149713</v>
      </c>
      <c r="X22" s="52" t="s">
        <v>43</v>
      </c>
    </row>
    <row r="23" spans="1:24" s="6" customFormat="1" ht="15">
      <c r="A23" s="15" t="s">
        <v>44</v>
      </c>
      <c r="B23" s="16">
        <v>16.899999999999999</v>
      </c>
      <c r="C23" s="19">
        <v>18.600000000000001</v>
      </c>
      <c r="D23" s="19">
        <v>32.700000000000003</v>
      </c>
      <c r="E23" s="19">
        <v>28.6</v>
      </c>
      <c r="F23" s="19">
        <v>33.5</v>
      </c>
      <c r="G23" s="19">
        <v>33.484577000000002</v>
      </c>
      <c r="H23" s="19">
        <v>29.27197</v>
      </c>
      <c r="I23" s="19">
        <v>17.173514000000001</v>
      </c>
      <c r="J23" s="19">
        <v>20.235569000000002</v>
      </c>
      <c r="K23" s="19">
        <v>27.574041999999999</v>
      </c>
      <c r="L23" s="19">
        <v>26.957459039999989</v>
      </c>
      <c r="M23" s="19">
        <v>32.610194</v>
      </c>
      <c r="N23" s="19">
        <v>29.078072353333337</v>
      </c>
      <c r="O23" s="19">
        <v>41.487737000000003</v>
      </c>
      <c r="P23" s="19">
        <v>41.817242999999998</v>
      </c>
      <c r="Q23" s="19">
        <v>40.956308</v>
      </c>
      <c r="R23" s="26">
        <f t="shared" si="2"/>
        <v>0.23292974342574851</v>
      </c>
      <c r="S23" s="19">
        <f t="shared" si="7"/>
        <v>0.23369117958633406</v>
      </c>
      <c r="T23" s="48">
        <f t="shared" si="8"/>
        <v>0.18067296322410162</v>
      </c>
      <c r="U23" s="49">
        <f t="shared" si="13"/>
        <v>-2.2360992994788664</v>
      </c>
      <c r="V23" s="49">
        <f t="shared" si="13"/>
        <v>20.969094125719991</v>
      </c>
      <c r="W23" s="49">
        <f>+((N23/M23)-1)*100</f>
        <v>-10.831342023499346</v>
      </c>
      <c r="X23" s="52" t="s">
        <v>45</v>
      </c>
    </row>
    <row r="24" spans="1:24" s="6" customFormat="1" ht="15">
      <c r="A24" s="18" t="s">
        <v>46</v>
      </c>
      <c r="B24" s="16">
        <v>107.8</v>
      </c>
      <c r="C24" s="19">
        <v>80.099999999999994</v>
      </c>
      <c r="D24" s="19">
        <v>87.7</v>
      </c>
      <c r="E24" s="19">
        <v>48.5</v>
      </c>
      <c r="F24" s="19">
        <v>38.9</v>
      </c>
      <c r="G24" s="19">
        <v>42.022793999999998</v>
      </c>
      <c r="H24" s="19">
        <v>78.335824000000002</v>
      </c>
      <c r="I24" s="19">
        <v>43.838565000000003</v>
      </c>
      <c r="J24" s="19">
        <v>33.652334000000003</v>
      </c>
      <c r="K24" s="19">
        <v>52.352131999999997</v>
      </c>
      <c r="L24" s="19">
        <v>33.053981409999999</v>
      </c>
      <c r="M24" s="19">
        <v>48.876987999999997</v>
      </c>
      <c r="N24" s="19">
        <v>88.751945776666659</v>
      </c>
      <c r="O24" s="19">
        <v>174.086072</v>
      </c>
      <c r="P24" s="19">
        <v>129.22177500000001</v>
      </c>
      <c r="Q24" s="19">
        <v>118.859917</v>
      </c>
      <c r="R24" s="26">
        <f t="shared" si="2"/>
        <v>0.28560760855117906</v>
      </c>
      <c r="S24" s="19">
        <f t="shared" si="7"/>
        <v>0.35026228241227553</v>
      </c>
      <c r="T24" s="48">
        <f t="shared" si="8"/>
        <v>0.5514491070979467</v>
      </c>
      <c r="U24" s="49">
        <f t="shared" si="13"/>
        <v>-36.862205707305293</v>
      </c>
      <c r="V24" s="49">
        <f t="shared" si="13"/>
        <v>47.870198732588932</v>
      </c>
      <c r="W24" s="49">
        <f t="shared" si="13"/>
        <v>81.582272984306357</v>
      </c>
      <c r="X24" s="52" t="s">
        <v>47</v>
      </c>
    </row>
    <row r="25" spans="1:24" s="6" customFormat="1" ht="15">
      <c r="A25" s="18" t="s">
        <v>48</v>
      </c>
      <c r="B25" s="16">
        <v>18.3</v>
      </c>
      <c r="C25" s="19">
        <v>20.2</v>
      </c>
      <c r="D25" s="19">
        <v>18.2</v>
      </c>
      <c r="E25" s="19">
        <v>14.3</v>
      </c>
      <c r="F25" s="19">
        <v>17.3</v>
      </c>
      <c r="G25" s="19">
        <v>17.402524</v>
      </c>
      <c r="H25" s="19">
        <v>17.493379000000001</v>
      </c>
      <c r="I25" s="19">
        <v>14.548511</v>
      </c>
      <c r="J25" s="19">
        <v>16.831175000000002</v>
      </c>
      <c r="K25" s="19">
        <v>15.68435</v>
      </c>
      <c r="L25" s="19">
        <v>140.28595263999998</v>
      </c>
      <c r="M25" s="19">
        <v>31.397749000000001</v>
      </c>
      <c r="N25" s="19">
        <v>48.329011089999995</v>
      </c>
      <c r="O25" s="19">
        <v>40.779578999999998</v>
      </c>
      <c r="P25" s="19">
        <v>45.041224999999997</v>
      </c>
      <c r="Q25" s="19">
        <v>46.694066999999997</v>
      </c>
      <c r="R25" s="26">
        <f t="shared" si="2"/>
        <v>1.212160645637465</v>
      </c>
      <c r="S25" s="19">
        <f t="shared" si="7"/>
        <v>0.22500255595430194</v>
      </c>
      <c r="T25" s="48">
        <f t="shared" si="8"/>
        <v>0.30028626166203942</v>
      </c>
      <c r="U25" s="49">
        <f>+((L25/K25)-1)*100</f>
        <v>794.43268378989239</v>
      </c>
      <c r="V25" s="49">
        <f>+((M25/L25)-1)*100</f>
        <v>-77.618750552614131</v>
      </c>
      <c r="W25" s="49">
        <f>+((N25/M25)-1)*100</f>
        <v>53.925082622961249</v>
      </c>
      <c r="X25" s="53" t="s">
        <v>49</v>
      </c>
    </row>
    <row r="26" spans="1:24" s="6" customFormat="1" ht="15">
      <c r="A26" s="18" t="s">
        <v>57</v>
      </c>
      <c r="B26" s="16"/>
      <c r="C26" s="19"/>
      <c r="D26" s="19"/>
      <c r="E26" s="19"/>
      <c r="F26" s="19"/>
      <c r="G26" s="19"/>
      <c r="H26" s="19"/>
      <c r="I26" s="19"/>
      <c r="J26" s="19">
        <v>0</v>
      </c>
      <c r="K26" s="19">
        <v>0</v>
      </c>
      <c r="L26" s="19">
        <v>1.861971</v>
      </c>
      <c r="M26" s="19">
        <v>1.7904530000000001</v>
      </c>
      <c r="N26" s="19">
        <v>3.009271</v>
      </c>
      <c r="O26" s="19">
        <v>2.2341920000000002</v>
      </c>
      <c r="P26" s="19">
        <v>2.2341920000000002</v>
      </c>
      <c r="Q26" s="19">
        <v>2.2341920000000002</v>
      </c>
      <c r="R26" s="26">
        <f t="shared" si="2"/>
        <v>1.6088624178289195E-2</v>
      </c>
      <c r="S26" s="19">
        <f t="shared" si="7"/>
        <v>1.2830744691794552E-2</v>
      </c>
      <c r="T26" s="48">
        <f t="shared" si="8"/>
        <v>1.8697728725199685E-2</v>
      </c>
      <c r="U26" s="17">
        <v>0</v>
      </c>
      <c r="V26" s="49">
        <f>+((M26/L26)-1)*100</f>
        <v>-3.8409835598943287</v>
      </c>
      <c r="W26" s="49">
        <f>+((N26/M26)-1)*100</f>
        <v>68.073163607198836</v>
      </c>
      <c r="X26" s="53"/>
    </row>
    <row r="27" spans="1:24" s="5" customFormat="1" ht="15">
      <c r="A27" s="22" t="s">
        <v>50</v>
      </c>
      <c r="B27" s="20">
        <v>234.3</v>
      </c>
      <c r="C27" s="54">
        <v>280</v>
      </c>
      <c r="D27" s="54">
        <v>339.9</v>
      </c>
      <c r="E27" s="54">
        <v>592.79999999999995</v>
      </c>
      <c r="F27" s="54">
        <v>554.5</v>
      </c>
      <c r="G27" s="54">
        <v>434.04570899999999</v>
      </c>
      <c r="H27" s="54">
        <v>617.87877800000001</v>
      </c>
      <c r="I27" s="54">
        <v>662.05533700000001</v>
      </c>
      <c r="J27" s="54">
        <v>725.8</v>
      </c>
      <c r="K27" s="54">
        <v>1107.0812289999999</v>
      </c>
      <c r="L27" s="54">
        <v>956.72619699999996</v>
      </c>
      <c r="M27" s="54">
        <v>978.34736899999996</v>
      </c>
      <c r="N27" s="54">
        <v>1315.9335030526299</v>
      </c>
      <c r="O27" s="54">
        <v>1400.3110469999999</v>
      </c>
      <c r="P27" s="54">
        <v>1389.6848210000001</v>
      </c>
      <c r="Q27" s="54">
        <v>1642.013205</v>
      </c>
      <c r="R27" s="55">
        <f t="shared" si="2"/>
        <v>8.2667282278063769</v>
      </c>
      <c r="S27" s="54">
        <f t="shared" si="7"/>
        <v>7.0110331360431779</v>
      </c>
      <c r="T27" s="56">
        <f t="shared" si="8"/>
        <v>8.1763881220667098</v>
      </c>
      <c r="U27" s="57">
        <f>+((L27/K27)-1)*100</f>
        <v>-13.581210489478901</v>
      </c>
      <c r="V27" s="57">
        <f>+((M27/L27)-1)*100</f>
        <v>2.2599121951293322</v>
      </c>
      <c r="W27" s="57">
        <f>+((N27/M27)-1)*100</f>
        <v>34.505753758778688</v>
      </c>
      <c r="X27" s="58" t="s">
        <v>51</v>
      </c>
    </row>
    <row r="28" spans="1:24" s="6" customFormat="1" ht="15">
      <c r="A28" s="7" t="s">
        <v>9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4"/>
      <c r="V28" s="24"/>
      <c r="W28" s="24"/>
      <c r="X28" s="8" t="s">
        <v>10</v>
      </c>
    </row>
    <row r="29" spans="1:24" s="6" customFormat="1" ht="15">
      <c r="A29" s="7" t="s">
        <v>52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4"/>
      <c r="V29" s="24"/>
      <c r="W29" s="24"/>
      <c r="X29" s="8" t="s">
        <v>53</v>
      </c>
    </row>
    <row r="30" spans="1:24" s="6" customFormat="1">
      <c r="A30" s="7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59"/>
      <c r="V30" s="59"/>
      <c r="W30" s="59"/>
    </row>
    <row r="31" spans="1:24" s="63" customFormat="1" ht="12.75">
      <c r="A31" s="60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2"/>
      <c r="V31" s="62"/>
      <c r="W31" s="62"/>
    </row>
    <row r="32" spans="1:24" s="63" customFormat="1" ht="12.75">
      <c r="A32" s="60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2"/>
      <c r="V32" s="62"/>
      <c r="W32" s="62"/>
    </row>
    <row r="33" spans="1:23" s="63" customFormat="1" ht="12.75">
      <c r="A33" s="6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2"/>
      <c r="V33" s="62"/>
      <c r="W33" s="62"/>
    </row>
    <row r="34" spans="1:23" s="63" customFormat="1" ht="12.75">
      <c r="A34" s="60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2"/>
      <c r="V34" s="62"/>
      <c r="W34" s="62"/>
    </row>
    <row r="35" spans="1:23" s="63" customFormat="1" ht="12.75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2"/>
      <c r="V35" s="62"/>
      <c r="W35" s="62"/>
    </row>
    <row r="36" spans="1:23" s="63" customFormat="1" ht="12.75">
      <c r="A36" s="60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2"/>
      <c r="V36" s="62"/>
      <c r="W36" s="62"/>
    </row>
    <row r="37" spans="1:23" s="63" customFormat="1"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5"/>
      <c r="V37" s="65"/>
      <c r="W37" s="65"/>
    </row>
  </sheetData>
  <mergeCells count="9">
    <mergeCell ref="R6:S6"/>
    <mergeCell ref="U5:V5"/>
    <mergeCell ref="U6:V6"/>
    <mergeCell ref="A1:X1"/>
    <mergeCell ref="A2:X2"/>
    <mergeCell ref="A3:X3"/>
    <mergeCell ref="A4:X4"/>
    <mergeCell ref="E5:G5"/>
    <mergeCell ref="R5:S5"/>
  </mergeCells>
  <pageMargins left="0.17" right="0.16" top="0.75" bottom="0.75" header="0.3" footer="0.3"/>
  <pageSetup paperSize="9" scale="73" orientation="landscape" r:id="rId1"/>
  <colBreaks count="1" manualBreakCount="1">
    <brk id="2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13.6</vt:lpstr>
      <vt:lpstr>'13.6'!Print_Area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2016-04-19T09:06:25Z</cp:lastPrinted>
  <dcterms:created xsi:type="dcterms:W3CDTF">2014-03-06T08:38:12Z</dcterms:created>
  <dcterms:modified xsi:type="dcterms:W3CDTF">2016-04-19T09:06:29Z</dcterms:modified>
</cp:coreProperties>
</file>