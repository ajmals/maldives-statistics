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/>
  </bookViews>
  <sheets>
    <sheet name="13.1" sheetId="1" r:id="rId1"/>
  </sheets>
  <externalReferences>
    <externalReference r:id="rId2"/>
  </externalReferences>
  <definedNames>
    <definedName name="_xlnm.Print_Area" localSheetId="0">'13.1'!$A$1:$J$39</definedName>
  </definedNames>
  <calcPr calcId="144525"/>
</workbook>
</file>

<file path=xl/calcChain.xml><?xml version="1.0" encoding="utf-8"?>
<calcChain xmlns="http://schemas.openxmlformats.org/spreadsheetml/2006/main">
  <c r="H24" i="1" l="1"/>
  <c r="D24" i="1"/>
  <c r="D8" i="1"/>
  <c r="C8" i="1"/>
  <c r="E8" i="1" l="1"/>
  <c r="F8" i="1"/>
  <c r="G8" i="1"/>
  <c r="H8" i="1"/>
  <c r="F23" i="1" l="1"/>
  <c r="F21" i="1" s="1"/>
  <c r="G23" i="1"/>
  <c r="G21" i="1" s="1"/>
  <c r="E24" i="1"/>
  <c r="F24" i="1"/>
  <c r="G24" i="1"/>
  <c r="H23" i="1"/>
  <c r="H21" i="1" s="1"/>
  <c r="E23" i="1" l="1"/>
  <c r="E21" i="1" s="1"/>
  <c r="C24" i="1"/>
  <c r="C23" i="1" s="1"/>
  <c r="C21" i="1" s="1"/>
  <c r="D23" i="1"/>
  <c r="D21" i="1" s="1"/>
  <c r="B24" i="1" l="1"/>
  <c r="B23" i="1" s="1"/>
  <c r="B8" i="1"/>
  <c r="B21" i="1" l="1"/>
</calcChain>
</file>

<file path=xl/sharedStrings.xml><?xml version="1.0" encoding="utf-8"?>
<sst xmlns="http://schemas.openxmlformats.org/spreadsheetml/2006/main" count="77" uniqueCount="71">
  <si>
    <t>(cniaWyifur cnwailim)</t>
  </si>
  <si>
    <t>Particulars</t>
  </si>
  <si>
    <t>(iawfiverukuhWlcsia)</t>
  </si>
  <si>
    <t>clIBcfwt</t>
  </si>
  <si>
    <t>Actual</t>
  </si>
  <si>
    <t>(MTEF)</t>
  </si>
  <si>
    <t>Revised</t>
  </si>
  <si>
    <t>Total Revenue 1_/</t>
  </si>
  <si>
    <t>1_/ InwdcmWa wlcmuj</t>
  </si>
  <si>
    <t>Revenue</t>
  </si>
  <si>
    <t xml:space="preserve">                                                Wsiawf Ebiliawgutog egInwdcmWA   </t>
  </si>
  <si>
    <t xml:space="preserve">Fund accounts </t>
  </si>
  <si>
    <t xml:space="preserve">                             Ebil cSwkwtuTcnuawkea uDcnwf wncnuh iawgukwtcsIfoa ikeaikea   </t>
  </si>
  <si>
    <t>Loan accounts</t>
  </si>
  <si>
    <t xml:space="preserve">                             Ebil cSwkwtcTcnuawwkea WrukUd cnOl cnurWkurws  </t>
  </si>
  <si>
    <t>Monetary grants</t>
  </si>
  <si>
    <t xml:space="preserve">                                        cniaWsiawf Ebil iawgutog egIheaElih egurEb   </t>
  </si>
  <si>
    <t>Cash Loan</t>
  </si>
  <si>
    <t>ބޭރު ފައިސާގެ ގޮތުގައި ލިބޭ ލޯނު</t>
  </si>
  <si>
    <t>Foreign Budget Support Loan</t>
  </si>
  <si>
    <t>ބޭރުގެ ލޯނުއެހީ</t>
  </si>
  <si>
    <t>Domestic Budget Support Loan</t>
  </si>
  <si>
    <t>އެތެރޭގެ ލޯނުއެހީ</t>
  </si>
  <si>
    <t>Privatization</t>
  </si>
  <si>
    <t xml:space="preserve">                                   ޕްރައިވެޓައިޒޭޝަން އިން ލިބޭނެ ކަމަށް ލަފާކުރާ   </t>
  </si>
  <si>
    <t>Grants for development projects</t>
  </si>
  <si>
    <t xml:space="preserve">                                       Ebiliawgutog egIhea Elih cSwkwtuTejorcp egIqcawrwt   </t>
  </si>
  <si>
    <t>Foreign Loan disbursement for development projects</t>
  </si>
  <si>
    <t xml:space="preserve"> ތަރައްޤީގެ މަޝްރޫޢުތަކަށް ބޭރުގެ ލޯނު އެހީގެ ގޮތުގައި ލިބޭ ފައިސާ</t>
  </si>
  <si>
    <t>Domestic Loan disbursement for development projects</t>
  </si>
  <si>
    <t xml:space="preserve"> ތަރައްޤީގެ މަޝްރޫޢުތަކަށް އެތެރޭގެ ލޯނު އެހީގެ ގޮތުގައި ލިބޭ ފައިސާ</t>
  </si>
  <si>
    <t>Trade Credit</t>
  </si>
  <si>
    <t>Overall Surplus / deficit (-) 2_/</t>
  </si>
  <si>
    <t>2_/ (-) urwvcnim ivurutia udwrwK eruvcSwaInwdcmWA iawguTejwbiLum</t>
  </si>
  <si>
    <t xml:space="preserve">                                            (iawfinemih Ihea unOl iaWaIhea Elih egurEb)     </t>
  </si>
  <si>
    <t>Total Expenditure 3_/</t>
  </si>
  <si>
    <t>3_/ udwrwK wlcmuj</t>
  </si>
  <si>
    <t xml:space="preserve"> Total Budget</t>
  </si>
  <si>
    <t>wlcmuj eguTejwb</t>
  </si>
  <si>
    <t>General budget</t>
  </si>
  <si>
    <t xml:space="preserve">                                                       uTejwb umcaWA egukwtcsIfoa   </t>
  </si>
  <si>
    <t>Expenditure from fund accounts</t>
  </si>
  <si>
    <t xml:space="preserve">                           udwrwK Everuk cnukwtcTcnuawkeauDcnwf wncnuh iawgukwtcsIfoa ikeaikea   </t>
  </si>
  <si>
    <t>Expenditure from Loan accounts</t>
  </si>
  <si>
    <t xml:space="preserve">udwrwK Wruk cnukwtcTcnuawwkea WrukUd cnOl cnurWkurws  </t>
  </si>
  <si>
    <t xml:space="preserve">                                           udwrwK Everuk cniaWsiawf egIheaElih egurEb   </t>
  </si>
  <si>
    <t>ފައިސާގެ ގޮތުގައި ދެވޭ ލޯނު</t>
  </si>
  <si>
    <t xml:space="preserve">Development expenditure of projects financed from foreign grants </t>
  </si>
  <si>
    <t xml:space="preserve">                                udwrwK Everuk cnIhea Elih Ebil cSwkwtuTckejorcp egIqcawrwt   </t>
  </si>
  <si>
    <t xml:space="preserve">Development expenditure of projects financed from foreign loans </t>
  </si>
  <si>
    <t xml:space="preserve">                                udwrwK Everuk cnIhea unOl Ebil cSwkwtuTckejorcp egIqcawrwt   </t>
  </si>
  <si>
    <t xml:space="preserve">Development expenditure of projects financed from Domestic loans </t>
  </si>
  <si>
    <t xml:space="preserve">     Gov. Contribution to Political Parties</t>
  </si>
  <si>
    <t xml:space="preserve">Wsiawf Ed cnurWkurws cSwkwtITWpIsWyis  </t>
  </si>
  <si>
    <t xml:space="preserve">ޖުމްލަ އާމްދަނީ: ހިލޭ އެހީއާއި ޕްރޮޖެކްޓްތަކަށް ނެގުނު ލޯނުގެ ބައި ހިމަނައިގެންނެވެ. </t>
  </si>
  <si>
    <t xml:space="preserve">  1_/</t>
  </si>
  <si>
    <t>2_/  Overall deficit/surplus in this table is difference of Government total Income and Expenditure</t>
  </si>
  <si>
    <t xml:space="preserve">ޖުމްލަ އަރަނި / ދަރަނި މިބައިގައި ހިމެނެނީ (ޖުމްލަ އާމްދަނީ އާއި ޖުމްލަ ޚަރަދު ތަފާތު) ހިލޭއެހީއާއި ލޯނަށް ނެގުނު ފައިސާ ހިމަނައިގެންނެވެ. </t>
  </si>
  <si>
    <t xml:space="preserve">  2_/</t>
  </si>
  <si>
    <t xml:space="preserve">       (including grants) plus loan disbursements</t>
  </si>
  <si>
    <t xml:space="preserve">ޖުމްލަ ޚަރަދުގެ ތެރޭގައި ލޯނު އަނބުރާ ދެއްކި ޚަރަދުތައް ހިމެނެއެވެ. </t>
  </si>
  <si>
    <t xml:space="preserve">  3_/</t>
  </si>
  <si>
    <t>3_/  Total expenditure in this table include loan repayments</t>
  </si>
  <si>
    <t>IrwRercT cDcnea cscnEnif cfoa IrcTcsinim :ctWrwfivcaed utWmUluAwm</t>
  </si>
  <si>
    <t>Source:  Ministry of Finance and Treasury.</t>
  </si>
  <si>
    <t>(In million MVR)</t>
  </si>
  <si>
    <t>1_/  Revenue includes New revenue Measures approved by the parliament</t>
  </si>
  <si>
    <t>2018 - 2012,ctogEverukudwrwK iaWtogEbilWsiawf cSwTejwb egutwluawd : 13.1 ulwvWt</t>
  </si>
  <si>
    <t>Table 13.1 :   TOTAL REVENUE AND EXPENDITURE OF  GOVERNMENT BUDGET BY SOURCE, 2012- 2018</t>
  </si>
  <si>
    <r>
      <t xml:space="preserve">       </t>
    </r>
    <r>
      <rPr>
        <sz val="10"/>
        <color theme="1"/>
        <rFont val="Calibri"/>
        <family val="2"/>
      </rPr>
      <t>(Including grants &amp; loans)</t>
    </r>
  </si>
  <si>
    <r>
      <t xml:space="preserve">                                udwrwK Everuk cnIhea unOl </t>
    </r>
    <r>
      <rPr>
        <sz val="10"/>
        <color theme="1"/>
        <rFont val="Faruma"/>
      </rPr>
      <t>އެތެރޭގެ</t>
    </r>
    <r>
      <rPr>
        <sz val="10"/>
        <color theme="1"/>
        <rFont val="A_Randhoo"/>
      </rPr>
      <t xml:space="preserve">  Ebil cSwkwtuTckejorcp egIqcawrwt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</si>
</sst>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_);_(@_)"/>
    <numFmt numFmtId="167" formatCode="_(* #,##0.0_);_(* \(#,##0.0\);_(* &quot;-&quot;??_);_(@_)"/>
    <numFmt numFmtId="169" formatCode="_-* #,##0.00_-;\-* #,##0.00_-;_-* &quot;-&quot;??_-;_-@_-"/>
    <numFmt numFmtId="170" formatCode="#,##0.00\ ;&quot; (&quot;#,##0.00\);&quot; -&quot;#\ ;@\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Faruma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_Randhoo"/>
    </font>
    <font>
      <sz val="10"/>
      <color theme="1"/>
      <name val="Calibri"/>
      <family val="2"/>
    </font>
    <font>
      <sz val="9"/>
      <color theme="1"/>
      <name val="Arial"/>
      <family val="2"/>
    </font>
    <font>
      <b/>
      <sz val="10"/>
      <color theme="1"/>
      <name val="A_Randhoo"/>
    </font>
    <font>
      <sz val="10"/>
      <color theme="1"/>
      <name val="A_Randhoo"/>
    </font>
    <font>
      <sz val="9.3000000000000007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sz val="7"/>
      <color theme="1"/>
      <name val="A_Randhoo"/>
    </font>
    <font>
      <sz val="8"/>
      <color theme="1"/>
      <name val="A_Randhoo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5" fillId="0" borderId="0"/>
    <xf numFmtId="170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53">
    <xf numFmtId="0" fontId="0" fillId="0" borderId="0" xfId="0"/>
    <xf numFmtId="164" fontId="4" fillId="2" borderId="0" xfId="2" applyNumberFormat="1" applyFont="1" applyFill="1" applyBorder="1" applyAlignment="1" applyProtection="1">
      <alignment horizontal="right" vertical="center"/>
      <protection locked="0"/>
    </xf>
    <xf numFmtId="164" fontId="4" fillId="2" borderId="2" xfId="2" applyNumberFormat="1" applyFont="1" applyFill="1" applyBorder="1" applyAlignment="1" applyProtection="1">
      <alignment horizontal="right" vertical="center"/>
    </xf>
    <xf numFmtId="164" fontId="14" fillId="2" borderId="0" xfId="2" applyNumberFormat="1" applyFont="1" applyFill="1" applyAlignment="1">
      <alignment vertical="center"/>
    </xf>
    <xf numFmtId="164" fontId="15" fillId="2" borderId="0" xfId="2" applyNumberFormat="1" applyFont="1" applyFill="1" applyAlignment="1">
      <alignment vertical="center"/>
    </xf>
    <xf numFmtId="164" fontId="4" fillId="2" borderId="0" xfId="2" applyNumberFormat="1" applyFont="1" applyFill="1" applyAlignment="1" applyProtection="1">
      <alignment horizontal="left" vertical="center"/>
    </xf>
    <xf numFmtId="164" fontId="8" fillId="2" borderId="0" xfId="2" applyNumberFormat="1" applyFont="1" applyFill="1" applyAlignment="1">
      <alignment vertical="center"/>
    </xf>
    <xf numFmtId="164" fontId="18" fillId="2" borderId="0" xfId="2" applyNumberFormat="1" applyFont="1" applyFill="1" applyAlignment="1">
      <alignment vertical="center"/>
    </xf>
    <xf numFmtId="164" fontId="15" fillId="2" borderId="0" xfId="2" applyNumberFormat="1" applyFont="1" applyFill="1" applyBorder="1" applyAlignment="1">
      <alignment vertical="center"/>
    </xf>
    <xf numFmtId="164" fontId="19" fillId="2" borderId="1" xfId="2" applyNumberFormat="1" applyFont="1" applyFill="1" applyBorder="1" applyAlignment="1">
      <alignment vertical="center"/>
    </xf>
    <xf numFmtId="164" fontId="7" fillId="2" borderId="4" xfId="2" applyNumberFormat="1" applyFont="1" applyFill="1" applyBorder="1" applyAlignment="1">
      <alignment horizontal="right" vertical="center"/>
    </xf>
    <xf numFmtId="164" fontId="15" fillId="2" borderId="1" xfId="2" applyNumberFormat="1" applyFont="1" applyFill="1" applyBorder="1" applyAlignment="1">
      <alignment vertical="center"/>
    </xf>
    <xf numFmtId="164" fontId="8" fillId="2" borderId="0" xfId="2" applyNumberFormat="1" applyFont="1" applyFill="1" applyAlignment="1">
      <alignment horizontal="center" vertical="center"/>
    </xf>
    <xf numFmtId="164" fontId="18" fillId="2" borderId="0" xfId="2" applyNumberFormat="1" applyFont="1" applyFill="1" applyBorder="1" applyAlignment="1">
      <alignment vertical="center"/>
    </xf>
    <xf numFmtId="165" fontId="4" fillId="2" borderId="0" xfId="2" applyNumberFormat="1" applyFont="1" applyFill="1" applyAlignment="1" applyProtection="1">
      <alignment horizontal="right" vertical="center"/>
    </xf>
    <xf numFmtId="164" fontId="19" fillId="2" borderId="0" xfId="2" applyNumberFormat="1" applyFont="1" applyFill="1" applyAlignment="1">
      <alignment horizontal="right" vertical="center"/>
    </xf>
    <xf numFmtId="164" fontId="10" fillId="2" borderId="0" xfId="2" applyNumberFormat="1" applyFont="1" applyFill="1" applyAlignment="1" applyProtection="1">
      <alignment horizontal="left" vertical="center" indent="2"/>
    </xf>
    <xf numFmtId="165" fontId="10" fillId="2" borderId="0" xfId="2" applyNumberFormat="1" applyFont="1" applyFill="1" applyAlignment="1" applyProtection="1">
      <alignment horizontal="right" vertical="center"/>
      <protection locked="0"/>
    </xf>
    <xf numFmtId="164" fontId="20" fillId="2" borderId="0" xfId="2" applyNumberFormat="1" applyFont="1" applyFill="1" applyAlignment="1">
      <alignment horizontal="right" vertical="center"/>
    </xf>
    <xf numFmtId="43" fontId="10" fillId="2" borderId="0" xfId="1" applyFont="1" applyFill="1" applyAlignment="1" applyProtection="1">
      <alignment horizontal="right" vertical="center"/>
      <protection locked="0"/>
    </xf>
    <xf numFmtId="41" fontId="10" fillId="2" borderId="0" xfId="3" applyNumberFormat="1" applyFont="1" applyFill="1" applyAlignment="1" applyProtection="1">
      <alignment horizontal="right" vertical="center"/>
      <protection locked="0"/>
    </xf>
    <xf numFmtId="164" fontId="12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Alignment="1">
      <alignment horizontal="right" vertical="center" indent="1"/>
    </xf>
    <xf numFmtId="164" fontId="12" fillId="2" borderId="0" xfId="2" applyNumberFormat="1" applyFont="1" applyFill="1" applyAlignment="1">
      <alignment horizontal="right" vertical="center" readingOrder="1"/>
    </xf>
    <xf numFmtId="164" fontId="18" fillId="2" borderId="0" xfId="2" applyNumberFormat="1" applyFont="1" applyFill="1" applyAlignment="1" applyProtection="1">
      <alignment horizontal="left" vertical="center"/>
    </xf>
    <xf numFmtId="165" fontId="4" fillId="2" borderId="0" xfId="2" applyNumberFormat="1" applyFont="1" applyFill="1" applyAlignment="1" applyProtection="1">
      <alignment horizontal="right" vertical="center"/>
      <protection locked="0"/>
    </xf>
    <xf numFmtId="167" fontId="10" fillId="2" borderId="0" xfId="1" applyNumberFormat="1" applyFont="1" applyFill="1" applyAlignment="1" applyProtection="1">
      <alignment horizontal="right" vertical="center"/>
      <protection locked="0"/>
    </xf>
    <xf numFmtId="167" fontId="10" fillId="2" borderId="0" xfId="1" applyNumberFormat="1" applyFont="1" applyFill="1" applyBorder="1" applyAlignment="1" applyProtection="1">
      <alignment horizontal="right" vertical="center"/>
      <protection locked="0"/>
    </xf>
    <xf numFmtId="164" fontId="10" fillId="2" borderId="0" xfId="2" applyNumberFormat="1" applyFont="1" applyFill="1" applyBorder="1" applyAlignment="1" applyProtection="1">
      <alignment horizontal="left" vertical="center" indent="2"/>
    </xf>
    <xf numFmtId="164" fontId="20" fillId="2" borderId="0" xfId="2" applyNumberFormat="1" applyFont="1" applyFill="1" applyBorder="1" applyAlignment="1">
      <alignment horizontal="right" vertical="center"/>
    </xf>
    <xf numFmtId="164" fontId="10" fillId="2" borderId="3" xfId="2" applyNumberFormat="1" applyFont="1" applyFill="1" applyBorder="1" applyAlignment="1" applyProtection="1">
      <alignment horizontal="left" vertical="center" indent="2"/>
    </xf>
    <xf numFmtId="167" fontId="10" fillId="2" borderId="3" xfId="1" applyNumberFormat="1" applyFont="1" applyFill="1" applyBorder="1" applyAlignment="1" applyProtection="1">
      <alignment horizontal="right" vertical="center"/>
      <protection locked="0"/>
    </xf>
    <xf numFmtId="41" fontId="10" fillId="2" borderId="3" xfId="3" applyNumberFormat="1" applyFont="1" applyFill="1" applyBorder="1" applyAlignment="1" applyProtection="1">
      <alignment horizontal="right" vertical="center"/>
      <protection locked="0"/>
    </xf>
    <xf numFmtId="164" fontId="20" fillId="2" borderId="3" xfId="2" applyNumberFormat="1" applyFont="1" applyFill="1" applyBorder="1" applyAlignment="1">
      <alignment horizontal="right" vertical="center" indent="2"/>
    </xf>
    <xf numFmtId="164" fontId="11" fillId="2" borderId="3" xfId="2" applyNumberFormat="1" applyFont="1" applyFill="1" applyBorder="1" applyAlignment="1" applyProtection="1">
      <alignment horizontal="left" vertical="center"/>
    </xf>
    <xf numFmtId="166" fontId="21" fillId="2" borderId="3" xfId="3" applyNumberFormat="1" applyFont="1" applyFill="1" applyBorder="1" applyAlignment="1" applyProtection="1">
      <alignment horizontal="right" vertical="center"/>
      <protection locked="0"/>
    </xf>
    <xf numFmtId="164" fontId="16" fillId="2" borderId="3" xfId="2" applyNumberFormat="1" applyFont="1" applyFill="1" applyBorder="1" applyAlignment="1">
      <alignment horizontal="right" vertical="center"/>
    </xf>
    <xf numFmtId="164" fontId="18" fillId="2" borderId="5" xfId="2" applyNumberFormat="1" applyFont="1" applyFill="1" applyBorder="1" applyAlignment="1">
      <alignment vertical="center"/>
    </xf>
    <xf numFmtId="164" fontId="22" fillId="2" borderId="0" xfId="2" applyNumberFormat="1" applyFont="1" applyFill="1" applyAlignment="1" applyProtection="1">
      <alignment horizontal="left" vertical="center"/>
    </xf>
    <xf numFmtId="164" fontId="23" fillId="2" borderId="0" xfId="2" applyNumberFormat="1" applyFont="1" applyFill="1" applyAlignment="1">
      <alignment horizontal="right" vertical="center"/>
    </xf>
    <xf numFmtId="164" fontId="16" fillId="2" borderId="0" xfId="2" applyNumberFormat="1" applyFont="1" applyFill="1" applyAlignment="1">
      <alignment vertical="center"/>
    </xf>
    <xf numFmtId="165" fontId="24" fillId="2" borderId="0" xfId="2" applyNumberFormat="1" applyFont="1" applyFill="1" applyBorder="1" applyAlignment="1">
      <alignment horizontal="right" vertical="center"/>
    </xf>
    <xf numFmtId="164" fontId="16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Alignment="1">
      <alignment horizontal="center" vertical="center"/>
    </xf>
    <xf numFmtId="164" fontId="9" fillId="2" borderId="0" xfId="2" applyNumberFormat="1" applyFont="1" applyFill="1" applyBorder="1" applyAlignment="1" applyProtection="1">
      <alignment horizontal="center" vertical="center"/>
    </xf>
    <xf numFmtId="164" fontId="7" fillId="2" borderId="0" xfId="2" applyNumberFormat="1" applyFont="1" applyFill="1" applyAlignment="1">
      <alignment horizontal="center" vertical="center" wrapText="1"/>
    </xf>
    <xf numFmtId="164" fontId="8" fillId="2" borderId="0" xfId="2" applyNumberFormat="1" applyFont="1" applyFill="1" applyBorder="1" applyAlignment="1" applyProtection="1">
      <alignment horizontal="center" vertical="center"/>
    </xf>
    <xf numFmtId="164" fontId="4" fillId="2" borderId="1" xfId="2" applyNumberFormat="1" applyFont="1" applyFill="1" applyBorder="1" applyAlignment="1" applyProtection="1">
      <alignment horizontal="left" vertical="center"/>
    </xf>
    <xf numFmtId="164" fontId="4" fillId="2" borderId="0" xfId="2" applyNumberFormat="1" applyFont="1" applyFill="1" applyBorder="1" applyAlignment="1" applyProtection="1">
      <alignment horizontal="left" vertical="center"/>
    </xf>
    <xf numFmtId="164" fontId="4" fillId="2" borderId="2" xfId="2" applyNumberFormat="1" applyFont="1" applyFill="1" applyBorder="1" applyAlignment="1" applyProtection="1">
      <alignment horizontal="left" vertical="center"/>
    </xf>
    <xf numFmtId="164" fontId="19" fillId="2" borderId="1" xfId="2" applyNumberFormat="1" applyFont="1" applyFill="1" applyBorder="1" applyAlignment="1">
      <alignment horizontal="right" vertical="center"/>
    </xf>
    <xf numFmtId="164" fontId="19" fillId="2" borderId="0" xfId="2" applyNumberFormat="1" applyFont="1" applyFill="1" applyBorder="1" applyAlignment="1">
      <alignment horizontal="right" vertical="center"/>
    </xf>
    <xf numFmtId="164" fontId="19" fillId="2" borderId="2" xfId="2" applyNumberFormat="1" applyFont="1" applyFill="1" applyBorder="1" applyAlignment="1">
      <alignment horizontal="right" vertical="center"/>
    </xf>
  </cellXfs>
  <cellStyles count="12">
    <cellStyle name="Comma" xfId="1" builtinId="3"/>
    <cellStyle name="Comma 2" xfId="7"/>
    <cellStyle name="Comma 3" xfId="8"/>
    <cellStyle name="Comma 4" xfId="4"/>
    <cellStyle name="Comma 6" xfId="10"/>
    <cellStyle name="Comma_13 Public Finance_done" xfId="3"/>
    <cellStyle name="Excel Built-in Comma" xfId="6"/>
    <cellStyle name="Excel Built-in Normal" xfId="5"/>
    <cellStyle name="Normal" xfId="0" builtinId="0"/>
    <cellStyle name="Normal 2" xfId="11"/>
    <cellStyle name="Normal 4" xfId="9"/>
    <cellStyle name="Normal_13 Public Finance_done" xfId="2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38</xdr:row>
      <xdr:rowOff>0</xdr:rowOff>
    </xdr:from>
    <xdr:to>
      <xdr:col>1</xdr:col>
      <xdr:colOff>0</xdr:colOff>
      <xdr:row>38</xdr:row>
      <xdr:rowOff>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9525" y="729615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35</xdr:row>
      <xdr:rowOff>0</xdr:rowOff>
    </xdr:from>
    <xdr:to>
      <xdr:col>1</xdr:col>
      <xdr:colOff>0</xdr:colOff>
      <xdr:row>35</xdr:row>
      <xdr:rowOff>0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9525" y="678180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3/RECEIVED%20TABLES/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O39"/>
  <sheetViews>
    <sheetView tabSelected="1" view="pageBreakPreview" zoomScaleNormal="100" zoomScaleSheetLayoutView="100" workbookViewId="0">
      <selection activeCell="O14" sqref="O14"/>
    </sheetView>
  </sheetViews>
  <sheetFormatPr defaultColWidth="9.140625" defaultRowHeight="12.75" x14ac:dyDescent="0.25"/>
  <cols>
    <col min="1" max="1" width="59.140625" style="3" customWidth="1"/>
    <col min="2" max="2" width="10.140625" style="3" customWidth="1"/>
    <col min="3" max="8" width="10.42578125" style="3" customWidth="1"/>
    <col min="9" max="9" width="52" style="3" customWidth="1"/>
    <col min="10" max="10" width="2.5703125" style="3" customWidth="1"/>
    <col min="11" max="16384" width="9.140625" style="3"/>
  </cols>
  <sheetData>
    <row r="1" spans="1:249" ht="19.5" x14ac:dyDescent="0.25">
      <c r="A1" s="43" t="s">
        <v>67</v>
      </c>
      <c r="B1" s="43"/>
      <c r="C1" s="43"/>
      <c r="D1" s="43"/>
      <c r="E1" s="43"/>
      <c r="F1" s="43"/>
      <c r="G1" s="43"/>
      <c r="H1" s="43"/>
      <c r="I1" s="43"/>
      <c r="J1" s="43"/>
    </row>
    <row r="2" spans="1:249" s="4" customFormat="1" ht="15" x14ac:dyDescent="0.25">
      <c r="A2" s="44" t="s">
        <v>68</v>
      </c>
      <c r="B2" s="44"/>
      <c r="C2" s="44"/>
      <c r="D2" s="44"/>
      <c r="E2" s="44"/>
      <c r="F2" s="44"/>
      <c r="G2" s="44"/>
      <c r="H2" s="44"/>
      <c r="I2" s="44"/>
      <c r="J2" s="44"/>
    </row>
    <row r="3" spans="1:249" s="4" customFormat="1" ht="15" x14ac:dyDescent="0.25">
      <c r="A3" s="45" t="s">
        <v>0</v>
      </c>
      <c r="B3" s="45"/>
      <c r="C3" s="45"/>
      <c r="D3" s="45"/>
      <c r="E3" s="45"/>
      <c r="F3" s="45"/>
      <c r="G3" s="45"/>
      <c r="H3" s="45"/>
      <c r="I3" s="45"/>
    </row>
    <row r="4" spans="1:249" s="4" customFormat="1" x14ac:dyDescent="0.25">
      <c r="A4" s="46" t="s">
        <v>65</v>
      </c>
      <c r="B4" s="46"/>
      <c r="C4" s="46"/>
      <c r="D4" s="46"/>
      <c r="E4" s="46"/>
      <c r="F4" s="46"/>
      <c r="G4" s="46"/>
      <c r="H4" s="46"/>
      <c r="I4" s="46"/>
      <c r="J4" s="8"/>
    </row>
    <row r="5" spans="1:249" s="6" customFormat="1" ht="15.75" x14ac:dyDescent="0.25">
      <c r="A5" s="47" t="s">
        <v>1</v>
      </c>
      <c r="B5" s="9"/>
      <c r="C5" s="10" t="s">
        <v>2</v>
      </c>
      <c r="D5" s="11"/>
      <c r="E5" s="11"/>
      <c r="F5" s="11"/>
      <c r="G5" s="11"/>
      <c r="H5" s="11"/>
      <c r="I5" s="50" t="s">
        <v>3</v>
      </c>
      <c r="J5" s="50"/>
    </row>
    <row r="6" spans="1:249" s="12" customFormat="1" ht="15" customHeight="1" x14ac:dyDescent="0.25">
      <c r="A6" s="48"/>
      <c r="B6" s="1" t="s">
        <v>4</v>
      </c>
      <c r="C6" s="1" t="s">
        <v>4</v>
      </c>
      <c r="D6" s="1" t="s">
        <v>4</v>
      </c>
      <c r="E6" s="1" t="s">
        <v>6</v>
      </c>
      <c r="F6" s="1" t="s">
        <v>5</v>
      </c>
      <c r="G6" s="1" t="s">
        <v>5</v>
      </c>
      <c r="H6" s="1" t="s">
        <v>5</v>
      </c>
      <c r="I6" s="51"/>
      <c r="J6" s="51"/>
    </row>
    <row r="7" spans="1:249" s="13" customFormat="1" ht="15" customHeight="1" x14ac:dyDescent="0.25">
      <c r="A7" s="49"/>
      <c r="B7" s="2">
        <v>2012</v>
      </c>
      <c r="C7" s="2">
        <v>2013</v>
      </c>
      <c r="D7" s="2">
        <v>2014</v>
      </c>
      <c r="E7" s="2">
        <v>2015</v>
      </c>
      <c r="F7" s="2">
        <v>2016</v>
      </c>
      <c r="G7" s="2">
        <v>2017</v>
      </c>
      <c r="H7" s="2">
        <v>2018</v>
      </c>
      <c r="I7" s="52"/>
      <c r="J7" s="52"/>
    </row>
    <row r="8" spans="1:249" s="6" customFormat="1" ht="15.75" x14ac:dyDescent="0.25">
      <c r="A8" s="5" t="s">
        <v>7</v>
      </c>
      <c r="B8" s="14">
        <f t="shared" ref="B8" si="0">SUM(B9:B20)</f>
        <v>12287.820168999997</v>
      </c>
      <c r="C8" s="14">
        <f>SUM(C9:C20)</f>
        <v>13223.42540853</v>
      </c>
      <c r="D8" s="14">
        <f>SUM(D9:D20)</f>
        <v>15933.704056</v>
      </c>
      <c r="E8" s="14">
        <f t="shared" ref="E8:H8" si="1">SUM(E9:E20)</f>
        <v>18423.003920062194</v>
      </c>
      <c r="F8" s="14">
        <f t="shared" si="1"/>
        <v>26435.282157753201</v>
      </c>
      <c r="G8" s="14">
        <f t="shared" si="1"/>
        <v>25898.072183352477</v>
      </c>
      <c r="H8" s="14">
        <f t="shared" si="1"/>
        <v>25431.485069126691</v>
      </c>
      <c r="I8" s="15" t="s">
        <v>8</v>
      </c>
    </row>
    <row r="9" spans="1:249" s="7" customFormat="1" ht="15.75" x14ac:dyDescent="0.25">
      <c r="A9" s="16" t="s">
        <v>9</v>
      </c>
      <c r="B9" s="17">
        <v>9817.0309849999994</v>
      </c>
      <c r="C9" s="17">
        <v>11799.703769</v>
      </c>
      <c r="D9" s="17">
        <v>14962.192276</v>
      </c>
      <c r="E9" s="17">
        <v>16636.618466491531</v>
      </c>
      <c r="F9" s="17">
        <v>21556.9450887532</v>
      </c>
      <c r="G9" s="17">
        <v>21265.781676352479</v>
      </c>
      <c r="H9" s="17">
        <v>21044.121646126692</v>
      </c>
      <c r="I9" s="18" t="s">
        <v>10</v>
      </c>
      <c r="L9" s="12"/>
      <c r="M9" s="12"/>
      <c r="N9" s="12"/>
      <c r="O9" s="12"/>
      <c r="P9" s="12"/>
      <c r="Q9" s="12"/>
      <c r="R9" s="12"/>
    </row>
    <row r="10" spans="1:249" s="7" customFormat="1" ht="15.75" x14ac:dyDescent="0.25">
      <c r="A10" s="16" t="s">
        <v>11</v>
      </c>
      <c r="B10" s="17">
        <v>91.006381000000005</v>
      </c>
      <c r="C10" s="17">
        <v>118.874062</v>
      </c>
      <c r="D10" s="17">
        <v>164.495789</v>
      </c>
      <c r="E10" s="17">
        <v>135.67322360666665</v>
      </c>
      <c r="F10" s="17">
        <v>107.5</v>
      </c>
      <c r="G10" s="17">
        <v>107.5</v>
      </c>
      <c r="H10" s="17">
        <v>107.5</v>
      </c>
      <c r="I10" s="18" t="s">
        <v>12</v>
      </c>
      <c r="L10" s="13"/>
      <c r="M10" s="13"/>
      <c r="N10" s="13"/>
      <c r="O10" s="13"/>
      <c r="P10" s="13"/>
      <c r="Q10" s="13"/>
      <c r="R10" s="13"/>
    </row>
    <row r="11" spans="1:249" s="7" customFormat="1" ht="15.75" x14ac:dyDescent="0.25">
      <c r="A11" s="16" t="s">
        <v>13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/>
      <c r="I11" s="18" t="s">
        <v>14</v>
      </c>
      <c r="L11" s="6"/>
      <c r="M11" s="6"/>
      <c r="N11" s="6"/>
      <c r="O11" s="6"/>
      <c r="P11" s="6"/>
      <c r="Q11" s="6"/>
      <c r="R11" s="6"/>
    </row>
    <row r="12" spans="1:249" s="7" customFormat="1" ht="15.75" x14ac:dyDescent="0.25">
      <c r="A12" s="16" t="s">
        <v>15</v>
      </c>
      <c r="B12" s="17">
        <v>144.28058300000001</v>
      </c>
      <c r="C12" s="17">
        <v>43.25014952999998</v>
      </c>
      <c r="D12" s="17">
        <v>63.872695</v>
      </c>
      <c r="E12" s="17">
        <v>63.235455999999999</v>
      </c>
      <c r="F12" s="17">
        <v>33.626260000000002</v>
      </c>
      <c r="G12" s="17">
        <v>33.604999999999997</v>
      </c>
      <c r="H12" s="17">
        <v>33.630499999999998</v>
      </c>
      <c r="I12" s="18" t="s">
        <v>16</v>
      </c>
      <c r="L12" s="12"/>
      <c r="M12" s="12"/>
      <c r="N12" s="12"/>
      <c r="O12" s="12"/>
      <c r="P12" s="12"/>
      <c r="Q12" s="12"/>
      <c r="R12" s="12"/>
    </row>
    <row r="13" spans="1:249" s="7" customFormat="1" ht="18.75" x14ac:dyDescent="0.25">
      <c r="A13" s="16" t="s">
        <v>17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1" t="s">
        <v>18</v>
      </c>
      <c r="L13" s="13"/>
      <c r="M13" s="13"/>
      <c r="N13" s="13"/>
      <c r="O13" s="13"/>
      <c r="P13" s="13"/>
      <c r="Q13" s="13"/>
      <c r="R13" s="13"/>
    </row>
    <row r="14" spans="1:249" s="7" customFormat="1" ht="18.75" x14ac:dyDescent="0.25">
      <c r="A14" s="16" t="s">
        <v>19</v>
      </c>
      <c r="B14" s="17">
        <v>567.25472300000001</v>
      </c>
      <c r="C14" s="20">
        <v>0</v>
      </c>
      <c r="D14" s="17">
        <v>453.34800000000001</v>
      </c>
      <c r="E14" s="20">
        <v>0</v>
      </c>
      <c r="F14" s="20">
        <v>771</v>
      </c>
      <c r="G14" s="20">
        <v>0</v>
      </c>
      <c r="H14" s="20">
        <v>0</v>
      </c>
      <c r="I14" s="22" t="s">
        <v>20</v>
      </c>
      <c r="L14" s="6"/>
      <c r="M14" s="6"/>
      <c r="N14" s="6"/>
      <c r="O14" s="6"/>
      <c r="P14" s="6"/>
      <c r="Q14" s="6"/>
      <c r="R14" s="6"/>
    </row>
    <row r="15" spans="1:249" s="7" customFormat="1" ht="18.75" x14ac:dyDescent="0.25">
      <c r="A15" s="16" t="s">
        <v>21</v>
      </c>
      <c r="B15" s="17">
        <v>300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2" t="s">
        <v>22</v>
      </c>
      <c r="L15" s="12"/>
      <c r="M15" s="12"/>
      <c r="N15" s="12"/>
      <c r="O15" s="12"/>
      <c r="P15" s="12"/>
      <c r="Q15" s="12"/>
      <c r="R15" s="12"/>
    </row>
    <row r="16" spans="1:249" s="7" customFormat="1" ht="18.75" x14ac:dyDescent="0.25">
      <c r="A16" s="16" t="s">
        <v>23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3" t="s">
        <v>24</v>
      </c>
      <c r="K16" s="24"/>
      <c r="L16" s="13"/>
      <c r="M16" s="13"/>
      <c r="N16" s="13"/>
      <c r="O16" s="13"/>
      <c r="P16" s="13"/>
      <c r="Q16" s="13"/>
      <c r="R16" s="13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</row>
    <row r="17" spans="1:249" s="7" customFormat="1" ht="15.75" x14ac:dyDescent="0.25">
      <c r="A17" s="16" t="s">
        <v>25</v>
      </c>
      <c r="B17" s="17">
        <v>222.38928999999999</v>
      </c>
      <c r="C17" s="17">
        <v>74.405078000000003</v>
      </c>
      <c r="D17" s="17">
        <v>101.40112999999999</v>
      </c>
      <c r="E17" s="17">
        <v>1019.179589964</v>
      </c>
      <c r="F17" s="17">
        <v>1186.9436499999999</v>
      </c>
      <c r="G17" s="17">
        <v>1201.366595</v>
      </c>
      <c r="H17" s="17">
        <v>933.96100000000001</v>
      </c>
      <c r="I17" s="18" t="s">
        <v>26</v>
      </c>
      <c r="K17" s="24"/>
      <c r="L17" s="6"/>
      <c r="M17" s="6"/>
      <c r="N17" s="6"/>
      <c r="O17" s="6"/>
      <c r="P17" s="6"/>
      <c r="Q17" s="6"/>
      <c r="R17" s="6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</row>
    <row r="18" spans="1:249" s="7" customFormat="1" ht="18.75" x14ac:dyDescent="0.25">
      <c r="A18" s="16" t="s">
        <v>27</v>
      </c>
      <c r="B18" s="17">
        <v>1145.858207</v>
      </c>
      <c r="C18" s="17">
        <v>1187.19235</v>
      </c>
      <c r="D18" s="17">
        <v>188.39416600000001</v>
      </c>
      <c r="E18" s="17">
        <v>568.29718400000002</v>
      </c>
      <c r="F18" s="17">
        <v>2779.267159</v>
      </c>
      <c r="G18" s="17">
        <v>3289.8189120000002</v>
      </c>
      <c r="H18" s="17">
        <v>3312.2719229999998</v>
      </c>
      <c r="I18" s="22" t="s">
        <v>28</v>
      </c>
      <c r="K18" s="24"/>
      <c r="L18" s="12"/>
      <c r="M18" s="12"/>
      <c r="N18" s="12"/>
      <c r="O18" s="12"/>
      <c r="P18" s="12"/>
      <c r="Q18" s="12"/>
      <c r="R18" s="12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</row>
    <row r="19" spans="1:249" s="7" customFormat="1" ht="18.75" x14ac:dyDescent="0.25">
      <c r="A19" s="16" t="s">
        <v>29</v>
      </c>
      <c r="B19" s="19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2" t="s">
        <v>30</v>
      </c>
      <c r="K19" s="24"/>
      <c r="L19" s="13"/>
      <c r="M19" s="13"/>
      <c r="N19" s="13"/>
      <c r="O19" s="13"/>
      <c r="P19" s="13"/>
      <c r="Q19" s="13"/>
      <c r="R19" s="13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</row>
    <row r="20" spans="1:249" s="7" customFormat="1" ht="15" customHeight="1" x14ac:dyDescent="0.25">
      <c r="A20" s="16" t="s">
        <v>31</v>
      </c>
      <c r="B20" s="17">
        <v>0</v>
      </c>
      <c r="C20" s="17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18"/>
      <c r="K20" s="24"/>
      <c r="L20" s="6"/>
      <c r="M20" s="6"/>
      <c r="N20" s="6"/>
      <c r="O20" s="6"/>
      <c r="P20" s="6"/>
      <c r="Q20" s="6"/>
      <c r="R20" s="6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</row>
    <row r="21" spans="1:249" s="6" customFormat="1" ht="15.75" x14ac:dyDescent="0.25">
      <c r="A21" s="5" t="s">
        <v>32</v>
      </c>
      <c r="B21" s="25">
        <f>+B8-B23</f>
        <v>-2764.8567550000025</v>
      </c>
      <c r="C21" s="25">
        <f>+C8-C23</f>
        <v>-2075.0381229599971</v>
      </c>
      <c r="D21" s="25">
        <f t="shared" ref="D21:H21" si="2">+D8-D23</f>
        <v>-2024.5829999999969</v>
      </c>
      <c r="E21" s="25">
        <f t="shared" si="2"/>
        <v>-4219.5457486462292</v>
      </c>
      <c r="F21" s="25">
        <f t="shared" si="2"/>
        <v>-998.74105924680043</v>
      </c>
      <c r="G21" s="25">
        <f t="shared" si="2"/>
        <v>-2104.4214216475229</v>
      </c>
      <c r="H21" s="25">
        <f t="shared" si="2"/>
        <v>-769.76848687330858</v>
      </c>
      <c r="I21" s="15" t="s">
        <v>33</v>
      </c>
      <c r="L21" s="12"/>
      <c r="M21" s="12"/>
      <c r="N21" s="12"/>
      <c r="O21" s="12"/>
      <c r="P21" s="12"/>
      <c r="Q21" s="12"/>
      <c r="R21" s="12"/>
    </row>
    <row r="22" spans="1:249" s="6" customFormat="1" ht="15.75" x14ac:dyDescent="0.25">
      <c r="A22" s="5" t="s">
        <v>69</v>
      </c>
      <c r="B22" s="17"/>
      <c r="C22" s="17"/>
      <c r="D22" s="17"/>
      <c r="E22" s="17"/>
      <c r="F22" s="17"/>
      <c r="G22" s="17"/>
      <c r="H22" s="17"/>
      <c r="I22" s="18" t="s">
        <v>34</v>
      </c>
      <c r="L22" s="13"/>
      <c r="M22" s="13"/>
      <c r="N22" s="13"/>
      <c r="O22" s="13"/>
      <c r="P22" s="13"/>
      <c r="Q22" s="13"/>
      <c r="R22" s="13"/>
    </row>
    <row r="23" spans="1:249" s="6" customFormat="1" ht="15.75" x14ac:dyDescent="0.25">
      <c r="A23" s="5" t="s">
        <v>35</v>
      </c>
      <c r="B23" s="25">
        <f t="shared" ref="B23:H23" si="3">B24</f>
        <v>15052.676923999999</v>
      </c>
      <c r="C23" s="25">
        <f t="shared" si="3"/>
        <v>15298.463531489997</v>
      </c>
      <c r="D23" s="25">
        <f t="shared" si="3"/>
        <v>17958.287055999997</v>
      </c>
      <c r="E23" s="25">
        <f t="shared" si="3"/>
        <v>22642.549668708423</v>
      </c>
      <c r="F23" s="25">
        <f t="shared" si="3"/>
        <v>27434.023217000002</v>
      </c>
      <c r="G23" s="25">
        <f t="shared" si="3"/>
        <v>28002.493605</v>
      </c>
      <c r="H23" s="25">
        <f t="shared" si="3"/>
        <v>26201.253556</v>
      </c>
      <c r="I23" s="15" t="s">
        <v>36</v>
      </c>
    </row>
    <row r="24" spans="1:249" s="6" customFormat="1" ht="15.75" x14ac:dyDescent="0.25">
      <c r="A24" s="5" t="s">
        <v>37</v>
      </c>
      <c r="B24" s="25">
        <f t="shared" ref="B24:G24" si="4">SUM(B25:B32)</f>
        <v>15052.676923999999</v>
      </c>
      <c r="C24" s="25">
        <f t="shared" si="4"/>
        <v>15298.463531489997</v>
      </c>
      <c r="D24" s="25">
        <f>SUM(D25:D32)</f>
        <v>17958.287055999997</v>
      </c>
      <c r="E24" s="25">
        <f t="shared" si="4"/>
        <v>22642.549668708423</v>
      </c>
      <c r="F24" s="25">
        <f t="shared" si="4"/>
        <v>27434.023217000002</v>
      </c>
      <c r="G24" s="25">
        <f t="shared" si="4"/>
        <v>28002.493605</v>
      </c>
      <c r="H24" s="25">
        <f>SUM(H25:H32)</f>
        <v>26201.253556</v>
      </c>
      <c r="I24" s="15" t="s">
        <v>38</v>
      </c>
      <c r="L24" s="12"/>
      <c r="M24" s="12"/>
      <c r="N24" s="12"/>
      <c r="O24" s="12"/>
      <c r="P24" s="12"/>
      <c r="Q24" s="12"/>
      <c r="R24" s="12"/>
    </row>
    <row r="25" spans="1:249" s="7" customFormat="1" ht="15.75" x14ac:dyDescent="0.25">
      <c r="A25" s="16" t="s">
        <v>39</v>
      </c>
      <c r="B25" s="26">
        <v>13526.464507000001</v>
      </c>
      <c r="C25" s="26">
        <v>13892.434722999998</v>
      </c>
      <c r="D25" s="26">
        <v>17516.209221000001</v>
      </c>
      <c r="E25" s="26">
        <v>20848.715535744428</v>
      </c>
      <c r="F25" s="26">
        <v>23341.867708000002</v>
      </c>
      <c r="G25" s="26">
        <v>23388.980048000001</v>
      </c>
      <c r="H25" s="26">
        <v>21832.703683</v>
      </c>
      <c r="I25" s="18" t="s">
        <v>40</v>
      </c>
      <c r="L25" s="13"/>
      <c r="M25" s="13"/>
      <c r="N25" s="13"/>
      <c r="O25" s="13"/>
      <c r="P25" s="13"/>
      <c r="Q25" s="13"/>
      <c r="R25" s="13"/>
    </row>
    <row r="26" spans="1:249" s="7" customFormat="1" ht="15.75" x14ac:dyDescent="0.25">
      <c r="A26" s="16" t="s">
        <v>41</v>
      </c>
      <c r="B26" s="26">
        <v>89.611200999999994</v>
      </c>
      <c r="C26" s="26">
        <v>103.50774728999973</v>
      </c>
      <c r="D26" s="26">
        <v>98.288548000000006</v>
      </c>
      <c r="E26" s="26">
        <v>140.35003466666666</v>
      </c>
      <c r="F26" s="26">
        <v>104.045</v>
      </c>
      <c r="G26" s="26">
        <v>102.42834999999999</v>
      </c>
      <c r="H26" s="26">
        <v>104.41725</v>
      </c>
      <c r="I26" s="18" t="s">
        <v>42</v>
      </c>
      <c r="L26" s="6"/>
      <c r="M26" s="6"/>
      <c r="N26" s="6"/>
      <c r="O26" s="6"/>
      <c r="P26" s="6"/>
      <c r="Q26" s="6"/>
      <c r="R26" s="6"/>
    </row>
    <row r="27" spans="1:249" s="7" customFormat="1" ht="15.75" x14ac:dyDescent="0.25">
      <c r="A27" s="16" t="s">
        <v>43</v>
      </c>
      <c r="B27" s="26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18" t="s">
        <v>44</v>
      </c>
      <c r="L27" s="12"/>
      <c r="M27" s="12"/>
      <c r="N27" s="12"/>
      <c r="O27" s="12"/>
      <c r="P27" s="12"/>
      <c r="Q27" s="12"/>
      <c r="R27" s="12"/>
    </row>
    <row r="28" spans="1:249" s="7" customFormat="1" ht="15.75" x14ac:dyDescent="0.25">
      <c r="A28" s="16" t="s">
        <v>15</v>
      </c>
      <c r="B28" s="26">
        <v>68.353718999999998</v>
      </c>
      <c r="C28" s="26">
        <v>40.923633199999962</v>
      </c>
      <c r="D28" s="26">
        <v>53.993991000000001</v>
      </c>
      <c r="E28" s="26">
        <v>66.007324333333329</v>
      </c>
      <c r="F28" s="26">
        <v>21.899699999999999</v>
      </c>
      <c r="G28" s="26">
        <v>19.899699999999999</v>
      </c>
      <c r="H28" s="26">
        <v>17.899699999999999</v>
      </c>
      <c r="I28" s="18" t="s">
        <v>45</v>
      </c>
      <c r="L28" s="13"/>
      <c r="M28" s="13"/>
      <c r="N28" s="13"/>
      <c r="O28" s="13"/>
      <c r="P28" s="13"/>
      <c r="Q28" s="13"/>
      <c r="R28" s="13"/>
    </row>
    <row r="29" spans="1:249" s="7" customFormat="1" ht="18.75" x14ac:dyDescent="0.25">
      <c r="A29" s="16" t="s">
        <v>17</v>
      </c>
      <c r="B29" s="26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1" t="s">
        <v>46</v>
      </c>
      <c r="L29" s="6"/>
      <c r="M29" s="6"/>
      <c r="N29" s="6"/>
      <c r="O29" s="6"/>
      <c r="P29" s="6"/>
      <c r="Q29" s="6"/>
      <c r="R29" s="6"/>
    </row>
    <row r="30" spans="1:249" s="13" customFormat="1" ht="15.75" x14ac:dyDescent="0.25">
      <c r="A30" s="28" t="s">
        <v>47</v>
      </c>
      <c r="B30" s="26">
        <v>222.38928999999999</v>
      </c>
      <c r="C30" s="26">
        <v>74.405078000000003</v>
      </c>
      <c r="D30" s="26">
        <v>101.40112999999999</v>
      </c>
      <c r="E30" s="26">
        <v>1019.179589964</v>
      </c>
      <c r="F30" s="26">
        <v>1186.9436499999999</v>
      </c>
      <c r="G30" s="26">
        <v>1201.366595</v>
      </c>
      <c r="H30" s="26">
        <v>933.96100000000001</v>
      </c>
      <c r="I30" s="29" t="s">
        <v>48</v>
      </c>
      <c r="L30" s="12"/>
      <c r="M30" s="12"/>
      <c r="N30" s="12"/>
      <c r="O30" s="12"/>
      <c r="P30" s="12"/>
      <c r="Q30" s="12"/>
      <c r="R30" s="12"/>
    </row>
    <row r="31" spans="1:249" s="7" customFormat="1" ht="15.75" x14ac:dyDescent="0.25">
      <c r="A31" s="28" t="s">
        <v>49</v>
      </c>
      <c r="B31" s="27">
        <v>1145.858207</v>
      </c>
      <c r="C31" s="27">
        <v>1187.19235</v>
      </c>
      <c r="D31" s="27">
        <v>188.39416600000001</v>
      </c>
      <c r="E31" s="27">
        <v>568.29718400000002</v>
      </c>
      <c r="F31" s="27">
        <v>2779.267159</v>
      </c>
      <c r="G31" s="27">
        <v>3289.8189120000002</v>
      </c>
      <c r="H31" s="27">
        <v>3312.2719229999998</v>
      </c>
      <c r="I31" s="18" t="s">
        <v>50</v>
      </c>
      <c r="L31" s="13"/>
      <c r="M31" s="13"/>
      <c r="N31" s="13"/>
      <c r="O31" s="13"/>
      <c r="P31" s="13"/>
      <c r="Q31" s="13"/>
      <c r="R31" s="13"/>
    </row>
    <row r="32" spans="1:249" s="7" customFormat="1" ht="18.75" x14ac:dyDescent="0.25">
      <c r="A32" s="30" t="s">
        <v>51</v>
      </c>
      <c r="B32" s="31">
        <v>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3" t="s">
        <v>70</v>
      </c>
      <c r="J32" s="13"/>
      <c r="L32" s="6"/>
      <c r="M32" s="6"/>
      <c r="N32" s="6"/>
      <c r="O32" s="6"/>
      <c r="P32" s="6"/>
      <c r="Q32" s="6"/>
      <c r="R32" s="6"/>
    </row>
    <row r="33" spans="1:10" s="13" customFormat="1" ht="15" x14ac:dyDescent="0.25">
      <c r="A33" s="34" t="s">
        <v>52</v>
      </c>
      <c r="B33" s="31">
        <v>0</v>
      </c>
      <c r="C33" s="32">
        <v>0</v>
      </c>
      <c r="D33" s="32">
        <v>0</v>
      </c>
      <c r="E33" s="32">
        <v>0</v>
      </c>
      <c r="F33" s="35">
        <v>23.341868000000002</v>
      </c>
      <c r="G33" s="35">
        <v>23.38898</v>
      </c>
      <c r="H33" s="35">
        <v>21.832704</v>
      </c>
      <c r="I33" s="36" t="s">
        <v>53</v>
      </c>
      <c r="J33" s="37"/>
    </row>
    <row r="34" spans="1:10" s="7" customFormat="1" ht="18.75" x14ac:dyDescent="0.25">
      <c r="A34" s="38" t="s">
        <v>66</v>
      </c>
      <c r="I34" s="21" t="s">
        <v>54</v>
      </c>
      <c r="J34" s="39" t="s">
        <v>55</v>
      </c>
    </row>
    <row r="35" spans="1:10" s="7" customFormat="1" ht="18.75" x14ac:dyDescent="0.25">
      <c r="A35" s="38" t="s">
        <v>56</v>
      </c>
      <c r="I35" s="21" t="s">
        <v>57</v>
      </c>
      <c r="J35" s="39" t="s">
        <v>58</v>
      </c>
    </row>
    <row r="36" spans="1:10" s="7" customFormat="1" ht="18.75" x14ac:dyDescent="0.25">
      <c r="A36" s="38" t="s">
        <v>59</v>
      </c>
      <c r="B36" s="40"/>
      <c r="C36" s="40"/>
      <c r="D36" s="40"/>
      <c r="E36" s="40"/>
      <c r="F36" s="40"/>
      <c r="G36" s="40"/>
      <c r="H36" s="40"/>
      <c r="I36" s="21" t="s">
        <v>60</v>
      </c>
      <c r="J36" s="39" t="s">
        <v>61</v>
      </c>
    </row>
    <row r="37" spans="1:10" s="7" customFormat="1" ht="15.75" x14ac:dyDescent="0.25">
      <c r="A37" s="38" t="s">
        <v>62</v>
      </c>
      <c r="I37" s="18"/>
      <c r="J37" s="41" t="s">
        <v>63</v>
      </c>
    </row>
    <row r="38" spans="1:10" s="7" customFormat="1" ht="15" x14ac:dyDescent="0.25">
      <c r="A38" s="38" t="s">
        <v>64</v>
      </c>
      <c r="I38" s="42"/>
    </row>
    <row r="39" spans="1:10" s="7" customFormat="1" ht="12" x14ac:dyDescent="0.25"/>
  </sheetData>
  <mergeCells count="6">
    <mergeCell ref="A1:J1"/>
    <mergeCell ref="A2:J2"/>
    <mergeCell ref="A3:I3"/>
    <mergeCell ref="A4:I4"/>
    <mergeCell ref="A5:A7"/>
    <mergeCell ref="I5:J7"/>
  </mergeCells>
  <pageMargins left="0.18" right="0.16" top="0.75" bottom="0.75" header="0.3" footer="0.3"/>
  <pageSetup paperSize="9" scale="77" orientation="landscape" r:id="rId1"/>
  <colBreaks count="1" manualBreakCount="1">
    <brk id="10" max="1048575" man="1"/>
  </colBreaks>
  <ignoredErrors>
    <ignoredError sqref="G22 C22:F22 B22:B23 C23:E23" unlockedFormula="1"/>
    <ignoredError sqref="G24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</vt:lpstr>
      <vt:lpstr>'13.1'!Print_Area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2016-04-19T08:49:34Z</cp:lastPrinted>
  <dcterms:created xsi:type="dcterms:W3CDTF">2014-03-06T08:38:12Z</dcterms:created>
  <dcterms:modified xsi:type="dcterms:W3CDTF">2016-04-19T08:49:39Z</dcterms:modified>
</cp:coreProperties>
</file>