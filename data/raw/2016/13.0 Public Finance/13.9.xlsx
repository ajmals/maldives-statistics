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9" sheetId="24" r:id="rId1"/>
  </sheets>
  <definedNames>
    <definedName name="_xlnm.Print_Area" localSheetId="0">'13.9'!$A$1:$J$138</definedName>
    <definedName name="_xlnm.Print_Titles" localSheetId="0">'13.9'!$4:$5</definedName>
  </definedNames>
  <calcPr calcId="144525"/>
</workbook>
</file>

<file path=xl/calcChain.xml><?xml version="1.0" encoding="utf-8"?>
<calcChain xmlns="http://schemas.openxmlformats.org/spreadsheetml/2006/main">
  <c r="E26" i="24" l="1"/>
  <c r="E24" i="24" s="1"/>
  <c r="E23" i="24" s="1"/>
  <c r="E22" i="24" s="1"/>
  <c r="E21" i="24" s="1"/>
  <c r="E20" i="24" s="1"/>
  <c r="E19" i="24" s="1"/>
  <c r="F26" i="24"/>
  <c r="G26" i="24"/>
  <c r="H26" i="24"/>
  <c r="I26" i="24"/>
  <c r="G30" i="24"/>
  <c r="H30" i="24"/>
  <c r="I30" i="24"/>
  <c r="E33" i="24"/>
  <c r="G33" i="24"/>
  <c r="H33" i="24"/>
  <c r="I33" i="24"/>
  <c r="H41" i="24"/>
  <c r="I41" i="24"/>
  <c r="F88" i="24"/>
  <c r="G88" i="24"/>
  <c r="H88" i="24"/>
  <c r="I88" i="24"/>
  <c r="E93" i="24"/>
  <c r="F93" i="24"/>
  <c r="G93" i="24"/>
  <c r="H93" i="24"/>
  <c r="I93" i="24"/>
  <c r="E97" i="24"/>
  <c r="E108" i="24"/>
  <c r="F108" i="24"/>
  <c r="E111" i="24"/>
  <c r="F111" i="24"/>
  <c r="G111" i="24"/>
  <c r="H111" i="24"/>
  <c r="I111" i="24"/>
  <c r="E116" i="24"/>
  <c r="F116" i="24"/>
  <c r="G116" i="24"/>
  <c r="H116" i="24"/>
  <c r="I116" i="24"/>
  <c r="E122" i="24"/>
  <c r="F122" i="24"/>
  <c r="E125" i="24"/>
  <c r="F125" i="24"/>
  <c r="E128" i="24"/>
  <c r="F128" i="24"/>
  <c r="G128" i="24"/>
  <c r="H128" i="24"/>
  <c r="I128" i="24"/>
  <c r="G125" i="24"/>
  <c r="H125" i="24"/>
  <c r="G122" i="24"/>
  <c r="H122" i="24"/>
  <c r="E15" i="24"/>
  <c r="F19" i="24"/>
  <c r="G19" i="24"/>
  <c r="H19" i="24"/>
  <c r="I19" i="24"/>
  <c r="E30" i="24"/>
  <c r="F30" i="24"/>
  <c r="F33" i="24"/>
  <c r="E41" i="24"/>
  <c r="F41" i="24"/>
  <c r="G41" i="24"/>
  <c r="E47" i="24"/>
  <c r="F47" i="24"/>
  <c r="G47" i="24"/>
  <c r="H47" i="24"/>
  <c r="I47" i="24"/>
  <c r="E66" i="24"/>
  <c r="F66" i="24"/>
  <c r="G66" i="24"/>
  <c r="H66" i="24"/>
  <c r="I66" i="24"/>
  <c r="E78" i="24"/>
  <c r="F78" i="24"/>
  <c r="G78" i="24"/>
  <c r="H78" i="24"/>
  <c r="I78" i="24"/>
  <c r="E88" i="24"/>
  <c r="F97" i="24"/>
  <c r="G97" i="24"/>
  <c r="H97" i="24"/>
  <c r="I97" i="24"/>
  <c r="E105" i="24"/>
  <c r="F105" i="24"/>
  <c r="G105" i="24"/>
  <c r="H105" i="24"/>
  <c r="I105" i="24"/>
  <c r="G108" i="24"/>
  <c r="H108" i="24"/>
  <c r="I108" i="24"/>
  <c r="I122" i="24"/>
  <c r="B123" i="24" l="1"/>
  <c r="C123" i="24"/>
  <c r="D123" i="24"/>
  <c r="D122" i="24" s="1"/>
  <c r="B122" i="24"/>
  <c r="C122" i="24"/>
  <c r="D97" i="24"/>
  <c r="C97" i="24"/>
  <c r="D88" i="24"/>
  <c r="C88" i="24"/>
  <c r="D78" i="24"/>
  <c r="C78" i="24"/>
  <c r="D66" i="24"/>
  <c r="C66" i="24"/>
  <c r="D47" i="24"/>
  <c r="C47" i="24"/>
  <c r="D41" i="24"/>
  <c r="C41" i="24"/>
  <c r="C33" i="24"/>
  <c r="C26" i="24"/>
  <c r="C19" i="24"/>
  <c r="C15" i="24"/>
  <c r="D8" i="24"/>
  <c r="E8" i="24"/>
  <c r="E7" i="24" s="1"/>
  <c r="F8" i="24"/>
  <c r="G8" i="24"/>
  <c r="H8" i="24"/>
  <c r="I8" i="24"/>
  <c r="C8" i="24"/>
  <c r="I125" i="24"/>
  <c r="I15" i="24" l="1"/>
  <c r="I7" i="24" s="1"/>
  <c r="B108" i="24" l="1"/>
  <c r="D128" i="24"/>
  <c r="C128" i="24"/>
  <c r="B128" i="24"/>
  <c r="D116" i="24"/>
  <c r="C116" i="24"/>
  <c r="B116" i="24"/>
  <c r="D111" i="24"/>
  <c r="C111" i="24"/>
  <c r="B111" i="24"/>
  <c r="D108" i="24"/>
  <c r="C108" i="24"/>
  <c r="D105" i="24"/>
  <c r="C105" i="24"/>
  <c r="B105" i="24"/>
  <c r="B97" i="24"/>
  <c r="D93" i="24"/>
  <c r="C93" i="24"/>
  <c r="B93" i="24"/>
  <c r="B88" i="24"/>
  <c r="B78" i="24"/>
  <c r="B66" i="24"/>
  <c r="B47" i="24"/>
  <c r="B41" i="24"/>
  <c r="D33" i="24"/>
  <c r="B33" i="24"/>
  <c r="D30" i="24"/>
  <c r="C30" i="24"/>
  <c r="B30" i="24"/>
  <c r="D26" i="24"/>
  <c r="D24" i="24" s="1"/>
  <c r="D23" i="24" s="1"/>
  <c r="D22" i="24" s="1"/>
  <c r="D21" i="24" s="1"/>
  <c r="D20" i="24" s="1"/>
  <c r="D19" i="24" s="1"/>
  <c r="D7" i="24" s="1"/>
  <c r="B26" i="24"/>
  <c r="B19" i="24"/>
  <c r="H15" i="24"/>
  <c r="H7" i="24" s="1"/>
  <c r="G15" i="24"/>
  <c r="G7" i="24" s="1"/>
  <c r="F15" i="24"/>
  <c r="F7" i="24" s="1"/>
  <c r="D15" i="24"/>
  <c r="B15" i="24"/>
  <c r="B8" i="24"/>
  <c r="C7" i="24" l="1"/>
  <c r="B7" i="24"/>
</calcChain>
</file>

<file path=xl/sharedStrings.xml><?xml version="1.0" encoding="utf-8"?>
<sst xmlns="http://schemas.openxmlformats.org/spreadsheetml/2006/main" count="613" uniqueCount="116">
  <si>
    <t>Actual</t>
  </si>
  <si>
    <t>Revised</t>
  </si>
  <si>
    <t>Actuals</t>
  </si>
  <si>
    <t>MTEF</t>
  </si>
  <si>
    <t>Memorandum item:</t>
  </si>
  <si>
    <t xml:space="preserve"> (In million MVR)</t>
  </si>
  <si>
    <t>Major projects</t>
  </si>
  <si>
    <t>Expenditure on major projects</t>
  </si>
  <si>
    <t>Saudhi Fund</t>
  </si>
  <si>
    <t>Reconstruction and Development of Ga. Atoll</t>
  </si>
  <si>
    <t>Reconstruction of fishing Harbours In Maldives</t>
  </si>
  <si>
    <t>Contraction of S.Hithadhoo Hospital</t>
  </si>
  <si>
    <t>AbuDhabi Fund</t>
  </si>
  <si>
    <t>Housing and Infrastructure project in Tsunami affected areas</t>
  </si>
  <si>
    <t>Kuwait Fund</t>
  </si>
  <si>
    <t>Rehabilitation of Tsunami Damage Utilities Project</t>
  </si>
  <si>
    <t xml:space="preserve">Water Supply and Sewerage in Gn.Fuwammulah </t>
  </si>
  <si>
    <t>Maldives Port Development</t>
  </si>
  <si>
    <t>Regional Port Project</t>
  </si>
  <si>
    <t>Japan</t>
  </si>
  <si>
    <t>Post Tsunami Recovery and Reconstruction</t>
  </si>
  <si>
    <t>Airport Upgrading</t>
  </si>
  <si>
    <t>French Develoment Agency</t>
  </si>
  <si>
    <t>Rehabilitation of Harbors and Creation of Sewerage network</t>
  </si>
  <si>
    <t>International Development Association(IDA)</t>
  </si>
  <si>
    <t>Integrated Human Development Project</t>
  </si>
  <si>
    <t xml:space="preserve">Mobile phone banking </t>
  </si>
  <si>
    <t>Maldives Environment Management Project</t>
  </si>
  <si>
    <t>Pension and Social Protection Administration Project</t>
  </si>
  <si>
    <t>Third Education Training Project</t>
  </si>
  <si>
    <t>International Fund for Agriculture Development (IFAD)</t>
  </si>
  <si>
    <t>Post Tsunami Agriculture and Fisheries Rehabilitation Project</t>
  </si>
  <si>
    <t xml:space="preserve">Fisheries and Agriculture Diversification Project </t>
  </si>
  <si>
    <t>Islamic Development Bank (IDB)</t>
  </si>
  <si>
    <t>Development of water supply and sewerage</t>
  </si>
  <si>
    <t>Micro Finance Loan to BML</t>
  </si>
  <si>
    <t>Construction of Basic housing in Tsunami affected</t>
  </si>
  <si>
    <t>Construction of Harbours for Tsunami Victims</t>
  </si>
  <si>
    <t>Quarentine facility</t>
  </si>
  <si>
    <t xml:space="preserve">SME Co-Finance </t>
  </si>
  <si>
    <t>Trade Finance Loan</t>
  </si>
  <si>
    <t>Trade Finance Loan 2</t>
  </si>
  <si>
    <t>Technical Assistance Loan</t>
  </si>
  <si>
    <t>Health and Education Project</t>
  </si>
  <si>
    <t>Health and Education Project Phase 2</t>
  </si>
  <si>
    <t>Reconstruction of Harbours (Istisna)</t>
  </si>
  <si>
    <t>Sanitation in 5 islands ( Istisna)</t>
  </si>
  <si>
    <t>Asian Development Bank(ADB)</t>
  </si>
  <si>
    <t>Information Technology Development Project</t>
  </si>
  <si>
    <t>Outer Island Electrification</t>
  </si>
  <si>
    <t>Employment Skills Training Project</t>
  </si>
  <si>
    <t>Regional Development Project Phase 2</t>
  </si>
  <si>
    <t>Domestic Maritime transport Project</t>
  </si>
  <si>
    <t>Private Sector Development Porject</t>
  </si>
  <si>
    <t>Micro Small &amp; Medium Enterprises dev project</t>
  </si>
  <si>
    <t>Post Secondary Education Development Project</t>
  </si>
  <si>
    <t>OPEC Fund For International Development (OFID)</t>
  </si>
  <si>
    <t>-</t>
  </si>
  <si>
    <t>Provision of water supply &amp; sewerage project</t>
  </si>
  <si>
    <t>Danish Commercial Loan (DANIDA)</t>
  </si>
  <si>
    <t>Fourth Power Generation Project</t>
  </si>
  <si>
    <t>Supplementary loan for Fourth Power</t>
  </si>
  <si>
    <t>ING Bank / Netherland</t>
  </si>
  <si>
    <t>Dredging &amp; Reclamation Project (4 islands)</t>
  </si>
  <si>
    <t>Ga. Villingili Reclamation Project</t>
  </si>
  <si>
    <t>EXIM Bank / China</t>
  </si>
  <si>
    <t>1000 Housing Units in Hulumale'</t>
  </si>
  <si>
    <t>EXIM Bank / India</t>
  </si>
  <si>
    <t>Velaanaage Office building</t>
  </si>
  <si>
    <t xml:space="preserve">Procurement of construction equipment </t>
  </si>
  <si>
    <t xml:space="preserve">Coastal Surveillance Vessel </t>
  </si>
  <si>
    <t>India</t>
  </si>
  <si>
    <t>Standby Credit Facilities</t>
  </si>
  <si>
    <t>Police 9 story Building</t>
  </si>
  <si>
    <t>MNDF 9 story Building</t>
  </si>
  <si>
    <t xml:space="preserve">Hulhumale' Project </t>
  </si>
  <si>
    <t>Other</t>
  </si>
  <si>
    <t>Airports</t>
  </si>
  <si>
    <t>Tsunami Projects</t>
  </si>
  <si>
    <t>Surveillance Radar Communication System</t>
  </si>
  <si>
    <t xml:space="preserve">Procurement of communication equipment </t>
  </si>
  <si>
    <t>Faculty of Health Science Project</t>
  </si>
  <si>
    <t>Construction of S.Hithadhoo Hospital (Funded by Saudhi/OFID)</t>
  </si>
  <si>
    <t>Source: Ministry of Finance and Treasury</t>
  </si>
  <si>
    <t>Bank of Ceylon</t>
  </si>
  <si>
    <t>Small Scale Waste-to-Energy Project</t>
  </si>
  <si>
    <t>Preparing Outer island for sustainable energy (POISED)</t>
  </si>
  <si>
    <t>Outer Island Water Supply and Sewerage</t>
  </si>
  <si>
    <t>Establishment of a regional Solid waste management in Upper North Region</t>
  </si>
  <si>
    <t>Development of  GDh atoll</t>
  </si>
  <si>
    <t>Ibrahim Nasir international Airport Development Project</t>
  </si>
  <si>
    <t>Male-Hulhule Bridge Project</t>
  </si>
  <si>
    <t>European Investment Bank (EIB)</t>
  </si>
  <si>
    <t>Preparing Outer Island for Sustainable Energy (POISED)</t>
  </si>
  <si>
    <t>Ibrahim Nasir International Airport Development Project (Terminal)</t>
  </si>
  <si>
    <t>Development Of Hulhumale' Phase II</t>
  </si>
  <si>
    <t>Mariculture Enterprises Development Project</t>
  </si>
  <si>
    <t>Reconstruction of Harbours ( Concessional )</t>
  </si>
  <si>
    <t>Sanitation in 5 islands ( Concessional )</t>
  </si>
  <si>
    <t>Reconstruction of Harbours Phase II (additional financing)</t>
  </si>
  <si>
    <t>Hdh.Kulhudufushi Harbour Expansion Project</t>
  </si>
  <si>
    <t>L.Gan - Fonadhoo Connectivity Project</t>
  </si>
  <si>
    <t>Provision of water supply &amp; waste management project (Phase II)</t>
  </si>
  <si>
    <t>Gdh.Thinadhoo Township Development Project</t>
  </si>
  <si>
    <t xml:space="preserve">Fourth Power Supplementary Loan </t>
  </si>
  <si>
    <t>Development of 1500 Housing Units in Maldives (Phase II)</t>
  </si>
  <si>
    <t>SMART Maldives</t>
  </si>
  <si>
    <t xml:space="preserve">Other Consessional loan </t>
  </si>
  <si>
    <t>Development of 485 Housing Units in Maldives (Phase III)</t>
  </si>
  <si>
    <t>Development Bank/ China</t>
  </si>
  <si>
    <t>Development of 1500 Housing Units in Maldives</t>
  </si>
  <si>
    <t>Arabic Fund</t>
  </si>
  <si>
    <t>Ibrahim Nasir International Airport Development Project (terminal)</t>
  </si>
  <si>
    <t>Coastal Protection in Gn.Fuwammulah</t>
  </si>
  <si>
    <t>ތާވަލު 13.9: ބޮޑެތި މަޝްރޫޢުތަކަށް ރާއްޖޭން ބޭރުން ނެގޭ ލޯނުތަކުން ޚަރަދުކުރެވޭ ގޮތް، 2011 - 2018</t>
  </si>
  <si>
    <t>Table  13.9 : EXPENDITURE ON MAJOR PROJECTS FINANCED BY FOREIGN LOANS, 2011- 2018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</si>
</sst>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0.0"/>
    <numFmt numFmtId="167" formatCode="_-* #,##0.00_-;\-* #,##0.00_-;_-* &quot;-&quot;??_-;_-@_-"/>
    <numFmt numFmtId="168" formatCode="#,##0.00\ ;&quot; (&quot;#,##0.00\);&quot; -&quot;#\ ;@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7" fontId="1" fillId="0" borderId="0" applyFont="0" applyFill="0" applyBorder="0" applyAlignment="0" applyProtection="0"/>
    <xf numFmtId="0" fontId="5" fillId="0" borderId="0"/>
    <xf numFmtId="168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9" fillId="2" borderId="0" xfId="0" applyFont="1" applyFill="1" applyBorder="1" applyAlignment="1">
      <alignment horizontal="left" vertical="center"/>
    </xf>
    <xf numFmtId="164" fontId="7" fillId="2" borderId="0" xfId="2" applyNumberFormat="1" applyFont="1" applyFill="1" applyAlignment="1">
      <alignment vertical="center"/>
    </xf>
    <xf numFmtId="164" fontId="4" fillId="2" borderId="0" xfId="2" applyNumberFormat="1" applyFont="1" applyFill="1" applyAlignment="1">
      <alignment vertical="center"/>
    </xf>
    <xf numFmtId="164" fontId="4" fillId="2" borderId="2" xfId="2" applyNumberFormat="1" applyFont="1" applyFill="1" applyBorder="1" applyAlignment="1" applyProtection="1">
      <alignment horizontal="right" vertical="center"/>
      <protection locked="0"/>
    </xf>
    <xf numFmtId="164" fontId="4" fillId="2" borderId="1" xfId="2" applyNumberFormat="1" applyFont="1" applyFill="1" applyBorder="1" applyAlignment="1" applyProtection="1">
      <alignment horizontal="right"/>
    </xf>
    <xf numFmtId="164" fontId="7" fillId="2" borderId="0" xfId="2" applyNumberFormat="1" applyFont="1" applyFill="1" applyBorder="1" applyAlignment="1">
      <alignment vertical="center"/>
    </xf>
    <xf numFmtId="164" fontId="4" fillId="2" borderId="0" xfId="2" applyNumberFormat="1" applyFont="1" applyFill="1" applyBorder="1" applyAlignment="1" applyProtection="1">
      <alignment horizontal="left" vertical="center"/>
    </xf>
    <xf numFmtId="165" fontId="7" fillId="2" borderId="0" xfId="1" applyNumberFormat="1" applyFont="1" applyFill="1" applyAlignment="1">
      <alignment horizontal="right" vertical="center"/>
    </xf>
    <xf numFmtId="164" fontId="4" fillId="2" borderId="0" xfId="2" applyNumberFormat="1" applyFont="1" applyFill="1" applyAlignment="1" applyProtection="1">
      <alignment horizontal="left" vertical="center"/>
    </xf>
    <xf numFmtId="165" fontId="4" fillId="2" borderId="0" xfId="1" applyNumberFormat="1" applyFont="1" applyFill="1" applyBorder="1" applyAlignment="1" applyProtection="1">
      <alignment horizontal="right"/>
    </xf>
    <xf numFmtId="0" fontId="10" fillId="2" borderId="0" xfId="0" applyFont="1" applyFill="1" applyBorder="1" applyAlignment="1">
      <alignment horizontal="left" vertical="center"/>
    </xf>
    <xf numFmtId="165" fontId="4" fillId="2" borderId="0" xfId="1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165" fontId="1" fillId="2" borderId="0" xfId="1" applyNumberFormat="1" applyFont="1" applyFill="1" applyBorder="1" applyAlignment="1">
      <alignment horizontal="right" vertical="center"/>
    </xf>
    <xf numFmtId="166" fontId="7" fillId="2" borderId="0" xfId="0" applyNumberFormat="1" applyFont="1" applyFill="1" applyAlignment="1">
      <alignment horizontal="left" indent="1"/>
    </xf>
    <xf numFmtId="0" fontId="7" fillId="2" borderId="0" xfId="0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center" vertical="center"/>
    </xf>
    <xf numFmtId="165" fontId="1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165" fontId="4" fillId="2" borderId="0" xfId="1" applyNumberFormat="1" applyFont="1" applyFill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165" fontId="7" fillId="2" borderId="3" xfId="1" applyNumberFormat="1" applyFont="1" applyFill="1" applyBorder="1" applyAlignment="1">
      <alignment horizontal="right" vertical="center"/>
    </xf>
    <xf numFmtId="165" fontId="7" fillId="2" borderId="0" xfId="1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5" fontId="7" fillId="2" borderId="1" xfId="1" applyNumberFormat="1" applyFont="1" applyFill="1" applyBorder="1" applyAlignment="1">
      <alignment horizontal="right" vertical="center"/>
    </xf>
    <xf numFmtId="164" fontId="7" fillId="2" borderId="0" xfId="2" applyNumberFormat="1" applyFont="1" applyFill="1" applyAlignment="1">
      <alignment horizontal="left" vertical="center"/>
    </xf>
    <xf numFmtId="43" fontId="7" fillId="2" borderId="0" xfId="1" applyNumberFormat="1" applyFont="1" applyFill="1" applyAlignment="1">
      <alignment horizontal="right" vertical="center"/>
    </xf>
    <xf numFmtId="166" fontId="7" fillId="2" borderId="0" xfId="2" applyNumberFormat="1" applyFont="1" applyFill="1" applyAlignment="1">
      <alignment horizontal="left" vertical="center"/>
    </xf>
    <xf numFmtId="164" fontId="4" fillId="2" borderId="2" xfId="2" applyNumberFormat="1" applyFont="1" applyFill="1" applyBorder="1" applyAlignment="1" applyProtection="1">
      <alignment horizontal="left" vertical="center"/>
    </xf>
    <xf numFmtId="164" fontId="4" fillId="2" borderId="1" xfId="2" applyNumberFormat="1" applyFont="1" applyFill="1" applyBorder="1" applyAlignment="1" applyProtection="1">
      <alignment horizontal="left" vertical="center"/>
    </xf>
    <xf numFmtId="164" fontId="4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Alignment="1">
      <alignment horizontal="center" vertical="center"/>
    </xf>
    <xf numFmtId="164" fontId="4" fillId="2" borderId="1" xfId="2" applyNumberFormat="1" applyFont="1" applyFill="1" applyBorder="1" applyAlignment="1" applyProtection="1">
      <alignment horizontal="center" vertical="center"/>
    </xf>
  </cellXfs>
  <cellStyles count="11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 2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0</xdr:rowOff>
    </xdr:from>
    <xdr:to>
      <xdr:col>0</xdr:col>
      <xdr:colOff>1743075</xdr:colOff>
      <xdr:row>56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926592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1743075</xdr:colOff>
      <xdr:row>54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0" y="8915400"/>
          <a:ext cx="1743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tabSelected="1" zoomScaleNormal="100" workbookViewId="0">
      <selection activeCell="I6" sqref="I6"/>
    </sheetView>
  </sheetViews>
  <sheetFormatPr defaultColWidth="9.140625" defaultRowHeight="12.75" x14ac:dyDescent="0.25"/>
  <cols>
    <col min="1" max="1" width="57.140625" style="2" customWidth="1"/>
    <col min="2" max="7" width="8.7109375" style="2" customWidth="1"/>
    <col min="8" max="16384" width="9.140625" style="2"/>
  </cols>
  <sheetData>
    <row r="1" spans="1:12" ht="15.75" customHeight="1" x14ac:dyDescent="0.25">
      <c r="A1" s="33" t="s">
        <v>114</v>
      </c>
      <c r="B1" s="33"/>
      <c r="C1" s="33"/>
      <c r="D1" s="33"/>
      <c r="E1" s="33"/>
      <c r="F1" s="33"/>
      <c r="G1" s="33"/>
      <c r="H1" s="33"/>
      <c r="I1" s="33"/>
    </row>
    <row r="2" spans="1:12" s="3" customFormat="1" ht="13.5" customHeight="1" x14ac:dyDescent="0.25">
      <c r="A2" s="32" t="s">
        <v>115</v>
      </c>
      <c r="B2" s="32"/>
      <c r="C2" s="32"/>
      <c r="D2" s="32"/>
      <c r="E2" s="32"/>
      <c r="F2" s="32"/>
      <c r="G2" s="32"/>
      <c r="H2" s="32"/>
      <c r="I2" s="32"/>
    </row>
    <row r="3" spans="1:12" s="3" customFormat="1" ht="15" customHeight="1" x14ac:dyDescent="0.25">
      <c r="A3" s="34" t="s">
        <v>5</v>
      </c>
      <c r="B3" s="34"/>
      <c r="C3" s="34"/>
      <c r="D3" s="34"/>
      <c r="E3" s="34"/>
      <c r="F3" s="34"/>
      <c r="G3" s="34"/>
      <c r="H3" s="34"/>
      <c r="I3" s="34"/>
    </row>
    <row r="4" spans="1:12" s="3" customFormat="1" x14ac:dyDescent="0.25">
      <c r="A4" s="30" t="s">
        <v>6</v>
      </c>
      <c r="B4" s="4" t="s">
        <v>2</v>
      </c>
      <c r="C4" s="4" t="s">
        <v>2</v>
      </c>
      <c r="D4" s="4" t="s">
        <v>2</v>
      </c>
      <c r="E4" s="4" t="s">
        <v>0</v>
      </c>
      <c r="F4" s="4" t="s">
        <v>1</v>
      </c>
      <c r="G4" s="4" t="s">
        <v>3</v>
      </c>
      <c r="H4" s="4" t="s">
        <v>3</v>
      </c>
      <c r="I4" s="4" t="s">
        <v>3</v>
      </c>
    </row>
    <row r="5" spans="1:12" s="6" customFormat="1" x14ac:dyDescent="0.2">
      <c r="A5" s="31"/>
      <c r="B5" s="5">
        <v>2011</v>
      </c>
      <c r="C5" s="5">
        <v>2012</v>
      </c>
      <c r="D5" s="5">
        <v>2013</v>
      </c>
      <c r="E5" s="5">
        <v>2014</v>
      </c>
      <c r="F5" s="5">
        <v>2015</v>
      </c>
      <c r="G5" s="5">
        <v>2016</v>
      </c>
      <c r="H5" s="5">
        <v>2017</v>
      </c>
      <c r="I5" s="5">
        <v>2018</v>
      </c>
    </row>
    <row r="6" spans="1:12" s="6" customFormat="1" x14ac:dyDescent="0.25">
      <c r="A6" s="7"/>
      <c r="B6" s="8"/>
      <c r="C6" s="8"/>
      <c r="D6" s="8"/>
      <c r="E6" s="8"/>
      <c r="F6" s="8"/>
      <c r="G6" s="8"/>
      <c r="H6" s="8"/>
    </row>
    <row r="7" spans="1:12" s="3" customFormat="1" ht="14.25" customHeight="1" x14ac:dyDescent="0.2">
      <c r="A7" s="9" t="s">
        <v>7</v>
      </c>
      <c r="B7" s="10">
        <f>B8+B15+B19+B26+B30+B33+B41+B47+B66+B78+B88+B93+B97+B105+B108+B111+B116+B128</f>
        <v>1398.4178940000002</v>
      </c>
      <c r="C7" s="10">
        <f>C8+C15+C19+C26+C30+C33+C41+C47+C66+C78+C88+C93+C97+C105+C108+C111+C116+C122+C125+C128</f>
        <v>1145.8582073</v>
      </c>
      <c r="D7" s="10">
        <f t="shared" ref="D7:I7" si="0">D8+D15+D19+D26+D30+D33+D41+D47+D66+D78+D88+D93+D97+D105+D108+D111+D116+D122+D125+D128</f>
        <v>1187.1923500000003</v>
      </c>
      <c r="E7" s="10">
        <f t="shared" si="0"/>
        <v>188.39416600000004</v>
      </c>
      <c r="F7" s="10">
        <f t="shared" si="0"/>
        <v>568.31973500000004</v>
      </c>
      <c r="G7" s="10">
        <f t="shared" si="0"/>
        <v>2779.244608</v>
      </c>
      <c r="H7" s="10">
        <f t="shared" si="0"/>
        <v>3289.8189120000002</v>
      </c>
      <c r="I7" s="10">
        <f t="shared" si="0"/>
        <v>3312.2719229999998</v>
      </c>
    </row>
    <row r="8" spans="1:12" s="3" customFormat="1" ht="14.25" customHeight="1" x14ac:dyDescent="0.2">
      <c r="A8" s="11" t="s">
        <v>8</v>
      </c>
      <c r="B8" s="12">
        <f t="shared" ref="B8" si="1">SUM(B9:B11)</f>
        <v>181.95449299999999</v>
      </c>
      <c r="C8" s="12">
        <f>SUM(C9:C13)</f>
        <v>153.78399200000001</v>
      </c>
      <c r="D8" s="12">
        <f t="shared" ref="D8:I8" si="2">SUM(D9:D13)</f>
        <v>37.905923999999999</v>
      </c>
      <c r="E8" s="12">
        <f t="shared" si="2"/>
        <v>25.450016999999999</v>
      </c>
      <c r="F8" s="12">
        <f t="shared" si="2"/>
        <v>33.067532999999997</v>
      </c>
      <c r="G8" s="12">
        <f t="shared" si="2"/>
        <v>471.13567999999998</v>
      </c>
      <c r="H8" s="12">
        <f t="shared" si="2"/>
        <v>598.40800000000002</v>
      </c>
      <c r="I8" s="12">
        <f t="shared" si="2"/>
        <v>707.51950000000011</v>
      </c>
      <c r="J8" s="13"/>
      <c r="K8" s="13"/>
      <c r="L8" s="13"/>
    </row>
    <row r="9" spans="1:12" s="3" customFormat="1" ht="14.25" customHeight="1" x14ac:dyDescent="0.2">
      <c r="A9" s="14" t="s">
        <v>9</v>
      </c>
      <c r="B9" s="8">
        <v>134.44019499999999</v>
      </c>
      <c r="C9" s="8">
        <v>5.2662300000000002</v>
      </c>
      <c r="D9" s="8">
        <v>14.556865</v>
      </c>
      <c r="E9" s="8">
        <v>14.498196999999999</v>
      </c>
      <c r="F9" s="8">
        <v>23.409033000000001</v>
      </c>
      <c r="G9" s="8">
        <v>22.581679999999999</v>
      </c>
      <c r="H9" s="8" t="s">
        <v>57</v>
      </c>
      <c r="I9" s="8" t="s">
        <v>57</v>
      </c>
      <c r="J9" s="16"/>
      <c r="K9" s="16"/>
      <c r="L9" s="16"/>
    </row>
    <row r="10" spans="1:12" s="3" customFormat="1" ht="14.25" customHeight="1" x14ac:dyDescent="0.2">
      <c r="A10" s="14" t="s">
        <v>10</v>
      </c>
      <c r="B10" s="8">
        <v>47.514297999999997</v>
      </c>
      <c r="C10" s="8">
        <v>148.517762</v>
      </c>
      <c r="D10" s="8">
        <v>23.349059</v>
      </c>
      <c r="E10" s="8">
        <v>10.95182</v>
      </c>
      <c r="F10" s="8" t="s">
        <v>57</v>
      </c>
      <c r="G10" s="8" t="s">
        <v>57</v>
      </c>
      <c r="H10" s="8" t="s">
        <v>57</v>
      </c>
      <c r="I10" s="8" t="s">
        <v>57</v>
      </c>
      <c r="J10" s="16"/>
      <c r="K10" s="16"/>
      <c r="L10" s="16"/>
    </row>
    <row r="11" spans="1:12" s="3" customFormat="1" ht="14.25" customHeight="1" x14ac:dyDescent="0.2">
      <c r="A11" s="14" t="s">
        <v>11</v>
      </c>
      <c r="B11" s="8" t="s">
        <v>57</v>
      </c>
      <c r="C11" s="8" t="s">
        <v>57</v>
      </c>
      <c r="D11" s="8" t="s">
        <v>57</v>
      </c>
      <c r="E11" s="8" t="s">
        <v>57</v>
      </c>
      <c r="F11" s="8">
        <v>9.6585000000000001</v>
      </c>
      <c r="G11" s="8">
        <v>38.634</v>
      </c>
      <c r="H11" s="8">
        <v>77.268000000000001</v>
      </c>
      <c r="I11" s="8">
        <v>67.609499999999997</v>
      </c>
      <c r="J11" s="16"/>
      <c r="K11" s="16"/>
      <c r="L11" s="16"/>
    </row>
    <row r="12" spans="1:12" s="3" customFormat="1" ht="14.25" customHeight="1" x14ac:dyDescent="0.2">
      <c r="A12" s="14" t="s">
        <v>94</v>
      </c>
      <c r="B12" s="15" t="s">
        <v>57</v>
      </c>
      <c r="C12" s="15" t="s">
        <v>57</v>
      </c>
      <c r="D12" s="15" t="s">
        <v>57</v>
      </c>
      <c r="E12" s="8" t="s">
        <v>57</v>
      </c>
      <c r="F12" s="8" t="s">
        <v>57</v>
      </c>
      <c r="G12" s="8">
        <v>225</v>
      </c>
      <c r="H12" s="8">
        <v>330.3</v>
      </c>
      <c r="I12" s="8">
        <v>393.35</v>
      </c>
      <c r="J12" s="16"/>
      <c r="K12" s="16"/>
      <c r="L12" s="16"/>
    </row>
    <row r="13" spans="1:12" s="3" customFormat="1" ht="14.25" customHeight="1" x14ac:dyDescent="0.2">
      <c r="A13" s="14" t="s">
        <v>95</v>
      </c>
      <c r="B13" s="15" t="s">
        <v>57</v>
      </c>
      <c r="C13" s="15" t="s">
        <v>57</v>
      </c>
      <c r="D13" s="15" t="s">
        <v>57</v>
      </c>
      <c r="E13" s="8" t="s">
        <v>57</v>
      </c>
      <c r="F13" s="8" t="s">
        <v>57</v>
      </c>
      <c r="G13" s="8">
        <v>184.92</v>
      </c>
      <c r="H13" s="8">
        <v>190.84</v>
      </c>
      <c r="I13" s="8">
        <v>246.56</v>
      </c>
      <c r="J13" s="16"/>
      <c r="K13" s="16"/>
      <c r="L13" s="16"/>
    </row>
    <row r="14" spans="1:12" s="3" customFormat="1" ht="9.75" customHeight="1" x14ac:dyDescent="0.2">
      <c r="A14" s="14"/>
      <c r="B14" s="8"/>
      <c r="C14" s="8"/>
      <c r="D14" s="8"/>
      <c r="E14" s="8"/>
      <c r="F14" s="8"/>
      <c r="G14" s="8"/>
      <c r="H14" s="8"/>
      <c r="I14" s="8"/>
      <c r="J14" s="16"/>
      <c r="K14" s="16"/>
      <c r="L14" s="16"/>
    </row>
    <row r="15" spans="1:12" s="3" customFormat="1" ht="14.25" customHeight="1" x14ac:dyDescent="0.2">
      <c r="A15" s="11" t="s">
        <v>12</v>
      </c>
      <c r="B15" s="10">
        <f>SUM(B16:B17)</f>
        <v>16.510059999999999</v>
      </c>
      <c r="C15" s="10">
        <f>SUM(C16:C17)</f>
        <v>87.622929999999997</v>
      </c>
      <c r="D15" s="10">
        <f t="shared" ref="D15:H15" si="3">SUM(D16:D17)</f>
        <v>21.216504</v>
      </c>
      <c r="E15" s="10">
        <f t="shared" si="3"/>
        <v>9.7509049999999995</v>
      </c>
      <c r="F15" s="10">
        <f t="shared" si="3"/>
        <v>18.140284000000001</v>
      </c>
      <c r="G15" s="10">
        <f t="shared" si="3"/>
        <v>18.51192</v>
      </c>
      <c r="H15" s="10">
        <f t="shared" si="3"/>
        <v>37.02384</v>
      </c>
      <c r="I15" s="10">
        <f t="shared" ref="I15" si="4">SUM(I16:I17)</f>
        <v>32.395859999999999</v>
      </c>
      <c r="J15" s="16"/>
      <c r="K15" s="16"/>
      <c r="L15" s="16"/>
    </row>
    <row r="16" spans="1:12" s="3" customFormat="1" ht="14.25" customHeight="1" x14ac:dyDescent="0.2">
      <c r="A16" s="14" t="s">
        <v>13</v>
      </c>
      <c r="B16" s="8">
        <v>16.510059999999999</v>
      </c>
      <c r="C16" s="8">
        <v>87.622929999999997</v>
      </c>
      <c r="D16" s="8">
        <v>21.216504</v>
      </c>
      <c r="E16" s="8">
        <v>9.7509049999999995</v>
      </c>
      <c r="F16" s="8">
        <v>13.512304</v>
      </c>
      <c r="G16" s="8" t="s">
        <v>57</v>
      </c>
      <c r="H16" s="8" t="s">
        <v>57</v>
      </c>
      <c r="I16" s="8" t="s">
        <v>57</v>
      </c>
      <c r="J16" s="16"/>
      <c r="K16" s="16"/>
      <c r="L16" s="16"/>
    </row>
    <row r="17" spans="1:12" s="3" customFormat="1" ht="14.25" customHeight="1" x14ac:dyDescent="0.2">
      <c r="A17" s="14" t="s">
        <v>85</v>
      </c>
      <c r="B17" s="15" t="s">
        <v>57</v>
      </c>
      <c r="C17" s="8" t="s">
        <v>57</v>
      </c>
      <c r="D17" s="8" t="s">
        <v>57</v>
      </c>
      <c r="E17" s="8" t="s">
        <v>57</v>
      </c>
      <c r="F17" s="8">
        <v>4.62798</v>
      </c>
      <c r="G17" s="8">
        <v>18.51192</v>
      </c>
      <c r="H17" s="8">
        <v>37.02384</v>
      </c>
      <c r="I17" s="8">
        <v>32.395859999999999</v>
      </c>
      <c r="J17" s="16"/>
      <c r="K17" s="16"/>
      <c r="L17" s="16"/>
    </row>
    <row r="18" spans="1:12" s="3" customFormat="1" ht="14.25" customHeight="1" x14ac:dyDescent="0.2">
      <c r="A18" s="14"/>
      <c r="B18" s="8"/>
      <c r="C18" s="8"/>
      <c r="D18" s="8"/>
      <c r="E18" s="8"/>
      <c r="F18" s="8"/>
      <c r="G18" s="8"/>
      <c r="H18" s="8"/>
      <c r="I18" s="8"/>
      <c r="J18" s="16"/>
      <c r="K18" s="16"/>
      <c r="L18" s="16"/>
    </row>
    <row r="19" spans="1:12" s="3" customFormat="1" ht="14.25" customHeight="1" x14ac:dyDescent="0.2">
      <c r="A19" s="11" t="s">
        <v>14</v>
      </c>
      <c r="B19" s="10">
        <f t="shared" ref="B19:H19" si="5">SUM(B20:B24)</f>
        <v>41.59984</v>
      </c>
      <c r="C19" s="12">
        <f>SUM(C20:C24)</f>
        <v>9.1164190000000005</v>
      </c>
      <c r="D19" s="12">
        <f t="shared" si="5"/>
        <v>0</v>
      </c>
      <c r="E19" s="12">
        <f t="shared" si="5"/>
        <v>0</v>
      </c>
      <c r="F19" s="12">
        <f t="shared" si="5"/>
        <v>3.2659199999999999</v>
      </c>
      <c r="G19" s="12">
        <f t="shared" si="5"/>
        <v>23.264099999999999</v>
      </c>
      <c r="H19" s="12">
        <f t="shared" si="5"/>
        <v>68.561999999999998</v>
      </c>
      <c r="I19" s="12">
        <f t="shared" ref="I19" si="6">SUM(I20:I24)</f>
        <v>76.726799999999997</v>
      </c>
      <c r="J19" s="16"/>
      <c r="K19" s="16"/>
      <c r="L19" s="16"/>
    </row>
    <row r="20" spans="1:12" s="3" customFormat="1" ht="14.25" customHeight="1" x14ac:dyDescent="0.2">
      <c r="A20" s="14" t="s">
        <v>15</v>
      </c>
      <c r="B20" s="8">
        <v>41.59984</v>
      </c>
      <c r="C20" s="8">
        <v>9.1164190000000005</v>
      </c>
      <c r="D20" s="8">
        <f t="shared" ref="D20:E20" si="7">SUM(D21:D25)</f>
        <v>0</v>
      </c>
      <c r="E20" s="12">
        <f t="shared" si="7"/>
        <v>0</v>
      </c>
      <c r="F20" s="8" t="s">
        <v>57</v>
      </c>
      <c r="G20" s="8" t="s">
        <v>57</v>
      </c>
      <c r="H20" s="8" t="s">
        <v>57</v>
      </c>
      <c r="I20" s="8" t="s">
        <v>57</v>
      </c>
      <c r="J20" s="16"/>
      <c r="K20" s="16"/>
      <c r="L20" s="16"/>
    </row>
    <row r="21" spans="1:12" s="3" customFormat="1" ht="14.25" customHeight="1" x14ac:dyDescent="0.2">
      <c r="A21" s="14" t="s">
        <v>16</v>
      </c>
      <c r="B21" s="8" t="s">
        <v>57</v>
      </c>
      <c r="C21" s="8" t="s">
        <v>57</v>
      </c>
      <c r="D21" s="8">
        <f t="shared" ref="D21:E21" si="8">SUM(D22:D26)</f>
        <v>0</v>
      </c>
      <c r="E21" s="12">
        <f t="shared" si="8"/>
        <v>0</v>
      </c>
      <c r="F21" s="8">
        <v>3.2659199999999999</v>
      </c>
      <c r="G21" s="8">
        <v>16.329599999999999</v>
      </c>
      <c r="H21" s="8">
        <v>40.823999999999998</v>
      </c>
      <c r="I21" s="8">
        <v>48.988799999999998</v>
      </c>
      <c r="J21" s="16"/>
      <c r="K21" s="16"/>
      <c r="L21" s="16"/>
    </row>
    <row r="22" spans="1:12" s="3" customFormat="1" ht="14.25" customHeight="1" x14ac:dyDescent="0.2">
      <c r="A22" s="14" t="s">
        <v>113</v>
      </c>
      <c r="B22" s="8" t="s">
        <v>57</v>
      </c>
      <c r="C22" s="8" t="s">
        <v>57</v>
      </c>
      <c r="D22" s="8">
        <f t="shared" ref="D22:E22" si="9">SUM(D23:D27)</f>
        <v>0</v>
      </c>
      <c r="E22" s="12">
        <f t="shared" si="9"/>
        <v>0</v>
      </c>
      <c r="F22" s="8" t="s">
        <v>57</v>
      </c>
      <c r="G22" s="8">
        <v>6.9344999999999999</v>
      </c>
      <c r="H22" s="8">
        <v>27.738</v>
      </c>
      <c r="I22" s="8">
        <v>27.738</v>
      </c>
      <c r="J22" s="16"/>
      <c r="K22" s="16"/>
      <c r="L22" s="16"/>
    </row>
    <row r="23" spans="1:12" s="3" customFormat="1" ht="14.25" customHeight="1" x14ac:dyDescent="0.2">
      <c r="A23" s="14" t="s">
        <v>17</v>
      </c>
      <c r="B23" s="8" t="s">
        <v>57</v>
      </c>
      <c r="C23" s="8" t="s">
        <v>57</v>
      </c>
      <c r="D23" s="8">
        <f t="shared" ref="D23:E23" si="10">SUM(D24:D28)</f>
        <v>0</v>
      </c>
      <c r="E23" s="12">
        <f t="shared" si="10"/>
        <v>0</v>
      </c>
      <c r="F23" s="8" t="s">
        <v>57</v>
      </c>
      <c r="G23" s="8" t="s">
        <v>57</v>
      </c>
      <c r="H23" s="8" t="s">
        <v>57</v>
      </c>
      <c r="I23" s="8" t="s">
        <v>57</v>
      </c>
      <c r="J23" s="16"/>
      <c r="K23" s="16"/>
      <c r="L23" s="16"/>
    </row>
    <row r="24" spans="1:12" s="3" customFormat="1" ht="14.25" customHeight="1" x14ac:dyDescent="0.2">
      <c r="A24" s="17" t="s">
        <v>18</v>
      </c>
      <c r="B24" s="8" t="s">
        <v>57</v>
      </c>
      <c r="C24" s="8" t="s">
        <v>57</v>
      </c>
      <c r="D24" s="8">
        <f t="shared" ref="D24:E24" si="11">SUM(D25:D29)</f>
        <v>0</v>
      </c>
      <c r="E24" s="12">
        <f t="shared" si="11"/>
        <v>0</v>
      </c>
      <c r="F24" s="8" t="s">
        <v>57</v>
      </c>
      <c r="G24" s="8" t="s">
        <v>57</v>
      </c>
      <c r="H24" s="8" t="s">
        <v>57</v>
      </c>
      <c r="I24" s="8" t="s">
        <v>57</v>
      </c>
      <c r="J24" s="16"/>
      <c r="K24" s="16"/>
      <c r="L24" s="16"/>
    </row>
    <row r="25" spans="1:12" s="3" customFormat="1" ht="14.25" customHeight="1" x14ac:dyDescent="0.2">
      <c r="A25" s="17"/>
      <c r="B25" s="8"/>
      <c r="C25" s="8"/>
      <c r="D25" s="8"/>
      <c r="E25" s="8"/>
      <c r="F25" s="8"/>
      <c r="G25" s="8"/>
      <c r="H25" s="8"/>
      <c r="I25" s="8"/>
      <c r="J25" s="16"/>
      <c r="K25" s="16"/>
      <c r="L25" s="16"/>
    </row>
    <row r="26" spans="1:12" s="3" customFormat="1" ht="14.25" customHeight="1" x14ac:dyDescent="0.2">
      <c r="A26" s="11" t="s">
        <v>19</v>
      </c>
      <c r="B26" s="10">
        <f t="shared" ref="B26:H26" si="12">SUM(B27:B28)</f>
        <v>32.668301999999997</v>
      </c>
      <c r="C26" s="12">
        <f>SUM(C27:C28)</f>
        <v>7.1360210000000004</v>
      </c>
      <c r="D26" s="12">
        <f t="shared" si="12"/>
        <v>0</v>
      </c>
      <c r="E26" s="12">
        <f t="shared" si="12"/>
        <v>0</v>
      </c>
      <c r="F26" s="12">
        <f t="shared" si="12"/>
        <v>0</v>
      </c>
      <c r="G26" s="12">
        <f t="shared" si="12"/>
        <v>0</v>
      </c>
      <c r="H26" s="12">
        <f t="shared" si="12"/>
        <v>0</v>
      </c>
      <c r="I26" s="12">
        <f t="shared" ref="I26" si="13">SUM(I27:I28)</f>
        <v>0</v>
      </c>
      <c r="J26" s="13"/>
      <c r="K26" s="13"/>
      <c r="L26" s="13"/>
    </row>
    <row r="27" spans="1:12" s="3" customFormat="1" ht="14.25" customHeight="1" x14ac:dyDescent="0.2">
      <c r="A27" s="14" t="s">
        <v>20</v>
      </c>
      <c r="B27" s="8">
        <v>32.668301999999997</v>
      </c>
      <c r="C27" s="8">
        <v>7.1360210000000004</v>
      </c>
      <c r="D27" s="8" t="s">
        <v>57</v>
      </c>
      <c r="E27" s="8" t="s">
        <v>57</v>
      </c>
      <c r="F27" s="8" t="s">
        <v>57</v>
      </c>
      <c r="G27" s="8" t="s">
        <v>57</v>
      </c>
      <c r="H27" s="8" t="s">
        <v>57</v>
      </c>
      <c r="I27" s="8" t="s">
        <v>57</v>
      </c>
      <c r="J27" s="16"/>
      <c r="K27" s="16"/>
      <c r="L27" s="16"/>
    </row>
    <row r="28" spans="1:12" s="3" customFormat="1" ht="14.25" customHeight="1" x14ac:dyDescent="0.2">
      <c r="A28" s="14" t="s">
        <v>21</v>
      </c>
      <c r="B28" s="15" t="s">
        <v>57</v>
      </c>
      <c r="C28" s="8">
        <v>0</v>
      </c>
      <c r="D28" s="8" t="s">
        <v>57</v>
      </c>
      <c r="E28" s="8" t="s">
        <v>57</v>
      </c>
      <c r="F28" s="8" t="s">
        <v>57</v>
      </c>
      <c r="G28" s="8" t="s">
        <v>57</v>
      </c>
      <c r="H28" s="8" t="s">
        <v>57</v>
      </c>
      <c r="I28" s="8" t="s">
        <v>57</v>
      </c>
      <c r="J28" s="16"/>
      <c r="K28" s="16"/>
      <c r="L28" s="16"/>
    </row>
    <row r="29" spans="1:12" s="3" customFormat="1" ht="14.25" customHeight="1" x14ac:dyDescent="0.2">
      <c r="A29" s="14"/>
      <c r="B29" s="8"/>
      <c r="C29" s="8"/>
      <c r="D29" s="8"/>
      <c r="E29" s="8"/>
      <c r="F29" s="8"/>
      <c r="G29" s="8"/>
      <c r="H29" s="8"/>
      <c r="I29" s="8"/>
      <c r="J29" s="16"/>
      <c r="K29" s="16"/>
      <c r="L29" s="16"/>
    </row>
    <row r="30" spans="1:12" s="3" customFormat="1" ht="14.25" customHeight="1" x14ac:dyDescent="0.2">
      <c r="A30" s="11" t="s">
        <v>22</v>
      </c>
      <c r="B30" s="10">
        <f t="shared" ref="B30:I30" si="14">SUM(B31)</f>
        <v>0.482072</v>
      </c>
      <c r="C30" s="12">
        <f t="shared" si="14"/>
        <v>49.063294999999997</v>
      </c>
      <c r="D30" s="12">
        <f t="shared" si="14"/>
        <v>66.525672</v>
      </c>
      <c r="E30" s="12">
        <f t="shared" si="14"/>
        <v>52.931077999999999</v>
      </c>
      <c r="F30" s="12">
        <f t="shared" si="14"/>
        <v>102.08812500000001</v>
      </c>
      <c r="G30" s="12">
        <f t="shared" si="14"/>
        <v>0</v>
      </c>
      <c r="H30" s="12">
        <f t="shared" si="14"/>
        <v>0</v>
      </c>
      <c r="I30" s="12">
        <f t="shared" si="14"/>
        <v>0</v>
      </c>
      <c r="J30" s="13"/>
      <c r="K30" s="13"/>
      <c r="L30" s="13"/>
    </row>
    <row r="31" spans="1:12" s="3" customFormat="1" ht="14.25" customHeight="1" x14ac:dyDescent="0.2">
      <c r="A31" s="14" t="s">
        <v>23</v>
      </c>
      <c r="B31" s="8">
        <v>0.482072</v>
      </c>
      <c r="C31" s="8">
        <v>49.063294999999997</v>
      </c>
      <c r="D31" s="8">
        <v>66.525672</v>
      </c>
      <c r="E31" s="8">
        <v>52.931077999999999</v>
      </c>
      <c r="F31" s="8">
        <v>102.08812500000001</v>
      </c>
      <c r="G31" s="8" t="s">
        <v>57</v>
      </c>
      <c r="H31" s="8" t="s">
        <v>57</v>
      </c>
      <c r="I31" s="8" t="s">
        <v>57</v>
      </c>
      <c r="J31" s="16"/>
      <c r="K31" s="16"/>
      <c r="L31" s="16"/>
    </row>
    <row r="32" spans="1:12" s="3" customFormat="1" ht="14.25" customHeight="1" x14ac:dyDescent="0.2">
      <c r="A32" s="14"/>
      <c r="B32" s="8"/>
      <c r="C32" s="8"/>
      <c r="D32" s="8"/>
      <c r="E32" s="8"/>
      <c r="F32" s="8"/>
      <c r="G32" s="8"/>
      <c r="H32" s="8"/>
      <c r="I32" s="8"/>
      <c r="J32" s="16"/>
      <c r="K32" s="16"/>
      <c r="L32" s="16"/>
    </row>
    <row r="33" spans="1:12" s="3" customFormat="1" ht="14.25" customHeight="1" x14ac:dyDescent="0.2">
      <c r="A33" s="11" t="s">
        <v>24</v>
      </c>
      <c r="B33" s="10">
        <f t="shared" ref="B33:H33" si="15">SUM(B34:B39)</f>
        <v>114.40424900000001</v>
      </c>
      <c r="C33" s="12">
        <f>SUM(C34:C39)</f>
        <v>86.079061999999993</v>
      </c>
      <c r="D33" s="12">
        <f t="shared" si="15"/>
        <v>59.978202999999993</v>
      </c>
      <c r="E33" s="12">
        <f t="shared" si="15"/>
        <v>0</v>
      </c>
      <c r="F33" s="12">
        <f t="shared" si="15"/>
        <v>2.2551000000000002E-2</v>
      </c>
      <c r="G33" s="12">
        <f t="shared" si="15"/>
        <v>0</v>
      </c>
      <c r="H33" s="12">
        <f t="shared" si="15"/>
        <v>0</v>
      </c>
      <c r="I33" s="12">
        <f t="shared" ref="I33" si="16">SUM(I34:I39)</f>
        <v>0</v>
      </c>
      <c r="J33" s="16"/>
      <c r="K33" s="16"/>
      <c r="L33" s="16"/>
    </row>
    <row r="34" spans="1:12" s="3" customFormat="1" ht="14.25" customHeight="1" x14ac:dyDescent="0.2">
      <c r="A34" s="14" t="s">
        <v>25</v>
      </c>
      <c r="B34" s="8">
        <v>47.196472</v>
      </c>
      <c r="C34" s="8">
        <v>0</v>
      </c>
      <c r="D34" s="8">
        <v>0</v>
      </c>
      <c r="E34" s="8" t="s">
        <v>57</v>
      </c>
      <c r="F34" s="8" t="s">
        <v>57</v>
      </c>
      <c r="G34" s="8" t="s">
        <v>57</v>
      </c>
      <c r="H34" s="8" t="s">
        <v>57</v>
      </c>
      <c r="I34" s="8" t="s">
        <v>57</v>
      </c>
      <c r="J34" s="16"/>
      <c r="K34" s="16"/>
      <c r="L34" s="16"/>
    </row>
    <row r="35" spans="1:12" s="3" customFormat="1" ht="14.25" customHeight="1" x14ac:dyDescent="0.2">
      <c r="A35" s="14" t="s">
        <v>26</v>
      </c>
      <c r="B35" s="8">
        <v>27.064851000000001</v>
      </c>
      <c r="C35" s="8">
        <v>18.497710999999999</v>
      </c>
      <c r="D35" s="8">
        <v>0</v>
      </c>
      <c r="E35" s="8" t="s">
        <v>57</v>
      </c>
      <c r="F35" s="8" t="s">
        <v>57</v>
      </c>
      <c r="G35" s="8" t="s">
        <v>57</v>
      </c>
      <c r="H35" s="8" t="s">
        <v>57</v>
      </c>
      <c r="I35" s="8" t="s">
        <v>57</v>
      </c>
      <c r="J35" s="16"/>
      <c r="K35" s="16"/>
      <c r="L35" s="16"/>
    </row>
    <row r="36" spans="1:12" s="3" customFormat="1" ht="14.25" customHeight="1" x14ac:dyDescent="0.2">
      <c r="A36" s="14" t="s">
        <v>27</v>
      </c>
      <c r="B36" s="8">
        <v>16.562859</v>
      </c>
      <c r="C36" s="8">
        <v>56.438654999999997</v>
      </c>
      <c r="D36" s="8">
        <v>49.712792999999998</v>
      </c>
      <c r="E36" s="8" t="s">
        <v>57</v>
      </c>
      <c r="F36" s="8" t="s">
        <v>57</v>
      </c>
      <c r="G36" s="8" t="s">
        <v>57</v>
      </c>
      <c r="H36" s="8" t="s">
        <v>57</v>
      </c>
      <c r="I36" s="8" t="s">
        <v>57</v>
      </c>
      <c r="J36" s="16"/>
      <c r="K36" s="16"/>
      <c r="L36" s="16"/>
    </row>
    <row r="37" spans="1:12" s="3" customFormat="1" ht="14.25" customHeight="1" x14ac:dyDescent="0.2">
      <c r="A37" s="14" t="s">
        <v>28</v>
      </c>
      <c r="B37" s="8">
        <v>23.580067</v>
      </c>
      <c r="C37" s="8">
        <v>11.142696000000001</v>
      </c>
      <c r="D37" s="8">
        <v>10.265409999999999</v>
      </c>
      <c r="E37" s="8" t="s">
        <v>57</v>
      </c>
      <c r="F37" s="8">
        <v>2.2551000000000002E-2</v>
      </c>
      <c r="G37" s="8" t="s">
        <v>57</v>
      </c>
      <c r="H37" s="8" t="s">
        <v>57</v>
      </c>
      <c r="I37" s="8" t="s">
        <v>57</v>
      </c>
      <c r="J37" s="16"/>
      <c r="K37" s="16"/>
      <c r="L37" s="16"/>
    </row>
    <row r="38" spans="1:12" s="3" customFormat="1" ht="14.25" customHeight="1" x14ac:dyDescent="0.2">
      <c r="A38" s="14" t="s">
        <v>20</v>
      </c>
      <c r="B38" s="8">
        <v>0</v>
      </c>
      <c r="C38" s="8" t="s">
        <v>57</v>
      </c>
      <c r="D38" s="8" t="s">
        <v>57</v>
      </c>
      <c r="E38" s="8" t="s">
        <v>57</v>
      </c>
      <c r="F38" s="8" t="s">
        <v>57</v>
      </c>
      <c r="G38" s="8" t="s">
        <v>57</v>
      </c>
      <c r="H38" s="8" t="s">
        <v>57</v>
      </c>
      <c r="I38" s="8" t="s">
        <v>57</v>
      </c>
      <c r="J38" s="16"/>
      <c r="K38" s="16"/>
      <c r="L38" s="16"/>
    </row>
    <row r="39" spans="1:12" s="3" customFormat="1" ht="14.25" customHeight="1" x14ac:dyDescent="0.2">
      <c r="A39" s="14" t="s">
        <v>29</v>
      </c>
      <c r="B39" s="8">
        <v>0</v>
      </c>
      <c r="C39" s="8" t="s">
        <v>57</v>
      </c>
      <c r="D39" s="8" t="s">
        <v>57</v>
      </c>
      <c r="E39" s="8" t="s">
        <v>57</v>
      </c>
      <c r="F39" s="8" t="s">
        <v>57</v>
      </c>
      <c r="G39" s="8" t="s">
        <v>57</v>
      </c>
      <c r="H39" s="8" t="s">
        <v>57</v>
      </c>
      <c r="I39" s="8" t="s">
        <v>57</v>
      </c>
      <c r="J39" s="16"/>
      <c r="K39" s="16"/>
      <c r="L39" s="16"/>
    </row>
    <row r="40" spans="1:12" s="3" customFormat="1" ht="14.25" customHeight="1" x14ac:dyDescent="0.2">
      <c r="A40" s="14"/>
      <c r="B40" s="8"/>
      <c r="C40" s="8"/>
      <c r="D40" s="8"/>
      <c r="E40" s="8"/>
      <c r="F40" s="8"/>
      <c r="G40" s="8"/>
      <c r="H40" s="8"/>
      <c r="I40" s="8"/>
      <c r="J40" s="16"/>
      <c r="K40" s="16"/>
      <c r="L40" s="16"/>
    </row>
    <row r="41" spans="1:12" s="3" customFormat="1" ht="14.25" customHeight="1" x14ac:dyDescent="0.2">
      <c r="A41" s="11" t="s">
        <v>30</v>
      </c>
      <c r="B41" s="10">
        <f t="shared" ref="B41" si="17">SUM(B42:B44)</f>
        <v>26.341757999999999</v>
      </c>
      <c r="C41" s="12">
        <f>SUM(C42:C45)</f>
        <v>18.887602999999999</v>
      </c>
      <c r="D41" s="12">
        <f t="shared" ref="D41:I41" si="18">SUM(D42:D45)</f>
        <v>2.7029269999999999</v>
      </c>
      <c r="E41" s="12">
        <f t="shared" si="18"/>
        <v>5.7226840000000001</v>
      </c>
      <c r="F41" s="12">
        <f t="shared" si="18"/>
        <v>14.547447</v>
      </c>
      <c r="G41" s="12">
        <f t="shared" si="18"/>
        <v>9.0279659999999993</v>
      </c>
      <c r="H41" s="12">
        <f t="shared" si="18"/>
        <v>0</v>
      </c>
      <c r="I41" s="12">
        <f t="shared" si="18"/>
        <v>0</v>
      </c>
      <c r="J41" s="16"/>
      <c r="K41" s="16"/>
      <c r="L41" s="16"/>
    </row>
    <row r="42" spans="1:12" s="3" customFormat="1" ht="14.25" customHeight="1" x14ac:dyDescent="0.2">
      <c r="A42" s="14" t="s">
        <v>31</v>
      </c>
      <c r="B42" s="8">
        <v>12.119864</v>
      </c>
      <c r="C42" s="8">
        <v>5.4513499999999999E-2</v>
      </c>
      <c r="D42" s="8" t="s">
        <v>57</v>
      </c>
      <c r="E42" s="8" t="s">
        <v>57</v>
      </c>
      <c r="F42" s="8" t="s">
        <v>57</v>
      </c>
      <c r="G42" s="8" t="s">
        <v>57</v>
      </c>
      <c r="H42" s="8" t="s">
        <v>57</v>
      </c>
      <c r="I42" s="8" t="s">
        <v>57</v>
      </c>
      <c r="J42" s="16"/>
      <c r="K42" s="16"/>
      <c r="L42" s="16"/>
    </row>
    <row r="43" spans="1:12" s="3" customFormat="1" ht="14.25" customHeight="1" x14ac:dyDescent="0.2">
      <c r="A43" s="17" t="s">
        <v>31</v>
      </c>
      <c r="B43" s="8">
        <v>14.221894000000001</v>
      </c>
      <c r="C43" s="8">
        <v>14.6449775</v>
      </c>
      <c r="D43" s="8">
        <v>0</v>
      </c>
      <c r="E43" s="8">
        <v>1.71305</v>
      </c>
      <c r="F43" s="8" t="s">
        <v>57</v>
      </c>
      <c r="G43" s="8" t="s">
        <v>57</v>
      </c>
      <c r="H43" s="8" t="s">
        <v>57</v>
      </c>
      <c r="I43" s="8" t="s">
        <v>57</v>
      </c>
      <c r="J43" s="16"/>
      <c r="K43" s="16"/>
      <c r="L43" s="16"/>
    </row>
    <row r="44" spans="1:12" s="3" customFormat="1" ht="14.25" customHeight="1" x14ac:dyDescent="0.2">
      <c r="A44" s="14" t="s">
        <v>32</v>
      </c>
      <c r="B44" s="8">
        <v>0</v>
      </c>
      <c r="C44" s="8">
        <v>4.1881120000000003</v>
      </c>
      <c r="D44" s="8">
        <v>2.7029269999999999</v>
      </c>
      <c r="E44" s="8">
        <v>4.0096340000000001</v>
      </c>
      <c r="F44" s="8">
        <v>14.547447</v>
      </c>
      <c r="G44" s="8">
        <v>9.0279659999999993</v>
      </c>
      <c r="H44" s="8" t="s">
        <v>57</v>
      </c>
      <c r="I44" s="8" t="s">
        <v>57</v>
      </c>
      <c r="J44" s="16"/>
      <c r="K44" s="16"/>
      <c r="L44" s="16"/>
    </row>
    <row r="45" spans="1:12" s="3" customFormat="1" ht="14.25" customHeight="1" x14ac:dyDescent="0.2">
      <c r="A45" s="14" t="s">
        <v>96</v>
      </c>
      <c r="B45" s="8"/>
      <c r="C45" s="8"/>
      <c r="D45" s="8"/>
      <c r="E45" s="8" t="s">
        <v>57</v>
      </c>
      <c r="F45" s="8" t="s">
        <v>57</v>
      </c>
      <c r="G45" s="8" t="s">
        <v>57</v>
      </c>
      <c r="H45" s="8" t="s">
        <v>57</v>
      </c>
      <c r="I45" s="8" t="s">
        <v>57</v>
      </c>
      <c r="J45" s="16"/>
      <c r="K45" s="16"/>
      <c r="L45" s="16"/>
    </row>
    <row r="46" spans="1:12" s="3" customFormat="1" ht="14.25" customHeight="1" x14ac:dyDescent="0.2">
      <c r="A46" s="14"/>
      <c r="B46" s="8"/>
      <c r="C46" s="8"/>
      <c r="D46" s="8"/>
      <c r="E46" s="8"/>
      <c r="F46" s="8"/>
      <c r="G46" s="8"/>
      <c r="H46" s="8"/>
      <c r="I46" s="8"/>
      <c r="J46" s="16"/>
      <c r="K46" s="16"/>
      <c r="L46" s="16"/>
    </row>
    <row r="47" spans="1:12" s="3" customFormat="1" ht="14.25" customHeight="1" x14ac:dyDescent="0.2">
      <c r="A47" s="11" t="s">
        <v>33</v>
      </c>
      <c r="B47" s="12">
        <f t="shared" ref="B47" si="19">SUM(B48:B63)</f>
        <v>86.673029999999997</v>
      </c>
      <c r="C47" s="12">
        <f>SUM(C48:C64)</f>
        <v>82.244337999999999</v>
      </c>
      <c r="D47" s="12">
        <f t="shared" ref="D47:I47" si="20">SUM(D48:D64)</f>
        <v>30.346392999999999</v>
      </c>
      <c r="E47" s="12">
        <f t="shared" si="20"/>
        <v>11.611944999999999</v>
      </c>
      <c r="F47" s="12">
        <f t="shared" si="20"/>
        <v>8.2537099999999999</v>
      </c>
      <c r="G47" s="12">
        <f t="shared" si="20"/>
        <v>171.56644200000002</v>
      </c>
      <c r="H47" s="12">
        <f t="shared" si="20"/>
        <v>272.89846199999999</v>
      </c>
      <c r="I47" s="12">
        <f t="shared" si="20"/>
        <v>404.93335100000002</v>
      </c>
      <c r="J47" s="16"/>
      <c r="K47" s="16"/>
      <c r="L47" s="16"/>
    </row>
    <row r="48" spans="1:12" s="3" customFormat="1" ht="14.25" customHeight="1" x14ac:dyDescent="0.2">
      <c r="A48" s="14" t="s">
        <v>34</v>
      </c>
      <c r="B48" s="8" t="s">
        <v>57</v>
      </c>
      <c r="C48" s="8" t="s">
        <v>57</v>
      </c>
      <c r="D48" s="8" t="s">
        <v>57</v>
      </c>
      <c r="E48" s="8" t="s">
        <v>57</v>
      </c>
      <c r="F48" s="8" t="s">
        <v>57</v>
      </c>
      <c r="G48" s="8" t="s">
        <v>57</v>
      </c>
      <c r="H48" s="8" t="s">
        <v>57</v>
      </c>
      <c r="I48" s="8" t="s">
        <v>57</v>
      </c>
      <c r="J48" s="16"/>
      <c r="K48" s="16"/>
      <c r="L48" s="16"/>
    </row>
    <row r="49" spans="1:12" ht="14.25" customHeight="1" x14ac:dyDescent="0.2">
      <c r="A49" s="14" t="s">
        <v>35</v>
      </c>
      <c r="B49" s="8">
        <v>20.308920000000001</v>
      </c>
      <c r="C49" s="8" t="s">
        <v>57</v>
      </c>
      <c r="D49" s="8" t="s">
        <v>57</v>
      </c>
      <c r="E49" s="8" t="s">
        <v>57</v>
      </c>
      <c r="F49" s="8" t="s">
        <v>57</v>
      </c>
      <c r="G49" s="8" t="s">
        <v>57</v>
      </c>
      <c r="H49" s="8" t="s">
        <v>57</v>
      </c>
      <c r="I49" s="8" t="s">
        <v>57</v>
      </c>
      <c r="J49" s="16"/>
      <c r="K49" s="16"/>
      <c r="L49" s="16"/>
    </row>
    <row r="50" spans="1:12" ht="14.25" customHeight="1" x14ac:dyDescent="0.2">
      <c r="A50" s="14" t="s">
        <v>36</v>
      </c>
      <c r="B50" s="8">
        <v>35.039594999999998</v>
      </c>
      <c r="C50" s="8">
        <v>22.579273000000001</v>
      </c>
      <c r="D50" s="8">
        <v>0.46817999999999999</v>
      </c>
      <c r="E50" s="8" t="s">
        <v>57</v>
      </c>
      <c r="F50" s="8" t="s">
        <v>57</v>
      </c>
      <c r="G50" s="8" t="s">
        <v>57</v>
      </c>
      <c r="H50" s="8" t="s">
        <v>57</v>
      </c>
      <c r="I50" s="8" t="s">
        <v>57</v>
      </c>
      <c r="J50" s="16"/>
      <c r="K50" s="16"/>
      <c r="L50" s="16"/>
    </row>
    <row r="51" spans="1:12" ht="14.25" customHeight="1" x14ac:dyDescent="0.2">
      <c r="A51" s="17" t="s">
        <v>37</v>
      </c>
      <c r="B51" s="8">
        <v>31.324515000000002</v>
      </c>
      <c r="C51" s="8">
        <v>59.665064999999998</v>
      </c>
      <c r="D51" s="8">
        <v>29.878212999999999</v>
      </c>
      <c r="E51" s="8" t="s">
        <v>57</v>
      </c>
      <c r="F51" s="8" t="s">
        <v>57</v>
      </c>
      <c r="G51" s="8" t="s">
        <v>57</v>
      </c>
      <c r="H51" s="8" t="s">
        <v>57</v>
      </c>
      <c r="I51" s="8" t="s">
        <v>57</v>
      </c>
      <c r="J51" s="16"/>
      <c r="K51" s="16"/>
      <c r="L51" s="16"/>
    </row>
    <row r="52" spans="1:12" ht="14.25" customHeight="1" x14ac:dyDescent="0.2">
      <c r="A52" s="14" t="s">
        <v>38</v>
      </c>
      <c r="B52" s="15" t="s">
        <v>57</v>
      </c>
      <c r="C52" s="15" t="s">
        <v>57</v>
      </c>
      <c r="D52" s="15" t="s">
        <v>57</v>
      </c>
      <c r="E52" s="8">
        <v>0.27332400000000001</v>
      </c>
      <c r="F52" s="8">
        <v>0.18038699999999999</v>
      </c>
      <c r="G52" s="8">
        <v>56.345621000000001</v>
      </c>
      <c r="H52" s="8" t="s">
        <v>57</v>
      </c>
      <c r="I52" s="8" t="s">
        <v>57</v>
      </c>
      <c r="J52" s="16"/>
      <c r="K52" s="16"/>
      <c r="L52" s="16"/>
    </row>
    <row r="53" spans="1:12" ht="14.25" customHeight="1" x14ac:dyDescent="0.2">
      <c r="A53" s="17" t="s">
        <v>39</v>
      </c>
      <c r="B53" s="15" t="s">
        <v>57</v>
      </c>
      <c r="C53" s="15" t="s">
        <v>57</v>
      </c>
      <c r="D53" s="15" t="s">
        <v>57</v>
      </c>
      <c r="E53" s="8">
        <v>6.2303629999999997</v>
      </c>
      <c r="F53" s="8" t="s">
        <v>57</v>
      </c>
      <c r="G53" s="8">
        <v>28.643076000000001</v>
      </c>
      <c r="H53" s="8">
        <v>50.125382000000002</v>
      </c>
      <c r="I53" s="8">
        <v>64.446920000000006</v>
      </c>
      <c r="J53" s="16"/>
      <c r="K53" s="16"/>
      <c r="L53" s="16"/>
    </row>
    <row r="54" spans="1:12" ht="14.25" customHeight="1" x14ac:dyDescent="0.2">
      <c r="A54" s="14" t="s">
        <v>40</v>
      </c>
      <c r="B54" s="15" t="s">
        <v>57</v>
      </c>
      <c r="C54" s="15" t="s">
        <v>57</v>
      </c>
      <c r="D54" s="15" t="s">
        <v>57</v>
      </c>
      <c r="E54" s="8" t="s">
        <v>57</v>
      </c>
      <c r="F54" s="8" t="s">
        <v>57</v>
      </c>
      <c r="G54" s="8" t="s">
        <v>57</v>
      </c>
      <c r="H54" s="8" t="s">
        <v>57</v>
      </c>
      <c r="I54" s="8" t="s">
        <v>57</v>
      </c>
      <c r="J54" s="16"/>
      <c r="K54" s="16"/>
      <c r="L54" s="16"/>
    </row>
    <row r="55" spans="1:12" ht="14.25" customHeight="1" x14ac:dyDescent="0.2">
      <c r="A55" s="14" t="s">
        <v>41</v>
      </c>
      <c r="B55" s="15" t="s">
        <v>57</v>
      </c>
      <c r="C55" s="15" t="s">
        <v>57</v>
      </c>
      <c r="D55" s="15" t="s">
        <v>57</v>
      </c>
      <c r="E55" s="8" t="s">
        <v>57</v>
      </c>
      <c r="F55" s="8" t="s">
        <v>57</v>
      </c>
      <c r="G55" s="8" t="s">
        <v>57</v>
      </c>
      <c r="H55" s="8" t="s">
        <v>57</v>
      </c>
      <c r="I55" s="8" t="s">
        <v>57</v>
      </c>
      <c r="J55" s="16"/>
      <c r="K55" s="16"/>
      <c r="L55" s="16"/>
    </row>
    <row r="56" spans="1:12" ht="14.25" customHeight="1" x14ac:dyDescent="0.2">
      <c r="A56" s="14" t="s">
        <v>42</v>
      </c>
      <c r="B56" s="15" t="s">
        <v>57</v>
      </c>
      <c r="C56" s="15" t="s">
        <v>57</v>
      </c>
      <c r="D56" s="15" t="s">
        <v>57</v>
      </c>
      <c r="E56" s="8" t="s">
        <v>57</v>
      </c>
      <c r="F56" s="8" t="s">
        <v>57</v>
      </c>
      <c r="G56" s="8" t="s">
        <v>57</v>
      </c>
      <c r="H56" s="8" t="s">
        <v>57</v>
      </c>
      <c r="I56" s="8" t="s">
        <v>57</v>
      </c>
      <c r="J56" s="16"/>
      <c r="K56" s="16"/>
      <c r="L56" s="16"/>
    </row>
    <row r="57" spans="1:12" ht="14.25" customHeight="1" x14ac:dyDescent="0.2">
      <c r="A57" s="17" t="s">
        <v>43</v>
      </c>
      <c r="B57" s="15" t="s">
        <v>57</v>
      </c>
      <c r="C57" s="15" t="s">
        <v>57</v>
      </c>
      <c r="D57" s="15" t="s">
        <v>57</v>
      </c>
      <c r="E57" s="8" t="s">
        <v>57</v>
      </c>
      <c r="F57" s="8" t="s">
        <v>57</v>
      </c>
      <c r="G57" s="8" t="s">
        <v>57</v>
      </c>
      <c r="H57" s="8" t="s">
        <v>57</v>
      </c>
      <c r="I57" s="8" t="s">
        <v>57</v>
      </c>
      <c r="J57" s="16"/>
      <c r="K57" s="16"/>
      <c r="L57" s="16"/>
    </row>
    <row r="58" spans="1:12" ht="14.25" customHeight="1" x14ac:dyDescent="0.2">
      <c r="A58" s="14" t="s">
        <v>44</v>
      </c>
      <c r="B58" s="15" t="s">
        <v>57</v>
      </c>
      <c r="C58" s="15" t="s">
        <v>57</v>
      </c>
      <c r="D58" s="15" t="s">
        <v>57</v>
      </c>
      <c r="E58" s="8" t="s">
        <v>57</v>
      </c>
      <c r="F58" s="8" t="s">
        <v>57</v>
      </c>
      <c r="G58" s="8" t="s">
        <v>57</v>
      </c>
      <c r="H58" s="8" t="s">
        <v>57</v>
      </c>
      <c r="I58" s="8" t="s">
        <v>57</v>
      </c>
      <c r="J58" s="16"/>
      <c r="K58" s="16"/>
      <c r="L58" s="16"/>
    </row>
    <row r="59" spans="1:12" ht="14.25" customHeight="1" x14ac:dyDescent="0.2">
      <c r="A59" s="14" t="s">
        <v>97</v>
      </c>
      <c r="B59" s="15" t="s">
        <v>57</v>
      </c>
      <c r="C59" s="15" t="s">
        <v>57</v>
      </c>
      <c r="D59" s="15" t="s">
        <v>57</v>
      </c>
      <c r="E59" s="8">
        <v>5.1082580000000002</v>
      </c>
      <c r="F59" s="8">
        <v>5.5035429999999996</v>
      </c>
      <c r="G59" s="8">
        <v>16.510626999999999</v>
      </c>
      <c r="H59" s="8">
        <v>33.021254999999996</v>
      </c>
      <c r="I59" s="8">
        <v>33.021254999999996</v>
      </c>
      <c r="J59" s="16"/>
      <c r="K59" s="16"/>
      <c r="L59" s="16"/>
    </row>
    <row r="60" spans="1:12" ht="14.25" customHeight="1" x14ac:dyDescent="0.2">
      <c r="A60" s="14" t="s">
        <v>45</v>
      </c>
      <c r="B60" s="15" t="s">
        <v>57</v>
      </c>
      <c r="C60" s="15" t="s">
        <v>57</v>
      </c>
      <c r="D60" s="15" t="s">
        <v>57</v>
      </c>
      <c r="E60" s="8" t="s">
        <v>57</v>
      </c>
      <c r="F60" s="8" t="s">
        <v>57</v>
      </c>
      <c r="G60" s="8">
        <v>36.984000000000002</v>
      </c>
      <c r="H60" s="8">
        <v>55.475999999999999</v>
      </c>
      <c r="I60" s="8">
        <v>55.475999999999999</v>
      </c>
      <c r="J60" s="16"/>
      <c r="K60" s="16"/>
      <c r="L60" s="16"/>
    </row>
    <row r="61" spans="1:12" ht="14.25" customHeight="1" x14ac:dyDescent="0.2">
      <c r="A61" s="14" t="s">
        <v>46</v>
      </c>
      <c r="B61" s="15" t="s">
        <v>57</v>
      </c>
      <c r="C61" s="15" t="s">
        <v>57</v>
      </c>
      <c r="D61" s="15" t="s">
        <v>57</v>
      </c>
      <c r="E61" s="8" t="s">
        <v>57</v>
      </c>
      <c r="F61" s="8" t="s">
        <v>57</v>
      </c>
      <c r="G61" s="8">
        <v>17.664441</v>
      </c>
      <c r="H61" s="8">
        <v>23.552588</v>
      </c>
      <c r="I61" s="8">
        <v>72.983870999999994</v>
      </c>
      <c r="J61" s="16"/>
      <c r="K61" s="16"/>
      <c r="L61" s="16"/>
    </row>
    <row r="62" spans="1:12" ht="14.25" customHeight="1" x14ac:dyDescent="0.2">
      <c r="A62" s="14" t="s">
        <v>98</v>
      </c>
      <c r="B62" s="15" t="s">
        <v>57</v>
      </c>
      <c r="C62" s="15" t="s">
        <v>57</v>
      </c>
      <c r="D62" s="15" t="s">
        <v>57</v>
      </c>
      <c r="E62" s="8" t="s">
        <v>57</v>
      </c>
      <c r="F62" s="8">
        <v>2.5697800000000002</v>
      </c>
      <c r="G62" s="8">
        <v>15.418677000000001</v>
      </c>
      <c r="H62" s="8">
        <v>20.558236999999998</v>
      </c>
      <c r="I62" s="8">
        <v>61.135305000000002</v>
      </c>
      <c r="J62" s="16"/>
      <c r="K62" s="16"/>
      <c r="L62" s="16"/>
    </row>
    <row r="63" spans="1:12" ht="13.5" customHeight="1" x14ac:dyDescent="0.2">
      <c r="A63" s="14" t="s">
        <v>86</v>
      </c>
      <c r="B63" s="15" t="s">
        <v>57</v>
      </c>
      <c r="C63" s="15" t="s">
        <v>57</v>
      </c>
      <c r="D63" s="15" t="s">
        <v>57</v>
      </c>
      <c r="E63" s="8" t="s">
        <v>57</v>
      </c>
      <c r="F63" s="8" t="s">
        <v>57</v>
      </c>
      <c r="G63" s="8" t="s">
        <v>57</v>
      </c>
      <c r="H63" s="8">
        <v>23.114999999999998</v>
      </c>
      <c r="I63" s="8">
        <v>30.82</v>
      </c>
      <c r="J63" s="16"/>
      <c r="K63" s="16"/>
      <c r="L63" s="16"/>
    </row>
    <row r="64" spans="1:12" ht="13.5" customHeight="1" x14ac:dyDescent="0.2">
      <c r="A64" s="14" t="s">
        <v>99</v>
      </c>
      <c r="B64" s="15"/>
      <c r="C64" s="15"/>
      <c r="D64" s="15"/>
      <c r="E64" s="8" t="s">
        <v>57</v>
      </c>
      <c r="F64" s="8" t="s">
        <v>57</v>
      </c>
      <c r="G64" s="8" t="s">
        <v>57</v>
      </c>
      <c r="H64" s="8">
        <v>67.05</v>
      </c>
      <c r="I64" s="8">
        <v>87.05</v>
      </c>
      <c r="J64" s="16"/>
      <c r="K64" s="16"/>
      <c r="L64" s="16"/>
    </row>
    <row r="65" spans="1:12" ht="13.5" customHeight="1" x14ac:dyDescent="0.2">
      <c r="A65" s="14"/>
      <c r="B65" s="8"/>
      <c r="C65" s="8"/>
      <c r="D65" s="8"/>
      <c r="E65" s="8"/>
      <c r="F65" s="8"/>
      <c r="G65" s="8"/>
      <c r="H65" s="8"/>
      <c r="I65" s="8"/>
      <c r="J65" s="16"/>
      <c r="K65" s="16"/>
      <c r="L65" s="16"/>
    </row>
    <row r="66" spans="1:12" ht="14.25" customHeight="1" x14ac:dyDescent="0.2">
      <c r="A66" s="11" t="s">
        <v>47</v>
      </c>
      <c r="B66" s="10">
        <f t="shared" ref="B66" si="21">SUM(B67:B74)</f>
        <v>110.975019</v>
      </c>
      <c r="C66" s="12">
        <f>SUM(C67:C76)</f>
        <v>43.581213299999995</v>
      </c>
      <c r="D66" s="12">
        <f t="shared" ref="D66:I66" si="22">SUM(D67:D76)</f>
        <v>37.78454</v>
      </c>
      <c r="E66" s="12">
        <f t="shared" si="22"/>
        <v>11.569822</v>
      </c>
      <c r="F66" s="12">
        <f t="shared" si="22"/>
        <v>15.513646</v>
      </c>
      <c r="G66" s="12">
        <f t="shared" si="22"/>
        <v>18.331233999999998</v>
      </c>
      <c r="H66" s="12">
        <f t="shared" si="22"/>
        <v>44.8431</v>
      </c>
      <c r="I66" s="12">
        <f t="shared" si="22"/>
        <v>54.8431</v>
      </c>
      <c r="J66" s="16"/>
      <c r="K66" s="16"/>
      <c r="L66" s="16"/>
    </row>
    <row r="67" spans="1:12" ht="14.25" customHeight="1" x14ac:dyDescent="0.2">
      <c r="A67" s="14" t="s">
        <v>48</v>
      </c>
      <c r="B67" s="8" t="s">
        <v>57</v>
      </c>
      <c r="C67" s="8" t="s">
        <v>57</v>
      </c>
      <c r="D67" s="8" t="s">
        <v>57</v>
      </c>
      <c r="E67" s="8" t="s">
        <v>57</v>
      </c>
      <c r="F67" s="8" t="s">
        <v>57</v>
      </c>
      <c r="G67" s="8" t="s">
        <v>57</v>
      </c>
      <c r="H67" s="8" t="s">
        <v>57</v>
      </c>
      <c r="I67" s="8" t="s">
        <v>57</v>
      </c>
      <c r="J67" s="16"/>
      <c r="K67" s="16"/>
      <c r="L67" s="16"/>
    </row>
    <row r="68" spans="1:12" ht="14.25" customHeight="1" x14ac:dyDescent="0.2">
      <c r="A68" s="17" t="s">
        <v>49</v>
      </c>
      <c r="B68" s="8" t="s">
        <v>57</v>
      </c>
      <c r="C68" s="8" t="s">
        <v>57</v>
      </c>
      <c r="D68" s="8" t="s">
        <v>57</v>
      </c>
      <c r="E68" s="8" t="s">
        <v>57</v>
      </c>
      <c r="F68" s="8" t="s">
        <v>57</v>
      </c>
      <c r="G68" s="8" t="s">
        <v>57</v>
      </c>
      <c r="H68" s="8" t="s">
        <v>57</v>
      </c>
      <c r="I68" s="8" t="s">
        <v>57</v>
      </c>
      <c r="J68" s="16"/>
      <c r="K68" s="16"/>
      <c r="L68" s="16"/>
    </row>
    <row r="69" spans="1:12" ht="14.25" customHeight="1" x14ac:dyDescent="0.2">
      <c r="A69" s="14" t="s">
        <v>50</v>
      </c>
      <c r="B69" s="8">
        <v>2.4465000000000001E-2</v>
      </c>
      <c r="C69" s="8">
        <v>3.0701839999999998</v>
      </c>
      <c r="D69" s="8">
        <v>11.101946999999999</v>
      </c>
      <c r="E69" s="8" t="s">
        <v>57</v>
      </c>
      <c r="F69" s="8" t="s">
        <v>57</v>
      </c>
      <c r="G69" s="8" t="s">
        <v>57</v>
      </c>
      <c r="H69" s="8" t="s">
        <v>57</v>
      </c>
      <c r="I69" s="8" t="s">
        <v>57</v>
      </c>
      <c r="J69" s="16"/>
      <c r="K69" s="16"/>
      <c r="L69" s="16"/>
    </row>
    <row r="70" spans="1:12" ht="14.25" customHeight="1" x14ac:dyDescent="0.2">
      <c r="A70" s="14" t="s">
        <v>51</v>
      </c>
      <c r="B70" s="8">
        <v>44.064557000000001</v>
      </c>
      <c r="C70" s="8">
        <v>1.8353710000000001</v>
      </c>
      <c r="D70" s="8" t="s">
        <v>57</v>
      </c>
      <c r="E70" s="8" t="s">
        <v>57</v>
      </c>
      <c r="F70" s="8" t="s">
        <v>57</v>
      </c>
      <c r="G70" s="8" t="s">
        <v>57</v>
      </c>
      <c r="H70" s="8" t="s">
        <v>57</v>
      </c>
      <c r="I70" s="8" t="s">
        <v>57</v>
      </c>
      <c r="J70" s="16"/>
      <c r="K70" s="16"/>
      <c r="L70" s="16"/>
    </row>
    <row r="71" spans="1:12" ht="14.25" customHeight="1" x14ac:dyDescent="0.2">
      <c r="A71" s="14" t="s">
        <v>52</v>
      </c>
      <c r="B71" s="8">
        <v>24.122235</v>
      </c>
      <c r="C71" s="8">
        <v>0</v>
      </c>
      <c r="D71" s="8" t="s">
        <v>57</v>
      </c>
      <c r="E71" s="8" t="s">
        <v>57</v>
      </c>
      <c r="F71" s="8" t="s">
        <v>57</v>
      </c>
      <c r="G71" s="8" t="s">
        <v>57</v>
      </c>
      <c r="H71" s="8" t="s">
        <v>57</v>
      </c>
      <c r="I71" s="8" t="s">
        <v>57</v>
      </c>
      <c r="J71" s="16"/>
      <c r="K71" s="16"/>
      <c r="L71" s="16"/>
    </row>
    <row r="72" spans="1:12" ht="14.25" customHeight="1" x14ac:dyDescent="0.2">
      <c r="A72" s="14" t="s">
        <v>53</v>
      </c>
      <c r="B72" s="8">
        <v>42.763762</v>
      </c>
      <c r="C72" s="8">
        <v>38.675658299999995</v>
      </c>
      <c r="D72" s="8">
        <v>26.682593000000001</v>
      </c>
      <c r="E72" s="15" t="s">
        <v>57</v>
      </c>
      <c r="F72" s="15" t="s">
        <v>57</v>
      </c>
      <c r="G72" s="15" t="s">
        <v>57</v>
      </c>
      <c r="H72" s="15" t="s">
        <v>57</v>
      </c>
      <c r="I72" s="15" t="s">
        <v>57</v>
      </c>
      <c r="J72" s="16"/>
      <c r="K72" s="16"/>
      <c r="L72" s="16"/>
    </row>
    <row r="73" spans="1:12" ht="14.25" customHeight="1" x14ac:dyDescent="0.2">
      <c r="A73" s="14" t="s">
        <v>54</v>
      </c>
      <c r="B73" s="8">
        <v>0</v>
      </c>
      <c r="C73" s="8">
        <v>0</v>
      </c>
      <c r="D73" s="8" t="s">
        <v>57</v>
      </c>
      <c r="E73" s="8">
        <v>11.569822</v>
      </c>
      <c r="F73" s="8">
        <v>15.513646</v>
      </c>
      <c r="G73" s="8">
        <v>3.383534</v>
      </c>
      <c r="H73" s="15" t="s">
        <v>57</v>
      </c>
      <c r="I73" s="15" t="s">
        <v>57</v>
      </c>
      <c r="J73" s="16"/>
      <c r="K73" s="16"/>
      <c r="L73" s="16"/>
    </row>
    <row r="74" spans="1:12" ht="14.25" customHeight="1" x14ac:dyDescent="0.2">
      <c r="A74" s="14" t="s">
        <v>55</v>
      </c>
      <c r="B74" s="8">
        <v>0</v>
      </c>
      <c r="C74" s="15" t="s">
        <v>57</v>
      </c>
      <c r="D74" s="15" t="s">
        <v>57</v>
      </c>
      <c r="E74" s="15" t="s">
        <v>57</v>
      </c>
      <c r="F74" s="15" t="s">
        <v>57</v>
      </c>
      <c r="G74" s="15" t="s">
        <v>57</v>
      </c>
      <c r="H74" s="15" t="s">
        <v>57</v>
      </c>
      <c r="I74" s="15" t="s">
        <v>57</v>
      </c>
      <c r="J74" s="16"/>
      <c r="K74" s="16"/>
      <c r="L74" s="16"/>
    </row>
    <row r="75" spans="1:12" ht="14.25" customHeight="1" x14ac:dyDescent="0.2">
      <c r="A75" s="14" t="s">
        <v>100</v>
      </c>
      <c r="B75" s="8"/>
      <c r="C75" s="15"/>
      <c r="D75" s="15"/>
      <c r="E75" s="15" t="s">
        <v>57</v>
      </c>
      <c r="F75" s="15" t="s">
        <v>57</v>
      </c>
      <c r="G75" s="15">
        <v>14.947699999999999</v>
      </c>
      <c r="H75" s="15">
        <v>44.8431</v>
      </c>
      <c r="I75" s="15">
        <v>44.8431</v>
      </c>
      <c r="J75" s="16"/>
      <c r="K75" s="16"/>
      <c r="L75" s="16"/>
    </row>
    <row r="76" spans="1:12" ht="14.25" customHeight="1" x14ac:dyDescent="0.2">
      <c r="A76" s="14" t="s">
        <v>101</v>
      </c>
      <c r="B76" s="8"/>
      <c r="C76" s="15"/>
      <c r="D76" s="15"/>
      <c r="E76" s="15" t="s">
        <v>57</v>
      </c>
      <c r="F76" s="15" t="s">
        <v>57</v>
      </c>
      <c r="G76" s="15" t="s">
        <v>57</v>
      </c>
      <c r="H76" s="15"/>
      <c r="I76" s="15">
        <v>10</v>
      </c>
      <c r="J76" s="16"/>
      <c r="K76" s="16"/>
      <c r="L76" s="16"/>
    </row>
    <row r="77" spans="1:12" ht="14.25" customHeight="1" x14ac:dyDescent="0.2">
      <c r="A77" s="14"/>
      <c r="B77" s="8"/>
      <c r="C77" s="8"/>
      <c r="D77" s="8"/>
      <c r="E77" s="8"/>
      <c r="F77" s="8"/>
      <c r="G77" s="8"/>
      <c r="H77" s="8"/>
      <c r="I77" s="8"/>
      <c r="J77" s="16"/>
      <c r="K77" s="16"/>
      <c r="L77" s="16"/>
    </row>
    <row r="78" spans="1:12" ht="14.25" customHeight="1" x14ac:dyDescent="0.2">
      <c r="A78" s="11" t="s">
        <v>56</v>
      </c>
      <c r="B78" s="10">
        <f>SUM(B79:B84)</f>
        <v>10.230764000000001</v>
      </c>
      <c r="C78" s="10">
        <f>SUM(C79:C86)</f>
        <v>14.050041999999999</v>
      </c>
      <c r="D78" s="10">
        <f t="shared" ref="D78:I78" si="23">SUM(D79:D86)</f>
        <v>14.039686</v>
      </c>
      <c r="E78" s="10">
        <f t="shared" si="23"/>
        <v>15.610315</v>
      </c>
      <c r="F78" s="10">
        <f t="shared" si="23"/>
        <v>25.617621999999997</v>
      </c>
      <c r="G78" s="10">
        <f t="shared" si="23"/>
        <v>180.66976599999998</v>
      </c>
      <c r="H78" s="10">
        <f t="shared" si="23"/>
        <v>228.12406900000002</v>
      </c>
      <c r="I78" s="10">
        <f t="shared" si="23"/>
        <v>275.710149</v>
      </c>
      <c r="J78" s="16"/>
      <c r="K78" s="16"/>
      <c r="L78" s="16"/>
    </row>
    <row r="79" spans="1:12" ht="14.25" customHeight="1" x14ac:dyDescent="0.2">
      <c r="A79" s="14" t="s">
        <v>37</v>
      </c>
      <c r="B79" s="8">
        <v>10.230764000000001</v>
      </c>
      <c r="C79" s="8">
        <v>14.050041999999999</v>
      </c>
      <c r="D79" s="8">
        <v>14.039686</v>
      </c>
      <c r="E79" s="8">
        <v>15.610315</v>
      </c>
      <c r="F79" s="8">
        <v>21.104611999999999</v>
      </c>
      <c r="G79" s="8" t="s">
        <v>57</v>
      </c>
      <c r="H79" s="8" t="s">
        <v>57</v>
      </c>
      <c r="I79" s="8" t="s">
        <v>57</v>
      </c>
      <c r="J79" s="16"/>
      <c r="K79" s="16"/>
      <c r="L79" s="16"/>
    </row>
    <row r="80" spans="1:12" ht="14.25" customHeight="1" x14ac:dyDescent="0.2">
      <c r="A80" s="14" t="s">
        <v>11</v>
      </c>
      <c r="B80" s="18" t="s">
        <v>57</v>
      </c>
      <c r="C80" s="18">
        <v>0</v>
      </c>
      <c r="D80" s="19" t="s">
        <v>57</v>
      </c>
      <c r="E80" s="8"/>
      <c r="F80" s="8">
        <v>2.5888800000000001</v>
      </c>
      <c r="G80" s="8">
        <v>19.416599999999999</v>
      </c>
      <c r="H80" s="8">
        <v>36.244320000000002</v>
      </c>
      <c r="I80" s="8">
        <v>45.305399999999999</v>
      </c>
      <c r="J80" s="16"/>
      <c r="K80" s="16"/>
      <c r="L80" s="16"/>
    </row>
    <row r="81" spans="1:12" ht="14.25" customHeight="1" x14ac:dyDescent="0.2">
      <c r="A81" s="14" t="s">
        <v>87</v>
      </c>
      <c r="B81" s="19" t="s">
        <v>57</v>
      </c>
      <c r="C81" s="19">
        <v>0</v>
      </c>
      <c r="D81" s="19" t="s">
        <v>57</v>
      </c>
      <c r="E81" s="15" t="s">
        <v>57</v>
      </c>
      <c r="F81" s="8">
        <v>1.9241299999999999</v>
      </c>
      <c r="G81" s="8">
        <v>61.253166</v>
      </c>
      <c r="H81" s="8">
        <v>81.879749000000004</v>
      </c>
      <c r="I81" s="8">
        <v>91.879749000000004</v>
      </c>
      <c r="J81" s="16"/>
      <c r="K81" s="16"/>
      <c r="L81" s="16"/>
    </row>
    <row r="82" spans="1:12" ht="14.25" customHeight="1" x14ac:dyDescent="0.2">
      <c r="A82" s="14" t="s">
        <v>88</v>
      </c>
      <c r="B82" s="19" t="s">
        <v>57</v>
      </c>
      <c r="C82" s="19">
        <v>0</v>
      </c>
      <c r="D82" s="19" t="s">
        <v>57</v>
      </c>
      <c r="E82" s="15" t="s">
        <v>57</v>
      </c>
      <c r="F82" s="8" t="s">
        <v>57</v>
      </c>
      <c r="G82" s="8" t="s">
        <v>57</v>
      </c>
      <c r="H82" s="8" t="s">
        <v>57</v>
      </c>
      <c r="I82" s="8" t="s">
        <v>57</v>
      </c>
      <c r="J82" s="16"/>
      <c r="K82" s="16"/>
      <c r="L82" s="16"/>
    </row>
    <row r="83" spans="1:12" ht="14.25" customHeight="1" x14ac:dyDescent="0.2">
      <c r="A83" s="14" t="s">
        <v>58</v>
      </c>
      <c r="B83" s="18" t="s">
        <v>57</v>
      </c>
      <c r="C83" s="18">
        <v>0</v>
      </c>
      <c r="D83" s="18" t="s">
        <v>57</v>
      </c>
      <c r="E83" s="8" t="s">
        <v>57</v>
      </c>
      <c r="F83" s="8" t="s">
        <v>57</v>
      </c>
      <c r="G83" s="8" t="s">
        <v>57</v>
      </c>
      <c r="H83" s="8" t="s">
        <v>57</v>
      </c>
      <c r="I83" s="8" t="s">
        <v>57</v>
      </c>
      <c r="J83" s="16"/>
      <c r="K83" s="16"/>
      <c r="L83" s="16"/>
    </row>
    <row r="84" spans="1:12" ht="14.25" customHeight="1" x14ac:dyDescent="0.2">
      <c r="A84" s="14" t="s">
        <v>89</v>
      </c>
      <c r="B84" s="19" t="s">
        <v>57</v>
      </c>
      <c r="C84" s="19">
        <v>0</v>
      </c>
      <c r="D84" s="19" t="s">
        <v>57</v>
      </c>
      <c r="E84" s="15" t="s">
        <v>57</v>
      </c>
      <c r="F84" s="8" t="s">
        <v>57</v>
      </c>
      <c r="G84" s="8" t="s">
        <v>57</v>
      </c>
      <c r="H84" s="8" t="s">
        <v>57</v>
      </c>
      <c r="I84" s="8" t="s">
        <v>57</v>
      </c>
      <c r="J84" s="16"/>
      <c r="K84" s="16"/>
      <c r="L84" s="16"/>
    </row>
    <row r="85" spans="1:12" ht="14.25" customHeight="1" x14ac:dyDescent="0.2">
      <c r="A85" s="14" t="s">
        <v>102</v>
      </c>
      <c r="B85" s="19" t="s">
        <v>57</v>
      </c>
      <c r="C85" s="19">
        <v>0</v>
      </c>
      <c r="D85" s="19" t="s">
        <v>57</v>
      </c>
      <c r="E85" s="15" t="s">
        <v>57</v>
      </c>
      <c r="F85" s="8" t="s">
        <v>57</v>
      </c>
      <c r="G85" s="8">
        <v>100</v>
      </c>
      <c r="H85" s="8">
        <v>100</v>
      </c>
      <c r="I85" s="8">
        <v>100</v>
      </c>
      <c r="J85" s="16"/>
      <c r="K85" s="16"/>
      <c r="L85" s="16"/>
    </row>
    <row r="86" spans="1:12" ht="14.25" customHeight="1" x14ac:dyDescent="0.2">
      <c r="A86" s="14" t="s">
        <v>103</v>
      </c>
      <c r="B86" s="19" t="s">
        <v>57</v>
      </c>
      <c r="C86" s="19">
        <v>0</v>
      </c>
      <c r="D86" s="19" t="s">
        <v>57</v>
      </c>
      <c r="E86" s="15" t="s">
        <v>57</v>
      </c>
      <c r="F86" s="8" t="s">
        <v>57</v>
      </c>
      <c r="G86" s="8" t="s">
        <v>57</v>
      </c>
      <c r="H86" s="8">
        <v>10</v>
      </c>
      <c r="I86" s="8">
        <v>38.524999999999999</v>
      </c>
      <c r="J86" s="16"/>
      <c r="K86" s="16"/>
      <c r="L86" s="16"/>
    </row>
    <row r="87" spans="1:12" ht="14.25" customHeight="1" x14ac:dyDescent="0.2">
      <c r="A87" s="14"/>
      <c r="B87" s="8"/>
      <c r="C87" s="8"/>
      <c r="D87" s="8"/>
      <c r="E87" s="8"/>
      <c r="F87" s="8"/>
      <c r="G87" s="8"/>
      <c r="H87" s="8"/>
      <c r="I87" s="8"/>
      <c r="J87" s="16"/>
      <c r="K87" s="16"/>
      <c r="L87" s="16"/>
    </row>
    <row r="88" spans="1:12" ht="14.25" customHeight="1" x14ac:dyDescent="0.2">
      <c r="A88" s="11" t="s">
        <v>59</v>
      </c>
      <c r="B88" s="10">
        <f t="shared" ref="B88" si="24">SUM(B89:B90)</f>
        <v>277.13603499999999</v>
      </c>
      <c r="C88" s="12">
        <f>SUM(C89:C91)</f>
        <v>19.486806000000001</v>
      </c>
      <c r="D88" s="12">
        <f t="shared" ref="D88:I88" si="25">SUM(D89:D91)</f>
        <v>100.155069</v>
      </c>
      <c r="E88" s="12">
        <f t="shared" si="25"/>
        <v>37.040430999999998</v>
      </c>
      <c r="F88" s="12">
        <f t="shared" si="25"/>
        <v>0</v>
      </c>
      <c r="G88" s="12">
        <f t="shared" si="25"/>
        <v>0</v>
      </c>
      <c r="H88" s="12">
        <f t="shared" si="25"/>
        <v>0</v>
      </c>
      <c r="I88" s="12">
        <f t="shared" si="25"/>
        <v>0</v>
      </c>
      <c r="J88" s="16"/>
      <c r="K88" s="16"/>
      <c r="L88" s="16"/>
    </row>
    <row r="89" spans="1:12" ht="14.25" customHeight="1" x14ac:dyDescent="0.2">
      <c r="A89" s="14" t="s">
        <v>60</v>
      </c>
      <c r="B89" s="8">
        <v>277.13603499999999</v>
      </c>
      <c r="C89" s="8">
        <v>19.486806000000001</v>
      </c>
      <c r="D89" s="8">
        <v>100.155069</v>
      </c>
      <c r="E89" s="8" t="s">
        <v>57</v>
      </c>
      <c r="F89" s="8" t="s">
        <v>57</v>
      </c>
      <c r="G89" s="8" t="s">
        <v>57</v>
      </c>
      <c r="H89" s="8" t="s">
        <v>57</v>
      </c>
      <c r="I89" s="8" t="s">
        <v>57</v>
      </c>
      <c r="J89" s="16"/>
      <c r="K89" s="16"/>
      <c r="L89" s="16"/>
    </row>
    <row r="90" spans="1:12" ht="14.25" customHeight="1" x14ac:dyDescent="0.2">
      <c r="A90" s="14" t="s">
        <v>61</v>
      </c>
      <c r="B90" s="8">
        <v>0</v>
      </c>
      <c r="C90" s="8">
        <v>0</v>
      </c>
      <c r="D90" s="8">
        <v>0</v>
      </c>
      <c r="E90" s="8" t="s">
        <v>57</v>
      </c>
      <c r="F90" s="8" t="s">
        <v>57</v>
      </c>
      <c r="G90" s="8" t="s">
        <v>57</v>
      </c>
      <c r="H90" s="8" t="s">
        <v>57</v>
      </c>
      <c r="I90" s="8" t="s">
        <v>57</v>
      </c>
      <c r="J90" s="16"/>
      <c r="K90" s="16"/>
      <c r="L90" s="16"/>
    </row>
    <row r="91" spans="1:12" ht="14.25" customHeight="1" x14ac:dyDescent="0.2">
      <c r="A91" s="14" t="s">
        <v>104</v>
      </c>
      <c r="B91" s="8"/>
      <c r="C91" s="8"/>
      <c r="D91" s="8"/>
      <c r="E91" s="8">
        <v>37.040430999999998</v>
      </c>
      <c r="F91" s="8" t="s">
        <v>57</v>
      </c>
      <c r="G91" s="8" t="s">
        <v>57</v>
      </c>
      <c r="H91" s="8" t="s">
        <v>57</v>
      </c>
      <c r="I91" s="8" t="s">
        <v>57</v>
      </c>
      <c r="J91" s="16"/>
      <c r="K91" s="16"/>
      <c r="L91" s="16"/>
    </row>
    <row r="92" spans="1:12" ht="14.25" customHeight="1" x14ac:dyDescent="0.2">
      <c r="A92" s="14"/>
      <c r="B92" s="8"/>
      <c r="C92" s="8"/>
      <c r="D92" s="8"/>
      <c r="E92" s="8"/>
      <c r="F92" s="8"/>
      <c r="G92" s="8"/>
      <c r="H92" s="8"/>
      <c r="I92" s="8"/>
      <c r="J92" s="16"/>
      <c r="K92" s="16"/>
      <c r="L92" s="16"/>
    </row>
    <row r="93" spans="1:12" ht="14.25" customHeight="1" x14ac:dyDescent="0.2">
      <c r="A93" s="11" t="s">
        <v>62</v>
      </c>
      <c r="B93" s="10">
        <f t="shared" ref="B93:H93" si="26">SUM(B94:B95)</f>
        <v>233.78553700000001</v>
      </c>
      <c r="C93" s="12">
        <f t="shared" si="26"/>
        <v>0</v>
      </c>
      <c r="D93" s="12">
        <f t="shared" si="26"/>
        <v>0</v>
      </c>
      <c r="E93" s="12">
        <f t="shared" si="26"/>
        <v>0</v>
      </c>
      <c r="F93" s="12">
        <f t="shared" si="26"/>
        <v>0</v>
      </c>
      <c r="G93" s="12">
        <f t="shared" si="26"/>
        <v>0</v>
      </c>
      <c r="H93" s="12">
        <f t="shared" si="26"/>
        <v>0</v>
      </c>
      <c r="I93" s="12">
        <f t="shared" ref="I93" si="27">SUM(I94:I95)</f>
        <v>0</v>
      </c>
      <c r="J93" s="16"/>
      <c r="K93" s="16"/>
      <c r="L93" s="16"/>
    </row>
    <row r="94" spans="1:12" ht="14.25" customHeight="1" x14ac:dyDescent="0.2">
      <c r="A94" s="14" t="s">
        <v>63</v>
      </c>
      <c r="B94" s="8">
        <v>233.78553700000001</v>
      </c>
      <c r="C94" s="8" t="s">
        <v>57</v>
      </c>
      <c r="D94" s="8" t="s">
        <v>57</v>
      </c>
      <c r="E94" s="8" t="s">
        <v>57</v>
      </c>
      <c r="F94" s="8" t="s">
        <v>57</v>
      </c>
      <c r="G94" s="8" t="s">
        <v>57</v>
      </c>
      <c r="H94" s="8" t="s">
        <v>57</v>
      </c>
      <c r="I94" s="8" t="s">
        <v>57</v>
      </c>
      <c r="J94" s="16"/>
      <c r="K94" s="16"/>
      <c r="L94" s="16"/>
    </row>
    <row r="95" spans="1:12" ht="14.25" customHeight="1" x14ac:dyDescent="0.2">
      <c r="A95" s="14" t="s">
        <v>64</v>
      </c>
      <c r="B95" s="8">
        <v>0</v>
      </c>
      <c r="C95" s="8" t="s">
        <v>57</v>
      </c>
      <c r="D95" s="8" t="s">
        <v>57</v>
      </c>
      <c r="E95" s="8" t="s">
        <v>57</v>
      </c>
      <c r="F95" s="8" t="s">
        <v>57</v>
      </c>
      <c r="G95" s="8" t="s">
        <v>57</v>
      </c>
      <c r="H95" s="8" t="s">
        <v>57</v>
      </c>
      <c r="I95" s="8" t="s">
        <v>57</v>
      </c>
      <c r="J95" s="16"/>
      <c r="K95" s="16"/>
      <c r="L95" s="16"/>
    </row>
    <row r="96" spans="1:12" ht="14.25" customHeight="1" x14ac:dyDescent="0.2">
      <c r="A96" s="14"/>
      <c r="B96" s="8"/>
      <c r="C96" s="8"/>
      <c r="D96" s="8"/>
      <c r="E96" s="8"/>
      <c r="F96" s="8"/>
      <c r="G96" s="8"/>
      <c r="H96" s="8"/>
      <c r="I96" s="8"/>
      <c r="J96" s="16"/>
      <c r="K96" s="16"/>
      <c r="L96" s="16"/>
    </row>
    <row r="97" spans="1:9" ht="14.25" customHeight="1" x14ac:dyDescent="0.2">
      <c r="A97" s="11" t="s">
        <v>65</v>
      </c>
      <c r="B97" s="10">
        <f t="shared" ref="B97" si="28">SUM(B98:B101)</f>
        <v>265.65673500000003</v>
      </c>
      <c r="C97" s="12">
        <f>SUM(C98:C103)</f>
        <v>471.93762600000002</v>
      </c>
      <c r="D97" s="12">
        <f t="shared" ref="D97:I97" si="29">SUM(D98:D103)</f>
        <v>816.53743200000008</v>
      </c>
      <c r="E97" s="12">
        <f t="shared" si="29"/>
        <v>0</v>
      </c>
      <c r="F97" s="12">
        <f t="shared" si="29"/>
        <v>229.14829</v>
      </c>
      <c r="G97" s="12">
        <f t="shared" si="29"/>
        <v>1350</v>
      </c>
      <c r="H97" s="12">
        <f t="shared" si="29"/>
        <v>1400.1662780000001</v>
      </c>
      <c r="I97" s="12">
        <f t="shared" si="29"/>
        <v>1130</v>
      </c>
    </row>
    <row r="98" spans="1:9" ht="14.25" customHeight="1" x14ac:dyDescent="0.25">
      <c r="A98" s="14" t="s">
        <v>66</v>
      </c>
      <c r="B98" s="8">
        <v>265.65673500000003</v>
      </c>
      <c r="C98" s="8">
        <v>471.93762600000002</v>
      </c>
      <c r="D98" s="8">
        <v>94.399932000000007</v>
      </c>
      <c r="E98" s="8" t="s">
        <v>57</v>
      </c>
      <c r="F98" s="8" t="s">
        <v>57</v>
      </c>
      <c r="G98" s="8" t="s">
        <v>57</v>
      </c>
      <c r="H98" s="8" t="s">
        <v>57</v>
      </c>
      <c r="I98" s="8" t="s">
        <v>57</v>
      </c>
    </row>
    <row r="99" spans="1:9" ht="14.25" customHeight="1" x14ac:dyDescent="0.25">
      <c r="A99" s="14" t="s">
        <v>105</v>
      </c>
      <c r="B99" s="8" t="s">
        <v>57</v>
      </c>
      <c r="C99" s="8" t="s">
        <v>57</v>
      </c>
      <c r="D99" s="8">
        <v>722.13750000000005</v>
      </c>
      <c r="E99" s="8" t="s">
        <v>57</v>
      </c>
      <c r="F99" s="8">
        <v>229.14829</v>
      </c>
      <c r="G99" s="8">
        <v>650</v>
      </c>
      <c r="H99" s="8">
        <v>600.16627800000003</v>
      </c>
      <c r="I99" s="8" t="s">
        <v>57</v>
      </c>
    </row>
    <row r="100" spans="1:9" ht="14.25" customHeight="1" x14ac:dyDescent="0.25">
      <c r="A100" s="14" t="s">
        <v>90</v>
      </c>
      <c r="B100" s="8" t="s">
        <v>57</v>
      </c>
      <c r="C100" s="8" t="s">
        <v>57</v>
      </c>
      <c r="D100" s="8" t="s">
        <v>57</v>
      </c>
      <c r="E100" s="8" t="s">
        <v>57</v>
      </c>
      <c r="F100" s="8" t="s">
        <v>57</v>
      </c>
      <c r="G100" s="8">
        <v>500</v>
      </c>
      <c r="H100" s="8">
        <v>550</v>
      </c>
      <c r="I100" s="8">
        <v>655</v>
      </c>
    </row>
    <row r="101" spans="1:9" ht="14.25" customHeight="1" x14ac:dyDescent="0.25">
      <c r="A101" s="14" t="s">
        <v>91</v>
      </c>
      <c r="B101" s="8" t="s">
        <v>57</v>
      </c>
      <c r="C101" s="8" t="s">
        <v>57</v>
      </c>
      <c r="D101" s="8" t="s">
        <v>57</v>
      </c>
      <c r="E101" s="8" t="s">
        <v>57</v>
      </c>
      <c r="F101" s="8" t="s">
        <v>57</v>
      </c>
      <c r="G101" s="8">
        <v>200</v>
      </c>
      <c r="H101" s="8">
        <v>250</v>
      </c>
      <c r="I101" s="8">
        <v>475</v>
      </c>
    </row>
    <row r="102" spans="1:9" ht="14.25" customHeight="1" x14ac:dyDescent="0.25">
      <c r="A102" s="14" t="s">
        <v>106</v>
      </c>
      <c r="B102" s="8" t="s">
        <v>57</v>
      </c>
      <c r="C102" s="8" t="s">
        <v>57</v>
      </c>
      <c r="D102" s="8" t="s">
        <v>57</v>
      </c>
      <c r="E102" s="8" t="s">
        <v>57</v>
      </c>
      <c r="F102" s="8" t="s">
        <v>57</v>
      </c>
      <c r="G102" s="8" t="s">
        <v>57</v>
      </c>
      <c r="H102" s="8" t="s">
        <v>57</v>
      </c>
      <c r="I102" s="8" t="s">
        <v>57</v>
      </c>
    </row>
    <row r="103" spans="1:9" ht="14.25" customHeight="1" x14ac:dyDescent="0.25">
      <c r="A103" s="14" t="s">
        <v>107</v>
      </c>
      <c r="B103" s="8" t="s">
        <v>57</v>
      </c>
      <c r="C103" s="8" t="s">
        <v>57</v>
      </c>
      <c r="D103" s="8" t="s">
        <v>57</v>
      </c>
      <c r="E103" s="8" t="s">
        <v>57</v>
      </c>
      <c r="F103" s="8" t="s">
        <v>57</v>
      </c>
      <c r="G103" s="8" t="s">
        <v>57</v>
      </c>
      <c r="H103" s="8" t="s">
        <v>57</v>
      </c>
      <c r="I103" s="8" t="s">
        <v>57</v>
      </c>
    </row>
    <row r="104" spans="1:9" ht="14.25" customHeight="1" x14ac:dyDescent="0.25">
      <c r="A104" s="14"/>
      <c r="B104" s="8"/>
      <c r="C104" s="8"/>
      <c r="D104" s="8"/>
      <c r="E104" s="8"/>
      <c r="F104" s="8"/>
      <c r="G104" s="8"/>
      <c r="H104" s="8"/>
      <c r="I104" s="8"/>
    </row>
    <row r="105" spans="1:9" ht="14.25" customHeight="1" x14ac:dyDescent="0.25">
      <c r="A105" s="11" t="s">
        <v>67</v>
      </c>
      <c r="B105" s="12">
        <f t="shared" ref="B105:I105" si="30">SUM(B106)</f>
        <v>0</v>
      </c>
      <c r="C105" s="12">
        <f t="shared" si="30"/>
        <v>102.86886</v>
      </c>
      <c r="D105" s="12">
        <f t="shared" si="30"/>
        <v>0</v>
      </c>
      <c r="E105" s="12">
        <f t="shared" si="30"/>
        <v>18.706969000000001</v>
      </c>
      <c r="F105" s="12">
        <f t="shared" si="30"/>
        <v>118.654607</v>
      </c>
      <c r="G105" s="12">
        <f t="shared" si="30"/>
        <v>60</v>
      </c>
      <c r="H105" s="12">
        <f t="shared" si="30"/>
        <v>98.793163000000007</v>
      </c>
      <c r="I105" s="12">
        <f t="shared" si="30"/>
        <v>98.793163000000007</v>
      </c>
    </row>
    <row r="106" spans="1:9" ht="14.25" customHeight="1" x14ac:dyDescent="0.25">
      <c r="A106" s="14" t="s">
        <v>108</v>
      </c>
      <c r="B106" s="8" t="s">
        <v>57</v>
      </c>
      <c r="C106" s="8">
        <v>102.86886</v>
      </c>
      <c r="D106" s="8" t="s">
        <v>57</v>
      </c>
      <c r="E106" s="8">
        <v>18.706969000000001</v>
      </c>
      <c r="F106" s="8">
        <v>118.654607</v>
      </c>
      <c r="G106" s="8">
        <v>60</v>
      </c>
      <c r="H106" s="8">
        <v>98.793163000000007</v>
      </c>
      <c r="I106" s="8">
        <v>98.793163000000007</v>
      </c>
    </row>
    <row r="107" spans="1:9" ht="14.25" customHeight="1" x14ac:dyDescent="0.25">
      <c r="A107" s="14"/>
      <c r="B107" s="8"/>
      <c r="C107" s="8"/>
      <c r="D107" s="8"/>
      <c r="E107" s="8"/>
      <c r="F107" s="8"/>
      <c r="G107" s="8"/>
      <c r="H107" s="8"/>
      <c r="I107" s="8"/>
    </row>
    <row r="108" spans="1:9" ht="14.25" customHeight="1" x14ac:dyDescent="0.25">
      <c r="A108" s="11" t="s">
        <v>92</v>
      </c>
      <c r="B108" s="12">
        <f>SUM(B109)</f>
        <v>0</v>
      </c>
      <c r="C108" s="12">
        <f t="shared" ref="C108:E108" si="31">SUM(C109)</f>
        <v>0</v>
      </c>
      <c r="D108" s="12">
        <f t="shared" si="31"/>
        <v>0</v>
      </c>
      <c r="E108" s="12">
        <f t="shared" si="31"/>
        <v>0</v>
      </c>
      <c r="F108" s="12">
        <f>SUM(F109)</f>
        <v>0</v>
      </c>
      <c r="G108" s="12">
        <f>SUM(G109)</f>
        <v>90</v>
      </c>
      <c r="H108" s="12">
        <f>SUM(H109)</f>
        <v>91</v>
      </c>
      <c r="I108" s="12">
        <f>SUM(I109)</f>
        <v>92</v>
      </c>
    </row>
    <row r="109" spans="1:9" ht="14.25" customHeight="1" x14ac:dyDescent="0.25">
      <c r="A109" s="14" t="s">
        <v>93</v>
      </c>
      <c r="B109" s="8" t="s">
        <v>57</v>
      </c>
      <c r="C109" s="8" t="s">
        <v>57</v>
      </c>
      <c r="D109" s="8" t="s">
        <v>57</v>
      </c>
      <c r="E109" s="8" t="s">
        <v>57</v>
      </c>
      <c r="F109" s="8" t="s">
        <v>57</v>
      </c>
      <c r="G109" s="8">
        <v>90</v>
      </c>
      <c r="H109" s="8">
        <v>91</v>
      </c>
      <c r="I109" s="8">
        <v>92</v>
      </c>
    </row>
    <row r="110" spans="1:9" ht="14.25" customHeight="1" x14ac:dyDescent="0.25">
      <c r="A110" s="14"/>
      <c r="B110" s="8"/>
      <c r="C110" s="8"/>
      <c r="D110" s="8"/>
      <c r="E110" s="8"/>
      <c r="F110" s="8"/>
      <c r="G110" s="8"/>
      <c r="H110" s="8"/>
      <c r="I110" s="8"/>
    </row>
    <row r="111" spans="1:9" ht="14.25" customHeight="1" x14ac:dyDescent="0.2">
      <c r="A111" s="11" t="s">
        <v>84</v>
      </c>
      <c r="B111" s="10">
        <f t="shared" ref="B111:H111" si="32">SUM(B112:B114)</f>
        <v>0</v>
      </c>
      <c r="C111" s="12">
        <f t="shared" si="32"/>
        <v>0</v>
      </c>
      <c r="D111" s="12">
        <f t="shared" si="32"/>
        <v>0</v>
      </c>
      <c r="E111" s="12">
        <f t="shared" si="32"/>
        <v>0</v>
      </c>
      <c r="F111" s="12">
        <f t="shared" si="32"/>
        <v>0</v>
      </c>
      <c r="G111" s="12">
        <f t="shared" si="32"/>
        <v>0</v>
      </c>
      <c r="H111" s="12">
        <f t="shared" si="32"/>
        <v>0</v>
      </c>
      <c r="I111" s="12">
        <f t="shared" ref="I111" si="33">SUM(I112:I114)</f>
        <v>0</v>
      </c>
    </row>
    <row r="112" spans="1:9" ht="14.25" customHeight="1" x14ac:dyDescent="0.25">
      <c r="A112" s="14" t="s">
        <v>68</v>
      </c>
      <c r="B112" s="8" t="s">
        <v>57</v>
      </c>
      <c r="C112" s="8" t="s">
        <v>57</v>
      </c>
      <c r="D112" s="8" t="s">
        <v>57</v>
      </c>
      <c r="E112" s="8" t="s">
        <v>57</v>
      </c>
      <c r="F112" s="8" t="s">
        <v>57</v>
      </c>
      <c r="G112" s="8" t="s">
        <v>57</v>
      </c>
      <c r="H112" s="8" t="s">
        <v>57</v>
      </c>
      <c r="I112" s="8" t="s">
        <v>57</v>
      </c>
    </row>
    <row r="113" spans="1:9" ht="14.25" customHeight="1" x14ac:dyDescent="0.25">
      <c r="A113" s="14" t="s">
        <v>69</v>
      </c>
      <c r="B113" s="8" t="s">
        <v>57</v>
      </c>
      <c r="C113" s="8" t="s">
        <v>57</v>
      </c>
      <c r="D113" s="8" t="s">
        <v>57</v>
      </c>
      <c r="E113" s="8" t="s">
        <v>57</v>
      </c>
      <c r="F113" s="8" t="s">
        <v>57</v>
      </c>
      <c r="G113" s="8" t="s">
        <v>57</v>
      </c>
      <c r="H113" s="8" t="s">
        <v>57</v>
      </c>
      <c r="I113" s="8" t="s">
        <v>57</v>
      </c>
    </row>
    <row r="114" spans="1:9" ht="14.25" customHeight="1" x14ac:dyDescent="0.25">
      <c r="A114" s="14" t="s">
        <v>70</v>
      </c>
      <c r="B114" s="8" t="s">
        <v>57</v>
      </c>
      <c r="C114" s="8" t="s">
        <v>57</v>
      </c>
      <c r="D114" s="8" t="s">
        <v>57</v>
      </c>
      <c r="E114" s="8" t="s">
        <v>57</v>
      </c>
      <c r="F114" s="8" t="s">
        <v>57</v>
      </c>
      <c r="G114" s="8" t="s">
        <v>57</v>
      </c>
      <c r="H114" s="8" t="s">
        <v>57</v>
      </c>
      <c r="I114" s="8" t="s">
        <v>57</v>
      </c>
    </row>
    <row r="115" spans="1:9" ht="14.25" customHeight="1" x14ac:dyDescent="0.25">
      <c r="A115" s="14"/>
      <c r="B115" s="8"/>
      <c r="C115" s="8"/>
      <c r="D115" s="8"/>
      <c r="E115" s="8"/>
      <c r="F115" s="8"/>
      <c r="G115" s="8"/>
      <c r="H115" s="8"/>
      <c r="I115" s="8"/>
    </row>
    <row r="116" spans="1:9" ht="14.25" customHeight="1" x14ac:dyDescent="0.2">
      <c r="A116" s="11" t="s">
        <v>71</v>
      </c>
      <c r="B116" s="10">
        <f t="shared" ref="B116:H116" si="34">SUM(B117:B120)</f>
        <v>0</v>
      </c>
      <c r="C116" s="12">
        <f t="shared" si="34"/>
        <v>0</v>
      </c>
      <c r="D116" s="12">
        <f t="shared" si="34"/>
        <v>0</v>
      </c>
      <c r="E116" s="12">
        <f>SUM(E117:E120)</f>
        <v>0</v>
      </c>
      <c r="F116" s="12">
        <f t="shared" si="34"/>
        <v>0</v>
      </c>
      <c r="G116" s="12">
        <f t="shared" si="34"/>
        <v>0</v>
      </c>
      <c r="H116" s="12">
        <f t="shared" si="34"/>
        <v>0</v>
      </c>
      <c r="I116" s="12">
        <f t="shared" ref="I116" si="35">SUM(I117:I120)</f>
        <v>0</v>
      </c>
    </row>
    <row r="117" spans="1:9" ht="14.25" customHeight="1" x14ac:dyDescent="0.25">
      <c r="A117" s="14" t="s">
        <v>72</v>
      </c>
      <c r="B117" s="8" t="s">
        <v>57</v>
      </c>
      <c r="C117" s="8" t="s">
        <v>57</v>
      </c>
      <c r="D117" s="8" t="s">
        <v>57</v>
      </c>
      <c r="E117" s="8" t="s">
        <v>57</v>
      </c>
      <c r="F117" s="8" t="s">
        <v>57</v>
      </c>
      <c r="G117" s="8" t="s">
        <v>57</v>
      </c>
      <c r="H117" s="8" t="s">
        <v>57</v>
      </c>
      <c r="I117" s="8" t="s">
        <v>57</v>
      </c>
    </row>
    <row r="118" spans="1:9" ht="14.25" customHeight="1" x14ac:dyDescent="0.25">
      <c r="A118" s="14" t="s">
        <v>73</v>
      </c>
      <c r="B118" s="8" t="s">
        <v>57</v>
      </c>
      <c r="C118" s="8" t="s">
        <v>57</v>
      </c>
      <c r="D118" s="8" t="s">
        <v>57</v>
      </c>
      <c r="E118" s="8" t="s">
        <v>57</v>
      </c>
      <c r="F118" s="8" t="s">
        <v>57</v>
      </c>
      <c r="G118" s="8" t="s">
        <v>57</v>
      </c>
      <c r="H118" s="8" t="s">
        <v>57</v>
      </c>
      <c r="I118" s="8" t="s">
        <v>57</v>
      </c>
    </row>
    <row r="119" spans="1:9" ht="14.25" customHeight="1" x14ac:dyDescent="0.25">
      <c r="A119" s="14" t="s">
        <v>74</v>
      </c>
      <c r="B119" s="8" t="s">
        <v>57</v>
      </c>
      <c r="C119" s="8" t="s">
        <v>57</v>
      </c>
      <c r="D119" s="8" t="s">
        <v>57</v>
      </c>
      <c r="E119" s="8" t="s">
        <v>57</v>
      </c>
      <c r="F119" s="8" t="s">
        <v>57</v>
      </c>
      <c r="G119" s="8" t="s">
        <v>57</v>
      </c>
      <c r="H119" s="8" t="s">
        <v>57</v>
      </c>
      <c r="I119" s="8" t="s">
        <v>57</v>
      </c>
    </row>
    <row r="120" spans="1:9" ht="14.25" customHeight="1" x14ac:dyDescent="0.25">
      <c r="A120" s="14" t="s">
        <v>75</v>
      </c>
      <c r="B120" s="8" t="s">
        <v>57</v>
      </c>
      <c r="C120" s="8" t="s">
        <v>57</v>
      </c>
      <c r="D120" s="8" t="s">
        <v>57</v>
      </c>
      <c r="E120" s="8" t="s">
        <v>57</v>
      </c>
      <c r="F120" s="8" t="s">
        <v>57</v>
      </c>
      <c r="G120" s="8" t="s">
        <v>57</v>
      </c>
      <c r="H120" s="8" t="s">
        <v>57</v>
      </c>
      <c r="I120" s="8" t="s">
        <v>57</v>
      </c>
    </row>
    <row r="121" spans="1:9" ht="14.25" customHeight="1" x14ac:dyDescent="0.25">
      <c r="A121" s="14"/>
      <c r="B121" s="8"/>
      <c r="C121" s="8"/>
      <c r="D121" s="8"/>
      <c r="E121" s="8"/>
      <c r="F121" s="8"/>
      <c r="G121" s="8"/>
      <c r="H121" s="8"/>
      <c r="I121" s="8"/>
    </row>
    <row r="122" spans="1:9" ht="14.25" customHeight="1" x14ac:dyDescent="0.25">
      <c r="A122" s="11" t="s">
        <v>109</v>
      </c>
      <c r="B122" s="12">
        <f t="shared" ref="B122" si="36">SUM(B123)</f>
        <v>0</v>
      </c>
      <c r="C122" s="12">
        <f t="shared" ref="C122" si="37">SUM(C123)</f>
        <v>0</v>
      </c>
      <c r="D122" s="12">
        <f t="shared" ref="D122" si="38">SUM(D123)</f>
        <v>0</v>
      </c>
      <c r="E122" s="12">
        <f>SUM(E123)</f>
        <v>0</v>
      </c>
      <c r="F122" s="12">
        <f t="shared" ref="F122:I122" si="39">SUM(F123)</f>
        <v>0</v>
      </c>
      <c r="G122" s="12">
        <f t="shared" si="39"/>
        <v>86.737499999999997</v>
      </c>
      <c r="H122" s="12">
        <f t="shared" si="39"/>
        <v>100</v>
      </c>
      <c r="I122" s="12">
        <f t="shared" si="39"/>
        <v>100</v>
      </c>
    </row>
    <row r="123" spans="1:9" ht="14.25" customHeight="1" x14ac:dyDescent="0.25">
      <c r="A123" s="14" t="s">
        <v>110</v>
      </c>
      <c r="B123" s="8">
        <f t="shared" ref="B123" si="40">SUM(B124)</f>
        <v>0</v>
      </c>
      <c r="C123" s="8">
        <f t="shared" ref="C123" si="41">SUM(C124)</f>
        <v>0</v>
      </c>
      <c r="D123" s="8">
        <f t="shared" ref="D123" si="42">SUM(D124)</f>
        <v>0</v>
      </c>
      <c r="E123" s="8" t="s">
        <v>57</v>
      </c>
      <c r="F123" s="8" t="s">
        <v>57</v>
      </c>
      <c r="G123" s="8">
        <v>86.737499999999997</v>
      </c>
      <c r="H123" s="8">
        <v>100</v>
      </c>
      <c r="I123" s="8">
        <v>100</v>
      </c>
    </row>
    <row r="124" spans="1:9" ht="14.25" customHeight="1" x14ac:dyDescent="0.25">
      <c r="A124" s="14"/>
      <c r="B124" s="8"/>
      <c r="C124" s="8"/>
      <c r="D124" s="8"/>
      <c r="E124" s="8"/>
      <c r="F124" s="8"/>
      <c r="G124" s="8"/>
      <c r="H124" s="8"/>
      <c r="I124" s="8"/>
    </row>
    <row r="125" spans="1:9" ht="14.25" customHeight="1" x14ac:dyDescent="0.25">
      <c r="A125" s="20" t="s">
        <v>111</v>
      </c>
      <c r="B125" s="8"/>
      <c r="C125" s="8"/>
      <c r="D125" s="8"/>
      <c r="E125" s="12">
        <f>SUM(E126)</f>
        <v>0</v>
      </c>
      <c r="F125" s="12">
        <f t="shared" ref="F125:I125" si="43">SUM(F126)</f>
        <v>0</v>
      </c>
      <c r="G125" s="12">
        <f t="shared" si="43"/>
        <v>300</v>
      </c>
      <c r="H125" s="12">
        <f t="shared" si="43"/>
        <v>350</v>
      </c>
      <c r="I125" s="12">
        <f t="shared" si="43"/>
        <v>339.35</v>
      </c>
    </row>
    <row r="126" spans="1:9" ht="14.25" customHeight="1" x14ac:dyDescent="0.25">
      <c r="A126" s="14" t="s">
        <v>112</v>
      </c>
      <c r="B126" s="8"/>
      <c r="C126" s="8"/>
      <c r="D126" s="8"/>
      <c r="E126" s="8" t="s">
        <v>57</v>
      </c>
      <c r="F126" s="8" t="s">
        <v>57</v>
      </c>
      <c r="G126" s="8">
        <v>300</v>
      </c>
      <c r="H126" s="8">
        <v>350</v>
      </c>
      <c r="I126" s="8">
        <v>339.35</v>
      </c>
    </row>
    <row r="127" spans="1:9" ht="14.25" customHeight="1" x14ac:dyDescent="0.25">
      <c r="A127" s="14"/>
      <c r="B127" s="8"/>
      <c r="C127" s="8"/>
      <c r="D127" s="8"/>
      <c r="E127" s="8"/>
      <c r="F127" s="8"/>
      <c r="G127" s="8"/>
      <c r="H127" s="8"/>
      <c r="I127" s="8"/>
    </row>
    <row r="128" spans="1:9" ht="14.25" customHeight="1" x14ac:dyDescent="0.25">
      <c r="A128" s="11" t="s">
        <v>76</v>
      </c>
      <c r="B128" s="21">
        <f t="shared" ref="B128:H128" si="44">SUM(B129:B133)</f>
        <v>0</v>
      </c>
      <c r="C128" s="21">
        <f t="shared" si="44"/>
        <v>0</v>
      </c>
      <c r="D128" s="21">
        <f t="shared" si="44"/>
        <v>0</v>
      </c>
      <c r="E128" s="21">
        <f t="shared" si="44"/>
        <v>0</v>
      </c>
      <c r="F128" s="21">
        <f t="shared" si="44"/>
        <v>0</v>
      </c>
      <c r="G128" s="21">
        <f t="shared" si="44"/>
        <v>0</v>
      </c>
      <c r="H128" s="21">
        <f t="shared" si="44"/>
        <v>0</v>
      </c>
      <c r="I128" s="21">
        <f t="shared" ref="I128" si="45">SUM(I129:I133)</f>
        <v>0</v>
      </c>
    </row>
    <row r="129" spans="1:9" ht="14.25" customHeight="1" x14ac:dyDescent="0.25">
      <c r="A129" s="14" t="s">
        <v>77</v>
      </c>
      <c r="B129" s="8" t="s">
        <v>57</v>
      </c>
      <c r="C129" s="8" t="s">
        <v>57</v>
      </c>
      <c r="D129" s="8" t="s">
        <v>57</v>
      </c>
      <c r="E129" s="8" t="s">
        <v>57</v>
      </c>
      <c r="F129" s="8" t="s">
        <v>57</v>
      </c>
      <c r="G129" s="8" t="s">
        <v>57</v>
      </c>
      <c r="H129" s="8" t="s">
        <v>57</v>
      </c>
      <c r="I129" s="8" t="s">
        <v>57</v>
      </c>
    </row>
    <row r="130" spans="1:9" ht="14.25" customHeight="1" x14ac:dyDescent="0.25">
      <c r="A130" s="14" t="s">
        <v>78</v>
      </c>
      <c r="B130" s="8" t="s">
        <v>57</v>
      </c>
      <c r="C130" s="8" t="s">
        <v>57</v>
      </c>
      <c r="D130" s="8" t="s">
        <v>57</v>
      </c>
      <c r="E130" s="8" t="s">
        <v>57</v>
      </c>
      <c r="F130" s="8" t="s">
        <v>57</v>
      </c>
      <c r="G130" s="8" t="s">
        <v>57</v>
      </c>
      <c r="H130" s="8" t="s">
        <v>57</v>
      </c>
      <c r="I130" s="8" t="s">
        <v>57</v>
      </c>
    </row>
    <row r="131" spans="1:9" ht="14.25" customHeight="1" x14ac:dyDescent="0.25">
      <c r="A131" s="14" t="s">
        <v>79</v>
      </c>
      <c r="B131" s="8" t="s">
        <v>57</v>
      </c>
      <c r="C131" s="8" t="s">
        <v>57</v>
      </c>
      <c r="D131" s="8" t="s">
        <v>57</v>
      </c>
      <c r="E131" s="8" t="s">
        <v>57</v>
      </c>
      <c r="F131" s="8" t="s">
        <v>57</v>
      </c>
      <c r="G131" s="8" t="s">
        <v>57</v>
      </c>
      <c r="H131" s="8" t="s">
        <v>57</v>
      </c>
      <c r="I131" s="8" t="s">
        <v>57</v>
      </c>
    </row>
    <row r="132" spans="1:9" ht="14.25" customHeight="1" x14ac:dyDescent="0.25">
      <c r="A132" s="14" t="s">
        <v>80</v>
      </c>
      <c r="B132" s="8" t="s">
        <v>57</v>
      </c>
      <c r="C132" s="8" t="s">
        <v>57</v>
      </c>
      <c r="D132" s="8" t="s">
        <v>57</v>
      </c>
      <c r="E132" s="8" t="s">
        <v>57</v>
      </c>
      <c r="F132" s="8" t="s">
        <v>57</v>
      </c>
      <c r="G132" s="8" t="s">
        <v>57</v>
      </c>
      <c r="H132" s="8" t="s">
        <v>57</v>
      </c>
      <c r="I132" s="8" t="s">
        <v>57</v>
      </c>
    </row>
    <row r="133" spans="1:9" ht="14.25" customHeight="1" x14ac:dyDescent="0.25">
      <c r="A133" s="14" t="s">
        <v>81</v>
      </c>
      <c r="B133" s="8" t="s">
        <v>57</v>
      </c>
      <c r="C133" s="8" t="s">
        <v>57</v>
      </c>
      <c r="D133" s="8" t="s">
        <v>57</v>
      </c>
      <c r="E133" s="8" t="s">
        <v>57</v>
      </c>
      <c r="F133" s="8" t="s">
        <v>57</v>
      </c>
      <c r="G133" s="8" t="s">
        <v>57</v>
      </c>
      <c r="H133" s="8" t="s">
        <v>57</v>
      </c>
      <c r="I133" s="8" t="s">
        <v>57</v>
      </c>
    </row>
    <row r="134" spans="1:9" ht="13.5" customHeight="1" x14ac:dyDescent="0.25">
      <c r="A134" s="17"/>
      <c r="B134" s="8"/>
      <c r="C134" s="8"/>
      <c r="D134" s="8"/>
      <c r="E134" s="8"/>
      <c r="F134" s="8"/>
      <c r="G134" s="8"/>
      <c r="H134" s="8"/>
      <c r="I134" s="8"/>
    </row>
    <row r="135" spans="1:9" ht="14.25" customHeight="1" thickBot="1" x14ac:dyDescent="0.3">
      <c r="A135" s="22" t="s">
        <v>4</v>
      </c>
      <c r="B135" s="23"/>
      <c r="C135" s="23"/>
      <c r="D135" s="23"/>
      <c r="E135" s="23"/>
      <c r="F135" s="23"/>
      <c r="G135" s="23"/>
      <c r="H135" s="23"/>
      <c r="I135" s="23"/>
    </row>
    <row r="136" spans="1:9" ht="14.25" customHeight="1" x14ac:dyDescent="0.25">
      <c r="A136" s="17" t="s">
        <v>82</v>
      </c>
      <c r="B136" s="24">
        <v>0</v>
      </c>
      <c r="C136" s="8" t="s">
        <v>57</v>
      </c>
      <c r="D136" s="8" t="s">
        <v>57</v>
      </c>
      <c r="E136" s="8" t="s">
        <v>57</v>
      </c>
      <c r="F136" s="8" t="s">
        <v>57</v>
      </c>
      <c r="G136" s="8" t="s">
        <v>57</v>
      </c>
      <c r="H136" s="8" t="s">
        <v>57</v>
      </c>
      <c r="I136" s="8" t="s">
        <v>57</v>
      </c>
    </row>
    <row r="137" spans="1:9" ht="14.25" customHeight="1" x14ac:dyDescent="0.25">
      <c r="A137" s="25" t="s">
        <v>78</v>
      </c>
      <c r="B137" s="26">
        <v>193.714834</v>
      </c>
      <c r="C137" s="26" t="s">
        <v>57</v>
      </c>
      <c r="D137" s="26" t="s">
        <v>57</v>
      </c>
      <c r="E137" s="26" t="s">
        <v>57</v>
      </c>
      <c r="F137" s="26" t="s">
        <v>57</v>
      </c>
      <c r="G137" s="26" t="s">
        <v>57</v>
      </c>
      <c r="H137" s="26" t="s">
        <v>57</v>
      </c>
      <c r="I137" s="26" t="s">
        <v>57</v>
      </c>
    </row>
    <row r="138" spans="1:9" x14ac:dyDescent="0.25">
      <c r="A138" s="1" t="s">
        <v>83</v>
      </c>
      <c r="B138" s="8"/>
      <c r="C138" s="8"/>
      <c r="D138" s="8"/>
      <c r="E138" s="8"/>
      <c r="F138" s="8"/>
      <c r="G138" s="8"/>
      <c r="H138" s="8"/>
    </row>
    <row r="139" spans="1:9" x14ac:dyDescent="0.25">
      <c r="A139" s="27"/>
      <c r="B139" s="8"/>
      <c r="C139" s="8"/>
      <c r="D139" s="8"/>
      <c r="E139" s="8"/>
      <c r="F139" s="8"/>
      <c r="G139" s="8"/>
      <c r="H139" s="8"/>
    </row>
    <row r="140" spans="1:9" x14ac:dyDescent="0.25">
      <c r="A140" s="29"/>
      <c r="B140" s="8"/>
      <c r="C140" s="8"/>
      <c r="D140" s="8"/>
      <c r="E140" s="8"/>
      <c r="F140" s="8"/>
      <c r="G140" s="8"/>
      <c r="H140" s="8"/>
    </row>
    <row r="141" spans="1:9" x14ac:dyDescent="0.25">
      <c r="A141" s="29"/>
      <c r="B141" s="8"/>
      <c r="C141" s="8"/>
      <c r="D141" s="8"/>
      <c r="E141" s="8"/>
      <c r="F141" s="8"/>
      <c r="G141" s="8"/>
      <c r="H141" s="8"/>
    </row>
    <row r="142" spans="1:9" x14ac:dyDescent="0.25">
      <c r="A142" s="29"/>
      <c r="B142" s="8"/>
      <c r="C142" s="8"/>
      <c r="D142" s="8"/>
      <c r="E142" s="8"/>
      <c r="F142" s="8"/>
      <c r="G142" s="8"/>
      <c r="H142" s="8"/>
    </row>
    <row r="143" spans="1:9" x14ac:dyDescent="0.25">
      <c r="A143" s="27"/>
      <c r="B143" s="28"/>
      <c r="C143" s="8"/>
      <c r="D143" s="8"/>
      <c r="E143" s="8"/>
      <c r="F143" s="8"/>
      <c r="G143" s="8"/>
      <c r="H143" s="8"/>
    </row>
    <row r="144" spans="1:9" x14ac:dyDescent="0.25">
      <c r="A144" s="29"/>
      <c r="B144" s="28"/>
      <c r="C144" s="8"/>
      <c r="D144" s="8"/>
      <c r="E144" s="8"/>
      <c r="F144" s="8"/>
      <c r="G144" s="8"/>
      <c r="H144" s="8"/>
    </row>
    <row r="145" spans="1:8" x14ac:dyDescent="0.25">
      <c r="A145" s="27"/>
      <c r="B145" s="28"/>
      <c r="C145" s="8"/>
      <c r="D145" s="8"/>
      <c r="E145" s="8"/>
      <c r="F145" s="8"/>
      <c r="G145" s="8"/>
      <c r="H145" s="8"/>
    </row>
    <row r="146" spans="1:8" x14ac:dyDescent="0.25">
      <c r="A146" s="27"/>
      <c r="B146" s="28"/>
      <c r="C146" s="8"/>
      <c r="D146" s="8"/>
      <c r="E146" s="8"/>
      <c r="F146" s="8"/>
      <c r="G146" s="8"/>
      <c r="H146" s="8"/>
    </row>
    <row r="147" spans="1:8" x14ac:dyDescent="0.25">
      <c r="A147" s="27"/>
      <c r="B147" s="28"/>
      <c r="C147" s="8"/>
      <c r="D147" s="8"/>
      <c r="E147" s="8"/>
      <c r="F147" s="8"/>
      <c r="G147" s="8"/>
      <c r="H147" s="8"/>
    </row>
    <row r="148" spans="1:8" x14ac:dyDescent="0.25">
      <c r="A148" s="27"/>
      <c r="B148" s="28"/>
      <c r="C148" s="8"/>
      <c r="D148" s="8"/>
      <c r="E148" s="8"/>
      <c r="F148" s="8"/>
      <c r="G148" s="8"/>
      <c r="H148" s="8"/>
    </row>
    <row r="149" spans="1:8" x14ac:dyDescent="0.25">
      <c r="A149" s="27"/>
      <c r="B149" s="28"/>
      <c r="C149" s="8"/>
      <c r="D149" s="8"/>
      <c r="E149" s="8"/>
      <c r="F149" s="8"/>
      <c r="G149" s="8"/>
      <c r="H149" s="8"/>
    </row>
    <row r="150" spans="1:8" x14ac:dyDescent="0.25">
      <c r="A150" s="27"/>
      <c r="B150" s="28"/>
      <c r="C150" s="8"/>
      <c r="D150" s="8"/>
      <c r="E150" s="8"/>
      <c r="F150" s="8"/>
      <c r="G150" s="8"/>
      <c r="H150" s="8"/>
    </row>
    <row r="151" spans="1:8" x14ac:dyDescent="0.25">
      <c r="A151" s="27"/>
      <c r="B151" s="28"/>
      <c r="C151" s="8"/>
      <c r="D151" s="8"/>
      <c r="E151" s="8"/>
      <c r="F151" s="8"/>
      <c r="G151" s="8"/>
      <c r="H151" s="8"/>
    </row>
    <row r="152" spans="1:8" x14ac:dyDescent="0.25">
      <c r="A152" s="27"/>
      <c r="B152" s="28"/>
      <c r="C152" s="8"/>
      <c r="D152" s="8"/>
      <c r="E152" s="8"/>
      <c r="F152" s="8"/>
      <c r="G152" s="8"/>
      <c r="H152" s="8"/>
    </row>
    <row r="153" spans="1:8" x14ac:dyDescent="0.25">
      <c r="A153" s="27"/>
      <c r="B153" s="28"/>
      <c r="C153" s="8"/>
      <c r="D153" s="8"/>
      <c r="E153" s="8"/>
      <c r="F153" s="8"/>
      <c r="G153" s="8"/>
      <c r="H153" s="8"/>
    </row>
    <row r="154" spans="1:8" x14ac:dyDescent="0.25">
      <c r="A154" s="27"/>
      <c r="B154" s="28"/>
      <c r="C154" s="8"/>
      <c r="D154" s="8"/>
      <c r="E154" s="8"/>
      <c r="F154" s="8"/>
      <c r="G154" s="8"/>
      <c r="H154" s="8"/>
    </row>
    <row r="155" spans="1:8" x14ac:dyDescent="0.25">
      <c r="A155" s="27"/>
      <c r="B155" s="28"/>
      <c r="C155" s="8"/>
      <c r="D155" s="8"/>
      <c r="E155" s="8"/>
      <c r="F155" s="8"/>
      <c r="G155" s="8"/>
      <c r="H155" s="8"/>
    </row>
    <row r="156" spans="1:8" x14ac:dyDescent="0.25">
      <c r="A156" s="27"/>
      <c r="B156" s="28"/>
      <c r="C156" s="8"/>
      <c r="D156" s="8"/>
      <c r="E156" s="8"/>
      <c r="F156" s="8"/>
      <c r="G156" s="8"/>
      <c r="H156" s="8"/>
    </row>
    <row r="157" spans="1:8" x14ac:dyDescent="0.25">
      <c r="A157" s="27"/>
      <c r="B157" s="28"/>
      <c r="C157" s="8"/>
      <c r="D157" s="8"/>
      <c r="E157" s="8"/>
      <c r="F157" s="8"/>
      <c r="G157" s="8"/>
      <c r="H157" s="8"/>
    </row>
    <row r="158" spans="1:8" x14ac:dyDescent="0.25">
      <c r="A158" s="27"/>
      <c r="B158" s="28"/>
      <c r="C158" s="8"/>
      <c r="D158" s="8"/>
      <c r="E158" s="8"/>
      <c r="F158" s="8"/>
      <c r="G158" s="8"/>
      <c r="H158" s="8"/>
    </row>
    <row r="159" spans="1:8" x14ac:dyDescent="0.25">
      <c r="A159" s="27"/>
      <c r="B159" s="28"/>
      <c r="C159" s="8"/>
      <c r="D159" s="8"/>
      <c r="E159" s="8"/>
      <c r="F159" s="8"/>
      <c r="G159" s="8"/>
      <c r="H159" s="8"/>
    </row>
    <row r="160" spans="1:8" x14ac:dyDescent="0.25">
      <c r="A160" s="27"/>
      <c r="B160" s="28"/>
      <c r="C160" s="8"/>
      <c r="D160" s="8"/>
      <c r="E160" s="8"/>
      <c r="F160" s="8"/>
      <c r="G160" s="8"/>
      <c r="H160" s="8"/>
    </row>
    <row r="161" spans="1:8" x14ac:dyDescent="0.25">
      <c r="A161" s="27"/>
      <c r="B161" s="28"/>
      <c r="C161" s="8"/>
      <c r="D161" s="8"/>
      <c r="E161" s="8"/>
      <c r="F161" s="8"/>
      <c r="G161" s="8"/>
      <c r="H161" s="8"/>
    </row>
    <row r="162" spans="1:8" x14ac:dyDescent="0.25">
      <c r="A162" s="27"/>
      <c r="B162" s="28"/>
      <c r="C162" s="8"/>
      <c r="D162" s="8"/>
      <c r="E162" s="8"/>
      <c r="F162" s="8"/>
      <c r="G162" s="8"/>
      <c r="H162" s="8"/>
    </row>
    <row r="163" spans="1:8" x14ac:dyDescent="0.25">
      <c r="A163" s="27"/>
      <c r="B163" s="28"/>
      <c r="C163" s="8"/>
      <c r="D163" s="8"/>
      <c r="E163" s="8"/>
      <c r="F163" s="8"/>
      <c r="G163" s="8"/>
      <c r="H163" s="8"/>
    </row>
    <row r="164" spans="1:8" x14ac:dyDescent="0.25">
      <c r="A164" s="27"/>
      <c r="B164" s="28"/>
      <c r="C164" s="8"/>
      <c r="D164" s="8"/>
      <c r="E164" s="8"/>
      <c r="F164" s="8"/>
      <c r="G164" s="8"/>
      <c r="H164" s="8"/>
    </row>
    <row r="165" spans="1:8" x14ac:dyDescent="0.25">
      <c r="A165" s="27"/>
      <c r="B165" s="28"/>
      <c r="C165" s="8"/>
      <c r="D165" s="8"/>
      <c r="E165" s="8"/>
      <c r="F165" s="8"/>
      <c r="G165" s="8"/>
      <c r="H165" s="8"/>
    </row>
    <row r="166" spans="1:8" x14ac:dyDescent="0.25">
      <c r="A166" s="27"/>
      <c r="B166" s="28"/>
      <c r="C166" s="8"/>
      <c r="D166" s="8"/>
      <c r="E166" s="8"/>
      <c r="F166" s="8"/>
      <c r="G166" s="8"/>
      <c r="H166" s="8"/>
    </row>
    <row r="167" spans="1:8" x14ac:dyDescent="0.25">
      <c r="A167" s="27"/>
      <c r="B167" s="28"/>
      <c r="C167" s="8"/>
      <c r="D167" s="8"/>
      <c r="E167" s="8"/>
      <c r="F167" s="8"/>
      <c r="G167" s="8"/>
      <c r="H167" s="8"/>
    </row>
    <row r="168" spans="1:8" x14ac:dyDescent="0.25">
      <c r="A168" s="27"/>
      <c r="B168" s="28"/>
      <c r="C168" s="8"/>
      <c r="D168" s="8"/>
      <c r="E168" s="8"/>
      <c r="F168" s="8"/>
      <c r="G168" s="8"/>
      <c r="H168" s="8"/>
    </row>
    <row r="169" spans="1:8" x14ac:dyDescent="0.25">
      <c r="A169" s="27"/>
      <c r="B169" s="28"/>
      <c r="C169" s="8"/>
      <c r="D169" s="8"/>
      <c r="E169" s="8"/>
      <c r="F169" s="8"/>
      <c r="G169" s="8"/>
      <c r="H169" s="8"/>
    </row>
    <row r="170" spans="1:8" x14ac:dyDescent="0.25">
      <c r="A170" s="27"/>
      <c r="B170" s="28"/>
      <c r="C170" s="8"/>
      <c r="D170" s="8"/>
      <c r="E170" s="8"/>
      <c r="F170" s="8"/>
      <c r="G170" s="8"/>
      <c r="H170" s="8"/>
    </row>
    <row r="171" spans="1:8" x14ac:dyDescent="0.25">
      <c r="A171" s="27"/>
      <c r="B171" s="28"/>
      <c r="C171" s="8"/>
      <c r="D171" s="8"/>
      <c r="E171" s="8"/>
      <c r="F171" s="8"/>
      <c r="G171" s="8"/>
      <c r="H171" s="8"/>
    </row>
    <row r="172" spans="1:8" x14ac:dyDescent="0.25">
      <c r="A172" s="27"/>
      <c r="B172" s="28"/>
      <c r="C172" s="8"/>
      <c r="D172" s="8"/>
      <c r="E172" s="8"/>
      <c r="F172" s="8"/>
      <c r="G172" s="8"/>
      <c r="H172" s="8"/>
    </row>
    <row r="173" spans="1:8" x14ac:dyDescent="0.25">
      <c r="A173" s="27"/>
      <c r="B173" s="28"/>
      <c r="C173" s="8"/>
      <c r="D173" s="8"/>
      <c r="E173" s="8"/>
      <c r="F173" s="8"/>
      <c r="G173" s="8"/>
      <c r="H173" s="8"/>
    </row>
    <row r="174" spans="1:8" x14ac:dyDescent="0.25">
      <c r="A174" s="27"/>
      <c r="B174" s="28"/>
      <c r="C174" s="8"/>
      <c r="D174" s="8"/>
      <c r="E174" s="8"/>
      <c r="F174" s="8"/>
      <c r="G174" s="8"/>
      <c r="H174" s="8"/>
    </row>
    <row r="175" spans="1:8" x14ac:dyDescent="0.25">
      <c r="A175" s="27"/>
      <c r="B175" s="28"/>
      <c r="C175" s="28"/>
      <c r="D175" s="28"/>
      <c r="E175" s="28"/>
      <c r="F175" s="28"/>
      <c r="G175" s="28"/>
      <c r="H175" s="28"/>
    </row>
    <row r="176" spans="1:8" x14ac:dyDescent="0.25">
      <c r="A176" s="27"/>
      <c r="B176" s="28"/>
      <c r="C176" s="28"/>
      <c r="D176" s="28"/>
      <c r="E176" s="28"/>
      <c r="F176" s="28"/>
      <c r="G176" s="28"/>
      <c r="H176" s="28"/>
    </row>
    <row r="177" spans="1:8" x14ac:dyDescent="0.25">
      <c r="A177" s="27"/>
      <c r="B177" s="28"/>
      <c r="C177" s="28"/>
      <c r="D177" s="28"/>
      <c r="E177" s="28"/>
      <c r="F177" s="28"/>
      <c r="G177" s="28"/>
      <c r="H177" s="28"/>
    </row>
    <row r="178" spans="1:8" x14ac:dyDescent="0.25">
      <c r="A178" s="27"/>
      <c r="B178" s="28"/>
      <c r="C178" s="28"/>
      <c r="D178" s="28"/>
      <c r="E178" s="28"/>
      <c r="F178" s="28"/>
      <c r="G178" s="28"/>
      <c r="H178" s="28"/>
    </row>
    <row r="179" spans="1:8" x14ac:dyDescent="0.25">
      <c r="A179" s="27"/>
      <c r="B179" s="28"/>
      <c r="C179" s="28"/>
      <c r="D179" s="28"/>
      <c r="E179" s="28"/>
      <c r="F179" s="28"/>
      <c r="G179" s="28"/>
      <c r="H179" s="28"/>
    </row>
    <row r="180" spans="1:8" x14ac:dyDescent="0.25">
      <c r="A180" s="27"/>
      <c r="B180" s="28"/>
      <c r="C180" s="28"/>
      <c r="D180" s="28"/>
      <c r="E180" s="28"/>
      <c r="F180" s="28"/>
      <c r="G180" s="28"/>
      <c r="H180" s="28"/>
    </row>
    <row r="181" spans="1:8" x14ac:dyDescent="0.25">
      <c r="A181" s="27"/>
      <c r="B181" s="28"/>
      <c r="C181" s="28"/>
      <c r="D181" s="28"/>
      <c r="E181" s="28"/>
      <c r="F181" s="28"/>
      <c r="G181" s="28"/>
      <c r="H181" s="28"/>
    </row>
    <row r="182" spans="1:8" x14ac:dyDescent="0.25">
      <c r="A182" s="27"/>
      <c r="B182" s="28"/>
      <c r="C182" s="28"/>
      <c r="D182" s="28"/>
      <c r="E182" s="28"/>
      <c r="F182" s="28"/>
      <c r="G182" s="28"/>
      <c r="H182" s="28"/>
    </row>
    <row r="183" spans="1:8" x14ac:dyDescent="0.25">
      <c r="A183" s="27"/>
      <c r="B183" s="28"/>
      <c r="C183" s="28"/>
      <c r="D183" s="28"/>
      <c r="E183" s="28"/>
      <c r="F183" s="28"/>
      <c r="G183" s="28"/>
      <c r="H183" s="28"/>
    </row>
    <row r="184" spans="1:8" x14ac:dyDescent="0.25">
      <c r="A184" s="27"/>
      <c r="B184" s="28"/>
      <c r="C184" s="28"/>
      <c r="D184" s="28"/>
      <c r="E184" s="28"/>
      <c r="F184" s="28"/>
      <c r="G184" s="28"/>
      <c r="H184" s="28"/>
    </row>
    <row r="185" spans="1:8" x14ac:dyDescent="0.25">
      <c r="A185" s="27"/>
      <c r="B185" s="28"/>
      <c r="C185" s="28"/>
      <c r="D185" s="28"/>
      <c r="E185" s="28"/>
      <c r="F185" s="28"/>
      <c r="G185" s="28"/>
      <c r="H185" s="28"/>
    </row>
    <row r="186" spans="1:8" x14ac:dyDescent="0.25">
      <c r="A186" s="27"/>
      <c r="B186" s="28"/>
      <c r="C186" s="28"/>
      <c r="D186" s="28"/>
      <c r="E186" s="28"/>
      <c r="F186" s="28"/>
      <c r="G186" s="28"/>
      <c r="H186" s="28"/>
    </row>
    <row r="187" spans="1:8" x14ac:dyDescent="0.25">
      <c r="A187" s="27"/>
      <c r="B187" s="28"/>
      <c r="C187" s="28"/>
      <c r="D187" s="28"/>
      <c r="E187" s="28"/>
      <c r="F187" s="28"/>
      <c r="G187" s="28"/>
      <c r="H187" s="28"/>
    </row>
    <row r="188" spans="1:8" x14ac:dyDescent="0.25">
      <c r="A188" s="27"/>
      <c r="B188" s="28"/>
      <c r="C188" s="28"/>
      <c r="D188" s="28"/>
      <c r="E188" s="28"/>
      <c r="F188" s="28"/>
      <c r="G188" s="28"/>
      <c r="H188" s="28"/>
    </row>
    <row r="189" spans="1:8" x14ac:dyDescent="0.25">
      <c r="A189" s="27"/>
      <c r="B189" s="28"/>
      <c r="C189" s="28"/>
      <c r="D189" s="28"/>
      <c r="E189" s="28"/>
      <c r="F189" s="28"/>
      <c r="G189" s="28"/>
      <c r="H189" s="28"/>
    </row>
    <row r="190" spans="1:8" x14ac:dyDescent="0.25">
      <c r="A190" s="27"/>
      <c r="B190" s="28"/>
      <c r="C190" s="28"/>
      <c r="D190" s="28"/>
      <c r="E190" s="28"/>
      <c r="F190" s="28"/>
      <c r="G190" s="28"/>
      <c r="H190" s="28"/>
    </row>
    <row r="191" spans="1:8" x14ac:dyDescent="0.25">
      <c r="A191" s="27"/>
      <c r="B191" s="28"/>
      <c r="C191" s="28"/>
      <c r="D191" s="28"/>
      <c r="E191" s="28"/>
      <c r="F191" s="28"/>
      <c r="G191" s="28"/>
      <c r="H191" s="28"/>
    </row>
    <row r="192" spans="1:8" x14ac:dyDescent="0.25">
      <c r="A192" s="27"/>
      <c r="B192" s="28"/>
      <c r="C192" s="28"/>
      <c r="D192" s="28"/>
      <c r="E192" s="28"/>
      <c r="F192" s="28"/>
      <c r="G192" s="28"/>
      <c r="H192" s="28"/>
    </row>
    <row r="193" spans="1:8" x14ac:dyDescent="0.25">
      <c r="A193" s="27"/>
      <c r="B193" s="28"/>
      <c r="C193" s="28"/>
      <c r="D193" s="28"/>
      <c r="E193" s="28"/>
      <c r="F193" s="28"/>
      <c r="G193" s="28"/>
      <c r="H193" s="28"/>
    </row>
    <row r="194" spans="1:8" x14ac:dyDescent="0.25">
      <c r="A194" s="27"/>
      <c r="B194" s="28"/>
      <c r="C194" s="28"/>
      <c r="D194" s="28"/>
      <c r="E194" s="28"/>
      <c r="F194" s="28"/>
      <c r="G194" s="28"/>
      <c r="H194" s="28"/>
    </row>
    <row r="195" spans="1:8" x14ac:dyDescent="0.25">
      <c r="A195" s="27"/>
      <c r="B195" s="28"/>
      <c r="C195" s="28"/>
      <c r="D195" s="28"/>
      <c r="E195" s="28"/>
      <c r="F195" s="28"/>
      <c r="G195" s="28"/>
      <c r="H195" s="28"/>
    </row>
    <row r="196" spans="1:8" x14ac:dyDescent="0.25">
      <c r="A196" s="27"/>
      <c r="B196" s="28"/>
      <c r="C196" s="28"/>
      <c r="D196" s="28"/>
      <c r="E196" s="28"/>
      <c r="F196" s="28"/>
      <c r="G196" s="28"/>
      <c r="H196" s="28"/>
    </row>
    <row r="197" spans="1:8" x14ac:dyDescent="0.25">
      <c r="A197" s="27"/>
      <c r="B197" s="28"/>
      <c r="C197" s="28"/>
      <c r="D197" s="28"/>
      <c r="E197" s="28"/>
      <c r="F197" s="28"/>
      <c r="G197" s="28"/>
      <c r="H197" s="28"/>
    </row>
    <row r="198" spans="1:8" x14ac:dyDescent="0.25">
      <c r="A198" s="27"/>
      <c r="B198" s="28"/>
      <c r="C198" s="28"/>
      <c r="D198" s="28"/>
      <c r="E198" s="28"/>
      <c r="F198" s="28"/>
      <c r="G198" s="28"/>
      <c r="H198" s="28"/>
    </row>
    <row r="199" spans="1:8" x14ac:dyDescent="0.25">
      <c r="A199" s="27"/>
      <c r="B199" s="28"/>
      <c r="C199" s="28"/>
      <c r="D199" s="28"/>
      <c r="E199" s="28"/>
      <c r="F199" s="28"/>
      <c r="G199" s="28"/>
      <c r="H199" s="28"/>
    </row>
    <row r="200" spans="1:8" x14ac:dyDescent="0.25">
      <c r="A200" s="27"/>
      <c r="B200" s="28"/>
      <c r="C200" s="28"/>
      <c r="D200" s="28"/>
      <c r="E200" s="28"/>
      <c r="F200" s="28"/>
      <c r="G200" s="28"/>
      <c r="H200" s="28"/>
    </row>
    <row r="201" spans="1:8" x14ac:dyDescent="0.25">
      <c r="A201" s="27"/>
      <c r="B201" s="28"/>
      <c r="C201" s="28"/>
      <c r="D201" s="28"/>
      <c r="E201" s="28"/>
      <c r="F201" s="28"/>
      <c r="G201" s="28"/>
      <c r="H201" s="28"/>
    </row>
    <row r="202" spans="1:8" x14ac:dyDescent="0.25">
      <c r="A202" s="27"/>
      <c r="B202" s="28"/>
      <c r="C202" s="28"/>
      <c r="D202" s="28"/>
      <c r="E202" s="28"/>
      <c r="F202" s="28"/>
      <c r="G202" s="28"/>
      <c r="H202" s="28"/>
    </row>
    <row r="203" spans="1:8" x14ac:dyDescent="0.25">
      <c r="A203" s="27"/>
      <c r="B203" s="28"/>
      <c r="C203" s="28"/>
      <c r="D203" s="28"/>
      <c r="E203" s="28"/>
      <c r="F203" s="28"/>
      <c r="G203" s="28"/>
      <c r="H203" s="28"/>
    </row>
    <row r="204" spans="1:8" x14ac:dyDescent="0.25">
      <c r="A204" s="27"/>
      <c r="B204" s="28"/>
      <c r="C204" s="28"/>
      <c r="D204" s="28"/>
      <c r="E204" s="28"/>
      <c r="F204" s="28"/>
      <c r="G204" s="28"/>
      <c r="H204" s="28"/>
    </row>
    <row r="205" spans="1:8" x14ac:dyDescent="0.25">
      <c r="A205" s="27"/>
      <c r="B205" s="28"/>
      <c r="C205" s="28"/>
      <c r="D205" s="28"/>
      <c r="E205" s="28"/>
      <c r="F205" s="28"/>
      <c r="G205" s="28"/>
      <c r="H205" s="28"/>
    </row>
    <row r="206" spans="1:8" x14ac:dyDescent="0.25">
      <c r="A206" s="27"/>
      <c r="B206" s="28"/>
      <c r="C206" s="28"/>
      <c r="D206" s="28"/>
      <c r="E206" s="28"/>
      <c r="F206" s="28"/>
      <c r="G206" s="28"/>
      <c r="H206" s="28"/>
    </row>
    <row r="207" spans="1:8" x14ac:dyDescent="0.25">
      <c r="A207" s="27"/>
      <c r="B207" s="28"/>
      <c r="C207" s="28"/>
      <c r="D207" s="28"/>
      <c r="E207" s="28"/>
      <c r="F207" s="28"/>
      <c r="G207" s="28"/>
      <c r="H207" s="28"/>
    </row>
    <row r="208" spans="1:8" x14ac:dyDescent="0.25">
      <c r="A208" s="27"/>
      <c r="B208" s="28"/>
      <c r="C208" s="28"/>
      <c r="D208" s="28"/>
      <c r="E208" s="28"/>
      <c r="F208" s="28"/>
      <c r="G208" s="28"/>
      <c r="H208" s="28"/>
    </row>
    <row r="209" spans="1:8" x14ac:dyDescent="0.25">
      <c r="A209" s="27"/>
      <c r="B209" s="28"/>
      <c r="C209" s="28"/>
      <c r="D209" s="28"/>
      <c r="E209" s="28"/>
      <c r="F209" s="28"/>
      <c r="G209" s="28"/>
      <c r="H209" s="28"/>
    </row>
    <row r="210" spans="1:8" x14ac:dyDescent="0.25">
      <c r="A210" s="27"/>
      <c r="B210" s="28"/>
      <c r="C210" s="28"/>
      <c r="D210" s="28"/>
      <c r="E210" s="28"/>
      <c r="F210" s="28"/>
      <c r="G210" s="28"/>
      <c r="H210" s="28"/>
    </row>
    <row r="211" spans="1:8" x14ac:dyDescent="0.25">
      <c r="A211" s="27"/>
      <c r="B211" s="28"/>
      <c r="C211" s="28"/>
      <c r="D211" s="28"/>
      <c r="E211" s="28"/>
      <c r="F211" s="28"/>
      <c r="G211" s="28"/>
      <c r="H211" s="28"/>
    </row>
    <row r="212" spans="1:8" x14ac:dyDescent="0.25">
      <c r="A212" s="27"/>
      <c r="B212" s="28"/>
      <c r="C212" s="28"/>
      <c r="D212" s="28"/>
      <c r="E212" s="28"/>
      <c r="F212" s="28"/>
      <c r="G212" s="28"/>
      <c r="H212" s="28"/>
    </row>
    <row r="213" spans="1:8" x14ac:dyDescent="0.25">
      <c r="A213" s="27"/>
      <c r="B213" s="28"/>
      <c r="C213" s="28"/>
      <c r="D213" s="28"/>
      <c r="E213" s="28"/>
      <c r="F213" s="28"/>
      <c r="G213" s="28"/>
      <c r="H213" s="28"/>
    </row>
    <row r="214" spans="1:8" x14ac:dyDescent="0.25">
      <c r="A214" s="27"/>
      <c r="B214" s="28"/>
      <c r="C214" s="28"/>
      <c r="D214" s="28"/>
      <c r="E214" s="28"/>
      <c r="F214" s="28"/>
      <c r="G214" s="28"/>
      <c r="H214" s="28"/>
    </row>
    <row r="215" spans="1:8" x14ac:dyDescent="0.25">
      <c r="A215" s="27"/>
      <c r="B215" s="28"/>
      <c r="C215" s="28"/>
      <c r="D215" s="28"/>
      <c r="E215" s="28"/>
      <c r="F215" s="28"/>
      <c r="G215" s="28"/>
      <c r="H215" s="28"/>
    </row>
    <row r="216" spans="1:8" x14ac:dyDescent="0.25">
      <c r="A216" s="27"/>
      <c r="B216" s="28"/>
      <c r="C216" s="28"/>
      <c r="D216" s="28"/>
      <c r="E216" s="28"/>
      <c r="F216" s="28"/>
      <c r="G216" s="28"/>
      <c r="H216" s="28"/>
    </row>
    <row r="217" spans="1:8" x14ac:dyDescent="0.25">
      <c r="A217" s="27"/>
      <c r="B217" s="28"/>
      <c r="C217" s="28"/>
      <c r="D217" s="28"/>
      <c r="E217" s="28"/>
      <c r="F217" s="28"/>
      <c r="G217" s="28"/>
      <c r="H217" s="28"/>
    </row>
    <row r="218" spans="1:8" x14ac:dyDescent="0.25">
      <c r="A218" s="27"/>
      <c r="B218" s="28"/>
      <c r="C218" s="28"/>
      <c r="D218" s="28"/>
      <c r="E218" s="28"/>
      <c r="F218" s="28"/>
      <c r="G218" s="28"/>
      <c r="H218" s="28"/>
    </row>
    <row r="219" spans="1:8" x14ac:dyDescent="0.25">
      <c r="A219" s="27"/>
      <c r="B219" s="28"/>
      <c r="C219" s="28"/>
      <c r="D219" s="28"/>
      <c r="E219" s="28"/>
      <c r="F219" s="28"/>
      <c r="G219" s="28"/>
      <c r="H219" s="28"/>
    </row>
    <row r="220" spans="1:8" x14ac:dyDescent="0.25">
      <c r="A220" s="27"/>
      <c r="B220" s="28"/>
      <c r="C220" s="28"/>
      <c r="D220" s="28"/>
      <c r="E220" s="28"/>
      <c r="F220" s="28"/>
      <c r="G220" s="28"/>
      <c r="H220" s="28"/>
    </row>
    <row r="221" spans="1:8" x14ac:dyDescent="0.25">
      <c r="A221" s="27"/>
      <c r="B221" s="28"/>
      <c r="C221" s="28"/>
      <c r="D221" s="28"/>
      <c r="E221" s="28"/>
      <c r="F221" s="28"/>
      <c r="G221" s="28"/>
      <c r="H221" s="28"/>
    </row>
    <row r="222" spans="1:8" x14ac:dyDescent="0.25">
      <c r="A222" s="27"/>
      <c r="B222" s="28"/>
      <c r="C222" s="28"/>
      <c r="D222" s="28"/>
      <c r="E222" s="28"/>
      <c r="F222" s="28"/>
      <c r="G222" s="28"/>
      <c r="H222" s="28"/>
    </row>
    <row r="223" spans="1:8" x14ac:dyDescent="0.25">
      <c r="A223" s="27"/>
      <c r="B223" s="28"/>
      <c r="C223" s="28"/>
      <c r="D223" s="28"/>
      <c r="E223" s="28"/>
      <c r="F223" s="28"/>
      <c r="G223" s="28"/>
      <c r="H223" s="28"/>
    </row>
    <row r="224" spans="1:8" x14ac:dyDescent="0.25">
      <c r="A224" s="27"/>
      <c r="B224" s="28"/>
      <c r="C224" s="28"/>
      <c r="D224" s="28"/>
      <c r="E224" s="28"/>
      <c r="F224" s="28"/>
      <c r="G224" s="28"/>
      <c r="H224" s="28"/>
    </row>
    <row r="225" spans="1:8" x14ac:dyDescent="0.25">
      <c r="A225" s="27"/>
      <c r="B225" s="28"/>
      <c r="C225" s="28"/>
      <c r="D225" s="28"/>
      <c r="E225" s="28"/>
      <c r="F225" s="28"/>
      <c r="G225" s="28"/>
      <c r="H225" s="28"/>
    </row>
    <row r="226" spans="1:8" x14ac:dyDescent="0.25">
      <c r="A226" s="27"/>
      <c r="B226" s="28"/>
      <c r="C226" s="28"/>
      <c r="D226" s="28"/>
      <c r="E226" s="28"/>
      <c r="F226" s="28"/>
      <c r="G226" s="28"/>
      <c r="H226" s="28"/>
    </row>
    <row r="227" spans="1:8" x14ac:dyDescent="0.25">
      <c r="A227" s="27"/>
      <c r="B227" s="28"/>
      <c r="C227" s="28"/>
      <c r="D227" s="28"/>
      <c r="E227" s="28"/>
      <c r="F227" s="28"/>
      <c r="G227" s="28"/>
      <c r="H227" s="28"/>
    </row>
    <row r="228" spans="1:8" x14ac:dyDescent="0.25">
      <c r="A228" s="27"/>
      <c r="B228" s="28"/>
      <c r="C228" s="28"/>
      <c r="D228" s="28"/>
      <c r="E228" s="28"/>
      <c r="F228" s="28"/>
      <c r="G228" s="28"/>
      <c r="H228" s="28"/>
    </row>
    <row r="229" spans="1:8" x14ac:dyDescent="0.25">
      <c r="A229" s="27"/>
      <c r="B229" s="28"/>
      <c r="C229" s="28"/>
      <c r="D229" s="28"/>
      <c r="E229" s="28"/>
      <c r="F229" s="28"/>
      <c r="G229" s="28"/>
      <c r="H229" s="28"/>
    </row>
    <row r="230" spans="1:8" x14ac:dyDescent="0.25">
      <c r="A230" s="27"/>
      <c r="B230" s="28"/>
      <c r="C230" s="28"/>
      <c r="D230" s="28"/>
      <c r="E230" s="28"/>
      <c r="F230" s="28"/>
      <c r="G230" s="28"/>
      <c r="H230" s="28"/>
    </row>
    <row r="231" spans="1:8" x14ac:dyDescent="0.25">
      <c r="A231" s="27"/>
      <c r="B231" s="28"/>
      <c r="C231" s="28"/>
      <c r="D231" s="28"/>
      <c r="E231" s="28"/>
      <c r="F231" s="28"/>
      <c r="G231" s="28"/>
      <c r="H231" s="28"/>
    </row>
    <row r="232" spans="1:8" x14ac:dyDescent="0.25">
      <c r="A232" s="27"/>
      <c r="B232" s="28"/>
      <c r="C232" s="28"/>
      <c r="D232" s="28"/>
      <c r="E232" s="28"/>
      <c r="F232" s="28"/>
      <c r="G232" s="28"/>
      <c r="H232" s="28"/>
    </row>
    <row r="233" spans="1:8" x14ac:dyDescent="0.25">
      <c r="A233" s="27"/>
      <c r="B233" s="28"/>
      <c r="C233" s="28"/>
      <c r="D233" s="28"/>
      <c r="E233" s="28"/>
      <c r="F233" s="28"/>
      <c r="G233" s="28"/>
      <c r="H233" s="28"/>
    </row>
    <row r="234" spans="1:8" x14ac:dyDescent="0.25">
      <c r="A234" s="27"/>
      <c r="B234" s="28"/>
      <c r="C234" s="28"/>
      <c r="D234" s="28"/>
      <c r="E234" s="28"/>
      <c r="F234" s="28"/>
      <c r="G234" s="28"/>
      <c r="H234" s="28"/>
    </row>
    <row r="235" spans="1:8" x14ac:dyDescent="0.25">
      <c r="A235" s="27"/>
      <c r="B235" s="28"/>
      <c r="C235" s="28"/>
      <c r="D235" s="28"/>
      <c r="E235" s="28"/>
      <c r="F235" s="28"/>
      <c r="G235" s="28"/>
      <c r="H235" s="28"/>
    </row>
    <row r="236" spans="1:8" x14ac:dyDescent="0.25">
      <c r="A236" s="27"/>
      <c r="B236" s="28"/>
      <c r="C236" s="28"/>
      <c r="D236" s="28"/>
      <c r="E236" s="28"/>
      <c r="F236" s="28"/>
      <c r="G236" s="28"/>
      <c r="H236" s="28"/>
    </row>
    <row r="237" spans="1:8" x14ac:dyDescent="0.25">
      <c r="A237" s="27"/>
      <c r="B237" s="28"/>
      <c r="C237" s="28"/>
      <c r="D237" s="28"/>
      <c r="E237" s="28"/>
      <c r="F237" s="28"/>
      <c r="G237" s="28"/>
      <c r="H237" s="28"/>
    </row>
    <row r="238" spans="1:8" x14ac:dyDescent="0.25">
      <c r="A238" s="27"/>
      <c r="B238" s="28"/>
      <c r="C238" s="28"/>
      <c r="D238" s="28"/>
      <c r="E238" s="28"/>
      <c r="F238" s="28"/>
      <c r="G238" s="28"/>
    </row>
    <row r="239" spans="1:8" x14ac:dyDescent="0.25">
      <c r="A239" s="27"/>
      <c r="B239" s="28"/>
      <c r="C239" s="28"/>
      <c r="D239" s="28"/>
      <c r="E239" s="28"/>
      <c r="F239" s="28"/>
      <c r="G239" s="28"/>
    </row>
    <row r="240" spans="1:8" x14ac:dyDescent="0.25">
      <c r="A240" s="27"/>
      <c r="B240" s="28"/>
      <c r="C240" s="28"/>
      <c r="D240" s="28"/>
      <c r="E240" s="28"/>
      <c r="F240" s="28"/>
      <c r="G240" s="28"/>
    </row>
    <row r="241" spans="1:7" x14ac:dyDescent="0.25">
      <c r="A241" s="27"/>
      <c r="B241" s="28"/>
      <c r="C241" s="28"/>
      <c r="D241" s="28"/>
      <c r="E241" s="28"/>
      <c r="F241" s="28"/>
      <c r="G241" s="28"/>
    </row>
    <row r="242" spans="1:7" x14ac:dyDescent="0.25">
      <c r="A242" s="27"/>
      <c r="B242" s="28"/>
      <c r="C242" s="28"/>
      <c r="D242" s="28"/>
      <c r="E242" s="28"/>
      <c r="F242" s="28"/>
      <c r="G242" s="28"/>
    </row>
    <row r="243" spans="1:7" x14ac:dyDescent="0.25">
      <c r="A243" s="27"/>
      <c r="B243" s="28"/>
      <c r="C243" s="28"/>
      <c r="D243" s="28"/>
      <c r="E243" s="28"/>
      <c r="F243" s="28"/>
      <c r="G243" s="28"/>
    </row>
    <row r="244" spans="1:7" x14ac:dyDescent="0.25">
      <c r="B244" s="28"/>
      <c r="C244" s="28"/>
      <c r="D244" s="28"/>
      <c r="E244" s="28"/>
      <c r="F244" s="28"/>
      <c r="G244" s="28"/>
    </row>
    <row r="245" spans="1:7" x14ac:dyDescent="0.25">
      <c r="B245" s="28"/>
      <c r="C245" s="28"/>
      <c r="D245" s="28"/>
      <c r="E245" s="28"/>
      <c r="F245" s="28"/>
      <c r="G245" s="28"/>
    </row>
    <row r="246" spans="1:7" x14ac:dyDescent="0.25">
      <c r="B246" s="28"/>
      <c r="C246" s="28"/>
      <c r="D246" s="28"/>
      <c r="E246" s="28"/>
      <c r="F246" s="28"/>
      <c r="G246" s="28"/>
    </row>
    <row r="247" spans="1:7" x14ac:dyDescent="0.25">
      <c r="B247" s="28"/>
      <c r="C247" s="28"/>
      <c r="D247" s="28"/>
      <c r="E247" s="28"/>
      <c r="F247" s="28"/>
      <c r="G247" s="28"/>
    </row>
    <row r="248" spans="1:7" x14ac:dyDescent="0.25">
      <c r="B248" s="28"/>
      <c r="C248" s="28"/>
      <c r="D248" s="28"/>
      <c r="E248" s="28"/>
      <c r="F248" s="28"/>
      <c r="G248" s="28"/>
    </row>
    <row r="249" spans="1:7" x14ac:dyDescent="0.25">
      <c r="B249" s="28"/>
      <c r="C249" s="28"/>
      <c r="D249" s="28"/>
      <c r="E249" s="28"/>
      <c r="F249" s="28"/>
      <c r="G249" s="28"/>
    </row>
    <row r="250" spans="1:7" x14ac:dyDescent="0.25">
      <c r="B250" s="28"/>
      <c r="C250" s="28"/>
      <c r="D250" s="28"/>
      <c r="E250" s="28"/>
      <c r="F250" s="28"/>
      <c r="G250" s="28"/>
    </row>
    <row r="251" spans="1:7" x14ac:dyDescent="0.25">
      <c r="B251" s="28"/>
      <c r="C251" s="28"/>
      <c r="D251" s="28"/>
      <c r="E251" s="28"/>
      <c r="F251" s="28"/>
      <c r="G251" s="28"/>
    </row>
    <row r="252" spans="1:7" x14ac:dyDescent="0.25">
      <c r="B252" s="28"/>
      <c r="C252" s="28"/>
      <c r="D252" s="28"/>
      <c r="E252" s="28"/>
      <c r="F252" s="28"/>
      <c r="G252" s="28"/>
    </row>
    <row r="253" spans="1:7" x14ac:dyDescent="0.25">
      <c r="B253" s="28"/>
      <c r="C253" s="28"/>
      <c r="D253" s="28"/>
      <c r="E253" s="28"/>
      <c r="F253" s="28"/>
      <c r="G253" s="28"/>
    </row>
    <row r="254" spans="1:7" x14ac:dyDescent="0.25">
      <c r="B254" s="28"/>
      <c r="C254" s="28"/>
      <c r="D254" s="28"/>
      <c r="E254" s="28"/>
      <c r="F254" s="28"/>
      <c r="G254" s="28"/>
    </row>
    <row r="255" spans="1:7" x14ac:dyDescent="0.25">
      <c r="B255" s="28"/>
      <c r="C255" s="28"/>
      <c r="D255" s="28"/>
      <c r="E255" s="28"/>
      <c r="F255" s="28"/>
      <c r="G255" s="28"/>
    </row>
    <row r="256" spans="1:7" x14ac:dyDescent="0.25">
      <c r="B256" s="28"/>
      <c r="C256" s="28"/>
      <c r="D256" s="28"/>
      <c r="E256" s="28"/>
      <c r="F256" s="28"/>
      <c r="G256" s="28"/>
    </row>
    <row r="257" spans="2:7" x14ac:dyDescent="0.25">
      <c r="B257" s="28"/>
      <c r="C257" s="28"/>
      <c r="D257" s="28"/>
      <c r="E257" s="28"/>
      <c r="F257" s="28"/>
      <c r="G257" s="28"/>
    </row>
    <row r="258" spans="2:7" x14ac:dyDescent="0.25">
      <c r="B258" s="28"/>
      <c r="C258" s="28"/>
      <c r="D258" s="28"/>
      <c r="E258" s="28"/>
      <c r="F258" s="28"/>
      <c r="G258" s="28"/>
    </row>
    <row r="259" spans="2:7" x14ac:dyDescent="0.25">
      <c r="B259" s="28"/>
      <c r="C259" s="28"/>
      <c r="D259" s="28"/>
      <c r="E259" s="28"/>
      <c r="F259" s="28"/>
      <c r="G259" s="28"/>
    </row>
    <row r="260" spans="2:7" x14ac:dyDescent="0.25">
      <c r="B260" s="28"/>
      <c r="C260" s="28"/>
      <c r="D260" s="28"/>
      <c r="E260" s="28"/>
      <c r="F260" s="28"/>
      <c r="G260" s="28"/>
    </row>
    <row r="261" spans="2:7" x14ac:dyDescent="0.25">
      <c r="B261" s="28"/>
      <c r="C261" s="28"/>
      <c r="D261" s="28"/>
      <c r="E261" s="28"/>
      <c r="F261" s="28"/>
      <c r="G261" s="28"/>
    </row>
    <row r="262" spans="2:7" x14ac:dyDescent="0.25">
      <c r="B262" s="28"/>
      <c r="C262" s="28"/>
      <c r="D262" s="28"/>
      <c r="E262" s="28"/>
      <c r="F262" s="28"/>
      <c r="G262" s="28"/>
    </row>
    <row r="263" spans="2:7" x14ac:dyDescent="0.25">
      <c r="B263" s="28"/>
      <c r="C263" s="28"/>
      <c r="D263" s="28"/>
      <c r="E263" s="28"/>
      <c r="F263" s="28"/>
      <c r="G263" s="28"/>
    </row>
    <row r="264" spans="2:7" x14ac:dyDescent="0.25">
      <c r="B264" s="28"/>
      <c r="C264" s="28"/>
      <c r="D264" s="28"/>
      <c r="E264" s="28"/>
      <c r="F264" s="28"/>
      <c r="G264" s="28"/>
    </row>
    <row r="265" spans="2:7" x14ac:dyDescent="0.25">
      <c r="B265" s="28"/>
      <c r="C265" s="28"/>
      <c r="D265" s="28"/>
      <c r="E265" s="28"/>
      <c r="F265" s="28"/>
      <c r="G265" s="28"/>
    </row>
    <row r="266" spans="2:7" x14ac:dyDescent="0.25">
      <c r="B266" s="28"/>
      <c r="C266" s="28"/>
      <c r="D266" s="28"/>
      <c r="E266" s="28"/>
      <c r="F266" s="28"/>
      <c r="G266" s="28"/>
    </row>
    <row r="267" spans="2:7" x14ac:dyDescent="0.25">
      <c r="B267" s="28"/>
      <c r="C267" s="28"/>
      <c r="D267" s="28"/>
      <c r="E267" s="28"/>
      <c r="F267" s="28"/>
      <c r="G267" s="28"/>
    </row>
    <row r="268" spans="2:7" x14ac:dyDescent="0.25">
      <c r="B268" s="28"/>
      <c r="C268" s="28"/>
      <c r="D268" s="28"/>
      <c r="E268" s="28"/>
      <c r="F268" s="28"/>
      <c r="G268" s="28"/>
    </row>
    <row r="269" spans="2:7" x14ac:dyDescent="0.25">
      <c r="B269" s="28"/>
      <c r="C269" s="28"/>
      <c r="D269" s="28"/>
      <c r="E269" s="28"/>
      <c r="F269" s="28"/>
      <c r="G269" s="28"/>
    </row>
    <row r="270" spans="2:7" x14ac:dyDescent="0.25">
      <c r="B270" s="28"/>
      <c r="C270" s="28"/>
      <c r="D270" s="28"/>
      <c r="E270" s="28"/>
      <c r="F270" s="28"/>
      <c r="G270" s="28"/>
    </row>
  </sheetData>
  <mergeCells count="4">
    <mergeCell ref="A4:A5"/>
    <mergeCell ref="A2:I2"/>
    <mergeCell ref="A1:I1"/>
    <mergeCell ref="A3:I3"/>
  </mergeCells>
  <pageMargins left="0.18" right="0.22" top="0.42" bottom="0.3" header="0.3" footer="0.17"/>
  <pageSetup paperSize="9" scale="80" orientation="landscape" r:id="rId1"/>
  <rowBreaks count="3" manualBreakCount="3">
    <brk id="46" max="9" man="1"/>
    <brk id="91" max="9" man="1"/>
    <brk id="13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13.9</vt:lpstr>
      <vt:lpstr>'13.9'!Print_Area</vt:lpstr>
      <vt:lpstr>'13.9'!Print_Titles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2016-04-20T07:06:39Z</cp:lastPrinted>
  <dcterms:created xsi:type="dcterms:W3CDTF">2014-03-06T08:38:12Z</dcterms:created>
  <dcterms:modified xsi:type="dcterms:W3CDTF">2016-04-20T07:06:41Z</dcterms:modified>
</cp:coreProperties>
</file>