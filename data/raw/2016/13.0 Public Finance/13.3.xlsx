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 activeTab="14"/>
  </bookViews>
  <sheets>
    <sheet name="13.1" sheetId="1" r:id="rId1"/>
    <sheet name="13.2" sheetId="2" r:id="rId2"/>
    <sheet name="13.3" sheetId="3" r:id="rId3"/>
    <sheet name="13.4" sheetId="4" r:id="rId4"/>
    <sheet name="13.5" sheetId="14" r:id="rId5"/>
    <sheet name="13.6" sheetId="16" r:id="rId6"/>
    <sheet name="13.7" sheetId="15" r:id="rId7"/>
    <sheet name="13.8" sheetId="28" r:id="rId8"/>
    <sheet name="13.9" sheetId="24" r:id="rId9"/>
    <sheet name="13.10" sheetId="22" r:id="rId10"/>
    <sheet name="13.11" sheetId="23" r:id="rId11"/>
    <sheet name="Fig 1.5 &amp; 1.6" sheetId="17" r:id="rId12"/>
    <sheet name="Fig13.1&amp;13.2" sheetId="8" r:id="rId13"/>
    <sheet name="13.12" sheetId="25" r:id="rId14"/>
    <sheet name="13.13" sheetId="26" r:id="rId15"/>
    <sheet name="13.14" sheetId="27" r:id="rId16"/>
  </sheets>
  <externalReferences>
    <externalReference r:id="rId17"/>
    <externalReference r:id="rId18"/>
    <externalReference r:id="rId19"/>
  </externalReferences>
  <definedNames>
    <definedName name="_xlnm.Print_Area" localSheetId="0">'13.1'!$A$1:$N$39</definedName>
    <definedName name="_xlnm.Print_Area" localSheetId="10">'13.11'!$A$1:$N$78</definedName>
    <definedName name="_xlnm.Print_Area" localSheetId="3">'13.4'!$A$1:$W$40</definedName>
    <definedName name="_xlnm.Print_Area" localSheetId="4">'13.5'!$A$1:$U$34</definedName>
    <definedName name="_xlnm.Print_Area" localSheetId="5">'13.6'!$A$1:$X$37</definedName>
    <definedName name="_xlnm.Print_Area" localSheetId="6">'13.7'!$A$1:$Z$36</definedName>
    <definedName name="_xlnm.Print_Area" localSheetId="8">'13.9'!$A$1:$O$139</definedName>
    <definedName name="_xlnm.Print_Area" localSheetId="11">'Fig 1.5 &amp; 1.6'!$A$1:$M$62</definedName>
    <definedName name="_xlnm.Print_Titles" localSheetId="10">'13.11'!$4:$5</definedName>
    <definedName name="_xlnm.Print_Titles" localSheetId="2">'13.3'!$5:$7</definedName>
    <definedName name="_xlnm.Print_Titles" localSheetId="8">'13.9'!$4:$5</definedName>
  </definedNames>
  <calcPr calcId="144525"/>
</workbook>
</file>

<file path=xl/calcChain.xml><?xml version="1.0" encoding="utf-8"?>
<calcChain xmlns="http://schemas.openxmlformats.org/spreadsheetml/2006/main">
  <c r="N11" i="3" l="1"/>
  <c r="O54" i="26" l="1"/>
  <c r="O53" i="26"/>
  <c r="N53" i="26"/>
  <c r="O52" i="26"/>
  <c r="N52" i="26"/>
  <c r="O51" i="26"/>
  <c r="N51" i="26"/>
  <c r="N50" i="26"/>
  <c r="O49" i="26"/>
  <c r="N49" i="26"/>
  <c r="O48" i="26"/>
  <c r="N48" i="26"/>
  <c r="O47" i="26"/>
  <c r="N47" i="26"/>
  <c r="O43" i="26"/>
  <c r="N43" i="26"/>
  <c r="O42" i="26"/>
  <c r="N42" i="26"/>
  <c r="O41" i="26"/>
  <c r="N41" i="26"/>
  <c r="O40" i="26"/>
  <c r="N40" i="26"/>
  <c r="O39" i="26"/>
  <c r="N39" i="26"/>
  <c r="O38" i="26"/>
  <c r="N38" i="26"/>
  <c r="O37" i="26"/>
  <c r="N37" i="26"/>
  <c r="N36" i="26"/>
  <c r="O34" i="26"/>
  <c r="N34" i="26"/>
  <c r="O33" i="26"/>
  <c r="O32" i="26"/>
  <c r="O31" i="26"/>
  <c r="N31" i="26"/>
  <c r="O30" i="26"/>
  <c r="O29" i="26"/>
  <c r="N29" i="26"/>
  <c r="O28" i="26"/>
  <c r="O27" i="26"/>
  <c r="N27" i="26"/>
  <c r="O25" i="26"/>
  <c r="N25" i="26"/>
  <c r="O24" i="26"/>
  <c r="N24" i="26"/>
  <c r="O23" i="26"/>
  <c r="N23" i="26"/>
  <c r="O21" i="26"/>
  <c r="N21" i="26"/>
  <c r="O20" i="26"/>
  <c r="N20" i="26"/>
  <c r="O19" i="26"/>
  <c r="N19" i="26"/>
  <c r="O17" i="26"/>
  <c r="N17" i="26"/>
  <c r="O16" i="26"/>
  <c r="N16" i="26"/>
  <c r="O15" i="26"/>
  <c r="N15" i="26"/>
  <c r="O14" i="26"/>
  <c r="N14" i="26"/>
  <c r="O13" i="26"/>
  <c r="N13" i="26"/>
  <c r="K13" i="26"/>
  <c r="O12" i="26"/>
  <c r="N12" i="26"/>
  <c r="O11" i="26"/>
  <c r="N11" i="26"/>
  <c r="O10" i="26"/>
  <c r="N10" i="26"/>
  <c r="K10" i="26"/>
  <c r="O9" i="26"/>
  <c r="N9" i="26"/>
  <c r="K9" i="26"/>
  <c r="O8" i="26"/>
  <c r="N8" i="26"/>
  <c r="F7" i="26"/>
  <c r="L53" i="26" s="1"/>
  <c r="E7" i="26"/>
  <c r="K52" i="26" s="1"/>
  <c r="D7" i="26"/>
  <c r="J51" i="26" s="1"/>
  <c r="C7" i="26"/>
  <c r="I41" i="26" s="1"/>
  <c r="B7" i="26"/>
  <c r="H50" i="26" s="1"/>
  <c r="H28" i="25"/>
  <c r="F28" i="25"/>
  <c r="F29" i="25" s="1"/>
  <c r="E28" i="25"/>
  <c r="J27" i="25" s="1"/>
  <c r="D28" i="25"/>
  <c r="I27" i="25" s="1"/>
  <c r="C28" i="25"/>
  <c r="H24" i="25" s="1"/>
  <c r="B28" i="25"/>
  <c r="G27" i="25" s="1"/>
  <c r="M27" i="25"/>
  <c r="L27" i="25"/>
  <c r="H27" i="25"/>
  <c r="M26" i="25"/>
  <c r="L26" i="25"/>
  <c r="H26" i="25"/>
  <c r="M25" i="25"/>
  <c r="L25" i="25"/>
  <c r="J25" i="25"/>
  <c r="H25" i="25"/>
  <c r="M24" i="25"/>
  <c r="L24" i="25"/>
  <c r="J24" i="25"/>
  <c r="I24" i="25"/>
  <c r="G24" i="25"/>
  <c r="M23" i="25"/>
  <c r="L23" i="25"/>
  <c r="I23" i="25"/>
  <c r="H23" i="25"/>
  <c r="M22" i="25"/>
  <c r="L22" i="25"/>
  <c r="K22" i="25"/>
  <c r="I22" i="25"/>
  <c r="H22" i="25"/>
  <c r="M21" i="25"/>
  <c r="L21" i="25"/>
  <c r="J21" i="25"/>
  <c r="H21" i="25"/>
  <c r="M20" i="25"/>
  <c r="L20" i="25"/>
  <c r="K20" i="25"/>
  <c r="I20" i="25"/>
  <c r="H20" i="25"/>
  <c r="G20" i="25"/>
  <c r="M19" i="25"/>
  <c r="L19" i="25"/>
  <c r="I19" i="25"/>
  <c r="H19" i="25"/>
  <c r="M18" i="25"/>
  <c r="J18" i="25"/>
  <c r="H18" i="25"/>
  <c r="M17" i="25"/>
  <c r="L17" i="25"/>
  <c r="J17" i="25"/>
  <c r="I17" i="25"/>
  <c r="H17" i="25"/>
  <c r="M16" i="25"/>
  <c r="M15" i="25"/>
  <c r="L15" i="25"/>
  <c r="J15" i="25"/>
  <c r="H15" i="25"/>
  <c r="H14" i="25"/>
  <c r="M13" i="25"/>
  <c r="L13" i="25"/>
  <c r="K13" i="25"/>
  <c r="J13" i="25"/>
  <c r="H13" i="25"/>
  <c r="M12" i="25"/>
  <c r="L12" i="25"/>
  <c r="J12" i="25"/>
  <c r="I12" i="25"/>
  <c r="H12" i="25"/>
  <c r="M11" i="25"/>
  <c r="L11" i="25"/>
  <c r="I11" i="25"/>
  <c r="H11" i="25"/>
  <c r="G11" i="25"/>
  <c r="M10" i="25"/>
  <c r="L10" i="25"/>
  <c r="I10" i="25"/>
  <c r="H10" i="25"/>
  <c r="M9" i="25"/>
  <c r="L9" i="25"/>
  <c r="J9" i="25"/>
  <c r="H9" i="25"/>
  <c r="G9" i="25"/>
  <c r="M8" i="25"/>
  <c r="L8" i="25"/>
  <c r="J8" i="25"/>
  <c r="I8" i="25"/>
  <c r="H8" i="25"/>
  <c r="K12" i="25" l="1"/>
  <c r="K15" i="25"/>
  <c r="K21" i="25"/>
  <c r="H11" i="26"/>
  <c r="G10" i="25"/>
  <c r="J11" i="25"/>
  <c r="G14" i="25"/>
  <c r="K17" i="25"/>
  <c r="J20" i="25"/>
  <c r="K24" i="25"/>
  <c r="L11" i="26"/>
  <c r="K14" i="26"/>
  <c r="G8" i="25"/>
  <c r="K10" i="25"/>
  <c r="G13" i="25"/>
  <c r="I14" i="25"/>
  <c r="K16" i="25"/>
  <c r="J19" i="25"/>
  <c r="G22" i="25"/>
  <c r="J23" i="25"/>
  <c r="H10" i="26"/>
  <c r="K14" i="25"/>
  <c r="G18" i="25"/>
  <c r="G25" i="25"/>
  <c r="K26" i="25"/>
  <c r="H15" i="26"/>
  <c r="G26" i="25"/>
  <c r="G12" i="25"/>
  <c r="K9" i="25"/>
  <c r="G15" i="25"/>
  <c r="G17" i="25"/>
  <c r="G21" i="25"/>
  <c r="L10" i="26"/>
  <c r="K8" i="25"/>
  <c r="K18" i="25"/>
  <c r="K25" i="25"/>
  <c r="J9" i="26"/>
  <c r="L8" i="26"/>
  <c r="H12" i="26"/>
  <c r="I13" i="26"/>
  <c r="J14" i="26"/>
  <c r="K15" i="26"/>
  <c r="L16" i="26"/>
  <c r="I19" i="26"/>
  <c r="J20" i="26"/>
  <c r="K21" i="26"/>
  <c r="L22" i="26"/>
  <c r="H24" i="26"/>
  <c r="I25" i="26"/>
  <c r="J26" i="26"/>
  <c r="H29" i="26"/>
  <c r="I30" i="26"/>
  <c r="K31" i="26"/>
  <c r="L32" i="26"/>
  <c r="H34" i="26"/>
  <c r="I35" i="26"/>
  <c r="L36" i="26"/>
  <c r="H39" i="26"/>
  <c r="I40" i="26"/>
  <c r="J41" i="26"/>
  <c r="K42" i="26"/>
  <c r="L43" i="26"/>
  <c r="H45" i="26"/>
  <c r="K46" i="26"/>
  <c r="H49" i="26"/>
  <c r="I50" i="26"/>
  <c r="K51" i="26"/>
  <c r="L52" i="26"/>
  <c r="I12" i="26"/>
  <c r="J13" i="26"/>
  <c r="L15" i="26"/>
  <c r="J19" i="26"/>
  <c r="K20" i="26"/>
  <c r="L21" i="26"/>
  <c r="H23" i="26"/>
  <c r="I24" i="26"/>
  <c r="J25" i="26"/>
  <c r="K26" i="26"/>
  <c r="I29" i="26"/>
  <c r="J30" i="26"/>
  <c r="L31" i="26"/>
  <c r="I34" i="26"/>
  <c r="J35" i="26"/>
  <c r="H38" i="26"/>
  <c r="I39" i="26"/>
  <c r="J40" i="26"/>
  <c r="K41" i="26"/>
  <c r="L42" i="26"/>
  <c r="I45" i="26"/>
  <c r="L46" i="26"/>
  <c r="H48" i="26"/>
  <c r="I49" i="26"/>
  <c r="J50" i="26"/>
  <c r="L51" i="26"/>
  <c r="I11" i="26"/>
  <c r="J12" i="26"/>
  <c r="L14" i="26"/>
  <c r="H18" i="26"/>
  <c r="K19" i="26"/>
  <c r="L20" i="26"/>
  <c r="I23" i="26"/>
  <c r="J24" i="26"/>
  <c r="K25" i="26"/>
  <c r="L26" i="26"/>
  <c r="H28" i="26"/>
  <c r="J29" i="26"/>
  <c r="K30" i="26"/>
  <c r="H33" i="26"/>
  <c r="J34" i="26"/>
  <c r="K35" i="26"/>
  <c r="H37" i="26"/>
  <c r="I38" i="26"/>
  <c r="J39" i="26"/>
  <c r="K40" i="26"/>
  <c r="L41" i="26"/>
  <c r="J45" i="26"/>
  <c r="H47" i="26"/>
  <c r="I48" i="26"/>
  <c r="J49" i="26"/>
  <c r="K50" i="26"/>
  <c r="H54" i="26"/>
  <c r="O7" i="26"/>
  <c r="H9" i="26"/>
  <c r="I10" i="26"/>
  <c r="J11" i="26"/>
  <c r="K12" i="26"/>
  <c r="L13" i="26"/>
  <c r="H17" i="26"/>
  <c r="I18" i="26"/>
  <c r="L19" i="26"/>
  <c r="J23" i="26"/>
  <c r="K24" i="26"/>
  <c r="L25" i="26"/>
  <c r="H27" i="26"/>
  <c r="I28" i="26"/>
  <c r="K29" i="26"/>
  <c r="L30" i="26"/>
  <c r="I33" i="26"/>
  <c r="K34" i="26"/>
  <c r="L35" i="26"/>
  <c r="I37" i="26"/>
  <c r="J38" i="26"/>
  <c r="K39" i="26"/>
  <c r="L40" i="26"/>
  <c r="H44" i="26"/>
  <c r="K45" i="26"/>
  <c r="I47" i="26"/>
  <c r="J48" i="26"/>
  <c r="K49" i="26"/>
  <c r="L50" i="26"/>
  <c r="H53" i="26"/>
  <c r="I54" i="26"/>
  <c r="N7" i="26"/>
  <c r="H8" i="26"/>
  <c r="I9" i="26"/>
  <c r="J10" i="26"/>
  <c r="K11" i="26"/>
  <c r="L12" i="26"/>
  <c r="H16" i="26"/>
  <c r="I17" i="26"/>
  <c r="J18" i="26"/>
  <c r="H22" i="26"/>
  <c r="K23" i="26"/>
  <c r="L24" i="26"/>
  <c r="I27" i="26"/>
  <c r="J28" i="26"/>
  <c r="L29" i="26"/>
  <c r="H32" i="26"/>
  <c r="J33" i="26"/>
  <c r="L34" i="26"/>
  <c r="H36" i="26"/>
  <c r="J37" i="26"/>
  <c r="K38" i="26"/>
  <c r="L39" i="26"/>
  <c r="H43" i="26"/>
  <c r="I44" i="26"/>
  <c r="L45" i="26"/>
  <c r="J47" i="26"/>
  <c r="K48" i="26"/>
  <c r="L49" i="26"/>
  <c r="H52" i="26"/>
  <c r="I53" i="26"/>
  <c r="J54" i="26"/>
  <c r="I8" i="26"/>
  <c r="I16" i="26"/>
  <c r="J17" i="26"/>
  <c r="K18" i="26"/>
  <c r="H21" i="26"/>
  <c r="I22" i="26"/>
  <c r="L23" i="26"/>
  <c r="J27" i="26"/>
  <c r="K28" i="26"/>
  <c r="H31" i="26"/>
  <c r="I32" i="26"/>
  <c r="K33" i="26"/>
  <c r="I36" i="26"/>
  <c r="K37" i="26"/>
  <c r="L38" i="26"/>
  <c r="H42" i="26"/>
  <c r="I43" i="26"/>
  <c r="J44" i="26"/>
  <c r="H46" i="26"/>
  <c r="K47" i="26"/>
  <c r="L48" i="26"/>
  <c r="H51" i="26"/>
  <c r="I52" i="26"/>
  <c r="J53" i="26"/>
  <c r="K54" i="26"/>
  <c r="H14" i="26"/>
  <c r="I15" i="26"/>
  <c r="J16" i="26"/>
  <c r="K17" i="26"/>
  <c r="L18" i="26"/>
  <c r="H20" i="26"/>
  <c r="I21" i="26"/>
  <c r="J22" i="26"/>
  <c r="H26" i="26"/>
  <c r="K27" i="26"/>
  <c r="L28" i="26"/>
  <c r="I31" i="26"/>
  <c r="J32" i="26"/>
  <c r="L33" i="26"/>
  <c r="J36" i="26"/>
  <c r="L37" i="26"/>
  <c r="H41" i="26"/>
  <c r="I42" i="26"/>
  <c r="J43" i="26"/>
  <c r="K44" i="26"/>
  <c r="I46" i="26"/>
  <c r="L47" i="26"/>
  <c r="I51" i="26"/>
  <c r="J52" i="26"/>
  <c r="K53" i="26"/>
  <c r="L54" i="26"/>
  <c r="J8" i="26"/>
  <c r="K8" i="26"/>
  <c r="L9" i="26"/>
  <c r="H13" i="26"/>
  <c r="I14" i="26"/>
  <c r="J15" i="26"/>
  <c r="K16" i="26"/>
  <c r="L17" i="26"/>
  <c r="H19" i="26"/>
  <c r="I20" i="26"/>
  <c r="J21" i="26"/>
  <c r="K22" i="26"/>
  <c r="H25" i="26"/>
  <c r="I26" i="26"/>
  <c r="L27" i="26"/>
  <c r="H30" i="26"/>
  <c r="J31" i="26"/>
  <c r="K32" i="26"/>
  <c r="H35" i="26"/>
  <c r="K36" i="26"/>
  <c r="H40" i="26"/>
  <c r="J42" i="26"/>
  <c r="K43" i="26"/>
  <c r="L44" i="26"/>
  <c r="J46" i="26"/>
  <c r="I26" i="25"/>
  <c r="I9" i="25"/>
  <c r="J10" i="25"/>
  <c r="K11" i="25"/>
  <c r="I15" i="25"/>
  <c r="I18" i="25"/>
  <c r="K19" i="25"/>
  <c r="G23" i="25"/>
  <c r="I25" i="25"/>
  <c r="J26" i="25"/>
  <c r="K27" i="25"/>
  <c r="G28" i="25"/>
  <c r="I28" i="25"/>
  <c r="J28" i="25"/>
  <c r="I13" i="25"/>
  <c r="J14" i="25"/>
  <c r="G19" i="25"/>
  <c r="I21" i="25"/>
  <c r="J22" i="25"/>
  <c r="K23" i="25"/>
  <c r="K28" i="25"/>
  <c r="L28" i="25"/>
  <c r="M28" i="25"/>
  <c r="I7" i="26" l="1"/>
  <c r="K7" i="26"/>
  <c r="J7" i="26"/>
  <c r="H7" i="26"/>
  <c r="L7" i="26"/>
  <c r="Q11" i="8" l="1"/>
  <c r="J24" i="24"/>
  <c r="J23" i="24" s="1"/>
  <c r="J22" i="24" s="1"/>
  <c r="J21" i="24" s="1"/>
  <c r="J20" i="24" s="1"/>
  <c r="J19" i="24" s="1"/>
  <c r="J26" i="24"/>
  <c r="K26" i="24"/>
  <c r="L26" i="24"/>
  <c r="M26" i="24"/>
  <c r="N26" i="24"/>
  <c r="L30" i="24"/>
  <c r="M30" i="24"/>
  <c r="N30" i="24"/>
  <c r="J33" i="24"/>
  <c r="L33" i="24"/>
  <c r="M33" i="24"/>
  <c r="N33" i="24"/>
  <c r="M41" i="24"/>
  <c r="N41" i="24"/>
  <c r="K88" i="24"/>
  <c r="L88" i="24"/>
  <c r="M88" i="24"/>
  <c r="N88" i="24"/>
  <c r="J93" i="24"/>
  <c r="K93" i="24"/>
  <c r="L93" i="24"/>
  <c r="M93" i="24"/>
  <c r="N93" i="24"/>
  <c r="J97" i="24"/>
  <c r="J108" i="24"/>
  <c r="K108" i="24"/>
  <c r="J111" i="24"/>
  <c r="K111" i="24"/>
  <c r="L111" i="24"/>
  <c r="M111" i="24"/>
  <c r="N111" i="24"/>
  <c r="J116" i="24"/>
  <c r="K116" i="24"/>
  <c r="L116" i="24"/>
  <c r="M116" i="24"/>
  <c r="N116" i="24"/>
  <c r="J122" i="24"/>
  <c r="K122" i="24"/>
  <c r="J125" i="24"/>
  <c r="K125" i="24"/>
  <c r="J128" i="24"/>
  <c r="K128" i="24"/>
  <c r="L128" i="24"/>
  <c r="M128" i="24"/>
  <c r="N128" i="24"/>
  <c r="L125" i="24"/>
  <c r="M125" i="24"/>
  <c r="L122" i="24"/>
  <c r="M122" i="24"/>
  <c r="J15" i="24"/>
  <c r="K19" i="24"/>
  <c r="L19" i="24"/>
  <c r="M19" i="24"/>
  <c r="N19" i="24"/>
  <c r="J30" i="24"/>
  <c r="K30" i="24"/>
  <c r="K33" i="24"/>
  <c r="J41" i="24"/>
  <c r="K41" i="24"/>
  <c r="L41" i="24"/>
  <c r="J47" i="24"/>
  <c r="K47" i="24"/>
  <c r="L47" i="24"/>
  <c r="M47" i="24"/>
  <c r="N47" i="24"/>
  <c r="J66" i="24"/>
  <c r="K66" i="24"/>
  <c r="L66" i="24"/>
  <c r="M66" i="24"/>
  <c r="N66" i="24"/>
  <c r="J78" i="24"/>
  <c r="K78" i="24"/>
  <c r="L78" i="24"/>
  <c r="M78" i="24"/>
  <c r="N78" i="24"/>
  <c r="J88" i="24"/>
  <c r="K97" i="24"/>
  <c r="L97" i="24"/>
  <c r="M97" i="24"/>
  <c r="N97" i="24"/>
  <c r="J105" i="24"/>
  <c r="K105" i="24"/>
  <c r="L105" i="24"/>
  <c r="M105" i="24"/>
  <c r="N105" i="24"/>
  <c r="L108" i="24"/>
  <c r="M108" i="24"/>
  <c r="N108" i="24"/>
  <c r="N122" i="24"/>
  <c r="V15" i="4"/>
  <c r="K46" i="3" l="1"/>
  <c r="J46" i="3"/>
  <c r="L24" i="1" l="1"/>
  <c r="H24" i="1"/>
  <c r="H8" i="1"/>
  <c r="G8" i="1"/>
  <c r="V12" i="8" l="1"/>
  <c r="V11" i="8"/>
  <c r="U11" i="8"/>
  <c r="V10" i="8"/>
  <c r="U10" i="8"/>
  <c r="T10" i="8"/>
  <c r="P11" i="8"/>
  <c r="P10" i="8"/>
  <c r="N15" i="22"/>
  <c r="N8" i="22"/>
  <c r="N6" i="22" l="1"/>
  <c r="B123" i="24"/>
  <c r="C123" i="24"/>
  <c r="D123" i="24"/>
  <c r="E123" i="24"/>
  <c r="F123" i="24"/>
  <c r="G123" i="24"/>
  <c r="H123" i="24"/>
  <c r="I123" i="24"/>
  <c r="I122" i="24" s="1"/>
  <c r="B122" i="24"/>
  <c r="C122" i="24"/>
  <c r="D122" i="24"/>
  <c r="E122" i="24"/>
  <c r="F122" i="24"/>
  <c r="G122" i="24"/>
  <c r="H122" i="24"/>
  <c r="B31" i="24"/>
  <c r="C31" i="24"/>
  <c r="D31" i="24"/>
  <c r="B17" i="24"/>
  <c r="B16" i="24" s="1"/>
  <c r="C17" i="24"/>
  <c r="C16" i="24" s="1"/>
  <c r="C15" i="24" s="1"/>
  <c r="D17" i="24"/>
  <c r="D16" i="24" s="1"/>
  <c r="D15" i="24" s="1"/>
  <c r="E17" i="24"/>
  <c r="E16" i="24" s="1"/>
  <c r="E15" i="24" s="1"/>
  <c r="I97" i="24"/>
  <c r="H97" i="24"/>
  <c r="I88" i="24"/>
  <c r="H88" i="24"/>
  <c r="I78" i="24"/>
  <c r="H78" i="24"/>
  <c r="I66" i="24"/>
  <c r="H66" i="24"/>
  <c r="I47" i="24"/>
  <c r="H47" i="24"/>
  <c r="I41" i="24"/>
  <c r="H41" i="24"/>
  <c r="H33" i="24"/>
  <c r="H26" i="24"/>
  <c r="H19" i="24"/>
  <c r="H15" i="24"/>
  <c r="I8" i="24"/>
  <c r="J8" i="24"/>
  <c r="J7" i="24" s="1"/>
  <c r="K8" i="24"/>
  <c r="L8" i="24"/>
  <c r="M8" i="24"/>
  <c r="N8" i="24"/>
  <c r="H8" i="24"/>
  <c r="N125" i="24"/>
  <c r="N15" i="24" l="1"/>
  <c r="N7" i="24" s="1"/>
  <c r="K39" i="23"/>
  <c r="O39" i="23"/>
  <c r="L10" i="23"/>
  <c r="M10" i="23"/>
  <c r="N10" i="23"/>
  <c r="O10" i="23"/>
  <c r="K10" i="23"/>
  <c r="Q21" i="15"/>
  <c r="Q15" i="15"/>
  <c r="Q10" i="15"/>
  <c r="Q20" i="16"/>
  <c r="Q14" i="16"/>
  <c r="Q9" i="16"/>
  <c r="S33" i="14"/>
  <c r="R33" i="14"/>
  <c r="I12" i="14"/>
  <c r="M23" i="14"/>
  <c r="M17" i="14"/>
  <c r="M12" i="14"/>
  <c r="M10" i="14" s="1"/>
  <c r="T33" i="14"/>
  <c r="T31" i="14"/>
  <c r="T30" i="14"/>
  <c r="T29" i="14"/>
  <c r="T28" i="14"/>
  <c r="T27" i="14"/>
  <c r="T26" i="14"/>
  <c r="T25" i="14"/>
  <c r="T24" i="14"/>
  <c r="T22" i="14"/>
  <c r="T21" i="14"/>
  <c r="T20" i="14"/>
  <c r="T19" i="14"/>
  <c r="T18" i="14"/>
  <c r="T16" i="14"/>
  <c r="T15" i="14"/>
  <c r="T14" i="14"/>
  <c r="T13" i="14"/>
  <c r="T11" i="14"/>
  <c r="V34" i="4"/>
  <c r="V33" i="4"/>
  <c r="V32" i="4"/>
  <c r="V31" i="4"/>
  <c r="V29" i="4"/>
  <c r="V26" i="4"/>
  <c r="V25" i="4"/>
  <c r="V23" i="4"/>
  <c r="V22" i="4"/>
  <c r="V20" i="4"/>
  <c r="V18" i="4"/>
  <c r="V17" i="4"/>
  <c r="V16" i="4"/>
  <c r="V14" i="4"/>
  <c r="V13" i="4"/>
  <c r="V12" i="4"/>
  <c r="V11" i="4"/>
  <c r="H24" i="4"/>
  <c r="I24" i="4"/>
  <c r="J24" i="4"/>
  <c r="K24" i="4"/>
  <c r="V24" i="4" s="1"/>
  <c r="L24" i="4"/>
  <c r="M24" i="4"/>
  <c r="O6" i="23" l="1"/>
  <c r="Q9" i="15"/>
  <c r="Q8" i="15" s="1"/>
  <c r="Q8" i="16"/>
  <c r="M9" i="14"/>
  <c r="M8" i="14" s="1"/>
  <c r="I10" i="4"/>
  <c r="M27" i="4"/>
  <c r="I28" i="4"/>
  <c r="I27" i="4" s="1"/>
  <c r="J28" i="4"/>
  <c r="J27" i="4" s="1"/>
  <c r="K28" i="4"/>
  <c r="V28" i="4" s="1"/>
  <c r="L28" i="4"/>
  <c r="L27" i="4" s="1"/>
  <c r="M28" i="4"/>
  <c r="J10" i="4"/>
  <c r="K10" i="4"/>
  <c r="V10" i="4" s="1"/>
  <c r="L10" i="4"/>
  <c r="L9" i="4" s="1"/>
  <c r="M10" i="4"/>
  <c r="J9" i="4"/>
  <c r="I11" i="3"/>
  <c r="J11" i="3"/>
  <c r="K11" i="3"/>
  <c r="L11" i="3"/>
  <c r="I9" i="2"/>
  <c r="H46" i="3"/>
  <c r="H23" i="3" s="1"/>
  <c r="K27" i="4" l="1"/>
  <c r="V27" i="4" s="1"/>
  <c r="M9" i="4"/>
  <c r="M8" i="4" s="1"/>
  <c r="K9" i="4"/>
  <c r="V9" i="4" s="1"/>
  <c r="L46" i="3"/>
  <c r="L23" i="3" s="1"/>
  <c r="L10" i="3" s="1"/>
  <c r="L9" i="3" s="1"/>
  <c r="L8" i="3" s="1"/>
  <c r="H11" i="3"/>
  <c r="Q25" i="2"/>
  <c r="Q24" i="2"/>
  <c r="Q23" i="2"/>
  <c r="Q17" i="2"/>
  <c r="Q16" i="2"/>
  <c r="Q15" i="2"/>
  <c r="Q12" i="2"/>
  <c r="Q11" i="2"/>
  <c r="Q10" i="2"/>
  <c r="P10" i="2"/>
  <c r="O10" i="2"/>
  <c r="I22" i="2"/>
  <c r="I21" i="2" s="1"/>
  <c r="J22" i="2"/>
  <c r="J21" i="2" s="1"/>
  <c r="K22" i="2"/>
  <c r="K21" i="2" s="1"/>
  <c r="L22" i="2"/>
  <c r="L21" i="2" s="1"/>
  <c r="M22" i="2"/>
  <c r="M21" i="2" s="1"/>
  <c r="H22" i="2"/>
  <c r="H21" i="2"/>
  <c r="I14" i="2"/>
  <c r="I13" i="2" s="1"/>
  <c r="Q21" i="2" l="1"/>
  <c r="Q22" i="2"/>
  <c r="J14" i="2"/>
  <c r="J13" i="2" s="1"/>
  <c r="K14" i="2"/>
  <c r="L14" i="2"/>
  <c r="M14" i="2"/>
  <c r="I19" i="2"/>
  <c r="M9" i="2"/>
  <c r="M8" i="2" s="1"/>
  <c r="L9" i="2"/>
  <c r="L8" i="2" s="1"/>
  <c r="K9" i="2"/>
  <c r="J9" i="2"/>
  <c r="J8" i="2" s="1"/>
  <c r="I8" i="2"/>
  <c r="I18" i="2" s="1"/>
  <c r="I8" i="1"/>
  <c r="J8" i="1"/>
  <c r="K8" i="1"/>
  <c r="L8" i="1"/>
  <c r="Q14" i="2" l="1"/>
  <c r="K8" i="2"/>
  <c r="Q8" i="2" s="1"/>
  <c r="Q9" i="2"/>
  <c r="M19" i="2"/>
  <c r="M18" i="2"/>
  <c r="M13" i="2"/>
  <c r="L18" i="2"/>
  <c r="L19" i="2"/>
  <c r="L13" i="2"/>
  <c r="K19" i="2"/>
  <c r="K13" i="2"/>
  <c r="Q13" i="2" s="1"/>
  <c r="J18" i="2"/>
  <c r="J19" i="2"/>
  <c r="Q19" i="2" l="1"/>
  <c r="K18" i="2"/>
  <c r="Q18" i="2" s="1"/>
  <c r="J23" i="1" l="1"/>
  <c r="J21" i="1" s="1"/>
  <c r="K23" i="1"/>
  <c r="K21" i="1" s="1"/>
  <c r="I24" i="1"/>
  <c r="J24" i="1"/>
  <c r="K24" i="1"/>
  <c r="L23" i="1"/>
  <c r="L21" i="1" s="1"/>
  <c r="S11" i="14" l="1"/>
  <c r="U13" i="4"/>
  <c r="P15" i="2"/>
  <c r="P11" i="2"/>
  <c r="Y30" i="15" l="1"/>
  <c r="Y20" i="15"/>
  <c r="Y11" i="15"/>
  <c r="Y12" i="15"/>
  <c r="Y13" i="15"/>
  <c r="Y14" i="15"/>
  <c r="Y16" i="15"/>
  <c r="Y17" i="15"/>
  <c r="Y18" i="15"/>
  <c r="Y19" i="15"/>
  <c r="Y22" i="15"/>
  <c r="Y23" i="15"/>
  <c r="Y24" i="15"/>
  <c r="Y25" i="15"/>
  <c r="Y26" i="15"/>
  <c r="Y27" i="15"/>
  <c r="Y28" i="15"/>
  <c r="Y31" i="15"/>
  <c r="X11" i="15"/>
  <c r="X12" i="15"/>
  <c r="X13" i="15"/>
  <c r="X14" i="15"/>
  <c r="X16" i="15"/>
  <c r="X17" i="15"/>
  <c r="X18" i="15"/>
  <c r="X19" i="15"/>
  <c r="X20" i="15"/>
  <c r="X22" i="15"/>
  <c r="X23" i="15"/>
  <c r="X24" i="15"/>
  <c r="X25" i="15"/>
  <c r="X26" i="15"/>
  <c r="X27" i="15"/>
  <c r="X28" i="15"/>
  <c r="W23" i="16"/>
  <c r="W16" i="16"/>
  <c r="W13" i="16"/>
  <c r="W10" i="16"/>
  <c r="W11" i="16"/>
  <c r="W12" i="16"/>
  <c r="W15" i="16"/>
  <c r="W17" i="16"/>
  <c r="W18" i="16"/>
  <c r="W19" i="16"/>
  <c r="W21" i="16"/>
  <c r="W22" i="16"/>
  <c r="W24" i="16"/>
  <c r="W25" i="16"/>
  <c r="W26" i="16"/>
  <c r="W27" i="16"/>
  <c r="S13" i="14"/>
  <c r="S14" i="14"/>
  <c r="S15" i="14"/>
  <c r="S16" i="14"/>
  <c r="S18" i="14"/>
  <c r="S19" i="14"/>
  <c r="S20" i="14"/>
  <c r="S21" i="14"/>
  <c r="S22" i="14"/>
  <c r="S24" i="14"/>
  <c r="S25" i="14"/>
  <c r="S26" i="14"/>
  <c r="S27" i="14"/>
  <c r="S28" i="14"/>
  <c r="S29" i="14"/>
  <c r="S30" i="14"/>
  <c r="S31" i="14"/>
  <c r="P12" i="2"/>
  <c r="P16" i="2"/>
  <c r="P17" i="2"/>
  <c r="P23" i="2"/>
  <c r="P24" i="2"/>
  <c r="P25" i="2"/>
  <c r="U18" i="4"/>
  <c r="U11" i="4"/>
  <c r="U12" i="4"/>
  <c r="U14" i="4"/>
  <c r="U15" i="4"/>
  <c r="U16" i="4"/>
  <c r="U17" i="4"/>
  <c r="U20" i="4"/>
  <c r="U22" i="4"/>
  <c r="U23" i="4"/>
  <c r="U24" i="4"/>
  <c r="U25" i="4"/>
  <c r="U26" i="4"/>
  <c r="U28" i="4"/>
  <c r="U29" i="4"/>
  <c r="U31" i="4"/>
  <c r="U32" i="4"/>
  <c r="U33" i="4"/>
  <c r="U34" i="4"/>
  <c r="W25" i="15" l="1"/>
  <c r="W22" i="15"/>
  <c r="F108" i="24" l="1"/>
  <c r="E108" i="24"/>
  <c r="D108" i="24"/>
  <c r="C108" i="24"/>
  <c r="B108" i="24"/>
  <c r="G108" i="24"/>
  <c r="B8" i="24"/>
  <c r="C8" i="24"/>
  <c r="D8" i="24"/>
  <c r="B15" i="24"/>
  <c r="N39" i="23"/>
  <c r="N6" i="23" s="1"/>
  <c r="M39" i="23"/>
  <c r="M6" i="23" s="1"/>
  <c r="L39" i="23"/>
  <c r="L6" i="23" s="1"/>
  <c r="K6" i="23"/>
  <c r="J39" i="23"/>
  <c r="I39" i="23"/>
  <c r="H39" i="23"/>
  <c r="G39" i="23"/>
  <c r="F39" i="23"/>
  <c r="E39" i="23"/>
  <c r="D39" i="23"/>
  <c r="C39" i="23"/>
  <c r="J10" i="23"/>
  <c r="J6" i="23" s="1"/>
  <c r="I10" i="23"/>
  <c r="H10" i="23"/>
  <c r="H6" i="23" s="1"/>
  <c r="G10" i="23"/>
  <c r="G6" i="23" s="1"/>
  <c r="F10" i="23"/>
  <c r="F6" i="23" s="1"/>
  <c r="E10" i="23"/>
  <c r="D10" i="23"/>
  <c r="C10" i="23"/>
  <c r="I6" i="23"/>
  <c r="E6" i="23"/>
  <c r="D6" i="23"/>
  <c r="M15" i="22"/>
  <c r="L15" i="22"/>
  <c r="K15" i="22"/>
  <c r="J15" i="22"/>
  <c r="I15" i="22"/>
  <c r="H15" i="22"/>
  <c r="G15" i="22"/>
  <c r="F15" i="22"/>
  <c r="E15" i="22"/>
  <c r="D15" i="22"/>
  <c r="D6" i="22" s="1"/>
  <c r="C15" i="22"/>
  <c r="B15" i="22"/>
  <c r="M8" i="22"/>
  <c r="L8" i="22"/>
  <c r="K8" i="22"/>
  <c r="K6" i="22" s="1"/>
  <c r="J8" i="22"/>
  <c r="J6" i="22" s="1"/>
  <c r="I8" i="22"/>
  <c r="I6" i="22" s="1"/>
  <c r="H8" i="22"/>
  <c r="G8" i="22"/>
  <c r="F8" i="22"/>
  <c r="E8" i="22"/>
  <c r="D8" i="22"/>
  <c r="C8" i="22"/>
  <c r="B8" i="22"/>
  <c r="B6" i="22" s="1"/>
  <c r="L6" i="22"/>
  <c r="H6" i="22"/>
  <c r="G6" i="22"/>
  <c r="F6" i="22"/>
  <c r="E6" i="22"/>
  <c r="I128" i="24"/>
  <c r="H128" i="24"/>
  <c r="G128" i="24"/>
  <c r="F128" i="24"/>
  <c r="E128" i="24"/>
  <c r="D128" i="24"/>
  <c r="C128" i="24"/>
  <c r="B128" i="24"/>
  <c r="I116" i="24"/>
  <c r="H116" i="24"/>
  <c r="G116" i="24"/>
  <c r="F116" i="24"/>
  <c r="E116" i="24"/>
  <c r="D116" i="24"/>
  <c r="C116" i="24"/>
  <c r="B116" i="24"/>
  <c r="I111" i="24"/>
  <c r="H111" i="24"/>
  <c r="G111" i="24"/>
  <c r="F111" i="24"/>
  <c r="E111" i="24"/>
  <c r="D111" i="24"/>
  <c r="C111" i="24"/>
  <c r="B111" i="24"/>
  <c r="I108" i="24"/>
  <c r="H108" i="24"/>
  <c r="I105" i="24"/>
  <c r="H105" i="24"/>
  <c r="G105" i="24"/>
  <c r="F105" i="24"/>
  <c r="E105" i="24"/>
  <c r="D105" i="24"/>
  <c r="C105" i="24"/>
  <c r="B105" i="24"/>
  <c r="G97" i="24"/>
  <c r="F97" i="24"/>
  <c r="E97" i="24"/>
  <c r="D97" i="24"/>
  <c r="C97" i="24"/>
  <c r="B97" i="24"/>
  <c r="I93" i="24"/>
  <c r="H93" i="24"/>
  <c r="G93" i="24"/>
  <c r="F93" i="24"/>
  <c r="E93" i="24"/>
  <c r="D93" i="24"/>
  <c r="C93" i="24"/>
  <c r="B93" i="24"/>
  <c r="G88" i="24"/>
  <c r="F88" i="24"/>
  <c r="E88" i="24"/>
  <c r="D88" i="24"/>
  <c r="C88" i="24"/>
  <c r="B88" i="24"/>
  <c r="G78" i="24"/>
  <c r="G66" i="24"/>
  <c r="F66" i="24"/>
  <c r="E66" i="24"/>
  <c r="D66" i="24"/>
  <c r="C66" i="24"/>
  <c r="B66" i="24"/>
  <c r="G47" i="24"/>
  <c r="F47" i="24"/>
  <c r="E47" i="24"/>
  <c r="D47" i="24"/>
  <c r="C47" i="24"/>
  <c r="B47" i="24"/>
  <c r="G41" i="24"/>
  <c r="F41" i="24"/>
  <c r="E41" i="24"/>
  <c r="D41" i="24"/>
  <c r="C41" i="24"/>
  <c r="B41" i="24"/>
  <c r="I33" i="24"/>
  <c r="G33" i="24"/>
  <c r="F33" i="24"/>
  <c r="E33" i="24"/>
  <c r="D33" i="24"/>
  <c r="C33" i="24"/>
  <c r="B33" i="24"/>
  <c r="I30" i="24"/>
  <c r="H30" i="24"/>
  <c r="H7" i="24" s="1"/>
  <c r="G30" i="24"/>
  <c r="F30" i="24"/>
  <c r="E30" i="24"/>
  <c r="D30" i="24"/>
  <c r="D28" i="24" s="1"/>
  <c r="D27" i="24" s="1"/>
  <c r="D26" i="24" s="1"/>
  <c r="C30" i="24"/>
  <c r="C28" i="24" s="1"/>
  <c r="C27" i="24" s="1"/>
  <c r="B30" i="24"/>
  <c r="B28" i="24" s="1"/>
  <c r="B27" i="24" s="1"/>
  <c r="B26" i="24" s="1"/>
  <c r="I26" i="24"/>
  <c r="I24" i="24" s="1"/>
  <c r="I23" i="24" s="1"/>
  <c r="I22" i="24" s="1"/>
  <c r="I21" i="24" s="1"/>
  <c r="I20" i="24" s="1"/>
  <c r="I19" i="24" s="1"/>
  <c r="I7" i="24" s="1"/>
  <c r="G26" i="24"/>
  <c r="F26" i="24"/>
  <c r="E26" i="24"/>
  <c r="C26" i="24"/>
  <c r="G19" i="24"/>
  <c r="F19" i="24"/>
  <c r="E19" i="24"/>
  <c r="D19" i="24"/>
  <c r="C19" i="24"/>
  <c r="B19" i="24"/>
  <c r="M15" i="24"/>
  <c r="M7" i="24" s="1"/>
  <c r="L15" i="24"/>
  <c r="L7" i="24" s="1"/>
  <c r="K15" i="24"/>
  <c r="K7" i="24" s="1"/>
  <c r="I15" i="24"/>
  <c r="G15" i="24"/>
  <c r="F15" i="24"/>
  <c r="G8" i="24"/>
  <c r="F8" i="24"/>
  <c r="E8" i="24"/>
  <c r="R22" i="14"/>
  <c r="W20" i="15"/>
  <c r="V26" i="16"/>
  <c r="V25" i="16"/>
  <c r="U25" i="16"/>
  <c r="V19" i="16"/>
  <c r="Q11" i="14"/>
  <c r="C6" i="23" l="1"/>
  <c r="M6" i="22"/>
  <c r="C6" i="22"/>
  <c r="F7" i="24"/>
  <c r="B7" i="24"/>
  <c r="G7" i="24"/>
  <c r="E7" i="24"/>
  <c r="C7" i="24"/>
  <c r="D7" i="24"/>
  <c r="T12" i="4" l="1"/>
  <c r="U12" i="8" l="1"/>
  <c r="T11" i="8"/>
  <c r="T12" i="8"/>
  <c r="S11" i="8"/>
  <c r="S12" i="8"/>
  <c r="S10" i="8"/>
  <c r="R11" i="8"/>
  <c r="R12" i="8"/>
  <c r="R10" i="8"/>
  <c r="O12" i="8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Q21" i="14"/>
  <c r="R21" i="14"/>
  <c r="L12" i="14"/>
  <c r="G12" i="14"/>
  <c r="H12" i="14"/>
  <c r="J12" i="14"/>
  <c r="K12" i="14"/>
  <c r="T12" i="14" s="1"/>
  <c r="F12" i="14"/>
  <c r="S17" i="14" l="1"/>
  <c r="T17" i="14"/>
  <c r="Y15" i="15"/>
  <c r="X15" i="15"/>
  <c r="W20" i="16"/>
  <c r="W14" i="16"/>
  <c r="S12" i="14"/>
  <c r="R12" i="14"/>
  <c r="I46" i="3"/>
  <c r="J23" i="3"/>
  <c r="J10" i="3" s="1"/>
  <c r="J9" i="3" s="1"/>
  <c r="J8" i="3" s="1"/>
  <c r="K23" i="3" l="1"/>
  <c r="K10" i="3" s="1"/>
  <c r="K9" i="3" s="1"/>
  <c r="K8" i="3" s="1"/>
  <c r="I23" i="3"/>
  <c r="I10" i="3" s="1"/>
  <c r="I9" i="3" s="1"/>
  <c r="I8" i="3" s="1"/>
  <c r="W28" i="15" l="1"/>
  <c r="W27" i="15"/>
  <c r="W26" i="15"/>
  <c r="W24" i="15"/>
  <c r="W23" i="15"/>
  <c r="W19" i="15"/>
  <c r="W18" i="15"/>
  <c r="W17" i="15"/>
  <c r="W16" i="15"/>
  <c r="W14" i="15"/>
  <c r="W13" i="15"/>
  <c r="W12" i="15"/>
  <c r="W11" i="15"/>
  <c r="P21" i="15"/>
  <c r="P10" i="15"/>
  <c r="V17" i="16"/>
  <c r="V15" i="16"/>
  <c r="V12" i="16"/>
  <c r="V27" i="16"/>
  <c r="V24" i="16"/>
  <c r="V23" i="16"/>
  <c r="V22" i="16"/>
  <c r="V21" i="16"/>
  <c r="V18" i="16"/>
  <c r="V16" i="16"/>
  <c r="V13" i="16"/>
  <c r="V11" i="16"/>
  <c r="V10" i="16"/>
  <c r="P9" i="16"/>
  <c r="P8" i="16" s="1"/>
  <c r="R31" i="14"/>
  <c r="R30" i="14"/>
  <c r="R29" i="14"/>
  <c r="R28" i="14"/>
  <c r="R27" i="14"/>
  <c r="R26" i="14"/>
  <c r="R25" i="14"/>
  <c r="R24" i="14"/>
  <c r="R20" i="14"/>
  <c r="R19" i="14"/>
  <c r="R18" i="14"/>
  <c r="R16" i="14"/>
  <c r="R15" i="14"/>
  <c r="R14" i="14"/>
  <c r="R13" i="14"/>
  <c r="R11" i="14"/>
  <c r="K23" i="14"/>
  <c r="K10" i="14"/>
  <c r="T11" i="4"/>
  <c r="T13" i="4"/>
  <c r="T14" i="4"/>
  <c r="T15" i="4"/>
  <c r="T16" i="4"/>
  <c r="T17" i="4"/>
  <c r="T18" i="4"/>
  <c r="T20" i="4"/>
  <c r="T22" i="4"/>
  <c r="T23" i="4"/>
  <c r="T25" i="4"/>
  <c r="T26" i="4"/>
  <c r="T29" i="4"/>
  <c r="T31" i="4"/>
  <c r="T32" i="4"/>
  <c r="T33" i="4"/>
  <c r="T34" i="4"/>
  <c r="L8" i="4"/>
  <c r="O25" i="2"/>
  <c r="O24" i="2"/>
  <c r="O17" i="2"/>
  <c r="O16" i="2"/>
  <c r="O15" i="2"/>
  <c r="O12" i="2"/>
  <c r="O11" i="2"/>
  <c r="P9" i="15" l="1"/>
  <c r="P8" i="15" s="1"/>
  <c r="K9" i="14"/>
  <c r="Q29" i="14"/>
  <c r="Q24" i="14"/>
  <c r="Q14" i="14"/>
  <c r="V11" i="15"/>
  <c r="V12" i="15"/>
  <c r="V13" i="15"/>
  <c r="V14" i="15"/>
  <c r="V16" i="15"/>
  <c r="V17" i="15"/>
  <c r="V18" i="15"/>
  <c r="V19" i="15"/>
  <c r="V22" i="15"/>
  <c r="V23" i="15"/>
  <c r="V24" i="15"/>
  <c r="V25" i="15"/>
  <c r="V26" i="15"/>
  <c r="V27" i="15"/>
  <c r="V28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N21" i="15"/>
  <c r="M21" i="15"/>
  <c r="L21" i="15"/>
  <c r="K21" i="15"/>
  <c r="K9" i="15" s="1"/>
  <c r="J21" i="15"/>
  <c r="I21" i="15"/>
  <c r="H21" i="15"/>
  <c r="G21" i="15"/>
  <c r="F21" i="15"/>
  <c r="E21" i="15"/>
  <c r="D21" i="15"/>
  <c r="C21" i="15"/>
  <c r="C9" i="15" s="1"/>
  <c r="C8" i="15" s="1"/>
  <c r="B21" i="15"/>
  <c r="B9" i="15" s="1"/>
  <c r="B8" i="15" s="1"/>
  <c r="O10" i="15"/>
  <c r="N10" i="15"/>
  <c r="M10" i="15"/>
  <c r="L10" i="15"/>
  <c r="L9" i="15" s="1"/>
  <c r="K10" i="15"/>
  <c r="J10" i="15"/>
  <c r="J9" i="15" s="1"/>
  <c r="J8" i="15" s="1"/>
  <c r="I10" i="15"/>
  <c r="I9" i="15" s="1"/>
  <c r="I8" i="15" s="1"/>
  <c r="H10" i="15"/>
  <c r="H9" i="15" s="1"/>
  <c r="H8" i="15" s="1"/>
  <c r="G10" i="15"/>
  <c r="F10" i="15"/>
  <c r="E10" i="15"/>
  <c r="E9" i="15" s="1"/>
  <c r="E8" i="15" s="1"/>
  <c r="D10" i="15"/>
  <c r="D9" i="15" s="1"/>
  <c r="D8" i="15" s="1"/>
  <c r="C10" i="15"/>
  <c r="B10" i="15"/>
  <c r="O9" i="15"/>
  <c r="O8" i="15" s="1"/>
  <c r="N9" i="15"/>
  <c r="T12" i="15" s="1"/>
  <c r="G9" i="15"/>
  <c r="G8" i="15" s="1"/>
  <c r="F9" i="15"/>
  <c r="F8" i="15" s="1"/>
  <c r="U18" i="16"/>
  <c r="U16" i="16"/>
  <c r="U13" i="16"/>
  <c r="U11" i="16"/>
  <c r="U10" i="16"/>
  <c r="U12" i="16"/>
  <c r="U15" i="16"/>
  <c r="U17" i="16"/>
  <c r="U21" i="16"/>
  <c r="U22" i="16"/>
  <c r="U23" i="16"/>
  <c r="U24" i="16"/>
  <c r="U27" i="16"/>
  <c r="H14" i="16"/>
  <c r="I20" i="16"/>
  <c r="H20" i="16"/>
  <c r="G20" i="16"/>
  <c r="F20" i="16"/>
  <c r="E20" i="16"/>
  <c r="D20" i="16"/>
  <c r="C20" i="16"/>
  <c r="B20" i="16"/>
  <c r="I14" i="16"/>
  <c r="G14" i="16"/>
  <c r="F14" i="16"/>
  <c r="F8" i="16" s="1"/>
  <c r="E14" i="16"/>
  <c r="D14" i="16"/>
  <c r="C14" i="16"/>
  <c r="B14" i="16"/>
  <c r="B8" i="16" s="1"/>
  <c r="O9" i="16"/>
  <c r="O8" i="16" s="1"/>
  <c r="N9" i="16"/>
  <c r="M9" i="16"/>
  <c r="W9" i="16" s="1"/>
  <c r="L9" i="16"/>
  <c r="L8" i="16" s="1"/>
  <c r="K9" i="16"/>
  <c r="K8" i="16" s="1"/>
  <c r="J9" i="16"/>
  <c r="I9" i="16"/>
  <c r="H9" i="16"/>
  <c r="G9" i="16"/>
  <c r="F9" i="16"/>
  <c r="E9" i="16"/>
  <c r="D9" i="16"/>
  <c r="D8" i="16" s="1"/>
  <c r="C9" i="16"/>
  <c r="B9" i="16"/>
  <c r="N8" i="16"/>
  <c r="T10" i="16" s="1"/>
  <c r="J8" i="16"/>
  <c r="R17" i="16" l="1"/>
  <c r="R18" i="16"/>
  <c r="R19" i="16"/>
  <c r="R15" i="16"/>
  <c r="R16" i="16"/>
  <c r="H8" i="16"/>
  <c r="Y21" i="15"/>
  <c r="X21" i="15"/>
  <c r="T30" i="15"/>
  <c r="T23" i="15"/>
  <c r="T11" i="15"/>
  <c r="T14" i="15"/>
  <c r="T17" i="15"/>
  <c r="T20" i="15"/>
  <c r="T22" i="15"/>
  <c r="T25" i="15"/>
  <c r="T27" i="15"/>
  <c r="T31" i="15"/>
  <c r="T15" i="15"/>
  <c r="T19" i="15"/>
  <c r="T13" i="15"/>
  <c r="T16" i="15"/>
  <c r="T18" i="15"/>
  <c r="T21" i="15"/>
  <c r="T24" i="15"/>
  <c r="T26" i="15"/>
  <c r="T28" i="15"/>
  <c r="T9" i="15"/>
  <c r="T10" i="15"/>
  <c r="Y10" i="15"/>
  <c r="X10" i="15"/>
  <c r="T19" i="16"/>
  <c r="T11" i="16"/>
  <c r="T13" i="16"/>
  <c r="T16" i="16"/>
  <c r="T18" i="16"/>
  <c r="T21" i="16"/>
  <c r="T23" i="16"/>
  <c r="T25" i="16"/>
  <c r="T27" i="16"/>
  <c r="T14" i="16"/>
  <c r="T12" i="16"/>
  <c r="T15" i="16"/>
  <c r="T17" i="16"/>
  <c r="T20" i="16"/>
  <c r="T22" i="16"/>
  <c r="T24" i="16"/>
  <c r="T26" i="16"/>
  <c r="T8" i="16"/>
  <c r="T9" i="16"/>
  <c r="K8" i="14"/>
  <c r="R20" i="15"/>
  <c r="R16" i="15"/>
  <c r="R26" i="16"/>
  <c r="N8" i="15"/>
  <c r="C8" i="16"/>
  <c r="G8" i="16"/>
  <c r="E8" i="16"/>
  <c r="I8" i="16"/>
  <c r="R27" i="16"/>
  <c r="U8" i="16"/>
  <c r="R27" i="15"/>
  <c r="L8" i="15"/>
  <c r="V14" i="16"/>
  <c r="V9" i="16"/>
  <c r="W10" i="15"/>
  <c r="W21" i="15"/>
  <c r="M8" i="16"/>
  <c r="V20" i="16"/>
  <c r="K8" i="15"/>
  <c r="M9" i="15"/>
  <c r="W15" i="15"/>
  <c r="V10" i="15"/>
  <c r="V15" i="15"/>
  <c r="V21" i="15"/>
  <c r="V9" i="15"/>
  <c r="U9" i="16"/>
  <c r="R14" i="16"/>
  <c r="U20" i="16"/>
  <c r="R9" i="15"/>
  <c r="R10" i="15"/>
  <c r="R11" i="15"/>
  <c r="R12" i="15"/>
  <c r="R13" i="15"/>
  <c r="R14" i="15"/>
  <c r="R15" i="15"/>
  <c r="R17" i="15"/>
  <c r="R18" i="15"/>
  <c r="R19" i="15"/>
  <c r="R21" i="15"/>
  <c r="R22" i="15"/>
  <c r="R23" i="15"/>
  <c r="R24" i="15"/>
  <c r="R25" i="15"/>
  <c r="R26" i="15"/>
  <c r="U14" i="16"/>
  <c r="R8" i="16"/>
  <c r="R9" i="16"/>
  <c r="R23" i="16"/>
  <c r="R10" i="16"/>
  <c r="R11" i="16"/>
  <c r="R12" i="16"/>
  <c r="R13" i="16"/>
  <c r="R20" i="16"/>
  <c r="R21" i="16"/>
  <c r="R22" i="16"/>
  <c r="R24" i="16"/>
  <c r="R25" i="16"/>
  <c r="X9" i="15" l="1"/>
  <c r="Y9" i="15"/>
  <c r="S19" i="16"/>
  <c r="W8" i="16"/>
  <c r="S10" i="15"/>
  <c r="S20" i="15"/>
  <c r="V8" i="15"/>
  <c r="S21" i="15"/>
  <c r="S9" i="16"/>
  <c r="S26" i="16"/>
  <c r="S10" i="16"/>
  <c r="S13" i="16"/>
  <c r="S17" i="16"/>
  <c r="S22" i="16"/>
  <c r="S27" i="16"/>
  <c r="S15" i="16"/>
  <c r="S24" i="16"/>
  <c r="S12" i="16"/>
  <c r="S16" i="16"/>
  <c r="S21" i="16"/>
  <c r="S18" i="16"/>
  <c r="S23" i="16"/>
  <c r="S8" i="16"/>
  <c r="V8" i="16"/>
  <c r="S11" i="16"/>
  <c r="S25" i="16"/>
  <c r="S14" i="16"/>
  <c r="S12" i="15"/>
  <c r="S16" i="15"/>
  <c r="S25" i="15"/>
  <c r="S9" i="15"/>
  <c r="W9" i="15"/>
  <c r="S14" i="15"/>
  <c r="S23" i="15"/>
  <c r="S19" i="15"/>
  <c r="S24" i="15"/>
  <c r="S13" i="15"/>
  <c r="S17" i="15"/>
  <c r="S22" i="15"/>
  <c r="S26" i="15"/>
  <c r="S18" i="15"/>
  <c r="S27" i="15"/>
  <c r="S11" i="15"/>
  <c r="M8" i="15"/>
  <c r="S15" i="15"/>
  <c r="S20" i="16"/>
  <c r="W8" i="15" l="1"/>
  <c r="Y8" i="15"/>
  <c r="X8" i="15"/>
  <c r="Q13" i="14"/>
  <c r="S31" i="4"/>
  <c r="S34" i="4"/>
  <c r="N25" i="2" l="1"/>
  <c r="N11" i="2"/>
  <c r="S15" i="4"/>
  <c r="S18" i="4"/>
  <c r="S20" i="4"/>
  <c r="N15" i="2"/>
  <c r="Q12" i="14"/>
  <c r="Q15" i="14"/>
  <c r="Q16" i="14"/>
  <c r="Q18" i="14"/>
  <c r="Q19" i="14"/>
  <c r="Q20" i="14"/>
  <c r="Q25" i="14"/>
  <c r="Q26" i="14"/>
  <c r="Q27" i="14"/>
  <c r="Q28" i="14"/>
  <c r="Q30" i="14"/>
  <c r="Q31" i="14"/>
  <c r="Q33" i="14"/>
  <c r="L23" i="14"/>
  <c r="J23" i="14"/>
  <c r="T23" i="14" s="1"/>
  <c r="I23" i="14"/>
  <c r="S23" i="14" s="1"/>
  <c r="H23" i="14"/>
  <c r="G23" i="14"/>
  <c r="F23" i="14"/>
  <c r="E23" i="14"/>
  <c r="D23" i="14"/>
  <c r="C23" i="14"/>
  <c r="B23" i="14"/>
  <c r="E17" i="14"/>
  <c r="D17" i="14"/>
  <c r="C17" i="14"/>
  <c r="B17" i="14"/>
  <c r="L10" i="14"/>
  <c r="L9" i="14" s="1"/>
  <c r="L8" i="14" s="1"/>
  <c r="J10" i="14"/>
  <c r="I10" i="14"/>
  <c r="H10" i="14"/>
  <c r="G10" i="14"/>
  <c r="G9" i="14" s="1"/>
  <c r="F10" i="14"/>
  <c r="F9" i="14" s="1"/>
  <c r="F8" i="14" s="1"/>
  <c r="E10" i="14"/>
  <c r="D10" i="14"/>
  <c r="C10" i="14"/>
  <c r="C9" i="14" s="1"/>
  <c r="C8" i="14" s="1"/>
  <c r="B10" i="14"/>
  <c r="D9" i="14" l="1"/>
  <c r="D8" i="14" s="1"/>
  <c r="T10" i="14"/>
  <c r="J9" i="14"/>
  <c r="J8" i="14" s="1"/>
  <c r="T8" i="14" s="1"/>
  <c r="S10" i="14"/>
  <c r="E9" i="14"/>
  <c r="E8" i="14" s="1"/>
  <c r="B9" i="14"/>
  <c r="B8" i="14" s="1"/>
  <c r="Q10" i="14"/>
  <c r="R10" i="14"/>
  <c r="R23" i="14"/>
  <c r="H9" i="14"/>
  <c r="N20" i="14" s="1"/>
  <c r="G8" i="14"/>
  <c r="I9" i="14"/>
  <c r="R17" i="14"/>
  <c r="Q23" i="14"/>
  <c r="N14" i="14"/>
  <c r="Q17" i="14"/>
  <c r="N13" i="14"/>
  <c r="N33" i="14"/>
  <c r="N19" i="14"/>
  <c r="N27" i="14"/>
  <c r="N28" i="14"/>
  <c r="N29" i="14" l="1"/>
  <c r="N24" i="14"/>
  <c r="P9" i="14"/>
  <c r="P17" i="14"/>
  <c r="P12" i="14"/>
  <c r="P14" i="14"/>
  <c r="P16" i="14"/>
  <c r="P20" i="14"/>
  <c r="P22" i="14"/>
  <c r="P24" i="14"/>
  <c r="P26" i="14"/>
  <c r="P28" i="14"/>
  <c r="P30" i="14"/>
  <c r="P33" i="14"/>
  <c r="P18" i="14"/>
  <c r="P11" i="14"/>
  <c r="P13" i="14"/>
  <c r="P15" i="14"/>
  <c r="P19" i="14"/>
  <c r="P21" i="14"/>
  <c r="P23" i="14"/>
  <c r="P25" i="14"/>
  <c r="P27" i="14"/>
  <c r="P29" i="14"/>
  <c r="P31" i="14"/>
  <c r="T9" i="14"/>
  <c r="P10" i="14"/>
  <c r="S9" i="14"/>
  <c r="O9" i="14"/>
  <c r="O10" i="14"/>
  <c r="O21" i="14"/>
  <c r="O22" i="14"/>
  <c r="N18" i="14"/>
  <c r="N22" i="14"/>
  <c r="N26" i="14"/>
  <c r="N25" i="14"/>
  <c r="N21" i="14"/>
  <c r="N31" i="14"/>
  <c r="N16" i="14"/>
  <c r="N15" i="14"/>
  <c r="N12" i="14"/>
  <c r="N30" i="14"/>
  <c r="Q9" i="14"/>
  <c r="N11" i="14"/>
  <c r="N23" i="14"/>
  <c r="N17" i="14"/>
  <c r="N10" i="14"/>
  <c r="O14" i="14"/>
  <c r="O18" i="14"/>
  <c r="O27" i="14"/>
  <c r="O31" i="14"/>
  <c r="O12" i="14"/>
  <c r="O16" i="14"/>
  <c r="O25" i="14"/>
  <c r="O29" i="14"/>
  <c r="O11" i="14"/>
  <c r="O26" i="14"/>
  <c r="O15" i="14"/>
  <c r="O19" i="14"/>
  <c r="O24" i="14"/>
  <c r="O28" i="14"/>
  <c r="O20" i="14"/>
  <c r="O33" i="14"/>
  <c r="R9" i="14"/>
  <c r="O13" i="14"/>
  <c r="O30" i="14"/>
  <c r="I8" i="14"/>
  <c r="S8" i="14" s="1"/>
  <c r="O23" i="14"/>
  <c r="O17" i="14"/>
  <c r="N9" i="14"/>
  <c r="H8" i="14"/>
  <c r="Q8" i="14" s="1"/>
  <c r="E8" i="1"/>
  <c r="D8" i="1"/>
  <c r="C8" i="1"/>
  <c r="B8" i="1"/>
  <c r="R8" i="14" l="1"/>
  <c r="H59" i="8"/>
  <c r="N6" i="8"/>
  <c r="N4" i="8" s="1"/>
  <c r="M6" i="8"/>
  <c r="M5" i="8"/>
  <c r="M4" i="8"/>
  <c r="L3" i="8"/>
  <c r="L12" i="8" s="1"/>
  <c r="K3" i="8"/>
  <c r="K12" i="8" s="1"/>
  <c r="J3" i="8"/>
  <c r="J12" i="8" s="1"/>
  <c r="I3" i="8"/>
  <c r="I12" i="8" s="1"/>
  <c r="H3" i="8"/>
  <c r="H12" i="8" s="1"/>
  <c r="G3" i="8"/>
  <c r="G12" i="8" s="1"/>
  <c r="F3" i="8"/>
  <c r="F12" i="8" s="1"/>
  <c r="E3" i="8"/>
  <c r="E12" i="8" s="1"/>
  <c r="D3" i="8"/>
  <c r="D12" i="8" s="1"/>
  <c r="C3" i="8"/>
  <c r="C12" i="8" s="1"/>
  <c r="B3" i="8"/>
  <c r="B12" i="8" s="1"/>
  <c r="M3" i="8" l="1"/>
  <c r="M10" i="8" s="1"/>
  <c r="N3" i="8"/>
  <c r="N12" i="8" s="1"/>
  <c r="O10" i="8"/>
  <c r="Q10" i="8"/>
  <c r="O11" i="8"/>
  <c r="P12" i="8"/>
  <c r="Q12" i="8"/>
  <c r="C10" i="8"/>
  <c r="L10" i="8"/>
  <c r="K10" i="8"/>
  <c r="J10" i="8"/>
  <c r="I10" i="8"/>
  <c r="H10" i="8"/>
  <c r="G10" i="8"/>
  <c r="F10" i="8"/>
  <c r="E10" i="8"/>
  <c r="D10" i="8"/>
  <c r="B10" i="8"/>
  <c r="B11" i="8"/>
  <c r="C11" i="8"/>
  <c r="D11" i="8"/>
  <c r="E11" i="8"/>
  <c r="F11" i="8"/>
  <c r="G11" i="8"/>
  <c r="H11" i="8"/>
  <c r="I11" i="8"/>
  <c r="J11" i="8"/>
  <c r="K11" i="8"/>
  <c r="L11" i="8"/>
  <c r="M12" i="8" l="1"/>
  <c r="M11" i="8"/>
  <c r="N11" i="8"/>
  <c r="N10" i="8"/>
  <c r="S33" i="4"/>
  <c r="S37" i="4"/>
  <c r="S32" i="4"/>
  <c r="S23" i="4"/>
  <c r="S25" i="4"/>
  <c r="S26" i="4"/>
  <c r="S29" i="4"/>
  <c r="S22" i="4"/>
  <c r="S17" i="4"/>
  <c r="S16" i="4"/>
  <c r="S14" i="4"/>
  <c r="S11" i="4"/>
  <c r="S12" i="4"/>
  <c r="S13" i="4"/>
  <c r="K8" i="4"/>
  <c r="H28" i="4"/>
  <c r="H27" i="4" s="1"/>
  <c r="G28" i="4"/>
  <c r="G27" i="4" s="1"/>
  <c r="F28" i="4"/>
  <c r="F27" i="4" s="1"/>
  <c r="E28" i="4"/>
  <c r="D28" i="4"/>
  <c r="D27" i="4" s="1"/>
  <c r="C28" i="4"/>
  <c r="C27" i="4" s="1"/>
  <c r="B28" i="4"/>
  <c r="B27" i="4" s="1"/>
  <c r="E27" i="4"/>
  <c r="G24" i="4"/>
  <c r="F24" i="4"/>
  <c r="E24" i="4"/>
  <c r="D24" i="4"/>
  <c r="C24" i="4"/>
  <c r="B24" i="4"/>
  <c r="H10" i="4"/>
  <c r="H9" i="4" s="1"/>
  <c r="G10" i="4"/>
  <c r="G9" i="4" s="1"/>
  <c r="G8" i="4" s="1"/>
  <c r="F10" i="4"/>
  <c r="E10" i="4"/>
  <c r="D10" i="4"/>
  <c r="C10" i="4"/>
  <c r="C9" i="4" s="1"/>
  <c r="B10" i="4"/>
  <c r="G46" i="3"/>
  <c r="G23" i="3" s="1"/>
  <c r="F46" i="3"/>
  <c r="E46" i="3"/>
  <c r="E23" i="3" s="1"/>
  <c r="D46" i="3"/>
  <c r="D23" i="3" s="1"/>
  <c r="C46" i="3"/>
  <c r="C23" i="3" s="1"/>
  <c r="B46" i="3"/>
  <c r="B23" i="3" s="1"/>
  <c r="G11" i="3"/>
  <c r="F11" i="3"/>
  <c r="E11" i="3"/>
  <c r="D11" i="3"/>
  <c r="C11" i="3"/>
  <c r="B11" i="3"/>
  <c r="N24" i="2"/>
  <c r="N10" i="2"/>
  <c r="N12" i="2"/>
  <c r="N16" i="2"/>
  <c r="N17" i="2"/>
  <c r="D22" i="2"/>
  <c r="D21" i="2" s="1"/>
  <c r="F22" i="2"/>
  <c r="F21" i="2" s="1"/>
  <c r="E22" i="2"/>
  <c r="E21" i="2" s="1"/>
  <c r="C22" i="2"/>
  <c r="C21" i="2" s="1"/>
  <c r="B22" i="2"/>
  <c r="B21" i="2" s="1"/>
  <c r="F19" i="2"/>
  <c r="E19" i="2"/>
  <c r="B18" i="2"/>
  <c r="H14" i="2"/>
  <c r="G14" i="2"/>
  <c r="D14" i="2"/>
  <c r="C14" i="2"/>
  <c r="C13" i="2" s="1"/>
  <c r="B14" i="2"/>
  <c r="H9" i="2"/>
  <c r="H8" i="2" s="1"/>
  <c r="G9" i="2"/>
  <c r="G8" i="2" s="1"/>
  <c r="D9" i="2"/>
  <c r="D19" i="2" s="1"/>
  <c r="C9" i="2"/>
  <c r="B9" i="2"/>
  <c r="B19" i="2" s="1"/>
  <c r="I23" i="1"/>
  <c r="I21" i="1" s="1"/>
  <c r="G24" i="1"/>
  <c r="G23" i="1" s="1"/>
  <c r="G21" i="1" s="1"/>
  <c r="H23" i="1"/>
  <c r="H21" i="1" s="1"/>
  <c r="E24" i="1"/>
  <c r="E23" i="1" s="1"/>
  <c r="E21" i="1" s="1"/>
  <c r="D24" i="1"/>
  <c r="D23" i="1" s="1"/>
  <c r="D21" i="1" s="1"/>
  <c r="C24" i="1"/>
  <c r="B24" i="1"/>
  <c r="C21" i="1"/>
  <c r="D9" i="4" l="1"/>
  <c r="E9" i="4"/>
  <c r="E8" i="4" s="1"/>
  <c r="F9" i="4"/>
  <c r="B9" i="4"/>
  <c r="I9" i="4"/>
  <c r="U9" i="4" s="1"/>
  <c r="U10" i="4"/>
  <c r="H13" i="2"/>
  <c r="H18" i="2"/>
  <c r="P22" i="2"/>
  <c r="P9" i="2"/>
  <c r="P8" i="2"/>
  <c r="P13" i="2"/>
  <c r="P14" i="2"/>
  <c r="B10" i="3"/>
  <c r="B9" i="3" s="1"/>
  <c r="B8" i="3" s="1"/>
  <c r="C10" i="3"/>
  <c r="C9" i="3" s="1"/>
  <c r="C8" i="3" s="1"/>
  <c r="P21" i="2"/>
  <c r="P18" i="2"/>
  <c r="P19" i="2"/>
  <c r="H19" i="2"/>
  <c r="G13" i="2"/>
  <c r="N13" i="2" s="1"/>
  <c r="B8" i="4"/>
  <c r="F8" i="4"/>
  <c r="H8" i="4"/>
  <c r="P11" i="4" s="1"/>
  <c r="E10" i="3"/>
  <c r="E9" i="3" s="1"/>
  <c r="E8" i="3" s="1"/>
  <c r="F23" i="3"/>
  <c r="F10" i="3" s="1"/>
  <c r="F9" i="3" s="1"/>
  <c r="F8" i="3" s="1"/>
  <c r="D10" i="3"/>
  <c r="D9" i="3" s="1"/>
  <c r="D8" i="3" s="1"/>
  <c r="H10" i="3"/>
  <c r="H9" i="3" s="1"/>
  <c r="H8" i="3" s="1"/>
  <c r="G10" i="3"/>
  <c r="G9" i="3" s="1"/>
  <c r="G8" i="3" s="1"/>
  <c r="O9" i="2"/>
  <c r="F24" i="1"/>
  <c r="F23" i="1" s="1"/>
  <c r="C8" i="4"/>
  <c r="D8" i="4"/>
  <c r="T27" i="4"/>
  <c r="T24" i="4"/>
  <c r="T28" i="4"/>
  <c r="C19" i="2"/>
  <c r="T10" i="4"/>
  <c r="C8" i="2"/>
  <c r="C18" i="2" s="1"/>
  <c r="F8" i="1"/>
  <c r="G22" i="2"/>
  <c r="G21" i="2" s="1"/>
  <c r="N21" i="2" s="1"/>
  <c r="O19" i="2"/>
  <c r="O13" i="2"/>
  <c r="O14" i="2"/>
  <c r="O21" i="2"/>
  <c r="O22" i="2"/>
  <c r="O23" i="2"/>
  <c r="N14" i="2"/>
  <c r="N23" i="2"/>
  <c r="O23" i="4"/>
  <c r="O26" i="4"/>
  <c r="O37" i="4"/>
  <c r="S9" i="4"/>
  <c r="S10" i="4"/>
  <c r="S24" i="4"/>
  <c r="S27" i="4"/>
  <c r="S28" i="4"/>
  <c r="N9" i="2"/>
  <c r="B21" i="1"/>
  <c r="F21" i="1" l="1"/>
  <c r="O15" i="4"/>
  <c r="O11" i="4"/>
  <c r="P33" i="4"/>
  <c r="P31" i="4"/>
  <c r="P29" i="4"/>
  <c r="P27" i="4"/>
  <c r="P25" i="4"/>
  <c r="P23" i="4"/>
  <c r="P20" i="4"/>
  <c r="P17" i="4"/>
  <c r="P15" i="4"/>
  <c r="P13" i="4"/>
  <c r="P37" i="4"/>
  <c r="P32" i="4"/>
  <c r="P30" i="4"/>
  <c r="P28" i="4"/>
  <c r="P26" i="4"/>
  <c r="P24" i="4"/>
  <c r="P22" i="4"/>
  <c r="P18" i="4"/>
  <c r="P16" i="4"/>
  <c r="P14" i="4"/>
  <c r="P12" i="4"/>
  <c r="P10" i="4"/>
  <c r="P8" i="4"/>
  <c r="O13" i="4"/>
  <c r="P9" i="4"/>
  <c r="I8" i="4"/>
  <c r="T9" i="4"/>
  <c r="J8" i="4"/>
  <c r="V8" i="4" s="1"/>
  <c r="U27" i="4"/>
  <c r="G18" i="2"/>
  <c r="N18" i="2" s="1"/>
  <c r="G19" i="2"/>
  <c r="N19" i="2" s="1"/>
  <c r="N8" i="2"/>
  <c r="O8" i="2"/>
  <c r="O32" i="4"/>
  <c r="S8" i="4"/>
  <c r="O8" i="4"/>
  <c r="O27" i="4"/>
  <c r="O30" i="4"/>
  <c r="T8" i="4"/>
  <c r="O20" i="4"/>
  <c r="O9" i="4"/>
  <c r="O10" i="4"/>
  <c r="O17" i="4"/>
  <c r="N22" i="2"/>
  <c r="O28" i="4"/>
  <c r="O24" i="4"/>
  <c r="O33" i="4"/>
  <c r="O31" i="4"/>
  <c r="O29" i="4"/>
  <c r="O25" i="4"/>
  <c r="O22" i="4"/>
  <c r="O18" i="4"/>
  <c r="O16" i="4"/>
  <c r="O14" i="4"/>
  <c r="O12" i="4"/>
  <c r="O18" i="2"/>
  <c r="Q27" i="4" l="1"/>
  <c r="Q22" i="4"/>
  <c r="Q12" i="4"/>
  <c r="Q9" i="4"/>
  <c r="Q20" i="4"/>
  <c r="Q10" i="4"/>
  <c r="Q8" i="4"/>
  <c r="Q34" i="4"/>
  <c r="Q24" i="4"/>
  <c r="Q26" i="4"/>
  <c r="Q28" i="4"/>
  <c r="Q30" i="4"/>
  <c r="Q32" i="4"/>
  <c r="Q37" i="4"/>
  <c r="Q11" i="4"/>
  <c r="Q14" i="4"/>
  <c r="Q16" i="4"/>
  <c r="Q17" i="4"/>
  <c r="Q15" i="4"/>
  <c r="Q18" i="4"/>
  <c r="Q23" i="4"/>
  <c r="Q25" i="4"/>
  <c r="Q29" i="4"/>
  <c r="Q31" i="4"/>
  <c r="Q33" i="4"/>
  <c r="Q13" i="4"/>
  <c r="U8" i="4"/>
</calcChain>
</file>

<file path=xl/sharedStrings.xml><?xml version="1.0" encoding="utf-8"?>
<sst xmlns="http://schemas.openxmlformats.org/spreadsheetml/2006/main" count="2441" uniqueCount="880">
  <si>
    <t>(cniaWyifur cnwailim)</t>
  </si>
  <si>
    <t>Particulars</t>
  </si>
  <si>
    <t>(iawfiverukuhWlcsia)</t>
  </si>
  <si>
    <t>clIBcfwt</t>
  </si>
  <si>
    <t>Actual</t>
  </si>
  <si>
    <t>(MTEF)</t>
  </si>
  <si>
    <t>Revised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</si>
  <si>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</si>
  <si>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</si>
  <si>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</si>
  <si>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</si>
  <si>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</si>
  <si>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</si>
  <si>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Loan accounts</t>
  </si>
  <si>
    <t xml:space="preserve">                             Ebil cSwkwtcTcnuawwkea WrukUd cnOl cnurWkurws  </t>
  </si>
  <si>
    <t>Monetary grants</t>
  </si>
  <si>
    <t xml:space="preserve">                                        cniaWsiawf Ebil iawgutog egIheaElih egurEb   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</si>
  <si>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</si>
  <si>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</si>
  <si>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</si>
  <si>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</si>
  <si>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</si>
  <si>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</si>
  <si>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</si>
  <si>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</si>
  <si>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</si>
  <si>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</si>
  <si>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</si>
  <si>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</si>
  <si>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</si>
  <si>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</si>
  <si>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</si>
  <si>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</si>
  <si>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</si>
  <si>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</si>
  <si>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</si>
  <si>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</si>
  <si>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</si>
  <si>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</si>
  <si>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</si>
  <si>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</si>
  <si>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</si>
  <si>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</si>
  <si>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>Expenditure from Loan accounts</t>
  </si>
  <si>
    <t xml:space="preserve">udwrwK Wruk cnukwtcTcnuawwkea WrukUd cnOl cnurWkurws  </t>
  </si>
  <si>
    <t xml:space="preserve">                                           udwrwK Everuk cniaWsiawf egIheaElih egurEb   </t>
  </si>
  <si>
    <t>ފައިސާގެ ގޮތުގައި ދެވޭ ލޯނު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</si>
  <si>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</si>
  <si>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</si>
  <si>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</si>
  <si>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</si>
  <si>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Development expenditure of projects financed from Domestic loans </t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</si>
  <si>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</si>
  <si>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</si>
  <si>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</si>
  <si>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</si>
  <si>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>2_/  Overall deficit/surplus in this table is difference of Government total Income and Expenditure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</si>
  <si>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</si>
  <si>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</si>
  <si>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       (including grants) plus loan disbursements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</si>
  <si>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</si>
  <si>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</si>
  <si>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</si>
  <si>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</si>
  <si>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</si>
  <si>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iawfiverukuhWlcsia</t>
  </si>
  <si>
    <t>(cTejwbWtcsWrudem)</t>
  </si>
  <si>
    <t>(urwvcnimivurutia)</t>
  </si>
  <si>
    <t>Actuals</t>
  </si>
  <si>
    <t>MTEF</t>
  </si>
  <si>
    <t>Total Revenue and grants</t>
  </si>
  <si>
    <t>Wsiawf unubil iawgutogegIhea egurEb iaWaInwdcmWa</t>
  </si>
  <si>
    <t>Total  Revenue</t>
  </si>
  <si>
    <t>InwdcmWa</t>
  </si>
  <si>
    <t>Current Revenue</t>
  </si>
  <si>
    <t>InwdcmWA cTcnwrwk</t>
  </si>
  <si>
    <t>Capital Revenue</t>
  </si>
  <si>
    <t>3_/InwdcmWA clwTipek</t>
  </si>
  <si>
    <t>Grants  1_/</t>
  </si>
  <si>
    <t>1_/ unubil iawgutogegIhea egurEb</t>
  </si>
  <si>
    <t>Expenditure and net lending</t>
  </si>
  <si>
    <t>IkWbufWs egInwrwdEverukUd iaWdwrwK</t>
  </si>
  <si>
    <t>Total Expenditure</t>
  </si>
  <si>
    <t>udwrwK</t>
  </si>
  <si>
    <t>Current expenditure</t>
  </si>
  <si>
    <t>udwrwK Wditenivua</t>
  </si>
  <si>
    <t xml:space="preserve">Capital expenditure </t>
  </si>
  <si>
    <t>Net lending</t>
  </si>
  <si>
    <t>IkWbufWs egInwrwd EverukUd</t>
  </si>
  <si>
    <t>މުޅިބަޖެޓުގައި އާމްދަނީއަށްވުރެ ޚަރަދުއިތުރުވި މިންވަރު (-) (އެހީގެ ގޮތިގައި ލިބޭ ފައިސާ ހިމަނައިގެން)</t>
  </si>
  <si>
    <t>މުޅިބަޖެޓުގައި އާމްދަނީއަށްވުރެ ޚަރަދުއިތުރުވި މިންވަރު (-) (އެހީގެ ގޮތިގައި ލިބޭ ފައިސާ ނުހިމަނާ)</t>
  </si>
  <si>
    <t>Financing</t>
  </si>
  <si>
    <t xml:space="preserve"> ctogunuscaejwmwh udwrwK ivurutia eruvcSwaInwdcmWa egcTejwb iLum</t>
  </si>
  <si>
    <t>Foreign (net)</t>
  </si>
  <si>
    <t>IkWbufWs egWsiawf unubilcnurEb</t>
  </si>
  <si>
    <t>Disbursements</t>
  </si>
  <si>
    <t>unuverukudwrwK cnunOl</t>
  </si>
  <si>
    <t>Repayments  (-)</t>
  </si>
  <si>
    <t>(-) cSwmukcaedWrubwa cnunOl</t>
  </si>
  <si>
    <t>Domestic 2_/</t>
  </si>
  <si>
    <t>2_/ cniaejcaWr</t>
  </si>
  <si>
    <t>1_/  Excludes grants for direct expenditure by donors.</t>
  </si>
  <si>
    <t>.eveaevun caeawfinemih udwrwK Wruk WdIs ctWrwf EdIhea 1_/</t>
  </si>
  <si>
    <t>2_/  Primarily reflects net borrowing from MMA.</t>
  </si>
  <si>
    <t>.everwvcnim Wviawfigencnia Ea.cmea.cmea Inediawkcawd iawgcaetoguDnwgiawm 2_/</t>
  </si>
  <si>
    <t>3_/  Sales of capital assets (include privatization of Airport in 2009</t>
  </si>
  <si>
    <t>(.eveaeviawfinemih  iawgiawbim cnurukcziawTeviawrcpcTrOprwaea ) cnegiawkcaivcTesea clwTiPek 3_/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</si>
  <si>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</si>
  <si>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</si>
  <si>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</si>
  <si>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</si>
  <si>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</si>
  <si>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</si>
  <si>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</si>
  <si>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</si>
  <si>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</si>
  <si>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</si>
  <si>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</si>
  <si>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</si>
  <si>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</si>
  <si>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</si>
  <si>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</si>
  <si>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</si>
  <si>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</si>
  <si>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</si>
  <si>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</si>
  <si>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</si>
  <si>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</si>
  <si>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Royalties  4_/</t>
  </si>
  <si>
    <t xml:space="preserve">              Other  1/</t>
  </si>
  <si>
    <t xml:space="preserve">                                                            1_/ cnehinehea</t>
  </si>
  <si>
    <t>Nontax Revenue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</si>
  <si>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</si>
  <si>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</si>
  <si>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</si>
  <si>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</si>
  <si>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</si>
  <si>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</si>
  <si>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</si>
  <si>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</si>
  <si>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</si>
  <si>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</si>
  <si>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</si>
  <si>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</si>
  <si>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</si>
  <si>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</si>
  <si>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</si>
  <si>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</si>
  <si>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</si>
  <si>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</si>
  <si>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</si>
  <si>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</si>
  <si>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</si>
  <si>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</si>
  <si>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</si>
  <si>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</si>
  <si>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</si>
  <si>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</si>
  <si>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</si>
  <si>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</si>
  <si>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Inflight Catering Services</t>
  </si>
  <si>
    <t>މޯލްޑިވްސް އިންފްލައިޓް ކޭޓަރިންގ ސަރވިސަސް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</si>
  <si>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</si>
  <si>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</si>
  <si>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</si>
  <si>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</si>
  <si>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</si>
  <si>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 xml:space="preserve">Maldives National Shipping Limited </t>
  </si>
  <si>
    <t>މޯލްޑިވްސް ނެޝަނަލް ޝިޕިންގް ލިމިޓެޑް</t>
  </si>
  <si>
    <t>Thilafushi Corperation Limited</t>
  </si>
  <si>
    <t>ތިލަފުށި ކޯޕަރޭޝަން ލިމިޓެޑް</t>
  </si>
  <si>
    <t>Maldives National Broadcasting Corporation</t>
  </si>
  <si>
    <t>މޯލްޑިވްސް ނެޝަނަލް ބުރޯޑްކާސްޓިންގ ކޯޕަރޭޝަން</t>
  </si>
  <si>
    <t>Kooddoo fisharies pvt ltd</t>
  </si>
  <si>
    <t>ކޫއްޑޫ ފިޝަރީޒް ޕްރައިވެޓް ލިމިޓެޑް</t>
  </si>
  <si>
    <t>މޯލްޑިވްސް ޓޫރިޒަމް ޑިވެލޮޕްމަންޓް ކޯޕަރޭޝަން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</si>
  <si>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</si>
  <si>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</si>
  <si>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</si>
  <si>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</si>
  <si>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</si>
  <si>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</si>
  <si>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</si>
  <si>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</si>
  <si>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</si>
  <si>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</si>
  <si>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</si>
  <si>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.eveaenemih iawgiawbim ITuaiD egcpcmETcs ,IfWkcawd cSwmuruk IrwTcsijwr inufcnuk -If cscnwsiawl 1_/</t>
  </si>
  <si>
    <t>2_/  Includes fines, confiscated properties, penalties and administrative charges (Royalty included up to 2011)</t>
  </si>
  <si>
    <t>Wsiawf Egen cnutog IrWdia iaWaITclenep ,itekwt WrukcTEkcsifcnok ,WnwmirUj  2_/</t>
  </si>
  <si>
    <t>3_/  Excludes grants for direct expenditure by donors.</t>
  </si>
  <si>
    <t>.eveaevuncaeawfinemihIhea EdiawfcSokudwrwKWdIs ctWrwf EdIhea  3_/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</si>
  <si>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</si>
  <si>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</si>
  <si>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</si>
  <si>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</si>
  <si>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</si>
  <si>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</si>
  <si>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</si>
  <si>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</si>
  <si>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</si>
  <si>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</si>
  <si>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</si>
  <si>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</si>
  <si>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</si>
  <si>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</si>
  <si>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</si>
  <si>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</si>
  <si>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</si>
  <si>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</si>
  <si>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</si>
  <si>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</si>
  <si>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</si>
  <si>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</si>
  <si>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</si>
  <si>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</si>
  <si>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</si>
  <si>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</si>
  <si>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</si>
  <si>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</si>
  <si>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</si>
  <si>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</si>
  <si>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</si>
  <si>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</si>
  <si>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</si>
  <si>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</si>
  <si>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</si>
  <si>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</si>
  <si>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</si>
  <si>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</si>
  <si>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</si>
  <si>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</si>
  <si>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</si>
  <si>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</si>
  <si>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Other 1_/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</si>
  <si>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</si>
  <si>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</si>
  <si>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</si>
  <si>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</si>
  <si>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</si>
  <si>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</si>
  <si>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</si>
  <si>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 xml:space="preserve"> 1_/  Comprises development expenditure financed from domestic sources   and by foreign grants. </t>
  </si>
  <si>
    <t>Wsiawf EverukudwrwK cSwaIqcawrwt  cnegibil iawgutog egIhea Elih egurEb iaWncnEjcaWr Inenemih iawgiawbim 1_/</t>
  </si>
  <si>
    <t>Current Expenditure</t>
  </si>
  <si>
    <t>2016MTEF</t>
  </si>
  <si>
    <t>Current Expenditure (percentage)</t>
  </si>
  <si>
    <t>Non-tax Revenue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</si>
  <si>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</si>
  <si>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</si>
  <si>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</si>
  <si>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</si>
  <si>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</si>
  <si>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</si>
  <si>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</si>
  <si>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</si>
  <si>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</si>
  <si>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</si>
  <si>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</si>
  <si>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</si>
  <si>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</si>
  <si>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</si>
  <si>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</si>
  <si>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</si>
  <si>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</si>
  <si>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</si>
  <si>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</si>
  <si>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</si>
  <si>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</si>
  <si>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</si>
  <si>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</si>
  <si>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</si>
  <si>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 xml:space="preserve">  Community programmes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</si>
  <si>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</si>
  <si>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</si>
  <si>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</si>
  <si>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</si>
  <si>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</si>
  <si>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</si>
  <si>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</si>
  <si>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</si>
  <si>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</si>
  <si>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</si>
  <si>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</si>
  <si>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</si>
  <si>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</si>
  <si>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</si>
  <si>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</si>
  <si>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</si>
  <si>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</si>
  <si>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</si>
  <si>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</si>
  <si>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2012 - 2013</t>
  </si>
  <si>
    <t xml:space="preserve">ޓެކްސްގެ ގޮތުގައި ނުހިމެނޭ އާމްދަނީ </t>
  </si>
  <si>
    <t xml:space="preserve">   .eveawgutog egInwdcmWa Ebil iawgutog egcsckeT Inwviawfiveleb ITclwyOr cnegiSef cn 2012  4_/</t>
  </si>
  <si>
    <t xml:space="preserve">                                                            4_/ ITclwyOr</t>
  </si>
  <si>
    <t>ބެހިފައިވާ ގޮތް އިން ސައްތައިން</t>
  </si>
  <si>
    <t>Percentage Share</t>
  </si>
  <si>
    <t>Percentage Change</t>
  </si>
  <si>
    <t>އިތުރުވި މިންވަރު</t>
  </si>
  <si>
    <t>2012-2013</t>
  </si>
  <si>
    <t>(In million MVR)</t>
  </si>
  <si>
    <t xml:space="preserve"> cniawfis</t>
  </si>
  <si>
    <t>cnuhuluf</t>
  </si>
  <si>
    <t xml:space="preserve"> (In million MVR)</t>
  </si>
  <si>
    <t>cawtunOl egEretea</t>
  </si>
  <si>
    <t xml:space="preserve">  Training expenses</t>
  </si>
  <si>
    <t>unIrcmwt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</si>
  <si>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</si>
  <si>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</si>
  <si>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</si>
  <si>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</si>
  <si>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</si>
  <si>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</si>
  <si>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</si>
  <si>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</si>
  <si>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</si>
  <si>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</si>
  <si>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</si>
  <si>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</si>
  <si>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</si>
  <si>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</si>
  <si>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</si>
  <si>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</si>
  <si>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</si>
  <si>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</si>
  <si>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</si>
  <si>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</si>
  <si>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</si>
  <si>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</si>
  <si>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</si>
  <si>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</si>
  <si>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</si>
  <si>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</si>
  <si>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</si>
  <si>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</si>
  <si>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</si>
  <si>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</si>
  <si>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</si>
  <si>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</si>
  <si>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</si>
  <si>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</si>
  <si>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</si>
  <si>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</si>
  <si>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</si>
  <si>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</si>
  <si>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</si>
  <si>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</si>
  <si>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</si>
  <si>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</si>
  <si>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</si>
  <si>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</si>
  <si>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</si>
  <si>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</si>
  <si>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</si>
  <si>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</si>
  <si>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</si>
  <si>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</si>
  <si>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</si>
  <si>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</si>
  <si>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</si>
  <si>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</si>
  <si>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</si>
  <si>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</si>
  <si>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</si>
  <si>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</si>
  <si>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</si>
  <si>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</si>
  <si>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</si>
  <si>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</si>
  <si>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</si>
  <si>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</si>
  <si>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</si>
  <si>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</si>
  <si>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</si>
  <si>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</si>
  <si>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</si>
  <si>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</si>
  <si>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</si>
  <si>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</si>
  <si>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</si>
  <si>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</si>
  <si>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</si>
  <si>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</si>
  <si>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</si>
  <si>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</si>
  <si>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</si>
  <si>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</si>
  <si>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>2016 MTEF</t>
  </si>
  <si>
    <t>2013 - 2014</t>
  </si>
  <si>
    <t>2013-2014</t>
  </si>
  <si>
    <t>2017 MTEF</t>
  </si>
  <si>
    <t>2017MTEF</t>
  </si>
  <si>
    <t>1_/  Revenue includes New revenue Measures approved by the parliament</t>
  </si>
  <si>
    <t>ގްރީން ޓެކްސް</t>
  </si>
  <si>
    <t xml:space="preserve">                Green Tax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</si>
  <si>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</si>
  <si>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</si>
  <si>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</si>
  <si>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</si>
  <si>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 xml:space="preserve">4_/  Starting from 2012, Overall balance is calculated excluding net lending </t>
  </si>
  <si>
    <t xml:space="preserve"> 4_/ from 2012 royalty is classified as a tax revenue</t>
  </si>
  <si>
    <t xml:space="preserve">  Domestic Loan</t>
  </si>
  <si>
    <t xml:space="preserve">  Grant Financed</t>
  </si>
  <si>
    <t xml:space="preserve">  Domestic PSIP</t>
  </si>
  <si>
    <t>_</t>
  </si>
  <si>
    <t>Major projects</t>
  </si>
  <si>
    <t>Expenditure on major projects</t>
  </si>
  <si>
    <t>Saudhi Fund</t>
  </si>
  <si>
    <t>Reconstruction and Development of Ga. Atoll</t>
  </si>
  <si>
    <t>Reconstruction of fishing Harbours In Maldives</t>
  </si>
  <si>
    <t>Contraction of S.Hithadhoo Hospital</t>
  </si>
  <si>
    <t>AbuDhabi Fund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</si>
  <si>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</si>
  <si>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</si>
  <si>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</si>
  <si>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</si>
  <si>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>Maldives Port Development</t>
  </si>
  <si>
    <t>Regional Port Project</t>
  </si>
  <si>
    <t>Japan</t>
  </si>
  <si>
    <t>Post Tsunami Recovery and Reconstruction</t>
  </si>
  <si>
    <t>Airport Upgrading</t>
  </si>
  <si>
    <t>French Develoment Agency</t>
  </si>
  <si>
    <t>Rehabilitation of Harbors and Creation of Sewerage network</t>
  </si>
  <si>
    <t>International Development Association(IDA)</t>
  </si>
  <si>
    <t>Integrated Human Development Project</t>
  </si>
  <si>
    <t xml:space="preserve">Mobile phone banking </t>
  </si>
  <si>
    <t>Maldives Environment Management Project</t>
  </si>
  <si>
    <t>Pension and Social Protection Administration Project</t>
  </si>
  <si>
    <t>Third Education Training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</si>
  <si>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</si>
  <si>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</si>
  <si>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</si>
  <si>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</si>
  <si>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Development of water supply and sewerage</t>
  </si>
  <si>
    <t>Micro Finance Loan to BML</t>
  </si>
  <si>
    <t>Construction of Basic housing in Tsunami affected</t>
  </si>
  <si>
    <t>Construction of Harbours for Tsunami Victims</t>
  </si>
  <si>
    <t>Quarentine facility</t>
  </si>
  <si>
    <t xml:space="preserve">SME Co-Finance 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</si>
  <si>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</si>
  <si>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</si>
  <si>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</si>
  <si>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</si>
  <si>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</si>
  <si>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Reconstruction of Harbours (Istisna)</t>
  </si>
  <si>
    <t>Sanitation in 5 islands ( Istisna)</t>
  </si>
  <si>
    <t>Asian Development Bank(ADB)</t>
  </si>
  <si>
    <t>Information Technology Development Project</t>
  </si>
  <si>
    <t>Outer Island Electrification</t>
  </si>
  <si>
    <t>Employment Skills Training Project</t>
  </si>
  <si>
    <t>Regional Development Project Phase 2</t>
  </si>
  <si>
    <t>Domestic Maritime transport Project</t>
  </si>
  <si>
    <t>Private Sector Development Porject</t>
  </si>
  <si>
    <t>Micro Small &amp; Medium Enterprises dev project</t>
  </si>
  <si>
    <t>Post Secondary Education Development Project</t>
  </si>
  <si>
    <t>OPEC Fund For International Development (OFID)</t>
  </si>
  <si>
    <t>-</t>
  </si>
  <si>
    <t>Provision of water supply &amp; sewerage project</t>
  </si>
  <si>
    <t>Danish Commercial Loan (DANIDA)</t>
  </si>
  <si>
    <t>Fourth Power Generation Project</t>
  </si>
  <si>
    <t>Supplementary loan for Fourth Power</t>
  </si>
  <si>
    <t>ING Bank / Netherland</t>
  </si>
  <si>
    <t>Dredging &amp; Reclamation Project (4 islands)</t>
  </si>
  <si>
    <t>Ga. Villingili Reclamation Project</t>
  </si>
  <si>
    <t>EXIM Bank / China</t>
  </si>
  <si>
    <t>1000 Housing Units in Hulumale'</t>
  </si>
  <si>
    <t>EXIM Bank / India</t>
  </si>
  <si>
    <t>Velaanaage Office building</t>
  </si>
  <si>
    <t xml:space="preserve">Procurement of construction equipment </t>
  </si>
  <si>
    <t xml:space="preserve">Coastal Surveillance Vessel </t>
  </si>
  <si>
    <t>India</t>
  </si>
  <si>
    <t>Standby Credit Facilities</t>
  </si>
  <si>
    <t>Police 9 story Building</t>
  </si>
  <si>
    <t>MNDF 9 story Building</t>
  </si>
  <si>
    <t xml:space="preserve">Hulhumale' Project </t>
  </si>
  <si>
    <t>Other</t>
  </si>
  <si>
    <t>Airports</t>
  </si>
  <si>
    <t>Tsunami Projects</t>
  </si>
  <si>
    <t>Surveillance Radar Communication System</t>
  </si>
  <si>
    <t xml:space="preserve">Procurement of communication equipment </t>
  </si>
  <si>
    <t>Faculty of Health Science Project</t>
  </si>
  <si>
    <t>Construction of S.Hithadhoo Hospital (Funded by Saudhi/OFID)</t>
  </si>
  <si>
    <t>Source: Ministry of Finance and Treasury</t>
  </si>
  <si>
    <t>Total disbursements</t>
  </si>
  <si>
    <t>Bilateral</t>
  </si>
  <si>
    <t>Saudi Arabia</t>
  </si>
  <si>
    <t>AbuDabi Fund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</si>
  <si>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</si>
  <si>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</si>
  <si>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</si>
  <si>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</si>
  <si>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</si>
  <si>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</si>
  <si>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</si>
  <si>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Bank of Ceylon</t>
  </si>
  <si>
    <t>ING Bank (Netherland)</t>
  </si>
  <si>
    <t>Exim Bank of China</t>
  </si>
  <si>
    <t>Exim Bank of India</t>
  </si>
  <si>
    <t>Exim Bank of Thailand</t>
  </si>
  <si>
    <t>French Development Agency</t>
  </si>
  <si>
    <t>DANIDA</t>
  </si>
  <si>
    <t>State Bank of India</t>
  </si>
  <si>
    <t>Rabo Bank</t>
  </si>
  <si>
    <t>EU Investment Bank</t>
  </si>
  <si>
    <t>Society General Italy</t>
  </si>
  <si>
    <t>SBI</t>
  </si>
  <si>
    <t>others</t>
  </si>
  <si>
    <t>Total grants</t>
  </si>
  <si>
    <t>Current</t>
  </si>
  <si>
    <t>Capital</t>
  </si>
  <si>
    <t xml:space="preserve">   Bilateral</t>
  </si>
  <si>
    <t xml:space="preserve">      India</t>
  </si>
  <si>
    <t xml:space="preserve">      China</t>
  </si>
  <si>
    <t xml:space="preserve">      Brunei</t>
  </si>
  <si>
    <t xml:space="preserve">      Denmark</t>
  </si>
  <si>
    <t xml:space="preserve">      Germany</t>
  </si>
  <si>
    <t xml:space="preserve">      Japan</t>
  </si>
  <si>
    <t xml:space="preserve">      Kuwait</t>
  </si>
  <si>
    <t xml:space="preserve">      Norway</t>
  </si>
  <si>
    <t xml:space="preserve">      Saudi Arabia</t>
  </si>
  <si>
    <t xml:space="preserve">      United Kingdom</t>
  </si>
  <si>
    <t xml:space="preserve">      France</t>
  </si>
  <si>
    <t xml:space="preserve">      Oman</t>
  </si>
  <si>
    <t xml:space="preserve">      Australia</t>
  </si>
  <si>
    <t xml:space="preserve">      Sri lanka</t>
  </si>
  <si>
    <t xml:space="preserve">      Qatar</t>
  </si>
  <si>
    <t xml:space="preserve">      America</t>
  </si>
  <si>
    <t xml:space="preserve">      South Korea</t>
  </si>
  <si>
    <t xml:space="preserve">      New Zealand</t>
  </si>
  <si>
    <t xml:space="preserve">      Sweden</t>
  </si>
  <si>
    <t xml:space="preserve">      Canada</t>
  </si>
  <si>
    <t xml:space="preserve">      Pakistan</t>
  </si>
  <si>
    <t xml:space="preserve">      Netherland</t>
  </si>
  <si>
    <t xml:space="preserve">      Bangladesh </t>
  </si>
  <si>
    <t xml:space="preserve">      Other</t>
  </si>
  <si>
    <t xml:space="preserve">   Multilateral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</si>
  <si>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</si>
  <si>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</si>
  <si>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</si>
  <si>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</si>
  <si>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</si>
  <si>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</si>
  <si>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</si>
  <si>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</si>
  <si>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</si>
  <si>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</si>
  <si>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UNOP</t>
  </si>
  <si>
    <t>NGO</t>
  </si>
  <si>
    <t>Global Fund</t>
  </si>
  <si>
    <t>UNCC</t>
  </si>
  <si>
    <t>Europian Union</t>
  </si>
  <si>
    <t>AGFUND</t>
  </si>
  <si>
    <t>UNEP</t>
  </si>
  <si>
    <t>British Council</t>
  </si>
  <si>
    <t>Asian Football Federation</t>
  </si>
  <si>
    <t>Tsunami Assistance</t>
  </si>
  <si>
    <t xml:space="preserve">Common Wealth </t>
  </si>
  <si>
    <t>UNITAR</t>
  </si>
  <si>
    <t>UNIDO</t>
  </si>
  <si>
    <t>LBO</t>
  </si>
  <si>
    <t>UNESCAP</t>
  </si>
  <si>
    <t xml:space="preserve">ISESCO </t>
  </si>
  <si>
    <t>GEF</t>
  </si>
  <si>
    <t>ދީނީ، ސަޤާފީ، މުނިފޫހިފިލުވުން</t>
  </si>
  <si>
    <t>Small Scale Waste-to-Energy Project</t>
  </si>
  <si>
    <t>Preparing Outer island for sustainable energy (POISED)</t>
  </si>
  <si>
    <t>Outer Island Water Supply and Sewerage</t>
  </si>
  <si>
    <t>Establishment of a regional Solid waste management in Upper North Region</t>
  </si>
  <si>
    <t>Development of  GDh atoll</t>
  </si>
  <si>
    <t>Ibrahim Nasir international Airport Development Project</t>
  </si>
  <si>
    <t>Male-Hulhule Bridge Project</t>
  </si>
  <si>
    <t>European Investment Bank (EIB)</t>
  </si>
  <si>
    <t>Preparing Outer Island for Sustainable Energy (POISED)</t>
  </si>
  <si>
    <t xml:space="preserve">      Finland</t>
  </si>
  <si>
    <t xml:space="preserve">       Thailand</t>
  </si>
  <si>
    <t>Saudi Prince</t>
  </si>
  <si>
    <t>ASDB</t>
  </si>
  <si>
    <t>AFPPD</t>
  </si>
  <si>
    <t>PRC</t>
  </si>
  <si>
    <t>UNOPS</t>
  </si>
  <si>
    <t xml:space="preserve">   Italy</t>
  </si>
  <si>
    <t>2014 - 2014</t>
  </si>
  <si>
    <t>2014 - 2015</t>
  </si>
  <si>
    <t>2014-2015</t>
  </si>
  <si>
    <t>2015 - 2014</t>
  </si>
  <si>
    <t>Table  13.11 : FOREIGN GRANTS BY PRINCIPAL DONORS, 2006 - 2018</t>
  </si>
  <si>
    <t>ތާވަލު 13.11: ބޭރުގެ އެހީ، މައިގަނޑު އެހީ ދޭ ފަރާތްތަކުން، 2006 - 2018</t>
  </si>
  <si>
    <t>2018 MTEF</t>
  </si>
  <si>
    <t>2018 -2012 ,ctogWviawfiverukudwrwK cnuTejwb egurWkurws cnutogegukwtiawb WviawfiLeawDnwk cSwmugcnihudwrwK : 13.5 ulwvWt</t>
  </si>
  <si>
    <t>Table  13.5 :  FUNCTIONAL CLASSIFICATION OF CENTRAL GOVERNMENT EXPENDITURE, 2012- 2018</t>
  </si>
  <si>
    <t>2015-2016</t>
  </si>
  <si>
    <t>US Aid /America</t>
  </si>
  <si>
    <t xml:space="preserve"> </t>
  </si>
  <si>
    <t xml:space="preserve">Other  </t>
  </si>
  <si>
    <t>Ibrahim Nasir International Airport Development Project (Terminal)</t>
  </si>
  <si>
    <t>Development Of Hulhumale' Phase II</t>
  </si>
  <si>
    <t>Mariculture Enterprises Development Project</t>
  </si>
  <si>
    <t>Reconstruction of Harbours ( Concessional )</t>
  </si>
  <si>
    <t>Sanitation in 5 islands ( Concessional )</t>
  </si>
  <si>
    <t>Reconstruction of Harbours Phase II (additional financing)</t>
  </si>
  <si>
    <t>Hdh.Kulhudufushi Harbour Expansion Project</t>
  </si>
  <si>
    <t>L.Gan - Fonadhoo Connectivity Project</t>
  </si>
  <si>
    <t>Provision of water supply &amp; waste management project (Phase II)</t>
  </si>
  <si>
    <t>Gdh.Thinadhoo Township Development Project</t>
  </si>
  <si>
    <t xml:space="preserve">Fourth Power Supplementary Loan </t>
  </si>
  <si>
    <t>Development of 1500 Housing Units in Maldives (Phase II)</t>
  </si>
  <si>
    <t>SMART Maldives</t>
  </si>
  <si>
    <t xml:space="preserve">Other Consessional loan </t>
  </si>
  <si>
    <t>Development of 485 Housing Units in Maldives (Phase III)</t>
  </si>
  <si>
    <t>Development Bank/ China</t>
  </si>
  <si>
    <t>Development of 1500 Housing Units in Maldives</t>
  </si>
  <si>
    <t>Arabic Fund</t>
  </si>
  <si>
    <t>Ibrahim Nasir International Airport Development Project (terminal)</t>
  </si>
  <si>
    <t>China Development Bank</t>
  </si>
  <si>
    <t>2015  Rev</t>
  </si>
  <si>
    <t>2015 REV</t>
  </si>
  <si>
    <t>2018MTEF</t>
  </si>
  <si>
    <t>2015 revised</t>
  </si>
  <si>
    <t>1_/  Includes airport tax, business profit tax, GST, licence fees, company registration fees and stamp duties.</t>
  </si>
  <si>
    <t>Coastal Protection in Gn.Fuwammulah</t>
  </si>
  <si>
    <t>2018 - 2012,ctogEverukudwrwK iaWtogEbilWsiawf cSwTejwb egutwluawd : 13.1 ulwvWt</t>
  </si>
  <si>
    <t>Table 13.1 :   TOTAL REVENUE AND EXPENDITURE OF  GOVERNMENT BUDGET BY SOURCE, 2012- 2018</t>
  </si>
  <si>
    <t>2018- 2013 ,WsWluK egutogWviawfihebutwycailWm egurWkurws  : 13.2 ulwvWt</t>
  </si>
  <si>
    <t xml:space="preserve">Table  13.2 :   SUMMARY OF CENTRAL GOVERNMENT FINANCE, 2013 - 2018 
</t>
  </si>
  <si>
    <t>Table  13.3:  GOVERNMENT REVENUE, 2013 - 2018</t>
  </si>
  <si>
    <t>2018 - 2012 ,IkWbufWs egInwrwd iaWdwrwK EverukcnurWkurws cnutogegukwtiawb IdWBitcqia : 13.4 ulwvWt</t>
  </si>
  <si>
    <t>Table  13.4 :  ECONOMIC CLASSIFICATION OF CENTRAL GOVERNMENT EXPENDITURE AND NET LENDING, 20012 - 2018</t>
  </si>
  <si>
    <t>2018-2013 ,ctogEverukudwrwK Wditenivua cnurWkurws cnutog egukwtiawb WviawfiLeawDnwk cSwmugcnihudwrwK : 13.6 ulwvWt</t>
  </si>
  <si>
    <t>Table  13.6 :  FUNCTIONAL CLASSIFICATION OF CENTRAL GOVERNMENT  CURRENT EXPENDITURE, 2013 - 2018</t>
  </si>
  <si>
    <t>Table  13.7 :  FUNCTIONAL CLASSIFICATION OF CENTRAL GOVERNMENT  CAPITAL EXPENDITURE, 2013 - 2018</t>
  </si>
  <si>
    <t>2018 -2013 ,ctEverukudwrwK ivinwncnuhimed cnurWkurws cnutog egukwtiawb WviawfiLeawDnwk cSwmugcnihudwrwK : 13.7 ulwvWt</t>
  </si>
  <si>
    <t>ތާވަލު 13.9: ބޮޑެތި މަޝްރޫޢުތަކަށް ރާއްޖޭން ބޭރުން ނެގޭ ލޯނުތަކުން ޚަރަދުކުރެވޭ ގޮތް، 2011 - 2018</t>
  </si>
  <si>
    <t>Table  13.9 : EXPENDITURE ON MAJOR PROJECTS FINANCED BY FOREIGN LOANS, 2011- 2018</t>
  </si>
  <si>
    <t>ތާވަލު 13.10: އެޖެންސީތަކުން ލިބޭ ބޭރުގެ އެހީ، 2013 - 2018</t>
  </si>
  <si>
    <t>Table  13.10 : FOREIGN LOANS BY LENDING AGENCY, 2013 - 2018 (In million MVR)</t>
  </si>
  <si>
    <t>(Revised)</t>
  </si>
  <si>
    <t>ތާވަލު 13.12: ޢާމްދަނީގެ ގޮތުގައި ލިބުނު ފައިސާ އެކި ބައިތަކަށް، 2011 - 2015</t>
  </si>
  <si>
    <t>Table 13.12: REVENUE COLLECTED BY MAJOR CATEGORIES, 2011 - 2015</t>
  </si>
  <si>
    <t>Description</t>
  </si>
  <si>
    <t>Revenue collected (MVR)</t>
  </si>
  <si>
    <t>Percentage shares</t>
  </si>
  <si>
    <t>*Percentage change over 2013</t>
  </si>
  <si>
    <t>Percentage change over 2014</t>
  </si>
  <si>
    <t>ތަފްސީލު</t>
  </si>
  <si>
    <t>ލިބުނު އާމްދަނީ (ރުފިޔާއިން)</t>
  </si>
  <si>
    <t>cniawtcaws ctogWviawfiheb</t>
  </si>
  <si>
    <t>2013 އާއި އަޅާބަލާއިރު 2014 ގައި އިތުރުވި މިންވަރު (%)</t>
  </si>
  <si>
    <t>2014 އާއި އަޅާބަލާއިރު 2015 ގައި އިތުރުވި މިންވަރު (%)</t>
  </si>
  <si>
    <t>2014*</t>
  </si>
  <si>
    <t xml:space="preserve">Airport Service Charge
</t>
  </si>
  <si>
    <t>އެއަރޕޯޓް ސަރވިސް ޗާޖް</t>
  </si>
  <si>
    <t xml:space="preserve">Bank Profit Tax
</t>
  </si>
  <si>
    <t>ބެންކް ޕްރޮފިޓް ޓެކްސް</t>
  </si>
  <si>
    <r>
      <t>Business Permits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</si>
  <si>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10"/>
        <color theme="1"/>
        <rFont val="Faruma"/>
      </rPr>
      <t>1</t>
    </r>
  </si>
  <si>
    <t xml:space="preserve">Business Profit Tax
</t>
  </si>
  <si>
    <t>ވިޔަފާރި ފައިދާއިން ނެގޭ ޓެކްސް</t>
  </si>
  <si>
    <t xml:space="preserve">Fines
</t>
  </si>
  <si>
    <t>ޖޫރިމަނާ</t>
  </si>
  <si>
    <t xml:space="preserve">Goods and Services Tax
</t>
  </si>
  <si>
    <t>މުދަލާއި ޙިދުމަތުގެ އަގުން ނެގޭ ޓެކްސް</t>
  </si>
  <si>
    <t>Green Tax</t>
  </si>
  <si>
    <r>
      <t>Land Rent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</si>
  <si>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9.5"/>
        <color theme="1"/>
        <rFont val="Faruma"/>
      </rPr>
      <t>2</t>
    </r>
  </si>
  <si>
    <t>Land Acquisition and Conversion Fee</t>
  </si>
  <si>
    <t>ބިން ވިއްކުމާއި ބިން ބަދަލުކުރުމުގެ ފީ</t>
  </si>
  <si>
    <t xml:space="preserve">Land Sales Tax
</t>
  </si>
  <si>
    <t>ބިން ވިއްކުމަށް ނެގޭ ޓެކްސް</t>
  </si>
  <si>
    <t xml:space="preserve">Lease  Period Extension
</t>
  </si>
  <si>
    <t>ކުލީގެ މުއްދަތު އިތުރުކުރުން</t>
  </si>
  <si>
    <t xml:space="preserve">Resident Permit
</t>
  </si>
  <si>
    <t>ރެސިޑެންޓް ޕަރމިޓް</t>
  </si>
  <si>
    <t xml:space="preserve">Revenue Stamp
</t>
  </si>
  <si>
    <t>ރެވެނިއު ސްޓޭމްޕް</t>
  </si>
  <si>
    <r>
      <t>Royalties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
</t>
    </r>
  </si>
  <si>
    <r>
      <t>ރޯޔަލްޓީ</t>
    </r>
    <r>
      <rPr>
        <vertAlign val="superscript"/>
        <sz val="9.5"/>
        <color theme="1"/>
        <rFont val="Faruma"/>
      </rPr>
      <t>3</t>
    </r>
  </si>
  <si>
    <r>
      <t>Sale of Capital Assets</t>
    </r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
</t>
    </r>
  </si>
  <si>
    <r>
      <t>ހަރުމުދާ ވިއްކައިގެން ލިބޭ ފައިސާ</t>
    </r>
    <r>
      <rPr>
        <vertAlign val="superscript"/>
        <sz val="9.5"/>
        <color theme="1"/>
        <rFont val="Faruma"/>
      </rPr>
      <t>4</t>
    </r>
  </si>
  <si>
    <t xml:space="preserve">Tourism Land Rent
</t>
  </si>
  <si>
    <t>ޓޫރިޒަމް ލޭންޑް ރެންޓް</t>
  </si>
  <si>
    <t xml:space="preserve">Tourism Tax
</t>
  </si>
  <si>
    <t>ޓޫރިޒަމް ޓެކްސް</t>
  </si>
  <si>
    <t xml:space="preserve">Vehicle Fee
</t>
  </si>
  <si>
    <t xml:space="preserve"> އުޅަނދުފަހަރުގެ ފީ</t>
  </si>
  <si>
    <t xml:space="preserve">Vessels Fee
</t>
  </si>
  <si>
    <t xml:space="preserve"> ކަނޑުގައި ދުއްވާ އުޅަނދުފަހަރުގެ ފީ</t>
  </si>
  <si>
    <r>
      <t>Others</t>
    </r>
    <r>
      <rPr>
        <vertAlign val="superscript"/>
        <sz val="10"/>
        <color theme="1"/>
        <rFont val="Calibri"/>
        <family val="2"/>
        <scheme val="minor"/>
      </rPr>
      <t>5</t>
    </r>
  </si>
  <si>
    <t>އެހެނިހެން</t>
  </si>
  <si>
    <t>Total</t>
  </si>
  <si>
    <t>ޖުމްލަ</t>
  </si>
  <si>
    <t>Note:</t>
  </si>
  <si>
    <t>* 2014 figures are revised</t>
  </si>
  <si>
    <r>
      <rPr>
        <vertAlign val="superscript"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 xml:space="preserve">Business Permits: Company Annual Fee, Restaurant, Café, Canteen Fee, Flat Maintanance Fee, Partnership Fees, Import Trade Fee, Co-operative Society Fees, Trade Registry Fee, Foreign Investment Administration Annual Fee, Company Registration Fee, Foreign Business Fee, </t>
    </r>
    <r>
      <rPr>
        <sz val="10"/>
        <color rgb="FF00B050"/>
        <rFont val="Calibri"/>
        <family val="2"/>
        <scheme val="minor"/>
      </rPr>
      <t>Sole Traders Registration Fee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</si>
  <si>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Land Rent: Uninhabited Islands Rent, Government Buildings Rent, Commercial Land Rent, Rent from Land for Industry, Longterm Agricultural Leased Islands Rent, Rent from Floating Jetty, Uninhabited Islands Administration Fee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</si>
  <si>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Royalties: Duty Free Royalty, Foreign Investment Royalty, Fishing Royalty, Fuel re-export Royalty, Re-Export Royalty, Yellowfin Tuna Export Royalty, Skipjack Industry Royalty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</si>
  <si>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Sale of Capital Assets: Sale of Items At Auction, Sale of Government Buildings, Sale of Government Lands</t>
    </r>
  </si>
  <si>
    <r>
      <rPr>
        <vertAlign val="superscript"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 xml:space="preserve"> Others: Reimbursements from Previous Year's Budget</t>
    </r>
  </si>
  <si>
    <t>Source: Maldives Inland Revenue Authority</t>
  </si>
  <si>
    <t>ވިޔަފާރި ހުއްދަ: ކުންފުނިތަކުގެ އަހަރީ ފީ، ރެސްޓޯރަންޓް، ކެފޭ އަދި ކެންޓީންތަކުގެ ވިޔަފާރި ފީ، ފްލެޓް ބެލެހެއްޓުމުގެ އަގު ، ޕާޓްނާޝިޕް އަހަރީ ފީ، އިމްޕޯޓް ވިޔަފާރި ފީ، ކޯޕަރޭޓިވް ސޮސައިޓީ ރެޖިސްޓްރޭޝަން ފީ، ޓްރޭޑް ރަޖިސްޓްރީ ފީ، ފޮރިން އިންވެސްޓްމަންޓް އެޑްމިނިސްޓްރޭޝަން ފީ، ކުންފުނި ރަޖިސްޓްރީ ކުރުމުގެ ފީ، ބިދޭސީން ވިޔަފާރި ކުރުމުގެ ހުއްދަ</t>
  </si>
  <si>
    <r>
      <rPr>
        <sz val="10"/>
        <color theme="1"/>
        <rFont val="Faruma"/>
      </rPr>
      <t xml:space="preserve">ބިމުގެ ކުލި: ގޮއިފާލައްބަ، ހިންނަ ފަދަ ތަންތަނުގެ ވަރުވާ، ސަރުކާރު އިމާރާތްތަކުގެ ކުލި، ވިޔަފާރިކުރުމަށް ދޫކުރެވިފައިވާ ބިންބިމުގެ ކުލި، ސިނާޢީ މަސައްކަތްތަކަށް ދޫކުރެވިފައިވާ ބިމުގެ ކުލި، ދަނޑުވެރިކަމަށް ދޫކުރެވިފައިވާ ރަށްރަށުގެ ކުލި، ފްލޯޓިންގ ޖެޓީގެ ކުލި، ފަޅުރަށްރަށް ބެލެހެއްޓުމުގެ ފީ   </t>
    </r>
    <r>
      <rPr>
        <sz val="10"/>
        <color theme="1"/>
        <rFont val="Calibri"/>
        <family val="2"/>
        <scheme val="minor"/>
      </rPr>
      <t xml:space="preserve"> </t>
    </r>
  </si>
  <si>
    <t>ރޯޔަލްޓީ: ޑިއުޓީ ފްރީ ޝޮޕްގެ ރޯޔަލްޓީ، ބިދޭސީން ކުރާ ވިޔަފާރިގެ ރޯޔަލްޓީ، ބިދޭސީން ކުރާ މަސްވެރިކަމުގެ ރޯޔަލްޓީ، ގާމެންޓް އިންޑަސްޓްރީގެ ރޯޔަލްޓީ، ބުލިއަން ރޯޔަލްޓީ، ފިއުލް ރީއެކްސްޕޯޓް ރޯޔަލްޓީ، ރީއެކްސްޕޯޓް ރޯޔަލްޓީ، ބޮޑު ކަންނެލީގެ އެކްސްޕޯޓް ރޯޔަލްޓީ، މަސް އެކްސްޕޯޓް ކުރުމުގެ ރޯޔަލްޓީ</t>
  </si>
  <si>
    <t>ހަރުމުދާ ވިއްކައިގެން ލިބޭ ފައިސާ: ނީލަމުގައި ތަކެތި ވިއްކައިގެން ލިބޭ، ސަރުކާރުގެ އިމާރާތް ވިއްކި، ސަރުކާރުގެ ބިން ވިއްކި</t>
  </si>
  <si>
    <t>އެހެނިހެން: ކުރީ އަހަރުގެ ބަޖެޓުން އަނބުރާ ލިބޭ ފައިސާ</t>
  </si>
  <si>
    <t>މަޢުލޫމާތު ދެއްވި ފަރާތް: މޯލްޑިވްސް އިންލަންޑް ރެވެނިއު އޮތޯރިޓީ</t>
  </si>
  <si>
    <t>ތާވަލު 13.13: ޢާމްދަނީގެ ގޮތުގައި ލިބުނު ފައިސާގެ ތަފްޞީލު،  2011 - 2015</t>
  </si>
  <si>
    <t>Table 13.13: REVENUE COLLECTED BY DETAILED CATEGORIES,  2011 - 2015</t>
  </si>
  <si>
    <t>Percentage  shares</t>
  </si>
  <si>
    <t>Percentage change  over 2013</t>
  </si>
  <si>
    <t>Percentage change  over 2014</t>
  </si>
  <si>
    <t xml:space="preserve">ބެހިފައިވާ ގޮތް ސައްތައިން </t>
  </si>
  <si>
    <t>2014**</t>
  </si>
  <si>
    <t>*2014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</si>
  <si>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</si>
  <si>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</si>
  <si>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</si>
  <si>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</si>
  <si>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</si>
  <si>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</si>
  <si>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</si>
  <si>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</si>
  <si>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</si>
  <si>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</si>
  <si>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</si>
  <si>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</si>
  <si>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</si>
  <si>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</si>
  <si>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</si>
  <si>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</si>
  <si>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</si>
  <si>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</si>
  <si>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</si>
  <si>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</si>
  <si>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</si>
  <si>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</si>
  <si>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</si>
  <si>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</si>
  <si>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</si>
  <si>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</si>
  <si>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</si>
  <si>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</si>
  <si>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</si>
  <si>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</si>
  <si>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</si>
  <si>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</si>
  <si>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</si>
  <si>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</si>
  <si>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</si>
  <si>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</si>
  <si>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</si>
  <si>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</si>
  <si>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</si>
  <si>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</si>
  <si>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</si>
  <si>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</si>
  <si>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</si>
  <si>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</si>
  <si>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</si>
  <si>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</si>
  <si>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</si>
  <si>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</si>
  <si>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</si>
  <si>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</si>
  <si>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</si>
  <si>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</si>
  <si>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</si>
  <si>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</si>
  <si>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</si>
  <si>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</si>
  <si>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</si>
  <si>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</si>
  <si>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</si>
  <si>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</si>
  <si>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</si>
  <si>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</si>
  <si>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</si>
  <si>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</si>
  <si>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</si>
  <si>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</si>
  <si>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</si>
  <si>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</si>
  <si>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</si>
  <si>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</si>
  <si>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</si>
  <si>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</si>
  <si>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</si>
  <si>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</si>
  <si>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</si>
  <si>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</si>
  <si>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</si>
  <si>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</si>
  <si>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</si>
  <si>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</si>
  <si>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</si>
  <si>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</si>
  <si>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</si>
  <si>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** 2014 figures are revised</t>
  </si>
  <si>
    <t>ތާވަލު 13.12: ޢާމްދަނީގެ ގޮތުގައި ލިބުނު ފައިސާ، ޑޮލަރުން، 2011 - 2015</t>
  </si>
  <si>
    <t>Table 13.14: REVENUE COLLECTED IN US DOLLARS, 2011 -2015</t>
  </si>
  <si>
    <t>Revenue collected (USD)</t>
  </si>
  <si>
    <r>
      <t>Revenue collected (MVR)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</si>
  <si>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 xml:space="preserve"> Business Profit Tax</t>
  </si>
  <si>
    <t>ވިޔަފާރީގެ ފައިދާއިން ނެގޭ ޓެކްސް</t>
  </si>
  <si>
    <t xml:space="preserve">Goods and Services Tax 
</t>
  </si>
  <si>
    <t>ރިޒޯޓުތަކުގެ ކުލީގެ މުއްދަތު އިތުރުކުރުމުގެ ފީ</t>
  </si>
  <si>
    <t xml:space="preserve">Royalties
</t>
  </si>
  <si>
    <t>ރޯޔަލްޓީ</t>
  </si>
  <si>
    <r>
      <t>Others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7"/>
        <color theme="1"/>
        <rFont val="Calibri"/>
        <family val="2"/>
        <scheme val="minor"/>
      </rPr>
      <t xml:space="preserve">
</t>
    </r>
  </si>
  <si>
    <r>
      <rPr>
        <i/>
        <vertAlign val="superscript"/>
        <sz val="9"/>
        <color theme="1"/>
        <rFont val="Calibri"/>
        <family val="2"/>
        <scheme val="minor"/>
      </rPr>
      <t>1</t>
    </r>
    <r>
      <rPr>
        <i/>
        <sz val="9"/>
        <color theme="1"/>
        <rFont val="Calibri"/>
        <family val="2"/>
        <scheme val="minor"/>
      </rPr>
      <t xml:space="preserve"> Revenue Collected (MVR) shows only the Maldivian Rufiyaa (MVR) value of USD collections.</t>
    </r>
  </si>
  <si>
    <r>
      <rPr>
        <i/>
        <vertAlign val="superscript"/>
        <sz val="9"/>
        <color theme="1"/>
        <rFont val="Calibri"/>
        <family val="2"/>
        <scheme val="minor"/>
      </rPr>
      <t>2</t>
    </r>
    <r>
      <rPr>
        <i/>
        <sz val="9"/>
        <color theme="1"/>
        <rFont val="Calibri"/>
        <family val="2"/>
        <scheme val="minor"/>
      </rPr>
      <t xml:space="preserve"> Others: Long-term Agricultural Leased Islands Rent, Foreign Investment Administration Annual Fee, Sale of Government Land, Commercial Land Rent and Fines</t>
    </r>
  </si>
  <si>
    <r>
      <t xml:space="preserve">Capital Revenue </t>
    </r>
    <r>
      <rPr>
        <b/>
        <sz val="10"/>
        <color theme="1"/>
        <rFont val="Calibri"/>
        <family val="2"/>
        <scheme val="minor"/>
      </rPr>
      <t>3_/</t>
    </r>
  </si>
  <si>
    <r>
      <t>udwrwK ivinwncnuhimed</t>
    </r>
    <r>
      <rPr>
        <sz val="9"/>
        <color theme="1"/>
        <rFont val="Akuru"/>
        <family val="2"/>
        <charset val="2"/>
      </rPr>
      <t xml:space="preserve">    </t>
    </r>
  </si>
  <si>
    <r>
      <t xml:space="preserve">Overall deficit (-) </t>
    </r>
    <r>
      <rPr>
        <sz val="10"/>
        <color theme="1"/>
        <rFont val="Calibri"/>
        <family val="2"/>
      </rPr>
      <t xml:space="preserve">(Including grants) </t>
    </r>
    <r>
      <rPr>
        <b/>
        <sz val="10"/>
        <color theme="1"/>
        <rFont val="Calibri"/>
        <family val="2"/>
      </rPr>
      <t xml:space="preserve"> 4_/</t>
    </r>
  </si>
  <si>
    <r>
      <t xml:space="preserve">Overall deficit (-) </t>
    </r>
    <r>
      <rPr>
        <sz val="10"/>
        <color theme="1"/>
        <rFont val="Calibri"/>
        <family val="2"/>
      </rPr>
      <t>(excluding grants)</t>
    </r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</si>
  <si>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</si>
  <si>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r>
      <t xml:space="preserve">                                udwrwK Everuk cnIhea unOl </t>
    </r>
    <r>
      <rPr>
        <sz val="10"/>
        <color theme="1"/>
        <rFont val="Faruma"/>
      </rPr>
      <t>އެތެރޭގެ</t>
    </r>
    <r>
      <rPr>
        <sz val="10"/>
        <color theme="1"/>
        <rFont val="A_Randhoo"/>
      </rPr>
      <t xml:space="preserve">  Ebil cSwkwtuTckejorcp egIqcawrwt                     </t>
    </r>
  </si>
  <si>
    <r>
      <t xml:space="preserve">2018 - 2013 </t>
    </r>
    <r>
      <rPr>
        <b/>
        <sz val="12"/>
        <color theme="1"/>
        <rFont val="Faruma"/>
      </rPr>
      <t>އާމްދަނީ،</t>
    </r>
    <r>
      <rPr>
        <b/>
        <sz val="12"/>
        <color theme="1"/>
        <rFont val="A_Randhoo"/>
      </rPr>
      <t xml:space="preserve"> egurWkurws  : 13.2 ulwvWt</t>
    </r>
  </si>
  <si>
    <t>Total Revenue and Grants is excluding Subsidiary Loan repayments</t>
  </si>
  <si>
    <t>Royalty : Starting from 2012 Royalty is treated as tax revenue</t>
  </si>
  <si>
    <t>Tourism Tax will be abolished from 2014 by law</t>
  </si>
  <si>
    <t>Green tax introduced starting from Nov 2015 while tourism Tax  abolished in nov 2014</t>
  </si>
  <si>
    <t>Other taxes includes 2016 proposed new revenue measure of sales tax on buildings and flats and revision to revenue stamp act</t>
  </si>
  <si>
    <t>Resort lease rent includes new revenue meaures of development of tourist resorts</t>
  </si>
  <si>
    <t>Land rent includes new revenue meaure of revision to land rent paid by SOE's</t>
  </si>
  <si>
    <t>Other government permit fees includes new revenue measures of remitance fee from expatriates</t>
  </si>
  <si>
    <t>Others include new revenue measures of claims to govt</t>
  </si>
  <si>
    <t>Capital revenue includes new revenue measure of land reclamation and land for economic purposes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</si>
  <si>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</si>
  <si>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(cnurwloD .csea .Uy cnwyilim)</t>
  </si>
  <si>
    <t>(In million US dollars)</t>
  </si>
  <si>
    <t>Particular</t>
  </si>
  <si>
    <t>Forecasts</t>
  </si>
  <si>
    <t xml:space="preserve"> 1_/IkWb uhwfcSwmuDek udwdwa ikcaedWrubwa iawgutog egclwpiscnircpcnudwdwA unugen cniaeretegunOl   </t>
  </si>
  <si>
    <t xml:space="preserve"> 2_/ cnugen cniaeretegunOl  </t>
  </si>
  <si>
    <t xml:space="preserve">3_/ ikcaed Wrubwa clwpiscnircpegunOl  </t>
  </si>
  <si>
    <t xml:space="preserve"> 4_/ utWfwt egudwdwa ikcaed Wrubwa iaWdwdwA unugen cniaeretegunOl iawgEret egurwhwa  </t>
  </si>
  <si>
    <t xml:space="preserve">5_/ ugwa egutwmudiK egunOl  </t>
  </si>
  <si>
    <t xml:space="preserve">6_/ ikcaedcSwgwa egutwmudiK iaWmurukWdwaunOl  </t>
  </si>
  <si>
    <t xml:space="preserve">7_/ utWfwtegumuruk ctwmcdiK egunOl iaWdwdwA unugen cniaeretegunOl  </t>
  </si>
  <si>
    <t>Selected ratios</t>
  </si>
  <si>
    <t>ctwbcsin caeawb WviawfivelWvoh</t>
  </si>
  <si>
    <t>DOD / GDP</t>
  </si>
  <si>
    <t xml:space="preserve"> Ip.ID.Ij / ID .Oa .ID  </t>
  </si>
  <si>
    <t>INT / Exports of goods and services (XGS)</t>
  </si>
  <si>
    <t>NA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</si>
  <si>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</si>
  <si>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</si>
  <si>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</si>
  <si>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</si>
  <si>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</si>
  <si>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</si>
  <si>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</si>
  <si>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</si>
  <si>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</si>
  <si>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</si>
  <si>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</si>
  <si>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</si>
  <si>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</si>
  <si>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</si>
  <si>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</si>
  <si>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Sum of Principal repayments and interest</t>
  </si>
  <si>
    <t xml:space="preserve">wlcmuj egugwa egutwmudiK iaWrwvcnimWkcawd Wrubnwa clwpiscnircp egunOl 6_/  </t>
  </si>
  <si>
    <t>7_/ Disbursements less total debt service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</si>
  <si>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</si>
  <si>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</si>
  <si>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</si>
  <si>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1/2013-2018 numbers from CS-DRMS report 352, with cut-off date as of Jan 31, 2016; only includes signed external debt</t>
  </si>
  <si>
    <t xml:space="preserve">2/ GDP figures from Table 1. Summary of Central Government Finance, 2012-2018; Budget Small Book 2016 </t>
  </si>
  <si>
    <t xml:space="preserve">3/ XGS figures from Table 10. Balance of Payments, 2011-2016; MMA Monthly Statistics Feb 2016 </t>
  </si>
  <si>
    <t>4/ Difference in historical data due to reconciliations done during 2015 &amp; 2016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</si>
  <si>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</si>
  <si>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</si>
  <si>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</si>
  <si>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r>
      <t xml:space="preserve">Net flows </t>
    </r>
    <r>
      <rPr>
        <vertAlign val="superscript"/>
        <sz val="10"/>
        <rFont val="Calibri"/>
        <family val="2"/>
        <scheme val="minor"/>
      </rPr>
      <t>4_/</t>
    </r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</si>
  <si>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5_/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</si>
  <si>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6_/</t>
    </r>
  </si>
  <si>
    <r>
      <t>Net transfers</t>
    </r>
    <r>
      <rPr>
        <vertAlign val="superscript"/>
        <sz val="10"/>
        <rFont val="Calibri"/>
        <family val="2"/>
        <scheme val="minor"/>
      </rPr>
      <t xml:space="preserve"> 7_/</t>
    </r>
  </si>
  <si>
    <t>Source: Ministry of Finance &amp; Treasury</t>
  </si>
  <si>
    <t>2018- 2013, (ckilcbwp) inwrwd egurEb egEjcaWr : 13.8 ulwvWt</t>
  </si>
  <si>
    <t>Table 13.8 : SUMMARY OF EXTERNAL PUBLIC DEBT,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</si>
</sst>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68" formatCode="#,##0.0_);\(#,##0.0\)"/>
    <numFmt numFmtId="169" formatCode="0.0"/>
    <numFmt numFmtId="170" formatCode="0.0_);\(0.0\)"/>
    <numFmt numFmtId="171" formatCode="_-* #,##0.00_-;\-* #,##0.00_-;_-* &quot;-&quot;??_-;_-@_-"/>
    <numFmt numFmtId="172" formatCode="#,##0.00\ ;&quot; (&quot;#,##0.00\);&quot; -&quot;#\ ;@\ "/>
    <numFmt numFmtId="173" formatCode="_(* #,##0_);_(* \(#,##0\);_(* &quot;-&quot;??_);_(@_)"/>
    <numFmt numFmtId="174" formatCode="#,##0_);\-#,##0"/>
    <numFmt numFmtId="175" formatCode="0.0%"/>
    <numFmt numFmtId="176" formatCode="0.00;[Red]0.00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Garamond"/>
      <family val="1"/>
    </font>
    <font>
      <sz val="10"/>
      <name val="Courier"/>
      <family val="3"/>
    </font>
    <font>
      <b/>
      <sz val="11"/>
      <color theme="1"/>
      <name val="Faruma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/>
      <name val="A_Faseyha"/>
    </font>
    <font>
      <b/>
      <sz val="9"/>
      <color rgb="FF0070C0"/>
      <name val="Faruma"/>
    </font>
    <font>
      <sz val="9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Faruma"/>
    </font>
    <font>
      <sz val="9.5"/>
      <color theme="1"/>
      <name val="Faruma"/>
    </font>
    <font>
      <sz val="10.5"/>
      <color rgb="FF00B050"/>
      <name val="Calibri"/>
      <family val="2"/>
      <scheme val="minor"/>
    </font>
    <font>
      <sz val="9.5"/>
      <color rgb="FF00B050"/>
      <name val="Faruma"/>
    </font>
    <font>
      <vertAlign val="superscript"/>
      <sz val="9.5"/>
      <color theme="1"/>
      <name val="Faruma"/>
    </font>
    <font>
      <b/>
      <sz val="11"/>
      <color rgb="FF0070C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sz val="9"/>
      <color theme="1"/>
      <name val="Faruma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b/>
      <sz val="10.5"/>
      <color rgb="FF0070C0"/>
      <name val="Calibri"/>
      <family val="2"/>
      <scheme val="minor"/>
    </font>
    <font>
      <b/>
      <sz val="10.5"/>
      <color theme="1"/>
      <name val="Faruma"/>
    </font>
    <font>
      <sz val="10.5"/>
      <color theme="1"/>
      <name val="Calibri"/>
      <family val="2"/>
      <scheme val="minor"/>
    </font>
    <font>
      <sz val="10.5"/>
      <color rgb="FF0070C0"/>
      <name val="Calibri"/>
      <family val="2"/>
      <scheme val="minor"/>
    </font>
    <font>
      <sz val="10.5"/>
      <color theme="1"/>
      <name val="Faruma"/>
    </font>
    <font>
      <sz val="10.5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8"/>
      <color theme="1"/>
      <name val="A_Randhoo"/>
    </font>
    <font>
      <b/>
      <sz val="12"/>
      <color theme="1"/>
      <name val="Faruma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b/>
      <sz val="9.5"/>
      <color theme="1"/>
      <name val="A_Randhoo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sz val="9.5"/>
      <color theme="1"/>
      <name val="A_Randhoo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8.5"/>
      <color theme="1"/>
      <name val="A_Randhoo"/>
    </font>
    <font>
      <sz val="9"/>
      <color theme="1"/>
      <name val="Times New Roman"/>
      <family val="1"/>
    </font>
    <font>
      <b/>
      <sz val="9"/>
      <color theme="1"/>
      <name val="Akuru"/>
      <family val="2"/>
      <charset val="2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Times New Roman"/>
      <family val="1"/>
    </font>
    <font>
      <sz val="10"/>
      <name val="A_Randhoo"/>
    </font>
    <font>
      <sz val="10"/>
      <name val="A_Faseyha"/>
    </font>
    <font>
      <b/>
      <sz val="11"/>
      <color theme="1"/>
      <name val="Times New Roman"/>
      <family val="1"/>
    </font>
    <font>
      <b/>
      <sz val="12"/>
      <color theme="1"/>
      <name val="A_Faseyha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hair">
        <color indexed="64"/>
      </right>
      <top style="thin">
        <color auto="1"/>
      </top>
      <bottom style="hair">
        <color theme="1"/>
      </bottom>
      <diagonal/>
    </border>
    <border>
      <left style="hair">
        <color indexed="64"/>
      </left>
      <right/>
      <top style="thin">
        <color auto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theme="1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hair">
        <color indexed="64"/>
      </right>
      <top style="hair">
        <color theme="1"/>
      </top>
      <bottom style="thin">
        <color auto="1"/>
      </bottom>
      <diagonal/>
    </border>
    <border>
      <left style="hair">
        <color indexed="64"/>
      </left>
      <right/>
      <top style="hair">
        <color theme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/>
      <top/>
      <bottom style="hair">
        <color theme="1" tint="0.34998626667073579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6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171" fontId="1" fillId="0" borderId="0" applyFont="0" applyFill="0" applyBorder="0" applyAlignment="0" applyProtection="0"/>
    <xf numFmtId="0" fontId="14" fillId="0" borderId="0"/>
    <xf numFmtId="172" fontId="14" fillId="0" borderId="0"/>
    <xf numFmtId="0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97" fillId="0" borderId="0" applyNumberFormat="0" applyFill="0" applyBorder="0" applyAlignment="0" applyProtection="0"/>
  </cellStyleXfs>
  <cellXfs count="820">
    <xf numFmtId="0" fontId="0" fillId="0" borderId="0" xfId="0"/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5" fontId="8" fillId="2" borderId="0" xfId="2" applyNumberFormat="1" applyFont="1" applyFill="1" applyAlignment="1" applyProtection="1">
      <alignment horizontal="right" vertical="center"/>
      <protection locked="0"/>
    </xf>
    <xf numFmtId="165" fontId="7" fillId="2" borderId="0" xfId="2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/>
    <xf numFmtId="164" fontId="2" fillId="2" borderId="0" xfId="5" applyNumberFormat="1" applyFont="1" applyFill="1"/>
    <xf numFmtId="164" fontId="2" fillId="2" borderId="15" xfId="5" applyNumberFormat="1" applyFont="1" applyFill="1" applyBorder="1"/>
    <xf numFmtId="164" fontId="2" fillId="2" borderId="16" xfId="5" applyNumberFormat="1" applyFont="1" applyFill="1" applyBorder="1"/>
    <xf numFmtId="164" fontId="5" fillId="2" borderId="17" xfId="5" applyNumberFormat="1" applyFont="1" applyFill="1" applyBorder="1" applyAlignment="1" applyProtection="1">
      <alignment horizontal="left" vertical="center"/>
    </xf>
    <xf numFmtId="164" fontId="5" fillId="2" borderId="17" xfId="5" applyNumberFormat="1" applyFont="1" applyFill="1" applyBorder="1" applyAlignment="1" applyProtection="1">
      <alignment horizontal="left"/>
    </xf>
    <xf numFmtId="164" fontId="5" fillId="2" borderId="20" xfId="5" applyNumberFormat="1" applyFont="1" applyFill="1" applyBorder="1" applyAlignment="1" applyProtection="1">
      <alignment horizontal="left"/>
    </xf>
    <xf numFmtId="164" fontId="5" fillId="2" borderId="0" xfId="5" applyNumberFormat="1" applyFont="1" applyFill="1" applyAlignment="1" applyProtection="1">
      <alignment horizontal="left"/>
    </xf>
    <xf numFmtId="164" fontId="2" fillId="2" borderId="21" xfId="5" applyNumberFormat="1" applyFont="1" applyFill="1" applyBorder="1"/>
    <xf numFmtId="1" fontId="2" fillId="2" borderId="0" xfId="5" applyNumberFormat="1" applyFont="1" applyFill="1" applyAlignment="1">
      <alignment horizontal="center"/>
    </xf>
    <xf numFmtId="164" fontId="2" fillId="2" borderId="0" xfId="5" applyNumberFormat="1" applyFont="1" applyFill="1" applyAlignment="1">
      <alignment horizontal="center"/>
    </xf>
    <xf numFmtId="167" fontId="2" fillId="2" borderId="0" xfId="1" applyNumberFormat="1" applyFont="1" applyFill="1"/>
    <xf numFmtId="164" fontId="5" fillId="2" borderId="0" xfId="5" applyNumberFormat="1" applyFont="1" applyFill="1" applyAlignment="1" applyProtection="1">
      <alignment horizontal="left" vertical="center"/>
    </xf>
    <xf numFmtId="1" fontId="2" fillId="2" borderId="0" xfId="5" applyNumberFormat="1" applyFont="1" applyFill="1" applyAlignment="1">
      <alignment horizontal="right"/>
    </xf>
    <xf numFmtId="1" fontId="5" fillId="2" borderId="0" xfId="5" applyNumberFormat="1" applyFont="1" applyFill="1" applyAlignment="1">
      <alignment horizontal="right" vertical="center"/>
    </xf>
    <xf numFmtId="164" fontId="2" fillId="2" borderId="0" xfId="5" applyNumberFormat="1" applyFont="1" applyFill="1" applyAlignment="1">
      <alignment horizontal="right"/>
    </xf>
    <xf numFmtId="167" fontId="5" fillId="2" borderId="0" xfId="1" applyNumberFormat="1" applyFont="1" applyFill="1"/>
    <xf numFmtId="0" fontId="4" fillId="2" borderId="15" xfId="1" applyNumberFormat="1" applyFont="1" applyFill="1" applyBorder="1"/>
    <xf numFmtId="0" fontId="3" fillId="2" borderId="15" xfId="1" applyNumberFormat="1" applyFont="1" applyFill="1" applyBorder="1"/>
    <xf numFmtId="0" fontId="3" fillId="2" borderId="0" xfId="1" applyNumberFormat="1" applyFont="1" applyFill="1" applyBorder="1"/>
    <xf numFmtId="164" fontId="10" fillId="2" borderId="0" xfId="5" applyNumberFormat="1" applyFont="1" applyFill="1"/>
    <xf numFmtId="167" fontId="4" fillId="2" borderId="21" xfId="1" applyNumberFormat="1" applyFont="1" applyFill="1" applyBorder="1" applyAlignment="1" applyProtection="1">
      <alignment horizontal="left" vertical="center"/>
    </xf>
    <xf numFmtId="167" fontId="5" fillId="2" borderId="21" xfId="1" applyNumberFormat="1" applyFont="1" applyFill="1" applyBorder="1"/>
    <xf numFmtId="167" fontId="5" fillId="2" borderId="21" xfId="1" applyNumberFormat="1" applyFont="1" applyFill="1" applyBorder="1" applyAlignment="1" applyProtection="1">
      <alignment horizontal="right" vertical="center"/>
      <protection locked="0"/>
    </xf>
    <xf numFmtId="167" fontId="4" fillId="2" borderId="17" xfId="1" applyNumberFormat="1" applyFont="1" applyFill="1" applyBorder="1" applyAlignment="1" applyProtection="1">
      <alignment horizontal="left"/>
    </xf>
    <xf numFmtId="167" fontId="5" fillId="2" borderId="17" xfId="1" applyNumberFormat="1" applyFont="1" applyFill="1" applyBorder="1"/>
    <xf numFmtId="167" fontId="5" fillId="2" borderId="17" xfId="1" applyNumberFormat="1" applyFont="1" applyFill="1" applyBorder="1" applyAlignment="1" applyProtection="1">
      <alignment horizontal="right" vertical="center"/>
      <protection locked="0"/>
    </xf>
    <xf numFmtId="167" fontId="2" fillId="2" borderId="0" xfId="1" applyNumberFormat="1" applyFont="1" applyFill="1" applyBorder="1"/>
    <xf numFmtId="167" fontId="4" fillId="2" borderId="17" xfId="1" applyNumberFormat="1" applyFont="1" applyFill="1" applyBorder="1" applyAlignment="1" applyProtection="1">
      <alignment horizontal="left" vertical="center"/>
    </xf>
    <xf numFmtId="167" fontId="5" fillId="2" borderId="17" xfId="1" applyNumberFormat="1" applyFont="1" applyFill="1" applyBorder="1" applyAlignment="1" applyProtection="1">
      <alignment horizontal="right" vertical="center"/>
    </xf>
    <xf numFmtId="167" fontId="4" fillId="2" borderId="20" xfId="1" applyNumberFormat="1" applyFont="1" applyFill="1" applyBorder="1" applyAlignment="1" applyProtection="1">
      <alignment horizontal="left" vertical="center"/>
    </xf>
    <xf numFmtId="167" fontId="5" fillId="2" borderId="20" xfId="1" applyNumberFormat="1" applyFont="1" applyFill="1" applyBorder="1"/>
    <xf numFmtId="167" fontId="5" fillId="2" borderId="20" xfId="1" applyNumberFormat="1" applyFont="1" applyFill="1" applyBorder="1" applyAlignment="1" applyProtection="1">
      <alignment horizontal="right"/>
    </xf>
    <xf numFmtId="164" fontId="5" fillId="2" borderId="0" xfId="5" applyNumberFormat="1" applyFont="1" applyFill="1"/>
    <xf numFmtId="2" fontId="5" fillId="2" borderId="0" xfId="5" applyNumberFormat="1" applyFont="1" applyFill="1"/>
    <xf numFmtId="164" fontId="4" fillId="2" borderId="0" xfId="5" applyNumberFormat="1" applyFont="1" applyFill="1" applyBorder="1" applyAlignment="1">
      <alignment horizontal="center"/>
    </xf>
    <xf numFmtId="1" fontId="4" fillId="2" borderId="15" xfId="5" applyNumberFormat="1" applyFont="1" applyFill="1" applyBorder="1"/>
    <xf numFmtId="164" fontId="4" fillId="2" borderId="15" xfId="5" applyNumberFormat="1" applyFont="1" applyFill="1" applyBorder="1"/>
    <xf numFmtId="164" fontId="4" fillId="3" borderId="15" xfId="5" applyNumberFormat="1" applyFont="1" applyFill="1" applyBorder="1"/>
    <xf numFmtId="164" fontId="4" fillId="2" borderId="15" xfId="5" applyNumberFormat="1" applyFont="1" applyFill="1" applyBorder="1" applyAlignment="1" applyProtection="1">
      <alignment horizontal="left" vertical="center"/>
    </xf>
    <xf numFmtId="2" fontId="5" fillId="2" borderId="15" xfId="5" applyNumberFormat="1" applyFont="1" applyFill="1" applyBorder="1"/>
    <xf numFmtId="167" fontId="5" fillId="2" borderId="15" xfId="1" applyNumberFormat="1" applyFont="1" applyFill="1" applyBorder="1"/>
    <xf numFmtId="165" fontId="5" fillId="2" borderId="15" xfId="5" applyNumberFormat="1" applyFont="1" applyFill="1" applyBorder="1" applyAlignment="1" applyProtection="1">
      <alignment horizontal="right" vertical="center"/>
    </xf>
    <xf numFmtId="164" fontId="5" fillId="2" borderId="0" xfId="5" applyNumberFormat="1" applyFont="1" applyFill="1" applyAlignment="1"/>
    <xf numFmtId="167" fontId="5" fillId="4" borderId="15" xfId="1" applyNumberFormat="1" applyFont="1" applyFill="1" applyBorder="1"/>
    <xf numFmtId="2" fontId="5" fillId="4" borderId="15" xfId="5" applyNumberFormat="1" applyFont="1" applyFill="1" applyBorder="1"/>
    <xf numFmtId="165" fontId="5" fillId="4" borderId="15" xfId="5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>
      <alignment horizontal="left" vertical="center"/>
    </xf>
    <xf numFmtId="1" fontId="4" fillId="2" borderId="15" xfId="5" applyNumberFormat="1" applyFont="1" applyFill="1" applyBorder="1" applyAlignment="1">
      <alignment horizontal="center"/>
    </xf>
    <xf numFmtId="164" fontId="4" fillId="2" borderId="15" xfId="5" applyNumberFormat="1" applyFont="1" applyFill="1" applyBorder="1" applyAlignment="1">
      <alignment horizontal="center"/>
    </xf>
    <xf numFmtId="164" fontId="5" fillId="2" borderId="16" xfId="5" applyNumberFormat="1" applyFont="1" applyFill="1" applyBorder="1"/>
    <xf numFmtId="169" fontId="5" fillId="2" borderId="16" xfId="5" applyNumberFormat="1" applyFont="1" applyFill="1" applyBorder="1"/>
    <xf numFmtId="164" fontId="5" fillId="2" borderId="17" xfId="5" applyNumberFormat="1" applyFont="1" applyFill="1" applyBorder="1"/>
    <xf numFmtId="169" fontId="5" fillId="2" borderId="17" xfId="5" applyNumberFormat="1" applyFont="1" applyFill="1" applyBorder="1"/>
    <xf numFmtId="169" fontId="5" fillId="2" borderId="18" xfId="5" applyNumberFormat="1" applyFont="1" applyFill="1" applyBorder="1"/>
    <xf numFmtId="164" fontId="5" fillId="2" borderId="20" xfId="5" applyNumberFormat="1" applyFont="1" applyFill="1" applyBorder="1"/>
    <xf numFmtId="169" fontId="5" fillId="2" borderId="20" xfId="5" applyNumberFormat="1" applyFont="1" applyFill="1" applyBorder="1"/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2" fontId="5" fillId="2" borderId="17" xfId="5" applyNumberFormat="1" applyFont="1" applyFill="1" applyBorder="1"/>
    <xf numFmtId="2" fontId="5" fillId="2" borderId="20" xfId="5" applyNumberFormat="1" applyFont="1" applyFill="1" applyBorder="1"/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6" fillId="2" borderId="4" xfId="2" applyNumberFormat="1" applyFont="1" applyFill="1" applyBorder="1" applyAlignment="1">
      <alignment horizontal="center" vertical="center"/>
    </xf>
    <xf numFmtId="164" fontId="17" fillId="2" borderId="4" xfId="2" applyNumberFormat="1" applyFont="1" applyFill="1" applyBorder="1" applyAlignment="1">
      <alignment vertical="center"/>
    </xf>
    <xf numFmtId="164" fontId="18" fillId="2" borderId="0" xfId="2" applyNumberFormat="1" applyFont="1" applyFill="1" applyBorder="1" applyAlignment="1" applyProtection="1">
      <alignment horizontal="right" vertical="center"/>
      <protection locked="0"/>
    </xf>
    <xf numFmtId="164" fontId="16" fillId="2" borderId="0" xfId="2" applyNumberFormat="1" applyFont="1" applyFill="1" applyBorder="1" applyAlignment="1">
      <alignment horizontal="right" vertical="center"/>
    </xf>
    <xf numFmtId="164" fontId="18" fillId="2" borderId="3" xfId="2" applyNumberFormat="1" applyFont="1" applyFill="1" applyBorder="1" applyAlignment="1">
      <alignment horizontal="right" vertical="center"/>
    </xf>
    <xf numFmtId="164" fontId="17" fillId="2" borderId="3" xfId="2" applyNumberFormat="1" applyFont="1" applyFill="1" applyBorder="1" applyAlignment="1">
      <alignment vertical="center"/>
    </xf>
    <xf numFmtId="164" fontId="19" fillId="2" borderId="15" xfId="5" applyNumberFormat="1" applyFont="1" applyFill="1" applyBorder="1" applyAlignment="1">
      <alignment horizontal="center"/>
    </xf>
    <xf numFmtId="169" fontId="20" fillId="4" borderId="16" xfId="5" applyNumberFormat="1" applyFont="1" applyFill="1" applyBorder="1"/>
    <xf numFmtId="169" fontId="20" fillId="4" borderId="18" xfId="5" applyNumberFormat="1" applyFont="1" applyFill="1" applyBorder="1"/>
    <xf numFmtId="169" fontId="20" fillId="4" borderId="19" xfId="5" applyNumberFormat="1" applyFont="1" applyFill="1" applyBorder="1"/>
    <xf numFmtId="169" fontId="20" fillId="4" borderId="20" xfId="5" applyNumberFormat="1" applyFont="1" applyFill="1" applyBorder="1"/>
    <xf numFmtId="167" fontId="20" fillId="4" borderId="21" xfId="1" applyNumberFormat="1" applyFont="1" applyFill="1" applyBorder="1"/>
    <xf numFmtId="167" fontId="20" fillId="4" borderId="17" xfId="1" applyNumberFormat="1" applyFont="1" applyFill="1" applyBorder="1"/>
    <xf numFmtId="167" fontId="20" fillId="4" borderId="20" xfId="1" applyNumberFormat="1" applyFont="1" applyFill="1" applyBorder="1"/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 applyProtection="1">
      <alignment horizontal="right" vertical="center"/>
    </xf>
    <xf numFmtId="0" fontId="2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4" fillId="2" borderId="44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28" fillId="2" borderId="48" xfId="0" applyFont="1" applyFill="1" applyBorder="1" applyAlignment="1">
      <alignment horizontal="center" vertical="center" wrapText="1" readingOrder="2"/>
    </xf>
    <xf numFmtId="0" fontId="26" fillId="2" borderId="0" xfId="0" applyFont="1" applyFill="1" applyBorder="1" applyAlignment="1">
      <alignment horizontal="center" vertical="center" wrapText="1" readingOrder="2"/>
    </xf>
    <xf numFmtId="0" fontId="29" fillId="2" borderId="0" xfId="0" applyFont="1" applyFill="1" applyAlignment="1">
      <alignment vertical="top" wrapText="1"/>
    </xf>
    <xf numFmtId="0" fontId="13" fillId="2" borderId="33" xfId="0" applyFont="1" applyFill="1" applyBorder="1" applyAlignment="1">
      <alignment horizontal="right" vertical="center" wrapText="1"/>
    </xf>
    <xf numFmtId="0" fontId="24" fillId="2" borderId="33" xfId="0" applyFont="1" applyFill="1" applyBorder="1" applyAlignment="1">
      <alignment horizontal="right" vertical="center" wrapText="1"/>
    </xf>
    <xf numFmtId="0" fontId="13" fillId="2" borderId="40" xfId="0" applyFont="1" applyFill="1" applyBorder="1" applyAlignment="1">
      <alignment horizontal="right" vertical="center" wrapText="1"/>
    </xf>
    <xf numFmtId="0" fontId="13" fillId="2" borderId="37" xfId="0" applyFont="1" applyFill="1" applyBorder="1" applyAlignment="1">
      <alignment horizontal="right" vertical="center" wrapText="1"/>
    </xf>
    <xf numFmtId="0" fontId="13" fillId="2" borderId="39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top"/>
    </xf>
    <xf numFmtId="173" fontId="1" fillId="2" borderId="0" xfId="1" applyNumberFormat="1" applyFont="1" applyFill="1" applyBorder="1" applyAlignment="1">
      <alignment horizontal="right" vertical="center"/>
    </xf>
    <xf numFmtId="173" fontId="30" fillId="2" borderId="0" xfId="1" applyNumberFormat="1" applyFont="1" applyFill="1" applyBorder="1" applyAlignment="1">
      <alignment horizontal="right" vertical="center"/>
    </xf>
    <xf numFmtId="173" fontId="1" fillId="2" borderId="22" xfId="1" applyNumberFormat="1" applyFont="1" applyFill="1" applyBorder="1" applyAlignment="1">
      <alignment horizontal="right" vertical="center"/>
    </xf>
    <xf numFmtId="169" fontId="1" fillId="2" borderId="10" xfId="0" applyNumberFormat="1" applyFont="1" applyFill="1" applyBorder="1" applyAlignment="1">
      <alignment horizontal="right" vertical="center" wrapText="1"/>
    </xf>
    <xf numFmtId="169" fontId="1" fillId="2" borderId="0" xfId="0" applyNumberFormat="1" applyFont="1" applyFill="1" applyBorder="1" applyAlignment="1">
      <alignment horizontal="right" vertical="center" wrapText="1"/>
    </xf>
    <xf numFmtId="169" fontId="1" fillId="2" borderId="22" xfId="0" applyNumberFormat="1" applyFont="1" applyFill="1" applyBorder="1" applyAlignment="1">
      <alignment horizontal="right" vertical="center" wrapText="1"/>
    </xf>
    <xf numFmtId="165" fontId="30" fillId="2" borderId="48" xfId="1" applyNumberFormat="1" applyFont="1" applyFill="1" applyBorder="1" applyAlignment="1">
      <alignment horizontal="center" vertical="center" wrapText="1"/>
    </xf>
    <xf numFmtId="165" fontId="1" fillId="2" borderId="0" xfId="1" applyNumberFormat="1" applyFont="1" applyFill="1" applyAlignment="1">
      <alignment horizontal="center" vertical="center" wrapText="1"/>
    </xf>
    <xf numFmtId="0" fontId="31" fillId="2" borderId="0" xfId="0" applyFont="1" applyFill="1" applyAlignment="1">
      <alignment vertical="top" wrapText="1"/>
    </xf>
    <xf numFmtId="173" fontId="22" fillId="2" borderId="0" xfId="0" applyNumberFormat="1" applyFont="1" applyFill="1" applyAlignment="1">
      <alignment vertical="top" wrapText="1"/>
    </xf>
    <xf numFmtId="174" fontId="22" fillId="2" borderId="0" xfId="0" applyNumberFormat="1" applyFont="1" applyFill="1" applyAlignment="1">
      <alignment horizontal="left" vertical="top"/>
    </xf>
    <xf numFmtId="173" fontId="12" fillId="2" borderId="0" xfId="1" applyNumberFormat="1" applyFont="1" applyFill="1" applyBorder="1" applyAlignment="1">
      <alignment horizontal="right" vertical="center"/>
    </xf>
    <xf numFmtId="43" fontId="22" fillId="2" borderId="0" xfId="0" applyNumberFormat="1" applyFont="1" applyFill="1" applyAlignment="1">
      <alignment vertical="top" wrapText="1"/>
    </xf>
    <xf numFmtId="174" fontId="22" fillId="2" borderId="0" xfId="0" applyNumberFormat="1" applyFont="1" applyFill="1" applyAlignment="1">
      <alignment horizontal="left" vertical="top" wrapText="1"/>
    </xf>
    <xf numFmtId="43" fontId="22" fillId="2" borderId="0" xfId="1" applyFont="1" applyFill="1" applyAlignment="1">
      <alignment vertical="top" wrapText="1"/>
    </xf>
    <xf numFmtId="165" fontId="34" fillId="2" borderId="0" xfId="2" applyNumberFormat="1" applyFont="1" applyFill="1" applyAlignment="1">
      <alignment horizontal="right" vertical="center"/>
    </xf>
    <xf numFmtId="0" fontId="35" fillId="2" borderId="0" xfId="0" applyFont="1" applyFill="1" applyAlignment="1">
      <alignment horizontal="left" vertical="center" wrapText="1"/>
    </xf>
    <xf numFmtId="173" fontId="30" fillId="2" borderId="48" xfId="1" applyNumberFormat="1" applyFont="1" applyFill="1" applyBorder="1" applyAlignment="1">
      <alignment horizontal="center" vertical="center"/>
    </xf>
    <xf numFmtId="173" fontId="1" fillId="2" borderId="0" xfId="1" applyNumberFormat="1" applyFont="1" applyFill="1" applyBorder="1" applyAlignment="1">
      <alignment horizontal="center" vertical="center"/>
    </xf>
    <xf numFmtId="165" fontId="36" fillId="2" borderId="0" xfId="2" applyNumberFormat="1" applyFont="1" applyFill="1" applyBorder="1" applyAlignment="1">
      <alignment horizontal="right" vertical="center"/>
    </xf>
    <xf numFmtId="173" fontId="1" fillId="2" borderId="10" xfId="1" applyNumberFormat="1" applyFont="1" applyFill="1" applyBorder="1" applyAlignment="1">
      <alignment horizontal="center" vertical="center"/>
    </xf>
    <xf numFmtId="174" fontId="22" fillId="2" borderId="0" xfId="0" applyNumberFormat="1" applyFont="1" applyFill="1" applyBorder="1" applyAlignment="1">
      <alignment horizontal="left" vertical="top"/>
    </xf>
    <xf numFmtId="174" fontId="22" fillId="2" borderId="3" xfId="0" applyNumberFormat="1" applyFont="1" applyFill="1" applyBorder="1" applyAlignment="1">
      <alignment horizontal="left" vertical="top"/>
    </xf>
    <xf numFmtId="173" fontId="1" fillId="2" borderId="3" xfId="1" applyNumberFormat="1" applyFont="1" applyFill="1" applyBorder="1" applyAlignment="1">
      <alignment horizontal="right" vertical="center"/>
    </xf>
    <xf numFmtId="173" fontId="30" fillId="2" borderId="3" xfId="1" applyNumberFormat="1" applyFont="1" applyFill="1" applyBorder="1" applyAlignment="1">
      <alignment horizontal="right" vertical="center"/>
    </xf>
    <xf numFmtId="173" fontId="1" fillId="2" borderId="23" xfId="1" applyNumberFormat="1" applyFont="1" applyFill="1" applyBorder="1" applyAlignment="1">
      <alignment horizontal="right" vertical="center"/>
    </xf>
    <xf numFmtId="174" fontId="13" fillId="2" borderId="33" xfId="0" applyNumberFormat="1" applyFont="1" applyFill="1" applyBorder="1" applyAlignment="1">
      <alignment horizontal="left" vertical="top"/>
    </xf>
    <xf numFmtId="173" fontId="21" fillId="2" borderId="4" xfId="1" applyNumberFormat="1" applyFont="1" applyFill="1" applyBorder="1" applyAlignment="1">
      <alignment horizontal="right" vertical="center"/>
    </xf>
    <xf numFmtId="173" fontId="38" fillId="2" borderId="4" xfId="1" applyNumberFormat="1" applyFont="1" applyFill="1" applyBorder="1" applyAlignment="1">
      <alignment horizontal="right" vertical="center"/>
    </xf>
    <xf numFmtId="173" fontId="21" fillId="2" borderId="40" xfId="1" applyNumberFormat="1" applyFont="1" applyFill="1" applyBorder="1" applyAlignment="1">
      <alignment horizontal="right" vertical="center"/>
    </xf>
    <xf numFmtId="1" fontId="21" fillId="2" borderId="37" xfId="0" applyNumberFormat="1" applyFont="1" applyFill="1" applyBorder="1" applyAlignment="1">
      <alignment horizontal="right" vertical="center"/>
    </xf>
    <xf numFmtId="1" fontId="21" fillId="2" borderId="33" xfId="0" applyNumberFormat="1" applyFont="1" applyFill="1" applyBorder="1" applyAlignment="1">
      <alignment horizontal="right" vertical="center"/>
    </xf>
    <xf numFmtId="169" fontId="1" fillId="2" borderId="33" xfId="0" applyNumberFormat="1" applyFont="1" applyFill="1" applyBorder="1" applyAlignment="1">
      <alignment horizontal="right" vertical="center" wrapText="1"/>
    </xf>
    <xf numFmtId="169" fontId="1" fillId="2" borderId="40" xfId="0" applyNumberFormat="1" applyFont="1" applyFill="1" applyBorder="1" applyAlignment="1">
      <alignment horizontal="right" vertical="center" wrapText="1"/>
    </xf>
    <xf numFmtId="165" fontId="38" fillId="2" borderId="39" xfId="1" applyNumberFormat="1" applyFont="1" applyFill="1" applyBorder="1" applyAlignment="1">
      <alignment horizontal="center" vertical="center" wrapText="1"/>
    </xf>
    <xf numFmtId="165" fontId="21" fillId="2" borderId="33" xfId="1" applyNumberFormat="1" applyFont="1" applyFill="1" applyBorder="1" applyAlignment="1">
      <alignment horizontal="center" vertical="center" wrapText="1"/>
    </xf>
    <xf numFmtId="0" fontId="25" fillId="2" borderId="33" xfId="0" applyFont="1" applyFill="1" applyBorder="1" applyAlignment="1">
      <alignment vertical="top" wrapText="1"/>
    </xf>
    <xf numFmtId="0" fontId="13" fillId="2" borderId="0" xfId="0" applyFont="1" applyFill="1" applyAlignment="1">
      <alignment vertical="top"/>
    </xf>
    <xf numFmtId="173" fontId="13" fillId="2" borderId="4" xfId="1" applyNumberFormat="1" applyFont="1" applyFill="1" applyBorder="1" applyAlignment="1">
      <alignment horizontal="right" vertical="center"/>
    </xf>
    <xf numFmtId="173" fontId="13" fillId="2" borderId="0" xfId="1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vertical="top"/>
    </xf>
    <xf numFmtId="0" fontId="22" fillId="2" borderId="4" xfId="0" applyFont="1" applyFill="1" applyBorder="1" applyAlignment="1">
      <alignment vertical="top"/>
    </xf>
    <xf numFmtId="0" fontId="22" fillId="2" borderId="0" xfId="0" applyFont="1" applyFill="1" applyBorder="1" applyAlignment="1">
      <alignment vertical="top"/>
    </xf>
    <xf numFmtId="0" fontId="39" fillId="2" borderId="0" xfId="0" applyFont="1" applyFill="1" applyAlignment="1">
      <alignment vertical="top"/>
    </xf>
    <xf numFmtId="0" fontId="32" fillId="2" borderId="0" xfId="0" applyFont="1" applyFill="1" applyAlignment="1">
      <alignment vertical="top"/>
    </xf>
    <xf numFmtId="0" fontId="41" fillId="2" borderId="0" xfId="0" applyFont="1" applyFill="1" applyAlignment="1">
      <alignment vertical="top"/>
    </xf>
    <xf numFmtId="174" fontId="42" fillId="2" borderId="0" xfId="0" applyNumberFormat="1" applyFont="1" applyFill="1" applyBorder="1" applyAlignment="1">
      <alignment horizontal="left" vertical="top"/>
    </xf>
    <xf numFmtId="0" fontId="22" fillId="2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center" vertical="top"/>
    </xf>
    <xf numFmtId="0" fontId="31" fillId="2" borderId="0" xfId="0" applyFont="1" applyFill="1" applyBorder="1" applyAlignment="1">
      <alignment horizontal="right" vertical="top" wrapText="1"/>
    </xf>
    <xf numFmtId="0" fontId="32" fillId="2" borderId="0" xfId="0" applyFont="1" applyFill="1" applyBorder="1" applyAlignment="1">
      <alignment horizontal="center" vertical="top"/>
    </xf>
    <xf numFmtId="0" fontId="22" fillId="2" borderId="0" xfId="0" applyFont="1" applyFill="1" applyBorder="1" applyAlignment="1">
      <alignment vertical="top" wrapText="1"/>
    </xf>
    <xf numFmtId="0" fontId="22" fillId="2" borderId="0" xfId="0" applyFont="1" applyFill="1" applyAlignment="1">
      <alignment horizontal="left" vertical="top" wrapText="1"/>
    </xf>
    <xf numFmtId="0" fontId="32" fillId="2" borderId="0" xfId="0" applyFont="1" applyFill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vertical="top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right" vertical="center" wrapText="1"/>
    </xf>
    <xf numFmtId="0" fontId="38" fillId="2" borderId="3" xfId="0" applyFont="1" applyFill="1" applyBorder="1" applyAlignment="1">
      <alignment horizontal="right" vertical="center" wrapText="1"/>
    </xf>
    <xf numFmtId="0" fontId="21" fillId="2" borderId="11" xfId="0" applyFont="1" applyFill="1" applyBorder="1" applyAlignment="1">
      <alignment horizontal="right" vertical="center" wrapText="1"/>
    </xf>
    <xf numFmtId="0" fontId="21" fillId="2" borderId="34" xfId="0" applyFont="1" applyFill="1" applyBorder="1" applyAlignment="1">
      <alignment horizontal="right" vertical="center" wrapText="1"/>
    </xf>
    <xf numFmtId="0" fontId="21" fillId="2" borderId="23" xfId="0" applyFont="1" applyFill="1" applyBorder="1" applyAlignment="1">
      <alignment horizontal="right" vertical="center" wrapText="1"/>
    </xf>
    <xf numFmtId="0" fontId="45" fillId="2" borderId="0" xfId="0" applyFont="1" applyFill="1" applyAlignment="1">
      <alignment horizontal="left" vertical="center" wrapText="1"/>
    </xf>
    <xf numFmtId="173" fontId="45" fillId="2" borderId="0" xfId="0" applyNumberFormat="1" applyFont="1" applyFill="1" applyAlignment="1">
      <alignment horizontal="right" vertical="center" wrapText="1"/>
    </xf>
    <xf numFmtId="173" fontId="46" fillId="2" borderId="0" xfId="0" applyNumberFormat="1" applyFont="1" applyFill="1" applyAlignment="1">
      <alignment horizontal="right" vertical="center" wrapText="1"/>
    </xf>
    <xf numFmtId="1" fontId="45" fillId="2" borderId="10" xfId="0" applyNumberFormat="1" applyFont="1" applyFill="1" applyBorder="1" applyAlignment="1">
      <alignment horizontal="right" vertical="center" wrapText="1"/>
    </xf>
    <xf numFmtId="1" fontId="45" fillId="2" borderId="0" xfId="0" applyNumberFormat="1" applyFont="1" applyFill="1" applyBorder="1" applyAlignment="1">
      <alignment horizontal="right" vertical="center" wrapText="1"/>
    </xf>
    <xf numFmtId="1" fontId="45" fillId="2" borderId="22" xfId="0" applyNumberFormat="1" applyFont="1" applyFill="1" applyBorder="1" applyAlignment="1">
      <alignment horizontal="right" vertical="center" wrapText="1"/>
    </xf>
    <xf numFmtId="3" fontId="45" fillId="2" borderId="0" xfId="1" applyNumberFormat="1" applyFont="1" applyFill="1" applyAlignment="1">
      <alignment horizontal="center" vertical="center" wrapText="1"/>
    </xf>
    <xf numFmtId="3" fontId="45" fillId="2" borderId="10" xfId="1" applyNumberFormat="1" applyFont="1" applyFill="1" applyBorder="1" applyAlignment="1">
      <alignment horizontal="center" vertical="center" wrapText="1"/>
    </xf>
    <xf numFmtId="0" fontId="47" fillId="2" borderId="0" xfId="0" applyFont="1" applyFill="1" applyAlignment="1">
      <alignment vertical="top" wrapText="1"/>
    </xf>
    <xf numFmtId="0" fontId="21" fillId="2" borderId="0" xfId="0" applyFont="1" applyFill="1" applyAlignment="1">
      <alignment vertical="top" wrapText="1"/>
    </xf>
    <xf numFmtId="0" fontId="48" fillId="2" borderId="0" xfId="0" applyFont="1" applyFill="1" applyAlignment="1">
      <alignment horizontal="left" vertical="center" wrapText="1"/>
    </xf>
    <xf numFmtId="173" fontId="48" fillId="2" borderId="0" xfId="1" applyNumberFormat="1" applyFont="1" applyFill="1" applyBorder="1" applyAlignment="1">
      <alignment horizontal="right" vertical="center" wrapText="1"/>
    </xf>
    <xf numFmtId="173" fontId="49" fillId="2" borderId="0" xfId="1" applyNumberFormat="1" applyFont="1" applyFill="1" applyBorder="1" applyAlignment="1">
      <alignment horizontal="right" vertical="center" wrapText="1"/>
    </xf>
    <xf numFmtId="1" fontId="48" fillId="2" borderId="10" xfId="0" applyNumberFormat="1" applyFont="1" applyFill="1" applyBorder="1" applyAlignment="1">
      <alignment horizontal="right" vertical="center" wrapText="1"/>
    </xf>
    <xf numFmtId="1" fontId="48" fillId="2" borderId="0" xfId="0" applyNumberFormat="1" applyFont="1" applyFill="1" applyBorder="1" applyAlignment="1">
      <alignment horizontal="right" vertical="center" wrapText="1"/>
    </xf>
    <xf numFmtId="1" fontId="48" fillId="2" borderId="22" xfId="0" applyNumberFormat="1" applyFont="1" applyFill="1" applyBorder="1" applyAlignment="1">
      <alignment horizontal="right" vertical="center" wrapText="1"/>
    </xf>
    <xf numFmtId="3" fontId="48" fillId="2" borderId="0" xfId="1" applyNumberFormat="1" applyFont="1" applyFill="1" applyAlignment="1">
      <alignment horizontal="center" vertical="center" wrapText="1"/>
    </xf>
    <xf numFmtId="3" fontId="48" fillId="2" borderId="10" xfId="1" applyNumberFormat="1" applyFont="1" applyFill="1" applyBorder="1" applyAlignment="1">
      <alignment horizontal="center" vertical="center" wrapText="1"/>
    </xf>
    <xf numFmtId="0" fontId="50" fillId="2" borderId="0" xfId="0" applyFont="1" applyFill="1" applyAlignment="1">
      <alignment vertical="top" wrapText="1"/>
    </xf>
    <xf numFmtId="173" fontId="51" fillId="2" borderId="0" xfId="1" applyNumberFormat="1" applyFont="1" applyFill="1" applyBorder="1" applyAlignment="1">
      <alignment horizontal="right" vertical="center" wrapText="1"/>
    </xf>
    <xf numFmtId="173" fontId="22" fillId="2" borderId="10" xfId="1" applyNumberFormat="1" applyFont="1" applyFill="1" applyBorder="1" applyAlignment="1">
      <alignment horizontal="center" vertical="center"/>
    </xf>
    <xf numFmtId="0" fontId="50" fillId="2" borderId="0" xfId="0" applyFont="1" applyFill="1" applyAlignment="1">
      <alignment vertical="top"/>
    </xf>
    <xf numFmtId="173" fontId="35" fillId="2" borderId="0" xfId="1" applyNumberFormat="1" applyFont="1" applyFill="1" applyBorder="1" applyAlignment="1">
      <alignment horizontal="right" vertical="center" wrapText="1"/>
    </xf>
    <xf numFmtId="165" fontId="50" fillId="2" borderId="0" xfId="2" applyNumberFormat="1" applyFont="1" applyFill="1" applyAlignment="1">
      <alignment horizontal="right" vertical="center"/>
    </xf>
    <xf numFmtId="0" fontId="48" fillId="2" borderId="0" xfId="0" applyFont="1" applyFill="1" applyBorder="1" applyAlignment="1">
      <alignment horizontal="left" vertical="center" wrapText="1"/>
    </xf>
    <xf numFmtId="3" fontId="48" fillId="2" borderId="0" xfId="1" applyNumberFormat="1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left" vertical="center" wrapText="1"/>
    </xf>
    <xf numFmtId="173" fontId="48" fillId="2" borderId="3" xfId="1" applyNumberFormat="1" applyFont="1" applyFill="1" applyBorder="1" applyAlignment="1">
      <alignment horizontal="right" vertical="center" wrapText="1"/>
    </xf>
    <xf numFmtId="173" fontId="49" fillId="2" borderId="3" xfId="1" applyNumberFormat="1" applyFont="1" applyFill="1" applyBorder="1" applyAlignment="1">
      <alignment horizontal="right" vertical="center" wrapText="1"/>
    </xf>
    <xf numFmtId="1" fontId="48" fillId="2" borderId="11" xfId="0" applyNumberFormat="1" applyFont="1" applyFill="1" applyBorder="1" applyAlignment="1">
      <alignment horizontal="right" vertical="center" wrapText="1"/>
    </xf>
    <xf numFmtId="1" fontId="48" fillId="2" borderId="3" xfId="0" applyNumberFormat="1" applyFont="1" applyFill="1" applyBorder="1" applyAlignment="1">
      <alignment horizontal="right" vertical="center" wrapText="1"/>
    </xf>
    <xf numFmtId="1" fontId="48" fillId="2" borderId="23" xfId="0" applyNumberFormat="1" applyFont="1" applyFill="1" applyBorder="1" applyAlignment="1">
      <alignment horizontal="right" vertical="center" wrapText="1"/>
    </xf>
    <xf numFmtId="173" fontId="22" fillId="2" borderId="50" xfId="1" applyNumberFormat="1" applyFont="1" applyFill="1" applyBorder="1" applyAlignment="1">
      <alignment horizontal="center" vertical="center"/>
    </xf>
    <xf numFmtId="3" fontId="48" fillId="2" borderId="11" xfId="1" applyNumberFormat="1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vertical="top" wrapText="1"/>
    </xf>
    <xf numFmtId="0" fontId="22" fillId="2" borderId="0" xfId="0" applyFont="1" applyFill="1" applyAlignment="1">
      <alignment vertical="center"/>
    </xf>
    <xf numFmtId="0" fontId="22" fillId="2" borderId="0" xfId="0" applyFont="1" applyFill="1" applyBorder="1" applyAlignment="1">
      <alignment vertical="center"/>
    </xf>
    <xf numFmtId="174" fontId="42" fillId="2" borderId="0" xfId="0" applyNumberFormat="1" applyFont="1" applyFill="1" applyBorder="1" applyAlignment="1">
      <alignment horizontal="left" vertical="center"/>
    </xf>
    <xf numFmtId="173" fontId="1" fillId="2" borderId="0" xfId="1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31" fillId="2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 wrapText="1"/>
    </xf>
    <xf numFmtId="0" fontId="0" fillId="2" borderId="0" xfId="0" applyFont="1" applyFill="1" applyAlignment="1">
      <alignment vertical="top" wrapText="1"/>
    </xf>
    <xf numFmtId="0" fontId="11" fillId="2" borderId="0" xfId="0" applyFont="1" applyFill="1" applyBorder="1" applyAlignment="1">
      <alignment vertical="center" wrapText="1"/>
    </xf>
    <xf numFmtId="0" fontId="43" fillId="2" borderId="0" xfId="0" applyFont="1" applyFill="1" applyAlignment="1">
      <alignment vertical="top"/>
    </xf>
    <xf numFmtId="0" fontId="13" fillId="2" borderId="0" xfId="0" applyFont="1" applyFill="1" applyAlignment="1">
      <alignment vertical="top" wrapText="1"/>
    </xf>
    <xf numFmtId="0" fontId="21" fillId="2" borderId="7" xfId="0" applyFont="1" applyFill="1" applyBorder="1" applyAlignment="1">
      <alignment horizontal="right" vertical="center" wrapText="1"/>
    </xf>
    <xf numFmtId="173" fontId="22" fillId="2" borderId="4" xfId="1" applyNumberFormat="1" applyFont="1" applyFill="1" applyBorder="1" applyAlignment="1">
      <alignment horizontal="right" vertical="center" wrapText="1"/>
    </xf>
    <xf numFmtId="173" fontId="53" fillId="2" borderId="4" xfId="1" applyNumberFormat="1" applyFont="1" applyFill="1" applyBorder="1" applyAlignment="1">
      <alignment horizontal="right" vertical="center" wrapText="1"/>
    </xf>
    <xf numFmtId="173" fontId="22" fillId="2" borderId="0" xfId="1" applyNumberFormat="1" applyFont="1" applyFill="1" applyBorder="1" applyAlignment="1">
      <alignment horizontal="right" vertical="center" wrapText="1"/>
    </xf>
    <xf numFmtId="173" fontId="22" fillId="2" borderId="29" xfId="1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vertical="center" wrapText="1"/>
    </xf>
    <xf numFmtId="173" fontId="22" fillId="2" borderId="0" xfId="1" applyNumberFormat="1" applyFont="1" applyFill="1" applyAlignment="1">
      <alignment vertical="center" wrapText="1"/>
    </xf>
    <xf numFmtId="2" fontId="22" fillId="2" borderId="0" xfId="0" applyNumberFormat="1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173" fontId="53" fillId="2" borderId="0" xfId="1" applyNumberFormat="1" applyFont="1" applyFill="1" applyBorder="1" applyAlignment="1">
      <alignment horizontal="right" vertical="center" wrapText="1"/>
    </xf>
    <xf numFmtId="174" fontId="1" fillId="2" borderId="0" xfId="0" applyNumberFormat="1" applyFont="1" applyFill="1" applyAlignment="1">
      <alignment horizontal="left" vertical="center" wrapText="1"/>
    </xf>
    <xf numFmtId="173" fontId="22" fillId="2" borderId="0" xfId="1" applyNumberFormat="1" applyFont="1" applyFill="1" applyAlignment="1">
      <alignment horizontal="right" vertical="center" wrapText="1"/>
    </xf>
    <xf numFmtId="165" fontId="34" fillId="2" borderId="0" xfId="2" applyNumberFormat="1" applyFont="1" applyFill="1" applyBorder="1" applyAlignment="1">
      <alignment horizontal="right" vertical="center"/>
    </xf>
    <xf numFmtId="174" fontId="54" fillId="2" borderId="0" xfId="0" applyNumberFormat="1" applyFont="1" applyFill="1" applyAlignment="1">
      <alignment horizontal="left" vertical="center" wrapText="1"/>
    </xf>
    <xf numFmtId="173" fontId="53" fillId="2" borderId="0" xfId="1" applyNumberFormat="1" applyFont="1" applyFill="1" applyAlignment="1">
      <alignment horizontal="right" vertical="center" wrapText="1"/>
    </xf>
    <xf numFmtId="174" fontId="0" fillId="2" borderId="0" xfId="0" applyNumberFormat="1" applyFont="1" applyFill="1" applyAlignment="1">
      <alignment horizontal="left" vertical="center" wrapText="1"/>
    </xf>
    <xf numFmtId="174" fontId="1" fillId="2" borderId="0" xfId="0" applyNumberFormat="1" applyFont="1" applyFill="1" applyAlignment="1">
      <alignment horizontal="left" vertical="center"/>
    </xf>
    <xf numFmtId="174" fontId="1" fillId="2" borderId="3" xfId="0" applyNumberFormat="1" applyFont="1" applyFill="1" applyBorder="1" applyAlignment="1">
      <alignment horizontal="left" vertical="center" wrapText="1"/>
    </xf>
    <xf numFmtId="173" fontId="22" fillId="2" borderId="3" xfId="1" applyNumberFormat="1" applyFont="1" applyFill="1" applyBorder="1" applyAlignment="1">
      <alignment horizontal="right" vertical="center" wrapText="1"/>
    </xf>
    <xf numFmtId="173" fontId="53" fillId="2" borderId="3" xfId="1" applyNumberFormat="1" applyFont="1" applyFill="1" applyBorder="1" applyAlignment="1">
      <alignment horizontal="right" vertical="center" wrapText="1"/>
    </xf>
    <xf numFmtId="173" fontId="22" fillId="2" borderId="7" xfId="1" applyNumberFormat="1" applyFont="1" applyFill="1" applyBorder="1" applyAlignment="1">
      <alignment horizontal="right" vertical="center" wrapText="1"/>
    </xf>
    <xf numFmtId="0" fontId="31" fillId="2" borderId="3" xfId="0" applyFont="1" applyFill="1" applyBorder="1" applyAlignment="1">
      <alignment vertical="center" wrapText="1"/>
    </xf>
    <xf numFmtId="174" fontId="57" fillId="2" borderId="0" xfId="0" applyNumberFormat="1" applyFont="1" applyFill="1" applyBorder="1" applyAlignment="1">
      <alignment horizontal="left" vertical="center" wrapText="1"/>
    </xf>
    <xf numFmtId="173" fontId="42" fillId="2" borderId="0" xfId="1" applyNumberFormat="1" applyFont="1" applyFill="1" applyBorder="1" applyAlignment="1">
      <alignment horizontal="right" vertical="center" wrapText="1"/>
    </xf>
    <xf numFmtId="173" fontId="22" fillId="2" borderId="0" xfId="0" applyNumberFormat="1" applyFont="1" applyFill="1" applyAlignment="1">
      <alignment horizontal="left" vertical="top" wrapText="1"/>
    </xf>
    <xf numFmtId="174" fontId="57" fillId="2" borderId="0" xfId="0" applyNumberFormat="1" applyFont="1" applyFill="1" applyBorder="1" applyAlignment="1">
      <alignment horizontal="left" vertical="top"/>
    </xf>
    <xf numFmtId="0" fontId="57" fillId="2" borderId="0" xfId="0" applyFont="1" applyFill="1" applyAlignment="1">
      <alignment vertical="top" wrapText="1"/>
    </xf>
    <xf numFmtId="0" fontId="41" fillId="2" borderId="0" xfId="0" applyFont="1" applyFill="1" applyBorder="1" applyAlignment="1">
      <alignment vertical="top"/>
    </xf>
    <xf numFmtId="2" fontId="22" fillId="2" borderId="0" xfId="0" applyNumberFormat="1" applyFont="1" applyFill="1" applyAlignment="1">
      <alignment vertical="top" wrapText="1"/>
    </xf>
    <xf numFmtId="173" fontId="22" fillId="2" borderId="0" xfId="1" applyNumberFormat="1" applyFont="1" applyFill="1" applyAlignment="1">
      <alignment vertical="top" wrapText="1"/>
    </xf>
    <xf numFmtId="164" fontId="60" fillId="2" borderId="0" xfId="2" applyNumberFormat="1" applyFont="1" applyFill="1" applyAlignment="1">
      <alignment vertical="center"/>
    </xf>
    <xf numFmtId="164" fontId="13" fillId="2" borderId="0" xfId="2" applyNumberFormat="1" applyFont="1" applyFill="1" applyBorder="1" applyAlignment="1">
      <alignment horizontal="center" vertical="center"/>
    </xf>
    <xf numFmtId="164" fontId="61" fillId="2" borderId="0" xfId="2" applyNumberFormat="1" applyFont="1" applyFill="1" applyAlignment="1">
      <alignment vertical="center"/>
    </xf>
    <xf numFmtId="164" fontId="13" fillId="2" borderId="4" xfId="2" applyNumberFormat="1" applyFont="1" applyFill="1" applyBorder="1" applyAlignment="1">
      <alignment vertical="center"/>
    </xf>
    <xf numFmtId="164" fontId="13" fillId="2" borderId="4" xfId="2" applyNumberFormat="1" applyFont="1" applyFill="1" applyBorder="1" applyAlignment="1">
      <alignment horizontal="center" vertical="center"/>
    </xf>
    <xf numFmtId="164" fontId="62" fillId="2" borderId="4" xfId="2" applyNumberFormat="1" applyFont="1" applyFill="1" applyBorder="1" applyAlignment="1">
      <alignment horizontal="right" vertical="center"/>
    </xf>
    <xf numFmtId="164" fontId="63" fillId="2" borderId="0" xfId="2" applyNumberFormat="1" applyFont="1" applyFill="1" applyBorder="1" applyAlignment="1">
      <alignment horizontal="right" vertical="center" indent="1"/>
    </xf>
    <xf numFmtId="164" fontId="16" fillId="2" borderId="0" xfId="2" applyNumberFormat="1" applyFont="1" applyFill="1" applyBorder="1" applyAlignment="1">
      <alignment horizontal="right" vertical="center"/>
    </xf>
    <xf numFmtId="164" fontId="13" fillId="2" borderId="3" xfId="2" applyNumberFormat="1" applyFont="1" applyFill="1" applyBorder="1" applyAlignment="1" applyProtection="1">
      <alignment horizontal="right" vertical="center"/>
    </xf>
    <xf numFmtId="164" fontId="18" fillId="2" borderId="2" xfId="2" applyNumberFormat="1" applyFont="1" applyFill="1" applyBorder="1" applyAlignment="1" applyProtection="1">
      <alignment horizontal="right" vertical="center"/>
    </xf>
    <xf numFmtId="164" fontId="13" fillId="2" borderId="32" xfId="2" applyNumberFormat="1" applyFont="1" applyFill="1" applyBorder="1" applyAlignment="1">
      <alignment horizontal="right" vertical="center"/>
    </xf>
    <xf numFmtId="164" fontId="13" fillId="2" borderId="2" xfId="2" applyNumberFormat="1" applyFont="1" applyFill="1" applyBorder="1" applyAlignment="1">
      <alignment horizontal="righ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5" fontId="13" fillId="2" borderId="10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5" fontId="16" fillId="2" borderId="0" xfId="2" applyNumberFormat="1" applyFont="1" applyFill="1" applyAlignment="1">
      <alignment horizontal="right" vertical="center"/>
    </xf>
    <xf numFmtId="164" fontId="22" fillId="2" borderId="0" xfId="2" applyNumberFormat="1" applyFont="1" applyFill="1" applyAlignment="1" applyProtection="1">
      <alignment horizontal="left" vertical="center" indent="1"/>
    </xf>
    <xf numFmtId="165" fontId="22" fillId="2" borderId="0" xfId="2" applyNumberFormat="1" applyFont="1" applyFill="1" applyBorder="1" applyAlignment="1" applyProtection="1">
      <alignment horizontal="right" vertical="center"/>
    </xf>
    <xf numFmtId="165" fontId="22" fillId="2" borderId="10" xfId="2" applyNumberFormat="1" applyFont="1" applyFill="1" applyBorder="1" applyAlignment="1" applyProtection="1">
      <alignment horizontal="right" vertical="center"/>
    </xf>
    <xf numFmtId="165" fontId="64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 applyProtection="1">
      <alignment vertical="center"/>
    </xf>
    <xf numFmtId="164" fontId="17" fillId="2" borderId="0" xfId="2" applyNumberFormat="1" applyFont="1" applyFill="1" applyAlignment="1">
      <alignment vertical="center"/>
    </xf>
    <xf numFmtId="164" fontId="13" fillId="2" borderId="0" xfId="2" applyNumberFormat="1" applyFont="1" applyFill="1" applyBorder="1" applyAlignment="1" applyProtection="1">
      <alignment vertical="center"/>
    </xf>
    <xf numFmtId="165" fontId="26" fillId="2" borderId="0" xfId="2" applyNumberFormat="1" applyFont="1" applyFill="1" applyAlignment="1">
      <alignment horizontal="right" vertical="center" wrapText="1"/>
    </xf>
    <xf numFmtId="164" fontId="68" fillId="2" borderId="0" xfId="2" applyNumberFormat="1" applyFont="1" applyFill="1" applyAlignment="1">
      <alignment vertical="center"/>
    </xf>
    <xf numFmtId="165" fontId="13" fillId="2" borderId="0" xfId="2" applyNumberFormat="1" applyFont="1" applyFill="1" applyBorder="1" applyAlignment="1">
      <alignment vertical="center"/>
    </xf>
    <xf numFmtId="165" fontId="22" fillId="2" borderId="0" xfId="2" applyNumberFormat="1" applyFont="1" applyFill="1" applyBorder="1" applyAlignment="1">
      <alignment vertical="center"/>
    </xf>
    <xf numFmtId="164" fontId="13" fillId="2" borderId="3" xfId="2" applyNumberFormat="1" applyFont="1" applyFill="1" applyBorder="1" applyAlignment="1" applyProtection="1">
      <alignment vertical="center"/>
    </xf>
    <xf numFmtId="165" fontId="13" fillId="2" borderId="3" xfId="2" applyNumberFormat="1" applyFont="1" applyFill="1" applyBorder="1" applyAlignment="1" applyProtection="1">
      <alignment horizontal="right" vertical="center"/>
      <protection locked="0"/>
    </xf>
    <xf numFmtId="165" fontId="13" fillId="2" borderId="11" xfId="2" applyNumberFormat="1" applyFont="1" applyFill="1" applyBorder="1" applyAlignment="1" applyProtection="1">
      <alignment horizontal="right" vertical="center"/>
    </xf>
    <xf numFmtId="165" fontId="13" fillId="2" borderId="3" xfId="2" applyNumberFormat="1" applyFont="1" applyFill="1" applyBorder="1" applyAlignment="1" applyProtection="1">
      <alignment horizontal="right" vertical="center"/>
    </xf>
    <xf numFmtId="165" fontId="64" fillId="2" borderId="3" xfId="2" applyNumberFormat="1" applyFont="1" applyFill="1" applyBorder="1" applyAlignment="1">
      <alignment horizontal="right" vertical="center"/>
    </xf>
    <xf numFmtId="164" fontId="57" fillId="2" borderId="0" xfId="2" applyNumberFormat="1" applyFont="1" applyFill="1" applyAlignment="1" applyProtection="1">
      <alignment horizontal="left" vertical="center"/>
    </xf>
    <xf numFmtId="165" fontId="29" fillId="2" borderId="0" xfId="2" applyNumberFormat="1" applyFont="1" applyFill="1" applyAlignment="1" applyProtection="1">
      <alignment horizontal="center" vertical="center"/>
    </xf>
    <xf numFmtId="164" fontId="29" fillId="2" borderId="0" xfId="2" applyNumberFormat="1" applyFont="1" applyFill="1" applyAlignment="1">
      <alignment vertical="center"/>
    </xf>
    <xf numFmtId="165" fontId="68" fillId="2" borderId="0" xfId="2" applyNumberFormat="1" applyFont="1" applyFill="1" applyAlignment="1" applyProtection="1">
      <alignment horizontal="center" vertical="center"/>
    </xf>
    <xf numFmtId="164" fontId="22" fillId="2" borderId="0" xfId="2" applyNumberFormat="1" applyFont="1" applyFill="1" applyAlignment="1">
      <alignment vertical="center"/>
    </xf>
    <xf numFmtId="165" fontId="64" fillId="2" borderId="0" xfId="2" applyNumberFormat="1" applyFont="1" applyFill="1" applyBorder="1" applyAlignment="1">
      <alignment horizontal="right" vertical="center"/>
    </xf>
    <xf numFmtId="164" fontId="22" fillId="2" borderId="0" xfId="2" applyNumberFormat="1" applyFont="1" applyFill="1" applyAlignment="1">
      <alignment horizontal="center" vertical="center"/>
    </xf>
    <xf numFmtId="164" fontId="60" fillId="2" borderId="0" xfId="2" applyNumberFormat="1" applyFont="1" applyFill="1" applyAlignment="1">
      <alignment horizontal="center" vertical="center"/>
    </xf>
    <xf numFmtId="43" fontId="60" fillId="2" borderId="0" xfId="1" applyFont="1" applyFill="1" applyAlignment="1">
      <alignment horizontal="center" vertical="center"/>
    </xf>
    <xf numFmtId="0" fontId="1" fillId="2" borderId="0" xfId="0" applyFont="1" applyFill="1"/>
    <xf numFmtId="1" fontId="1" fillId="2" borderId="0" xfId="0" applyNumberFormat="1" applyFont="1" applyFill="1"/>
    <xf numFmtId="164" fontId="61" fillId="2" borderId="0" xfId="2" applyNumberFormat="1" applyFont="1" applyFill="1" applyBorder="1" applyAlignment="1">
      <alignment vertical="center"/>
    </xf>
    <xf numFmtId="164" fontId="69" fillId="2" borderId="1" xfId="2" applyNumberFormat="1" applyFont="1" applyFill="1" applyBorder="1" applyAlignment="1">
      <alignment horizontal="right" vertical="center"/>
    </xf>
    <xf numFmtId="164" fontId="69" fillId="2" borderId="1" xfId="2" applyNumberFormat="1" applyFont="1" applyFill="1" applyBorder="1" applyAlignment="1">
      <alignment vertical="center"/>
    </xf>
    <xf numFmtId="164" fontId="16" fillId="2" borderId="4" xfId="2" applyNumberFormat="1" applyFont="1" applyFill="1" applyBorder="1" applyAlignment="1">
      <alignment horizontal="right" vertical="center"/>
    </xf>
    <xf numFmtId="164" fontId="61" fillId="2" borderId="1" xfId="2" applyNumberFormat="1" applyFont="1" applyFill="1" applyBorder="1" applyAlignment="1">
      <alignment vertical="center"/>
    </xf>
    <xf numFmtId="164" fontId="13" fillId="2" borderId="0" xfId="2" applyNumberFormat="1" applyFont="1" applyFill="1" applyBorder="1" applyAlignment="1" applyProtection="1">
      <alignment horizontal="center" vertical="center"/>
      <protection locked="0"/>
    </xf>
    <xf numFmtId="164" fontId="17" fillId="2" borderId="0" xfId="2" applyNumberFormat="1" applyFont="1" applyFill="1" applyAlignment="1">
      <alignment horizontal="center" vertical="center"/>
    </xf>
    <xf numFmtId="164" fontId="68" fillId="2" borderId="0" xfId="2" applyNumberFormat="1" applyFont="1" applyFill="1" applyBorder="1" applyAlignment="1">
      <alignment vertical="center"/>
    </xf>
    <xf numFmtId="165" fontId="13" fillId="2" borderId="0" xfId="2" applyNumberFormat="1" applyFont="1" applyFill="1" applyAlignment="1" applyProtection="1">
      <alignment horizontal="right" vertical="center"/>
    </xf>
    <xf numFmtId="164" fontId="69" fillId="2" borderId="0" xfId="2" applyNumberFormat="1" applyFont="1" applyFill="1" applyAlignment="1">
      <alignment horizontal="right" vertical="center"/>
    </xf>
    <xf numFmtId="164" fontId="22" fillId="2" borderId="0" xfId="2" applyNumberFormat="1" applyFont="1" applyFill="1" applyAlignment="1" applyProtection="1">
      <alignment horizontal="left" vertical="center" indent="2"/>
    </xf>
    <xf numFmtId="165" fontId="22" fillId="2" borderId="0" xfId="2" applyNumberFormat="1" applyFont="1" applyFill="1" applyAlignment="1" applyProtection="1">
      <alignment horizontal="right" vertical="center"/>
      <protection locked="0"/>
    </xf>
    <xf numFmtId="164" fontId="70" fillId="2" borderId="0" xfId="2" applyNumberFormat="1" applyFont="1" applyFill="1" applyAlignment="1">
      <alignment horizontal="right" vertical="center"/>
    </xf>
    <xf numFmtId="43" fontId="22" fillId="2" borderId="0" xfId="1" applyFont="1" applyFill="1" applyAlignment="1" applyProtection="1">
      <alignment horizontal="right" vertical="center"/>
      <protection locked="0"/>
    </xf>
    <xf numFmtId="41" fontId="22" fillId="2" borderId="0" xfId="3" applyNumberFormat="1" applyFont="1" applyFill="1" applyAlignment="1" applyProtection="1">
      <alignment horizontal="right" vertical="center"/>
      <protection locked="0"/>
    </xf>
    <xf numFmtId="164" fontId="31" fillId="2" borderId="0" xfId="2" applyNumberFormat="1" applyFont="1" applyFill="1" applyAlignment="1">
      <alignment horizontal="right" vertical="center"/>
    </xf>
    <xf numFmtId="166" fontId="22" fillId="2" borderId="0" xfId="3" applyNumberFormat="1" applyFont="1" applyFill="1" applyAlignment="1" applyProtection="1">
      <alignment horizontal="right" vertical="center"/>
      <protection locked="0"/>
    </xf>
    <xf numFmtId="164" fontId="31" fillId="2" borderId="0" xfId="2" applyNumberFormat="1" applyFont="1" applyFill="1" applyAlignment="1">
      <alignment horizontal="right" vertical="center" indent="1"/>
    </xf>
    <xf numFmtId="164" fontId="31" fillId="2" borderId="0" xfId="2" applyNumberFormat="1" applyFont="1" applyFill="1" applyAlignment="1">
      <alignment horizontal="right" vertical="center" readingOrder="1"/>
    </xf>
    <xf numFmtId="164" fontId="68" fillId="2" borderId="0" xfId="2" applyNumberFormat="1" applyFont="1" applyFill="1" applyAlignment="1" applyProtection="1">
      <alignment horizontal="left" vertical="center"/>
    </xf>
    <xf numFmtId="165" fontId="22" fillId="2" borderId="0" xfId="2" applyNumberFormat="1" applyFont="1" applyFill="1" applyBorder="1" applyAlignment="1" applyProtection="1">
      <alignment horizontal="right" vertical="center"/>
      <protection locked="0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5" fontId="22" fillId="2" borderId="0" xfId="2" applyNumberFormat="1" applyFont="1" applyFill="1" applyAlignment="1" applyProtection="1">
      <alignment horizontal="right" vertical="center"/>
    </xf>
    <xf numFmtId="167" fontId="22" fillId="2" borderId="0" xfId="1" applyNumberFormat="1" applyFont="1" applyFill="1" applyAlignment="1" applyProtection="1">
      <alignment horizontal="right" vertical="center"/>
      <protection locked="0"/>
    </xf>
    <xf numFmtId="167" fontId="22" fillId="2" borderId="0" xfId="1" applyNumberFormat="1" applyFont="1" applyFill="1" applyBorder="1" applyAlignment="1" applyProtection="1">
      <alignment horizontal="right" vertical="center"/>
      <protection locked="0"/>
    </xf>
    <xf numFmtId="164" fontId="22" fillId="2" borderId="0" xfId="2" applyNumberFormat="1" applyFont="1" applyFill="1" applyBorder="1" applyAlignment="1" applyProtection="1">
      <alignment horizontal="left" vertical="center" indent="2"/>
    </xf>
    <xf numFmtId="164" fontId="70" fillId="2" borderId="0" xfId="2" applyNumberFormat="1" applyFont="1" applyFill="1" applyBorder="1" applyAlignment="1">
      <alignment horizontal="right" vertical="center"/>
    </xf>
    <xf numFmtId="164" fontId="22" fillId="2" borderId="3" xfId="2" applyNumberFormat="1" applyFont="1" applyFill="1" applyBorder="1" applyAlignment="1" applyProtection="1">
      <alignment horizontal="left" vertical="center" indent="2"/>
    </xf>
    <xf numFmtId="167" fontId="22" fillId="2" borderId="3" xfId="1" applyNumberFormat="1" applyFont="1" applyFill="1" applyBorder="1" applyAlignment="1" applyProtection="1">
      <alignment horizontal="right" vertical="center"/>
      <protection locked="0"/>
    </xf>
    <xf numFmtId="41" fontId="22" fillId="2" borderId="3" xfId="3" applyNumberFormat="1" applyFont="1" applyFill="1" applyBorder="1" applyAlignment="1" applyProtection="1">
      <alignment horizontal="right" vertical="center"/>
      <protection locked="0"/>
    </xf>
    <xf numFmtId="164" fontId="70" fillId="2" borderId="3" xfId="2" applyNumberFormat="1" applyFont="1" applyFill="1" applyBorder="1" applyAlignment="1">
      <alignment horizontal="right" vertical="center" indent="2"/>
    </xf>
    <xf numFmtId="164" fontId="29" fillId="2" borderId="3" xfId="2" applyNumberFormat="1" applyFont="1" applyFill="1" applyBorder="1" applyAlignment="1" applyProtection="1">
      <alignment horizontal="left" vertical="center"/>
    </xf>
    <xf numFmtId="41" fontId="71" fillId="2" borderId="3" xfId="3" applyNumberFormat="1" applyFont="1" applyFill="1" applyBorder="1" applyAlignment="1" applyProtection="1">
      <alignment horizontal="right" vertical="center"/>
      <protection locked="0"/>
    </xf>
    <xf numFmtId="166" fontId="71" fillId="2" borderId="3" xfId="3" applyNumberFormat="1" applyFont="1" applyFill="1" applyBorder="1" applyAlignment="1" applyProtection="1">
      <alignment horizontal="right" vertical="center"/>
      <protection locked="0"/>
    </xf>
    <xf numFmtId="164" fontId="64" fillId="2" borderId="3" xfId="2" applyNumberFormat="1" applyFont="1" applyFill="1" applyBorder="1" applyAlignment="1">
      <alignment horizontal="right" vertical="center"/>
    </xf>
    <xf numFmtId="164" fontId="68" fillId="2" borderId="33" xfId="2" applyNumberFormat="1" applyFont="1" applyFill="1" applyBorder="1" applyAlignment="1">
      <alignment vertical="center"/>
    </xf>
    <xf numFmtId="164" fontId="72" fillId="2" borderId="0" xfId="2" applyNumberFormat="1" applyFont="1" applyFill="1" applyAlignment="1" applyProtection="1">
      <alignment horizontal="left" vertical="center"/>
    </xf>
    <xf numFmtId="164" fontId="73" fillId="2" borderId="0" xfId="2" applyNumberFormat="1" applyFont="1" applyFill="1" applyAlignment="1">
      <alignment horizontal="right" vertical="center"/>
    </xf>
    <xf numFmtId="164" fontId="64" fillId="2" borderId="0" xfId="2" applyNumberFormat="1" applyFont="1" applyFill="1" applyAlignment="1">
      <alignment vertical="center"/>
    </xf>
    <xf numFmtId="165" fontId="74" fillId="2" borderId="0" xfId="2" applyNumberFormat="1" applyFont="1" applyFill="1" applyBorder="1" applyAlignment="1">
      <alignment horizontal="right" vertical="center"/>
    </xf>
    <xf numFmtId="164" fontId="64" fillId="2" borderId="0" xfId="2" applyNumberFormat="1" applyFont="1" applyFill="1" applyAlignment="1">
      <alignment horizontal="right" vertical="center"/>
    </xf>
    <xf numFmtId="164" fontId="18" fillId="2" borderId="0" xfId="2" applyNumberFormat="1" applyFont="1" applyFill="1" applyBorder="1" applyAlignment="1" applyProtection="1">
      <alignment horizontal="left" vertical="center"/>
    </xf>
    <xf numFmtId="164" fontId="18" fillId="2" borderId="0" xfId="2" applyNumberFormat="1" applyFont="1" applyFill="1" applyBorder="1" applyAlignment="1">
      <alignment vertical="center"/>
    </xf>
    <xf numFmtId="164" fontId="17" fillId="2" borderId="0" xfId="2" applyNumberFormat="1" applyFont="1" applyFill="1" applyBorder="1" applyAlignment="1">
      <alignment vertical="center"/>
    </xf>
    <xf numFmtId="164" fontId="18" fillId="2" borderId="3" xfId="2" applyNumberFormat="1" applyFont="1" applyFill="1" applyBorder="1" applyAlignment="1" applyProtection="1">
      <alignment horizontal="left" vertical="center"/>
    </xf>
    <xf numFmtId="164" fontId="18" fillId="2" borderId="3" xfId="2" applyNumberFormat="1" applyFont="1" applyFill="1" applyBorder="1" applyAlignment="1" applyProtection="1">
      <alignment horizontal="right" vertical="center"/>
    </xf>
    <xf numFmtId="164" fontId="76" fillId="2" borderId="0" xfId="2" applyNumberFormat="1" applyFont="1" applyFill="1" applyAlignment="1" applyProtection="1">
      <alignment horizontal="left" vertical="center"/>
    </xf>
    <xf numFmtId="167" fontId="77" fillId="2" borderId="0" xfId="1" applyNumberFormat="1" applyFont="1" applyFill="1" applyAlignment="1" applyProtection="1">
      <alignment horizontal="right" vertical="center"/>
    </xf>
    <xf numFmtId="164" fontId="78" fillId="2" borderId="0" xfId="2" applyNumberFormat="1" applyFont="1" applyFill="1" applyAlignment="1">
      <alignment horizontal="right" vertical="center"/>
    </xf>
    <xf numFmtId="165" fontId="78" fillId="2" borderId="0" xfId="2" applyNumberFormat="1" applyFont="1" applyFill="1" applyAlignment="1">
      <alignment horizontal="right" vertical="center"/>
    </xf>
    <xf numFmtId="164" fontId="79" fillId="2" borderId="0" xfId="2" applyNumberFormat="1" applyFont="1" applyFill="1" applyAlignment="1" applyProtection="1">
      <alignment horizontal="left" vertical="center" indent="1"/>
    </xf>
    <xf numFmtId="167" fontId="80" fillId="2" borderId="0" xfId="1" applyNumberFormat="1" applyFont="1" applyFill="1" applyAlignment="1" applyProtection="1">
      <alignment horizontal="right" vertical="center"/>
      <protection locked="0"/>
    </xf>
    <xf numFmtId="165" fontId="81" fillId="2" borderId="0" xfId="2" applyNumberFormat="1" applyFont="1" applyFill="1" applyAlignment="1">
      <alignment horizontal="right" vertical="center"/>
    </xf>
    <xf numFmtId="41" fontId="71" fillId="2" borderId="0" xfId="3" applyNumberFormat="1" applyFont="1" applyFill="1" applyAlignment="1" applyProtection="1">
      <alignment horizontal="right" vertical="center"/>
      <protection locked="0"/>
    </xf>
    <xf numFmtId="167" fontId="71" fillId="2" borderId="0" xfId="3" applyNumberFormat="1" applyFont="1" applyFill="1" applyAlignment="1" applyProtection="1">
      <alignment horizontal="right" vertical="center"/>
      <protection locked="0"/>
    </xf>
    <xf numFmtId="164" fontId="79" fillId="2" borderId="0" xfId="2" applyNumberFormat="1" applyFont="1" applyFill="1" applyAlignment="1" applyProtection="1">
      <alignment horizontal="left" vertical="center"/>
    </xf>
    <xf numFmtId="164" fontId="79" fillId="2" borderId="0" xfId="2" applyNumberFormat="1" applyFont="1" applyFill="1" applyAlignment="1" applyProtection="1">
      <alignment horizontal="left" vertical="center" indent="4"/>
    </xf>
    <xf numFmtId="166" fontId="71" fillId="2" borderId="0" xfId="3" applyNumberFormat="1" applyFont="1" applyFill="1" applyAlignment="1" applyProtection="1">
      <alignment horizontal="right" vertical="center"/>
      <protection locked="0"/>
    </xf>
    <xf numFmtId="164" fontId="17" fillId="2" borderId="0" xfId="2" applyNumberFormat="1" applyFont="1" applyFill="1" applyAlignment="1"/>
    <xf numFmtId="167" fontId="77" fillId="2" borderId="0" xfId="1" applyNumberFormat="1" applyFont="1" applyFill="1" applyAlignment="1" applyProtection="1">
      <alignment horizontal="right"/>
    </xf>
    <xf numFmtId="165" fontId="82" fillId="2" borderId="0" xfId="2" applyNumberFormat="1" applyFont="1" applyFill="1" applyAlignment="1">
      <alignment horizontal="right" vertical="center"/>
    </xf>
    <xf numFmtId="167" fontId="80" fillId="2" borderId="0" xfId="1" applyNumberFormat="1" applyFont="1" applyFill="1" applyAlignment="1">
      <alignment horizontal="right"/>
    </xf>
    <xf numFmtId="164" fontId="34" fillId="2" borderId="0" xfId="2" applyNumberFormat="1" applyFont="1" applyFill="1" applyAlignment="1">
      <alignment vertical="center"/>
    </xf>
    <xf numFmtId="164" fontId="79" fillId="2" borderId="0" xfId="2" applyNumberFormat="1" applyFont="1" applyFill="1" applyAlignment="1">
      <alignment horizontal="left" vertical="center" indent="1"/>
    </xf>
    <xf numFmtId="164" fontId="79" fillId="2" borderId="0" xfId="2" applyNumberFormat="1" applyFont="1" applyFill="1" applyBorder="1" applyAlignment="1">
      <alignment horizontal="left" vertical="center" indent="1"/>
    </xf>
    <xf numFmtId="164" fontId="79" fillId="2" borderId="0" xfId="2" applyNumberFormat="1" applyFont="1" applyFill="1" applyBorder="1" applyAlignment="1" applyProtection="1">
      <alignment horizontal="left" vertical="center" indent="1"/>
    </xf>
    <xf numFmtId="164" fontId="34" fillId="2" borderId="0" xfId="2" applyNumberFormat="1" applyFont="1" applyFill="1" applyAlignment="1">
      <alignment horizontal="right" vertical="center" readingOrder="1"/>
    </xf>
    <xf numFmtId="167" fontId="77" fillId="2" borderId="0" xfId="1" applyNumberFormat="1" applyFont="1" applyFill="1" applyAlignment="1">
      <alignment vertical="center"/>
    </xf>
    <xf numFmtId="167" fontId="77" fillId="2" borderId="0" xfId="1" applyNumberFormat="1" applyFont="1" applyFill="1" applyAlignment="1">
      <alignment horizontal="right"/>
    </xf>
    <xf numFmtId="167" fontId="80" fillId="2" borderId="0" xfId="1" applyNumberFormat="1" applyFont="1" applyFill="1" applyAlignment="1">
      <alignment vertical="center"/>
    </xf>
    <xf numFmtId="164" fontId="81" fillId="2" borderId="0" xfId="2" applyNumberFormat="1" applyFont="1" applyFill="1" applyAlignment="1">
      <alignment horizontal="right" vertical="center"/>
    </xf>
    <xf numFmtId="167" fontId="77" fillId="2" borderId="0" xfId="1" applyNumberFormat="1" applyFont="1" applyFill="1" applyAlignment="1" applyProtection="1">
      <alignment vertical="center"/>
      <protection locked="0"/>
    </xf>
    <xf numFmtId="164" fontId="76" fillId="2" borderId="3" xfId="2" applyNumberFormat="1" applyFont="1" applyFill="1" applyBorder="1" applyAlignment="1" applyProtection="1">
      <alignment horizontal="left" vertical="center"/>
    </xf>
    <xf numFmtId="167" fontId="77" fillId="2" borderId="3" xfId="1" applyNumberFormat="1" applyFont="1" applyFill="1" applyBorder="1" applyAlignment="1" applyProtection="1">
      <alignment vertical="center"/>
      <protection locked="0"/>
    </xf>
    <xf numFmtId="164" fontId="81" fillId="2" borderId="3" xfId="2" applyNumberFormat="1" applyFont="1" applyFill="1" applyBorder="1" applyAlignment="1">
      <alignment horizontal="right" vertical="center"/>
    </xf>
    <xf numFmtId="37" fontId="29" fillId="2" borderId="0" xfId="2" applyNumberFormat="1" applyFont="1" applyFill="1" applyAlignment="1" applyProtection="1">
      <alignment vertical="center"/>
    </xf>
    <xf numFmtId="37" fontId="83" fillId="2" borderId="0" xfId="2" applyNumberFormat="1" applyFont="1" applyFill="1" applyAlignment="1" applyProtection="1">
      <alignment vertical="center"/>
    </xf>
    <xf numFmtId="164" fontId="84" fillId="2" borderId="0" xfId="2" applyNumberFormat="1" applyFont="1" applyFill="1" applyAlignment="1">
      <alignment horizontal="right" vertical="center"/>
    </xf>
    <xf numFmtId="168" fontId="68" fillId="2" borderId="0" xfId="2" applyNumberFormat="1" applyFont="1" applyFill="1" applyAlignment="1" applyProtection="1">
      <alignment vertical="center"/>
    </xf>
    <xf numFmtId="164" fontId="41" fillId="2" borderId="0" xfId="2" applyNumberFormat="1" applyFont="1" applyFill="1" applyAlignment="1">
      <alignment vertical="center"/>
    </xf>
    <xf numFmtId="0" fontId="85" fillId="2" borderId="0" xfId="0" applyFont="1" applyFill="1" applyBorder="1" applyAlignment="1">
      <alignment vertical="center"/>
    </xf>
    <xf numFmtId="0" fontId="57" fillId="2" borderId="0" xfId="0" applyFont="1" applyFill="1" applyBorder="1" applyAlignment="1">
      <alignment horizontal="left" vertical="center"/>
    </xf>
    <xf numFmtId="0" fontId="42" fillId="2" borderId="0" xfId="0" applyFont="1" applyFill="1" applyBorder="1" applyAlignment="1">
      <alignment horizontal="left" vertical="center"/>
    </xf>
    <xf numFmtId="0" fontId="42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horizontal="left" vertical="center" indent="1"/>
    </xf>
    <xf numFmtId="0" fontId="42" fillId="2" borderId="0" xfId="0" applyFont="1" applyFill="1" applyBorder="1" applyAlignment="1"/>
    <xf numFmtId="164" fontId="60" fillId="2" borderId="0" xfId="2" applyNumberFormat="1" applyFont="1" applyFill="1" applyBorder="1" applyAlignment="1">
      <alignment vertical="center"/>
    </xf>
    <xf numFmtId="164" fontId="17" fillId="2" borderId="0" xfId="2" applyNumberFormat="1" applyFont="1" applyFill="1" applyBorder="1" applyAlignment="1" applyProtection="1">
      <alignment horizontal="center" vertical="center"/>
    </xf>
    <xf numFmtId="164" fontId="17" fillId="2" borderId="4" xfId="2" applyNumberFormat="1" applyFont="1" applyFill="1" applyBorder="1" applyAlignment="1" applyProtection="1">
      <alignment horizontal="center" vertical="center"/>
    </xf>
    <xf numFmtId="164" fontId="26" fillId="2" borderId="24" xfId="2" applyNumberFormat="1" applyFont="1" applyFill="1" applyBorder="1" applyAlignment="1" applyProtection="1">
      <alignment horizontal="center" vertical="center"/>
    </xf>
    <xf numFmtId="169" fontId="26" fillId="2" borderId="4" xfId="2" applyNumberFormat="1" applyFont="1" applyFill="1" applyBorder="1" applyAlignment="1" applyProtection="1">
      <alignment horizontal="center" vertical="center"/>
      <protection hidden="1"/>
    </xf>
    <xf numFmtId="164" fontId="18" fillId="2" borderId="25" xfId="2" applyNumberFormat="1" applyFont="1" applyFill="1" applyBorder="1" applyAlignment="1" applyProtection="1">
      <alignment horizontal="center" vertical="center"/>
      <protection locked="0"/>
    </xf>
    <xf numFmtId="164" fontId="18" fillId="2" borderId="3" xfId="2" applyNumberFormat="1" applyFont="1" applyFill="1" applyBorder="1" applyAlignment="1" applyProtection="1">
      <alignment horizontal="center" vertical="center"/>
      <protection locked="0"/>
    </xf>
    <xf numFmtId="164" fontId="18" fillId="2" borderId="0" xfId="2" applyNumberFormat="1" applyFont="1" applyFill="1" applyBorder="1" applyAlignment="1" applyProtection="1">
      <alignment horizontal="center" vertical="center"/>
      <protection locked="0"/>
    </xf>
    <xf numFmtId="164" fontId="18" fillId="2" borderId="11" xfId="2" applyNumberFormat="1" applyFont="1" applyFill="1" applyBorder="1" applyAlignment="1" applyProtection="1">
      <alignment horizontal="right" vertical="center"/>
    </xf>
    <xf numFmtId="164" fontId="18" fillId="2" borderId="34" xfId="2" applyNumberFormat="1" applyFont="1" applyFill="1" applyBorder="1" applyAlignment="1" applyProtection="1">
      <alignment horizontal="right" vertical="center"/>
    </xf>
    <xf numFmtId="164" fontId="18" fillId="2" borderId="23" xfId="2" applyNumberFormat="1" applyFont="1" applyFill="1" applyBorder="1" applyAlignment="1" applyProtection="1">
      <alignment horizontal="right" vertical="center"/>
    </xf>
    <xf numFmtId="169" fontId="18" fillId="2" borderId="3" xfId="2" applyNumberFormat="1" applyFont="1" applyFill="1" applyBorder="1" applyAlignment="1" applyProtection="1">
      <alignment horizontal="right" vertical="center"/>
      <protection locked="0"/>
    </xf>
    <xf numFmtId="169" fontId="18" fillId="2" borderId="33" xfId="2" applyNumberFormat="1" applyFont="1" applyFill="1" applyBorder="1" applyAlignment="1" applyProtection="1">
      <alignment horizontal="right" vertical="center"/>
      <protection locked="0"/>
    </xf>
    <xf numFmtId="1" fontId="17" fillId="2" borderId="3" xfId="2" applyNumberFormat="1" applyFont="1" applyFill="1" applyBorder="1" applyAlignment="1">
      <alignment vertical="center"/>
    </xf>
    <xf numFmtId="164" fontId="18" fillId="2" borderId="0" xfId="2" applyNumberFormat="1" applyFont="1" applyFill="1" applyAlignment="1" applyProtection="1">
      <alignment horizontal="left" vertical="center"/>
    </xf>
    <xf numFmtId="165" fontId="18" fillId="2" borderId="0" xfId="2" applyNumberFormat="1" applyFont="1" applyFill="1" applyAlignment="1" applyProtection="1">
      <alignment horizontal="right" vertical="center"/>
    </xf>
    <xf numFmtId="165" fontId="18" fillId="2" borderId="0" xfId="2" applyNumberFormat="1" applyFont="1" applyFill="1" applyAlignment="1" applyProtection="1">
      <alignment horizontal="right" vertical="center"/>
      <protection locked="0"/>
    </xf>
    <xf numFmtId="165" fontId="18" fillId="2" borderId="10" xfId="2" applyNumberFormat="1" applyFont="1" applyFill="1" applyBorder="1" applyAlignment="1" applyProtection="1">
      <alignment horizontal="right" vertical="center"/>
      <protection locked="0"/>
    </xf>
    <xf numFmtId="165" fontId="18" fillId="2" borderId="4" xfId="2" applyNumberFormat="1" applyFont="1" applyFill="1" applyBorder="1" applyAlignment="1" applyProtection="1">
      <alignment horizontal="right" vertical="center"/>
      <protection locked="0"/>
    </xf>
    <xf numFmtId="165" fontId="18" fillId="2" borderId="22" xfId="2" applyNumberFormat="1" applyFont="1" applyFill="1" applyBorder="1" applyAlignment="1" applyProtection="1">
      <alignment horizontal="right" vertical="center"/>
      <protection locked="0"/>
    </xf>
    <xf numFmtId="169" fontId="18" fillId="2" borderId="0" xfId="1" applyNumberFormat="1" applyFont="1" applyFill="1" applyBorder="1" applyAlignment="1" applyProtection="1">
      <alignment horizontal="right" vertical="center" indent="2"/>
    </xf>
    <xf numFmtId="164" fontId="16" fillId="2" borderId="0" xfId="2" applyNumberFormat="1" applyFont="1" applyFill="1" applyAlignment="1">
      <alignment horizontal="right" vertical="center"/>
    </xf>
    <xf numFmtId="165" fontId="18" fillId="2" borderId="0" xfId="2" applyNumberFormat="1" applyFont="1" applyFill="1" applyBorder="1" applyAlignment="1" applyProtection="1">
      <alignment horizontal="right" vertical="center"/>
      <protection locked="0"/>
    </xf>
    <xf numFmtId="164" fontId="29" fillId="2" borderId="0" xfId="2" applyNumberFormat="1" applyFont="1" applyFill="1" applyAlignment="1" applyProtection="1">
      <alignment horizontal="left" vertical="center"/>
    </xf>
    <xf numFmtId="164" fontId="29" fillId="2" borderId="0" xfId="2" applyNumberFormat="1" applyFont="1" applyFill="1" applyAlignment="1">
      <alignment horizontal="right" vertical="center"/>
    </xf>
    <xf numFmtId="165" fontId="29" fillId="2" borderId="0" xfId="2" applyNumberFormat="1" applyFont="1" applyFill="1" applyAlignment="1" applyProtection="1">
      <alignment horizontal="right" vertical="center"/>
      <protection locked="0"/>
    </xf>
    <xf numFmtId="165" fontId="29" fillId="2" borderId="10" xfId="2" applyNumberFormat="1" applyFont="1" applyFill="1" applyBorder="1" applyAlignment="1" applyProtection="1">
      <alignment horizontal="right" vertical="center"/>
      <protection locked="0"/>
    </xf>
    <xf numFmtId="165" fontId="29" fillId="2" borderId="0" xfId="2" applyNumberFormat="1" applyFont="1" applyFill="1" applyBorder="1" applyAlignment="1" applyProtection="1">
      <alignment horizontal="right" vertical="center"/>
      <protection locked="0"/>
    </xf>
    <xf numFmtId="165" fontId="29" fillId="2" borderId="22" xfId="2" applyNumberFormat="1" applyFont="1" applyFill="1" applyBorder="1" applyAlignment="1" applyProtection="1">
      <alignment horizontal="right" vertical="center"/>
      <protection locked="0"/>
    </xf>
    <xf numFmtId="169" fontId="29" fillId="2" borderId="0" xfId="1" applyNumberFormat="1" applyFont="1" applyFill="1" applyBorder="1" applyAlignment="1" applyProtection="1">
      <alignment horizontal="right" vertical="center" indent="2"/>
    </xf>
    <xf numFmtId="167" fontId="29" fillId="2" borderId="0" xfId="1" applyNumberFormat="1" applyFont="1" applyFill="1" applyBorder="1" applyAlignment="1" applyProtection="1">
      <alignment horizontal="center" vertical="center"/>
      <protection locked="0"/>
    </xf>
    <xf numFmtId="165" fontId="29" fillId="2" borderId="0" xfId="2" applyNumberFormat="1" applyFont="1" applyFill="1" applyBorder="1" applyAlignment="1" applyProtection="1">
      <alignment horizontal="right" vertical="center"/>
      <protection locked="0"/>
    </xf>
    <xf numFmtId="165" fontId="29" fillId="2" borderId="0" xfId="2" applyNumberFormat="1" applyFont="1" applyFill="1" applyBorder="1" applyAlignment="1" applyProtection="1">
      <alignment horizontal="center" vertical="center"/>
      <protection locked="0"/>
    </xf>
    <xf numFmtId="165" fontId="29" fillId="2" borderId="22" xfId="2" applyNumberFormat="1" applyFont="1" applyFill="1" applyBorder="1" applyAlignment="1" applyProtection="1">
      <alignment vertical="center"/>
      <protection locked="0"/>
    </xf>
    <xf numFmtId="164" fontId="18" fillId="2" borderId="0" xfId="2" applyNumberFormat="1" applyFont="1" applyFill="1" applyAlignment="1">
      <alignment horizontal="right" vertical="center"/>
    </xf>
    <xf numFmtId="164" fontId="29" fillId="2" borderId="0" xfId="2" applyNumberFormat="1" applyFont="1" applyFill="1" applyAlignment="1" applyProtection="1">
      <alignment vertical="center"/>
    </xf>
    <xf numFmtId="164" fontId="65" fillId="2" borderId="0" xfId="2" applyNumberFormat="1" applyFont="1" applyFill="1" applyAlignment="1">
      <alignment horizontal="right" vertical="center"/>
    </xf>
    <xf numFmtId="170" fontId="18" fillId="2" borderId="0" xfId="2" applyNumberFormat="1" applyFont="1" applyFill="1" applyAlignment="1" applyProtection="1">
      <alignment horizontal="right" vertical="center"/>
      <protection locked="0"/>
    </xf>
    <xf numFmtId="41" fontId="71" fillId="2" borderId="10" xfId="3" applyNumberFormat="1" applyFont="1" applyFill="1" applyBorder="1" applyAlignment="1" applyProtection="1">
      <alignment horizontal="right" vertical="center"/>
      <protection locked="0"/>
    </xf>
    <xf numFmtId="41" fontId="71" fillId="2" borderId="0" xfId="3" applyNumberFormat="1" applyFont="1" applyFill="1" applyBorder="1" applyAlignment="1" applyProtection="1">
      <alignment horizontal="right" vertical="center"/>
      <protection locked="0"/>
    </xf>
    <xf numFmtId="41" fontId="71" fillId="2" borderId="22" xfId="3" applyNumberFormat="1" applyFont="1" applyFill="1" applyBorder="1" applyAlignment="1" applyProtection="1">
      <alignment horizontal="right" vertical="center"/>
      <protection locked="0"/>
    </xf>
    <xf numFmtId="164" fontId="86" fillId="2" borderId="0" xfId="2" applyNumberFormat="1" applyFont="1" applyFill="1" applyAlignment="1">
      <alignment horizontal="right" vertical="center"/>
    </xf>
    <xf numFmtId="164" fontId="29" fillId="2" borderId="0" xfId="2" applyNumberFormat="1" applyFont="1" applyFill="1" applyBorder="1" applyAlignment="1" applyProtection="1">
      <alignment horizontal="left" vertical="center"/>
    </xf>
    <xf numFmtId="165" fontId="29" fillId="2" borderId="0" xfId="2" applyNumberFormat="1" applyFont="1" applyFill="1" applyBorder="1" applyAlignment="1" applyProtection="1">
      <alignment horizontal="right" vertical="center"/>
    </xf>
    <xf numFmtId="165" fontId="29" fillId="2" borderId="3" xfId="2" applyNumberFormat="1" applyFont="1" applyFill="1" applyBorder="1" applyAlignment="1" applyProtection="1">
      <alignment horizontal="right" vertical="center"/>
      <protection locked="0"/>
    </xf>
    <xf numFmtId="165" fontId="18" fillId="2" borderId="11" xfId="2" applyNumberFormat="1" applyFont="1" applyFill="1" applyBorder="1" applyAlignment="1" applyProtection="1">
      <alignment horizontal="right" vertical="center"/>
      <protection locked="0"/>
    </xf>
    <xf numFmtId="165" fontId="18" fillId="2" borderId="3" xfId="2" applyNumberFormat="1" applyFont="1" applyFill="1" applyBorder="1" applyAlignment="1" applyProtection="1">
      <alignment horizontal="right" vertical="center"/>
      <protection locked="0"/>
    </xf>
    <xf numFmtId="165" fontId="18" fillId="2" borderId="23" xfId="2" applyNumberFormat="1" applyFont="1" applyFill="1" applyBorder="1" applyAlignment="1" applyProtection="1">
      <alignment horizontal="right" vertical="center"/>
      <protection locked="0"/>
    </xf>
    <xf numFmtId="169" fontId="29" fillId="2" borderId="3" xfId="1" applyNumberFormat="1" applyFont="1" applyFill="1" applyBorder="1" applyAlignment="1" applyProtection="1">
      <alignment horizontal="right" vertical="center" indent="2"/>
    </xf>
    <xf numFmtId="165" fontId="18" fillId="2" borderId="3" xfId="2" applyNumberFormat="1" applyFont="1" applyFill="1" applyBorder="1" applyAlignment="1" applyProtection="1">
      <alignment horizontal="right" vertical="center" indent="2"/>
      <protection locked="0"/>
    </xf>
    <xf numFmtId="164" fontId="57" fillId="2" borderId="0" xfId="2" applyNumberFormat="1" applyFont="1" applyFill="1" applyAlignment="1" applyProtection="1">
      <alignment horizontal="left"/>
    </xf>
    <xf numFmtId="169" fontId="29" fillId="2" borderId="0" xfId="2" applyNumberFormat="1" applyFont="1" applyFill="1" applyAlignment="1" applyProtection="1">
      <alignment horizontal="right" vertical="center"/>
    </xf>
    <xf numFmtId="169" fontId="68" fillId="2" borderId="0" xfId="2" applyNumberFormat="1" applyFont="1" applyFill="1" applyAlignment="1">
      <alignment horizontal="right" vertical="center"/>
    </xf>
    <xf numFmtId="1" fontId="68" fillId="2" borderId="0" xfId="2" applyNumberFormat="1" applyFont="1" applyFill="1" applyAlignment="1">
      <alignment vertical="center"/>
    </xf>
    <xf numFmtId="169" fontId="60" fillId="2" borderId="0" xfId="2" applyNumberFormat="1" applyFont="1" applyFill="1" applyAlignment="1">
      <alignment horizontal="right" vertical="center"/>
    </xf>
    <xf numFmtId="1" fontId="60" fillId="2" borderId="0" xfId="2" applyNumberFormat="1" applyFont="1" applyFill="1" applyAlignment="1">
      <alignment vertical="center"/>
    </xf>
    <xf numFmtId="164" fontId="88" fillId="2" borderId="0" xfId="2" applyNumberFormat="1" applyFont="1" applyFill="1" applyAlignment="1">
      <alignment vertical="center" wrapText="1"/>
    </xf>
    <xf numFmtId="164" fontId="63" fillId="2" borderId="4" xfId="2" applyNumberFormat="1" applyFont="1" applyFill="1" applyBorder="1" applyAlignment="1">
      <alignment vertical="center"/>
    </xf>
    <xf numFmtId="164" fontId="62" fillId="2" borderId="0" xfId="2" applyNumberFormat="1" applyFont="1" applyFill="1" applyBorder="1" applyAlignment="1"/>
    <xf numFmtId="164" fontId="62" fillId="2" borderId="0" xfId="2" applyNumberFormat="1" applyFont="1" applyFill="1" applyBorder="1" applyAlignment="1">
      <alignment horizontal="center"/>
    </xf>
    <xf numFmtId="164" fontId="63" fillId="2" borderId="0" xfId="2" applyNumberFormat="1" applyFont="1" applyFill="1" applyBorder="1" applyAlignment="1">
      <alignment vertical="center"/>
    </xf>
    <xf numFmtId="164" fontId="18" fillId="2" borderId="0" xfId="2" applyNumberFormat="1" applyFont="1" applyFill="1" applyBorder="1" applyAlignment="1" applyProtection="1">
      <alignment horizontal="left" vertical="center"/>
    </xf>
    <xf numFmtId="164" fontId="17" fillId="2" borderId="0" xfId="2" applyNumberFormat="1" applyFont="1" applyFill="1" applyBorder="1" applyAlignment="1" applyProtection="1">
      <alignment horizontal="right" vertical="center"/>
      <protection locked="0"/>
    </xf>
    <xf numFmtId="164" fontId="63" fillId="2" borderId="0" xfId="2" applyNumberFormat="1" applyFont="1" applyFill="1" applyBorder="1" applyAlignment="1" applyProtection="1">
      <alignment horizontal="center" vertical="center"/>
      <protection locked="0"/>
    </xf>
    <xf numFmtId="164" fontId="63" fillId="2" borderId="10" xfId="2" applyNumberFormat="1" applyFont="1" applyFill="1" applyBorder="1" applyAlignment="1" applyProtection="1">
      <alignment horizontal="right" vertical="center"/>
      <protection locked="0"/>
    </xf>
    <xf numFmtId="164" fontId="63" fillId="2" borderId="36" xfId="2" applyNumberFormat="1" applyFont="1" applyFill="1" applyBorder="1" applyAlignment="1" applyProtection="1">
      <alignment horizontal="right" vertical="center"/>
      <protection locked="0"/>
    </xf>
    <xf numFmtId="164" fontId="63" fillId="2" borderId="0" xfId="2" applyNumberFormat="1" applyFont="1" applyFill="1" applyBorder="1" applyAlignment="1" applyProtection="1">
      <alignment horizontal="right" vertical="center"/>
      <protection locked="0"/>
    </xf>
    <xf numFmtId="164" fontId="63" fillId="2" borderId="31" xfId="2" applyNumberFormat="1" applyFont="1" applyFill="1" applyBorder="1" applyAlignment="1" applyProtection="1">
      <alignment horizontal="right" vertical="center"/>
      <protection locked="0"/>
    </xf>
    <xf numFmtId="164" fontId="18" fillId="2" borderId="3" xfId="2" applyNumberFormat="1" applyFont="1" applyFill="1" applyBorder="1" applyAlignment="1" applyProtection="1">
      <alignment horizontal="left" vertical="center"/>
    </xf>
    <xf numFmtId="164" fontId="18" fillId="2" borderId="11" xfId="2" applyNumberFormat="1" applyFont="1" applyFill="1" applyBorder="1" applyAlignment="1">
      <alignment horizontal="right" vertical="center"/>
    </xf>
    <xf numFmtId="164" fontId="18" fillId="2" borderId="23" xfId="2" applyNumberFormat="1" applyFont="1" applyFill="1" applyBorder="1" applyAlignment="1">
      <alignment horizontal="right" vertical="center"/>
    </xf>
    <xf numFmtId="169" fontId="18" fillId="2" borderId="37" xfId="2" applyNumberFormat="1" applyFont="1" applyFill="1" applyBorder="1" applyAlignment="1">
      <alignment horizontal="right" vertical="center"/>
    </xf>
    <xf numFmtId="169" fontId="18" fillId="2" borderId="33" xfId="2" applyNumberFormat="1" applyFont="1" applyFill="1" applyBorder="1" applyAlignment="1">
      <alignment horizontal="right" vertical="center"/>
    </xf>
    <xf numFmtId="164" fontId="90" fillId="2" borderId="3" xfId="2" applyNumberFormat="1" applyFont="1" applyFill="1" applyBorder="1" applyAlignment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3" fontId="13" fillId="2" borderId="4" xfId="2" applyNumberFormat="1" applyFont="1" applyFill="1" applyBorder="1" applyAlignment="1" applyProtection="1">
      <alignment horizontal="right" vertical="center"/>
    </xf>
    <xf numFmtId="165" fontId="13" fillId="2" borderId="4" xfId="2" applyNumberFormat="1" applyFont="1" applyFill="1" applyBorder="1" applyAlignment="1" applyProtection="1">
      <alignment horizontal="right" vertical="center"/>
    </xf>
    <xf numFmtId="165" fontId="13" fillId="2" borderId="12" xfId="2" applyNumberFormat="1" applyFont="1" applyFill="1" applyBorder="1" applyAlignment="1" applyProtection="1">
      <alignment horizontal="right" vertical="center"/>
    </xf>
    <xf numFmtId="165" fontId="13" fillId="2" borderId="24" xfId="2" applyNumberFormat="1" applyFont="1" applyFill="1" applyBorder="1" applyAlignment="1" applyProtection="1">
      <alignment horizontal="right" vertical="center"/>
    </xf>
    <xf numFmtId="169" fontId="13" fillId="2" borderId="4" xfId="2" applyNumberFormat="1" applyFont="1" applyFill="1" applyBorder="1" applyAlignment="1" applyProtection="1">
      <alignment horizontal="right" vertical="center"/>
    </xf>
    <xf numFmtId="169" fontId="13" fillId="2" borderId="24" xfId="2" applyNumberFormat="1" applyFont="1" applyFill="1" applyBorder="1" applyAlignment="1" applyProtection="1">
      <alignment horizontal="right" vertical="center"/>
    </xf>
    <xf numFmtId="169" fontId="13" fillId="2" borderId="0" xfId="2" applyNumberFormat="1" applyFont="1" applyFill="1" applyBorder="1" applyAlignment="1" applyProtection="1">
      <alignment horizontal="right" vertical="center"/>
      <protection locked="0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165" fontId="13" fillId="2" borderId="10" xfId="2" applyNumberFormat="1" applyFont="1" applyFill="1" applyBorder="1" applyAlignment="1" applyProtection="1">
      <alignment horizontal="right" vertical="center"/>
      <protection locked="0"/>
    </xf>
    <xf numFmtId="165" fontId="13" fillId="2" borderId="22" xfId="2" applyNumberFormat="1" applyFont="1" applyFill="1" applyBorder="1" applyAlignment="1" applyProtection="1">
      <alignment horizontal="right" vertical="center"/>
      <protection locked="0"/>
    </xf>
    <xf numFmtId="169" fontId="13" fillId="2" borderId="0" xfId="2" applyNumberFormat="1" applyFont="1" applyFill="1" applyBorder="1" applyAlignment="1" applyProtection="1">
      <alignment vertical="center"/>
      <protection locked="0"/>
    </xf>
    <xf numFmtId="169" fontId="13" fillId="2" borderId="22" xfId="2" applyNumberFormat="1" applyFont="1" applyFill="1" applyBorder="1" applyAlignment="1" applyProtection="1">
      <alignment vertical="center"/>
      <protection locked="0"/>
    </xf>
    <xf numFmtId="164" fontId="22" fillId="2" borderId="0" xfId="2" applyNumberFormat="1" applyFont="1" applyFill="1" applyAlignment="1" applyProtection="1">
      <alignment horizontal="left" vertical="center"/>
    </xf>
    <xf numFmtId="3" fontId="22" fillId="2" borderId="0" xfId="2" applyNumberFormat="1" applyFont="1" applyFill="1" applyBorder="1" applyAlignment="1" applyProtection="1">
      <alignment horizontal="right" vertical="center"/>
      <protection locked="0"/>
    </xf>
    <xf numFmtId="165" fontId="22" fillId="2" borderId="10" xfId="2" applyNumberFormat="1" applyFont="1" applyFill="1" applyBorder="1" applyAlignment="1" applyProtection="1">
      <alignment horizontal="right" vertical="center"/>
      <protection locked="0"/>
    </xf>
    <xf numFmtId="165" fontId="22" fillId="2" borderId="22" xfId="2" applyNumberFormat="1" applyFont="1" applyFill="1" applyBorder="1" applyAlignment="1" applyProtection="1">
      <alignment horizontal="right" vertical="center"/>
      <protection locked="0"/>
    </xf>
    <xf numFmtId="169" fontId="22" fillId="2" borderId="0" xfId="2" applyNumberFormat="1" applyFont="1" applyFill="1" applyBorder="1" applyAlignment="1" applyProtection="1">
      <alignment vertical="center"/>
      <protection locked="0"/>
    </xf>
    <xf numFmtId="169" fontId="22" fillId="2" borderId="22" xfId="2" applyNumberFormat="1" applyFont="1" applyFill="1" applyBorder="1" applyAlignment="1" applyProtection="1">
      <alignment vertical="center"/>
      <protection locked="0"/>
    </xf>
    <xf numFmtId="169" fontId="22" fillId="2" borderId="0" xfId="2" applyNumberFormat="1" applyFont="1" applyFill="1" applyBorder="1" applyAlignment="1" applyProtection="1">
      <alignment horizontal="right" vertical="center"/>
      <protection locked="0"/>
    </xf>
    <xf numFmtId="164" fontId="64" fillId="2" borderId="0" xfId="2" applyNumberFormat="1" applyFont="1" applyFill="1" applyAlignment="1">
      <alignment horizontal="right" vertical="center" indent="3"/>
    </xf>
    <xf numFmtId="3" fontId="22" fillId="2" borderId="0" xfId="2" applyNumberFormat="1" applyFont="1" applyFill="1" applyBorder="1" applyAlignment="1">
      <alignment vertical="center"/>
    </xf>
    <xf numFmtId="164" fontId="41" fillId="2" borderId="0" xfId="2" applyNumberFormat="1" applyFont="1" applyFill="1" applyAlignment="1">
      <alignment horizontal="right" vertical="center"/>
    </xf>
    <xf numFmtId="3" fontId="22" fillId="2" borderId="0" xfId="2" applyNumberFormat="1" applyFont="1" applyFill="1" applyBorder="1" applyAlignment="1" applyProtection="1">
      <alignment horizontal="right" vertical="center"/>
    </xf>
    <xf numFmtId="164" fontId="22" fillId="2" borderId="3" xfId="2" applyNumberFormat="1" applyFont="1" applyFill="1" applyBorder="1" applyAlignment="1" applyProtection="1">
      <alignment horizontal="left" vertical="center"/>
    </xf>
    <xf numFmtId="3" fontId="22" fillId="2" borderId="3" xfId="2" applyNumberFormat="1" applyFont="1" applyFill="1" applyBorder="1" applyAlignment="1" applyProtection="1">
      <alignment horizontal="center" vertical="center"/>
      <protection locked="0"/>
    </xf>
    <xf numFmtId="3" fontId="22" fillId="2" borderId="3" xfId="2" applyNumberFormat="1" applyFont="1" applyFill="1" applyBorder="1" applyAlignment="1" applyProtection="1">
      <alignment horizontal="right" vertical="center"/>
      <protection locked="0"/>
    </xf>
    <xf numFmtId="165" fontId="22" fillId="2" borderId="3" xfId="2" applyNumberFormat="1" applyFont="1" applyFill="1" applyBorder="1" applyAlignment="1" applyProtection="1">
      <alignment horizontal="right" vertical="center"/>
      <protection locked="0"/>
    </xf>
    <xf numFmtId="165" fontId="22" fillId="2" borderId="11" xfId="2" applyNumberFormat="1" applyFont="1" applyFill="1" applyBorder="1" applyAlignment="1" applyProtection="1">
      <alignment horizontal="right" vertical="center"/>
      <protection locked="0"/>
    </xf>
    <xf numFmtId="165" fontId="22" fillId="2" borderId="23" xfId="2" applyNumberFormat="1" applyFont="1" applyFill="1" applyBorder="1" applyAlignment="1" applyProtection="1">
      <alignment horizontal="right" vertical="center"/>
      <protection locked="0"/>
    </xf>
    <xf numFmtId="169" fontId="22" fillId="2" borderId="3" xfId="2" applyNumberFormat="1" applyFont="1" applyFill="1" applyBorder="1" applyAlignment="1" applyProtection="1">
      <alignment vertical="center"/>
      <protection locked="0"/>
    </xf>
    <xf numFmtId="169" fontId="22" fillId="2" borderId="23" xfId="2" applyNumberFormat="1" applyFont="1" applyFill="1" applyBorder="1" applyAlignment="1" applyProtection="1">
      <alignment vertical="center"/>
      <protection locked="0"/>
    </xf>
    <xf numFmtId="169" fontId="22" fillId="2" borderId="3" xfId="2" applyNumberFormat="1" applyFont="1" applyFill="1" applyBorder="1" applyAlignment="1" applyProtection="1">
      <alignment horizontal="right" vertical="center"/>
      <protection locked="0"/>
    </xf>
    <xf numFmtId="164" fontId="41" fillId="2" borderId="3" xfId="2" applyNumberFormat="1" applyFont="1" applyFill="1" applyBorder="1" applyAlignment="1">
      <alignment horizontal="right" vertical="center"/>
    </xf>
    <xf numFmtId="37" fontId="29" fillId="2" borderId="0" xfId="2" applyNumberFormat="1" applyFont="1" applyFill="1" applyAlignment="1" applyProtection="1">
      <alignment horizontal="center" vertical="center"/>
    </xf>
    <xf numFmtId="169" fontId="29" fillId="2" borderId="0" xfId="2" applyNumberFormat="1" applyFont="1" applyFill="1" applyAlignment="1" applyProtection="1">
      <alignment horizontal="center" vertical="center"/>
    </xf>
    <xf numFmtId="169" fontId="60" fillId="2" borderId="0" xfId="2" applyNumberFormat="1" applyFont="1" applyFill="1" applyAlignment="1">
      <alignment horizontal="center" vertical="center"/>
    </xf>
    <xf numFmtId="165" fontId="17" fillId="2" borderId="0" xfId="2" applyNumberFormat="1" applyFont="1" applyFill="1" applyAlignment="1" applyProtection="1">
      <alignment horizontal="right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4" fontId="61" fillId="2" borderId="0" xfId="2" applyNumberFormat="1" applyFont="1" applyFill="1" applyBorder="1" applyAlignment="1" applyProtection="1">
      <alignment horizontal="center" vertical="center"/>
    </xf>
    <xf numFmtId="164" fontId="16" fillId="2" borderId="0" xfId="2" applyNumberFormat="1" applyFont="1" applyFill="1" applyBorder="1" applyAlignment="1"/>
    <xf numFmtId="164" fontId="16" fillId="2" borderId="4" xfId="2" applyNumberFormat="1" applyFont="1" applyFill="1" applyBorder="1" applyAlignment="1">
      <alignment horizontal="center"/>
    </xf>
    <xf numFmtId="0" fontId="25" fillId="2" borderId="4" xfId="2" applyFont="1" applyFill="1" applyBorder="1" applyAlignment="1" applyProtection="1">
      <alignment horizontal="center" vertical="center"/>
    </xf>
    <xf numFmtId="164" fontId="17" fillId="2" borderId="0" xfId="2" applyNumberFormat="1" applyFont="1" applyFill="1" applyBorder="1" applyAlignment="1" applyProtection="1">
      <alignment horizontal="left" vertical="center"/>
    </xf>
    <xf numFmtId="164" fontId="17" fillId="2" borderId="0" xfId="2" applyNumberFormat="1" applyFont="1" applyFill="1" applyBorder="1" applyAlignment="1">
      <alignment horizontal="right"/>
    </xf>
    <xf numFmtId="164" fontId="13" fillId="2" borderId="28" xfId="2" applyNumberFormat="1" applyFont="1" applyFill="1" applyBorder="1" applyAlignment="1" applyProtection="1">
      <alignment horizontal="center" vertical="center"/>
      <protection locked="0"/>
    </xf>
    <xf numFmtId="1" fontId="18" fillId="2" borderId="3" xfId="2" applyNumberFormat="1" applyFont="1" applyFill="1" applyBorder="1" applyAlignment="1" applyProtection="1">
      <alignment horizontal="right" vertical="center"/>
    </xf>
    <xf numFmtId="1" fontId="18" fillId="2" borderId="7" xfId="2" applyNumberFormat="1" applyFont="1" applyFill="1" applyBorder="1" applyAlignment="1" applyProtection="1">
      <alignment horizontal="right" vertical="center"/>
    </xf>
    <xf numFmtId="1" fontId="18" fillId="2" borderId="8" xfId="2" applyNumberFormat="1" applyFont="1" applyFill="1" applyBorder="1" applyAlignment="1" applyProtection="1">
      <alignment horizontal="right" vertical="center"/>
    </xf>
    <xf numFmtId="1" fontId="18" fillId="2" borderId="3" xfId="2" applyNumberFormat="1" applyFont="1" applyFill="1" applyBorder="1" applyAlignment="1" applyProtection="1">
      <alignment horizontal="center" vertical="center"/>
    </xf>
    <xf numFmtId="1" fontId="18" fillId="2" borderId="3" xfId="2" applyNumberFormat="1" applyFont="1" applyFill="1" applyBorder="1" applyAlignment="1">
      <alignment horizontal="right" vertical="center"/>
    </xf>
    <xf numFmtId="1" fontId="18" fillId="2" borderId="0" xfId="2" applyNumberFormat="1" applyFont="1" applyFill="1" applyAlignment="1">
      <alignment horizontal="right" vertical="center"/>
    </xf>
    <xf numFmtId="165" fontId="18" fillId="2" borderId="0" xfId="2" applyNumberFormat="1" applyFont="1" applyFill="1" applyAlignment="1">
      <alignment horizontal="right" vertical="center"/>
    </xf>
    <xf numFmtId="165" fontId="18" fillId="2" borderId="29" xfId="2" applyNumberFormat="1" applyFont="1" applyFill="1" applyBorder="1" applyAlignment="1">
      <alignment horizontal="right" vertical="center"/>
    </xf>
    <xf numFmtId="165" fontId="18" fillId="2" borderId="4" xfId="2" applyNumberFormat="1" applyFont="1" applyFill="1" applyBorder="1" applyAlignment="1">
      <alignment horizontal="right" vertical="center"/>
    </xf>
    <xf numFmtId="165" fontId="18" fillId="2" borderId="5" xfId="2" applyNumberFormat="1" applyFont="1" applyFill="1" applyBorder="1" applyAlignment="1">
      <alignment horizontal="right" vertical="center"/>
    </xf>
    <xf numFmtId="165" fontId="18" fillId="2" borderId="0" xfId="2" applyNumberFormat="1" applyFont="1" applyFill="1" applyBorder="1" applyAlignment="1">
      <alignment horizontal="right" vertical="center"/>
    </xf>
    <xf numFmtId="165" fontId="18" fillId="2" borderId="0" xfId="2" applyNumberFormat="1" applyFont="1" applyFill="1" applyAlignment="1">
      <alignment horizontal="right" vertical="center" indent="3"/>
    </xf>
    <xf numFmtId="165" fontId="18" fillId="2" borderId="0" xfId="2" applyNumberFormat="1" applyFont="1" applyFill="1" applyBorder="1" applyAlignment="1">
      <alignment horizontal="right" vertical="center" indent="3"/>
    </xf>
    <xf numFmtId="165" fontId="18" fillId="2" borderId="6" xfId="2" applyNumberFormat="1" applyFont="1" applyFill="1" applyBorder="1" applyAlignment="1">
      <alignment horizontal="right" vertical="center"/>
    </xf>
    <xf numFmtId="165" fontId="29" fillId="2" borderId="0" xfId="2" applyNumberFormat="1" applyFont="1" applyFill="1" applyAlignment="1">
      <alignment horizontal="right" vertical="center"/>
    </xf>
    <xf numFmtId="165" fontId="29" fillId="2" borderId="29" xfId="2" applyNumberFormat="1" applyFont="1" applyFill="1" applyBorder="1" applyAlignment="1" applyProtection="1">
      <alignment horizontal="right" vertical="center"/>
    </xf>
    <xf numFmtId="165" fontId="29" fillId="2" borderId="0" xfId="2" applyNumberFormat="1" applyFont="1" applyFill="1" applyBorder="1" applyAlignment="1">
      <alignment horizontal="right" vertical="center"/>
    </xf>
    <xf numFmtId="165" fontId="29" fillId="2" borderId="0" xfId="2" applyNumberFormat="1" applyFont="1" applyFill="1" applyAlignment="1">
      <alignment horizontal="right" vertical="center" indent="3"/>
    </xf>
    <xf numFmtId="165" fontId="29" fillId="2" borderId="29" xfId="2" applyNumberFormat="1" applyFont="1" applyFill="1" applyBorder="1" applyAlignment="1">
      <alignment horizontal="right" vertical="center"/>
    </xf>
    <xf numFmtId="165" fontId="29" fillId="2" borderId="0" xfId="2" applyNumberFormat="1" applyFont="1" applyFill="1" applyBorder="1" applyAlignment="1">
      <alignment horizontal="right" vertical="center" indent="3"/>
    </xf>
    <xf numFmtId="37" fontId="71" fillId="2" borderId="0" xfId="3" applyNumberFormat="1" applyFont="1" applyFill="1" applyBorder="1" applyAlignment="1" applyProtection="1">
      <alignment horizontal="center" vertical="center"/>
      <protection locked="0"/>
    </xf>
    <xf numFmtId="164" fontId="41" fillId="2" borderId="0" xfId="2" applyNumberFormat="1" applyFont="1" applyFill="1" applyAlignment="1">
      <alignment horizontal="right" vertical="center" indent="4"/>
    </xf>
    <xf numFmtId="41" fontId="71" fillId="2" borderId="29" xfId="3" applyNumberFormat="1" applyFont="1" applyFill="1" applyBorder="1" applyAlignment="1" applyProtection="1">
      <alignment horizontal="right" vertical="center"/>
      <protection locked="0"/>
    </xf>
    <xf numFmtId="165" fontId="29" fillId="2" borderId="0" xfId="2" applyNumberFormat="1" applyFont="1" applyFill="1" applyAlignment="1" applyProtection="1">
      <alignment horizontal="right" vertical="center"/>
    </xf>
    <xf numFmtId="169" fontId="29" fillId="2" borderId="0" xfId="2" applyNumberFormat="1" applyFont="1" applyFill="1" applyBorder="1" applyAlignment="1" applyProtection="1">
      <alignment horizontal="right" vertical="center"/>
      <protection locked="0"/>
    </xf>
    <xf numFmtId="169" fontId="29" fillId="2" borderId="0" xfId="2" applyNumberFormat="1" applyFont="1" applyFill="1" applyAlignment="1">
      <alignment vertical="center"/>
    </xf>
    <xf numFmtId="164" fontId="64" fillId="2" borderId="0" xfId="2" applyNumberFormat="1" applyFont="1" applyFill="1" applyBorder="1" applyAlignment="1">
      <alignment horizontal="right" vertical="center"/>
    </xf>
    <xf numFmtId="169" fontId="29" fillId="2" borderId="3" xfId="2" applyNumberFormat="1" applyFont="1" applyFill="1" applyBorder="1" applyAlignment="1" applyProtection="1">
      <alignment horizontal="right" vertical="center"/>
      <protection locked="0"/>
    </xf>
    <xf numFmtId="41" fontId="71" fillId="2" borderId="7" xfId="3" applyNumberFormat="1" applyFont="1" applyFill="1" applyBorder="1" applyAlignment="1" applyProtection="1">
      <alignment horizontal="right" vertical="center"/>
      <protection locked="0"/>
    </xf>
    <xf numFmtId="165" fontId="18" fillId="2" borderId="8" xfId="2" applyNumberFormat="1" applyFont="1" applyFill="1" applyBorder="1" applyAlignment="1">
      <alignment horizontal="right" vertical="center"/>
    </xf>
    <xf numFmtId="37" fontId="71" fillId="2" borderId="3" xfId="3" applyNumberFormat="1" applyFont="1" applyFill="1" applyBorder="1" applyAlignment="1" applyProtection="1">
      <alignment horizontal="center" vertical="center"/>
      <protection locked="0"/>
    </xf>
    <xf numFmtId="165" fontId="18" fillId="2" borderId="3" xfId="2" applyNumberFormat="1" applyFont="1" applyFill="1" applyBorder="1" applyAlignment="1">
      <alignment horizontal="right" vertical="center" indent="3"/>
    </xf>
    <xf numFmtId="164" fontId="29" fillId="2" borderId="0" xfId="2" applyNumberFormat="1" applyFont="1" applyFill="1" applyAlignment="1">
      <alignment horizontal="center" vertical="center"/>
    </xf>
    <xf numFmtId="164" fontId="22" fillId="2" borderId="0" xfId="6" applyNumberFormat="1" applyFont="1" applyFill="1" applyAlignment="1">
      <alignment vertical="center"/>
    </xf>
    <xf numFmtId="164" fontId="13" fillId="2" borderId="0" xfId="6" applyNumberFormat="1" applyFont="1" applyFill="1" applyAlignment="1">
      <alignment vertical="center"/>
    </xf>
    <xf numFmtId="164" fontId="13" fillId="2" borderId="4" xfId="6" applyNumberFormat="1" applyFont="1" applyFill="1" applyBorder="1" applyAlignment="1">
      <alignment vertical="center"/>
    </xf>
    <xf numFmtId="164" fontId="13" fillId="2" borderId="4" xfId="6" applyNumberFormat="1" applyFont="1" applyFill="1" applyBorder="1" applyAlignment="1" applyProtection="1">
      <alignment horizontal="right" vertical="center"/>
      <protection locked="0"/>
    </xf>
    <xf numFmtId="164" fontId="13" fillId="2" borderId="3" xfId="6" applyNumberFormat="1" applyFont="1" applyFill="1" applyBorder="1" applyAlignment="1" applyProtection="1">
      <alignment horizontal="right"/>
    </xf>
    <xf numFmtId="164" fontId="22" fillId="2" borderId="0" xfId="6" applyNumberFormat="1" applyFont="1" applyFill="1" applyBorder="1" applyAlignment="1">
      <alignment vertical="center"/>
    </xf>
    <xf numFmtId="164" fontId="13" fillId="2" borderId="0" xfId="6" applyNumberFormat="1" applyFont="1" applyFill="1" applyBorder="1" applyAlignment="1" applyProtection="1">
      <alignment horizontal="left" vertical="center"/>
    </xf>
    <xf numFmtId="167" fontId="22" fillId="2" borderId="0" xfId="1" applyNumberFormat="1" applyFont="1" applyFill="1" applyAlignment="1">
      <alignment horizontal="right" vertical="center"/>
    </xf>
    <xf numFmtId="164" fontId="13" fillId="2" borderId="0" xfId="6" applyNumberFormat="1" applyFont="1" applyFill="1" applyAlignment="1" applyProtection="1">
      <alignment horizontal="left" vertical="center"/>
    </xf>
    <xf numFmtId="167" fontId="13" fillId="2" borderId="0" xfId="1" applyNumberFormat="1" applyFont="1" applyFill="1" applyBorder="1" applyAlignment="1" applyProtection="1">
      <alignment horizontal="right"/>
    </xf>
    <xf numFmtId="0" fontId="91" fillId="2" borderId="0" xfId="0" applyFont="1" applyFill="1" applyBorder="1" applyAlignment="1">
      <alignment horizontal="left" vertical="center"/>
    </xf>
    <xf numFmtId="167" fontId="13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Border="1" applyAlignment="1">
      <alignment horizontal="right" vertical="center"/>
    </xf>
    <xf numFmtId="169" fontId="13" fillId="2" borderId="0" xfId="0" applyNumberFormat="1" applyFont="1" applyFill="1" applyAlignment="1">
      <alignment horizontal="left" indent="1"/>
    </xf>
    <xf numFmtId="0" fontId="22" fillId="2" borderId="0" xfId="0" applyFont="1" applyFill="1" applyBorder="1" applyAlignment="1">
      <alignment horizontal="left" vertical="center"/>
    </xf>
    <xf numFmtId="167" fontId="1" fillId="2" borderId="0" xfId="1" applyNumberFormat="1" applyFont="1" applyFill="1" applyBorder="1" applyAlignment="1">
      <alignment horizontal="right" vertical="center"/>
    </xf>
    <xf numFmtId="169" fontId="22" fillId="2" borderId="0" xfId="0" applyNumberFormat="1" applyFont="1" applyFill="1" applyAlignment="1">
      <alignment horizontal="left" indent="1"/>
    </xf>
    <xf numFmtId="0" fontId="22" fillId="2" borderId="0" xfId="0" applyFont="1" applyFill="1" applyAlignment="1">
      <alignment horizontal="left" vertical="center"/>
    </xf>
    <xf numFmtId="167" fontId="22" fillId="2" borderId="0" xfId="1" applyNumberFormat="1" applyFont="1" applyFill="1" applyAlignment="1">
      <alignment horizontal="center" vertical="center"/>
    </xf>
    <xf numFmtId="167" fontId="1" fillId="2" borderId="0" xfId="1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167" fontId="13" fillId="2" borderId="0" xfId="1" applyNumberFormat="1" applyFont="1" applyFill="1" applyAlignment="1">
      <alignment vertical="center"/>
    </xf>
    <xf numFmtId="0" fontId="22" fillId="2" borderId="35" xfId="0" applyFont="1" applyFill="1" applyBorder="1" applyAlignment="1">
      <alignment horizontal="left" vertical="center"/>
    </xf>
    <xf numFmtId="167" fontId="22" fillId="2" borderId="35" xfId="1" applyNumberFormat="1" applyFont="1" applyFill="1" applyBorder="1" applyAlignment="1">
      <alignment horizontal="right" vertical="center"/>
    </xf>
    <xf numFmtId="167" fontId="22" fillId="2" borderId="0" xfId="1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left" vertical="center"/>
    </xf>
    <xf numFmtId="167" fontId="22" fillId="2" borderId="3" xfId="1" applyNumberFormat="1" applyFont="1" applyFill="1" applyBorder="1" applyAlignment="1">
      <alignment horizontal="right" vertical="center"/>
    </xf>
    <xf numFmtId="43" fontId="22" fillId="2" borderId="0" xfId="1" applyNumberFormat="1" applyFont="1" applyFill="1" applyBorder="1" applyAlignment="1">
      <alignment horizontal="right" vertical="center"/>
    </xf>
    <xf numFmtId="164" fontId="22" fillId="2" borderId="0" xfId="6" applyNumberFormat="1" applyFont="1" applyFill="1" applyAlignment="1">
      <alignment horizontal="left" vertical="center"/>
    </xf>
    <xf numFmtId="43" fontId="22" fillId="2" borderId="0" xfId="1" applyNumberFormat="1" applyFont="1" applyFill="1" applyAlignment="1">
      <alignment horizontal="right" vertical="center"/>
    </xf>
    <xf numFmtId="169" fontId="22" fillId="2" borderId="0" xfId="6" applyNumberFormat="1" applyFont="1" applyFill="1" applyAlignment="1">
      <alignment horizontal="left" vertical="center"/>
    </xf>
    <xf numFmtId="164" fontId="22" fillId="2" borderId="0" xfId="6" applyNumberFormat="1" applyFont="1" applyFill="1" applyAlignment="1">
      <alignment horizontal="right" vertical="center"/>
    </xf>
    <xf numFmtId="164" fontId="13" fillId="2" borderId="0" xfId="6" applyNumberFormat="1" applyFont="1" applyFill="1" applyBorder="1" applyAlignment="1" applyProtection="1">
      <alignment horizontal="center" vertical="center"/>
    </xf>
    <xf numFmtId="165" fontId="13" fillId="2" borderId="4" xfId="6" applyNumberFormat="1" applyFont="1" applyFill="1" applyBorder="1" applyAlignment="1" applyProtection="1">
      <alignment horizontal="right" vertical="center"/>
    </xf>
    <xf numFmtId="2" fontId="13" fillId="2" borderId="0" xfId="6" applyNumberFormat="1" applyFont="1" applyFill="1" applyAlignment="1">
      <alignment horizontal="left"/>
    </xf>
    <xf numFmtId="167" fontId="13" fillId="2" borderId="0" xfId="1" applyNumberFormat="1" applyFont="1" applyFill="1" applyBorder="1" applyAlignment="1" applyProtection="1">
      <alignment horizontal="right" vertical="center"/>
    </xf>
    <xf numFmtId="2" fontId="22" fillId="2" borderId="0" xfId="6" applyNumberFormat="1" applyFont="1" applyFill="1" applyAlignment="1">
      <alignment horizontal="left"/>
    </xf>
    <xf numFmtId="167" fontId="22" fillId="2" borderId="0" xfId="1" applyNumberFormat="1" applyFont="1" applyFill="1" applyBorder="1" applyAlignment="1" applyProtection="1">
      <alignment horizontal="right" vertical="center"/>
    </xf>
    <xf numFmtId="167" fontId="22" fillId="2" borderId="0" xfId="1" applyNumberFormat="1" applyFont="1" applyFill="1" applyAlignment="1" applyProtection="1">
      <alignment horizontal="right" vertical="center"/>
    </xf>
    <xf numFmtId="167" fontId="22" fillId="2" borderId="0" xfId="1" applyNumberFormat="1" applyFont="1" applyFill="1" applyAlignment="1">
      <alignment horizontal="left"/>
    </xf>
    <xf numFmtId="167" fontId="22" fillId="2" borderId="0" xfId="1" applyNumberFormat="1" applyFont="1" applyFill="1" applyBorder="1" applyAlignment="1">
      <alignment horizontal="left"/>
    </xf>
    <xf numFmtId="167" fontId="22" fillId="2" borderId="3" xfId="1" applyNumberFormat="1" applyFont="1" applyFill="1" applyBorder="1" applyAlignment="1">
      <alignment horizontal="left"/>
    </xf>
    <xf numFmtId="167" fontId="1" fillId="2" borderId="3" xfId="1" applyNumberFormat="1" applyFont="1" applyFill="1" applyBorder="1" applyAlignment="1">
      <alignment horizontal="right" vertical="center"/>
    </xf>
    <xf numFmtId="0" fontId="57" fillId="2" borderId="0" xfId="0" applyFont="1" applyFill="1" applyBorder="1" applyAlignment="1"/>
    <xf numFmtId="167" fontId="22" fillId="2" borderId="0" xfId="1" applyNumberFormat="1" applyFont="1" applyFill="1" applyAlignment="1">
      <alignment horizontal="left" indent="1"/>
    </xf>
    <xf numFmtId="167" fontId="22" fillId="2" borderId="0" xfId="1" applyNumberFormat="1" applyFont="1" applyFill="1" applyAlignment="1">
      <alignment vertical="center"/>
    </xf>
    <xf numFmtId="169" fontId="22" fillId="2" borderId="0" xfId="6" applyNumberFormat="1" applyFont="1" applyFill="1" applyAlignment="1">
      <alignment horizontal="left" indent="1"/>
    </xf>
    <xf numFmtId="164" fontId="22" fillId="2" borderId="0" xfId="6" applyNumberFormat="1" applyFont="1" applyFill="1" applyAlignment="1">
      <alignment horizontal="left" indent="1"/>
    </xf>
    <xf numFmtId="0" fontId="92" fillId="2" borderId="0" xfId="0" applyFont="1" applyFill="1"/>
    <xf numFmtId="164" fontId="92" fillId="2" borderId="0" xfId="6" applyNumberFormat="1" applyFont="1" applyFill="1" applyAlignment="1">
      <alignment vertical="center"/>
    </xf>
    <xf numFmtId="164" fontId="92" fillId="2" borderId="0" xfId="6" applyNumberFormat="1" applyFont="1" applyFill="1" applyAlignment="1">
      <alignment horizontal="right" vertical="center"/>
    </xf>
    <xf numFmtId="0" fontId="0" fillId="2" borderId="0" xfId="0" applyFont="1" applyFill="1" applyAlignment="1">
      <alignment horizontal="left" vertical="center"/>
    </xf>
    <xf numFmtId="164" fontId="21" fillId="2" borderId="4" xfId="6" applyNumberFormat="1" applyFont="1" applyFill="1" applyBorder="1" applyAlignment="1" applyProtection="1">
      <alignment horizontal="left" vertical="center"/>
    </xf>
    <xf numFmtId="165" fontId="21" fillId="2" borderId="4" xfId="6" applyNumberFormat="1" applyFont="1" applyFill="1" applyBorder="1" applyAlignment="1" applyProtection="1">
      <alignment horizontal="right" vertical="center"/>
    </xf>
    <xf numFmtId="164" fontId="21" fillId="2" borderId="4" xfId="6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164" fontId="21" fillId="2" borderId="3" xfId="6" applyNumberFormat="1" applyFont="1" applyFill="1" applyBorder="1" applyAlignment="1" applyProtection="1">
      <alignment horizontal="left" vertical="center"/>
    </xf>
    <xf numFmtId="164" fontId="21" fillId="2" borderId="3" xfId="6" applyNumberFormat="1" applyFont="1" applyFill="1" applyBorder="1" applyAlignment="1" applyProtection="1">
      <alignment horizontal="right" vertical="center"/>
    </xf>
    <xf numFmtId="43" fontId="21" fillId="2" borderId="0" xfId="1" applyNumberFormat="1" applyFont="1" applyFill="1" applyBorder="1" applyAlignment="1">
      <alignment horizontal="left" vertical="center"/>
    </xf>
    <xf numFmtId="167" fontId="21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1"/>
    </xf>
    <xf numFmtId="167" fontId="0" fillId="2" borderId="0" xfId="1" applyNumberFormat="1" applyFont="1" applyFill="1" applyBorder="1" applyAlignment="1">
      <alignment horizontal="right" vertical="center"/>
    </xf>
    <xf numFmtId="0" fontId="29" fillId="2" borderId="0" xfId="1" applyNumberFormat="1" applyFont="1" applyFill="1" applyAlignment="1">
      <alignment horizontal="right" vertical="center"/>
    </xf>
    <xf numFmtId="0" fontId="29" fillId="2" borderId="0" xfId="1" applyNumberFormat="1" applyFont="1" applyFill="1" applyAlignment="1">
      <alignment horizontal="left" vertical="center"/>
    </xf>
    <xf numFmtId="169" fontId="0" fillId="2" borderId="0" xfId="0" applyNumberFormat="1" applyFont="1" applyFill="1" applyAlignment="1">
      <alignment horizontal="right" vertical="center"/>
    </xf>
    <xf numFmtId="169" fontId="0" fillId="2" borderId="0" xfId="0" applyNumberFormat="1" applyFont="1" applyFill="1" applyAlignment="1">
      <alignment horizontal="left" vertical="center"/>
    </xf>
    <xf numFmtId="169" fontId="13" fillId="2" borderId="0" xfId="0" applyNumberFormat="1" applyFont="1" applyFill="1" applyAlignment="1">
      <alignment horizontal="right" vertical="center"/>
    </xf>
    <xf numFmtId="169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7" fontId="0" fillId="2" borderId="0" xfId="1" applyNumberFormat="1" applyFont="1" applyFill="1" applyBorder="1" applyAlignment="1" applyProtection="1">
      <alignment horizontal="right" vertical="center"/>
    </xf>
    <xf numFmtId="167" fontId="21" fillId="2" borderId="0" xfId="1" applyNumberFormat="1" applyFont="1" applyFill="1" applyBorder="1" applyAlignment="1" applyProtection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2"/>
    </xf>
    <xf numFmtId="0" fontId="13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3"/>
    </xf>
    <xf numFmtId="43" fontId="0" fillId="2" borderId="3" xfId="1" applyNumberFormat="1" applyFont="1" applyFill="1" applyBorder="1" applyAlignment="1">
      <alignment horizontal="left" vertical="center" indent="3"/>
    </xf>
    <xf numFmtId="43" fontId="0" fillId="2" borderId="3" xfId="1" applyNumberFormat="1" applyFont="1" applyFill="1" applyBorder="1" applyAlignment="1">
      <alignment horizontal="left" vertical="center" indent="2"/>
    </xf>
    <xf numFmtId="167" fontId="0" fillId="2" borderId="3" xfId="1" applyNumberFormat="1" applyFont="1" applyFill="1" applyBorder="1" applyAlignment="1">
      <alignment horizontal="right" vertical="center"/>
    </xf>
    <xf numFmtId="169" fontId="29" fillId="2" borderId="0" xfId="0" applyNumberFormat="1" applyFont="1" applyFill="1" applyAlignment="1">
      <alignment horizontal="left" vertical="center" indent="1"/>
    </xf>
    <xf numFmtId="164" fontId="93" fillId="2" borderId="0" xfId="2" applyNumberFormat="1" applyFont="1" applyFill="1"/>
    <xf numFmtId="164" fontId="13" fillId="2" borderId="0" xfId="2" applyNumberFormat="1" applyFont="1" applyFill="1" applyBorder="1" applyAlignment="1">
      <alignment horizontal="right" vertical="center"/>
    </xf>
    <xf numFmtId="164" fontId="13" fillId="2" borderId="0" xfId="2" applyNumberFormat="1" applyFont="1" applyFill="1" applyAlignment="1">
      <alignment horizontal="right" vertical="center"/>
    </xf>
    <xf numFmtId="164" fontId="18" fillId="2" borderId="0" xfId="2" applyNumberFormat="1" applyFont="1" applyFill="1" applyBorder="1" applyAlignment="1">
      <alignment horizontal="right"/>
    </xf>
    <xf numFmtId="164" fontId="18" fillId="2" borderId="4" xfId="2" applyNumberFormat="1" applyFont="1" applyFill="1" applyBorder="1" applyAlignment="1">
      <alignment horizontal="right"/>
    </xf>
    <xf numFmtId="0" fontId="26" fillId="2" borderId="24" xfId="2" applyFont="1" applyFill="1" applyBorder="1" applyAlignment="1" applyProtection="1">
      <alignment horizontal="center" vertical="center"/>
    </xf>
    <xf numFmtId="0" fontId="26" fillId="2" borderId="0" xfId="2" applyFont="1" applyFill="1" applyBorder="1" applyAlignment="1" applyProtection="1">
      <alignment horizontal="center" vertical="center"/>
    </xf>
    <xf numFmtId="164" fontId="61" fillId="2" borderId="0" xfId="2" applyNumberFormat="1" applyFont="1" applyFill="1" applyBorder="1" applyAlignment="1">
      <alignment horizontal="center" vertical="center"/>
    </xf>
    <xf numFmtId="164" fontId="18" fillId="2" borderId="0" xfId="2" applyNumberFormat="1" applyFont="1" applyFill="1" applyBorder="1" applyAlignment="1">
      <alignment horizontal="right" vertical="center"/>
    </xf>
    <xf numFmtId="169" fontId="18" fillId="2" borderId="0" xfId="2" applyNumberFormat="1" applyFont="1" applyFill="1" applyBorder="1" applyAlignment="1" applyProtection="1">
      <alignment horizontal="center" vertical="center"/>
      <protection locked="0"/>
    </xf>
    <xf numFmtId="164" fontId="18" fillId="2" borderId="7" xfId="2" applyNumberFormat="1" applyFont="1" applyFill="1" applyBorder="1" applyAlignment="1" applyProtection="1">
      <alignment horizontal="right" vertical="center"/>
    </xf>
    <xf numFmtId="169" fontId="18" fillId="2" borderId="3" xfId="2" applyNumberFormat="1" applyFont="1" applyFill="1" applyBorder="1" applyAlignment="1">
      <alignment horizontal="right" vertical="center"/>
    </xf>
    <xf numFmtId="164" fontId="90" fillId="2" borderId="3" xfId="2" applyNumberFormat="1" applyFont="1" applyFill="1" applyBorder="1" applyAlignment="1">
      <alignment vertical="center"/>
    </xf>
    <xf numFmtId="165" fontId="18" fillId="2" borderId="0" xfId="2" applyNumberFormat="1" applyFont="1" applyFill="1" applyBorder="1" applyAlignment="1" applyProtection="1">
      <alignment horizontal="right" vertical="center"/>
    </xf>
    <xf numFmtId="165" fontId="18" fillId="2" borderId="29" xfId="2" applyNumberFormat="1" applyFont="1" applyFill="1" applyBorder="1" applyAlignment="1" applyProtection="1">
      <alignment horizontal="right" vertical="center"/>
    </xf>
    <xf numFmtId="165" fontId="18" fillId="2" borderId="24" xfId="2" applyNumberFormat="1" applyFont="1" applyFill="1" applyBorder="1" applyAlignment="1" applyProtection="1">
      <alignment horizontal="right" vertical="center"/>
    </xf>
    <xf numFmtId="169" fontId="18" fillId="2" borderId="0" xfId="2" applyNumberFormat="1" applyFont="1" applyFill="1" applyBorder="1" applyAlignment="1" applyProtection="1">
      <alignment horizontal="right" vertical="center"/>
    </xf>
    <xf numFmtId="165" fontId="18" fillId="2" borderId="22" xfId="2" applyNumberFormat="1" applyFont="1" applyFill="1" applyBorder="1" applyAlignment="1" applyProtection="1">
      <alignment horizontal="right" vertical="center"/>
    </xf>
    <xf numFmtId="165" fontId="29" fillId="2" borderId="22" xfId="2" applyNumberFormat="1" applyFont="1" applyFill="1" applyBorder="1" applyAlignment="1" applyProtection="1">
      <alignment horizontal="right" vertical="center"/>
    </xf>
    <xf numFmtId="169" fontId="29" fillId="2" borderId="0" xfId="2" applyNumberFormat="1" applyFont="1" applyFill="1" applyBorder="1" applyAlignment="1" applyProtection="1">
      <alignment horizontal="right" vertical="center"/>
    </xf>
    <xf numFmtId="164" fontId="29" fillId="2" borderId="0" xfId="2" applyNumberFormat="1" applyFont="1" applyFill="1" applyBorder="1" applyAlignment="1">
      <alignment vertical="center"/>
    </xf>
    <xf numFmtId="165" fontId="29" fillId="2" borderId="0" xfId="2" applyNumberFormat="1" applyFont="1" applyFill="1" applyBorder="1" applyAlignment="1" applyProtection="1">
      <alignment horizontal="right"/>
    </xf>
    <xf numFmtId="164" fontId="64" fillId="2" borderId="0" xfId="2" applyNumberFormat="1" applyFont="1" applyFill="1" applyAlignment="1">
      <alignment horizontal="center" vertical="center"/>
    </xf>
    <xf numFmtId="164" fontId="64" fillId="2" borderId="0" xfId="2" applyNumberFormat="1" applyFont="1" applyFill="1" applyBorder="1" applyAlignment="1">
      <alignment horizontal="center" vertical="center"/>
    </xf>
    <xf numFmtId="165" fontId="18" fillId="2" borderId="3" xfId="2" applyNumberFormat="1" applyFont="1" applyFill="1" applyBorder="1" applyAlignment="1" applyProtection="1">
      <alignment horizontal="right" vertical="center"/>
    </xf>
    <xf numFmtId="165" fontId="18" fillId="2" borderId="7" xfId="2" applyNumberFormat="1" applyFont="1" applyFill="1" applyBorder="1" applyAlignment="1" applyProtection="1">
      <alignment horizontal="right" vertical="center"/>
    </xf>
    <xf numFmtId="165" fontId="18" fillId="2" borderId="23" xfId="2" applyNumberFormat="1" applyFont="1" applyFill="1" applyBorder="1" applyAlignment="1" applyProtection="1">
      <alignment horizontal="right" vertical="center"/>
    </xf>
    <xf numFmtId="169" fontId="18" fillId="2" borderId="3" xfId="2" applyNumberFormat="1" applyFont="1" applyFill="1" applyBorder="1" applyAlignment="1" applyProtection="1">
      <alignment horizontal="right" vertical="center"/>
    </xf>
    <xf numFmtId="164" fontId="16" fillId="2" borderId="3" xfId="2" applyNumberFormat="1" applyFont="1" applyFill="1" applyBorder="1" applyAlignment="1">
      <alignment horizontal="right" vertical="center"/>
    </xf>
    <xf numFmtId="169" fontId="29" fillId="2" borderId="0" xfId="2" applyNumberFormat="1" applyFont="1" applyFill="1" applyAlignment="1">
      <alignment horizontal="center" vertical="center"/>
    </xf>
    <xf numFmtId="164" fontId="29" fillId="2" borderId="0" xfId="2" applyNumberFormat="1" applyFont="1" applyFill="1"/>
    <xf numFmtId="164" fontId="29" fillId="2" borderId="0" xfId="2" applyNumberFormat="1" applyFont="1" applyFill="1" applyAlignment="1">
      <alignment horizontal="center"/>
    </xf>
    <xf numFmtId="169" fontId="29" fillId="2" borderId="0" xfId="2" applyNumberFormat="1" applyFont="1" applyFill="1" applyAlignment="1">
      <alignment horizontal="center"/>
    </xf>
    <xf numFmtId="164" fontId="94" fillId="2" borderId="0" xfId="2" applyNumberFormat="1" applyFont="1" applyFill="1"/>
    <xf numFmtId="164" fontId="94" fillId="2" borderId="0" xfId="2" applyNumberFormat="1" applyFont="1" applyFill="1" applyAlignment="1">
      <alignment horizontal="center"/>
    </xf>
    <xf numFmtId="169" fontId="94" fillId="2" borderId="0" xfId="2" applyNumberFormat="1" applyFont="1" applyFill="1" applyAlignment="1">
      <alignment horizontal="center"/>
    </xf>
    <xf numFmtId="164" fontId="93" fillId="2" borderId="0" xfId="2" applyNumberFormat="1" applyFont="1" applyFill="1" applyAlignment="1">
      <alignment horizontal="center"/>
    </xf>
    <xf numFmtId="169" fontId="93" fillId="2" borderId="0" xfId="2" applyNumberFormat="1" applyFont="1" applyFill="1" applyAlignment="1">
      <alignment horizontal="center"/>
    </xf>
    <xf numFmtId="0" fontId="1" fillId="2" borderId="0" xfId="0" applyFont="1" applyFill="1"/>
    <xf numFmtId="0" fontId="95" fillId="2" borderId="0" xfId="16" applyFont="1" applyFill="1" applyAlignment="1"/>
    <xf numFmtId="164" fontId="18" fillId="2" borderId="0" xfId="2" applyNumberFormat="1" applyFont="1" applyFill="1" applyBorder="1" applyAlignment="1">
      <alignment horizontal="right"/>
    </xf>
    <xf numFmtId="164" fontId="18" fillId="2" borderId="0" xfId="2" applyNumberFormat="1" applyFont="1" applyFill="1" applyBorder="1" applyAlignment="1">
      <alignment horizontal="right" wrapText="1"/>
    </xf>
    <xf numFmtId="164" fontId="70" fillId="2" borderId="0" xfId="2" applyNumberFormat="1" applyFont="1" applyFill="1" applyAlignment="1">
      <alignment horizontal="right" vertical="center"/>
    </xf>
    <xf numFmtId="164" fontId="70" fillId="2" borderId="0" xfId="2" applyNumberFormat="1" applyFont="1" applyFill="1" applyBorder="1" applyAlignment="1">
      <alignment horizontal="right" vertical="center"/>
    </xf>
    <xf numFmtId="0" fontId="13" fillId="2" borderId="0" xfId="16" applyFont="1" applyFill="1"/>
    <xf numFmtId="169" fontId="79" fillId="2" borderId="0" xfId="16" applyNumberFormat="1" applyFont="1" applyFill="1" applyBorder="1" applyAlignment="1">
      <alignment horizontal="right" vertical="center"/>
    </xf>
    <xf numFmtId="164" fontId="69" fillId="2" borderId="0" xfId="2" applyNumberFormat="1" applyFont="1" applyFill="1" applyAlignment="1">
      <alignment horizontal="right" vertical="center"/>
    </xf>
    <xf numFmtId="0" fontId="22" fillId="2" borderId="0" xfId="16" applyFont="1" applyFill="1" applyBorder="1"/>
    <xf numFmtId="169" fontId="79" fillId="2" borderId="0" xfId="15" applyNumberFormat="1" applyFont="1" applyFill="1" applyBorder="1" applyAlignment="1">
      <alignment horizontal="right" vertical="center"/>
    </xf>
    <xf numFmtId="2" fontId="79" fillId="2" borderId="0" xfId="15" applyNumberFormat="1" applyFont="1" applyFill="1" applyBorder="1" applyAlignment="1">
      <alignment horizontal="right" vertical="center"/>
    </xf>
    <xf numFmtId="0" fontId="22" fillId="2" borderId="3" xfId="16" applyFont="1" applyFill="1" applyBorder="1"/>
    <xf numFmtId="164" fontId="70" fillId="2" borderId="3" xfId="2" applyNumberFormat="1" applyFont="1" applyFill="1" applyBorder="1" applyAlignment="1">
      <alignment horizontal="right" vertical="center"/>
    </xf>
    <xf numFmtId="0" fontId="57" fillId="2" borderId="0" xfId="16" applyFont="1" applyFill="1" applyAlignment="1">
      <alignment horizontal="left"/>
    </xf>
    <xf numFmtId="0" fontId="29" fillId="2" borderId="0" xfId="16" applyFont="1" applyFill="1"/>
    <xf numFmtId="0" fontId="96" fillId="2" borderId="0" xfId="16" applyFont="1" applyFill="1"/>
    <xf numFmtId="164" fontId="64" fillId="2" borderId="0" xfId="2" applyNumberFormat="1" applyFont="1" applyFill="1" applyAlignment="1">
      <alignment horizontal="right" vertical="center"/>
    </xf>
    <xf numFmtId="176" fontId="29" fillId="2" borderId="0" xfId="16" applyNumberFormat="1" applyFont="1" applyFill="1"/>
    <xf numFmtId="164" fontId="99" fillId="2" borderId="0" xfId="2" applyNumberFormat="1" applyFont="1" applyFill="1" applyAlignment="1">
      <alignment horizontal="right" vertical="center"/>
    </xf>
    <xf numFmtId="0" fontId="12" fillId="2" borderId="0" xfId="0" applyFont="1" applyFill="1"/>
    <xf numFmtId="164" fontId="100" fillId="2" borderId="0" xfId="2" applyNumberFormat="1" applyFont="1" applyFill="1" applyBorder="1" applyAlignment="1">
      <alignment horizontal="right"/>
    </xf>
    <xf numFmtId="164" fontId="99" fillId="2" borderId="53" xfId="2" applyNumberFormat="1" applyFont="1" applyFill="1" applyBorder="1" applyAlignment="1">
      <alignment horizontal="right" vertical="center"/>
    </xf>
    <xf numFmtId="0" fontId="0" fillId="2" borderId="0" xfId="0" applyFill="1"/>
    <xf numFmtId="0" fontId="103" fillId="2" borderId="0" xfId="16" applyFont="1" applyFill="1" applyAlignment="1">
      <alignment vertical="center"/>
    </xf>
    <xf numFmtId="167" fontId="103" fillId="2" borderId="0" xfId="1" applyNumberFormat="1" applyFont="1" applyFill="1" applyAlignment="1">
      <alignment horizontal="right" vertical="center"/>
    </xf>
    <xf numFmtId="0" fontId="103" fillId="2" borderId="53" xfId="16" applyFont="1" applyFill="1" applyBorder="1" applyAlignment="1">
      <alignment vertical="center"/>
    </xf>
    <xf numFmtId="167" fontId="103" fillId="2" borderId="53" xfId="1" applyNumberFormat="1" applyFont="1" applyFill="1" applyBorder="1" applyAlignment="1">
      <alignment horizontal="right" vertical="center"/>
    </xf>
    <xf numFmtId="175" fontId="105" fillId="2" borderId="0" xfId="15" applyNumberFormat="1" applyFont="1" applyFill="1" applyAlignment="1">
      <alignment horizontal="right" vertical="center"/>
    </xf>
    <xf numFmtId="169" fontId="105" fillId="2" borderId="0" xfId="15" applyNumberFormat="1" applyFont="1" applyFill="1" applyAlignment="1">
      <alignment horizontal="right" vertical="center"/>
    </xf>
    <xf numFmtId="10" fontId="105" fillId="2" borderId="0" xfId="15" applyNumberFormat="1" applyFont="1" applyFill="1" applyBorder="1" applyAlignment="1">
      <alignment horizontal="right" vertical="center"/>
    </xf>
    <xf numFmtId="2" fontId="105" fillId="2" borderId="0" xfId="15" applyNumberFormat="1" applyFont="1" applyFill="1" applyBorder="1" applyAlignment="1">
      <alignment horizontal="right" vertical="center"/>
    </xf>
    <xf numFmtId="169" fontId="105" fillId="2" borderId="0" xfId="15" applyNumberFormat="1" applyFont="1" applyFill="1" applyBorder="1" applyAlignment="1">
      <alignment horizontal="right" vertical="center"/>
    </xf>
    <xf numFmtId="10" fontId="105" fillId="2" borderId="3" xfId="15" applyNumberFormat="1" applyFont="1" applyFill="1" applyBorder="1" applyAlignment="1">
      <alignment horizontal="right" vertical="center"/>
    </xf>
    <xf numFmtId="0" fontId="29" fillId="2" borderId="0" xfId="16" applyFont="1" applyFill="1" applyAlignment="1">
      <alignment horizontal="left"/>
    </xf>
    <xf numFmtId="0" fontId="106" fillId="2" borderId="0" xfId="16" applyFont="1" applyFill="1" applyBorder="1"/>
    <xf numFmtId="0" fontId="7" fillId="2" borderId="0" xfId="16" applyFont="1" applyFill="1" applyBorder="1" applyAlignment="1">
      <alignment horizontal="left" vertical="center"/>
    </xf>
    <xf numFmtId="0" fontId="18" fillId="2" borderId="3" xfId="16" applyFont="1" applyFill="1" applyBorder="1" applyAlignment="1">
      <alignment horizontal="right" vertical="center"/>
    </xf>
    <xf numFmtId="164" fontId="21" fillId="2" borderId="26" xfId="2" applyNumberFormat="1" applyFont="1" applyFill="1" applyBorder="1" applyAlignment="1">
      <alignment horizontal="right" vertical="center"/>
    </xf>
    <xf numFmtId="9" fontId="68" fillId="2" borderId="0" xfId="15" applyFont="1" applyFill="1" applyAlignment="1">
      <alignment vertical="center"/>
    </xf>
    <xf numFmtId="164" fontId="59" fillId="2" borderId="0" xfId="2" applyNumberFormat="1" applyFont="1" applyFill="1" applyAlignment="1">
      <alignment horizontal="center" vertical="center"/>
    </xf>
    <xf numFmtId="164" fontId="21" fillId="2" borderId="0" xfId="2" applyNumberFormat="1" applyFont="1" applyFill="1" applyBorder="1" applyAlignment="1" applyProtection="1">
      <alignment horizontal="center" vertical="center"/>
    </xf>
    <xf numFmtId="164" fontId="16" fillId="2" borderId="0" xfId="2" applyNumberFormat="1" applyFont="1" applyFill="1" applyAlignment="1">
      <alignment horizontal="center" vertical="center" wrapText="1"/>
    </xf>
    <xf numFmtId="164" fontId="17" fillId="2" borderId="0" xfId="2" applyNumberFormat="1" applyFont="1" applyFill="1" applyBorder="1" applyAlignment="1" applyProtection="1">
      <alignment horizontal="center" vertical="center"/>
    </xf>
    <xf numFmtId="164" fontId="13" fillId="2" borderId="1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69" fillId="2" borderId="1" xfId="2" applyNumberFormat="1" applyFont="1" applyFill="1" applyBorder="1" applyAlignment="1">
      <alignment horizontal="right" vertical="center"/>
    </xf>
    <xf numFmtId="164" fontId="69" fillId="2" borderId="0" xfId="2" applyNumberFormat="1" applyFont="1" applyFill="1" applyBorder="1" applyAlignment="1">
      <alignment horizontal="right" vertical="center"/>
    </xf>
    <xf numFmtId="164" fontId="69" fillId="2" borderId="2" xfId="2" applyNumberFormat="1" applyFont="1" applyFill="1" applyBorder="1" applyAlignment="1">
      <alignment horizontal="right" vertical="center"/>
    </xf>
    <xf numFmtId="164" fontId="13" fillId="2" borderId="4" xfId="2" applyNumberFormat="1" applyFont="1" applyFill="1" applyBorder="1" applyAlignment="1" applyProtection="1">
      <alignment horizontal="left" vertical="center"/>
    </xf>
    <xf numFmtId="164" fontId="16" fillId="2" borderId="4" xfId="2" applyNumberFormat="1" applyFont="1" applyFill="1" applyBorder="1" applyAlignment="1">
      <alignment horizontal="right" vertical="center"/>
    </xf>
    <xf numFmtId="164" fontId="16" fillId="2" borderId="0" xfId="2" applyNumberFormat="1" applyFont="1" applyFill="1" applyBorder="1" applyAlignment="1">
      <alignment horizontal="right" vertical="center"/>
    </xf>
    <xf numFmtId="164" fontId="16" fillId="2" borderId="2" xfId="2" applyNumberFormat="1" applyFont="1" applyFill="1" applyBorder="1" applyAlignment="1">
      <alignment horizontal="right" vertical="center"/>
    </xf>
    <xf numFmtId="164" fontId="21" fillId="2" borderId="0" xfId="2" applyNumberFormat="1" applyFont="1" applyFill="1" applyBorder="1" applyAlignment="1" applyProtection="1">
      <alignment horizontal="center" vertical="center" wrapText="1"/>
    </xf>
    <xf numFmtId="164" fontId="13" fillId="2" borderId="0" xfId="2" applyNumberFormat="1" applyFont="1" applyFill="1" applyBorder="1" applyAlignment="1">
      <alignment horizontal="center" vertical="center"/>
    </xf>
    <xf numFmtId="0" fontId="18" fillId="2" borderId="14" xfId="4" applyFont="1" applyFill="1" applyBorder="1" applyAlignment="1">
      <alignment horizontal="center"/>
    </xf>
    <xf numFmtId="0" fontId="18" fillId="2" borderId="13" xfId="4" applyFont="1" applyFill="1" applyBorder="1" applyAlignment="1">
      <alignment horizontal="center"/>
    </xf>
    <xf numFmtId="164" fontId="62" fillId="2" borderId="12" xfId="2" applyNumberFormat="1" applyFont="1" applyFill="1" applyBorder="1" applyAlignment="1">
      <alignment horizontal="center" vertical="center"/>
    </xf>
    <xf numFmtId="164" fontId="62" fillId="2" borderId="4" xfId="2" applyNumberFormat="1" applyFont="1" applyFill="1" applyBorder="1" applyAlignment="1">
      <alignment horizontal="center" vertical="center"/>
    </xf>
    <xf numFmtId="164" fontId="61" fillId="2" borderId="3" xfId="2" applyNumberFormat="1" applyFont="1" applyFill="1" applyBorder="1" applyAlignment="1" applyProtection="1">
      <alignment horizontal="center" vertical="center"/>
    </xf>
    <xf numFmtId="165" fontId="29" fillId="2" borderId="0" xfId="2" applyNumberFormat="1" applyFont="1" applyFill="1" applyBorder="1" applyAlignment="1" applyProtection="1">
      <alignment horizontal="right" vertical="center"/>
      <protection locked="0"/>
    </xf>
    <xf numFmtId="165" fontId="29" fillId="2" borderId="0" xfId="2" applyNumberFormat="1" applyFont="1" applyFill="1" applyAlignment="1" applyProtection="1">
      <alignment horizontal="right" vertical="center"/>
      <protection locked="0"/>
    </xf>
    <xf numFmtId="169" fontId="29" fillId="2" borderId="0" xfId="1" applyNumberFormat="1" applyFont="1" applyFill="1" applyBorder="1" applyAlignment="1" applyProtection="1">
      <alignment horizontal="right" vertical="center" indent="2"/>
    </xf>
    <xf numFmtId="165" fontId="29" fillId="2" borderId="10" xfId="2" applyNumberFormat="1" applyFont="1" applyFill="1" applyBorder="1" applyAlignment="1" applyProtection="1">
      <alignment vertical="center"/>
      <protection locked="0"/>
    </xf>
    <xf numFmtId="165" fontId="29" fillId="2" borderId="10" xfId="2" applyNumberFormat="1" applyFont="1" applyFill="1" applyBorder="1" applyAlignment="1" applyProtection="1">
      <alignment horizontal="right" vertical="center"/>
      <protection locked="0"/>
    </xf>
    <xf numFmtId="165" fontId="29" fillId="2" borderId="0" xfId="2" applyNumberFormat="1" applyFont="1" applyFill="1" applyAlignment="1" applyProtection="1">
      <alignment horizontal="center" vertical="center"/>
      <protection locked="0"/>
    </xf>
    <xf numFmtId="167" fontId="29" fillId="2" borderId="0" xfId="1" applyNumberFormat="1" applyFont="1" applyFill="1" applyAlignment="1" applyProtection="1">
      <alignment horizontal="center" vertical="center"/>
      <protection locked="0"/>
    </xf>
    <xf numFmtId="165" fontId="29" fillId="2" borderId="0" xfId="2" applyNumberFormat="1" applyFont="1" applyFill="1" applyBorder="1" applyAlignment="1" applyProtection="1">
      <alignment vertical="center"/>
      <protection locked="0"/>
    </xf>
    <xf numFmtId="167" fontId="29" fillId="2" borderId="0" xfId="1" applyNumberFormat="1" applyFont="1" applyFill="1" applyBorder="1" applyAlignment="1" applyProtection="1">
      <alignment horizontal="center" vertical="center"/>
      <protection locked="0"/>
    </xf>
    <xf numFmtId="164" fontId="29" fillId="2" borderId="0" xfId="2" applyNumberFormat="1" applyFont="1" applyFill="1" applyAlignment="1">
      <alignment horizontal="right" vertical="center"/>
    </xf>
    <xf numFmtId="164" fontId="64" fillId="2" borderId="0" xfId="2" applyNumberFormat="1" applyFont="1" applyFill="1" applyAlignment="1">
      <alignment horizontal="center" vertical="center" wrapText="1"/>
    </xf>
    <xf numFmtId="164" fontId="18" fillId="2" borderId="3" xfId="2" applyNumberFormat="1" applyFont="1" applyFill="1" applyBorder="1" applyAlignment="1" applyProtection="1">
      <alignment horizontal="center" vertical="center"/>
    </xf>
    <xf numFmtId="167" fontId="29" fillId="2" borderId="0" xfId="1" applyNumberFormat="1" applyFont="1" applyFill="1" applyAlignment="1" applyProtection="1">
      <alignment horizontal="right" vertical="center"/>
      <protection locked="0"/>
    </xf>
    <xf numFmtId="164" fontId="26" fillId="2" borderId="12" xfId="2" applyNumberFormat="1" applyFont="1" applyFill="1" applyBorder="1" applyAlignment="1" applyProtection="1">
      <alignment horizontal="center" vertical="center"/>
    </xf>
    <xf numFmtId="164" fontId="26" fillId="2" borderId="4" xfId="2" applyNumberFormat="1" applyFont="1" applyFill="1" applyBorder="1" applyAlignment="1" applyProtection="1">
      <alignment horizontal="center" vertical="center"/>
    </xf>
    <xf numFmtId="164" fontId="18" fillId="2" borderId="14" xfId="2" applyNumberFormat="1" applyFont="1" applyFill="1" applyBorder="1" applyAlignment="1" applyProtection="1">
      <alignment horizontal="center" vertical="center"/>
      <protection locked="0"/>
    </xf>
    <xf numFmtId="164" fontId="18" fillId="2" borderId="13" xfId="2" applyNumberFormat="1" applyFont="1" applyFill="1" applyBorder="1" applyAlignment="1" applyProtection="1">
      <alignment horizontal="center" vertical="center"/>
      <protection locked="0"/>
    </xf>
    <xf numFmtId="169" fontId="26" fillId="2" borderId="4" xfId="2" applyNumberFormat="1" applyFont="1" applyFill="1" applyBorder="1" applyAlignment="1" applyProtection="1">
      <alignment horizontal="center" vertical="center"/>
      <protection hidden="1"/>
    </xf>
    <xf numFmtId="164" fontId="18" fillId="2" borderId="11" xfId="2" applyNumberFormat="1" applyFont="1" applyFill="1" applyBorder="1" applyAlignment="1" applyProtection="1">
      <alignment horizontal="center" vertical="center"/>
      <protection locked="0"/>
    </xf>
    <xf numFmtId="164" fontId="18" fillId="2" borderId="3" xfId="2" applyNumberFormat="1" applyFont="1" applyFill="1" applyBorder="1" applyAlignment="1" applyProtection="1">
      <alignment horizontal="center" vertical="center"/>
      <protection locked="0"/>
    </xf>
    <xf numFmtId="164" fontId="23" fillId="2" borderId="0" xfId="2" applyNumberFormat="1" applyFont="1" applyFill="1" applyBorder="1" applyAlignment="1" applyProtection="1">
      <alignment horizontal="center" vertical="center" wrapText="1"/>
    </xf>
    <xf numFmtId="164" fontId="87" fillId="2" borderId="0" xfId="2" applyNumberFormat="1" applyFont="1" applyFill="1" applyAlignment="1">
      <alignment horizontal="center" vertical="center" wrapText="1"/>
    </xf>
    <xf numFmtId="164" fontId="61" fillId="2" borderId="3" xfId="2" applyNumberFormat="1" applyFont="1" applyFill="1" applyBorder="1" applyAlignment="1">
      <alignment horizontal="center" vertical="center"/>
    </xf>
    <xf numFmtId="164" fontId="18" fillId="2" borderId="4" xfId="2" applyNumberFormat="1" applyFont="1" applyFill="1" applyBorder="1" applyAlignment="1" applyProtection="1">
      <alignment horizontal="left" vertical="center"/>
    </xf>
    <xf numFmtId="164" fontId="18" fillId="2" borderId="0" xfId="2" applyNumberFormat="1" applyFont="1" applyFill="1" applyBorder="1" applyAlignment="1" applyProtection="1">
      <alignment horizontal="left" vertical="center"/>
    </xf>
    <xf numFmtId="164" fontId="18" fillId="2" borderId="3" xfId="2" applyNumberFormat="1" applyFont="1" applyFill="1" applyBorder="1" applyAlignment="1" applyProtection="1">
      <alignment horizontal="left" vertical="center"/>
    </xf>
    <xf numFmtId="164" fontId="63" fillId="2" borderId="27" xfId="2" applyNumberFormat="1" applyFont="1" applyFill="1" applyBorder="1" applyAlignment="1">
      <alignment horizontal="center" vertical="center"/>
    </xf>
    <xf numFmtId="164" fontId="63" fillId="2" borderId="26" xfId="2" applyNumberFormat="1" applyFont="1" applyFill="1" applyBorder="1" applyAlignment="1">
      <alignment horizontal="center" vertical="center"/>
    </xf>
    <xf numFmtId="164" fontId="63" fillId="2" borderId="38" xfId="2" applyNumberFormat="1" applyFont="1" applyFill="1" applyBorder="1" applyAlignment="1">
      <alignment horizontal="center" vertical="center"/>
    </xf>
    <xf numFmtId="169" fontId="62" fillId="2" borderId="12" xfId="2" applyNumberFormat="1" applyFont="1" applyFill="1" applyBorder="1" applyAlignment="1" applyProtection="1">
      <alignment horizontal="center" vertical="center"/>
      <protection hidden="1"/>
    </xf>
    <xf numFmtId="169" fontId="62" fillId="2" borderId="4" xfId="2" applyNumberFormat="1" applyFont="1" applyFill="1" applyBorder="1" applyAlignment="1" applyProtection="1">
      <alignment horizontal="center" vertical="center"/>
      <protection hidden="1"/>
    </xf>
    <xf numFmtId="169" fontId="63" fillId="2" borderId="10" xfId="2" applyNumberFormat="1" applyFont="1" applyFill="1" applyBorder="1" applyAlignment="1" applyProtection="1">
      <alignment horizontal="center" vertical="center"/>
      <protection locked="0"/>
    </xf>
    <xf numFmtId="169" fontId="63" fillId="2" borderId="0" xfId="2" applyNumberFormat="1" applyFont="1" applyFill="1" applyBorder="1" applyAlignment="1" applyProtection="1">
      <alignment horizontal="center" vertical="center"/>
      <protection locked="0"/>
    </xf>
    <xf numFmtId="164" fontId="62" fillId="2" borderId="27" xfId="2" applyNumberFormat="1" applyFont="1" applyFill="1" applyBorder="1" applyAlignment="1">
      <alignment horizontal="center" vertical="center"/>
    </xf>
    <xf numFmtId="164" fontId="62" fillId="2" borderId="26" xfId="2" applyNumberFormat="1" applyFont="1" applyFill="1" applyBorder="1" applyAlignment="1">
      <alignment horizontal="center" vertical="center"/>
    </xf>
    <xf numFmtId="164" fontId="62" fillId="2" borderId="38" xfId="2" applyNumberFormat="1" applyFont="1" applyFill="1" applyBorder="1" applyAlignment="1">
      <alignment horizontal="center" vertical="center"/>
    </xf>
    <xf numFmtId="164" fontId="18" fillId="2" borderId="28" xfId="2" applyNumberFormat="1" applyFont="1" applyFill="1" applyBorder="1" applyAlignment="1" applyProtection="1">
      <alignment horizontal="center" vertical="center"/>
      <protection locked="0"/>
    </xf>
    <xf numFmtId="0" fontId="26" fillId="2" borderId="4" xfId="2" applyFont="1" applyFill="1" applyBorder="1" applyAlignment="1" applyProtection="1">
      <alignment horizontal="center" vertical="center"/>
    </xf>
    <xf numFmtId="169" fontId="18" fillId="2" borderId="13" xfId="2" applyNumberFormat="1" applyFont="1" applyFill="1" applyBorder="1" applyAlignment="1" applyProtection="1">
      <alignment horizontal="center" vertical="center"/>
      <protection locked="0"/>
    </xf>
    <xf numFmtId="164" fontId="61" fillId="2" borderId="0" xfId="2" applyNumberFormat="1" applyFont="1" applyFill="1" applyBorder="1" applyAlignment="1" applyProtection="1">
      <alignment horizontal="center" vertical="center"/>
    </xf>
    <xf numFmtId="164" fontId="88" fillId="2" borderId="0" xfId="2" applyNumberFormat="1" applyFont="1" applyFill="1" applyAlignment="1">
      <alignment horizontal="center" vertical="center" wrapText="1"/>
    </xf>
    <xf numFmtId="164" fontId="18" fillId="2" borderId="26" xfId="2" applyNumberFormat="1" applyFont="1" applyFill="1" applyBorder="1" applyAlignment="1">
      <alignment horizontal="right"/>
    </xf>
    <xf numFmtId="0" fontId="26" fillId="2" borderId="9" xfId="2" applyFont="1" applyFill="1" applyBorder="1" applyAlignment="1" applyProtection="1">
      <alignment horizontal="center" vertical="center"/>
    </xf>
    <xf numFmtId="164" fontId="13" fillId="2" borderId="28" xfId="2" applyNumberFormat="1" applyFont="1" applyFill="1" applyBorder="1" applyAlignment="1" applyProtection="1">
      <alignment horizontal="center" vertical="center"/>
      <protection locked="0"/>
    </xf>
    <xf numFmtId="164" fontId="13" fillId="2" borderId="13" xfId="2" applyNumberFormat="1" applyFont="1" applyFill="1" applyBorder="1" applyAlignment="1" applyProtection="1">
      <alignment horizontal="center" vertical="center"/>
      <protection locked="0"/>
    </xf>
    <xf numFmtId="164" fontId="13" fillId="2" borderId="30" xfId="2" applyNumberFormat="1" applyFont="1" applyFill="1" applyBorder="1" applyAlignment="1" applyProtection="1">
      <alignment horizontal="center" vertical="center"/>
      <protection locked="0"/>
    </xf>
    <xf numFmtId="169" fontId="25" fillId="2" borderId="4" xfId="2" applyNumberFormat="1" applyFont="1" applyFill="1" applyBorder="1" applyAlignment="1" applyProtection="1">
      <alignment horizontal="center" vertical="center"/>
      <protection hidden="1"/>
    </xf>
    <xf numFmtId="1" fontId="13" fillId="2" borderId="13" xfId="2" applyNumberFormat="1" applyFont="1" applyFill="1" applyBorder="1" applyAlignment="1" applyProtection="1">
      <alignment horizontal="center" vertical="center"/>
      <protection locked="0"/>
    </xf>
    <xf numFmtId="164" fontId="16" fillId="2" borderId="26" xfId="2" applyNumberFormat="1" applyFont="1" applyFill="1" applyBorder="1" applyAlignment="1">
      <alignment horizontal="center"/>
    </xf>
    <xf numFmtId="0" fontId="25" fillId="2" borderId="9" xfId="2" applyFont="1" applyFill="1" applyBorder="1" applyAlignment="1" applyProtection="1">
      <alignment horizontal="center" vertical="center"/>
    </xf>
    <xf numFmtId="0" fontId="25" fillId="2" borderId="4" xfId="2" applyFont="1" applyFill="1" applyBorder="1" applyAlignment="1" applyProtection="1">
      <alignment horizontal="center" vertical="center"/>
    </xf>
    <xf numFmtId="0" fontId="25" fillId="2" borderId="5" xfId="2" applyFont="1" applyFill="1" applyBorder="1" applyAlignment="1" applyProtection="1">
      <alignment horizontal="center" vertical="center"/>
    </xf>
    <xf numFmtId="164" fontId="102" fillId="2" borderId="0" xfId="2" applyNumberFormat="1" applyFont="1" applyFill="1" applyAlignment="1">
      <alignment horizontal="center" vertical="center"/>
    </xf>
    <xf numFmtId="0" fontId="101" fillId="2" borderId="0" xfId="16" applyFont="1" applyFill="1" applyAlignment="1">
      <alignment horizontal="center"/>
    </xf>
    <xf numFmtId="0" fontId="98" fillId="2" borderId="3" xfId="16" applyFont="1" applyFill="1" applyBorder="1" applyAlignment="1">
      <alignment horizontal="center"/>
    </xf>
    <xf numFmtId="0" fontId="18" fillId="2" borderId="4" xfId="16" applyFont="1" applyFill="1" applyBorder="1" applyAlignment="1">
      <alignment horizontal="left" vertical="center"/>
    </xf>
    <xf numFmtId="0" fontId="18" fillId="2" borderId="0" xfId="16" applyFont="1" applyFill="1" applyBorder="1" applyAlignment="1">
      <alignment horizontal="left" vertical="center"/>
    </xf>
    <xf numFmtId="0" fontId="18" fillId="2" borderId="3" xfId="16" applyFont="1" applyFill="1" applyBorder="1" applyAlignment="1">
      <alignment horizontal="left" vertical="center"/>
    </xf>
    <xf numFmtId="0" fontId="26" fillId="2" borderId="4" xfId="16" applyFont="1" applyFill="1" applyBorder="1" applyAlignment="1">
      <alignment horizontal="right" vertical="center" indent="2"/>
    </xf>
    <xf numFmtId="0" fontId="26" fillId="2" borderId="0" xfId="16" applyFont="1" applyFill="1" applyBorder="1" applyAlignment="1">
      <alignment horizontal="right" vertical="center" indent="2"/>
    </xf>
    <xf numFmtId="0" fontId="26" fillId="2" borderId="3" xfId="16" applyFont="1" applyFill="1" applyBorder="1" applyAlignment="1">
      <alignment horizontal="right" vertical="center" indent="2"/>
    </xf>
    <xf numFmtId="164" fontId="21" fillId="2" borderId="26" xfId="2" applyNumberFormat="1" applyFont="1" applyFill="1" applyBorder="1" applyAlignment="1">
      <alignment horizontal="center"/>
    </xf>
    <xf numFmtId="164" fontId="13" fillId="2" borderId="4" xfId="6" applyNumberFormat="1" applyFont="1" applyFill="1" applyBorder="1" applyAlignment="1" applyProtection="1">
      <alignment horizontal="left" vertical="center"/>
    </xf>
    <xf numFmtId="164" fontId="13" fillId="2" borderId="3" xfId="6" applyNumberFormat="1" applyFont="1" applyFill="1" applyBorder="1" applyAlignment="1" applyProtection="1">
      <alignment horizontal="left" vertical="center"/>
    </xf>
    <xf numFmtId="164" fontId="13" fillId="2" borderId="0" xfId="6" applyNumberFormat="1" applyFont="1" applyFill="1" applyBorder="1" applyAlignment="1" applyProtection="1">
      <alignment horizontal="center" vertical="center"/>
    </xf>
    <xf numFmtId="164" fontId="25" fillId="2" borderId="0" xfId="6" applyNumberFormat="1" applyFont="1" applyFill="1" applyAlignment="1">
      <alignment horizontal="center" vertical="center"/>
    </xf>
    <xf numFmtId="164" fontId="13" fillId="2" borderId="3" xfId="6" applyNumberFormat="1" applyFont="1" applyFill="1" applyBorder="1" applyAlignment="1" applyProtection="1">
      <alignment horizontal="center" vertical="center"/>
    </xf>
    <xf numFmtId="164" fontId="21" fillId="2" borderId="0" xfId="6" applyNumberFormat="1" applyFont="1" applyFill="1" applyBorder="1" applyAlignment="1" applyProtection="1">
      <alignment horizontal="center" vertical="center"/>
    </xf>
    <xf numFmtId="164" fontId="11" fillId="2" borderId="0" xfId="6" applyNumberFormat="1" applyFont="1" applyFill="1" applyAlignment="1">
      <alignment horizontal="center" vertical="center"/>
    </xf>
    <xf numFmtId="164" fontId="21" fillId="2" borderId="4" xfId="6" applyNumberFormat="1" applyFont="1" applyFill="1" applyBorder="1" applyAlignment="1" applyProtection="1">
      <alignment horizontal="left" vertical="center"/>
    </xf>
    <xf numFmtId="164" fontId="21" fillId="2" borderId="3" xfId="6" applyNumberFormat="1" applyFont="1" applyFill="1" applyBorder="1" applyAlignment="1" applyProtection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5" fillId="2" borderId="0" xfId="5" applyNumberFormat="1" applyFont="1" applyFill="1" applyAlignment="1">
      <alignment horizontal="center"/>
    </xf>
    <xf numFmtId="164" fontId="4" fillId="2" borderId="7" xfId="5" applyNumberFormat="1" applyFont="1" applyFill="1" applyBorder="1" applyAlignment="1">
      <alignment horizontal="center"/>
    </xf>
    <xf numFmtId="164" fontId="4" fillId="2" borderId="3" xfId="5" applyNumberFormat="1" applyFont="1" applyFill="1" applyBorder="1" applyAlignment="1">
      <alignment horizontal="center"/>
    </xf>
    <xf numFmtId="164" fontId="2" fillId="2" borderId="0" xfId="5" applyNumberFormat="1" applyFont="1" applyFill="1" applyAlignment="1">
      <alignment horizontal="center"/>
    </xf>
    <xf numFmtId="0" fontId="22" fillId="2" borderId="0" xfId="0" applyFont="1" applyFill="1" applyAlignment="1">
      <alignment horizontal="right" vertical="top" wrapText="1"/>
    </xf>
    <xf numFmtId="0" fontId="31" fillId="2" borderId="0" xfId="0" applyFont="1" applyFill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 wrapText="1"/>
    </xf>
    <xf numFmtId="0" fontId="22" fillId="2" borderId="0" xfId="0" applyNumberFormat="1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top" wrapText="1"/>
    </xf>
    <xf numFmtId="0" fontId="23" fillId="2" borderId="0" xfId="0" applyFont="1" applyFill="1" applyAlignment="1">
      <alignment horizontal="center" vertical="top"/>
    </xf>
    <xf numFmtId="0" fontId="13" fillId="2" borderId="4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right" vertical="center" wrapText="1"/>
    </xf>
    <xf numFmtId="0" fontId="25" fillId="2" borderId="0" xfId="0" applyFont="1" applyFill="1" applyBorder="1" applyAlignment="1">
      <alignment horizontal="right" vertical="center" wrapText="1"/>
    </xf>
    <xf numFmtId="0" fontId="25" fillId="2" borderId="3" xfId="0" applyFont="1" applyFill="1" applyBorder="1" applyAlignment="1">
      <alignment horizontal="right" vertical="center" wrapText="1"/>
    </xf>
    <xf numFmtId="0" fontId="26" fillId="2" borderId="45" xfId="0" applyFont="1" applyFill="1" applyBorder="1" applyAlignment="1">
      <alignment horizontal="center" vertical="center" wrapText="1"/>
    </xf>
    <xf numFmtId="0" fontId="26" fillId="2" borderId="46" xfId="0" applyFont="1" applyFill="1" applyBorder="1" applyAlignment="1">
      <alignment horizontal="center" vertical="center" wrapText="1"/>
    </xf>
    <xf numFmtId="0" fontId="27" fillId="2" borderId="47" xfId="0" applyFont="1" applyFill="1" applyBorder="1" applyAlignment="1">
      <alignment horizontal="center" vertical="center" wrapText="1" readingOrder="2"/>
    </xf>
    <xf numFmtId="0" fontId="27" fillId="2" borderId="45" xfId="0" applyFont="1" applyFill="1" applyBorder="1" applyAlignment="1">
      <alignment horizontal="center" vertical="center" wrapText="1" readingOrder="2"/>
    </xf>
    <xf numFmtId="0" fontId="27" fillId="2" borderId="46" xfId="0" applyFont="1" applyFill="1" applyBorder="1" applyAlignment="1">
      <alignment horizontal="center" vertical="center" wrapText="1" readingOrder="2"/>
    </xf>
    <xf numFmtId="0" fontId="11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 wrapText="1"/>
    </xf>
    <xf numFmtId="0" fontId="44" fillId="2" borderId="3" xfId="0" applyFont="1" applyFill="1" applyBorder="1" applyAlignment="1">
      <alignment horizontal="right" vertical="center" wrapText="1"/>
    </xf>
    <xf numFmtId="0" fontId="25" fillId="2" borderId="49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 readingOrder="2"/>
    </xf>
    <xf numFmtId="0" fontId="25" fillId="2" borderId="11" xfId="0" applyFont="1" applyFill="1" applyBorder="1" applyAlignment="1">
      <alignment horizontal="center" vertical="center" wrapText="1" readingOrder="2"/>
    </xf>
    <xf numFmtId="0" fontId="57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center" vertical="top"/>
    </xf>
    <xf numFmtId="0" fontId="21" fillId="2" borderId="51" xfId="0" applyFont="1" applyFill="1" applyBorder="1" applyAlignment="1">
      <alignment horizontal="center" vertical="center" wrapText="1"/>
    </xf>
    <xf numFmtId="44" fontId="21" fillId="2" borderId="52" xfId="14" applyFont="1" applyFill="1" applyBorder="1" applyAlignment="1">
      <alignment horizontal="center" vertical="center" wrapText="1"/>
    </xf>
    <xf numFmtId="44" fontId="21" fillId="2" borderId="51" xfId="14" applyFont="1" applyFill="1" applyBorder="1" applyAlignment="1">
      <alignment horizontal="center" vertical="center" wrapText="1"/>
    </xf>
  </cellXfs>
  <cellStyles count="18">
    <cellStyle name="Comma" xfId="1" builtinId="3"/>
    <cellStyle name="Comma 2" xfId="10"/>
    <cellStyle name="Comma 3" xfId="11"/>
    <cellStyle name="Comma 4" xfId="7"/>
    <cellStyle name="Comma 6" xfId="13"/>
    <cellStyle name="Comma_13 Public Finance_done" xfId="3"/>
    <cellStyle name="Currency" xfId="14" builtinId="4"/>
    <cellStyle name="Excel Built-in Comma" xfId="9"/>
    <cellStyle name="Excel Built-in Normal" xfId="8"/>
    <cellStyle name="Normal" xfId="0" builtinId="0"/>
    <cellStyle name="Normal 2" xfId="17"/>
    <cellStyle name="Normal 4" xfId="12"/>
    <cellStyle name="Normal_13 Public Finance" xfId="5"/>
    <cellStyle name="Normal_13 Public Finance_done" xfId="2"/>
    <cellStyle name="Normal_13 Public Finance_done 2" xfId="6"/>
    <cellStyle name="Normal_EXDT-MPHRE (1)" xfId="16"/>
    <cellStyle name="Normal_X-5 (Electricity)" xfId="4"/>
    <cellStyle name="Percent" xfId="15" builtinId="5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33CCCC"/>
            </a:solidFill>
            <a:ln w="25400">
              <a:noFill/>
            </a:ln>
          </c:spPr>
          <c:invertIfNegative val="0"/>
          <c:cat>
            <c:strRef>
              <c:f>'Fig 1.5 &amp; 1.6'!$B$4:$M$4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1.6'!$B$5:$M$5</c:f>
              <c:numCache>
                <c:formatCode>0.00</c:formatCode>
                <c:ptCount val="12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1719.7020305552883</c:v>
                </c:pt>
                <c:pt idx="9">
                  <c:v>2002.5255470000002</c:v>
                </c:pt>
                <c:pt idx="10">
                  <c:v>1850.2315947099999</c:v>
                </c:pt>
                <c:pt idx="11">
                  <c:v>1086.6580180000001</c:v>
                </c:pt>
              </c:numCache>
            </c:numRef>
          </c:val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1C706E"/>
            </a:solidFill>
            <a:ln w="25400">
              <a:noFill/>
            </a:ln>
          </c:spPr>
          <c:invertIfNegative val="0"/>
          <c:cat>
            <c:strRef>
              <c:f>'Fig 1.5 &amp; 1.6'!$B$4:$M$4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1.6'!$B$6:$M$6</c:f>
              <c:numCache>
                <c:formatCode>0.00</c:formatCode>
                <c:ptCount val="12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1989.8133760633332</c:v>
                </c:pt>
                <c:pt idx="9">
                  <c:v>4171.0280739999998</c:v>
                </c:pt>
                <c:pt idx="10">
                  <c:v>4233.077045</c:v>
                </c:pt>
                <c:pt idx="11">
                  <c:v>3170.7842250000003</c:v>
                </c:pt>
              </c:numCache>
            </c:numRef>
          </c:val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00A8A4"/>
            </a:solidFill>
            <a:ln w="25400">
              <a:noFill/>
            </a:ln>
          </c:spPr>
          <c:invertIfNegative val="0"/>
          <c:cat>
            <c:strRef>
              <c:f>'Fig 1.5 &amp; 1.6'!$B$4:$M$4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1.6'!$B$7:$M$7</c:f>
              <c:numCache>
                <c:formatCode>0.00</c:formatCode>
                <c:ptCount val="12"/>
                <c:pt idx="0">
                  <c:v>329.9</c:v>
                </c:pt>
                <c:pt idx="1">
                  <c:v>937.10000000000014</c:v>
                </c:pt>
                <c:pt idx="2" formatCode="#,##0.0">
                  <c:v>581.73487699999998</c:v>
                </c:pt>
                <c:pt idx="3" formatCode="#,##0.0">
                  <c:v>174.8779509</c:v>
                </c:pt>
                <c:pt idx="4" formatCode="#,##0.0">
                  <c:v>919.10181</c:v>
                </c:pt>
                <c:pt idx="5" formatCode="#,##0.0">
                  <c:v>662.15555800000004</c:v>
                </c:pt>
                <c:pt idx="6" formatCode="#,##0.0">
                  <c:v>522.22979633</c:v>
                </c:pt>
                <c:pt idx="7" formatCode="#,##0.0">
                  <c:v>750.4553719999999</c:v>
                </c:pt>
                <c:pt idx="8" formatCode="#,##0.0">
                  <c:v>1495.8268652273334</c:v>
                </c:pt>
                <c:pt idx="9" formatCode="#,##0.0">
                  <c:v>3856.0642340000004</c:v>
                </c:pt>
                <c:pt idx="10" formatCode="#,##0.0">
                  <c:v>4514.7370679999995</c:v>
                </c:pt>
                <c:pt idx="11" formatCode="#,##0.0">
                  <c:v>4568.8097980000002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01568"/>
        <c:axId val="119903360"/>
      </c:barChart>
      <c:catAx>
        <c:axId val="11990156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903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903360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119901568"/>
        <c:crosses val="autoZero"/>
        <c:crossBetween val="between"/>
        <c:majorUnit val="500"/>
      </c:valAx>
      <c:spPr>
        <a:solidFill>
          <a:srgbClr val="E7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E7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1C706E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1.6'!$B$35:$M$35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1.6'!$B$36:$M$36</c:f>
              <c:numCache>
                <c:formatCode>_(* #,##0.0_);_(* \(#,##0.0\);_(* "-"??_);_(@_)</c:formatCode>
                <c:ptCount val="12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6115.5350003278891</c:v>
                </c:pt>
                <c:pt idx="9">
                  <c:v>5935.9640506565102</c:v>
                </c:pt>
                <c:pt idx="10">
                  <c:v>5914.9155266565103</c:v>
                </c:pt>
                <c:pt idx="11">
                  <c:v>5899.0648216565105</c:v>
                </c:pt>
              </c:numCache>
            </c:numRef>
          </c:val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33CCCC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1.6'!$B$35:$M$35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1.6'!$B$37:$M$37</c:f>
              <c:numCache>
                <c:formatCode>_(* #,##0.0_);_(* \(#,##0.0\);_(* "-"??_);_(@_)</c:formatCode>
                <c:ptCount val="12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8236.5298372533343</c:v>
                </c:pt>
                <c:pt idx="9">
                  <c:v>8411.2020310000007</c:v>
                </c:pt>
                <c:pt idx="10">
                  <c:v>8505.485897999999</c:v>
                </c:pt>
                <c:pt idx="11">
                  <c:v>8395.9167649999999</c:v>
                </c:pt>
              </c:numCache>
            </c:numRef>
          </c:val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00A8A4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1.6'!$B$35:$M$35</c:f>
              <c:strCache>
                <c:ptCount val="12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 Rev</c:v>
                </c:pt>
                <c:pt idx="9">
                  <c:v>2016 MTEF</c:v>
                </c:pt>
                <c:pt idx="10">
                  <c:v>2017 MTEF</c:v>
                </c:pt>
                <c:pt idx="11">
                  <c:v>2018 MTEF</c:v>
                </c:pt>
              </c:strCache>
            </c:strRef>
          </c:cat>
          <c:val>
            <c:numRef>
              <c:f>'Fig 1.5 &amp; 1.6'!$B$38:$M$38</c:f>
              <c:numCache>
                <c:formatCode>_(* #,##0.0_);_(* \(#,##0.0\);_(* "-"??_);_(@_)</c:formatCode>
                <c:ptCount val="12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426.31473999333332</c:v>
                </c:pt>
                <c:pt idx="9">
                  <c:v>599.87789899999996</c:v>
                </c:pt>
                <c:pt idx="10">
                  <c:v>551.79408100000012</c:v>
                </c:pt>
                <c:pt idx="11">
                  <c:v>530.95678599999997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926144"/>
        <c:axId val="121787520"/>
      </c:barChart>
      <c:catAx>
        <c:axId val="11992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787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7875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926144"/>
        <c:crosses val="autoZero"/>
        <c:crossBetween val="between"/>
        <c:majorUnit val="500"/>
      </c:valAx>
      <c:spPr>
        <a:solidFill>
          <a:srgbClr val="E7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E7FFFF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13.2: Government revenue and expenditure, 2003- 2015</a:t>
            </a:r>
          </a:p>
        </c:rich>
      </c:tx>
      <c:layout>
        <c:manualLayout>
          <c:xMode val="edge"/>
          <c:yMode val="edge"/>
          <c:x val="0.20474690190091679"/>
          <c:y val="2.9415699066224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960984120464424E-2"/>
          <c:y val="0.13437777485895319"/>
          <c:w val="0.89152144492924257"/>
          <c:h val="0.756651944088502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'Fig13.1&amp;13.2'!$A$59</c:f>
              <c:strCache>
                <c:ptCount val="1"/>
                <c:pt idx="0">
                  <c:v>Current expenditure</c:v>
                </c:pt>
              </c:strCache>
            </c:strRef>
          </c:tx>
          <c:spPr>
            <a:solidFill>
              <a:srgbClr val="7DDFDD"/>
            </a:solidFill>
            <a:ln w="12700">
              <a:solidFill>
                <a:schemeClr val="bg1"/>
              </a:solidFill>
              <a:prstDash val="solid"/>
            </a:ln>
          </c:spPr>
          <c:invertIfNegative val="0"/>
          <c:cat>
            <c:numRef>
              <c:f>'Fig13.1&amp;13.2'!$B$58:$N$58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'Fig13.1&amp;13.2'!$B$59:$N$59</c:f>
              <c:numCache>
                <c:formatCode>_(* #,##0.0_);_(* \(#,##0.0\);_(* "-"??_);_(@_)</c:formatCode>
                <c:ptCount val="13"/>
                <c:pt idx="0">
                  <c:v>2345.6999999999998</c:v>
                </c:pt>
                <c:pt idx="1">
                  <c:v>2788.1</c:v>
                </c:pt>
                <c:pt idx="2">
                  <c:v>4643.3</c:v>
                </c:pt>
                <c:pt idx="3">
                  <c:v>5607.8000000000011</c:v>
                </c:pt>
                <c:pt idx="4">
                  <c:v>6560.1</c:v>
                </c:pt>
                <c:pt idx="5">
                  <c:v>7463.2</c:v>
                </c:pt>
                <c:pt idx="6">
                  <c:v>8764.9308290000008</c:v>
                </c:pt>
                <c:pt idx="7">
                  <c:v>8428.0733739999996</c:v>
                </c:pt>
                <c:pt idx="8">
                  <c:v>9075.7434510000003</c:v>
                </c:pt>
                <c:pt idx="9">
                  <c:v>10316.485255</c:v>
                </c:pt>
                <c:pt idx="10">
                  <c:v>11573.214585849999</c:v>
                </c:pt>
                <c:pt idx="11">
                  <c:v>13959.968519999999</c:v>
                </c:pt>
                <c:pt idx="12">
                  <c:v>16234.897878692473</c:v>
                </c:pt>
              </c:numCache>
            </c:numRef>
          </c:val>
        </c:ser>
        <c:ser>
          <c:idx val="0"/>
          <c:order val="1"/>
          <c:tx>
            <c:strRef>
              <c:f>'Fig13.1&amp;13.2'!$A$60</c:f>
              <c:strCache>
                <c:ptCount val="1"/>
                <c:pt idx="0">
                  <c:v>Capital expenditure </c:v>
                </c:pt>
              </c:strCache>
            </c:strRef>
          </c:tx>
          <c:spPr>
            <a:solidFill>
              <a:srgbClr val="1C706E"/>
            </a:solidFill>
            <a:ln w="12700">
              <a:solidFill>
                <a:schemeClr val="bg1"/>
              </a:solidFill>
              <a:prstDash val="solid"/>
            </a:ln>
          </c:spPr>
          <c:invertIfNegative val="0"/>
          <c:cat>
            <c:numRef>
              <c:f>'Fig13.1&amp;13.2'!$B$58:$N$58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'Fig13.1&amp;13.2'!$B$60:$N$60</c:f>
              <c:numCache>
                <c:formatCode>_(* #,##0.0_);_(* \(#,##0.0\);_(* "-"??_);_(@_)</c:formatCode>
                <c:ptCount val="13"/>
                <c:pt idx="0">
                  <c:v>1206.2</c:v>
                </c:pt>
                <c:pt idx="1">
                  <c:v>991</c:v>
                </c:pt>
                <c:pt idx="2">
                  <c:v>1132.0999999999999</c:v>
                </c:pt>
                <c:pt idx="3">
                  <c:v>1458.4</c:v>
                </c:pt>
                <c:pt idx="4">
                  <c:v>1765.3000000000002</c:v>
                </c:pt>
                <c:pt idx="5">
                  <c:v>2879.2</c:v>
                </c:pt>
                <c:pt idx="6">
                  <c:v>2339.3396600000005</c:v>
                </c:pt>
                <c:pt idx="7">
                  <c:v>2568.2887288999996</c:v>
                </c:pt>
                <c:pt idx="8">
                  <c:v>3587.9832149999993</c:v>
                </c:pt>
                <c:pt idx="9">
                  <c:v>2883.7493060000002</c:v>
                </c:pt>
                <c:pt idx="10">
                  <c:v>2093.0414239399997</c:v>
                </c:pt>
                <c:pt idx="11">
                  <c:v>2579.4051260000006</c:v>
                </c:pt>
                <c:pt idx="12">
                  <c:v>5064.7574737806672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21546624"/>
        <c:axId val="121556992"/>
      </c:barChart>
      <c:lineChart>
        <c:grouping val="standard"/>
        <c:varyColors val="0"/>
        <c:ser>
          <c:idx val="2"/>
          <c:order val="2"/>
          <c:tx>
            <c:strRef>
              <c:f>'Fig13.1&amp;13.2'!$A$61</c:f>
              <c:strCache>
                <c:ptCount val="1"/>
                <c:pt idx="0">
                  <c:v>Tax Revenue</c:v>
                </c:pt>
              </c:strCache>
            </c:strRef>
          </c:tx>
          <c:spPr>
            <a:ln w="25400">
              <a:solidFill>
                <a:schemeClr val="accent5">
                  <a:lumMod val="50000"/>
                </a:scheme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C706E"/>
              </a:solidFill>
              <a:ln w="12700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cat>
            <c:numRef>
              <c:f>'Fig13.1&amp;13.2'!$B$58:$N$58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'Fig13.1&amp;13.2'!$B$61:$N$61</c:f>
              <c:numCache>
                <c:formatCode>_(* #,##0.0_);_(* \(#,##0.0\);_(* "-"??_);_(@_)</c:formatCode>
                <c:ptCount val="13"/>
                <c:pt idx="0">
                  <c:v>1268.7</c:v>
                </c:pt>
                <c:pt idx="1">
                  <c:v>1647.2</c:v>
                </c:pt>
                <c:pt idx="2">
                  <c:v>1722.8</c:v>
                </c:pt>
                <c:pt idx="3">
                  <c:v>2370.3000000000002</c:v>
                </c:pt>
                <c:pt idx="4">
                  <c:v>2905.1000000000004</c:v>
                </c:pt>
                <c:pt idx="5">
                  <c:v>3366.8</c:v>
                </c:pt>
                <c:pt idx="6">
                  <c:v>2731.9902730000003</c:v>
                </c:pt>
                <c:pt idx="7">
                  <c:v>2931.0472653899988</c:v>
                </c:pt>
                <c:pt idx="8">
                  <c:v>4892.9547389999998</c:v>
                </c:pt>
                <c:pt idx="9">
                  <c:v>6880.0618489999988</c:v>
                </c:pt>
                <c:pt idx="10">
                  <c:v>8872.8437029999986</c:v>
                </c:pt>
                <c:pt idx="11">
                  <c:v>10837.855577</c:v>
                </c:pt>
                <c:pt idx="12">
                  <c:v>12144.954811876654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'Fig13.1&amp;13.2'!$A$62</c:f>
              <c:strCache>
                <c:ptCount val="1"/>
                <c:pt idx="0">
                  <c:v>Non-tax Revenue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A8A4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numRef>
              <c:f>'Fig13.1&amp;13.2'!$B$58:$N$58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'Fig13.1&amp;13.2'!$B$62:$N$62</c:f>
              <c:numCache>
                <c:formatCode>_(* #,##0.0_);_(* \(#,##0.0\);_(* "-"??_);_(@_)</c:formatCode>
                <c:ptCount val="13"/>
                <c:pt idx="0">
                  <c:v>1668.1</c:v>
                </c:pt>
                <c:pt idx="1">
                  <c:v>1683.9</c:v>
                </c:pt>
                <c:pt idx="2">
                  <c:v>2030.5</c:v>
                </c:pt>
                <c:pt idx="3">
                  <c:v>2865.5</c:v>
                </c:pt>
                <c:pt idx="4">
                  <c:v>3585.6000000000004</c:v>
                </c:pt>
                <c:pt idx="5">
                  <c:v>3530.4399999999996</c:v>
                </c:pt>
                <c:pt idx="6">
                  <c:v>2567.4414229999993</c:v>
                </c:pt>
                <c:pt idx="7">
                  <c:v>3411.9841732599989</c:v>
                </c:pt>
                <c:pt idx="8">
                  <c:v>3744.7069500000007</c:v>
                </c:pt>
                <c:pt idx="9">
                  <c:v>2843.3084128</c:v>
                </c:pt>
                <c:pt idx="10">
                  <c:v>2642.1310951999994</c:v>
                </c:pt>
                <c:pt idx="11">
                  <c:v>4036.9878939999999</c:v>
                </c:pt>
                <c:pt idx="12">
                  <c:v>4331.7897080287785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58912"/>
        <c:axId val="121560448"/>
      </c:lineChart>
      <c:catAx>
        <c:axId val="12154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569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1556992"/>
        <c:scaling>
          <c:orientation val="minMax"/>
        </c:scaling>
        <c:delete val="0"/>
        <c:axPos val="l"/>
        <c:majorGridlines>
          <c:spPr>
            <a:ln w="3175">
              <a:solidFill>
                <a:srgbClr val="1C706E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Million Rufiyaa</a:t>
                </a:r>
              </a:p>
            </c:rich>
          </c:tx>
          <c:layout>
            <c:manualLayout>
              <c:xMode val="edge"/>
              <c:yMode val="edge"/>
              <c:x val="2.2779727629927183E-2"/>
              <c:y val="3.8974940812513861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6624"/>
        <c:crosses val="autoZero"/>
        <c:crossBetween val="between"/>
      </c:valAx>
      <c:catAx>
        <c:axId val="12155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1560448"/>
        <c:crosses val="autoZero"/>
        <c:auto val="0"/>
        <c:lblAlgn val="ctr"/>
        <c:lblOffset val="100"/>
        <c:noMultiLvlLbl val="0"/>
      </c:catAx>
      <c:valAx>
        <c:axId val="121560448"/>
        <c:scaling>
          <c:orientation val="minMax"/>
        </c:scaling>
        <c:delete val="1"/>
        <c:axPos val="l"/>
        <c:numFmt formatCode="_(* #,##0.0_);_(* \(#,##0.0\);_(* &quot;-&quot;??_);_(@_)" sourceLinked="1"/>
        <c:majorTickMark val="out"/>
        <c:minorTickMark val="none"/>
        <c:tickLblPos val="none"/>
        <c:crossAx val="121558912"/>
        <c:crosses val="autoZero"/>
        <c:crossBetween val="between"/>
      </c:valAx>
      <c:spPr>
        <a:solidFill>
          <a:srgbClr val="E7FFFF"/>
        </a:solidFill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589234094029128"/>
          <c:y val="0.21962507361793487"/>
          <c:w val="0.71433280286594125"/>
          <c:h val="6.487094390146909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300" verticalDpi="3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DISTRIBUTION OF CURRENT EXPENDITURE, 1998 - 2007</a:t>
            </a:r>
          </a:p>
        </c:rich>
      </c:tx>
      <c:layout>
        <c:manualLayout>
          <c:xMode val="edge"/>
          <c:yMode val="edge"/>
          <c:x val="0.19965870307167236"/>
          <c:y val="3.50876510806519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30789241471951E-2"/>
          <c:y val="0.14912323283086978"/>
          <c:w val="0.84983005965202063"/>
          <c:h val="0.6403527056854946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'[2]Fig13.1&amp;13.2'!$A$10</c:f>
              <c:strCache>
                <c:ptCount val="1"/>
                <c:pt idx="0">
                  <c:v>Expenditure on goods and services</c:v>
                </c:pt>
              </c:strCache>
            </c:strRef>
          </c:tx>
          <c:spPr>
            <a:gradFill rotWithShape="0">
              <a:gsLst>
                <a:gs pos="0">
                  <a:srgbClr val="9999FF">
                    <a:gamma/>
                    <a:shade val="46275"/>
                    <a:invGamma/>
                  </a:srgbClr>
                </a:gs>
                <a:gs pos="50000">
                  <a:srgbClr val="9999FF"/>
                </a:gs>
                <a:gs pos="100000">
                  <a:srgbClr val="9999FF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1.2964447415638007E-2"/>
                  <c:y val="-3.48536475664901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6232319614406114E-3"/>
                  <c:y val="-3.51460754219020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3756558307236485E-2"/>
                  <c:y val="-3.54385032773142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60228392914167E-2"/>
                  <c:y val="-3.57309311327265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8143836931579292E-3"/>
                  <c:y val="-3.60233589881388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0250420920148278E-2"/>
                  <c:y val="-3.33918018860831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3.1254753610323377E-3"/>
                  <c:y val="-3.36842297414954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2.0056665235002337E-3"/>
                  <c:y val="-3.10526726394398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2.0265274013707001E-2"/>
                  <c:y val="-3.42690854523200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2.0329796226104601E-4"/>
                  <c:y val="-3.45612063285608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'[2]Fig13.1&amp;13.2'!$B$9:$K$9</c:f>
              <c:numCache>
                <c:formatCode>General</c:formatCode>
                <c:ptCount val="1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</c:numCache>
            </c:numRef>
          </c:cat>
          <c:val>
            <c:numRef>
              <c:f>'[2]Fig13.1&amp;13.2'!$B$10:$K$10</c:f>
              <c:numCache>
                <c:formatCode>General</c:formatCode>
                <c:ptCount val="10"/>
                <c:pt idx="0">
                  <c:v>91.563294552739038</c:v>
                </c:pt>
                <c:pt idx="1">
                  <c:v>91.996117761242317</c:v>
                </c:pt>
                <c:pt idx="2">
                  <c:v>92.819446665600509</c:v>
                </c:pt>
                <c:pt idx="3">
                  <c:v>92.563660342903518</c:v>
                </c:pt>
                <c:pt idx="4">
                  <c:v>91.959798994974875</c:v>
                </c:pt>
                <c:pt idx="5">
                  <c:v>92.71006522573218</c:v>
                </c:pt>
                <c:pt idx="6">
                  <c:v>93.282163480506455</c:v>
                </c:pt>
                <c:pt idx="7">
                  <c:v>91.764477849805104</c:v>
                </c:pt>
                <c:pt idx="8">
                  <c:v>93.783658475694565</c:v>
                </c:pt>
                <c:pt idx="9">
                  <c:v>93.862898431426345</c:v>
                </c:pt>
              </c:numCache>
            </c:numRef>
          </c:val>
        </c:ser>
        <c:ser>
          <c:idx val="1"/>
          <c:order val="1"/>
          <c:tx>
            <c:strRef>
              <c:f>'[2]Fig13.1&amp;13.2'!$A$11</c:f>
              <c:strCache>
                <c:ptCount val="1"/>
                <c:pt idx="0">
                  <c:v>Interest payments</c:v>
                </c:pt>
              </c:strCache>
            </c:strRef>
          </c:tx>
          <c:spPr>
            <a:gradFill rotWithShape="0">
              <a:gsLst>
                <a:gs pos="0">
                  <a:srgbClr val="993366">
                    <a:gamma/>
                    <a:shade val="4627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4.5543468139981535E-3"/>
                  <c:y val="-3.48536475664901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5739515879558412E-3"/>
                  <c:y val="-3.51460754219020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2873848779723532E-3"/>
                  <c:y val="-3.54385032773142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0479664058380251E-3"/>
                  <c:y val="-3.86549160901946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5.6192904883384121E-3"/>
                  <c:y val="-3.89473439456069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3.7279327673383684E-3"/>
                  <c:y val="-3.923977180101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1.5895041097371181E-3"/>
                  <c:y val="-3.6608214698963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1.7069538580865443E-3"/>
                  <c:y val="-3.39766575969077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3.0854078279334272E-3"/>
                  <c:y val="-3.42690854523200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4.2985681866628354E-3"/>
                  <c:y val="-3.74851912860292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'[2]Fig13.1&amp;13.2'!$B$9:$K$9</c:f>
              <c:numCache>
                <c:formatCode>General</c:formatCode>
                <c:ptCount val="1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</c:numCache>
            </c:numRef>
          </c:cat>
          <c:val>
            <c:numRef>
              <c:f>'[2]Fig13.1&amp;13.2'!$B$11:$K$11</c:f>
              <c:numCache>
                <c:formatCode>General</c:formatCode>
                <c:ptCount val="10"/>
                <c:pt idx="0">
                  <c:v>6.2870791278218654</c:v>
                </c:pt>
                <c:pt idx="1">
                  <c:v>6.3862827563895177</c:v>
                </c:pt>
                <c:pt idx="2">
                  <c:v>5.6719441334825946</c:v>
                </c:pt>
                <c:pt idx="3">
                  <c:v>5.9095059348686219</c:v>
                </c:pt>
                <c:pt idx="4">
                  <c:v>6.471034417369868</c:v>
                </c:pt>
                <c:pt idx="5">
                  <c:v>5.7637379033977068</c:v>
                </c:pt>
                <c:pt idx="6">
                  <c:v>4.9711272909866935</c:v>
                </c:pt>
                <c:pt idx="7">
                  <c:v>3.3359894902332399</c:v>
                </c:pt>
                <c:pt idx="8">
                  <c:v>3.5450622347444622</c:v>
                </c:pt>
                <c:pt idx="9">
                  <c:v>3.5715918964649926</c:v>
                </c:pt>
              </c:numCache>
            </c:numRef>
          </c:val>
        </c:ser>
        <c:ser>
          <c:idx val="2"/>
          <c:order val="2"/>
          <c:tx>
            <c:strRef>
              <c:f>'[2]Fig13.1&amp;13.2'!$A$12</c:f>
              <c:strCache>
                <c:ptCount val="1"/>
                <c:pt idx="0">
                  <c:v>Subsidies and transfers</c:v>
                </c:pt>
              </c:strCache>
            </c:strRef>
          </c:tx>
          <c:spPr>
            <a:gradFill rotWithShape="0">
              <a:gsLst>
                <a:gs pos="0">
                  <a:srgbClr val="FFFFCC">
                    <a:gamma/>
                    <a:shade val="46275"/>
                    <a:invGamma/>
                  </a:srgbClr>
                </a:gs>
                <a:gs pos="50000">
                  <a:srgbClr val="FFFFCC"/>
                </a:gs>
                <a:gs pos="100000">
                  <a:srgbClr val="FFFFCC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4.4642642217549823E-3"/>
                  <c:y val="-3.77776325239580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6750838593066046E-3"/>
                  <c:y val="-4.09940453368379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780073579787139E-3"/>
                  <c:y val="-3.83624882347819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4.3331358463211895E-3"/>
                  <c:y val="-4.157890104766255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9115744914064252E-3"/>
                  <c:y val="-4.18713289030747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4.3137867291246834E-3"/>
                  <c:y val="-3.63157868435511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4.180666281472214E-3"/>
                  <c:y val="-3.953219965643150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6.0155293566734967E-3"/>
                  <c:y val="-3.10526726394398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2.8439676123186812E-3"/>
                  <c:y val="-4.01170553672560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3.3280325304163604E-3"/>
                  <c:y val="-3.45612063285608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'[2]Fig13.1&amp;13.2'!$B$9:$K$9</c:f>
              <c:numCache>
                <c:formatCode>General</c:formatCode>
                <c:ptCount val="1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</c:numCache>
            </c:numRef>
          </c:cat>
          <c:val>
            <c:numRef>
              <c:f>'[2]Fig13.1&amp;13.2'!$B$12:$K$12</c:f>
              <c:numCache>
                <c:formatCode>General</c:formatCode>
                <c:ptCount val="10"/>
                <c:pt idx="0">
                  <c:v>2.1496263194390934</c:v>
                </c:pt>
                <c:pt idx="1">
                  <c:v>1.6175994823681656</c:v>
                </c:pt>
                <c:pt idx="2">
                  <c:v>1.5086092009168932</c:v>
                </c:pt>
                <c:pt idx="3">
                  <c:v>1.5268337222278585</c:v>
                </c:pt>
                <c:pt idx="4">
                  <c:v>1.5691665876552574</c:v>
                </c:pt>
                <c:pt idx="5">
                  <c:v>1.5261968708701028</c:v>
                </c:pt>
                <c:pt idx="6">
                  <c:v>1.7467092285068688</c:v>
                </c:pt>
                <c:pt idx="7">
                  <c:v>4.8995326599616664</c:v>
                </c:pt>
                <c:pt idx="8">
                  <c:v>2.6712792895609683</c:v>
                </c:pt>
                <c:pt idx="9">
                  <c:v>2.5655096721086568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39296"/>
        <c:axId val="121640832"/>
      </c:barChart>
      <c:catAx>
        <c:axId val="12163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40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640832"/>
        <c:scaling>
          <c:orientation val="minMax"/>
          <c:max val="10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6392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7.1672354948805472E-2"/>
          <c:y val="0.9093567933637926"/>
          <c:w val="0.84641638225255744"/>
          <c:h val="6.432746832572057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0">
      <a:gsLst>
        <a:gs pos="0">
          <a:srgbClr val="CCFFCC"/>
        </a:gs>
        <a:gs pos="100000">
          <a:srgbClr val="000080"/>
        </a:gs>
      </a:gsLst>
      <a:lin ang="54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67462719723835E-2"/>
          <c:y val="0.15458937198067632"/>
          <c:w val="0.92727553746440694"/>
          <c:h val="0.6680299745140553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'Fig13.1&amp;13.2'!$A$10</c:f>
              <c:strCache>
                <c:ptCount val="1"/>
                <c:pt idx="0">
                  <c:v>Expenditure on goods and services</c:v>
                </c:pt>
              </c:strCache>
            </c:strRef>
          </c:tx>
          <c:spPr>
            <a:solidFill>
              <a:srgbClr val="00A8A4"/>
            </a:solidFill>
            <a:ln w="12700">
              <a:noFill/>
              <a:prstDash val="solid"/>
            </a:ln>
          </c:spPr>
          <c:invertIfNegative val="0"/>
          <c:cat>
            <c:numRef>
              <c:f>'Fig13.1&amp;13.2'!$J$9:$S$9</c:f>
              <c:numCache>
                <c:formatCode>General_)</c:formatCod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numCache>
            </c:numRef>
          </c:cat>
          <c:val>
            <c:numRef>
              <c:f>'Fig13.1&amp;13.2'!$J$10:$S$10</c:f>
              <c:numCache>
                <c:formatCode>0.00</c:formatCode>
                <c:ptCount val="10"/>
                <c:pt idx="0">
                  <c:v>93.783658475694565</c:v>
                </c:pt>
                <c:pt idx="1">
                  <c:v>93.862898431426345</c:v>
                </c:pt>
                <c:pt idx="2">
                  <c:v>89.82741987351271</c:v>
                </c:pt>
                <c:pt idx="3">
                  <c:v>88.140055086794121</c:v>
                </c:pt>
                <c:pt idx="4">
                  <c:v>84.40217842692897</c:v>
                </c:pt>
                <c:pt idx="5">
                  <c:v>81.010525393265652</c:v>
                </c:pt>
                <c:pt idx="6">
                  <c:v>82.578945420108582</c:v>
                </c:pt>
                <c:pt idx="7">
                  <c:v>76.40283733078796</c:v>
                </c:pt>
                <c:pt idx="8">
                  <c:v>74.763829531155451</c:v>
                </c:pt>
                <c:pt idx="9">
                  <c:v>81.16301020539079</c:v>
                </c:pt>
              </c:numCache>
            </c:numRef>
          </c:val>
        </c:ser>
        <c:ser>
          <c:idx val="1"/>
          <c:order val="1"/>
          <c:tx>
            <c:strRef>
              <c:f>'Fig13.1&amp;13.2'!$A$11</c:f>
              <c:strCache>
                <c:ptCount val="1"/>
                <c:pt idx="0">
                  <c:v>Interest payments</c:v>
                </c:pt>
              </c:strCache>
            </c:strRef>
          </c:tx>
          <c:spPr>
            <a:solidFill>
              <a:srgbClr val="7DDFDD"/>
            </a:solidFill>
            <a:ln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numRef>
              <c:f>'Fig13.1&amp;13.2'!$J$9:$S$9</c:f>
              <c:numCache>
                <c:formatCode>General_)</c:formatCod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numCache>
            </c:numRef>
          </c:cat>
          <c:val>
            <c:numRef>
              <c:f>'Fig13.1&amp;13.2'!$J$11:$S$11</c:f>
              <c:numCache>
                <c:formatCode>0.00</c:formatCode>
                <c:ptCount val="10"/>
                <c:pt idx="0">
                  <c:v>3.5450622347444622</c:v>
                </c:pt>
                <c:pt idx="1">
                  <c:v>3.5715918964649926</c:v>
                </c:pt>
                <c:pt idx="2">
                  <c:v>3.7517418801586446</c:v>
                </c:pt>
                <c:pt idx="3">
                  <c:v>7.0494427172849052</c:v>
                </c:pt>
                <c:pt idx="4">
                  <c:v>8.018414589290586</c:v>
                </c:pt>
                <c:pt idx="5">
                  <c:v>7.9969727760432692</c:v>
                </c:pt>
                <c:pt idx="6">
                  <c:v>10.731186073895085</c:v>
                </c:pt>
                <c:pt idx="7">
                  <c:v>8.2667282275206588</c:v>
                </c:pt>
                <c:pt idx="8">
                  <c:v>7.0082182743208499</c:v>
                </c:pt>
                <c:pt idx="9">
                  <c:v>8.1055913441084115</c:v>
                </c:pt>
              </c:numCache>
            </c:numRef>
          </c:val>
        </c:ser>
        <c:ser>
          <c:idx val="2"/>
          <c:order val="2"/>
          <c:tx>
            <c:strRef>
              <c:f>'Fig13.1&amp;13.2'!$A$12</c:f>
              <c:strCache>
                <c:ptCount val="1"/>
                <c:pt idx="0">
                  <c:v>Subsidies and transfers</c:v>
                </c:pt>
              </c:strCache>
            </c:strRef>
          </c:tx>
          <c:spPr>
            <a:solidFill>
              <a:srgbClr val="1C706E"/>
            </a:solidFill>
            <a:ln>
              <a:solidFill>
                <a:sysClr val="window" lastClr="FFFFFF">
                  <a:lumMod val="75000"/>
                </a:sysClr>
              </a:solidFill>
            </a:ln>
          </c:spPr>
          <c:invertIfNegative val="0"/>
          <c:cat>
            <c:numRef>
              <c:f>'Fig13.1&amp;13.2'!$J$9:$S$9</c:f>
              <c:numCache>
                <c:formatCode>General_)</c:formatCode>
                <c:ptCount val="1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numCache>
            </c:numRef>
          </c:cat>
          <c:val>
            <c:numRef>
              <c:f>'Fig13.1&amp;13.2'!$J$12:$S$12</c:f>
              <c:numCache>
                <c:formatCode>0.00</c:formatCode>
                <c:ptCount val="10"/>
                <c:pt idx="0">
                  <c:v>2.6712792895609683</c:v>
                </c:pt>
                <c:pt idx="1">
                  <c:v>2.5655096721086568</c:v>
                </c:pt>
                <c:pt idx="2">
                  <c:v>6.4208382463286515</c:v>
                </c:pt>
                <c:pt idx="3">
                  <c:v>4.8105021959209804</c:v>
                </c:pt>
                <c:pt idx="4">
                  <c:v>7.5794069837804487</c:v>
                </c:pt>
                <c:pt idx="5">
                  <c:v>10.992501830691072</c:v>
                </c:pt>
                <c:pt idx="6">
                  <c:v>6.6898685059963281</c:v>
                </c:pt>
                <c:pt idx="7">
                  <c:v>15.330434441691393</c:v>
                </c:pt>
                <c:pt idx="8">
                  <c:v>18.227952194523699</c:v>
                </c:pt>
                <c:pt idx="9">
                  <c:v>10.731398450500791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1692160"/>
        <c:axId val="121693696"/>
      </c:barChart>
      <c:catAx>
        <c:axId val="12169216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93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69369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92160"/>
        <c:crosses val="autoZero"/>
        <c:crossBetween val="between"/>
        <c:majorUnit val="0.2"/>
        <c:minorUnit val="4.0000000000000022E-2"/>
      </c:valAx>
      <c:spPr>
        <a:solidFill>
          <a:srgbClr val="E7FFFF"/>
        </a:solidFill>
        <a:ln w="3175">
          <a:solidFill>
            <a:srgbClr val="969696"/>
          </a:solidFill>
          <a:prstDash val="solid"/>
        </a:ln>
      </c:spPr>
    </c:plotArea>
    <c:legend>
      <c:legendPos val="b"/>
      <c:layout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 orientation="landscape" horizontalDpi="1200" verticalDpi="1200"/>
  </c:printSettings>
  <c:userShapes r:id="rId1"/>
</c:chartSpace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0</xdr:rowOff>
    </xdr:from>
    <xdr:to>
      <xdr:col>1</xdr:col>
      <xdr:colOff>0</xdr:colOff>
      <xdr:row>38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0</xdr:rowOff>
    </xdr:from>
    <xdr:to>
      <xdr:col>0</xdr:col>
      <xdr:colOff>1743075</xdr:colOff>
      <xdr:row>56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926592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1743075</xdr:colOff>
      <xdr:row>54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891540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128270</xdr:rowOff>
    </xdr:from>
    <xdr:to>
      <xdr:col>12</xdr:col>
      <xdr:colOff>304800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379326</xdr:colOff>
      <xdr:row>38</xdr:row>
      <xdr:rowOff>138545</xdr:rowOff>
    </xdr:from>
    <xdr:to>
      <xdr:col>12</xdr:col>
      <xdr:colOff>285750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0</xdr:col>
      <xdr:colOff>1009650</xdr:colOff>
      <xdr:row>10</xdr:row>
      <xdr:rowOff>114300</xdr:rowOff>
    </xdr:from>
    <xdr:to>
      <xdr:col>12</xdr:col>
      <xdr:colOff>19050</xdr:colOff>
      <xdr:row>10</xdr:row>
      <xdr:rowOff>123825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009650" y="1638300"/>
          <a:ext cx="66865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19050</xdr:colOff>
      <xdr:row>41</xdr:row>
      <xdr:rowOff>57150</xdr:rowOff>
    </xdr:from>
    <xdr:to>
      <xdr:col>12</xdr:col>
      <xdr:colOff>76200</xdr:colOff>
      <xdr:row>41</xdr:row>
      <xdr:rowOff>66675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1066800" y="6305550"/>
          <a:ext cx="66865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0.10873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3898" y="115443"/>
          <a:ext cx="6770852" cy="2420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2018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2018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901382</xdr:colOff>
      <xdr:row>34</xdr:row>
      <xdr:rowOff>152718</xdr:rowOff>
    </xdr:from>
    <xdr:to>
      <xdr:col>12</xdr:col>
      <xdr:colOff>238125</xdr:colOff>
      <xdr:row>55</xdr:row>
      <xdr:rowOff>56515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304800</xdr:colOff>
      <xdr:row>40</xdr:row>
      <xdr:rowOff>152400</xdr:rowOff>
    </xdr:from>
    <xdr:to>
      <xdr:col>36</xdr:col>
      <xdr:colOff>400050</xdr:colOff>
      <xdr:row>56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857249</xdr:colOff>
      <xdr:row>13</xdr:row>
      <xdr:rowOff>66675</xdr:rowOff>
    </xdr:from>
    <xdr:to>
      <xdr:col>12</xdr:col>
      <xdr:colOff>200025</xdr:colOff>
      <xdr:row>33</xdr:row>
      <xdr:rowOff>114300</xdr:rowOff>
    </xdr:to>
    <xdr:graphicFrame macro="">
      <xdr:nvGraphicFramePr>
        <xdr:cNvPr id="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57149</xdr:colOff>
      <xdr:row>15</xdr:row>
      <xdr:rowOff>76201</xdr:rowOff>
    </xdr:from>
    <xdr:to>
      <xdr:col>10</xdr:col>
      <xdr:colOff>323850</xdr:colOff>
      <xdr:row>15</xdr:row>
      <xdr:rowOff>76201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781299" y="2505076"/>
          <a:ext cx="4991101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0.62406</cdr:x>
      <cdr:y>0.43135</cdr:y>
    </cdr:from>
    <cdr:to>
      <cdr:x>0.63292</cdr:x>
      <cdr:y>0.49182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3451" y="1602208"/>
          <a:ext cx="56212" cy="1807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  <cdr:relSizeAnchor xmlns:cdr="http://schemas.openxmlformats.org/drawingml/2006/chartDrawing">
    <cdr:from>
      <cdr:x>0.19111</cdr:x>
      <cdr:y>0.08744</cdr:y>
    </cdr:from>
    <cdr:to>
      <cdr:x>0.78801</cdr:x>
      <cdr:y>0.08927</cdr:y>
    </cdr:to>
    <cdr:sp macro="" textlink="">
      <cdr:nvSpPr>
        <cdr:cNvPr id="3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537018" y="288926"/>
          <a:ext cx="4800600" cy="6031"/>
        </a:xfrm>
        <a:prstGeom xmlns:a="http://schemas.openxmlformats.org/drawingml/2006/main" prst="line">
          <a:avLst/>
        </a:prstGeom>
        <a:ln xmlns:a="http://schemas.openxmlformats.org/drawingml/2006/main" w="28575">
          <a:headEnd/>
          <a:tailEnd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0.23669</cdr:x>
      <cdr:y>0.02899</cdr:y>
    </cdr:from>
    <cdr:to>
      <cdr:x>0.91124</cdr:x>
      <cdr:y>0.10145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01" y="95250"/>
          <a:ext cx="5429250" cy="238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13.1:  Distribution of current expenditure, 2006 - 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Temporary%20Internet%20Files/Content.Outlook/UI66VG49/Public%20Finance_%2013%206%2013%20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D/Planning%20&amp;%20International%20Relations%20Division/Planning%20&amp;%20Statistics%20Section/GOVERNMENT%20REVENUE/REVENUE%20MONITORING/REVENUE%20REPORTS/2015/Old%20Reports/MIRA%20Revenue%20Collection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  <row r="11">
          <cell r="C11">
            <v>7725.4148610000011</v>
          </cell>
        </row>
        <row r="23">
          <cell r="C23">
            <v>617.87877800000001</v>
          </cell>
        </row>
        <row r="24">
          <cell r="C24">
            <v>421.63718999999998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 Revenue 2015"/>
      <sheetName val="MVR Revenue 2015"/>
      <sheetName val="US$ Revenue 2015"/>
      <sheetName val="USD in MVR 2015"/>
      <sheetName val="K.Branch"/>
      <sheetName val="FVM"/>
      <sheetName val="ADDU"/>
    </sheetNames>
    <sheetDataSet>
      <sheetData sheetId="0" refreshError="1">
        <row r="55">
          <cell r="O55">
            <v>13018024019.756102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39"/>
  <sheetViews>
    <sheetView view="pageBreakPreview" zoomScaleNormal="100" zoomScaleSheetLayoutView="100" workbookViewId="0">
      <selection activeCell="A2" sqref="A2:N2"/>
    </sheetView>
  </sheetViews>
  <sheetFormatPr defaultColWidth="9.140625" defaultRowHeight="12.75"/>
  <cols>
    <col min="1" max="1" width="59.140625" style="240" customWidth="1"/>
    <col min="2" max="2" width="7.85546875" style="240" hidden="1" customWidth="1"/>
    <col min="3" max="4" width="10.42578125" style="240" hidden="1" customWidth="1"/>
    <col min="5" max="5" width="11" style="240" hidden="1" customWidth="1"/>
    <col min="6" max="6" width="10.140625" style="240" customWidth="1"/>
    <col min="7" max="12" width="10.42578125" style="240" customWidth="1"/>
    <col min="13" max="13" width="52" style="240" customWidth="1"/>
    <col min="14" max="14" width="2.5703125" style="240" customWidth="1"/>
    <col min="15" max="16384" width="9.140625" style="240"/>
  </cols>
  <sheetData>
    <row r="1" spans="1:253" ht="19.5">
      <c r="A1" s="681" t="s">
        <v>621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</row>
    <row r="2" spans="1:253" s="242" customFormat="1" ht="15">
      <c r="A2" s="682" t="s">
        <v>622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</row>
    <row r="3" spans="1:253" s="242" customFormat="1" ht="15">
      <c r="A3" s="683" t="s">
        <v>0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253" s="242" customFormat="1">
      <c r="A4" s="684" t="s">
        <v>301</v>
      </c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284"/>
    </row>
    <row r="5" spans="1:253" s="262" customFormat="1" ht="15.75">
      <c r="A5" s="685" t="s">
        <v>1</v>
      </c>
      <c r="B5" s="285"/>
      <c r="C5" s="285"/>
      <c r="D5" s="285"/>
      <c r="E5" s="286"/>
      <c r="F5" s="286"/>
      <c r="G5" s="287" t="s">
        <v>2</v>
      </c>
      <c r="H5" s="288"/>
      <c r="I5" s="288"/>
      <c r="J5" s="288"/>
      <c r="K5" s="288"/>
      <c r="L5" s="288"/>
      <c r="M5" s="688" t="s">
        <v>3</v>
      </c>
      <c r="N5" s="688"/>
    </row>
    <row r="6" spans="1:253" s="290" customFormat="1" ht="15" customHeight="1">
      <c r="A6" s="686"/>
      <c r="B6" s="289"/>
      <c r="C6" s="79"/>
      <c r="D6" s="79"/>
      <c r="E6" s="79"/>
      <c r="F6" s="79" t="s">
        <v>4</v>
      </c>
      <c r="G6" s="79" t="s">
        <v>4</v>
      </c>
      <c r="H6" s="79" t="s">
        <v>4</v>
      </c>
      <c r="I6" s="79" t="s">
        <v>6</v>
      </c>
      <c r="J6" s="79" t="s">
        <v>5</v>
      </c>
      <c r="K6" s="79" t="s">
        <v>5</v>
      </c>
      <c r="L6" s="79" t="s">
        <v>5</v>
      </c>
      <c r="M6" s="689"/>
      <c r="N6" s="689"/>
    </row>
    <row r="7" spans="1:253" s="291" customFormat="1" ht="15" customHeight="1">
      <c r="A7" s="687"/>
      <c r="B7" s="80">
        <v>2008</v>
      </c>
      <c r="C7" s="80">
        <v>2009</v>
      </c>
      <c r="D7" s="80">
        <v>2010</v>
      </c>
      <c r="E7" s="80">
        <v>2011</v>
      </c>
      <c r="F7" s="80">
        <v>2012</v>
      </c>
      <c r="G7" s="80">
        <v>2013</v>
      </c>
      <c r="H7" s="80">
        <v>2014</v>
      </c>
      <c r="I7" s="80">
        <v>2015</v>
      </c>
      <c r="J7" s="80">
        <v>2016</v>
      </c>
      <c r="K7" s="80">
        <v>2017</v>
      </c>
      <c r="L7" s="80">
        <v>2018</v>
      </c>
      <c r="M7" s="690"/>
      <c r="N7" s="690"/>
    </row>
    <row r="8" spans="1:253" s="262" customFormat="1" ht="15.75">
      <c r="A8" s="255" t="s">
        <v>7</v>
      </c>
      <c r="B8" s="292">
        <f t="shared" ref="B8:F8" si="0">SUM(B9:B20)</f>
        <v>8797.2808289999994</v>
      </c>
      <c r="C8" s="292">
        <f t="shared" si="0"/>
        <v>7838.2088169999997</v>
      </c>
      <c r="D8" s="292">
        <f t="shared" si="0"/>
        <v>9492.8144190000003</v>
      </c>
      <c r="E8" s="292">
        <f t="shared" si="0"/>
        <v>12196.840858</v>
      </c>
      <c r="F8" s="292">
        <f t="shared" si="0"/>
        <v>12287.820168999997</v>
      </c>
      <c r="G8" s="292">
        <f>SUM(G9:G20)</f>
        <v>13223.42540853</v>
      </c>
      <c r="H8" s="292">
        <f>SUM(H9:H20)</f>
        <v>15933.704056</v>
      </c>
      <c r="I8" s="292">
        <f t="shared" ref="I8:L8" si="1">SUM(I9:I20)</f>
        <v>18423.003920062194</v>
      </c>
      <c r="J8" s="292">
        <f t="shared" si="1"/>
        <v>26435.282157753201</v>
      </c>
      <c r="K8" s="292">
        <f t="shared" si="1"/>
        <v>25898.072183352477</v>
      </c>
      <c r="L8" s="292">
        <f t="shared" si="1"/>
        <v>25431.485069126691</v>
      </c>
      <c r="M8" s="293" t="s">
        <v>8</v>
      </c>
    </row>
    <row r="9" spans="1:253" s="265" customFormat="1" ht="15.75">
      <c r="A9" s="294" t="s">
        <v>9</v>
      </c>
      <c r="B9" s="295">
        <v>7054.4330769999997</v>
      </c>
      <c r="C9" s="295">
        <v>5467.9178659999998</v>
      </c>
      <c r="D9" s="295">
        <v>6573.7138210000003</v>
      </c>
      <c r="E9" s="295">
        <v>9508.1181149999993</v>
      </c>
      <c r="F9" s="295">
        <v>9817.0309849999994</v>
      </c>
      <c r="G9" s="295">
        <v>11799.703769</v>
      </c>
      <c r="H9" s="295">
        <v>14962.192276</v>
      </c>
      <c r="I9" s="295">
        <v>16636.618466491531</v>
      </c>
      <c r="J9" s="295">
        <v>21556.9450887532</v>
      </c>
      <c r="K9" s="295">
        <v>21265.781676352479</v>
      </c>
      <c r="L9" s="295">
        <v>21044.121646126692</v>
      </c>
      <c r="M9" s="296" t="s">
        <v>10</v>
      </c>
      <c r="P9" s="290"/>
      <c r="Q9" s="290"/>
      <c r="R9" s="290"/>
      <c r="S9" s="290"/>
      <c r="T9" s="290"/>
      <c r="U9" s="290"/>
      <c r="V9" s="290"/>
    </row>
    <row r="10" spans="1:253" s="265" customFormat="1" ht="15.75">
      <c r="A10" s="294" t="s">
        <v>11</v>
      </c>
      <c r="B10" s="295">
        <v>81.193549000000004</v>
      </c>
      <c r="C10" s="297">
        <v>0</v>
      </c>
      <c r="D10" s="298">
        <v>0</v>
      </c>
      <c r="E10" s="295">
        <v>71.725728000000004</v>
      </c>
      <c r="F10" s="295">
        <v>91.006381000000005</v>
      </c>
      <c r="G10" s="295">
        <v>118.874062</v>
      </c>
      <c r="H10" s="295">
        <v>164.495789</v>
      </c>
      <c r="I10" s="295">
        <v>135.67322360666665</v>
      </c>
      <c r="J10" s="295">
        <v>107.5</v>
      </c>
      <c r="K10" s="295">
        <v>107.5</v>
      </c>
      <c r="L10" s="295">
        <v>107.5</v>
      </c>
      <c r="M10" s="296" t="s">
        <v>12</v>
      </c>
      <c r="P10" s="291"/>
      <c r="Q10" s="291"/>
      <c r="R10" s="291"/>
      <c r="S10" s="291"/>
      <c r="T10" s="291"/>
      <c r="U10" s="291"/>
      <c r="V10" s="291"/>
    </row>
    <row r="11" spans="1:253" s="265" customFormat="1" ht="15.75">
      <c r="A11" s="294" t="s">
        <v>13</v>
      </c>
      <c r="B11" s="295">
        <v>7.0724070000000001</v>
      </c>
      <c r="C11" s="295">
        <v>22.433268000000002</v>
      </c>
      <c r="D11" s="298">
        <v>0</v>
      </c>
      <c r="E11" s="298">
        <v>0</v>
      </c>
      <c r="F11" s="298">
        <v>0</v>
      </c>
      <c r="G11" s="298">
        <v>0</v>
      </c>
      <c r="H11" s="298">
        <v>0</v>
      </c>
      <c r="I11" s="298">
        <v>0</v>
      </c>
      <c r="J11" s="298">
        <v>0</v>
      </c>
      <c r="K11" s="298">
        <v>0</v>
      </c>
      <c r="L11" s="298"/>
      <c r="M11" s="296" t="s">
        <v>14</v>
      </c>
      <c r="P11" s="262"/>
      <c r="Q11" s="262"/>
      <c r="R11" s="262"/>
      <c r="S11" s="262"/>
      <c r="T11" s="262"/>
      <c r="U11" s="262"/>
      <c r="V11" s="262"/>
    </row>
    <row r="12" spans="1:253" s="265" customFormat="1" ht="15.75">
      <c r="A12" s="294" t="s">
        <v>15</v>
      </c>
      <c r="B12" s="295">
        <v>55.550635999999997</v>
      </c>
      <c r="C12" s="295">
        <v>52.923622000000002</v>
      </c>
      <c r="D12" s="295">
        <v>47.642878000000003</v>
      </c>
      <c r="E12" s="295">
        <v>318.363</v>
      </c>
      <c r="F12" s="295">
        <v>144.28058300000001</v>
      </c>
      <c r="G12" s="295">
        <v>43.25014952999998</v>
      </c>
      <c r="H12" s="295">
        <v>63.872695</v>
      </c>
      <c r="I12" s="295">
        <v>63.235455999999999</v>
      </c>
      <c r="J12" s="295">
        <v>33.626260000000002</v>
      </c>
      <c r="K12" s="295">
        <v>33.604999999999997</v>
      </c>
      <c r="L12" s="295">
        <v>33.630499999999998</v>
      </c>
      <c r="M12" s="296" t="s">
        <v>16</v>
      </c>
      <c r="P12" s="290"/>
      <c r="Q12" s="290"/>
      <c r="R12" s="290"/>
      <c r="S12" s="290"/>
      <c r="T12" s="290"/>
      <c r="U12" s="290"/>
      <c r="V12" s="290"/>
    </row>
    <row r="13" spans="1:253" s="265" customFormat="1" ht="18.75">
      <c r="A13" s="294" t="s">
        <v>17</v>
      </c>
      <c r="B13" s="298">
        <v>0</v>
      </c>
      <c r="C13" s="298">
        <v>0</v>
      </c>
      <c r="D13" s="298">
        <v>0</v>
      </c>
      <c r="E13" s="298">
        <v>0</v>
      </c>
      <c r="F13" s="298">
        <v>0</v>
      </c>
      <c r="G13" s="298">
        <v>0</v>
      </c>
      <c r="H13" s="298">
        <v>0</v>
      </c>
      <c r="I13" s="298">
        <v>0</v>
      </c>
      <c r="J13" s="298">
        <v>0</v>
      </c>
      <c r="K13" s="298">
        <v>0</v>
      </c>
      <c r="L13" s="298">
        <v>0</v>
      </c>
      <c r="M13" s="299" t="s">
        <v>18</v>
      </c>
      <c r="P13" s="291"/>
      <c r="Q13" s="291"/>
      <c r="R13" s="291"/>
      <c r="S13" s="291"/>
      <c r="T13" s="291"/>
      <c r="U13" s="291"/>
      <c r="V13" s="291"/>
    </row>
    <row r="14" spans="1:253" s="265" customFormat="1" ht="18.75">
      <c r="A14" s="294" t="s">
        <v>19</v>
      </c>
      <c r="B14" s="300">
        <v>382.49900000000002</v>
      </c>
      <c r="C14" s="295">
        <v>637.5</v>
      </c>
      <c r="D14" s="300">
        <v>534.62186399999996</v>
      </c>
      <c r="E14" s="295">
        <v>486.14478600000001</v>
      </c>
      <c r="F14" s="295">
        <v>567.25472300000001</v>
      </c>
      <c r="G14" s="298">
        <v>0</v>
      </c>
      <c r="H14" s="295">
        <v>453.34800000000001</v>
      </c>
      <c r="I14" s="298">
        <v>0</v>
      </c>
      <c r="J14" s="298">
        <v>771</v>
      </c>
      <c r="K14" s="298">
        <v>0</v>
      </c>
      <c r="L14" s="298">
        <v>0</v>
      </c>
      <c r="M14" s="301" t="s">
        <v>20</v>
      </c>
      <c r="P14" s="262"/>
      <c r="Q14" s="262"/>
      <c r="R14" s="262"/>
      <c r="S14" s="262"/>
      <c r="T14" s="262"/>
      <c r="U14" s="262"/>
      <c r="V14" s="262"/>
    </row>
    <row r="15" spans="1:253" s="265" customFormat="1" ht="18.75">
      <c r="A15" s="294" t="s">
        <v>21</v>
      </c>
      <c r="B15" s="298">
        <v>0</v>
      </c>
      <c r="C15" s="298">
        <v>0</v>
      </c>
      <c r="D15" s="298">
        <v>0</v>
      </c>
      <c r="E15" s="298">
        <v>0</v>
      </c>
      <c r="F15" s="295">
        <v>300</v>
      </c>
      <c r="G15" s="298">
        <v>0</v>
      </c>
      <c r="H15" s="298">
        <v>0</v>
      </c>
      <c r="I15" s="298">
        <v>0</v>
      </c>
      <c r="J15" s="298">
        <v>0</v>
      </c>
      <c r="K15" s="298">
        <v>0</v>
      </c>
      <c r="L15" s="298">
        <v>0</v>
      </c>
      <c r="M15" s="301" t="s">
        <v>22</v>
      </c>
      <c r="P15" s="290"/>
      <c r="Q15" s="290"/>
      <c r="R15" s="290"/>
      <c r="S15" s="290"/>
      <c r="T15" s="290"/>
      <c r="U15" s="290"/>
      <c r="V15" s="290"/>
    </row>
    <row r="16" spans="1:253" s="265" customFormat="1" ht="18.75">
      <c r="A16" s="294" t="s">
        <v>23</v>
      </c>
      <c r="B16" s="298">
        <v>0</v>
      </c>
      <c r="C16" s="300">
        <v>510</v>
      </c>
      <c r="D16" s="298">
        <v>946.91444999999999</v>
      </c>
      <c r="E16" s="298">
        <v>0</v>
      </c>
      <c r="F16" s="298">
        <v>0</v>
      </c>
      <c r="G16" s="298">
        <v>0</v>
      </c>
      <c r="H16" s="298">
        <v>0</v>
      </c>
      <c r="I16" s="298">
        <v>0</v>
      </c>
      <c r="J16" s="298">
        <v>0</v>
      </c>
      <c r="K16" s="298">
        <v>0</v>
      </c>
      <c r="L16" s="298">
        <v>0</v>
      </c>
      <c r="M16" s="302" t="s">
        <v>24</v>
      </c>
      <c r="O16" s="303"/>
      <c r="P16" s="291"/>
      <c r="Q16" s="291"/>
      <c r="R16" s="291"/>
      <c r="S16" s="291"/>
      <c r="T16" s="291"/>
      <c r="U16" s="291"/>
      <c r="V16" s="291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  <c r="BW16" s="303"/>
      <c r="BX16" s="303"/>
      <c r="BY16" s="303"/>
      <c r="BZ16" s="303"/>
      <c r="CA16" s="303"/>
      <c r="CB16" s="303"/>
      <c r="CC16" s="303"/>
      <c r="CD16" s="303"/>
      <c r="CE16" s="303"/>
      <c r="CF16" s="303"/>
      <c r="CG16" s="303"/>
      <c r="CH16" s="303"/>
      <c r="CI16" s="303"/>
      <c r="CJ16" s="303"/>
      <c r="CK16" s="303"/>
      <c r="CL16" s="303"/>
      <c r="CM16" s="303"/>
      <c r="CN16" s="303"/>
      <c r="CO16" s="303"/>
      <c r="CP16" s="303"/>
      <c r="CQ16" s="303"/>
      <c r="CR16" s="303"/>
      <c r="CS16" s="303"/>
      <c r="CT16" s="303"/>
      <c r="CU16" s="303"/>
      <c r="CV16" s="303"/>
      <c r="CW16" s="303"/>
      <c r="CX16" s="303"/>
      <c r="CY16" s="303"/>
      <c r="CZ16" s="303"/>
      <c r="DA16" s="303"/>
      <c r="DB16" s="303"/>
      <c r="DC16" s="303"/>
      <c r="DD16" s="303"/>
      <c r="DE16" s="303"/>
      <c r="DF16" s="303"/>
      <c r="DG16" s="303"/>
      <c r="DH16" s="303"/>
      <c r="DI16" s="303"/>
      <c r="DJ16" s="303"/>
      <c r="DK16" s="303"/>
      <c r="DL16" s="303"/>
      <c r="DM16" s="303"/>
      <c r="DN16" s="303"/>
      <c r="DO16" s="303"/>
      <c r="DP16" s="303"/>
      <c r="DQ16" s="303"/>
      <c r="DR16" s="303"/>
      <c r="DS16" s="303"/>
      <c r="DT16" s="303"/>
      <c r="DU16" s="303"/>
      <c r="DV16" s="303"/>
      <c r="DW16" s="303"/>
      <c r="DX16" s="303"/>
      <c r="DY16" s="303"/>
      <c r="DZ16" s="303"/>
      <c r="EA16" s="303"/>
      <c r="EB16" s="303"/>
      <c r="EC16" s="303"/>
      <c r="ED16" s="303"/>
      <c r="EE16" s="303"/>
      <c r="EF16" s="303"/>
      <c r="EG16" s="303"/>
      <c r="EH16" s="303"/>
      <c r="EI16" s="303"/>
      <c r="EJ16" s="303"/>
      <c r="EK16" s="303"/>
      <c r="EL16" s="303"/>
      <c r="EM16" s="303"/>
      <c r="EN16" s="303"/>
      <c r="EO16" s="303"/>
      <c r="EP16" s="303"/>
      <c r="EQ16" s="303"/>
      <c r="ER16" s="303"/>
      <c r="ES16" s="303"/>
      <c r="ET16" s="303"/>
      <c r="EU16" s="303"/>
      <c r="EV16" s="303"/>
      <c r="EW16" s="303"/>
      <c r="EX16" s="303"/>
      <c r="EY16" s="303"/>
      <c r="EZ16" s="303"/>
      <c r="FA16" s="303"/>
      <c r="FB16" s="303"/>
      <c r="FC16" s="303"/>
      <c r="FD16" s="303"/>
      <c r="FE16" s="303"/>
      <c r="FF16" s="303"/>
      <c r="FG16" s="303"/>
      <c r="FH16" s="303"/>
      <c r="FI16" s="303"/>
      <c r="FJ16" s="303"/>
      <c r="FK16" s="303"/>
      <c r="FL16" s="303"/>
      <c r="FM16" s="303"/>
      <c r="FN16" s="303"/>
      <c r="FO16" s="303"/>
      <c r="FP16" s="303"/>
      <c r="FQ16" s="303"/>
      <c r="FR16" s="303"/>
      <c r="FS16" s="303"/>
      <c r="FT16" s="303"/>
      <c r="FU16" s="303"/>
      <c r="FV16" s="303"/>
      <c r="FW16" s="303"/>
      <c r="FX16" s="303"/>
      <c r="FY16" s="303"/>
      <c r="FZ16" s="303"/>
      <c r="GA16" s="303"/>
      <c r="GB16" s="303"/>
      <c r="GC16" s="303"/>
      <c r="GD16" s="303"/>
      <c r="GE16" s="303"/>
      <c r="GF16" s="303"/>
      <c r="GG16" s="303"/>
      <c r="GH16" s="303"/>
      <c r="GI16" s="303"/>
      <c r="GJ16" s="303"/>
      <c r="GK16" s="303"/>
      <c r="GL16" s="303"/>
      <c r="GM16" s="303"/>
      <c r="GN16" s="303"/>
      <c r="GO16" s="303"/>
      <c r="GP16" s="303"/>
      <c r="GQ16" s="303"/>
      <c r="GR16" s="303"/>
      <c r="GS16" s="303"/>
      <c r="GT16" s="303"/>
      <c r="GU16" s="303"/>
      <c r="GV16" s="303"/>
      <c r="GW16" s="303"/>
      <c r="GX16" s="303"/>
      <c r="GY16" s="303"/>
      <c r="GZ16" s="303"/>
      <c r="HA16" s="303"/>
      <c r="HB16" s="303"/>
      <c r="HC16" s="303"/>
      <c r="HD16" s="303"/>
      <c r="HE16" s="303"/>
      <c r="HF16" s="303"/>
      <c r="HG16" s="303"/>
      <c r="HH16" s="303"/>
      <c r="HI16" s="303"/>
      <c r="HJ16" s="303"/>
      <c r="HK16" s="303"/>
      <c r="HL16" s="303"/>
      <c r="HM16" s="303"/>
      <c r="HN16" s="303"/>
      <c r="HO16" s="303"/>
      <c r="HP16" s="303"/>
      <c r="HQ16" s="303"/>
      <c r="HR16" s="303"/>
      <c r="HS16" s="303"/>
      <c r="HT16" s="303"/>
      <c r="HU16" s="303"/>
      <c r="HV16" s="303"/>
      <c r="HW16" s="303"/>
      <c r="HX16" s="303"/>
      <c r="HY16" s="303"/>
      <c r="HZ16" s="303"/>
      <c r="IA16" s="303"/>
      <c r="IB16" s="303"/>
      <c r="IC16" s="303"/>
      <c r="ID16" s="303"/>
      <c r="IE16" s="303"/>
      <c r="IF16" s="303"/>
      <c r="IG16" s="303"/>
      <c r="IH16" s="303"/>
      <c r="II16" s="303"/>
      <c r="IJ16" s="303"/>
      <c r="IK16" s="303"/>
      <c r="IL16" s="303"/>
      <c r="IM16" s="303"/>
      <c r="IN16" s="303"/>
      <c r="IO16" s="303"/>
      <c r="IP16" s="303"/>
      <c r="IQ16" s="303"/>
      <c r="IR16" s="303"/>
      <c r="IS16" s="303"/>
    </row>
    <row r="17" spans="1:253" s="265" customFormat="1" ht="15.75">
      <c r="A17" s="294" t="s">
        <v>25</v>
      </c>
      <c r="B17" s="295">
        <v>461.42420499999997</v>
      </c>
      <c r="C17" s="304">
        <v>368.59220499999998</v>
      </c>
      <c r="D17" s="295">
        <v>106.900358</v>
      </c>
      <c r="E17" s="295">
        <v>414.07133499999998</v>
      </c>
      <c r="F17" s="295">
        <v>222.38928999999999</v>
      </c>
      <c r="G17" s="295">
        <v>74.405078000000003</v>
      </c>
      <c r="H17" s="295">
        <v>101.40112999999999</v>
      </c>
      <c r="I17" s="295">
        <v>1019.179589964</v>
      </c>
      <c r="J17" s="295">
        <v>1186.9436499999999</v>
      </c>
      <c r="K17" s="295">
        <v>1201.366595</v>
      </c>
      <c r="L17" s="295">
        <v>933.96100000000001</v>
      </c>
      <c r="M17" s="296" t="s">
        <v>26</v>
      </c>
      <c r="O17" s="303"/>
      <c r="P17" s="262"/>
      <c r="Q17" s="262"/>
      <c r="R17" s="262"/>
      <c r="S17" s="262"/>
      <c r="T17" s="262"/>
      <c r="U17" s="262"/>
      <c r="V17" s="262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  <c r="BW17" s="303"/>
      <c r="BX17" s="303"/>
      <c r="BY17" s="303"/>
      <c r="BZ17" s="303"/>
      <c r="CA17" s="303"/>
      <c r="CB17" s="303"/>
      <c r="CC17" s="303"/>
      <c r="CD17" s="303"/>
      <c r="CE17" s="303"/>
      <c r="CF17" s="303"/>
      <c r="CG17" s="303"/>
      <c r="CH17" s="303"/>
      <c r="CI17" s="303"/>
      <c r="CJ17" s="303"/>
      <c r="CK17" s="303"/>
      <c r="CL17" s="303"/>
      <c r="CM17" s="303"/>
      <c r="CN17" s="303"/>
      <c r="CO17" s="303"/>
      <c r="CP17" s="303"/>
      <c r="CQ17" s="303"/>
      <c r="CR17" s="303"/>
      <c r="CS17" s="303"/>
      <c r="CT17" s="303"/>
      <c r="CU17" s="303"/>
      <c r="CV17" s="303"/>
      <c r="CW17" s="303"/>
      <c r="CX17" s="303"/>
      <c r="CY17" s="303"/>
      <c r="CZ17" s="303"/>
      <c r="DA17" s="303"/>
      <c r="DB17" s="303"/>
      <c r="DC17" s="303"/>
      <c r="DD17" s="303"/>
      <c r="DE17" s="303"/>
      <c r="DF17" s="303"/>
      <c r="DG17" s="303"/>
      <c r="DH17" s="303"/>
      <c r="DI17" s="303"/>
      <c r="DJ17" s="303"/>
      <c r="DK17" s="303"/>
      <c r="DL17" s="303"/>
      <c r="DM17" s="303"/>
      <c r="DN17" s="303"/>
      <c r="DO17" s="303"/>
      <c r="DP17" s="303"/>
      <c r="DQ17" s="303"/>
      <c r="DR17" s="303"/>
      <c r="DS17" s="303"/>
      <c r="DT17" s="303"/>
      <c r="DU17" s="303"/>
      <c r="DV17" s="303"/>
      <c r="DW17" s="303"/>
      <c r="DX17" s="303"/>
      <c r="DY17" s="303"/>
      <c r="DZ17" s="303"/>
      <c r="EA17" s="303"/>
      <c r="EB17" s="303"/>
      <c r="EC17" s="303"/>
      <c r="ED17" s="303"/>
      <c r="EE17" s="303"/>
      <c r="EF17" s="303"/>
      <c r="EG17" s="303"/>
      <c r="EH17" s="303"/>
      <c r="EI17" s="303"/>
      <c r="EJ17" s="303"/>
      <c r="EK17" s="303"/>
      <c r="EL17" s="303"/>
      <c r="EM17" s="303"/>
      <c r="EN17" s="303"/>
      <c r="EO17" s="303"/>
      <c r="EP17" s="303"/>
      <c r="EQ17" s="303"/>
      <c r="ER17" s="303"/>
      <c r="ES17" s="303"/>
      <c r="ET17" s="303"/>
      <c r="EU17" s="303"/>
      <c r="EV17" s="303"/>
      <c r="EW17" s="303"/>
      <c r="EX17" s="303"/>
      <c r="EY17" s="303"/>
      <c r="EZ17" s="303"/>
      <c r="FA17" s="303"/>
      <c r="FB17" s="303"/>
      <c r="FC17" s="303"/>
      <c r="FD17" s="303"/>
      <c r="FE17" s="303"/>
      <c r="FF17" s="303"/>
      <c r="FG17" s="303"/>
      <c r="FH17" s="303"/>
      <c r="FI17" s="303"/>
      <c r="FJ17" s="303"/>
      <c r="FK17" s="303"/>
      <c r="FL17" s="303"/>
      <c r="FM17" s="303"/>
      <c r="FN17" s="303"/>
      <c r="FO17" s="303"/>
      <c r="FP17" s="303"/>
      <c r="FQ17" s="303"/>
      <c r="FR17" s="303"/>
      <c r="FS17" s="303"/>
      <c r="FT17" s="303"/>
      <c r="FU17" s="303"/>
      <c r="FV17" s="303"/>
      <c r="FW17" s="303"/>
      <c r="FX17" s="303"/>
      <c r="FY17" s="303"/>
      <c r="FZ17" s="303"/>
      <c r="GA17" s="303"/>
      <c r="GB17" s="303"/>
      <c r="GC17" s="303"/>
      <c r="GD17" s="303"/>
      <c r="GE17" s="303"/>
      <c r="GF17" s="303"/>
      <c r="GG17" s="303"/>
      <c r="GH17" s="303"/>
      <c r="GI17" s="303"/>
      <c r="GJ17" s="303"/>
      <c r="GK17" s="303"/>
      <c r="GL17" s="303"/>
      <c r="GM17" s="303"/>
      <c r="GN17" s="303"/>
      <c r="GO17" s="303"/>
      <c r="GP17" s="303"/>
      <c r="GQ17" s="303"/>
      <c r="GR17" s="303"/>
      <c r="GS17" s="303"/>
      <c r="GT17" s="303"/>
      <c r="GU17" s="303"/>
      <c r="GV17" s="303"/>
      <c r="GW17" s="303"/>
      <c r="GX17" s="303"/>
      <c r="GY17" s="303"/>
      <c r="GZ17" s="303"/>
      <c r="HA17" s="303"/>
      <c r="HB17" s="303"/>
      <c r="HC17" s="303"/>
      <c r="HD17" s="303"/>
      <c r="HE17" s="303"/>
      <c r="HF17" s="303"/>
      <c r="HG17" s="303"/>
      <c r="HH17" s="303"/>
      <c r="HI17" s="303"/>
      <c r="HJ17" s="303"/>
      <c r="HK17" s="303"/>
      <c r="HL17" s="303"/>
      <c r="HM17" s="303"/>
      <c r="HN17" s="303"/>
      <c r="HO17" s="303"/>
      <c r="HP17" s="303"/>
      <c r="HQ17" s="303"/>
      <c r="HR17" s="303"/>
      <c r="HS17" s="303"/>
      <c r="HT17" s="303"/>
      <c r="HU17" s="303"/>
      <c r="HV17" s="303"/>
      <c r="HW17" s="303"/>
      <c r="HX17" s="303"/>
      <c r="HY17" s="303"/>
      <c r="HZ17" s="303"/>
      <c r="IA17" s="303"/>
      <c r="IB17" s="303"/>
      <c r="IC17" s="303"/>
      <c r="ID17" s="303"/>
      <c r="IE17" s="303"/>
      <c r="IF17" s="303"/>
      <c r="IG17" s="303"/>
      <c r="IH17" s="303"/>
      <c r="II17" s="303"/>
      <c r="IJ17" s="303"/>
      <c r="IK17" s="303"/>
      <c r="IL17" s="303"/>
      <c r="IM17" s="303"/>
      <c r="IN17" s="303"/>
      <c r="IO17" s="303"/>
      <c r="IP17" s="303"/>
      <c r="IQ17" s="303"/>
      <c r="IR17" s="303"/>
      <c r="IS17" s="303"/>
    </row>
    <row r="18" spans="1:253" s="265" customFormat="1" ht="18.75">
      <c r="A18" s="294" t="s">
        <v>27</v>
      </c>
      <c r="B18" s="295">
        <v>755.10795499999995</v>
      </c>
      <c r="C18" s="304">
        <v>778.84185600000001</v>
      </c>
      <c r="D18" s="295">
        <v>1283.0210480000001</v>
      </c>
      <c r="E18" s="295">
        <v>1398.4178939999999</v>
      </c>
      <c r="F18" s="295">
        <v>1145.858207</v>
      </c>
      <c r="G18" s="295">
        <v>1187.19235</v>
      </c>
      <c r="H18" s="295">
        <v>188.39416600000001</v>
      </c>
      <c r="I18" s="295">
        <v>568.29718400000002</v>
      </c>
      <c r="J18" s="295">
        <v>2779.267159</v>
      </c>
      <c r="K18" s="295">
        <v>3289.8189120000002</v>
      </c>
      <c r="L18" s="295">
        <v>3312.2719229999998</v>
      </c>
      <c r="M18" s="301" t="s">
        <v>28</v>
      </c>
      <c r="O18" s="303"/>
      <c r="P18" s="290"/>
      <c r="Q18" s="290"/>
      <c r="R18" s="290"/>
      <c r="S18" s="290"/>
      <c r="T18" s="290"/>
      <c r="U18" s="290"/>
      <c r="V18" s="290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  <c r="BW18" s="303"/>
      <c r="BX18" s="303"/>
      <c r="BY18" s="303"/>
      <c r="BZ18" s="303"/>
      <c r="CA18" s="303"/>
      <c r="CB18" s="303"/>
      <c r="CC18" s="303"/>
      <c r="CD18" s="303"/>
      <c r="CE18" s="303"/>
      <c r="CF18" s="303"/>
      <c r="CG18" s="303"/>
      <c r="CH18" s="303"/>
      <c r="CI18" s="303"/>
      <c r="CJ18" s="303"/>
      <c r="CK18" s="303"/>
      <c r="CL18" s="303"/>
      <c r="CM18" s="303"/>
      <c r="CN18" s="303"/>
      <c r="CO18" s="303"/>
      <c r="CP18" s="303"/>
      <c r="CQ18" s="303"/>
      <c r="CR18" s="303"/>
      <c r="CS18" s="303"/>
      <c r="CT18" s="303"/>
      <c r="CU18" s="303"/>
      <c r="CV18" s="303"/>
      <c r="CW18" s="303"/>
      <c r="CX18" s="303"/>
      <c r="CY18" s="303"/>
      <c r="CZ18" s="303"/>
      <c r="DA18" s="303"/>
      <c r="DB18" s="303"/>
      <c r="DC18" s="303"/>
      <c r="DD18" s="303"/>
      <c r="DE18" s="303"/>
      <c r="DF18" s="303"/>
      <c r="DG18" s="303"/>
      <c r="DH18" s="303"/>
      <c r="DI18" s="303"/>
      <c r="DJ18" s="303"/>
      <c r="DK18" s="303"/>
      <c r="DL18" s="303"/>
      <c r="DM18" s="303"/>
      <c r="DN18" s="303"/>
      <c r="DO18" s="303"/>
      <c r="DP18" s="303"/>
      <c r="DQ18" s="303"/>
      <c r="DR18" s="303"/>
      <c r="DS18" s="303"/>
      <c r="DT18" s="303"/>
      <c r="DU18" s="303"/>
      <c r="DV18" s="303"/>
      <c r="DW18" s="303"/>
      <c r="DX18" s="303"/>
      <c r="DY18" s="303"/>
      <c r="DZ18" s="303"/>
      <c r="EA18" s="303"/>
      <c r="EB18" s="303"/>
      <c r="EC18" s="303"/>
      <c r="ED18" s="303"/>
      <c r="EE18" s="303"/>
      <c r="EF18" s="303"/>
      <c r="EG18" s="303"/>
      <c r="EH18" s="303"/>
      <c r="EI18" s="303"/>
      <c r="EJ18" s="303"/>
      <c r="EK18" s="303"/>
      <c r="EL18" s="303"/>
      <c r="EM18" s="303"/>
      <c r="EN18" s="303"/>
      <c r="EO18" s="303"/>
      <c r="EP18" s="303"/>
      <c r="EQ18" s="303"/>
      <c r="ER18" s="303"/>
      <c r="ES18" s="303"/>
      <c r="ET18" s="303"/>
      <c r="EU18" s="303"/>
      <c r="EV18" s="303"/>
      <c r="EW18" s="303"/>
      <c r="EX18" s="303"/>
      <c r="EY18" s="303"/>
      <c r="EZ18" s="303"/>
      <c r="FA18" s="303"/>
      <c r="FB18" s="303"/>
      <c r="FC18" s="303"/>
      <c r="FD18" s="303"/>
      <c r="FE18" s="303"/>
      <c r="FF18" s="303"/>
      <c r="FG18" s="303"/>
      <c r="FH18" s="303"/>
      <c r="FI18" s="303"/>
      <c r="FJ18" s="303"/>
      <c r="FK18" s="303"/>
      <c r="FL18" s="303"/>
      <c r="FM18" s="303"/>
      <c r="FN18" s="303"/>
      <c r="FO18" s="303"/>
      <c r="FP18" s="303"/>
      <c r="FQ18" s="303"/>
      <c r="FR18" s="303"/>
      <c r="FS18" s="303"/>
      <c r="FT18" s="303"/>
      <c r="FU18" s="303"/>
      <c r="FV18" s="303"/>
      <c r="FW18" s="303"/>
      <c r="FX18" s="303"/>
      <c r="FY18" s="303"/>
      <c r="FZ18" s="303"/>
      <c r="GA18" s="303"/>
      <c r="GB18" s="303"/>
      <c r="GC18" s="303"/>
      <c r="GD18" s="303"/>
      <c r="GE18" s="303"/>
      <c r="GF18" s="303"/>
      <c r="GG18" s="303"/>
      <c r="GH18" s="303"/>
      <c r="GI18" s="303"/>
      <c r="GJ18" s="303"/>
      <c r="GK18" s="303"/>
      <c r="GL18" s="303"/>
      <c r="GM18" s="303"/>
      <c r="GN18" s="303"/>
      <c r="GO18" s="303"/>
      <c r="GP18" s="303"/>
      <c r="GQ18" s="303"/>
      <c r="GR18" s="303"/>
      <c r="GS18" s="303"/>
      <c r="GT18" s="303"/>
      <c r="GU18" s="303"/>
      <c r="GV18" s="303"/>
      <c r="GW18" s="303"/>
      <c r="GX18" s="303"/>
      <c r="GY18" s="303"/>
      <c r="GZ18" s="303"/>
      <c r="HA18" s="303"/>
      <c r="HB18" s="303"/>
      <c r="HC18" s="303"/>
      <c r="HD18" s="303"/>
      <c r="HE18" s="303"/>
      <c r="HF18" s="303"/>
      <c r="HG18" s="303"/>
      <c r="HH18" s="303"/>
      <c r="HI18" s="303"/>
      <c r="HJ18" s="303"/>
      <c r="HK18" s="303"/>
      <c r="HL18" s="303"/>
      <c r="HM18" s="303"/>
      <c r="HN18" s="303"/>
      <c r="HO18" s="303"/>
      <c r="HP18" s="303"/>
      <c r="HQ18" s="303"/>
      <c r="HR18" s="303"/>
      <c r="HS18" s="303"/>
      <c r="HT18" s="303"/>
      <c r="HU18" s="303"/>
      <c r="HV18" s="303"/>
      <c r="HW18" s="303"/>
      <c r="HX18" s="303"/>
      <c r="HY18" s="303"/>
      <c r="HZ18" s="303"/>
      <c r="IA18" s="303"/>
      <c r="IB18" s="303"/>
      <c r="IC18" s="303"/>
      <c r="ID18" s="303"/>
      <c r="IE18" s="303"/>
      <c r="IF18" s="303"/>
      <c r="IG18" s="303"/>
      <c r="IH18" s="303"/>
      <c r="II18" s="303"/>
      <c r="IJ18" s="303"/>
      <c r="IK18" s="303"/>
      <c r="IL18" s="303"/>
      <c r="IM18" s="303"/>
      <c r="IN18" s="303"/>
      <c r="IO18" s="303"/>
      <c r="IP18" s="303"/>
      <c r="IQ18" s="303"/>
      <c r="IR18" s="303"/>
      <c r="IS18" s="303"/>
    </row>
    <row r="19" spans="1:253" s="265" customFormat="1" ht="18.75">
      <c r="A19" s="294" t="s">
        <v>29</v>
      </c>
      <c r="B19" s="297">
        <v>0</v>
      </c>
      <c r="C19" s="297">
        <v>0</v>
      </c>
      <c r="D19" s="297">
        <v>0</v>
      </c>
      <c r="E19" s="297">
        <v>0</v>
      </c>
      <c r="F19" s="297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301" t="s">
        <v>30</v>
      </c>
      <c r="O19" s="303"/>
      <c r="P19" s="291"/>
      <c r="Q19" s="291"/>
      <c r="R19" s="291"/>
      <c r="S19" s="291"/>
      <c r="T19" s="291"/>
      <c r="U19" s="291"/>
      <c r="V19" s="291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  <c r="BW19" s="303"/>
      <c r="BX19" s="303"/>
      <c r="BY19" s="303"/>
      <c r="BZ19" s="303"/>
      <c r="CA19" s="303"/>
      <c r="CB19" s="303"/>
      <c r="CC19" s="303"/>
      <c r="CD19" s="303"/>
      <c r="CE19" s="303"/>
      <c r="CF19" s="303"/>
      <c r="CG19" s="303"/>
      <c r="CH19" s="303"/>
      <c r="CI19" s="303"/>
      <c r="CJ19" s="303"/>
      <c r="CK19" s="303"/>
      <c r="CL19" s="303"/>
      <c r="CM19" s="303"/>
      <c r="CN19" s="303"/>
      <c r="CO19" s="303"/>
      <c r="CP19" s="303"/>
      <c r="CQ19" s="303"/>
      <c r="CR19" s="303"/>
      <c r="CS19" s="303"/>
      <c r="CT19" s="303"/>
      <c r="CU19" s="303"/>
      <c r="CV19" s="303"/>
      <c r="CW19" s="303"/>
      <c r="CX19" s="303"/>
      <c r="CY19" s="303"/>
      <c r="CZ19" s="303"/>
      <c r="DA19" s="303"/>
      <c r="DB19" s="303"/>
      <c r="DC19" s="303"/>
      <c r="DD19" s="303"/>
      <c r="DE19" s="303"/>
      <c r="DF19" s="303"/>
      <c r="DG19" s="303"/>
      <c r="DH19" s="303"/>
      <c r="DI19" s="303"/>
      <c r="DJ19" s="303"/>
      <c r="DK19" s="303"/>
      <c r="DL19" s="303"/>
      <c r="DM19" s="303"/>
      <c r="DN19" s="303"/>
      <c r="DO19" s="303"/>
      <c r="DP19" s="303"/>
      <c r="DQ19" s="303"/>
      <c r="DR19" s="303"/>
      <c r="DS19" s="303"/>
      <c r="DT19" s="303"/>
      <c r="DU19" s="303"/>
      <c r="DV19" s="303"/>
      <c r="DW19" s="303"/>
      <c r="DX19" s="303"/>
      <c r="DY19" s="303"/>
      <c r="DZ19" s="303"/>
      <c r="EA19" s="303"/>
      <c r="EB19" s="303"/>
      <c r="EC19" s="303"/>
      <c r="ED19" s="303"/>
      <c r="EE19" s="303"/>
      <c r="EF19" s="303"/>
      <c r="EG19" s="303"/>
      <c r="EH19" s="303"/>
      <c r="EI19" s="303"/>
      <c r="EJ19" s="303"/>
      <c r="EK19" s="303"/>
      <c r="EL19" s="303"/>
      <c r="EM19" s="303"/>
      <c r="EN19" s="303"/>
      <c r="EO19" s="303"/>
      <c r="EP19" s="303"/>
      <c r="EQ19" s="303"/>
      <c r="ER19" s="303"/>
      <c r="ES19" s="303"/>
      <c r="ET19" s="303"/>
      <c r="EU19" s="303"/>
      <c r="EV19" s="303"/>
      <c r="EW19" s="303"/>
      <c r="EX19" s="303"/>
      <c r="EY19" s="303"/>
      <c r="EZ19" s="303"/>
      <c r="FA19" s="303"/>
      <c r="FB19" s="303"/>
      <c r="FC19" s="303"/>
      <c r="FD19" s="303"/>
      <c r="FE19" s="303"/>
      <c r="FF19" s="303"/>
      <c r="FG19" s="303"/>
      <c r="FH19" s="303"/>
      <c r="FI19" s="303"/>
      <c r="FJ19" s="303"/>
      <c r="FK19" s="303"/>
      <c r="FL19" s="303"/>
      <c r="FM19" s="303"/>
      <c r="FN19" s="303"/>
      <c r="FO19" s="303"/>
      <c r="FP19" s="303"/>
      <c r="FQ19" s="303"/>
      <c r="FR19" s="303"/>
      <c r="FS19" s="303"/>
      <c r="FT19" s="303"/>
      <c r="FU19" s="303"/>
      <c r="FV19" s="303"/>
      <c r="FW19" s="303"/>
      <c r="FX19" s="303"/>
      <c r="FY19" s="303"/>
      <c r="FZ19" s="303"/>
      <c r="GA19" s="303"/>
      <c r="GB19" s="303"/>
      <c r="GC19" s="303"/>
      <c r="GD19" s="303"/>
      <c r="GE19" s="303"/>
      <c r="GF19" s="303"/>
      <c r="GG19" s="303"/>
      <c r="GH19" s="303"/>
      <c r="GI19" s="303"/>
      <c r="GJ19" s="303"/>
      <c r="GK19" s="303"/>
      <c r="GL19" s="303"/>
      <c r="GM19" s="303"/>
      <c r="GN19" s="303"/>
      <c r="GO19" s="303"/>
      <c r="GP19" s="303"/>
      <c r="GQ19" s="303"/>
      <c r="GR19" s="303"/>
      <c r="GS19" s="303"/>
      <c r="GT19" s="303"/>
      <c r="GU19" s="303"/>
      <c r="GV19" s="303"/>
      <c r="GW19" s="303"/>
      <c r="GX19" s="303"/>
      <c r="GY19" s="303"/>
      <c r="GZ19" s="303"/>
      <c r="HA19" s="303"/>
      <c r="HB19" s="303"/>
      <c r="HC19" s="303"/>
      <c r="HD19" s="303"/>
      <c r="HE19" s="303"/>
      <c r="HF19" s="303"/>
      <c r="HG19" s="303"/>
      <c r="HH19" s="303"/>
      <c r="HI19" s="303"/>
      <c r="HJ19" s="303"/>
      <c r="HK19" s="303"/>
      <c r="HL19" s="303"/>
      <c r="HM19" s="303"/>
      <c r="HN19" s="303"/>
      <c r="HO19" s="303"/>
      <c r="HP19" s="303"/>
      <c r="HQ19" s="303"/>
      <c r="HR19" s="303"/>
      <c r="HS19" s="303"/>
      <c r="HT19" s="303"/>
      <c r="HU19" s="303"/>
      <c r="HV19" s="303"/>
      <c r="HW19" s="303"/>
      <c r="HX19" s="303"/>
      <c r="HY19" s="303"/>
      <c r="HZ19" s="303"/>
      <c r="IA19" s="303"/>
      <c r="IB19" s="303"/>
      <c r="IC19" s="303"/>
      <c r="ID19" s="303"/>
      <c r="IE19" s="303"/>
      <c r="IF19" s="303"/>
      <c r="IG19" s="303"/>
      <c r="IH19" s="303"/>
      <c r="II19" s="303"/>
      <c r="IJ19" s="303"/>
      <c r="IK19" s="303"/>
      <c r="IL19" s="303"/>
      <c r="IM19" s="303"/>
      <c r="IN19" s="303"/>
      <c r="IO19" s="303"/>
      <c r="IP19" s="303"/>
      <c r="IQ19" s="303"/>
      <c r="IR19" s="303"/>
      <c r="IS19" s="303"/>
    </row>
    <row r="20" spans="1:253" s="265" customFormat="1" ht="15" customHeight="1">
      <c r="A20" s="294" t="s">
        <v>31</v>
      </c>
      <c r="B20" s="295">
        <v>0</v>
      </c>
      <c r="C20" s="295">
        <v>0</v>
      </c>
      <c r="D20" s="295">
        <v>0</v>
      </c>
      <c r="E20" s="295">
        <v>0</v>
      </c>
      <c r="F20" s="295">
        <v>0</v>
      </c>
      <c r="G20" s="295">
        <v>0</v>
      </c>
      <c r="H20" s="298">
        <v>0</v>
      </c>
      <c r="I20" s="298">
        <v>0</v>
      </c>
      <c r="J20" s="298">
        <v>0</v>
      </c>
      <c r="K20" s="298">
        <v>0</v>
      </c>
      <c r="L20" s="298">
        <v>0</v>
      </c>
      <c r="M20" s="296"/>
      <c r="O20" s="303"/>
      <c r="P20" s="262"/>
      <c r="Q20" s="262"/>
      <c r="R20" s="262"/>
      <c r="S20" s="262"/>
      <c r="T20" s="262"/>
      <c r="U20" s="262"/>
      <c r="V20" s="262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  <c r="BW20" s="303"/>
      <c r="BX20" s="303"/>
      <c r="BY20" s="303"/>
      <c r="BZ20" s="303"/>
      <c r="CA20" s="303"/>
      <c r="CB20" s="303"/>
      <c r="CC20" s="303"/>
      <c r="CD20" s="303"/>
      <c r="CE20" s="303"/>
      <c r="CF20" s="303"/>
      <c r="CG20" s="303"/>
      <c r="CH20" s="303"/>
      <c r="CI20" s="303"/>
      <c r="CJ20" s="303"/>
      <c r="CK20" s="303"/>
      <c r="CL20" s="303"/>
      <c r="CM20" s="303"/>
      <c r="CN20" s="303"/>
      <c r="CO20" s="303"/>
      <c r="CP20" s="303"/>
      <c r="CQ20" s="303"/>
      <c r="CR20" s="303"/>
      <c r="CS20" s="303"/>
      <c r="CT20" s="303"/>
      <c r="CU20" s="303"/>
      <c r="CV20" s="303"/>
      <c r="CW20" s="303"/>
      <c r="CX20" s="303"/>
      <c r="CY20" s="303"/>
      <c r="CZ20" s="303"/>
      <c r="DA20" s="303"/>
      <c r="DB20" s="303"/>
      <c r="DC20" s="303"/>
      <c r="DD20" s="303"/>
      <c r="DE20" s="303"/>
      <c r="DF20" s="303"/>
      <c r="DG20" s="303"/>
      <c r="DH20" s="303"/>
      <c r="DI20" s="303"/>
      <c r="DJ20" s="303"/>
      <c r="DK20" s="303"/>
      <c r="DL20" s="303"/>
      <c r="DM20" s="303"/>
      <c r="DN20" s="303"/>
      <c r="DO20" s="303"/>
      <c r="DP20" s="303"/>
      <c r="DQ20" s="303"/>
      <c r="DR20" s="303"/>
      <c r="DS20" s="303"/>
      <c r="DT20" s="303"/>
      <c r="DU20" s="303"/>
      <c r="DV20" s="303"/>
      <c r="DW20" s="303"/>
      <c r="DX20" s="303"/>
      <c r="DY20" s="303"/>
      <c r="DZ20" s="303"/>
      <c r="EA20" s="303"/>
      <c r="EB20" s="303"/>
      <c r="EC20" s="303"/>
      <c r="ED20" s="303"/>
      <c r="EE20" s="303"/>
      <c r="EF20" s="303"/>
      <c r="EG20" s="303"/>
      <c r="EH20" s="303"/>
      <c r="EI20" s="303"/>
      <c r="EJ20" s="303"/>
      <c r="EK20" s="303"/>
      <c r="EL20" s="303"/>
      <c r="EM20" s="303"/>
      <c r="EN20" s="303"/>
      <c r="EO20" s="303"/>
      <c r="EP20" s="303"/>
      <c r="EQ20" s="303"/>
      <c r="ER20" s="303"/>
      <c r="ES20" s="303"/>
      <c r="ET20" s="303"/>
      <c r="EU20" s="303"/>
      <c r="EV20" s="303"/>
      <c r="EW20" s="303"/>
      <c r="EX20" s="303"/>
      <c r="EY20" s="303"/>
      <c r="EZ20" s="303"/>
      <c r="FA20" s="303"/>
      <c r="FB20" s="303"/>
      <c r="FC20" s="303"/>
      <c r="FD20" s="303"/>
      <c r="FE20" s="303"/>
      <c r="FF20" s="303"/>
      <c r="FG20" s="303"/>
      <c r="FH20" s="303"/>
      <c r="FI20" s="303"/>
      <c r="FJ20" s="303"/>
      <c r="FK20" s="303"/>
      <c r="FL20" s="303"/>
      <c r="FM20" s="303"/>
      <c r="FN20" s="303"/>
      <c r="FO20" s="303"/>
      <c r="FP20" s="303"/>
      <c r="FQ20" s="303"/>
      <c r="FR20" s="303"/>
      <c r="FS20" s="303"/>
      <c r="FT20" s="303"/>
      <c r="FU20" s="303"/>
      <c r="FV20" s="303"/>
      <c r="FW20" s="303"/>
      <c r="FX20" s="303"/>
      <c r="FY20" s="303"/>
      <c r="FZ20" s="303"/>
      <c r="GA20" s="303"/>
      <c r="GB20" s="303"/>
      <c r="GC20" s="303"/>
      <c r="GD20" s="303"/>
      <c r="GE20" s="303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3"/>
      <c r="HB20" s="303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3"/>
      <c r="HZ20" s="303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</row>
    <row r="21" spans="1:253" s="262" customFormat="1" ht="15.75">
      <c r="A21" s="255" t="s">
        <v>32</v>
      </c>
      <c r="B21" s="305">
        <f t="shared" ref="B21:E21" si="2">+B8-B23</f>
        <v>-1943.5229260000015</v>
      </c>
      <c r="C21" s="305">
        <f t="shared" si="2"/>
        <v>-3876.7454459999999</v>
      </c>
      <c r="D21" s="305">
        <f t="shared" si="2"/>
        <v>-2380.6923200000019</v>
      </c>
      <c r="E21" s="305">
        <f t="shared" si="2"/>
        <v>-1463.2154230000015</v>
      </c>
      <c r="F21" s="305">
        <f>+F8-F23</f>
        <v>-2764.8567550000025</v>
      </c>
      <c r="G21" s="305">
        <f>+G8-G23</f>
        <v>-2075.0381229599971</v>
      </c>
      <c r="H21" s="305">
        <f t="shared" ref="H21:L21" si="3">+H8-H23</f>
        <v>-2024.5829999999969</v>
      </c>
      <c r="I21" s="305">
        <f t="shared" si="3"/>
        <v>-4219.5457486462292</v>
      </c>
      <c r="J21" s="305">
        <f t="shared" si="3"/>
        <v>-998.74105924680043</v>
      </c>
      <c r="K21" s="305">
        <f t="shared" si="3"/>
        <v>-2104.4214216475229</v>
      </c>
      <c r="L21" s="305">
        <f t="shared" si="3"/>
        <v>-769.76848687330858</v>
      </c>
      <c r="M21" s="293" t="s">
        <v>33</v>
      </c>
      <c r="P21" s="290"/>
      <c r="Q21" s="290"/>
      <c r="R21" s="290"/>
      <c r="S21" s="290"/>
      <c r="T21" s="290"/>
      <c r="U21" s="290"/>
      <c r="V21" s="290"/>
    </row>
    <row r="22" spans="1:253" s="262" customFormat="1" ht="15.75">
      <c r="A22" s="255" t="s">
        <v>814</v>
      </c>
      <c r="B22" s="306"/>
      <c r="C22" s="258"/>
      <c r="D22" s="306"/>
      <c r="E22" s="306"/>
      <c r="F22" s="295"/>
      <c r="G22" s="295"/>
      <c r="H22" s="295"/>
      <c r="I22" s="295"/>
      <c r="J22" s="295"/>
      <c r="K22" s="295"/>
      <c r="L22" s="295"/>
      <c r="M22" s="296" t="s">
        <v>34</v>
      </c>
      <c r="P22" s="291"/>
      <c r="Q22" s="291"/>
      <c r="R22" s="291"/>
      <c r="S22" s="291"/>
      <c r="T22" s="291"/>
      <c r="U22" s="291"/>
      <c r="V22" s="291"/>
    </row>
    <row r="23" spans="1:253" s="262" customFormat="1" ht="15.75">
      <c r="A23" s="255" t="s">
        <v>35</v>
      </c>
      <c r="B23" s="292">
        <v>10740.803755000001</v>
      </c>
      <c r="C23" s="253">
        <v>11714.954263</v>
      </c>
      <c r="D23" s="292">
        <f t="shared" ref="D23:L23" si="4">D24</f>
        <v>11873.506739000002</v>
      </c>
      <c r="E23" s="292">
        <f t="shared" si="4"/>
        <v>13660.056281000001</v>
      </c>
      <c r="F23" s="305">
        <f t="shared" si="4"/>
        <v>15052.676923999999</v>
      </c>
      <c r="G23" s="305">
        <f t="shared" si="4"/>
        <v>15298.463531489997</v>
      </c>
      <c r="H23" s="305">
        <f t="shared" si="4"/>
        <v>17958.287055999997</v>
      </c>
      <c r="I23" s="305">
        <f t="shared" si="4"/>
        <v>22642.549668708423</v>
      </c>
      <c r="J23" s="305">
        <f t="shared" si="4"/>
        <v>27434.023217000002</v>
      </c>
      <c r="K23" s="305">
        <f t="shared" si="4"/>
        <v>28002.493605</v>
      </c>
      <c r="L23" s="305">
        <f t="shared" si="4"/>
        <v>26201.253556</v>
      </c>
      <c r="M23" s="293" t="s">
        <v>36</v>
      </c>
    </row>
    <row r="24" spans="1:253" s="262" customFormat="1" ht="15.75">
      <c r="A24" s="255" t="s">
        <v>37</v>
      </c>
      <c r="B24" s="292">
        <f>SUM(B25:B32)</f>
        <v>10740.803754999997</v>
      </c>
      <c r="C24" s="292">
        <f>SUM(C25:C32)</f>
        <v>11714.954263000003</v>
      </c>
      <c r="D24" s="292">
        <f t="shared" ref="D24:K24" si="5">SUM(D25:D32)</f>
        <v>11873.506739000002</v>
      </c>
      <c r="E24" s="292">
        <f t="shared" si="5"/>
        <v>13660.056281000001</v>
      </c>
      <c r="F24" s="305">
        <f t="shared" si="5"/>
        <v>15052.676923999999</v>
      </c>
      <c r="G24" s="305">
        <f t="shared" si="5"/>
        <v>15298.463531489997</v>
      </c>
      <c r="H24" s="305">
        <f>SUM(H25:H32)</f>
        <v>17958.287055999997</v>
      </c>
      <c r="I24" s="305">
        <f t="shared" si="5"/>
        <v>22642.549668708423</v>
      </c>
      <c r="J24" s="305">
        <f t="shared" si="5"/>
        <v>27434.023217000002</v>
      </c>
      <c r="K24" s="305">
        <f t="shared" si="5"/>
        <v>28002.493605</v>
      </c>
      <c r="L24" s="305">
        <f>SUM(L25:L32)</f>
        <v>26201.253556</v>
      </c>
      <c r="M24" s="293" t="s">
        <v>38</v>
      </c>
      <c r="P24" s="290"/>
      <c r="Q24" s="290"/>
      <c r="R24" s="290"/>
      <c r="S24" s="290"/>
      <c r="T24" s="290"/>
      <c r="U24" s="290"/>
      <c r="V24" s="290"/>
    </row>
    <row r="25" spans="1:253" s="265" customFormat="1" ht="15.75">
      <c r="A25" s="294" t="s">
        <v>39</v>
      </c>
      <c r="B25" s="307">
        <v>9028.3429649999998</v>
      </c>
      <c r="C25" s="308">
        <v>10432.388282</v>
      </c>
      <c r="D25" s="307">
        <v>10483.585333000001</v>
      </c>
      <c r="E25" s="307">
        <v>11488.839484</v>
      </c>
      <c r="F25" s="307">
        <v>13526.464507000001</v>
      </c>
      <c r="G25" s="307">
        <v>13892.434722999998</v>
      </c>
      <c r="H25" s="307">
        <v>17516.209221000001</v>
      </c>
      <c r="I25" s="307">
        <v>20848.715535744428</v>
      </c>
      <c r="J25" s="307">
        <v>23341.867708000002</v>
      </c>
      <c r="K25" s="307">
        <v>23388.980048000001</v>
      </c>
      <c r="L25" s="307">
        <v>21832.703683</v>
      </c>
      <c r="M25" s="296" t="s">
        <v>40</v>
      </c>
      <c r="P25" s="291"/>
      <c r="Q25" s="291"/>
      <c r="R25" s="291"/>
      <c r="S25" s="291"/>
      <c r="T25" s="291"/>
      <c r="U25" s="291"/>
      <c r="V25" s="291"/>
    </row>
    <row r="26" spans="1:253" s="265" customFormat="1" ht="15.75">
      <c r="A26" s="294" t="s">
        <v>41</v>
      </c>
      <c r="B26" s="307">
        <v>58.229534999999998</v>
      </c>
      <c r="C26" s="308">
        <v>57.178566000000004</v>
      </c>
      <c r="D26" s="307">
        <v>0</v>
      </c>
      <c r="E26" s="307">
        <v>60.209864000000003</v>
      </c>
      <c r="F26" s="307">
        <v>89.611200999999994</v>
      </c>
      <c r="G26" s="307">
        <v>103.50774728999973</v>
      </c>
      <c r="H26" s="307">
        <v>98.288548000000006</v>
      </c>
      <c r="I26" s="307">
        <v>140.35003466666666</v>
      </c>
      <c r="J26" s="307">
        <v>104.045</v>
      </c>
      <c r="K26" s="307">
        <v>102.42834999999999</v>
      </c>
      <c r="L26" s="307">
        <v>104.41725</v>
      </c>
      <c r="M26" s="296" t="s">
        <v>42</v>
      </c>
      <c r="P26" s="262"/>
      <c r="Q26" s="262"/>
      <c r="R26" s="262"/>
      <c r="S26" s="262"/>
      <c r="T26" s="262"/>
      <c r="U26" s="262"/>
      <c r="V26" s="262"/>
    </row>
    <row r="27" spans="1:253" s="265" customFormat="1" ht="15.75">
      <c r="A27" s="294" t="s">
        <v>43</v>
      </c>
      <c r="B27" s="307">
        <v>7.9</v>
      </c>
      <c r="C27" s="308">
        <v>25.029731999999999</v>
      </c>
      <c r="D27" s="307">
        <v>0</v>
      </c>
      <c r="E27" s="307">
        <v>0</v>
      </c>
      <c r="F27" s="307">
        <v>0</v>
      </c>
      <c r="G27" s="298">
        <v>0</v>
      </c>
      <c r="H27" s="298">
        <v>0</v>
      </c>
      <c r="I27" s="298">
        <v>0</v>
      </c>
      <c r="J27" s="298">
        <v>0</v>
      </c>
      <c r="K27" s="298">
        <v>0</v>
      </c>
      <c r="L27" s="298">
        <v>0</v>
      </c>
      <c r="M27" s="296" t="s">
        <v>44</v>
      </c>
      <c r="P27" s="290"/>
      <c r="Q27" s="290"/>
      <c r="R27" s="290"/>
      <c r="S27" s="290"/>
      <c r="T27" s="290"/>
      <c r="U27" s="290"/>
      <c r="V27" s="290"/>
    </row>
    <row r="28" spans="1:253" s="265" customFormat="1" ht="15.75">
      <c r="A28" s="294" t="s">
        <v>15</v>
      </c>
      <c r="B28" s="307">
        <v>47.299860000000002</v>
      </c>
      <c r="C28" s="308">
        <v>52.923622000000002</v>
      </c>
      <c r="D28" s="307">
        <v>0</v>
      </c>
      <c r="E28" s="307">
        <v>298.51770399999998</v>
      </c>
      <c r="F28" s="307">
        <v>68.353718999999998</v>
      </c>
      <c r="G28" s="307">
        <v>40.923633199999962</v>
      </c>
      <c r="H28" s="307">
        <v>53.993991000000001</v>
      </c>
      <c r="I28" s="307">
        <v>66.007324333333329</v>
      </c>
      <c r="J28" s="307">
        <v>21.899699999999999</v>
      </c>
      <c r="K28" s="307">
        <v>19.899699999999999</v>
      </c>
      <c r="L28" s="307">
        <v>17.899699999999999</v>
      </c>
      <c r="M28" s="296" t="s">
        <v>45</v>
      </c>
      <c r="P28" s="291"/>
      <c r="Q28" s="291"/>
      <c r="R28" s="291"/>
      <c r="S28" s="291"/>
      <c r="T28" s="291"/>
      <c r="U28" s="291"/>
      <c r="V28" s="291"/>
    </row>
    <row r="29" spans="1:253" s="265" customFormat="1" ht="18.75">
      <c r="A29" s="294" t="s">
        <v>17</v>
      </c>
      <c r="B29" s="307">
        <v>382.499235</v>
      </c>
      <c r="C29" s="308">
        <v>0</v>
      </c>
      <c r="D29" s="307">
        <v>0</v>
      </c>
      <c r="E29" s="307">
        <v>0</v>
      </c>
      <c r="F29" s="307">
        <v>0</v>
      </c>
      <c r="G29" s="298">
        <v>0</v>
      </c>
      <c r="H29" s="298">
        <v>0</v>
      </c>
      <c r="I29" s="298">
        <v>0</v>
      </c>
      <c r="J29" s="298">
        <v>0</v>
      </c>
      <c r="K29" s="298">
        <v>0</v>
      </c>
      <c r="L29" s="298">
        <v>0</v>
      </c>
      <c r="M29" s="299" t="s">
        <v>46</v>
      </c>
      <c r="P29" s="262"/>
      <c r="Q29" s="262"/>
      <c r="R29" s="262"/>
      <c r="S29" s="262"/>
      <c r="T29" s="262"/>
      <c r="U29" s="262"/>
      <c r="V29" s="262"/>
    </row>
    <row r="30" spans="1:253" s="291" customFormat="1" ht="15.75">
      <c r="A30" s="309" t="s">
        <v>47</v>
      </c>
      <c r="B30" s="308">
        <v>461.42420499999997</v>
      </c>
      <c r="C30" s="308">
        <v>368.59220499999998</v>
      </c>
      <c r="D30" s="308">
        <v>106.900358</v>
      </c>
      <c r="E30" s="308">
        <v>414.07133499999998</v>
      </c>
      <c r="F30" s="307">
        <v>222.38928999999999</v>
      </c>
      <c r="G30" s="307">
        <v>74.405078000000003</v>
      </c>
      <c r="H30" s="307">
        <v>101.40112999999999</v>
      </c>
      <c r="I30" s="307">
        <v>1019.179589964</v>
      </c>
      <c r="J30" s="307">
        <v>1186.9436499999999</v>
      </c>
      <c r="K30" s="307">
        <v>1201.366595</v>
      </c>
      <c r="L30" s="307">
        <v>933.96100000000001</v>
      </c>
      <c r="M30" s="310" t="s">
        <v>48</v>
      </c>
      <c r="P30" s="290"/>
      <c r="Q30" s="290"/>
      <c r="R30" s="290"/>
      <c r="S30" s="290"/>
      <c r="T30" s="290"/>
      <c r="U30" s="290"/>
      <c r="V30" s="290"/>
    </row>
    <row r="31" spans="1:253" s="265" customFormat="1" ht="15.75">
      <c r="A31" s="309" t="s">
        <v>49</v>
      </c>
      <c r="B31" s="308">
        <v>755.10795499999995</v>
      </c>
      <c r="C31" s="308">
        <v>778.84185600000001</v>
      </c>
      <c r="D31" s="308">
        <v>1283.0210480000001</v>
      </c>
      <c r="E31" s="308">
        <v>1398.4178939999999</v>
      </c>
      <c r="F31" s="308">
        <v>1145.858207</v>
      </c>
      <c r="G31" s="308">
        <v>1187.19235</v>
      </c>
      <c r="H31" s="308">
        <v>188.39416600000001</v>
      </c>
      <c r="I31" s="308">
        <v>568.29718400000002</v>
      </c>
      <c r="J31" s="308">
        <v>2779.267159</v>
      </c>
      <c r="K31" s="308">
        <v>3289.8189120000002</v>
      </c>
      <c r="L31" s="308">
        <v>3312.2719229999998</v>
      </c>
      <c r="M31" s="296" t="s">
        <v>50</v>
      </c>
      <c r="P31" s="291"/>
      <c r="Q31" s="291"/>
      <c r="R31" s="291"/>
      <c r="S31" s="291"/>
      <c r="T31" s="291"/>
      <c r="U31" s="291"/>
      <c r="V31" s="291"/>
    </row>
    <row r="32" spans="1:253" s="265" customFormat="1" ht="18.75">
      <c r="A32" s="311" t="s">
        <v>51</v>
      </c>
      <c r="B32" s="312">
        <v>0</v>
      </c>
      <c r="C32" s="312">
        <v>0</v>
      </c>
      <c r="D32" s="312">
        <v>0</v>
      </c>
      <c r="E32" s="312">
        <v>0</v>
      </c>
      <c r="F32" s="312">
        <v>0</v>
      </c>
      <c r="G32" s="313">
        <v>0</v>
      </c>
      <c r="H32" s="313">
        <v>0</v>
      </c>
      <c r="I32" s="313">
        <v>0</v>
      </c>
      <c r="J32" s="313">
        <v>0</v>
      </c>
      <c r="K32" s="313">
        <v>0</v>
      </c>
      <c r="L32" s="313">
        <v>0</v>
      </c>
      <c r="M32" s="314" t="s">
        <v>815</v>
      </c>
      <c r="N32" s="291"/>
      <c r="P32" s="262"/>
      <c r="Q32" s="262"/>
      <c r="R32" s="262"/>
      <c r="S32" s="262"/>
      <c r="T32" s="262"/>
      <c r="U32" s="262"/>
      <c r="V32" s="262"/>
    </row>
    <row r="33" spans="1:14" s="291" customFormat="1" ht="15">
      <c r="A33" s="315" t="s">
        <v>52</v>
      </c>
      <c r="B33" s="316">
        <v>0</v>
      </c>
      <c r="C33" s="316">
        <v>0</v>
      </c>
      <c r="D33" s="317">
        <v>0</v>
      </c>
      <c r="E33" s="317">
        <v>0</v>
      </c>
      <c r="F33" s="312">
        <v>0</v>
      </c>
      <c r="G33" s="313">
        <v>0</v>
      </c>
      <c r="H33" s="313">
        <v>0</v>
      </c>
      <c r="I33" s="313">
        <v>0</v>
      </c>
      <c r="J33" s="317">
        <v>23.341868000000002</v>
      </c>
      <c r="K33" s="317">
        <v>23.38898</v>
      </c>
      <c r="L33" s="317">
        <v>21.832704</v>
      </c>
      <c r="M33" s="318" t="s">
        <v>53</v>
      </c>
      <c r="N33" s="319"/>
    </row>
    <row r="34" spans="1:14" s="265" customFormat="1" ht="18.75">
      <c r="A34" s="320" t="s">
        <v>393</v>
      </c>
      <c r="B34" s="275"/>
      <c r="C34" s="275"/>
      <c r="M34" s="299" t="s">
        <v>54</v>
      </c>
      <c r="N34" s="321" t="s">
        <v>55</v>
      </c>
    </row>
    <row r="35" spans="1:14" s="265" customFormat="1" ht="18.75">
      <c r="A35" s="320" t="s">
        <v>56</v>
      </c>
      <c r="B35" s="275"/>
      <c r="C35" s="275"/>
      <c r="M35" s="299" t="s">
        <v>57</v>
      </c>
      <c r="N35" s="321" t="s">
        <v>58</v>
      </c>
    </row>
    <row r="36" spans="1:14" s="265" customFormat="1" ht="18.75">
      <c r="A36" s="320" t="s">
        <v>59</v>
      </c>
      <c r="B36" s="275"/>
      <c r="C36" s="275"/>
      <c r="D36" s="322"/>
      <c r="E36" s="322"/>
      <c r="F36" s="322"/>
      <c r="G36" s="322"/>
      <c r="H36" s="322"/>
      <c r="I36" s="322"/>
      <c r="J36" s="322"/>
      <c r="K36" s="322"/>
      <c r="L36" s="322"/>
      <c r="M36" s="299" t="s">
        <v>60</v>
      </c>
      <c r="N36" s="321" t="s">
        <v>61</v>
      </c>
    </row>
    <row r="37" spans="1:14" s="265" customFormat="1" ht="15.75">
      <c r="A37" s="320" t="s">
        <v>62</v>
      </c>
      <c r="B37" s="275"/>
      <c r="C37" s="275"/>
      <c r="M37" s="296"/>
      <c r="N37" s="323" t="s">
        <v>63</v>
      </c>
    </row>
    <row r="38" spans="1:14" s="265" customFormat="1" ht="15">
      <c r="A38" s="320" t="s">
        <v>64</v>
      </c>
      <c r="B38" s="275"/>
      <c r="C38" s="275"/>
      <c r="M38" s="324"/>
    </row>
    <row r="39" spans="1:14" s="265" customFormat="1" ht="12"/>
  </sheetData>
  <mergeCells count="6">
    <mergeCell ref="A1:N1"/>
    <mergeCell ref="A2:N2"/>
    <mergeCell ref="A3:M3"/>
    <mergeCell ref="A4:M4"/>
    <mergeCell ref="A5:A7"/>
    <mergeCell ref="M5:N7"/>
  </mergeCells>
  <pageMargins left="0.18" right="0.16" top="0.75" bottom="0.75" header="0.3" footer="0.3"/>
  <pageSetup paperSize="9" scale="77" orientation="landscape" r:id="rId1"/>
  <colBreaks count="1" manualBreakCount="1">
    <brk id="14" max="1048575" man="1"/>
  </colBreaks>
  <ignoredErrors>
    <ignoredError sqref="K22 G22:J22 F22:F23 B21:E23 G23:I23" unlockedFormula="1"/>
    <ignoredError sqref="K2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zoomScaleSheetLayoutView="80" workbookViewId="0">
      <selection activeCell="I19" sqref="I19:J19"/>
    </sheetView>
  </sheetViews>
  <sheetFormatPr defaultRowHeight="12.75"/>
  <cols>
    <col min="1" max="1" width="33.7109375" style="240" customWidth="1"/>
    <col min="2" max="2" width="8.7109375" style="280" hidden="1" customWidth="1"/>
    <col min="3" max="4" width="11.28515625" style="280" hidden="1" customWidth="1"/>
    <col min="5" max="5" width="11.28515625" style="240" hidden="1" customWidth="1"/>
    <col min="6" max="7" width="11.85546875" style="240" hidden="1" customWidth="1"/>
    <col min="8" max="13" width="11.85546875" style="240" customWidth="1"/>
    <col min="14" max="17" width="12.7109375" style="280" customWidth="1"/>
    <col min="18" max="18" width="46.5703125" style="240" customWidth="1"/>
    <col min="19" max="16384" width="9.140625" style="240"/>
  </cols>
  <sheetData>
    <row r="1" spans="1:18" ht="19.5">
      <c r="A1" s="681" t="s">
        <v>623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</row>
    <row r="2" spans="1:18" ht="15">
      <c r="A2" s="695" t="s">
        <v>624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</row>
    <row r="3" spans="1:18" ht="15">
      <c r="A3" s="683" t="s">
        <v>0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</row>
    <row r="4" spans="1:18" s="242" customFormat="1">
      <c r="A4" s="696" t="s">
        <v>301</v>
      </c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696"/>
      <c r="O4" s="696"/>
      <c r="P4" s="696"/>
      <c r="Q4" s="696"/>
      <c r="R4" s="696"/>
    </row>
    <row r="5" spans="1:18" s="242" customFormat="1" ht="13.5">
      <c r="A5" s="691" t="s">
        <v>1</v>
      </c>
      <c r="B5" s="243"/>
      <c r="C5" s="244"/>
      <c r="D5" s="244"/>
      <c r="E5" s="244"/>
      <c r="F5" s="245" t="s">
        <v>65</v>
      </c>
      <c r="G5" s="245"/>
      <c r="H5" s="245"/>
      <c r="I5" s="245"/>
      <c r="J5" s="245"/>
      <c r="K5" s="245"/>
      <c r="L5" s="245"/>
      <c r="M5" s="245"/>
      <c r="N5" s="699" t="s">
        <v>67</v>
      </c>
      <c r="O5" s="700"/>
      <c r="P5" s="700"/>
      <c r="Q5" s="700"/>
      <c r="R5" s="692" t="s">
        <v>3</v>
      </c>
    </row>
    <row r="6" spans="1:18" s="242" customFormat="1" ht="14.45" customHeight="1">
      <c r="A6" s="686"/>
      <c r="B6" s="79"/>
      <c r="C6" s="79"/>
      <c r="D6" s="79"/>
      <c r="E6" s="79"/>
      <c r="F6" s="246" t="s">
        <v>6</v>
      </c>
      <c r="G6" s="79" t="s">
        <v>68</v>
      </c>
      <c r="H6" s="79" t="s">
        <v>68</v>
      </c>
      <c r="I6" s="79" t="s">
        <v>4</v>
      </c>
      <c r="J6" s="79" t="s">
        <v>6</v>
      </c>
      <c r="K6" s="79" t="s">
        <v>69</v>
      </c>
      <c r="L6" s="79" t="s">
        <v>69</v>
      </c>
      <c r="M6" s="79" t="s">
        <v>5</v>
      </c>
      <c r="N6" s="697" t="s">
        <v>298</v>
      </c>
      <c r="O6" s="698"/>
      <c r="P6" s="698"/>
      <c r="Q6" s="698"/>
      <c r="R6" s="693"/>
    </row>
    <row r="7" spans="1:18" s="242" customFormat="1" ht="15.75" customHeight="1">
      <c r="A7" s="687"/>
      <c r="B7" s="248">
        <v>2008</v>
      </c>
      <c r="C7" s="80">
        <v>2009</v>
      </c>
      <c r="D7" s="80">
        <v>2010</v>
      </c>
      <c r="E7" s="80">
        <v>2011</v>
      </c>
      <c r="F7" s="249">
        <v>2012</v>
      </c>
      <c r="G7" s="80">
        <v>2012</v>
      </c>
      <c r="H7" s="80">
        <v>2013</v>
      </c>
      <c r="I7" s="80">
        <v>2014</v>
      </c>
      <c r="J7" s="80">
        <v>2015</v>
      </c>
      <c r="K7" s="80">
        <v>2016</v>
      </c>
      <c r="L7" s="80">
        <v>2017</v>
      </c>
      <c r="M7" s="80">
        <v>2018</v>
      </c>
      <c r="N7" s="250" t="s">
        <v>292</v>
      </c>
      <c r="O7" s="251" t="s">
        <v>389</v>
      </c>
      <c r="P7" s="251" t="s">
        <v>583</v>
      </c>
      <c r="Q7" s="251" t="s">
        <v>591</v>
      </c>
      <c r="R7" s="694"/>
    </row>
    <row r="8" spans="1:18" ht="21" customHeight="1">
      <c r="A8" s="252" t="s">
        <v>70</v>
      </c>
      <c r="B8" s="253">
        <v>7456.54</v>
      </c>
      <c r="C8" s="253">
        <f>+C9+C12</f>
        <v>5734.8352960000002</v>
      </c>
      <c r="D8" s="253">
        <v>6546.9287702799966</v>
      </c>
      <c r="E8" s="253">
        <v>9904.5614829999995</v>
      </c>
      <c r="F8" s="253">
        <v>9831.9774639999996</v>
      </c>
      <c r="G8" s="253">
        <f t="shared" ref="G8" si="0">G9+G12</f>
        <v>10138.11294952</v>
      </c>
      <c r="H8" s="253">
        <f>H9+H12</f>
        <v>11900.748051730001</v>
      </c>
      <c r="I8" s="253">
        <f>I9+I12</f>
        <v>15164.227912</v>
      </c>
      <c r="J8" s="253">
        <f t="shared" ref="J8:M8" si="1">J9+J12</f>
        <v>17700.558494455538</v>
      </c>
      <c r="K8" s="253">
        <f t="shared" si="1"/>
        <v>22759.564470753161</v>
      </c>
      <c r="L8" s="253">
        <f t="shared" si="1"/>
        <v>22523.459265352478</v>
      </c>
      <c r="M8" s="253">
        <f t="shared" si="1"/>
        <v>22034.656550369597</v>
      </c>
      <c r="N8" s="254">
        <f t="shared" ref="N8:O19" si="2">+((H8/G8)-1)*100</f>
        <v>17.386224744058065</v>
      </c>
      <c r="O8" s="253">
        <f>+((I8/H8)-1)*100</f>
        <v>27.422476688728747</v>
      </c>
      <c r="P8" s="253">
        <f>+((J8/I8)-1)*100</f>
        <v>16.725748235744</v>
      </c>
      <c r="Q8" s="253">
        <f>+((K8/J8)-1)*100</f>
        <v>28.581052840125288</v>
      </c>
      <c r="R8" s="68" t="s">
        <v>71</v>
      </c>
    </row>
    <row r="9" spans="1:18" ht="21" customHeight="1">
      <c r="A9" s="255" t="s">
        <v>72</v>
      </c>
      <c r="B9" s="253">
        <f>SUM(B10:B11)</f>
        <v>6939.54</v>
      </c>
      <c r="C9" s="253">
        <f>SUM(C10:C11)</f>
        <v>5313.319469</v>
      </c>
      <c r="D9" s="253">
        <f>SUM(D10:D11)</f>
        <v>6392.3855347199969</v>
      </c>
      <c r="E9" s="253">
        <v>9172.1262260000003</v>
      </c>
      <c r="F9" s="253">
        <v>9366.453458</v>
      </c>
      <c r="G9" s="253">
        <f t="shared" ref="G9:H9" si="3">SUM(G10:G11)</f>
        <v>9771.4430765199995</v>
      </c>
      <c r="H9" s="253">
        <f t="shared" si="3"/>
        <v>11783.092824200001</v>
      </c>
      <c r="I9" s="253">
        <f>SUM(I10:I11)</f>
        <v>14998.954087</v>
      </c>
      <c r="J9" s="253">
        <f t="shared" ref="J9:M9" si="4">SUM(J10:J11)</f>
        <v>16618.143448491537</v>
      </c>
      <c r="K9" s="253">
        <f t="shared" si="4"/>
        <v>21538.994560753163</v>
      </c>
      <c r="L9" s="253">
        <f t="shared" si="4"/>
        <v>21288.487670352479</v>
      </c>
      <c r="M9" s="253">
        <f t="shared" si="4"/>
        <v>21067.065050369598</v>
      </c>
      <c r="N9" s="254">
        <f t="shared" si="2"/>
        <v>20.587028261095199</v>
      </c>
      <c r="O9" s="253">
        <f>+((I9/H9)-1)*100</f>
        <v>27.292166078801451</v>
      </c>
      <c r="P9" s="253">
        <f t="shared" ref="P9:Q25" si="5">+((J9/I9)-1)*100</f>
        <v>10.79534847629764</v>
      </c>
      <c r="Q9" s="253">
        <f t="shared" si="5"/>
        <v>29.611316856867663</v>
      </c>
      <c r="R9" s="256" t="s">
        <v>73</v>
      </c>
    </row>
    <row r="10" spans="1:18" ht="21" customHeight="1">
      <c r="A10" s="257" t="s">
        <v>74</v>
      </c>
      <c r="B10" s="258">
        <v>6897.24</v>
      </c>
      <c r="C10" s="258">
        <v>5299.4316959999996</v>
      </c>
      <c r="D10" s="258">
        <v>6343.0314386499977</v>
      </c>
      <c r="E10" s="258">
        <v>8637.6616890000005</v>
      </c>
      <c r="F10" s="258">
        <v>9352.4548689999992</v>
      </c>
      <c r="G10" s="258">
        <v>9723.3702617999988</v>
      </c>
      <c r="H10" s="258">
        <v>11514.974798200001</v>
      </c>
      <c r="I10" s="258">
        <v>14874.843471</v>
      </c>
      <c r="J10" s="258">
        <v>16476.744519905435</v>
      </c>
      <c r="K10" s="258">
        <v>20020.816877667188</v>
      </c>
      <c r="L10" s="258">
        <v>20375.721852897514</v>
      </c>
      <c r="M10" s="258">
        <v>21026.619890087979</v>
      </c>
      <c r="N10" s="259">
        <f t="shared" si="2"/>
        <v>18.425756586053723</v>
      </c>
      <c r="O10" s="258">
        <f>+((I10/H10)-1)*100</f>
        <v>29.178254678639924</v>
      </c>
      <c r="P10" s="258">
        <f>+((J10/I10)-1)*100</f>
        <v>10.769196005514292</v>
      </c>
      <c r="Q10" s="258">
        <f>+((K10/J10)-1)*100</f>
        <v>21.509542455308363</v>
      </c>
      <c r="R10" s="260" t="s">
        <v>75</v>
      </c>
    </row>
    <row r="11" spans="1:18" ht="21" customHeight="1">
      <c r="A11" s="257" t="s">
        <v>810</v>
      </c>
      <c r="B11" s="258">
        <v>42.3</v>
      </c>
      <c r="C11" s="258">
        <v>13.887772999999999</v>
      </c>
      <c r="D11" s="258">
        <v>49.354096069998995</v>
      </c>
      <c r="E11" s="258">
        <v>534.46453699999995</v>
      </c>
      <c r="F11" s="258">
        <v>13.998589000000001</v>
      </c>
      <c r="G11" s="258">
        <v>48.072814719999997</v>
      </c>
      <c r="H11" s="258">
        <v>268.11802599999999</v>
      </c>
      <c r="I11" s="258">
        <v>124.11061599999999</v>
      </c>
      <c r="J11" s="258">
        <v>141.39892858610074</v>
      </c>
      <c r="K11" s="258">
        <v>1518.1776830859742</v>
      </c>
      <c r="L11" s="258">
        <v>912.7658174549648</v>
      </c>
      <c r="M11" s="258">
        <v>40.445160281618286</v>
      </c>
      <c r="N11" s="259">
        <f t="shared" si="2"/>
        <v>457.73315451082459</v>
      </c>
      <c r="O11" s="258">
        <f t="shared" si="2"/>
        <v>-53.710454365347296</v>
      </c>
      <c r="P11" s="258">
        <f>+((J11/I11)-1)*100</f>
        <v>13.92976132364112</v>
      </c>
      <c r="Q11" s="258">
        <f>+((K11/J11)-1)*100</f>
        <v>973.68400755704772</v>
      </c>
      <c r="R11" s="260" t="s">
        <v>77</v>
      </c>
    </row>
    <row r="12" spans="1:18" s="242" customFormat="1" ht="21" customHeight="1">
      <c r="A12" s="261" t="s">
        <v>78</v>
      </c>
      <c r="B12" s="253">
        <v>517</v>
      </c>
      <c r="C12" s="253">
        <v>421.515827</v>
      </c>
      <c r="D12" s="253">
        <v>154.54323556</v>
      </c>
      <c r="E12" s="253">
        <v>732.43525699999998</v>
      </c>
      <c r="F12" s="253">
        <v>465.52400599999999</v>
      </c>
      <c r="G12" s="253">
        <v>366.669873</v>
      </c>
      <c r="H12" s="253">
        <v>117.65522753</v>
      </c>
      <c r="I12" s="253">
        <v>165.27382499999999</v>
      </c>
      <c r="J12" s="253">
        <v>1082.415045964</v>
      </c>
      <c r="K12" s="253">
        <v>1220.5699099999999</v>
      </c>
      <c r="L12" s="253">
        <v>1234.971595</v>
      </c>
      <c r="M12" s="253">
        <v>967.5915</v>
      </c>
      <c r="N12" s="254">
        <f t="shared" si="2"/>
        <v>-67.912491264315022</v>
      </c>
      <c r="O12" s="253">
        <f t="shared" si="2"/>
        <v>40.472997647178978</v>
      </c>
      <c r="P12" s="253">
        <f t="shared" si="5"/>
        <v>554.92224553041001</v>
      </c>
      <c r="Q12" s="253">
        <f t="shared" si="5"/>
        <v>12.76357572366884</v>
      </c>
      <c r="R12" s="256" t="s">
        <v>79</v>
      </c>
    </row>
    <row r="13" spans="1:18" ht="21" customHeight="1">
      <c r="A13" s="261" t="s">
        <v>80</v>
      </c>
      <c r="B13" s="253">
        <v>10176.000000000002</v>
      </c>
      <c r="C13" s="253">
        <f>+C14+C17</f>
        <v>10953.434156000003</v>
      </c>
      <c r="D13" s="253">
        <v>10815.062102899999</v>
      </c>
      <c r="E13" s="253">
        <v>12264.726665999999</v>
      </c>
      <c r="F13" s="253">
        <v>14145.628022305787</v>
      </c>
      <c r="G13" s="253">
        <f t="shared" ref="G13:M13" si="6">G14+G17</f>
        <v>13110.002924999999</v>
      </c>
      <c r="H13" s="253">
        <f t="shared" si="6"/>
        <v>13530.771002489999</v>
      </c>
      <c r="I13" s="253">
        <f>I14+I17</f>
        <v>16417.211596000001</v>
      </c>
      <c r="J13" s="253">
        <f t="shared" si="6"/>
        <v>21286.091908538427</v>
      </c>
      <c r="K13" s="253">
        <f t="shared" si="6"/>
        <v>26131.714556999996</v>
      </c>
      <c r="L13" s="253">
        <f t="shared" si="6"/>
        <v>26738.388578999999</v>
      </c>
      <c r="M13" s="253">
        <f t="shared" si="6"/>
        <v>24912.329664242909</v>
      </c>
      <c r="N13" s="254">
        <f t="shared" si="2"/>
        <v>3.2095193257937416</v>
      </c>
      <c r="O13" s="253">
        <f t="shared" si="2"/>
        <v>21.332417738640498</v>
      </c>
      <c r="P13" s="253">
        <f>+((J13/I13)-1)*100</f>
        <v>29.657169757894273</v>
      </c>
      <c r="Q13" s="253">
        <f>+((K13/J13)-1)*100</f>
        <v>22.764266307230674</v>
      </c>
      <c r="R13" s="256" t="s">
        <v>81</v>
      </c>
    </row>
    <row r="14" spans="1:18" ht="21" customHeight="1">
      <c r="A14" s="261" t="s">
        <v>82</v>
      </c>
      <c r="B14" s="253">
        <f>SUM(B15:B16)</f>
        <v>10342.400000000001</v>
      </c>
      <c r="C14" s="253">
        <f>SUM(C15:C16)</f>
        <v>11104.270489000002</v>
      </c>
      <c r="D14" s="253">
        <f>SUM(D15:D16)</f>
        <v>10996.362102899999</v>
      </c>
      <c r="E14" s="253">
        <v>12663.726665999999</v>
      </c>
      <c r="F14" s="253">
        <v>14215.928022305787</v>
      </c>
      <c r="G14" s="253">
        <f t="shared" ref="G14:M14" si="7">SUM(G15:G16)</f>
        <v>13200.234560999999</v>
      </c>
      <c r="H14" s="253">
        <f t="shared" si="7"/>
        <v>13666.256009489998</v>
      </c>
      <c r="I14" s="253">
        <f>SUM(I15:I16)</f>
        <v>16539.373646</v>
      </c>
      <c r="J14" s="253">
        <f t="shared" si="7"/>
        <v>21299.655352473139</v>
      </c>
      <c r="K14" s="253">
        <f t="shared" si="7"/>
        <v>26116.156163999996</v>
      </c>
      <c r="L14" s="253">
        <f t="shared" si="7"/>
        <v>26638.133696999997</v>
      </c>
      <c r="M14" s="253">
        <f t="shared" si="7"/>
        <v>24938.377442999998</v>
      </c>
      <c r="N14" s="254">
        <f t="shared" si="2"/>
        <v>3.530402784408504</v>
      </c>
      <c r="O14" s="253">
        <f t="shared" si="2"/>
        <v>21.023443688709452</v>
      </c>
      <c r="P14" s="253">
        <f t="shared" si="5"/>
        <v>28.781511370138247</v>
      </c>
      <c r="Q14" s="253">
        <f t="shared" si="5"/>
        <v>22.613045759764393</v>
      </c>
      <c r="R14" s="256" t="s">
        <v>83</v>
      </c>
    </row>
    <row r="15" spans="1:18" ht="21" customHeight="1">
      <c r="A15" s="257" t="s">
        <v>84</v>
      </c>
      <c r="B15" s="258">
        <v>7463.2000000000007</v>
      </c>
      <c r="C15" s="258">
        <v>8764.9308290000008</v>
      </c>
      <c r="D15" s="258">
        <v>8428.0733739999996</v>
      </c>
      <c r="E15" s="258">
        <v>9075.7434510000003</v>
      </c>
      <c r="F15" s="258">
        <v>10522.12938529569</v>
      </c>
      <c r="G15" s="258">
        <v>10316.485255</v>
      </c>
      <c r="H15" s="258">
        <v>11573.214585849999</v>
      </c>
      <c r="I15" s="258">
        <v>13959.968519999999</v>
      </c>
      <c r="J15" s="258">
        <v>16234.897878692473</v>
      </c>
      <c r="K15" s="258">
        <v>16227.522015999997</v>
      </c>
      <c r="L15" s="258">
        <v>16225.179275999999</v>
      </c>
      <c r="M15" s="258">
        <v>16170.666053999998</v>
      </c>
      <c r="N15" s="259">
        <f t="shared" si="2"/>
        <v>12.181758610481342</v>
      </c>
      <c r="O15" s="258">
        <f t="shared" si="2"/>
        <v>20.623085456897748</v>
      </c>
      <c r="P15" s="258">
        <f>+((J15/I15)-1)*100</f>
        <v>16.296092325947974</v>
      </c>
      <c r="Q15" s="258">
        <f>+((K15/J15)-1)*100</f>
        <v>-4.5432147141222234E-2</v>
      </c>
      <c r="R15" s="260" t="s">
        <v>85</v>
      </c>
    </row>
    <row r="16" spans="1:18" s="262" customFormat="1" ht="21" customHeight="1">
      <c r="A16" s="257" t="s">
        <v>86</v>
      </c>
      <c r="B16" s="258">
        <v>2879.2</v>
      </c>
      <c r="C16" s="258">
        <v>2339.3396600000005</v>
      </c>
      <c r="D16" s="258">
        <v>2568.2887288999996</v>
      </c>
      <c r="E16" s="258">
        <v>3587.9832149999993</v>
      </c>
      <c r="F16" s="258">
        <v>3693.7986370100971</v>
      </c>
      <c r="G16" s="258">
        <v>2883.7493059999997</v>
      </c>
      <c r="H16" s="258">
        <v>2093.0414236399993</v>
      </c>
      <c r="I16" s="258">
        <v>2579.4051260000006</v>
      </c>
      <c r="J16" s="258">
        <v>5064.7574737806672</v>
      </c>
      <c r="K16" s="258">
        <v>9888.6341479999992</v>
      </c>
      <c r="L16" s="258">
        <v>10412.954420999999</v>
      </c>
      <c r="M16" s="258">
        <v>8767.7113890000001</v>
      </c>
      <c r="N16" s="259">
        <f t="shared" si="2"/>
        <v>-27.419439016936529</v>
      </c>
      <c r="O16" s="258">
        <f t="shared" si="2"/>
        <v>23.237175187587454</v>
      </c>
      <c r="P16" s="258">
        <f t="shared" si="5"/>
        <v>96.353702748308251</v>
      </c>
      <c r="Q16" s="258">
        <f t="shared" si="5"/>
        <v>95.243981556701755</v>
      </c>
      <c r="R16" s="260" t="s">
        <v>811</v>
      </c>
    </row>
    <row r="17" spans="1:18" s="262" customFormat="1" ht="21" customHeight="1">
      <c r="A17" s="261" t="s">
        <v>87</v>
      </c>
      <c r="B17" s="64">
        <v>-166.4</v>
      </c>
      <c r="C17" s="64">
        <v>-150.836333</v>
      </c>
      <c r="D17" s="64">
        <v>-181.3</v>
      </c>
      <c r="E17" s="64">
        <v>-399</v>
      </c>
      <c r="F17" s="64">
        <v>-70.3</v>
      </c>
      <c r="G17" s="64">
        <v>-90.231635999999995</v>
      </c>
      <c r="H17" s="64">
        <v>-135.485007</v>
      </c>
      <c r="I17" s="64">
        <v>-122.16204999999999</v>
      </c>
      <c r="J17" s="64">
        <v>-13.563443934712012</v>
      </c>
      <c r="K17" s="64">
        <v>15.558392999999981</v>
      </c>
      <c r="L17" s="64">
        <v>100.25488200000001</v>
      </c>
      <c r="M17" s="64">
        <v>-26.047778757089993</v>
      </c>
      <c r="N17" s="254">
        <f t="shared" si="2"/>
        <v>50.152444315650001</v>
      </c>
      <c r="O17" s="253">
        <f t="shared" si="2"/>
        <v>-9.833528664909764</v>
      </c>
      <c r="P17" s="253">
        <f t="shared" si="5"/>
        <v>-88.89717065593446</v>
      </c>
      <c r="Q17" s="253">
        <f t="shared" si="5"/>
        <v>-214.70827818429234</v>
      </c>
      <c r="R17" s="256" t="s">
        <v>88</v>
      </c>
    </row>
    <row r="18" spans="1:18" s="265" customFormat="1" ht="32.25" customHeight="1">
      <c r="A18" s="263" t="s">
        <v>812</v>
      </c>
      <c r="B18" s="253">
        <f>+B8-B13</f>
        <v>-2719.4600000000019</v>
      </c>
      <c r="C18" s="253">
        <f>+C8-C13</f>
        <v>-5218.5988600000028</v>
      </c>
      <c r="D18" s="253">
        <v>-4268.1333326200029</v>
      </c>
      <c r="E18" s="253">
        <v>-2360.1651829999992</v>
      </c>
      <c r="F18" s="253">
        <v>-4313.6505583057879</v>
      </c>
      <c r="G18" s="253">
        <f t="shared" ref="G18" si="8">G8-G13</f>
        <v>-2971.8899754799986</v>
      </c>
      <c r="H18" s="253">
        <f>H8-H14</f>
        <v>-1765.5079577599972</v>
      </c>
      <c r="I18" s="253">
        <f>I8-I14</f>
        <v>-1375.1457339999997</v>
      </c>
      <c r="J18" s="253">
        <f t="shared" ref="J18:M18" si="9">J8-J14</f>
        <v>-3599.0968580176013</v>
      </c>
      <c r="K18" s="253">
        <f t="shared" si="9"/>
        <v>-3356.5916932468353</v>
      </c>
      <c r="L18" s="253">
        <f t="shared" si="9"/>
        <v>-4114.6744316475197</v>
      </c>
      <c r="M18" s="253">
        <f t="shared" si="9"/>
        <v>-2903.7208926304011</v>
      </c>
      <c r="N18" s="254">
        <f t="shared" si="2"/>
        <v>-40.593091523354765</v>
      </c>
      <c r="O18" s="253">
        <f t="shared" si="2"/>
        <v>-22.110476593675223</v>
      </c>
      <c r="P18" s="253">
        <f t="shared" si="5"/>
        <v>161.72475898598847</v>
      </c>
      <c r="Q18" s="253">
        <f t="shared" si="5"/>
        <v>-6.7379449438973671</v>
      </c>
      <c r="R18" s="264" t="s">
        <v>89</v>
      </c>
    </row>
    <row r="19" spans="1:18" ht="39" customHeight="1">
      <c r="A19" s="263" t="s">
        <v>813</v>
      </c>
      <c r="B19" s="64">
        <f t="shared" ref="B19:G19" si="10">+B9-B13</f>
        <v>-3236.4600000000019</v>
      </c>
      <c r="C19" s="64">
        <f t="shared" si="10"/>
        <v>-5640.114687000003</v>
      </c>
      <c r="D19" s="64">
        <f t="shared" si="10"/>
        <v>-4422.6765681800025</v>
      </c>
      <c r="E19" s="64">
        <f t="shared" si="10"/>
        <v>-3092.6004399999983</v>
      </c>
      <c r="F19" s="64">
        <f t="shared" si="10"/>
        <v>-4779.1745643057875</v>
      </c>
      <c r="G19" s="64">
        <f t="shared" si="10"/>
        <v>-3338.5598484799993</v>
      </c>
      <c r="H19" s="64">
        <f>+H9-H14</f>
        <v>-1883.1631852899973</v>
      </c>
      <c r="I19" s="64">
        <f t="shared" ref="I19:M19" si="11">+I9-I14</f>
        <v>-1540.4195589999999</v>
      </c>
      <c r="J19" s="64">
        <f t="shared" si="11"/>
        <v>-4681.5119039816018</v>
      </c>
      <c r="K19" s="64">
        <f t="shared" si="11"/>
        <v>-4577.1616032468337</v>
      </c>
      <c r="L19" s="64">
        <f t="shared" si="11"/>
        <v>-5349.6460266475187</v>
      </c>
      <c r="M19" s="64">
        <f t="shared" si="11"/>
        <v>-3871.3123926303997</v>
      </c>
      <c r="N19" s="254">
        <f t="shared" si="2"/>
        <v>-43.593547195286142</v>
      </c>
      <c r="O19" s="253">
        <f t="shared" si="2"/>
        <v>-18.200420917702708</v>
      </c>
      <c r="P19" s="253">
        <f t="shared" si="5"/>
        <v>203.91148155900569</v>
      </c>
      <c r="Q19" s="253">
        <f t="shared" si="5"/>
        <v>-2.2289871920654236</v>
      </c>
      <c r="R19" s="264" t="s">
        <v>90</v>
      </c>
    </row>
    <row r="20" spans="1:18" ht="3" customHeight="1">
      <c r="A20" s="2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254"/>
      <c r="O20" s="253"/>
      <c r="P20" s="253"/>
      <c r="Q20" s="253"/>
      <c r="R20" s="256"/>
    </row>
    <row r="21" spans="1:18" s="265" customFormat="1" ht="21" customHeight="1">
      <c r="A21" s="261" t="s">
        <v>91</v>
      </c>
      <c r="B21" s="266">
        <f t="shared" ref="B21:G21" si="12">+B22+B25</f>
        <v>2719.4</v>
      </c>
      <c r="C21" s="266">
        <f t="shared" si="12"/>
        <v>5218.5418559999998</v>
      </c>
      <c r="D21" s="266">
        <f t="shared" si="12"/>
        <v>4268.1000000000004</v>
      </c>
      <c r="E21" s="266">
        <f t="shared" si="12"/>
        <v>2360.0889139999999</v>
      </c>
      <c r="F21" s="266">
        <f t="shared" si="12"/>
        <v>2313.7515280000002</v>
      </c>
      <c r="G21" s="266">
        <f t="shared" si="12"/>
        <v>2971.889975</v>
      </c>
      <c r="H21" s="266">
        <f>+H22+H25</f>
        <v>1765.5079579999997</v>
      </c>
      <c r="I21" s="266">
        <f t="shared" ref="I21:M21" si="13">+I22+I25</f>
        <v>1375.1457340000004</v>
      </c>
      <c r="J21" s="266">
        <f t="shared" si="13"/>
        <v>3599.0968579109399</v>
      </c>
      <c r="K21" s="266">
        <f t="shared" si="13"/>
        <v>3356.5664792468265</v>
      </c>
      <c r="L21" s="266">
        <f t="shared" si="13"/>
        <v>4114.7168306475214</v>
      </c>
      <c r="M21" s="266">
        <f t="shared" si="13"/>
        <v>2903.7527276303981</v>
      </c>
      <c r="N21" s="254">
        <f t="shared" ref="N21:O25" si="14">+((H21/G21)-1)*100</f>
        <v>-40.593091505684029</v>
      </c>
      <c r="O21" s="253">
        <f t="shared" si="14"/>
        <v>-22.11047660426345</v>
      </c>
      <c r="P21" s="253">
        <f t="shared" si="5"/>
        <v>161.72475897823199</v>
      </c>
      <c r="Q21" s="253">
        <f t="shared" si="5"/>
        <v>-6.7386455057752421</v>
      </c>
      <c r="R21" s="256" t="s">
        <v>92</v>
      </c>
    </row>
    <row r="22" spans="1:18" s="265" customFormat="1" ht="21" customHeight="1">
      <c r="A22" s="261" t="s">
        <v>93</v>
      </c>
      <c r="B22" s="64">
        <f t="shared" ref="B22:G22" si="15">SUM(B23:B24)</f>
        <v>747.69999999999993</v>
      </c>
      <c r="C22" s="64">
        <f t="shared" si="15"/>
        <v>1006.141856</v>
      </c>
      <c r="D22" s="64">
        <f t="shared" si="15"/>
        <v>1228.3000000000002</v>
      </c>
      <c r="E22" s="64">
        <f>SUM(E23:E24)</f>
        <v>967.96693600000003</v>
      </c>
      <c r="F22" s="64">
        <f t="shared" si="15"/>
        <v>3313.7000000000003</v>
      </c>
      <c r="G22" s="64">
        <f t="shared" si="15"/>
        <v>772.15054499999997</v>
      </c>
      <c r="H22" s="64">
        <f>SUM(H23:H24)</f>
        <v>472.55445400000008</v>
      </c>
      <c r="I22" s="64">
        <f t="shared" ref="I22:M22" si="16">SUM(I23:I24)</f>
        <v>-370.60431500000004</v>
      </c>
      <c r="J22" s="64">
        <f t="shared" si="16"/>
        <v>-438.92917</v>
      </c>
      <c r="K22" s="64">
        <f t="shared" si="16"/>
        <v>2486.5462120000002</v>
      </c>
      <c r="L22" s="64">
        <f t="shared" si="16"/>
        <v>2227.061952</v>
      </c>
      <c r="M22" s="64">
        <f t="shared" si="16"/>
        <v>2197.222651</v>
      </c>
      <c r="N22" s="254">
        <f t="shared" si="14"/>
        <v>-38.800217514578051</v>
      </c>
      <c r="O22" s="253">
        <f t="shared" si="14"/>
        <v>-178.42573736486253</v>
      </c>
      <c r="P22" s="258">
        <f t="shared" si="5"/>
        <v>18.436065699882633</v>
      </c>
      <c r="Q22" s="258">
        <f t="shared" si="5"/>
        <v>-666.50283962672154</v>
      </c>
      <c r="R22" s="260" t="s">
        <v>94</v>
      </c>
    </row>
    <row r="23" spans="1:18" s="265" customFormat="1" ht="21" customHeight="1">
      <c r="A23" s="257" t="s">
        <v>95</v>
      </c>
      <c r="B23" s="267">
        <v>1137.5999999999999</v>
      </c>
      <c r="C23" s="267">
        <v>1416.341856</v>
      </c>
      <c r="D23" s="267">
        <v>1817.7</v>
      </c>
      <c r="E23" s="267">
        <v>1884.5</v>
      </c>
      <c r="F23" s="267">
        <v>4286.3</v>
      </c>
      <c r="G23" s="267">
        <v>1713.11293</v>
      </c>
      <c r="H23" s="267">
        <v>1187.19235</v>
      </c>
      <c r="I23" s="267">
        <v>641.742166</v>
      </c>
      <c r="J23" s="267">
        <v>568.29718400000002</v>
      </c>
      <c r="K23" s="267">
        <v>3550.267159</v>
      </c>
      <c r="L23" s="267">
        <v>3289.8189120000002</v>
      </c>
      <c r="M23" s="267">
        <v>3312.2719229999998</v>
      </c>
      <c r="N23" s="259">
        <f t="shared" si="14"/>
        <v>-30.699702908669302</v>
      </c>
      <c r="O23" s="258">
        <f t="shared" si="14"/>
        <v>-45.944550097547378</v>
      </c>
      <c r="P23" s="258">
        <f t="shared" si="5"/>
        <v>-11.444624631381938</v>
      </c>
      <c r="Q23" s="258">
        <f t="shared" si="5"/>
        <v>524.72017440086415</v>
      </c>
      <c r="R23" s="260" t="s">
        <v>96</v>
      </c>
    </row>
    <row r="24" spans="1:18" s="265" customFormat="1" ht="21" customHeight="1">
      <c r="A24" s="257" t="s">
        <v>97</v>
      </c>
      <c r="B24" s="267">
        <v>-389.9</v>
      </c>
      <c r="C24" s="267">
        <v>-410.2</v>
      </c>
      <c r="D24" s="267">
        <v>-589.4</v>
      </c>
      <c r="E24" s="267">
        <v>-916.53306399999997</v>
      </c>
      <c r="F24" s="267">
        <v>-972.6</v>
      </c>
      <c r="G24" s="267">
        <v>-940.96238500000004</v>
      </c>
      <c r="H24" s="267">
        <v>-714.63789599999996</v>
      </c>
      <c r="I24" s="267">
        <v>-1012.346481</v>
      </c>
      <c r="J24" s="267">
        <v>-1007.226354</v>
      </c>
      <c r="K24" s="267">
        <v>-1063.720947</v>
      </c>
      <c r="L24" s="267">
        <v>-1062.7569599999999</v>
      </c>
      <c r="M24" s="267">
        <v>-1115.049272</v>
      </c>
      <c r="N24" s="259">
        <f t="shared" si="14"/>
        <v>-24.052448068899167</v>
      </c>
      <c r="O24" s="258">
        <f t="shared" si="14"/>
        <v>41.658661913445471</v>
      </c>
      <c r="P24" s="258">
        <f t="shared" si="5"/>
        <v>-0.50576824200962989</v>
      </c>
      <c r="Q24" s="258">
        <f t="shared" si="5"/>
        <v>5.6089272064459905</v>
      </c>
      <c r="R24" s="260" t="s">
        <v>98</v>
      </c>
    </row>
    <row r="25" spans="1:18" s="265" customFormat="1" ht="21" customHeight="1">
      <c r="A25" s="268" t="s">
        <v>99</v>
      </c>
      <c r="B25" s="269">
        <v>1971.7</v>
      </c>
      <c r="C25" s="269">
        <v>4212.3999999999996</v>
      </c>
      <c r="D25" s="269">
        <v>3039.8</v>
      </c>
      <c r="E25" s="269">
        <v>1392.1219779999999</v>
      </c>
      <c r="F25" s="269">
        <v>-999.94847200000004</v>
      </c>
      <c r="G25" s="269">
        <v>2199.7394300000001</v>
      </c>
      <c r="H25" s="269">
        <v>1292.9535039999996</v>
      </c>
      <c r="I25" s="269">
        <v>1745.7500490000004</v>
      </c>
      <c r="J25" s="269">
        <v>4038.0260279109398</v>
      </c>
      <c r="K25" s="269">
        <v>870.02026724682617</v>
      </c>
      <c r="L25" s="269">
        <v>1887.6548786475219</v>
      </c>
      <c r="M25" s="269">
        <v>706.53007663039784</v>
      </c>
      <c r="N25" s="270">
        <f t="shared" si="14"/>
        <v>-41.222424512343281</v>
      </c>
      <c r="O25" s="271">
        <f t="shared" si="14"/>
        <v>35.020326995455584</v>
      </c>
      <c r="P25" s="271">
        <f t="shared" si="5"/>
        <v>131.30608131582179</v>
      </c>
      <c r="Q25" s="271">
        <f t="shared" si="5"/>
        <v>-78.454317499857012</v>
      </c>
      <c r="R25" s="272" t="s">
        <v>100</v>
      </c>
    </row>
    <row r="26" spans="1:18" s="265" customFormat="1" ht="15">
      <c r="A26" s="273" t="s">
        <v>101</v>
      </c>
      <c r="B26" s="274"/>
      <c r="C26" s="274"/>
      <c r="D26" s="274"/>
      <c r="E26" s="275"/>
      <c r="F26" s="275"/>
      <c r="G26" s="275"/>
      <c r="H26" s="275"/>
      <c r="I26" s="275"/>
      <c r="J26" s="275"/>
      <c r="K26" s="275"/>
      <c r="L26" s="275"/>
      <c r="M26" s="275"/>
      <c r="N26" s="276"/>
      <c r="O26" s="276"/>
      <c r="P26" s="276"/>
      <c r="Q26" s="276"/>
      <c r="R26" s="260" t="s">
        <v>102</v>
      </c>
    </row>
    <row r="27" spans="1:18" s="265" customFormat="1" ht="15">
      <c r="A27" s="273" t="s">
        <v>103</v>
      </c>
      <c r="B27" s="274"/>
      <c r="C27" s="274"/>
      <c r="D27" s="274"/>
      <c r="E27" s="275"/>
      <c r="F27" s="275"/>
      <c r="G27" s="275"/>
      <c r="H27" s="275"/>
      <c r="I27" s="275"/>
      <c r="J27" s="275"/>
      <c r="K27" s="275"/>
      <c r="L27" s="275"/>
      <c r="M27" s="275"/>
      <c r="N27" s="276"/>
      <c r="O27" s="276"/>
      <c r="P27" s="276"/>
      <c r="Q27" s="276"/>
      <c r="R27" s="260" t="s">
        <v>104</v>
      </c>
    </row>
    <row r="28" spans="1:18" s="265" customFormat="1" ht="15">
      <c r="A28" s="273" t="s">
        <v>105</v>
      </c>
      <c r="B28" s="274"/>
      <c r="C28" s="274"/>
      <c r="D28" s="274"/>
      <c r="E28" s="275"/>
      <c r="F28" s="275"/>
      <c r="G28" s="275"/>
      <c r="H28" s="275"/>
      <c r="I28" s="275"/>
      <c r="J28" s="275"/>
      <c r="K28" s="275"/>
      <c r="L28" s="275"/>
      <c r="M28" s="275"/>
      <c r="N28" s="276"/>
      <c r="O28" s="276"/>
      <c r="P28" s="276"/>
      <c r="Q28" s="276"/>
      <c r="R28" s="260" t="s">
        <v>106</v>
      </c>
    </row>
    <row r="29" spans="1:18" s="265" customFormat="1" ht="15">
      <c r="A29" s="273" t="s">
        <v>400</v>
      </c>
      <c r="B29" s="274"/>
      <c r="C29" s="274"/>
      <c r="D29" s="274"/>
      <c r="E29" s="275"/>
      <c r="F29" s="275"/>
      <c r="G29" s="275"/>
      <c r="H29" s="275"/>
      <c r="I29" s="275"/>
      <c r="J29" s="275"/>
      <c r="K29" s="275"/>
      <c r="L29" s="275"/>
      <c r="M29" s="275"/>
      <c r="N29" s="276"/>
      <c r="O29" s="276"/>
      <c r="P29" s="276"/>
      <c r="Q29" s="276"/>
      <c r="R29" s="260"/>
    </row>
    <row r="30" spans="1:18" ht="15">
      <c r="A30" s="273" t="s">
        <v>64</v>
      </c>
      <c r="B30" s="274"/>
      <c r="C30" s="274"/>
      <c r="D30" s="274"/>
      <c r="E30" s="277"/>
      <c r="F30" s="277"/>
      <c r="G30" s="277"/>
      <c r="H30" s="277"/>
      <c r="I30" s="277"/>
      <c r="J30" s="277"/>
      <c r="K30" s="277"/>
      <c r="L30" s="277"/>
      <c r="M30" s="277"/>
      <c r="N30" s="276"/>
      <c r="O30" s="276"/>
      <c r="P30" s="276"/>
      <c r="Q30" s="276"/>
      <c r="R30" s="278" t="s">
        <v>63</v>
      </c>
    </row>
    <row r="31" spans="1:18">
      <c r="A31" s="277"/>
      <c r="B31" s="279"/>
      <c r="C31" s="279"/>
      <c r="D31" s="279"/>
      <c r="E31" s="277"/>
      <c r="F31" s="277"/>
      <c r="G31" s="277"/>
      <c r="H31" s="277"/>
      <c r="I31" s="277"/>
      <c r="J31" s="277"/>
      <c r="K31" s="277"/>
      <c r="L31" s="277"/>
      <c r="M31" s="277"/>
    </row>
    <row r="36" spans="2:14">
      <c r="B36" s="281"/>
      <c r="C36" s="281"/>
      <c r="D36" s="281"/>
    </row>
    <row r="38" spans="2:14" ht="15">
      <c r="I38" s="282"/>
      <c r="J38" s="282"/>
      <c r="K38" s="282"/>
      <c r="L38" s="282"/>
      <c r="M38" s="282"/>
    </row>
    <row r="39" spans="2:14" ht="15">
      <c r="I39" s="283"/>
      <c r="J39" s="283"/>
      <c r="K39" s="283"/>
      <c r="L39" s="283"/>
      <c r="M39" s="283"/>
    </row>
    <row r="44" spans="2:14" ht="15">
      <c r="J44" s="283"/>
      <c r="K44" s="283"/>
      <c r="L44" s="283"/>
      <c r="M44" s="283"/>
      <c r="N44" s="283"/>
    </row>
  </sheetData>
  <mergeCells count="8">
    <mergeCell ref="A5:A7"/>
    <mergeCell ref="R5:R7"/>
    <mergeCell ref="A1:R1"/>
    <mergeCell ref="A2:R2"/>
    <mergeCell ref="A3:R3"/>
    <mergeCell ref="A4:R4"/>
    <mergeCell ref="N6:Q6"/>
    <mergeCell ref="N5:Q5"/>
  </mergeCells>
  <pageMargins left="0.17" right="0.16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zoomScaleNormal="100" zoomScaleSheetLayoutView="102" workbookViewId="0">
      <pane ySplit="7" topLeftCell="A11" activePane="bottomLeft" state="frozen"/>
      <selection pane="bottomLeft" activeCell="I51" activeCellId="1" sqref="H51 I51"/>
    </sheetView>
  </sheetViews>
  <sheetFormatPr defaultColWidth="13.28515625" defaultRowHeight="12.75"/>
  <cols>
    <col min="1" max="1" width="55.85546875" style="240" customWidth="1"/>
    <col min="2" max="6" width="9.140625" style="240" hidden="1" customWidth="1"/>
    <col min="7" max="12" width="9.140625" style="240" customWidth="1"/>
    <col min="13" max="13" width="48.5703125" style="240" customWidth="1"/>
    <col min="14" max="16384" width="13.28515625" style="240"/>
  </cols>
  <sheetData>
    <row r="1" spans="1:15" ht="21.75">
      <c r="A1" s="681" t="s">
        <v>816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</row>
    <row r="2" spans="1:15" ht="15">
      <c r="A2" s="682" t="s">
        <v>625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</row>
    <row r="3" spans="1:15" s="242" customFormat="1" ht="15">
      <c r="A3" s="683" t="s">
        <v>0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15" s="242" customFormat="1">
      <c r="A4" s="701" t="s">
        <v>301</v>
      </c>
      <c r="B4" s="701"/>
      <c r="C4" s="701"/>
      <c r="D4" s="701"/>
      <c r="E4" s="701"/>
      <c r="F4" s="701"/>
      <c r="G4" s="701"/>
      <c r="H4" s="701"/>
      <c r="I4" s="701"/>
      <c r="J4" s="701"/>
      <c r="K4" s="701"/>
      <c r="L4" s="701"/>
      <c r="M4" s="701"/>
    </row>
    <row r="5" spans="1:15" s="262" customFormat="1" ht="15">
      <c r="A5" s="66"/>
      <c r="B5" s="287"/>
      <c r="C5" s="66"/>
      <c r="D5" s="287"/>
      <c r="E5" s="65"/>
      <c r="F5" s="65"/>
      <c r="G5" s="65"/>
      <c r="H5" s="65"/>
      <c r="I5" s="65"/>
      <c r="J5" s="65"/>
      <c r="K5" s="65"/>
      <c r="L5" s="65"/>
      <c r="M5" s="66"/>
    </row>
    <row r="6" spans="1:15" s="262" customFormat="1" ht="15">
      <c r="A6" s="325" t="s">
        <v>1</v>
      </c>
      <c r="B6" s="67"/>
      <c r="C6" s="326"/>
      <c r="D6" s="327"/>
      <c r="E6" s="67"/>
      <c r="F6" s="67" t="s">
        <v>4</v>
      </c>
      <c r="G6" s="67" t="s">
        <v>4</v>
      </c>
      <c r="H6" s="67" t="s">
        <v>4</v>
      </c>
      <c r="I6" s="67" t="s">
        <v>6</v>
      </c>
      <c r="J6" s="67" t="s">
        <v>69</v>
      </c>
      <c r="K6" s="67" t="s">
        <v>69</v>
      </c>
      <c r="L6" s="67" t="s">
        <v>69</v>
      </c>
      <c r="M6" s="68" t="s">
        <v>3</v>
      </c>
    </row>
    <row r="7" spans="1:15" s="327" customFormat="1" ht="12">
      <c r="A7" s="328"/>
      <c r="B7" s="329">
        <v>2008</v>
      </c>
      <c r="C7" s="329">
        <v>2009</v>
      </c>
      <c r="D7" s="69">
        <v>2010</v>
      </c>
      <c r="E7" s="69">
        <v>2011</v>
      </c>
      <c r="F7" s="69">
        <v>2012</v>
      </c>
      <c r="G7" s="69">
        <v>2013</v>
      </c>
      <c r="H7" s="69">
        <v>2014</v>
      </c>
      <c r="I7" s="69">
        <v>2015</v>
      </c>
      <c r="J7" s="69">
        <v>2016</v>
      </c>
      <c r="K7" s="69">
        <v>2017</v>
      </c>
      <c r="L7" s="69">
        <v>2018</v>
      </c>
      <c r="M7" s="70"/>
    </row>
    <row r="8" spans="1:15" s="262" customFormat="1" ht="21.75" customHeight="1">
      <c r="A8" s="330" t="s">
        <v>70</v>
      </c>
      <c r="B8" s="331">
        <f t="shared" ref="B8:L8" si="0">SUM(B9,B51)</f>
        <v>7456.54</v>
      </c>
      <c r="C8" s="331">
        <f t="shared" si="0"/>
        <v>5734.8352960000002</v>
      </c>
      <c r="D8" s="331">
        <f t="shared" si="0"/>
        <v>6546.9287702799966</v>
      </c>
      <c r="E8" s="331">
        <f t="shared" si="0"/>
        <v>9904.5614829999995</v>
      </c>
      <c r="F8" s="331">
        <f t="shared" si="0"/>
        <v>10138.11294952</v>
      </c>
      <c r="G8" s="331">
        <f t="shared" si="0"/>
        <v>11900.748051729997</v>
      </c>
      <c r="H8" s="331">
        <f t="shared" si="0"/>
        <v>15164.227912</v>
      </c>
      <c r="I8" s="331">
        <f t="shared" si="0"/>
        <v>17700.558494455538</v>
      </c>
      <c r="J8" s="331">
        <f t="shared" si="0"/>
        <v>22759.564470753161</v>
      </c>
      <c r="K8" s="331">
        <f t="shared" si="0"/>
        <v>22523.459265352478</v>
      </c>
      <c r="L8" s="331">
        <f t="shared" si="0"/>
        <v>22034.6565503696</v>
      </c>
      <c r="M8" s="332" t="s">
        <v>107</v>
      </c>
    </row>
    <row r="9" spans="1:15" s="262" customFormat="1" ht="21.75" customHeight="1">
      <c r="A9" s="330" t="s">
        <v>108</v>
      </c>
      <c r="B9" s="331">
        <f t="shared" ref="B9:L9" si="1">SUM(B10,B50)</f>
        <v>6939.54</v>
      </c>
      <c r="C9" s="331">
        <f t="shared" si="1"/>
        <v>5313.319469</v>
      </c>
      <c r="D9" s="331">
        <f t="shared" si="1"/>
        <v>6392.3855347199969</v>
      </c>
      <c r="E9" s="331">
        <f t="shared" si="1"/>
        <v>9172.1262260000003</v>
      </c>
      <c r="F9" s="331">
        <f t="shared" si="1"/>
        <v>9771.4430765199995</v>
      </c>
      <c r="G9" s="331">
        <f t="shared" si="1"/>
        <v>11783.092824199997</v>
      </c>
      <c r="H9" s="331">
        <f t="shared" si="1"/>
        <v>14998.954087</v>
      </c>
      <c r="I9" s="331">
        <f t="shared" si="1"/>
        <v>16618.143448491537</v>
      </c>
      <c r="J9" s="331">
        <f t="shared" si="1"/>
        <v>21538.994560753163</v>
      </c>
      <c r="K9" s="331">
        <f t="shared" si="1"/>
        <v>21288.487670352479</v>
      </c>
      <c r="L9" s="331">
        <f t="shared" si="1"/>
        <v>21067.065050369602</v>
      </c>
      <c r="M9" s="333" t="s">
        <v>109</v>
      </c>
    </row>
    <row r="10" spans="1:15" s="262" customFormat="1" ht="21.75" customHeight="1">
      <c r="A10" s="330" t="s">
        <v>74</v>
      </c>
      <c r="B10" s="331">
        <f t="shared" ref="B10:L10" si="2">SUM(B11,B23)</f>
        <v>6897.24</v>
      </c>
      <c r="C10" s="331">
        <f t="shared" si="2"/>
        <v>5299.4316959999996</v>
      </c>
      <c r="D10" s="331">
        <f t="shared" si="2"/>
        <v>6343.0314386499977</v>
      </c>
      <c r="E10" s="331">
        <f t="shared" si="2"/>
        <v>8637.6616890000005</v>
      </c>
      <c r="F10" s="331">
        <f t="shared" si="2"/>
        <v>9723.3702617999988</v>
      </c>
      <c r="G10" s="331">
        <f t="shared" si="2"/>
        <v>11514.974798199997</v>
      </c>
      <c r="H10" s="331">
        <f t="shared" si="2"/>
        <v>14874.843471</v>
      </c>
      <c r="I10" s="331">
        <f t="shared" si="2"/>
        <v>16476.744519905435</v>
      </c>
      <c r="J10" s="331">
        <f t="shared" si="2"/>
        <v>20020.816877667188</v>
      </c>
      <c r="K10" s="331">
        <f t="shared" si="2"/>
        <v>20375.721852897514</v>
      </c>
      <c r="L10" s="331">
        <f t="shared" si="2"/>
        <v>21026.619890087983</v>
      </c>
      <c r="M10" s="333" t="s">
        <v>75</v>
      </c>
    </row>
    <row r="11" spans="1:15" s="265" customFormat="1" ht="21.75" customHeight="1">
      <c r="A11" s="330" t="s">
        <v>110</v>
      </c>
      <c r="B11" s="331">
        <f t="shared" ref="B11:G11" si="3">SUM(B12:B22)</f>
        <v>3366.8</v>
      </c>
      <c r="C11" s="331">
        <f t="shared" si="3"/>
        <v>2731.9902730000003</v>
      </c>
      <c r="D11" s="331">
        <f t="shared" si="3"/>
        <v>2931.0472653899988</v>
      </c>
      <c r="E11" s="331">
        <f t="shared" si="3"/>
        <v>4892.9547389999998</v>
      </c>
      <c r="F11" s="331">
        <f t="shared" si="3"/>
        <v>6880.0618489999988</v>
      </c>
      <c r="G11" s="331">
        <f t="shared" si="3"/>
        <v>8872.8437029999986</v>
      </c>
      <c r="H11" s="331">
        <f>SUM(H12:H22)</f>
        <v>10837.855577</v>
      </c>
      <c r="I11" s="331">
        <f t="shared" ref="I11:L11" si="4">SUM(I12:I22)</f>
        <v>12144.954811876654</v>
      </c>
      <c r="J11" s="331">
        <f t="shared" si="4"/>
        <v>13864.498839488133</v>
      </c>
      <c r="K11" s="331">
        <f t="shared" si="4"/>
        <v>14983.380465871682</v>
      </c>
      <c r="L11" s="331">
        <f t="shared" si="4"/>
        <v>16705.869435174427</v>
      </c>
      <c r="M11" s="333" t="s">
        <v>111</v>
      </c>
      <c r="N11" s="265">
        <f>H11/H10</f>
        <v>0.72860299996631817</v>
      </c>
      <c r="O11" s="680"/>
    </row>
    <row r="12" spans="1:15" s="265" customFormat="1" ht="18" customHeight="1">
      <c r="A12" s="334" t="s">
        <v>112</v>
      </c>
      <c r="B12" s="335">
        <v>2448.8000000000002</v>
      </c>
      <c r="C12" s="335">
        <v>1848.7620629999999</v>
      </c>
      <c r="D12" s="335">
        <v>2055.8138285199989</v>
      </c>
      <c r="E12" s="335">
        <v>2586.5219179999999</v>
      </c>
      <c r="F12" s="335">
        <v>1369.0409910000001</v>
      </c>
      <c r="G12" s="335">
        <v>1575.877761</v>
      </c>
      <c r="H12" s="335">
        <v>1975.2379679999999</v>
      </c>
      <c r="I12" s="335">
        <v>2235.7452389999999</v>
      </c>
      <c r="J12" s="335">
        <v>2376.5697759999998</v>
      </c>
      <c r="K12" s="335">
        <v>2566.5320320400001</v>
      </c>
      <c r="L12" s="335">
        <v>2749.7468572677003</v>
      </c>
      <c r="M12" s="336" t="s">
        <v>113</v>
      </c>
    </row>
    <row r="13" spans="1:15" s="265" customFormat="1" ht="18" customHeight="1">
      <c r="A13" s="334" t="s">
        <v>114</v>
      </c>
      <c r="B13" s="337">
        <v>0</v>
      </c>
      <c r="C13" s="337">
        <v>0</v>
      </c>
      <c r="D13" s="337">
        <v>0</v>
      </c>
      <c r="E13" s="337">
        <v>0</v>
      </c>
      <c r="F13" s="337">
        <v>0</v>
      </c>
      <c r="G13" s="337">
        <v>0</v>
      </c>
      <c r="H13" s="338">
        <v>0</v>
      </c>
      <c r="I13" s="338">
        <v>0</v>
      </c>
      <c r="J13" s="338">
        <v>0</v>
      </c>
      <c r="K13" s="338">
        <v>0</v>
      </c>
      <c r="L13" s="338"/>
      <c r="M13" s="110" t="s">
        <v>115</v>
      </c>
    </row>
    <row r="14" spans="1:15" s="265" customFormat="1" ht="18" customHeight="1">
      <c r="A14" s="334" t="s">
        <v>116</v>
      </c>
      <c r="B14" s="335">
        <v>566.6</v>
      </c>
      <c r="C14" s="335">
        <v>531.41379099999995</v>
      </c>
      <c r="D14" s="335">
        <v>597.28680473999998</v>
      </c>
      <c r="E14" s="335">
        <v>750.80410500000005</v>
      </c>
      <c r="F14" s="335">
        <v>804.72110199999997</v>
      </c>
      <c r="G14" s="335">
        <v>861.64270799999997</v>
      </c>
      <c r="H14" s="335">
        <v>804.82832599999995</v>
      </c>
      <c r="I14" s="335">
        <v>0.54818770999999999</v>
      </c>
      <c r="J14" s="335">
        <v>0</v>
      </c>
      <c r="K14" s="335">
        <v>0</v>
      </c>
      <c r="L14" s="335">
        <v>0</v>
      </c>
      <c r="M14" s="336" t="s">
        <v>117</v>
      </c>
    </row>
    <row r="15" spans="1:15" s="265" customFormat="1" ht="18" customHeight="1">
      <c r="A15" s="334" t="s">
        <v>118</v>
      </c>
      <c r="B15" s="335">
        <v>240.8</v>
      </c>
      <c r="C15" s="335">
        <v>245.71401800000001</v>
      </c>
      <c r="D15" s="335">
        <v>203.32941162</v>
      </c>
      <c r="E15" s="335">
        <v>229.856989</v>
      </c>
      <c r="F15" s="335">
        <v>313.15251699999999</v>
      </c>
      <c r="G15" s="335">
        <v>355.03669400000001</v>
      </c>
      <c r="H15" s="335">
        <v>482.38556</v>
      </c>
      <c r="I15" s="335">
        <v>512.72516770999994</v>
      </c>
      <c r="J15" s="335">
        <v>517.494939778</v>
      </c>
      <c r="K15" s="335">
        <v>583.63523676690011</v>
      </c>
      <c r="L15" s="335">
        <v>626.67924860524511</v>
      </c>
      <c r="M15" s="336" t="s">
        <v>119</v>
      </c>
    </row>
    <row r="16" spans="1:15" s="265" customFormat="1" ht="18" customHeight="1">
      <c r="A16" s="334" t="s">
        <v>120</v>
      </c>
      <c r="B16" s="337">
        <v>0</v>
      </c>
      <c r="C16" s="337">
        <v>0</v>
      </c>
      <c r="D16" s="337">
        <v>0</v>
      </c>
      <c r="E16" s="335">
        <v>665.32438500000001</v>
      </c>
      <c r="F16" s="335">
        <v>1553.5654959999999</v>
      </c>
      <c r="G16" s="335">
        <v>2154.68813</v>
      </c>
      <c r="H16" s="335">
        <v>3001.8213529999998</v>
      </c>
      <c r="I16" s="335">
        <v>4266.8732372544355</v>
      </c>
      <c r="J16" s="335">
        <v>4510.9062465692905</v>
      </c>
      <c r="K16" s="335">
        <v>5034.3122584001721</v>
      </c>
      <c r="L16" s="335">
        <v>5905.348831113909</v>
      </c>
      <c r="M16" s="110" t="s">
        <v>121</v>
      </c>
    </row>
    <row r="17" spans="1:13" s="265" customFormat="1" ht="18" customHeight="1">
      <c r="A17" s="334" t="s">
        <v>122</v>
      </c>
      <c r="B17" s="337">
        <v>0</v>
      </c>
      <c r="C17" s="337">
        <v>0</v>
      </c>
      <c r="D17" s="337">
        <v>0</v>
      </c>
      <c r="E17" s="335">
        <v>242.984275</v>
      </c>
      <c r="F17" s="335">
        <v>1005.650731</v>
      </c>
      <c r="G17" s="335">
        <v>1538.4096460000001</v>
      </c>
      <c r="H17" s="335">
        <v>1512.8577889999999</v>
      </c>
      <c r="I17" s="335">
        <v>1823.2469091398634</v>
      </c>
      <c r="J17" s="335">
        <v>2111.9582650712391</v>
      </c>
      <c r="K17" s="335">
        <v>2314.7040721339986</v>
      </c>
      <c r="L17" s="335">
        <v>2592.4685607900783</v>
      </c>
      <c r="M17" s="110" t="s">
        <v>123</v>
      </c>
    </row>
    <row r="18" spans="1:13" s="265" customFormat="1" ht="18" customHeight="1">
      <c r="A18" s="334" t="s">
        <v>124</v>
      </c>
      <c r="B18" s="337">
        <v>0</v>
      </c>
      <c r="C18" s="335">
        <v>1.6042050000000001</v>
      </c>
      <c r="D18" s="335">
        <v>35.501533500000001</v>
      </c>
      <c r="E18" s="335">
        <v>337.49470400000001</v>
      </c>
      <c r="F18" s="335">
        <v>299.92006099999998</v>
      </c>
      <c r="G18" s="335">
        <v>350.25651399999998</v>
      </c>
      <c r="H18" s="335">
        <v>431.97786300000001</v>
      </c>
      <c r="I18" s="335">
        <v>496.64730880072744</v>
      </c>
      <c r="J18" s="335">
        <v>582.76107731763</v>
      </c>
      <c r="K18" s="335">
        <v>629.81723709666983</v>
      </c>
      <c r="L18" s="335">
        <v>680.319789456639</v>
      </c>
      <c r="M18" s="110" t="s">
        <v>125</v>
      </c>
    </row>
    <row r="19" spans="1:13" s="265" customFormat="1" ht="18" customHeight="1">
      <c r="A19" s="334" t="s">
        <v>126</v>
      </c>
      <c r="B19" s="337">
        <v>0</v>
      </c>
      <c r="C19" s="337">
        <v>0</v>
      </c>
      <c r="D19" s="337">
        <v>0</v>
      </c>
      <c r="E19" s="335">
        <v>34.870806000000002</v>
      </c>
      <c r="F19" s="335">
        <v>1401.2985719999999</v>
      </c>
      <c r="G19" s="335">
        <v>1880.9622440000001</v>
      </c>
      <c r="H19" s="335">
        <v>2471.3657050000002</v>
      </c>
      <c r="I19" s="335">
        <v>2603.8888578373858</v>
      </c>
      <c r="J19" s="335">
        <v>2879.8827921315101</v>
      </c>
      <c r="K19" s="335">
        <v>2879.5508064038272</v>
      </c>
      <c r="L19" s="335">
        <v>3057.2824223417833</v>
      </c>
      <c r="M19" s="110" t="s">
        <v>127</v>
      </c>
    </row>
    <row r="20" spans="1:13" s="265" customFormat="1" ht="18" customHeight="1">
      <c r="A20" s="339" t="s">
        <v>395</v>
      </c>
      <c r="B20" s="337">
        <v>0</v>
      </c>
      <c r="C20" s="337">
        <v>0</v>
      </c>
      <c r="D20" s="337">
        <v>0</v>
      </c>
      <c r="E20" s="337">
        <v>0</v>
      </c>
      <c r="F20" s="337">
        <v>0</v>
      </c>
      <c r="G20" s="337">
        <v>0</v>
      </c>
      <c r="H20" s="338">
        <v>0</v>
      </c>
      <c r="I20" s="338">
        <v>52.275502212733961</v>
      </c>
      <c r="J20" s="338">
        <v>654.21393508609151</v>
      </c>
      <c r="K20" s="338">
        <v>711.39005263925264</v>
      </c>
      <c r="L20" s="338">
        <v>817.63614722970362</v>
      </c>
      <c r="M20" s="110" t="s">
        <v>394</v>
      </c>
    </row>
    <row r="21" spans="1:13" s="265" customFormat="1" ht="18" customHeight="1">
      <c r="A21" s="340" t="s">
        <v>128</v>
      </c>
      <c r="B21" s="337">
        <v>0</v>
      </c>
      <c r="C21" s="337">
        <v>0</v>
      </c>
      <c r="D21" s="337">
        <v>0</v>
      </c>
      <c r="E21" s="337">
        <v>0</v>
      </c>
      <c r="F21" s="341">
        <v>76.585507000000007</v>
      </c>
      <c r="G21" s="341">
        <v>101.369692</v>
      </c>
      <c r="H21" s="338">
        <v>89.108745999999996</v>
      </c>
      <c r="I21" s="338">
        <v>82.480120624479071</v>
      </c>
      <c r="J21" s="338">
        <v>88.772655968094995</v>
      </c>
      <c r="K21" s="338">
        <v>97.729937102630075</v>
      </c>
      <c r="L21" s="338">
        <v>102.6164339577616</v>
      </c>
      <c r="M21" s="336" t="s">
        <v>295</v>
      </c>
    </row>
    <row r="22" spans="1:13" s="342" customFormat="1" ht="18" customHeight="1">
      <c r="A22" s="334" t="s">
        <v>129</v>
      </c>
      <c r="B22" s="335">
        <v>110.60000000000001</v>
      </c>
      <c r="C22" s="335">
        <v>104.496196</v>
      </c>
      <c r="D22" s="335">
        <v>39.115687010000002</v>
      </c>
      <c r="E22" s="335">
        <v>45.097557000000002</v>
      </c>
      <c r="F22" s="335">
        <v>56.126871999999999</v>
      </c>
      <c r="G22" s="335">
        <v>54.600313999999997</v>
      </c>
      <c r="H22" s="335">
        <v>68.272266999999999</v>
      </c>
      <c r="I22" s="335">
        <v>70.524281587027673</v>
      </c>
      <c r="J22" s="335">
        <v>141.9391515662802</v>
      </c>
      <c r="K22" s="335">
        <v>165.7088332882295</v>
      </c>
      <c r="L22" s="335">
        <v>173.7711444116072</v>
      </c>
      <c r="M22" s="336" t="s">
        <v>130</v>
      </c>
    </row>
    <row r="23" spans="1:13" s="262" customFormat="1" ht="18" customHeight="1">
      <c r="A23" s="330" t="s">
        <v>131</v>
      </c>
      <c r="B23" s="343">
        <f t="shared" ref="B23:F23" si="5">SUM(B24:B46,B49)</f>
        <v>3530.4399999999996</v>
      </c>
      <c r="C23" s="343">
        <f t="shared" si="5"/>
        <v>2567.4414229999993</v>
      </c>
      <c r="D23" s="343">
        <f t="shared" si="5"/>
        <v>3411.9841732599989</v>
      </c>
      <c r="E23" s="343">
        <f t="shared" si="5"/>
        <v>3744.7069500000007</v>
      </c>
      <c r="F23" s="343">
        <f t="shared" si="5"/>
        <v>2843.3084128</v>
      </c>
      <c r="G23" s="343">
        <f>SUM(G24:G46,G49)</f>
        <v>2642.1310951999994</v>
      </c>
      <c r="H23" s="343">
        <f>SUM(H24:H46,H49)</f>
        <v>4036.9878939999999</v>
      </c>
      <c r="I23" s="343">
        <f t="shared" ref="I23:L23" si="6">SUM(I24:I46,I49)</f>
        <v>4331.7897080287785</v>
      </c>
      <c r="J23" s="343">
        <f t="shared" si="6"/>
        <v>6156.3180381790571</v>
      </c>
      <c r="K23" s="343">
        <f t="shared" si="6"/>
        <v>5392.341387025831</v>
      </c>
      <c r="L23" s="343">
        <f t="shared" si="6"/>
        <v>4320.7504549135538</v>
      </c>
      <c r="M23" s="344" t="s">
        <v>293</v>
      </c>
    </row>
    <row r="24" spans="1:13" s="265" customFormat="1" ht="18" customHeight="1">
      <c r="A24" s="334" t="s">
        <v>132</v>
      </c>
      <c r="B24" s="335">
        <v>2.5</v>
      </c>
      <c r="C24" s="335">
        <v>137.9</v>
      </c>
      <c r="D24" s="335">
        <v>106.88384000000001</v>
      </c>
      <c r="E24" s="337">
        <v>0</v>
      </c>
      <c r="F24" s="337">
        <v>0</v>
      </c>
      <c r="G24" s="337">
        <v>0</v>
      </c>
      <c r="H24" s="338">
        <v>0</v>
      </c>
      <c r="I24" s="338">
        <v>70</v>
      </c>
      <c r="J24" s="338">
        <v>70</v>
      </c>
      <c r="K24" s="338">
        <v>70</v>
      </c>
      <c r="L24" s="338">
        <v>0</v>
      </c>
      <c r="M24" s="336" t="s">
        <v>133</v>
      </c>
    </row>
    <row r="25" spans="1:13" s="265" customFormat="1" ht="18" customHeight="1">
      <c r="A25" s="334" t="s">
        <v>134</v>
      </c>
      <c r="B25" s="345">
        <v>392.5</v>
      </c>
      <c r="C25" s="345">
        <v>192.02865</v>
      </c>
      <c r="D25" s="345">
        <v>505.718143</v>
      </c>
      <c r="E25" s="345">
        <v>487.06551999999999</v>
      </c>
      <c r="F25" s="345">
        <v>254.47890200000001</v>
      </c>
      <c r="G25" s="345">
        <v>156.94454099999999</v>
      </c>
      <c r="H25" s="345">
        <v>325.00863500000003</v>
      </c>
      <c r="I25" s="345">
        <v>303.72263400000003</v>
      </c>
      <c r="J25" s="345">
        <v>268.8</v>
      </c>
      <c r="K25" s="345">
        <v>280.7</v>
      </c>
      <c r="L25" s="345">
        <v>264</v>
      </c>
      <c r="M25" s="346" t="s">
        <v>135</v>
      </c>
    </row>
    <row r="26" spans="1:13" s="265" customFormat="1" ht="18" customHeight="1">
      <c r="A26" s="334" t="s">
        <v>136</v>
      </c>
      <c r="B26" s="345">
        <v>4.3</v>
      </c>
      <c r="C26" s="345">
        <v>0.93521100000000001</v>
      </c>
      <c r="D26" s="337">
        <v>0</v>
      </c>
      <c r="E26" s="337">
        <v>0</v>
      </c>
      <c r="F26" s="345">
        <v>0</v>
      </c>
      <c r="G26" s="345">
        <v>0</v>
      </c>
      <c r="H26" s="345">
        <v>0</v>
      </c>
      <c r="I26" s="345">
        <v>3</v>
      </c>
      <c r="J26" s="345">
        <v>3</v>
      </c>
      <c r="K26" s="345">
        <v>3</v>
      </c>
      <c r="L26" s="345">
        <v>0</v>
      </c>
      <c r="M26" s="346" t="s">
        <v>137</v>
      </c>
    </row>
    <row r="27" spans="1:13" s="265" customFormat="1" ht="18" customHeight="1">
      <c r="A27" s="334" t="s">
        <v>138</v>
      </c>
      <c r="B27" s="345">
        <v>237.89999999999998</v>
      </c>
      <c r="C27" s="345">
        <v>146.74612099999999</v>
      </c>
      <c r="D27" s="345">
        <v>304.89391938999898</v>
      </c>
      <c r="E27" s="345">
        <v>132.57864000000001</v>
      </c>
      <c r="F27" s="345">
        <v>205.310123</v>
      </c>
      <c r="G27" s="345">
        <v>188.03864400000001</v>
      </c>
      <c r="H27" s="345">
        <v>266.40812199999999</v>
      </c>
      <c r="I27" s="345">
        <v>24.317045</v>
      </c>
      <c r="J27" s="345">
        <v>24.317045</v>
      </c>
      <c r="K27" s="345">
        <v>24.317045</v>
      </c>
      <c r="L27" s="345">
        <v>24.317045</v>
      </c>
      <c r="M27" s="346" t="s">
        <v>139</v>
      </c>
    </row>
    <row r="28" spans="1:13" s="265" customFormat="1" ht="18" customHeight="1">
      <c r="A28" s="334" t="s">
        <v>140</v>
      </c>
      <c r="B28" s="345">
        <v>2</v>
      </c>
      <c r="C28" s="337">
        <v>0</v>
      </c>
      <c r="D28" s="337">
        <v>0</v>
      </c>
      <c r="E28" s="337">
        <v>0</v>
      </c>
      <c r="F28" s="337">
        <v>0</v>
      </c>
      <c r="G28" s="337">
        <v>0</v>
      </c>
      <c r="H28" s="338">
        <v>0</v>
      </c>
      <c r="I28" s="338">
        <v>0</v>
      </c>
      <c r="J28" s="338">
        <v>0</v>
      </c>
      <c r="K28" s="338">
        <v>0</v>
      </c>
      <c r="L28" s="338"/>
      <c r="M28" s="346" t="s">
        <v>141</v>
      </c>
    </row>
    <row r="29" spans="1:13" s="265" customFormat="1" ht="18" customHeight="1">
      <c r="A29" s="334" t="s">
        <v>142</v>
      </c>
      <c r="B29" s="345">
        <v>7.98</v>
      </c>
      <c r="C29" s="345">
        <v>8.7629000000000001</v>
      </c>
      <c r="D29" s="345">
        <v>3.43828829</v>
      </c>
      <c r="E29" s="345">
        <v>2.6666660000000002</v>
      </c>
      <c r="F29" s="345">
        <v>9.0000009999999993</v>
      </c>
      <c r="G29" s="345">
        <v>0</v>
      </c>
      <c r="H29" s="345">
        <v>0</v>
      </c>
      <c r="I29" s="345">
        <v>1</v>
      </c>
      <c r="J29" s="345">
        <v>2</v>
      </c>
      <c r="K29" s="345">
        <v>2</v>
      </c>
      <c r="L29" s="345">
        <v>2</v>
      </c>
      <c r="M29" s="346" t="s">
        <v>143</v>
      </c>
    </row>
    <row r="30" spans="1:13" s="265" customFormat="1" ht="18" customHeight="1">
      <c r="A30" s="334" t="s">
        <v>144</v>
      </c>
      <c r="B30" s="345">
        <v>1</v>
      </c>
      <c r="C30" s="337">
        <v>0</v>
      </c>
      <c r="D30" s="337">
        <v>0</v>
      </c>
      <c r="E30" s="337">
        <v>0</v>
      </c>
      <c r="F30" s="337">
        <v>0</v>
      </c>
      <c r="G30" s="337">
        <v>0</v>
      </c>
      <c r="H30" s="338">
        <v>0</v>
      </c>
      <c r="I30" s="338">
        <v>0</v>
      </c>
      <c r="J30" s="338">
        <v>0</v>
      </c>
      <c r="K30" s="338"/>
      <c r="L30" s="338"/>
      <c r="M30" s="346" t="s">
        <v>145</v>
      </c>
    </row>
    <row r="31" spans="1:13" s="265" customFormat="1" ht="18" customHeight="1">
      <c r="A31" s="347" t="s">
        <v>146</v>
      </c>
      <c r="B31" s="337">
        <v>0</v>
      </c>
      <c r="C31" s="345">
        <v>10.016769999999999</v>
      </c>
      <c r="D31" s="337">
        <v>0</v>
      </c>
      <c r="E31" s="337">
        <v>0</v>
      </c>
      <c r="F31" s="337">
        <v>0</v>
      </c>
      <c r="G31" s="337">
        <v>0</v>
      </c>
      <c r="H31" s="338">
        <v>0</v>
      </c>
      <c r="I31" s="338">
        <v>3</v>
      </c>
      <c r="J31" s="338">
        <v>3</v>
      </c>
      <c r="K31" s="338">
        <v>5</v>
      </c>
      <c r="L31" s="338">
        <v>6</v>
      </c>
      <c r="M31" s="346" t="s">
        <v>147</v>
      </c>
    </row>
    <row r="32" spans="1:13" s="265" customFormat="1" ht="18" customHeight="1">
      <c r="A32" s="348" t="s">
        <v>148</v>
      </c>
      <c r="B32" s="345">
        <v>60</v>
      </c>
      <c r="C32" s="345">
        <v>60</v>
      </c>
      <c r="D32" s="345">
        <v>36.166326929999997</v>
      </c>
      <c r="E32" s="345">
        <v>40</v>
      </c>
      <c r="F32" s="345">
        <v>39.405994</v>
      </c>
      <c r="G32" s="345">
        <v>76.2</v>
      </c>
      <c r="H32" s="345">
        <v>33.799999999999997</v>
      </c>
      <c r="I32" s="345">
        <v>60</v>
      </c>
      <c r="J32" s="345">
        <v>60</v>
      </c>
      <c r="K32" s="345">
        <v>60</v>
      </c>
      <c r="L32" s="345">
        <v>60</v>
      </c>
      <c r="M32" s="336" t="s">
        <v>149</v>
      </c>
    </row>
    <row r="33" spans="1:13" s="265" customFormat="1" ht="18" customHeight="1">
      <c r="A33" s="349" t="s">
        <v>150</v>
      </c>
      <c r="B33" s="345">
        <v>27.4</v>
      </c>
      <c r="C33" s="345">
        <v>24.702947999999999</v>
      </c>
      <c r="D33" s="337">
        <v>0</v>
      </c>
      <c r="E33" s="337">
        <v>0</v>
      </c>
      <c r="F33" s="337">
        <v>0</v>
      </c>
      <c r="G33" s="341">
        <v>3.837278</v>
      </c>
      <c r="H33" s="338">
        <v>17.862296000000001</v>
      </c>
      <c r="I33" s="338">
        <v>50.051968000000002</v>
      </c>
      <c r="J33" s="338">
        <v>49</v>
      </c>
      <c r="K33" s="338">
        <v>51</v>
      </c>
      <c r="L33" s="338">
        <v>54</v>
      </c>
      <c r="M33" s="336" t="s">
        <v>151</v>
      </c>
    </row>
    <row r="34" spans="1:13" s="265" customFormat="1" ht="18" customHeight="1">
      <c r="A34" s="349" t="s">
        <v>152</v>
      </c>
      <c r="B34" s="345">
        <v>171.5</v>
      </c>
      <c r="C34" s="345">
        <v>65.525085000000004</v>
      </c>
      <c r="D34" s="345">
        <v>62.790163999999997</v>
      </c>
      <c r="E34" s="345">
        <v>244.34785600000001</v>
      </c>
      <c r="F34" s="337">
        <v>0</v>
      </c>
      <c r="G34" s="337">
        <v>0</v>
      </c>
      <c r="H34" s="338">
        <v>120</v>
      </c>
      <c r="I34" s="338">
        <v>0</v>
      </c>
      <c r="J34" s="338">
        <v>0</v>
      </c>
      <c r="K34" s="338">
        <v>0</v>
      </c>
      <c r="L34" s="338">
        <v>154</v>
      </c>
      <c r="M34" s="110" t="s">
        <v>153</v>
      </c>
    </row>
    <row r="35" spans="1:13" s="265" customFormat="1" ht="18" customHeight="1">
      <c r="A35" s="349" t="s">
        <v>154</v>
      </c>
      <c r="B35" s="337">
        <v>0</v>
      </c>
      <c r="C35" s="337">
        <v>0</v>
      </c>
      <c r="D35" s="345">
        <v>6.63</v>
      </c>
      <c r="E35" s="337">
        <v>0</v>
      </c>
      <c r="F35" s="337">
        <v>0</v>
      </c>
      <c r="G35" s="337">
        <v>0</v>
      </c>
      <c r="H35" s="338">
        <v>0</v>
      </c>
      <c r="I35" s="338">
        <v>0</v>
      </c>
      <c r="J35" s="338">
        <v>0</v>
      </c>
      <c r="K35" s="338">
        <v>0</v>
      </c>
      <c r="L35" s="338">
        <v>0</v>
      </c>
      <c r="M35" s="110" t="s">
        <v>155</v>
      </c>
    </row>
    <row r="36" spans="1:13" s="265" customFormat="1" ht="18" customHeight="1">
      <c r="A36" s="349" t="s">
        <v>156</v>
      </c>
      <c r="B36" s="337">
        <v>0</v>
      </c>
      <c r="C36" s="337">
        <v>0</v>
      </c>
      <c r="D36" s="337">
        <v>0</v>
      </c>
      <c r="E36" s="337">
        <v>0</v>
      </c>
      <c r="F36" s="345">
        <v>11.05</v>
      </c>
      <c r="G36" s="345">
        <v>0</v>
      </c>
      <c r="H36" s="345">
        <v>11.05</v>
      </c>
      <c r="I36" s="345">
        <v>13</v>
      </c>
      <c r="J36" s="345">
        <v>13</v>
      </c>
      <c r="K36" s="345">
        <v>13</v>
      </c>
      <c r="L36" s="345">
        <v>22</v>
      </c>
      <c r="M36" s="350" t="s">
        <v>157</v>
      </c>
    </row>
    <row r="37" spans="1:13" s="265" customFormat="1" ht="18" customHeight="1">
      <c r="A37" s="349" t="s">
        <v>158</v>
      </c>
      <c r="B37" s="345">
        <v>5.5</v>
      </c>
      <c r="C37" s="337">
        <v>0</v>
      </c>
      <c r="D37" s="337">
        <v>0</v>
      </c>
      <c r="E37" s="337">
        <v>0</v>
      </c>
      <c r="F37" s="345">
        <v>0</v>
      </c>
      <c r="G37" s="345">
        <v>0</v>
      </c>
      <c r="H37" s="345">
        <v>0</v>
      </c>
      <c r="I37" s="345">
        <v>0</v>
      </c>
      <c r="J37" s="345">
        <v>0</v>
      </c>
      <c r="K37" s="345">
        <v>0</v>
      </c>
      <c r="L37" s="345">
        <v>0</v>
      </c>
      <c r="M37" s="110" t="s">
        <v>159</v>
      </c>
    </row>
    <row r="38" spans="1:13" s="265" customFormat="1" ht="18" customHeight="1">
      <c r="A38" s="349" t="s">
        <v>160</v>
      </c>
      <c r="B38" s="337">
        <v>0</v>
      </c>
      <c r="C38" s="337">
        <v>0</v>
      </c>
      <c r="D38" s="337">
        <v>0</v>
      </c>
      <c r="E38" s="337">
        <v>0</v>
      </c>
      <c r="F38" s="337">
        <v>0</v>
      </c>
      <c r="G38" s="337">
        <v>0</v>
      </c>
      <c r="H38" s="338">
        <v>0</v>
      </c>
      <c r="I38" s="338">
        <v>0</v>
      </c>
      <c r="J38" s="345">
        <v>0</v>
      </c>
      <c r="K38" s="345">
        <v>0</v>
      </c>
      <c r="L38" s="345">
        <v>0</v>
      </c>
      <c r="M38" s="110" t="s">
        <v>161</v>
      </c>
    </row>
    <row r="39" spans="1:13" s="265" customFormat="1" ht="18" customHeight="1">
      <c r="A39" s="349" t="s">
        <v>162</v>
      </c>
      <c r="B39" s="345">
        <v>54.5</v>
      </c>
      <c r="C39" s="345">
        <v>16.276667</v>
      </c>
      <c r="D39" s="345">
        <v>41.804403549999897</v>
      </c>
      <c r="E39" s="345">
        <v>52.75</v>
      </c>
      <c r="F39" s="345">
        <v>95.199361999999994</v>
      </c>
      <c r="G39" s="345">
        <v>43.042678000000002</v>
      </c>
      <c r="H39" s="345">
        <v>0</v>
      </c>
      <c r="I39" s="345">
        <v>91</v>
      </c>
      <c r="J39" s="345">
        <v>95</v>
      </c>
      <c r="K39" s="345">
        <v>100</v>
      </c>
      <c r="L39" s="345">
        <v>105</v>
      </c>
      <c r="M39" s="336" t="s">
        <v>163</v>
      </c>
    </row>
    <row r="40" spans="1:13" s="265" customFormat="1" ht="18" customHeight="1">
      <c r="A40" s="349" t="s">
        <v>164</v>
      </c>
      <c r="B40" s="337">
        <v>0</v>
      </c>
      <c r="C40" s="337">
        <v>0</v>
      </c>
      <c r="D40" s="337">
        <v>0</v>
      </c>
      <c r="E40" s="345">
        <v>14.306495999999999</v>
      </c>
      <c r="F40" s="345">
        <v>18.859279999999998</v>
      </c>
      <c r="G40" s="345">
        <v>7.8092800000000002</v>
      </c>
      <c r="H40" s="345">
        <v>7.8092800000000002</v>
      </c>
      <c r="I40" s="345">
        <v>19.523199999999999</v>
      </c>
      <c r="J40" s="345">
        <v>0</v>
      </c>
      <c r="K40" s="345">
        <v>0</v>
      </c>
      <c r="L40" s="345">
        <v>0</v>
      </c>
      <c r="M40" s="346" t="s">
        <v>165</v>
      </c>
    </row>
    <row r="41" spans="1:13" s="265" customFormat="1" ht="18" customHeight="1">
      <c r="A41" s="347" t="s">
        <v>166</v>
      </c>
      <c r="B41" s="345">
        <v>47.6</v>
      </c>
      <c r="C41" s="345">
        <v>13.870419999999999</v>
      </c>
      <c r="D41" s="345">
        <v>12</v>
      </c>
      <c r="E41" s="337">
        <v>0</v>
      </c>
      <c r="F41" s="345">
        <v>0</v>
      </c>
      <c r="G41" s="345">
        <v>0</v>
      </c>
      <c r="H41" s="345">
        <v>0</v>
      </c>
      <c r="I41" s="345">
        <v>0</v>
      </c>
      <c r="J41" s="345">
        <v>0</v>
      </c>
      <c r="K41" s="345">
        <v>0</v>
      </c>
      <c r="L41" s="345">
        <v>0</v>
      </c>
      <c r="M41" s="110" t="s">
        <v>175</v>
      </c>
    </row>
    <row r="42" spans="1:13" s="265" customFormat="1" ht="18" customHeight="1">
      <c r="A42" s="347" t="s">
        <v>167</v>
      </c>
      <c r="B42" s="337">
        <v>0</v>
      </c>
      <c r="C42" s="337">
        <v>0</v>
      </c>
      <c r="D42" s="337">
        <v>0</v>
      </c>
      <c r="E42" s="337">
        <v>0</v>
      </c>
      <c r="F42" s="345">
        <v>0</v>
      </c>
      <c r="G42" s="345">
        <v>0</v>
      </c>
      <c r="H42" s="345">
        <v>0</v>
      </c>
      <c r="I42" s="345">
        <v>0</v>
      </c>
      <c r="J42" s="345">
        <v>0</v>
      </c>
      <c r="K42" s="345">
        <v>0</v>
      </c>
      <c r="L42" s="345">
        <v>0</v>
      </c>
      <c r="M42" s="350" t="s">
        <v>168</v>
      </c>
    </row>
    <row r="43" spans="1:13" s="265" customFormat="1" ht="18" customHeight="1">
      <c r="A43" s="334" t="s">
        <v>169</v>
      </c>
      <c r="B43" s="337">
        <v>0</v>
      </c>
      <c r="C43" s="337">
        <v>0</v>
      </c>
      <c r="D43" s="337">
        <v>0</v>
      </c>
      <c r="E43" s="337">
        <v>0</v>
      </c>
      <c r="F43" s="345">
        <v>0</v>
      </c>
      <c r="G43" s="345">
        <v>0</v>
      </c>
      <c r="H43" s="345">
        <v>0</v>
      </c>
      <c r="I43" s="345">
        <v>0</v>
      </c>
      <c r="J43" s="345">
        <v>8</v>
      </c>
      <c r="K43" s="345">
        <v>8</v>
      </c>
      <c r="L43" s="345">
        <v>0</v>
      </c>
      <c r="M43" s="350" t="s">
        <v>170</v>
      </c>
    </row>
    <row r="44" spans="1:13" s="265" customFormat="1" ht="18" customHeight="1">
      <c r="A44" s="334" t="s">
        <v>171</v>
      </c>
      <c r="B44" s="337">
        <v>0</v>
      </c>
      <c r="C44" s="337">
        <v>0</v>
      </c>
      <c r="D44" s="337">
        <v>0</v>
      </c>
      <c r="E44" s="337">
        <v>0</v>
      </c>
      <c r="F44" s="345">
        <v>0</v>
      </c>
      <c r="G44" s="345">
        <v>0</v>
      </c>
      <c r="H44" s="345">
        <v>0</v>
      </c>
      <c r="I44" s="345">
        <v>0</v>
      </c>
      <c r="J44" s="345">
        <v>0</v>
      </c>
      <c r="K44" s="345">
        <v>0</v>
      </c>
      <c r="L44" s="345">
        <v>0</v>
      </c>
      <c r="M44" s="350" t="s">
        <v>172</v>
      </c>
    </row>
    <row r="45" spans="1:13" s="265" customFormat="1" ht="18" customHeight="1">
      <c r="A45" s="334" t="s">
        <v>173</v>
      </c>
      <c r="B45" s="337">
        <v>0</v>
      </c>
      <c r="C45" s="337">
        <v>0</v>
      </c>
      <c r="D45" s="337">
        <v>0</v>
      </c>
      <c r="E45" s="337">
        <v>0</v>
      </c>
      <c r="F45" s="345">
        <v>0</v>
      </c>
      <c r="G45" s="345">
        <v>0</v>
      </c>
      <c r="H45" s="345">
        <v>0</v>
      </c>
      <c r="I45" s="345">
        <v>0</v>
      </c>
      <c r="J45" s="345">
        <v>0</v>
      </c>
      <c r="K45" s="345">
        <v>0</v>
      </c>
      <c r="L45" s="345">
        <v>0</v>
      </c>
      <c r="M45" s="350" t="s">
        <v>174</v>
      </c>
    </row>
    <row r="46" spans="1:13" s="265" customFormat="1" ht="18" customHeight="1">
      <c r="A46" s="339" t="s">
        <v>176</v>
      </c>
      <c r="B46" s="351">
        <f t="shared" ref="B46:L46" si="7">SUM(B47:B48)</f>
        <v>1517.2</v>
      </c>
      <c r="C46" s="351">
        <f t="shared" si="7"/>
        <v>995.66539599999999</v>
      </c>
      <c r="D46" s="351">
        <f t="shared" si="7"/>
        <v>1218.15239903</v>
      </c>
      <c r="E46" s="351">
        <f>SUM(E47:E48)</f>
        <v>1258.555134</v>
      </c>
      <c r="F46" s="352">
        <f t="shared" si="7"/>
        <v>1131.3926084999998</v>
      </c>
      <c r="G46" s="352">
        <f t="shared" si="7"/>
        <v>1209.1183469999999</v>
      </c>
      <c r="H46" s="352">
        <f>SUM(H47:H48)</f>
        <v>1641.4926660000001</v>
      </c>
      <c r="I46" s="352">
        <f t="shared" si="7"/>
        <v>1415.7750057158603</v>
      </c>
      <c r="J46" s="352">
        <f>SUM(J47:J48)</f>
        <v>2103.4983461991023</v>
      </c>
      <c r="K46" s="352">
        <f>SUM(K47:K48)</f>
        <v>2245.1381403245191</v>
      </c>
      <c r="L46" s="352">
        <f t="shared" si="7"/>
        <v>2255.9992626979761</v>
      </c>
      <c r="M46" s="336" t="s">
        <v>177</v>
      </c>
    </row>
    <row r="47" spans="1:13" s="265" customFormat="1" ht="18" customHeight="1">
      <c r="A47" s="339" t="s">
        <v>178</v>
      </c>
      <c r="B47" s="353">
        <v>1403.2</v>
      </c>
      <c r="C47" s="353">
        <v>898.39401799999996</v>
      </c>
      <c r="D47" s="353">
        <v>1106.32749016</v>
      </c>
      <c r="E47" s="353">
        <v>1152.1696119999999</v>
      </c>
      <c r="F47" s="345">
        <v>1031.2231979999999</v>
      </c>
      <c r="G47" s="345">
        <v>1106.3326259999999</v>
      </c>
      <c r="H47" s="345">
        <v>1534.5484730000001</v>
      </c>
      <c r="I47" s="345">
        <v>1304.9122683189948</v>
      </c>
      <c r="J47" s="345">
        <v>1975.4171202843002</v>
      </c>
      <c r="K47" s="345">
        <v>2113.9645903124201</v>
      </c>
      <c r="L47" s="345">
        <v>2120.5949569599502</v>
      </c>
      <c r="M47" s="354" t="s">
        <v>179</v>
      </c>
    </row>
    <row r="48" spans="1:13" s="265" customFormat="1" ht="18" customHeight="1">
      <c r="A48" s="339" t="s">
        <v>180</v>
      </c>
      <c r="B48" s="353">
        <v>114</v>
      </c>
      <c r="C48" s="353">
        <v>97.271377999999999</v>
      </c>
      <c r="D48" s="353">
        <v>111.82490887</v>
      </c>
      <c r="E48" s="353">
        <v>106.38552200000001</v>
      </c>
      <c r="F48" s="345">
        <v>100.1694105</v>
      </c>
      <c r="G48" s="345">
        <v>102.785721</v>
      </c>
      <c r="H48" s="345">
        <v>106.94419299999998</v>
      </c>
      <c r="I48" s="345">
        <v>110.8627373968654</v>
      </c>
      <c r="J48" s="345">
        <v>128.08122591480242</v>
      </c>
      <c r="K48" s="345">
        <v>131.17355001209881</v>
      </c>
      <c r="L48" s="345">
        <v>135.40430573802567</v>
      </c>
      <c r="M48" s="354" t="s">
        <v>181</v>
      </c>
    </row>
    <row r="49" spans="1:13" s="265" customFormat="1" ht="18" customHeight="1">
      <c r="A49" s="339" t="s">
        <v>182</v>
      </c>
      <c r="B49" s="353">
        <v>998.55999999999926</v>
      </c>
      <c r="C49" s="353">
        <v>895.01125499999932</v>
      </c>
      <c r="D49" s="353">
        <v>1113.5066890700002</v>
      </c>
      <c r="E49" s="353">
        <v>1512.4366380000008</v>
      </c>
      <c r="F49" s="345">
        <v>1078.6121423</v>
      </c>
      <c r="G49" s="345">
        <v>957.14032719999977</v>
      </c>
      <c r="H49" s="345">
        <v>1613.5568949999999</v>
      </c>
      <c r="I49" s="345">
        <v>2277.3998553129186</v>
      </c>
      <c r="J49" s="345">
        <v>3456.7026469799544</v>
      </c>
      <c r="K49" s="345">
        <v>2530.1862017013118</v>
      </c>
      <c r="L49" s="345">
        <v>1373.4341472155772</v>
      </c>
      <c r="M49" s="354" t="s">
        <v>183</v>
      </c>
    </row>
    <row r="50" spans="1:13" s="265" customFormat="1" ht="18" customHeight="1">
      <c r="A50" s="330" t="s">
        <v>76</v>
      </c>
      <c r="B50" s="355">
        <v>42.3</v>
      </c>
      <c r="C50" s="355">
        <v>13.887772999999999</v>
      </c>
      <c r="D50" s="355">
        <v>49.354096069998995</v>
      </c>
      <c r="E50" s="355">
        <v>534.46453699999995</v>
      </c>
      <c r="F50" s="355">
        <v>48.072814719999997</v>
      </c>
      <c r="G50" s="355">
        <v>268.11802599999999</v>
      </c>
      <c r="H50" s="355">
        <v>124.11061599999999</v>
      </c>
      <c r="I50" s="355">
        <v>141.39892858610099</v>
      </c>
      <c r="J50" s="355">
        <v>1518.1776830859742</v>
      </c>
      <c r="K50" s="355">
        <v>912.7658174549648</v>
      </c>
      <c r="L50" s="355">
        <v>40.445160281618286</v>
      </c>
      <c r="M50" s="354" t="s">
        <v>184</v>
      </c>
    </row>
    <row r="51" spans="1:13" s="265" customFormat="1" ht="18" customHeight="1">
      <c r="A51" s="356" t="s">
        <v>185</v>
      </c>
      <c r="B51" s="357">
        <v>517</v>
      </c>
      <c r="C51" s="357">
        <v>421.515827</v>
      </c>
      <c r="D51" s="357">
        <v>154.54323556</v>
      </c>
      <c r="E51" s="357">
        <v>732.43525699999998</v>
      </c>
      <c r="F51" s="357">
        <v>366.669873</v>
      </c>
      <c r="G51" s="357">
        <v>117.65522752999999</v>
      </c>
      <c r="H51" s="357">
        <v>165.27382499999999</v>
      </c>
      <c r="I51" s="357">
        <v>1082.415045964</v>
      </c>
      <c r="J51" s="357">
        <v>1220.5699099999999</v>
      </c>
      <c r="K51" s="357">
        <v>1234.971595</v>
      </c>
      <c r="L51" s="357">
        <v>967.5915</v>
      </c>
      <c r="M51" s="358" t="s">
        <v>186</v>
      </c>
    </row>
    <row r="52" spans="1:13" s="265" customFormat="1" ht="13.5">
      <c r="A52" s="273" t="s">
        <v>619</v>
      </c>
      <c r="B52" s="359"/>
      <c r="C52" s="359"/>
      <c r="D52" s="359"/>
      <c r="E52" s="360"/>
      <c r="F52" s="360"/>
      <c r="G52" s="360"/>
      <c r="H52" s="360"/>
      <c r="I52" s="360"/>
      <c r="J52" s="360"/>
      <c r="K52" s="360"/>
      <c r="L52" s="360"/>
      <c r="M52" s="361" t="s">
        <v>187</v>
      </c>
    </row>
    <row r="53" spans="1:13" s="265" customFormat="1" ht="13.5">
      <c r="A53" s="273" t="s">
        <v>188</v>
      </c>
      <c r="B53" s="359"/>
      <c r="C53" s="359"/>
      <c r="D53" s="359"/>
      <c r="E53" s="360"/>
      <c r="F53" s="360"/>
      <c r="G53" s="360"/>
      <c r="H53" s="360"/>
      <c r="I53" s="360"/>
      <c r="J53" s="360"/>
      <c r="K53" s="360"/>
      <c r="L53" s="360"/>
      <c r="M53" s="361" t="s">
        <v>189</v>
      </c>
    </row>
    <row r="54" spans="1:13" s="265" customFormat="1" ht="13.5">
      <c r="A54" s="273" t="s">
        <v>190</v>
      </c>
      <c r="B54" s="359"/>
      <c r="C54" s="359"/>
      <c r="D54" s="359"/>
      <c r="E54" s="360"/>
      <c r="F54" s="360"/>
      <c r="G54" s="360"/>
      <c r="H54" s="360"/>
      <c r="I54" s="360"/>
      <c r="J54" s="360"/>
      <c r="K54" s="360"/>
      <c r="L54" s="360"/>
      <c r="M54" s="361" t="s">
        <v>191</v>
      </c>
    </row>
    <row r="55" spans="1:13" s="265" customFormat="1" ht="13.5">
      <c r="A55" s="273" t="s">
        <v>401</v>
      </c>
      <c r="B55" s="359"/>
      <c r="C55" s="359"/>
      <c r="D55" s="359"/>
      <c r="E55" s="360"/>
      <c r="F55" s="360"/>
      <c r="G55" s="360"/>
      <c r="H55" s="360"/>
      <c r="I55" s="360"/>
      <c r="J55" s="360"/>
      <c r="K55" s="360"/>
      <c r="L55" s="360"/>
      <c r="M55" s="361" t="s">
        <v>294</v>
      </c>
    </row>
    <row r="56" spans="1:13" ht="13.5">
      <c r="A56" s="366" t="s">
        <v>817</v>
      </c>
      <c r="M56" s="361" t="s">
        <v>193</v>
      </c>
    </row>
    <row r="57" spans="1:13" s="265" customFormat="1">
      <c r="A57" s="367" t="s">
        <v>818</v>
      </c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</row>
    <row r="58" spans="1:13" s="265" customFormat="1" ht="17.25">
      <c r="A58" s="367" t="s">
        <v>819</v>
      </c>
      <c r="M58" s="363"/>
    </row>
    <row r="59" spans="1:13" s="265" customFormat="1">
      <c r="A59" s="367" t="s">
        <v>820</v>
      </c>
    </row>
    <row r="60" spans="1:13">
      <c r="A60" s="368" t="s">
        <v>821</v>
      </c>
    </row>
    <row r="61" spans="1:13">
      <c r="A61" s="368" t="s">
        <v>822</v>
      </c>
    </row>
    <row r="62" spans="1:13">
      <c r="A62" s="368" t="s">
        <v>823</v>
      </c>
    </row>
    <row r="63" spans="1:13">
      <c r="A63" s="368" t="s">
        <v>824</v>
      </c>
    </row>
    <row r="64" spans="1:13">
      <c r="A64" s="368" t="s">
        <v>825</v>
      </c>
    </row>
    <row r="65" spans="1:12">
      <c r="A65" s="368" t="s">
        <v>826</v>
      </c>
    </row>
    <row r="66" spans="1:12">
      <c r="A66" s="273" t="s">
        <v>192</v>
      </c>
    </row>
    <row r="67" spans="1:12" s="262" customFormat="1" ht="12"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59"/>
    </row>
    <row r="72" spans="1:12">
      <c r="A72" s="364"/>
    </row>
  </sheetData>
  <mergeCells count="4">
    <mergeCell ref="A1:M1"/>
    <mergeCell ref="A2:M2"/>
    <mergeCell ref="A3:M3"/>
    <mergeCell ref="A4:M4"/>
  </mergeCells>
  <pageMargins left="0.17" right="0.16" top="0.41" bottom="0.36" header="0.3" footer="0.3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zoomScale="110" zoomScaleNormal="110" zoomScaleSheetLayoutView="89" workbookViewId="0">
      <pane ySplit="7" topLeftCell="A14" activePane="bottomLeft" state="frozen"/>
      <selection pane="bottomLeft" activeCell="I9" sqref="I9:J9"/>
    </sheetView>
  </sheetViews>
  <sheetFormatPr defaultColWidth="9.140625" defaultRowHeight="12.75"/>
  <cols>
    <col min="1" max="1" width="35.5703125" style="240" customWidth="1"/>
    <col min="2" max="3" width="9.140625" style="240" hidden="1" customWidth="1"/>
    <col min="4" max="4" width="10.28515625" style="240" hidden="1" customWidth="1"/>
    <col min="5" max="5" width="9.140625" style="240" hidden="1" customWidth="1"/>
    <col min="6" max="6" width="10.85546875" style="240" hidden="1" customWidth="1"/>
    <col min="7" max="9" width="9.140625" style="240"/>
    <col min="10" max="12" width="9.28515625" style="240" bestFit="1" customWidth="1"/>
    <col min="13" max="13" width="9.28515625" style="240" customWidth="1"/>
    <col min="14" max="14" width="2.28515625" style="240" customWidth="1"/>
    <col min="15" max="17" width="11" style="240" customWidth="1"/>
    <col min="18" max="18" width="1" style="240" customWidth="1"/>
    <col min="19" max="19" width="9.85546875" style="424" customWidth="1"/>
    <col min="20" max="22" width="12.140625" style="424" customWidth="1"/>
    <col min="23" max="23" width="42.28515625" style="425" bestFit="1" customWidth="1"/>
    <col min="24" max="16384" width="9.140625" style="240"/>
  </cols>
  <sheetData>
    <row r="1" spans="1:24" ht="19.5">
      <c r="A1" s="681" t="s">
        <v>626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</row>
    <row r="2" spans="1:24" ht="15">
      <c r="A2" s="682" t="s">
        <v>627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</row>
    <row r="3" spans="1:24" ht="15">
      <c r="A3" s="712" t="s">
        <v>194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</row>
    <row r="4" spans="1:24">
      <c r="A4" s="713" t="s">
        <v>301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370"/>
    </row>
    <row r="5" spans="1:24" ht="17.25">
      <c r="A5" s="371"/>
      <c r="B5" s="372"/>
      <c r="C5" s="372"/>
      <c r="D5" s="372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715" t="s">
        <v>296</v>
      </c>
      <c r="P5" s="716"/>
      <c r="Q5" s="716"/>
      <c r="R5" s="373"/>
      <c r="S5" s="719" t="s">
        <v>299</v>
      </c>
      <c r="T5" s="719"/>
      <c r="U5" s="374"/>
      <c r="V5" s="374"/>
      <c r="W5" s="372"/>
      <c r="X5" s="370"/>
    </row>
    <row r="6" spans="1:24" s="327" customFormat="1" ht="15">
      <c r="A6" s="325" t="s">
        <v>1</v>
      </c>
      <c r="B6" s="67"/>
      <c r="C6" s="67"/>
      <c r="D6" s="67"/>
      <c r="E6" s="67" t="s">
        <v>4</v>
      </c>
      <c r="F6" s="67" t="s">
        <v>6</v>
      </c>
      <c r="G6" s="67" t="s">
        <v>4</v>
      </c>
      <c r="H6" s="67" t="s">
        <v>4</v>
      </c>
      <c r="I6" s="67" t="s">
        <v>4</v>
      </c>
      <c r="J6" s="67" t="s">
        <v>6</v>
      </c>
      <c r="K6" s="67" t="s">
        <v>69</v>
      </c>
      <c r="L6" s="67" t="s">
        <v>69</v>
      </c>
      <c r="M6" s="67" t="s">
        <v>69</v>
      </c>
      <c r="N6" s="67"/>
      <c r="O6" s="717" t="s">
        <v>297</v>
      </c>
      <c r="P6" s="718"/>
      <c r="Q6" s="718"/>
      <c r="R6" s="375"/>
      <c r="S6" s="720" t="s">
        <v>298</v>
      </c>
      <c r="T6" s="721"/>
      <c r="U6" s="376"/>
      <c r="V6" s="377"/>
      <c r="W6" s="68" t="s">
        <v>3</v>
      </c>
    </row>
    <row r="7" spans="1:24" s="262" customFormat="1" ht="12">
      <c r="A7" s="328"/>
      <c r="B7" s="329">
        <v>2008</v>
      </c>
      <c r="C7" s="329">
        <v>2009</v>
      </c>
      <c r="D7" s="329">
        <v>2010</v>
      </c>
      <c r="E7" s="329">
        <v>2011</v>
      </c>
      <c r="F7" s="329">
        <v>2012</v>
      </c>
      <c r="G7" s="329">
        <v>2012</v>
      </c>
      <c r="H7" s="329">
        <v>2013</v>
      </c>
      <c r="I7" s="329">
        <v>2014</v>
      </c>
      <c r="J7" s="329">
        <v>2015</v>
      </c>
      <c r="K7" s="329">
        <v>2016</v>
      </c>
      <c r="L7" s="329">
        <v>2017</v>
      </c>
      <c r="M7" s="329">
        <v>2018</v>
      </c>
      <c r="N7" s="329"/>
      <c r="O7" s="378">
        <v>2013</v>
      </c>
      <c r="P7" s="329">
        <v>2014</v>
      </c>
      <c r="Q7" s="379">
        <v>2015</v>
      </c>
      <c r="R7" s="380"/>
      <c r="S7" s="381" t="s">
        <v>300</v>
      </c>
      <c r="T7" s="381" t="s">
        <v>390</v>
      </c>
      <c r="U7" s="381" t="s">
        <v>584</v>
      </c>
      <c r="V7" s="382" t="s">
        <v>591</v>
      </c>
      <c r="W7" s="383"/>
    </row>
    <row r="8" spans="1:24" s="262" customFormat="1" ht="21" customHeight="1">
      <c r="A8" s="384" t="s">
        <v>80</v>
      </c>
      <c r="B8" s="385">
        <f t="shared" ref="B8:M8" si="0">+B9+B27</f>
        <v>10176</v>
      </c>
      <c r="C8" s="385">
        <f t="shared" si="0"/>
        <v>10953.434156000001</v>
      </c>
      <c r="D8" s="385">
        <f t="shared" si="0"/>
        <v>10815.062102899999</v>
      </c>
      <c r="E8" s="385">
        <f t="shared" si="0"/>
        <v>12264.726665999999</v>
      </c>
      <c r="F8" s="385">
        <f t="shared" si="0"/>
        <v>14145.628022305787</v>
      </c>
      <c r="G8" s="386">
        <f t="shared" si="0"/>
        <v>13110.002924999999</v>
      </c>
      <c r="H8" s="386">
        <f t="shared" si="0"/>
        <v>13530.771002489999</v>
      </c>
      <c r="I8" s="386">
        <f t="shared" si="0"/>
        <v>16417.244472999999</v>
      </c>
      <c r="J8" s="386">
        <f t="shared" si="0"/>
        <v>21286.098396313031</v>
      </c>
      <c r="K8" s="386">
        <f t="shared" si="0"/>
        <v>26131.694404999995</v>
      </c>
      <c r="L8" s="386">
        <f t="shared" si="0"/>
        <v>26738.408435999998</v>
      </c>
      <c r="M8" s="386">
        <f t="shared" si="0"/>
        <v>24912.376244242907</v>
      </c>
      <c r="N8" s="386"/>
      <c r="O8" s="387">
        <f>H8/H8*100</f>
        <v>100</v>
      </c>
      <c r="P8" s="388">
        <f>H8/H8*100</f>
        <v>100</v>
      </c>
      <c r="Q8" s="388">
        <f>J8/$J$8*100</f>
        <v>100</v>
      </c>
      <c r="R8" s="389"/>
      <c r="S8" s="390">
        <f>+(H8-G8)/G8*100</f>
        <v>3.2095193257937438</v>
      </c>
      <c r="T8" s="390">
        <f>+(I8-H8)/H8*100</f>
        <v>21.332660718142499</v>
      </c>
      <c r="U8" s="390">
        <f>+(J8-I8)/I8*100</f>
        <v>29.656949625866929</v>
      </c>
      <c r="V8" s="390">
        <f>+(K8-J8)/J8*100</f>
        <v>22.764134217881235</v>
      </c>
      <c r="W8" s="391" t="s">
        <v>195</v>
      </c>
    </row>
    <row r="9" spans="1:24" s="262" customFormat="1" ht="21" customHeight="1">
      <c r="A9" s="384" t="s">
        <v>84</v>
      </c>
      <c r="B9" s="385">
        <f t="shared" ref="B9:M9" si="1">+B10+B23+B24</f>
        <v>7463.2000000000007</v>
      </c>
      <c r="C9" s="385">
        <f t="shared" si="1"/>
        <v>8764.9308290000008</v>
      </c>
      <c r="D9" s="385">
        <f t="shared" si="1"/>
        <v>8428.0733739999996</v>
      </c>
      <c r="E9" s="385">
        <f t="shared" si="1"/>
        <v>9075.7434510000003</v>
      </c>
      <c r="F9" s="385">
        <f t="shared" si="1"/>
        <v>10522.12938529569</v>
      </c>
      <c r="G9" s="386">
        <f t="shared" si="1"/>
        <v>10316.485255</v>
      </c>
      <c r="H9" s="386">
        <f t="shared" si="1"/>
        <v>11573.214585849999</v>
      </c>
      <c r="I9" s="386">
        <f t="shared" si="1"/>
        <v>13960.001397</v>
      </c>
      <c r="J9" s="386">
        <f t="shared" si="1"/>
        <v>16234.904366467077</v>
      </c>
      <c r="K9" s="386">
        <f t="shared" si="1"/>
        <v>16227.501863999998</v>
      </c>
      <c r="L9" s="386">
        <f t="shared" si="1"/>
        <v>16225.199133</v>
      </c>
      <c r="M9" s="386">
        <f t="shared" si="1"/>
        <v>16170.712633999998</v>
      </c>
      <c r="N9" s="386"/>
      <c r="O9" s="387">
        <f t="shared" ref="O9:O18" si="2">H9/H$8*100</f>
        <v>85.532558223919679</v>
      </c>
      <c r="P9" s="392">
        <f t="shared" ref="P9:P18" si="3">H9/H$8*100</f>
        <v>85.532558223919679</v>
      </c>
      <c r="Q9" s="392">
        <f>J9/$J$8*100</f>
        <v>76.269986468159559</v>
      </c>
      <c r="R9" s="389"/>
      <c r="S9" s="390">
        <f t="shared" ref="S9:V18" si="4">+(H9-G9)/G9*100</f>
        <v>12.18175861048133</v>
      </c>
      <c r="T9" s="390">
        <f>+(I9-H9)/H9*100</f>
        <v>20.623369535273355</v>
      </c>
      <c r="U9" s="390">
        <f>+(J9-I9)/I9*100</f>
        <v>16.29586491270662</v>
      </c>
      <c r="V9" s="390">
        <f>+(K9-J9)/J9*100</f>
        <v>-4.5596218493093484E-2</v>
      </c>
      <c r="W9" s="256" t="s">
        <v>85</v>
      </c>
    </row>
    <row r="10" spans="1:24" s="265" customFormat="1" ht="21" customHeight="1">
      <c r="A10" s="384" t="s">
        <v>196</v>
      </c>
      <c r="B10" s="386">
        <f t="shared" ref="B10:H10" si="5">SUM(B11:B22)</f>
        <v>6704.0000000000009</v>
      </c>
      <c r="C10" s="386">
        <f t="shared" si="5"/>
        <v>7725.4148610000011</v>
      </c>
      <c r="D10" s="386">
        <f t="shared" si="5"/>
        <v>7113.477116</v>
      </c>
      <c r="E10" s="386">
        <f t="shared" si="5"/>
        <v>7352.3074530000004</v>
      </c>
      <c r="F10" s="386">
        <f t="shared" si="5"/>
        <v>8817.3874749850675</v>
      </c>
      <c r="G10" s="386">
        <f t="shared" si="5"/>
        <v>8519.2447279999997</v>
      </c>
      <c r="H10" s="386">
        <f t="shared" si="5"/>
        <v>8842.2643139699994</v>
      </c>
      <c r="I10" s="386">
        <f>SUM(I11:I22)</f>
        <v>10437.031647</v>
      </c>
      <c r="J10" s="386">
        <f t="shared" ref="J10:M10" si="6">SUM(J11:J22)</f>
        <v>13176.737087791109</v>
      </c>
      <c r="K10" s="386">
        <f t="shared" si="6"/>
        <v>13544.515696999999</v>
      </c>
      <c r="L10" s="386">
        <f t="shared" si="6"/>
        <v>13525.383776999999</v>
      </c>
      <c r="M10" s="386">
        <f t="shared" si="6"/>
        <v>13200.112980999998</v>
      </c>
      <c r="N10" s="386"/>
      <c r="O10" s="387">
        <f t="shared" si="2"/>
        <v>65.349301324682855</v>
      </c>
      <c r="P10" s="392">
        <f t="shared" si="3"/>
        <v>65.349301324682855</v>
      </c>
      <c r="Q10" s="392">
        <f>J10/$J$8*100</f>
        <v>61.90301690080252</v>
      </c>
      <c r="R10" s="389"/>
      <c r="S10" s="390">
        <f t="shared" si="4"/>
        <v>3.7916458123140768</v>
      </c>
      <c r="T10" s="390">
        <f t="shared" si="4"/>
        <v>18.035734698751408</v>
      </c>
      <c r="U10" s="390">
        <f t="shared" ref="U10:V13" si="7">+(J10-I10)/I10*100</f>
        <v>26.249852768996874</v>
      </c>
      <c r="V10" s="390">
        <f t="shared" si="7"/>
        <v>2.7911204933249736</v>
      </c>
      <c r="W10" s="260" t="s">
        <v>197</v>
      </c>
    </row>
    <row r="11" spans="1:24" s="265" customFormat="1" ht="15">
      <c r="A11" s="393" t="s">
        <v>198</v>
      </c>
      <c r="B11" s="394">
        <v>2588.9</v>
      </c>
      <c r="C11" s="395">
        <v>2944.8222249999999</v>
      </c>
      <c r="D11" s="395">
        <v>2486.4620610000002</v>
      </c>
      <c r="E11" s="395">
        <v>2596.3040620000002</v>
      </c>
      <c r="F11" s="395">
        <v>2527.3335364730301</v>
      </c>
      <c r="G11" s="395">
        <v>2722.7159489999999</v>
      </c>
      <c r="H11" s="395">
        <v>3283.7425111899997</v>
      </c>
      <c r="I11" s="395">
        <v>3392.859852</v>
      </c>
      <c r="J11" s="395">
        <v>3737.9494379066659</v>
      </c>
      <c r="K11" s="395">
        <v>3756.547208</v>
      </c>
      <c r="L11" s="395">
        <v>3757.3584049999999</v>
      </c>
      <c r="M11" s="395">
        <v>3758.1458779999998</v>
      </c>
      <c r="N11" s="395"/>
      <c r="O11" s="396">
        <f t="shared" si="2"/>
        <v>24.268702135197685</v>
      </c>
      <c r="P11" s="397">
        <f>H11/H$8*100</f>
        <v>24.268702135197685</v>
      </c>
      <c r="Q11" s="397">
        <f t="shared" ref="Q11:Q16" si="8">J11/$J$8*100</f>
        <v>17.560519397740435</v>
      </c>
      <c r="R11" s="398"/>
      <c r="S11" s="399">
        <f t="shared" si="4"/>
        <v>20.605401837678066</v>
      </c>
      <c r="T11" s="399">
        <f>+(I11-H11)/H11*100</f>
        <v>3.3229566702675823</v>
      </c>
      <c r="U11" s="399">
        <f t="shared" si="7"/>
        <v>10.171053357928853</v>
      </c>
      <c r="V11" s="399">
        <f t="shared" si="7"/>
        <v>0.49753937024223588</v>
      </c>
      <c r="W11" s="260" t="s">
        <v>199</v>
      </c>
    </row>
    <row r="12" spans="1:24" s="265" customFormat="1" ht="15">
      <c r="A12" s="393" t="s">
        <v>200</v>
      </c>
      <c r="B12" s="394">
        <v>977.2</v>
      </c>
      <c r="C12" s="395">
        <v>1797.9487119999999</v>
      </c>
      <c r="D12" s="395">
        <v>1691.8551520000001</v>
      </c>
      <c r="E12" s="395">
        <v>1684.651282</v>
      </c>
      <c r="F12" s="395">
        <v>1693.9412848249981</v>
      </c>
      <c r="G12" s="395">
        <v>1836.5324539999999</v>
      </c>
      <c r="H12" s="395">
        <v>2321.9727118199999</v>
      </c>
      <c r="I12" s="395">
        <v>2435.6551049999998</v>
      </c>
      <c r="J12" s="395">
        <v>2858.3992169433332</v>
      </c>
      <c r="K12" s="395">
        <v>3035.9225419999998</v>
      </c>
      <c r="L12" s="395">
        <v>3036.4055349999999</v>
      </c>
      <c r="M12" s="395">
        <v>3036.8176680000001</v>
      </c>
      <c r="N12" s="395"/>
      <c r="O12" s="396">
        <f t="shared" si="2"/>
        <v>17.160682945507681</v>
      </c>
      <c r="P12" s="397">
        <f t="shared" si="3"/>
        <v>17.160682945507681</v>
      </c>
      <c r="Q12" s="397">
        <f>J12/$J$8*100</f>
        <v>13.428478830288773</v>
      </c>
      <c r="R12" s="398"/>
      <c r="S12" s="399">
        <f t="shared" si="4"/>
        <v>26.432435580580272</v>
      </c>
      <c r="T12" s="399">
        <f>+(I12-H12)/H12*100</f>
        <v>4.8959401030554695</v>
      </c>
      <c r="U12" s="399">
        <f t="shared" si="7"/>
        <v>17.356484958626083</v>
      </c>
      <c r="V12" s="399">
        <f t="shared" si="7"/>
        <v>6.2105854215319702</v>
      </c>
      <c r="W12" s="260" t="s">
        <v>201</v>
      </c>
    </row>
    <row r="13" spans="1:24" s="265" customFormat="1" ht="15">
      <c r="A13" s="393" t="s">
        <v>202</v>
      </c>
      <c r="B13" s="394">
        <v>126.3</v>
      </c>
      <c r="C13" s="395">
        <v>286.51753100000002</v>
      </c>
      <c r="D13" s="395">
        <v>155.387157</v>
      </c>
      <c r="E13" s="395">
        <v>146.63359800000001</v>
      </c>
      <c r="F13" s="395">
        <v>159.16254198666658</v>
      </c>
      <c r="G13" s="395">
        <v>157.925938</v>
      </c>
      <c r="H13" s="395">
        <v>321.28531844000003</v>
      </c>
      <c r="I13" s="395">
        <v>192.40862899999999</v>
      </c>
      <c r="J13" s="395">
        <v>1001.09599288</v>
      </c>
      <c r="K13" s="395">
        <v>1223.691129</v>
      </c>
      <c r="L13" s="395">
        <v>1213.863482</v>
      </c>
      <c r="M13" s="395">
        <v>1230.2006730000001</v>
      </c>
      <c r="N13" s="395"/>
      <c r="O13" s="396">
        <f t="shared" si="2"/>
        <v>2.37447901809051</v>
      </c>
      <c r="P13" s="397">
        <f t="shared" si="3"/>
        <v>2.37447901809051</v>
      </c>
      <c r="Q13" s="397">
        <f t="shared" si="8"/>
        <v>4.7030506682868669</v>
      </c>
      <c r="R13" s="398"/>
      <c r="S13" s="399">
        <f t="shared" si="4"/>
        <v>103.44050034390173</v>
      </c>
      <c r="T13" s="399">
        <f t="shared" si="4"/>
        <v>-40.112847379942679</v>
      </c>
      <c r="U13" s="399">
        <f t="shared" si="7"/>
        <v>420.29682768541534</v>
      </c>
      <c r="V13" s="399">
        <f t="shared" si="7"/>
        <v>22.235144052432759</v>
      </c>
      <c r="W13" s="260" t="s">
        <v>203</v>
      </c>
    </row>
    <row r="14" spans="1:24" s="265" customFormat="1" ht="15">
      <c r="A14" s="393" t="s">
        <v>204</v>
      </c>
      <c r="B14" s="394">
        <v>173.5</v>
      </c>
      <c r="C14" s="395">
        <v>133.39837399999999</v>
      </c>
      <c r="D14" s="395">
        <v>103.018094</v>
      </c>
      <c r="E14" s="395">
        <v>136.514331</v>
      </c>
      <c r="F14" s="395">
        <v>138.30028738441143</v>
      </c>
      <c r="G14" s="395">
        <v>139.60034300000001</v>
      </c>
      <c r="H14" s="395">
        <v>118.49545676999999</v>
      </c>
      <c r="I14" s="395">
        <v>133.54383899999999</v>
      </c>
      <c r="J14" s="395">
        <v>179.71020222666664</v>
      </c>
      <c r="K14" s="395">
        <v>165.69679500000001</v>
      </c>
      <c r="L14" s="395">
        <v>173.14958799999999</v>
      </c>
      <c r="M14" s="395">
        <v>177.83531199999999</v>
      </c>
      <c r="N14" s="395"/>
      <c r="O14" s="396">
        <f t="shared" si="2"/>
        <v>0.87574800244711748</v>
      </c>
      <c r="P14" s="397">
        <f t="shared" si="3"/>
        <v>0.87574800244711748</v>
      </c>
      <c r="Q14" s="397">
        <f t="shared" si="8"/>
        <v>0.84426088276372091</v>
      </c>
      <c r="R14" s="398"/>
      <c r="S14" s="399">
        <f t="shared" si="4"/>
        <v>-15.118076199855768</v>
      </c>
      <c r="T14" s="399">
        <f t="shared" si="4"/>
        <v>12.699543628249776</v>
      </c>
      <c r="U14" s="399">
        <f t="shared" si="4"/>
        <v>34.570193258160451</v>
      </c>
      <c r="V14" s="399">
        <f t="shared" si="4"/>
        <v>-7.7977805672889184</v>
      </c>
      <c r="W14" s="260" t="s">
        <v>205</v>
      </c>
    </row>
    <row r="15" spans="1:24" s="265" customFormat="1" ht="15">
      <c r="A15" s="393" t="s">
        <v>306</v>
      </c>
      <c r="B15" s="394">
        <v>0</v>
      </c>
      <c r="C15" s="394">
        <v>0</v>
      </c>
      <c r="D15" s="394">
        <v>0</v>
      </c>
      <c r="E15" s="394">
        <v>0</v>
      </c>
      <c r="F15" s="395"/>
      <c r="G15" s="395">
        <v>308.01030900000001</v>
      </c>
      <c r="H15" s="395">
        <v>274.06769034999996</v>
      </c>
      <c r="I15" s="395">
        <v>305.657895</v>
      </c>
      <c r="J15" s="395">
        <v>416.29568405222227</v>
      </c>
      <c r="K15" s="395">
        <v>573.04064800000003</v>
      </c>
      <c r="L15" s="395">
        <v>612.11514999999997</v>
      </c>
      <c r="M15" s="395">
        <v>593.21151499999996</v>
      </c>
      <c r="N15" s="395"/>
      <c r="O15" s="396">
        <f t="shared" si="2"/>
        <v>2.0255142171836673</v>
      </c>
      <c r="P15" s="397">
        <f t="shared" si="3"/>
        <v>2.0255142171836673</v>
      </c>
      <c r="Q15" s="397">
        <f t="shared" si="8"/>
        <v>1.9557162440080089</v>
      </c>
      <c r="R15" s="398"/>
      <c r="S15" s="399">
        <f t="shared" si="4"/>
        <v>-11.019961883808261</v>
      </c>
      <c r="T15" s="399">
        <f t="shared" si="4"/>
        <v>11.526424223759303</v>
      </c>
      <c r="U15" s="399">
        <f t="shared" si="4"/>
        <v>36.196607665646027</v>
      </c>
      <c r="V15" s="399">
        <f>+(K15-J15)/J15*100</f>
        <v>37.652315398041665</v>
      </c>
      <c r="W15" s="260" t="s">
        <v>307</v>
      </c>
    </row>
    <row r="16" spans="1:24" s="265" customFormat="1" ht="15">
      <c r="A16" s="393" t="s">
        <v>206</v>
      </c>
      <c r="B16" s="394">
        <v>435.7</v>
      </c>
      <c r="C16" s="395">
        <v>345.66474499999998</v>
      </c>
      <c r="D16" s="395">
        <v>315.84864700000003</v>
      </c>
      <c r="E16" s="395">
        <v>353.68075299999998</v>
      </c>
      <c r="F16" s="395">
        <v>387.57731545110539</v>
      </c>
      <c r="G16" s="395">
        <v>496.65301599999998</v>
      </c>
      <c r="H16" s="395">
        <v>537.30073173999995</v>
      </c>
      <c r="I16" s="395">
        <v>825.74070600000005</v>
      </c>
      <c r="J16" s="395">
        <v>1075.1806673877782</v>
      </c>
      <c r="K16" s="395">
        <v>1085.6613309999998</v>
      </c>
      <c r="L16" s="395">
        <v>1106.41211</v>
      </c>
      <c r="M16" s="395">
        <v>952.42615999999998</v>
      </c>
      <c r="N16" s="395"/>
      <c r="O16" s="396">
        <f t="shared" si="2"/>
        <v>3.9709542910830669</v>
      </c>
      <c r="P16" s="397">
        <f t="shared" si="3"/>
        <v>3.9709542910830669</v>
      </c>
      <c r="Q16" s="397">
        <f t="shared" si="8"/>
        <v>5.0510931941102486</v>
      </c>
      <c r="R16" s="398"/>
      <c r="S16" s="399">
        <f t="shared" si="4"/>
        <v>8.1843287829747045</v>
      </c>
      <c r="T16" s="399">
        <f t="shared" si="4"/>
        <v>53.683153068843446</v>
      </c>
      <c r="U16" s="399">
        <f t="shared" si="4"/>
        <v>30.208025300835551</v>
      </c>
      <c r="V16" s="399">
        <f t="shared" si="4"/>
        <v>0.97478162788074418</v>
      </c>
      <c r="W16" s="260" t="s">
        <v>207</v>
      </c>
    </row>
    <row r="17" spans="1:23" s="265" customFormat="1" ht="15">
      <c r="A17" s="393" t="s">
        <v>208</v>
      </c>
      <c r="B17" s="394">
        <v>181.1</v>
      </c>
      <c r="C17" s="395">
        <v>138.21754999999999</v>
      </c>
      <c r="D17" s="395">
        <v>121.898888</v>
      </c>
      <c r="E17" s="395">
        <v>127.86300199999999</v>
      </c>
      <c r="F17" s="395">
        <v>121.2473748227352</v>
      </c>
      <c r="G17" s="395">
        <v>195.09169399999999</v>
      </c>
      <c r="H17" s="395">
        <v>99.355695399999988</v>
      </c>
      <c r="I17" s="395">
        <v>216.49781200000001</v>
      </c>
      <c r="J17" s="395">
        <v>312.95598116111114</v>
      </c>
      <c r="K17" s="395">
        <v>260.11812900000001</v>
      </c>
      <c r="L17" s="395">
        <v>262.17761000000002</v>
      </c>
      <c r="M17" s="395">
        <v>200.91672600000001</v>
      </c>
      <c r="N17" s="395"/>
      <c r="O17" s="396">
        <f t="shared" si="2"/>
        <v>0.73429441220841052</v>
      </c>
      <c r="P17" s="397">
        <f t="shared" si="3"/>
        <v>0.73429441220841052</v>
      </c>
      <c r="Q17" s="397">
        <f>J17/$J$8*100</f>
        <v>1.4702364676436819</v>
      </c>
      <c r="R17" s="398"/>
      <c r="S17" s="399">
        <f t="shared" si="4"/>
        <v>-49.072308839555213</v>
      </c>
      <c r="T17" s="399">
        <f t="shared" si="4"/>
        <v>117.90176308302507</v>
      </c>
      <c r="U17" s="399">
        <f t="shared" si="4"/>
        <v>44.553877136232273</v>
      </c>
      <c r="V17" s="399">
        <f t="shared" si="4"/>
        <v>-16.883477339233202</v>
      </c>
      <c r="W17" s="260" t="s">
        <v>209</v>
      </c>
    </row>
    <row r="18" spans="1:23" s="265" customFormat="1" ht="15">
      <c r="A18" s="393" t="s">
        <v>210</v>
      </c>
      <c r="B18" s="711">
        <v>1044.5999999999999</v>
      </c>
      <c r="C18" s="703">
        <v>883.85667899999999</v>
      </c>
      <c r="D18" s="703">
        <v>864.94494099999997</v>
      </c>
      <c r="E18" s="714">
        <v>990.785977</v>
      </c>
      <c r="F18" s="714">
        <v>1009.8796036041454</v>
      </c>
      <c r="G18" s="714">
        <v>1035.3256839999999</v>
      </c>
      <c r="H18" s="708">
        <v>1038.28734955</v>
      </c>
      <c r="I18" s="708">
        <v>1366</v>
      </c>
      <c r="J18" s="708">
        <v>1835.6</v>
      </c>
      <c r="K18" s="708">
        <v>1681</v>
      </c>
      <c r="L18" s="710">
        <v>1635.1</v>
      </c>
      <c r="M18" s="710">
        <v>1514.7</v>
      </c>
      <c r="N18" s="400"/>
      <c r="O18" s="706">
        <f t="shared" si="2"/>
        <v>7.6735268770636145</v>
      </c>
      <c r="P18" s="702">
        <f t="shared" si="3"/>
        <v>7.6735268770636145</v>
      </c>
      <c r="Q18" s="702">
        <f>J18/J$8*100</f>
        <v>8.6234685465794172</v>
      </c>
      <c r="R18" s="398"/>
      <c r="S18" s="704">
        <f t="shared" si="4"/>
        <v>0.28606124582534115</v>
      </c>
      <c r="T18" s="704">
        <f t="shared" si="4"/>
        <v>31.562808753475863</v>
      </c>
      <c r="U18" s="704">
        <f>+(J18-I18)/I18*100</f>
        <v>34.377745241581252</v>
      </c>
      <c r="V18" s="399">
        <f>+(K18-J18)/J18*100</f>
        <v>-8.4223142296796638</v>
      </c>
      <c r="W18" s="260" t="s">
        <v>211</v>
      </c>
    </row>
    <row r="19" spans="1:23" s="265" customFormat="1" ht="15">
      <c r="A19" s="393" t="s">
        <v>212</v>
      </c>
      <c r="B19" s="711"/>
      <c r="C19" s="703"/>
      <c r="D19" s="703"/>
      <c r="E19" s="714"/>
      <c r="F19" s="714"/>
      <c r="G19" s="714"/>
      <c r="H19" s="708"/>
      <c r="I19" s="708"/>
      <c r="J19" s="708"/>
      <c r="K19" s="708"/>
      <c r="L19" s="710"/>
      <c r="M19" s="710"/>
      <c r="N19" s="400"/>
      <c r="O19" s="706"/>
      <c r="P19" s="702"/>
      <c r="Q19" s="702"/>
      <c r="R19" s="398"/>
      <c r="S19" s="704"/>
      <c r="T19" s="704"/>
      <c r="U19" s="704"/>
      <c r="V19" s="399"/>
      <c r="W19" s="260" t="s">
        <v>213</v>
      </c>
    </row>
    <row r="20" spans="1:23" s="265" customFormat="1" ht="15">
      <c r="A20" s="393" t="s">
        <v>214</v>
      </c>
      <c r="B20" s="711">
        <v>21.2</v>
      </c>
      <c r="C20" s="703">
        <v>16.188054000000001</v>
      </c>
      <c r="D20" s="703">
        <v>13.388978</v>
      </c>
      <c r="E20" s="703">
        <v>17.164441</v>
      </c>
      <c r="F20" s="703">
        <v>23.852456573333328</v>
      </c>
      <c r="G20" s="703">
        <v>32.124121000000002</v>
      </c>
      <c r="H20" s="707">
        <v>24.469034969999999</v>
      </c>
      <c r="I20" s="707">
        <v>29.4</v>
      </c>
      <c r="J20" s="703">
        <v>39.6</v>
      </c>
      <c r="K20" s="703">
        <v>40.200000000000003</v>
      </c>
      <c r="L20" s="702">
        <v>42.9</v>
      </c>
      <c r="M20" s="702">
        <v>45.8</v>
      </c>
      <c r="N20" s="402"/>
      <c r="O20" s="705">
        <f>H20/H$8*100</f>
        <v>0.18083991640607242</v>
      </c>
      <c r="P20" s="709">
        <f>H20/H$8*100</f>
        <v>0.18083991640607242</v>
      </c>
      <c r="Q20" s="709">
        <f>J20/J$8*100</f>
        <v>0.18603691133392075</v>
      </c>
      <c r="R20" s="403"/>
      <c r="S20" s="704">
        <f>+(H20-G20)/G20*100</f>
        <v>-23.829713597455328</v>
      </c>
      <c r="T20" s="704">
        <f>+(I20-H20)/H20*100</f>
        <v>20.151857382383724</v>
      </c>
      <c r="U20" s="704">
        <f>+(J20-I20)/I20*100</f>
        <v>34.693877551020421</v>
      </c>
      <c r="V20" s="399">
        <f>+(K20-J20)/J20*100</f>
        <v>1.5151515151515187</v>
      </c>
      <c r="W20" s="260" t="s">
        <v>215</v>
      </c>
    </row>
    <row r="21" spans="1:23" s="262" customFormat="1" ht="15">
      <c r="A21" s="393" t="s">
        <v>216</v>
      </c>
      <c r="B21" s="711"/>
      <c r="C21" s="703"/>
      <c r="D21" s="703"/>
      <c r="E21" s="703"/>
      <c r="F21" s="703"/>
      <c r="G21" s="703"/>
      <c r="H21" s="707"/>
      <c r="I21" s="707"/>
      <c r="J21" s="703"/>
      <c r="K21" s="703"/>
      <c r="L21" s="702"/>
      <c r="M21" s="702"/>
      <c r="N21" s="402"/>
      <c r="O21" s="705"/>
      <c r="P21" s="709"/>
      <c r="Q21" s="709"/>
      <c r="R21" s="403"/>
      <c r="S21" s="704"/>
      <c r="T21" s="704"/>
      <c r="U21" s="704"/>
      <c r="V21" s="399"/>
      <c r="W21" s="260" t="s">
        <v>217</v>
      </c>
    </row>
    <row r="22" spans="1:23" s="262" customFormat="1" ht="15">
      <c r="A22" s="393" t="s">
        <v>218</v>
      </c>
      <c r="B22" s="394">
        <v>1155.5</v>
      </c>
      <c r="C22" s="395">
        <v>1178.8009910000001</v>
      </c>
      <c r="D22" s="395">
        <v>1360.673198</v>
      </c>
      <c r="E22" s="395">
        <v>1298.7100069999999</v>
      </c>
      <c r="F22" s="395">
        <v>2756.0930738646425</v>
      </c>
      <c r="G22" s="395">
        <v>1595.26522</v>
      </c>
      <c r="H22" s="395">
        <v>823.28781374000005</v>
      </c>
      <c r="I22" s="395">
        <v>1539.2678089999999</v>
      </c>
      <c r="J22" s="395">
        <v>1719.9499052333331</v>
      </c>
      <c r="K22" s="395">
        <v>1722.637915</v>
      </c>
      <c r="L22" s="395">
        <v>1685.901897</v>
      </c>
      <c r="M22" s="395">
        <v>1690.059049</v>
      </c>
      <c r="N22" s="395"/>
      <c r="O22" s="396">
        <f t="shared" ref="O22:O33" si="9">H22/H$8*100</f>
        <v>6.0845595094950209</v>
      </c>
      <c r="P22" s="397">
        <f t="shared" ref="P22:P33" si="10">H22/H$8*100</f>
        <v>6.0845595094950209</v>
      </c>
      <c r="Q22" s="397">
        <f>J22/J$8*100</f>
        <v>8.0801557580474483</v>
      </c>
      <c r="R22" s="398"/>
      <c r="S22" s="399">
        <f>+(H22-G22)/G22*100</f>
        <v>-48.391790692960754</v>
      </c>
      <c r="T22" s="399">
        <f>+(I22-H22)/H22*100</f>
        <v>86.965941109643495</v>
      </c>
      <c r="U22" s="399">
        <f>+(J22-I22)/I22*100</f>
        <v>11.73818455611795</v>
      </c>
      <c r="V22" s="399">
        <f>+(K22-J22)/J22*100</f>
        <v>0.15628418935272853</v>
      </c>
      <c r="W22" s="260" t="s">
        <v>219</v>
      </c>
    </row>
    <row r="23" spans="1:23" s="265" customFormat="1" ht="15">
      <c r="A23" s="384" t="s">
        <v>220</v>
      </c>
      <c r="B23" s="404">
        <v>280</v>
      </c>
      <c r="C23" s="386">
        <v>617.87877800000001</v>
      </c>
      <c r="D23" s="386">
        <v>675.78201999999999</v>
      </c>
      <c r="E23" s="386">
        <v>725.78473299999996</v>
      </c>
      <c r="F23" s="386">
        <v>924.91904556651195</v>
      </c>
      <c r="G23" s="386">
        <v>1107.0812289999999</v>
      </c>
      <c r="H23" s="386">
        <v>956.72619699999996</v>
      </c>
      <c r="I23" s="386">
        <v>978.34736899999996</v>
      </c>
      <c r="J23" s="386">
        <v>1315.9350030526341</v>
      </c>
      <c r="K23" s="386">
        <v>1400.3110469999999</v>
      </c>
      <c r="L23" s="386">
        <v>1389.6848210000001</v>
      </c>
      <c r="M23" s="386">
        <v>1642.013205</v>
      </c>
      <c r="N23" s="386"/>
      <c r="O23" s="387">
        <f t="shared" si="9"/>
        <v>7.0707441344173105</v>
      </c>
      <c r="P23" s="392">
        <f t="shared" si="10"/>
        <v>7.0707441344173105</v>
      </c>
      <c r="Q23" s="392">
        <f t="shared" ref="Q23:Q37" si="11">J23/J$8*100</f>
        <v>6.1821334213157986</v>
      </c>
      <c r="R23" s="389"/>
      <c r="S23" s="390">
        <f t="shared" ref="S23:V37" si="12">+(H23-G23)/G23*100</f>
        <v>-13.581210489478904</v>
      </c>
      <c r="T23" s="390">
        <f t="shared" si="12"/>
        <v>2.2599121951293242</v>
      </c>
      <c r="U23" s="390">
        <f t="shared" si="12"/>
        <v>34.505907078555673</v>
      </c>
      <c r="V23" s="390">
        <f t="shared" si="12"/>
        <v>6.4118701722831961</v>
      </c>
      <c r="W23" s="256" t="s">
        <v>221</v>
      </c>
    </row>
    <row r="24" spans="1:23" s="265" customFormat="1" ht="15">
      <c r="A24" s="384" t="s">
        <v>222</v>
      </c>
      <c r="B24" s="386">
        <f t="shared" ref="B24:M24" si="13">SUM(B25:B26)</f>
        <v>479.2</v>
      </c>
      <c r="C24" s="386">
        <f t="shared" si="13"/>
        <v>421.63718999999998</v>
      </c>
      <c r="D24" s="386">
        <f t="shared" si="13"/>
        <v>638.81423799999993</v>
      </c>
      <c r="E24" s="386">
        <f t="shared" si="13"/>
        <v>997.65126500000008</v>
      </c>
      <c r="F24" s="386">
        <f t="shared" si="13"/>
        <v>779.82286474411012</v>
      </c>
      <c r="G24" s="386">
        <f t="shared" si="13"/>
        <v>690.15929800000004</v>
      </c>
      <c r="H24" s="386">
        <f t="shared" si="13"/>
        <v>1774.22407488</v>
      </c>
      <c r="I24" s="386">
        <f t="shared" si="13"/>
        <v>2544.6223810000001</v>
      </c>
      <c r="J24" s="386">
        <f t="shared" si="13"/>
        <v>1742.2322756233332</v>
      </c>
      <c r="K24" s="386">
        <f t="shared" si="13"/>
        <v>1282.6751199999999</v>
      </c>
      <c r="L24" s="386">
        <f t="shared" si="13"/>
        <v>1310.130535</v>
      </c>
      <c r="M24" s="386">
        <f t="shared" si="13"/>
        <v>1328.586448</v>
      </c>
      <c r="N24" s="386"/>
      <c r="O24" s="387">
        <f t="shared" si="9"/>
        <v>13.112512764819526</v>
      </c>
      <c r="P24" s="392">
        <f t="shared" si="10"/>
        <v>13.112512764819526</v>
      </c>
      <c r="Q24" s="392">
        <f t="shared" si="11"/>
        <v>8.1848361460412367</v>
      </c>
      <c r="R24" s="389"/>
      <c r="S24" s="390">
        <f t="shared" si="12"/>
        <v>157.07457394568056</v>
      </c>
      <c r="T24" s="390">
        <f t="shared" si="12"/>
        <v>43.421702874373757</v>
      </c>
      <c r="U24" s="390">
        <f t="shared" si="12"/>
        <v>-31.532777176208722</v>
      </c>
      <c r="V24" s="390">
        <f t="shared" si="12"/>
        <v>-26.377490651119619</v>
      </c>
      <c r="W24" s="256" t="s">
        <v>223</v>
      </c>
    </row>
    <row r="25" spans="1:23" s="262" customFormat="1" ht="15">
      <c r="A25" s="405" t="s">
        <v>224</v>
      </c>
      <c r="B25" s="394">
        <v>409.5</v>
      </c>
      <c r="C25" s="395">
        <v>326.71006599999998</v>
      </c>
      <c r="D25" s="395">
        <v>389.53778699999998</v>
      </c>
      <c r="E25" s="395">
        <v>748.89331000000004</v>
      </c>
      <c r="F25" s="395">
        <v>524.65218775999983</v>
      </c>
      <c r="G25" s="395">
        <v>442.056106</v>
      </c>
      <c r="H25" s="395">
        <v>1308.5437119999999</v>
      </c>
      <c r="I25" s="395">
        <v>1338.103672</v>
      </c>
      <c r="J25" s="395">
        <v>1161.016893</v>
      </c>
      <c r="K25" s="395">
        <v>712.97770000000003</v>
      </c>
      <c r="L25" s="395">
        <v>725.78703099999996</v>
      </c>
      <c r="M25" s="395">
        <v>739.21164199999998</v>
      </c>
      <c r="N25" s="395"/>
      <c r="O25" s="396">
        <f t="shared" si="9"/>
        <v>9.6708732396638393</v>
      </c>
      <c r="P25" s="397">
        <f t="shared" si="10"/>
        <v>9.6708732396638393</v>
      </c>
      <c r="Q25" s="397">
        <f t="shared" si="11"/>
        <v>5.4543433530359886</v>
      </c>
      <c r="R25" s="398"/>
      <c r="S25" s="399">
        <f t="shared" si="12"/>
        <v>196.01303867070664</v>
      </c>
      <c r="T25" s="399">
        <f t="shared" si="12"/>
        <v>2.2589967556238615</v>
      </c>
      <c r="U25" s="399">
        <f t="shared" si="12"/>
        <v>-13.23415985663628</v>
      </c>
      <c r="V25" s="399">
        <f t="shared" si="12"/>
        <v>-38.590238927729366</v>
      </c>
      <c r="W25" s="260" t="s">
        <v>225</v>
      </c>
    </row>
    <row r="26" spans="1:23" s="265" customFormat="1" ht="15">
      <c r="A26" s="393" t="s">
        <v>226</v>
      </c>
      <c r="B26" s="394">
        <v>69.7</v>
      </c>
      <c r="C26" s="395">
        <v>94.927124000000006</v>
      </c>
      <c r="D26" s="395">
        <v>249.27645100000001</v>
      </c>
      <c r="E26" s="395">
        <v>248.75795500000001</v>
      </c>
      <c r="F26" s="395">
        <v>255.17067698411032</v>
      </c>
      <c r="G26" s="395">
        <v>248.10319200000001</v>
      </c>
      <c r="H26" s="395">
        <v>465.68036288000002</v>
      </c>
      <c r="I26" s="395">
        <v>1206.5187089999999</v>
      </c>
      <c r="J26" s="395">
        <v>581.2153826233332</v>
      </c>
      <c r="K26" s="395">
        <v>569.69741999999997</v>
      </c>
      <c r="L26" s="395">
        <v>584.34350400000005</v>
      </c>
      <c r="M26" s="395">
        <v>589.37480600000004</v>
      </c>
      <c r="N26" s="395"/>
      <c r="O26" s="396">
        <f t="shared" si="9"/>
        <v>3.4416395251556855</v>
      </c>
      <c r="P26" s="397">
        <f t="shared" si="10"/>
        <v>3.4416395251556855</v>
      </c>
      <c r="Q26" s="397">
        <f t="shared" si="11"/>
        <v>2.7304927930052489</v>
      </c>
      <c r="R26" s="398"/>
      <c r="S26" s="399">
        <f t="shared" si="12"/>
        <v>87.696240070945962</v>
      </c>
      <c r="T26" s="399">
        <f t="shared" si="12"/>
        <v>159.08730648170032</v>
      </c>
      <c r="U26" s="399">
        <f t="shared" si="12"/>
        <v>-51.827072527945916</v>
      </c>
      <c r="V26" s="399">
        <f t="shared" si="12"/>
        <v>-1.9817029912984341</v>
      </c>
      <c r="W26" s="260" t="s">
        <v>227</v>
      </c>
    </row>
    <row r="27" spans="1:23" s="262" customFormat="1" ht="15">
      <c r="A27" s="384" t="s">
        <v>228</v>
      </c>
      <c r="B27" s="385">
        <f t="shared" ref="B27:M27" si="14">+B28+B34</f>
        <v>2712.7999999999997</v>
      </c>
      <c r="C27" s="385">
        <f t="shared" si="14"/>
        <v>2188.5033270000004</v>
      </c>
      <c r="D27" s="385">
        <f t="shared" si="14"/>
        <v>2386.9887288999994</v>
      </c>
      <c r="E27" s="385">
        <f t="shared" si="14"/>
        <v>3188.9832149999993</v>
      </c>
      <c r="F27" s="385">
        <f t="shared" si="14"/>
        <v>3623.4986370100969</v>
      </c>
      <c r="G27" s="386">
        <f t="shared" si="14"/>
        <v>2793.5176699999997</v>
      </c>
      <c r="H27" s="386">
        <f t="shared" si="14"/>
        <v>1957.5564166399993</v>
      </c>
      <c r="I27" s="386">
        <f>+I28+I34</f>
        <v>2457.2430760000007</v>
      </c>
      <c r="J27" s="386">
        <f t="shared" si="14"/>
        <v>5051.1940298459549</v>
      </c>
      <c r="K27" s="386">
        <f t="shared" si="14"/>
        <v>9904.1925409999985</v>
      </c>
      <c r="L27" s="386">
        <f t="shared" si="14"/>
        <v>10513.209302999998</v>
      </c>
      <c r="M27" s="386">
        <f t="shared" si="14"/>
        <v>8741.6636102429093</v>
      </c>
      <c r="N27" s="386"/>
      <c r="O27" s="387">
        <f t="shared" si="9"/>
        <v>14.467441776080314</v>
      </c>
      <c r="P27" s="392">
        <f t="shared" si="10"/>
        <v>14.467441776080314</v>
      </c>
      <c r="Q27" s="392">
        <f t="shared" si="11"/>
        <v>23.730013531840449</v>
      </c>
      <c r="R27" s="389"/>
      <c r="S27" s="390">
        <f t="shared" si="12"/>
        <v>-29.925039040830569</v>
      </c>
      <c r="T27" s="390">
        <f t="shared" si="12"/>
        <v>25.526041298859553</v>
      </c>
      <c r="U27" s="390">
        <f t="shared" si="12"/>
        <v>105.56346578737714</v>
      </c>
      <c r="V27" s="390">
        <f t="shared" si="12"/>
        <v>96.076263997763007</v>
      </c>
      <c r="W27" s="256" t="s">
        <v>229</v>
      </c>
    </row>
    <row r="28" spans="1:23" s="265" customFormat="1" ht="15">
      <c r="A28" s="384" t="s">
        <v>230</v>
      </c>
      <c r="B28" s="386">
        <f t="shared" ref="B28:M28" si="15">SUM(B29:B33)</f>
        <v>2879.2</v>
      </c>
      <c r="C28" s="386">
        <f t="shared" si="15"/>
        <v>2339.3396600000005</v>
      </c>
      <c r="D28" s="386">
        <f t="shared" si="15"/>
        <v>2568.2887288999996</v>
      </c>
      <c r="E28" s="386">
        <f t="shared" si="15"/>
        <v>3587.9832149999993</v>
      </c>
      <c r="F28" s="386">
        <f t="shared" si="15"/>
        <v>3693.7986370100971</v>
      </c>
      <c r="G28" s="386">
        <f t="shared" si="15"/>
        <v>2883.7493059999997</v>
      </c>
      <c r="H28" s="386">
        <f t="shared" si="15"/>
        <v>2093.0414236399993</v>
      </c>
      <c r="I28" s="386">
        <f t="shared" si="15"/>
        <v>2579.4051260000006</v>
      </c>
      <c r="J28" s="386">
        <f t="shared" si="15"/>
        <v>5064.7574737806672</v>
      </c>
      <c r="K28" s="386">
        <f t="shared" si="15"/>
        <v>9888.6341479999992</v>
      </c>
      <c r="L28" s="386">
        <f t="shared" si="15"/>
        <v>10412.954420999999</v>
      </c>
      <c r="M28" s="386">
        <f t="shared" si="15"/>
        <v>8767.7113890000001</v>
      </c>
      <c r="N28" s="386"/>
      <c r="O28" s="387">
        <f t="shared" si="9"/>
        <v>15.468752100340973</v>
      </c>
      <c r="P28" s="392">
        <f t="shared" si="10"/>
        <v>15.468752100340973</v>
      </c>
      <c r="Q28" s="392">
        <f t="shared" si="11"/>
        <v>23.793733259534001</v>
      </c>
      <c r="R28" s="389"/>
      <c r="S28" s="390">
        <f t="shared" si="12"/>
        <v>-27.419439016936536</v>
      </c>
      <c r="T28" s="390">
        <f t="shared" si="12"/>
        <v>23.237175187587464</v>
      </c>
      <c r="U28" s="390">
        <f t="shared" si="12"/>
        <v>96.353702748308251</v>
      </c>
      <c r="V28" s="390">
        <f t="shared" si="12"/>
        <v>95.243981556701755</v>
      </c>
      <c r="W28" s="256" t="s">
        <v>231</v>
      </c>
    </row>
    <row r="29" spans="1:23" s="262" customFormat="1" ht="15">
      <c r="A29" s="393" t="s">
        <v>232</v>
      </c>
      <c r="B29" s="395">
        <v>1098</v>
      </c>
      <c r="C29" s="395">
        <v>738.42376899999999</v>
      </c>
      <c r="D29" s="395">
        <v>1256.347945</v>
      </c>
      <c r="E29" s="395">
        <v>1327.61689</v>
      </c>
      <c r="F29" s="395">
        <v>1891.8309750000001</v>
      </c>
      <c r="G29" s="395">
        <v>1131.645327</v>
      </c>
      <c r="H29" s="395">
        <v>1176.9269400000001</v>
      </c>
      <c r="I29" s="395">
        <v>188.39416600000001</v>
      </c>
      <c r="J29" s="395">
        <v>568.29718400000002</v>
      </c>
      <c r="K29" s="395">
        <v>2779.267159</v>
      </c>
      <c r="L29" s="395">
        <v>3289.8189120000002</v>
      </c>
      <c r="M29" s="395">
        <v>3312.2719229999998</v>
      </c>
      <c r="N29" s="395"/>
      <c r="O29" s="396">
        <f t="shared" si="9"/>
        <v>8.6981513454289949</v>
      </c>
      <c r="P29" s="397">
        <f t="shared" si="10"/>
        <v>8.6981513454289949</v>
      </c>
      <c r="Q29" s="397">
        <f t="shared" si="11"/>
        <v>2.6698043644223448</v>
      </c>
      <c r="R29" s="398"/>
      <c r="S29" s="399">
        <f t="shared" si="12"/>
        <v>4.0013961900980046</v>
      </c>
      <c r="T29" s="399">
        <f t="shared" si="12"/>
        <v>-83.992705103682979</v>
      </c>
      <c r="U29" s="399">
        <f t="shared" si="12"/>
        <v>201.65328155649996</v>
      </c>
      <c r="V29" s="399">
        <f t="shared" si="12"/>
        <v>389.05172104460047</v>
      </c>
      <c r="W29" s="260" t="s">
        <v>233</v>
      </c>
    </row>
    <row r="30" spans="1:23" s="262" customFormat="1" ht="15">
      <c r="A30" s="393" t="s">
        <v>402</v>
      </c>
      <c r="B30" s="337">
        <v>0</v>
      </c>
      <c r="C30" s="337">
        <v>0</v>
      </c>
      <c r="D30" s="337">
        <v>0</v>
      </c>
      <c r="E30" s="337">
        <v>0</v>
      </c>
      <c r="F30" s="337">
        <v>0</v>
      </c>
      <c r="G30" s="395">
        <v>0</v>
      </c>
      <c r="H30" s="395">
        <v>0</v>
      </c>
      <c r="I30" s="395">
        <v>0</v>
      </c>
      <c r="J30" s="395">
        <v>0</v>
      </c>
      <c r="K30" s="395">
        <v>0</v>
      </c>
      <c r="L30" s="395">
        <v>0</v>
      </c>
      <c r="M30" s="395">
        <v>0</v>
      </c>
      <c r="N30" s="395"/>
      <c r="O30" s="396">
        <f t="shared" si="9"/>
        <v>0</v>
      </c>
      <c r="P30" s="397">
        <f t="shared" si="10"/>
        <v>0</v>
      </c>
      <c r="Q30" s="397">
        <f t="shared" si="11"/>
        <v>0</v>
      </c>
      <c r="R30" s="398"/>
      <c r="S30" s="399">
        <v>0</v>
      </c>
      <c r="T30" s="399">
        <v>1</v>
      </c>
      <c r="U30" s="399">
        <v>2</v>
      </c>
      <c r="V30" s="399">
        <v>2</v>
      </c>
      <c r="W30" s="260" t="s">
        <v>305</v>
      </c>
    </row>
    <row r="31" spans="1:23" s="262" customFormat="1" ht="15">
      <c r="A31" s="393" t="s">
        <v>403</v>
      </c>
      <c r="B31" s="337">
        <v>0</v>
      </c>
      <c r="C31" s="337">
        <v>0</v>
      </c>
      <c r="D31" s="337">
        <v>0</v>
      </c>
      <c r="E31" s="337">
        <v>0</v>
      </c>
      <c r="F31" s="337">
        <v>0</v>
      </c>
      <c r="G31" s="395">
        <v>154.819729</v>
      </c>
      <c r="H31" s="395">
        <v>36.444533999999997</v>
      </c>
      <c r="I31" s="395">
        <v>84.145286999999996</v>
      </c>
      <c r="J31" s="395">
        <v>988.28146896400006</v>
      </c>
      <c r="K31" s="395">
        <v>1173.6418819999999</v>
      </c>
      <c r="L31" s="395">
        <v>1188.0648269999999</v>
      </c>
      <c r="M31" s="395">
        <v>920.65923199999997</v>
      </c>
      <c r="N31" s="395"/>
      <c r="O31" s="396">
        <f t="shared" si="9"/>
        <v>0.26934558269660536</v>
      </c>
      <c r="P31" s="397">
        <f t="shared" si="10"/>
        <v>0.26934558269660536</v>
      </c>
      <c r="Q31" s="397">
        <f t="shared" si="11"/>
        <v>4.6428492932982985</v>
      </c>
      <c r="R31" s="398"/>
      <c r="S31" s="399">
        <f>+(H31-G31)/G31*100</f>
        <v>-76.460019510820871</v>
      </c>
      <c r="T31" s="399">
        <f>+(I31-H31)/H31*100</f>
        <v>130.88589087186574</v>
      </c>
      <c r="U31" s="399">
        <f>+(J31-I31)/I31*100</f>
        <v>1074.4941448283373</v>
      </c>
      <c r="V31" s="399">
        <f>+(K31-J31)/J31*100</f>
        <v>18.755832104219284</v>
      </c>
      <c r="W31" s="260"/>
    </row>
    <row r="32" spans="1:23" s="262" customFormat="1" ht="17.25" customHeight="1">
      <c r="A32" s="393" t="s">
        <v>404</v>
      </c>
      <c r="B32" s="337">
        <v>0</v>
      </c>
      <c r="C32" s="337">
        <v>0</v>
      </c>
      <c r="D32" s="337">
        <v>0</v>
      </c>
      <c r="E32" s="337">
        <v>0</v>
      </c>
      <c r="F32" s="337">
        <v>0</v>
      </c>
      <c r="G32" s="395">
        <v>522.60649899999999</v>
      </c>
      <c r="H32" s="395">
        <v>645.19940499999996</v>
      </c>
      <c r="I32" s="395">
        <v>1702.5169109999999</v>
      </c>
      <c r="J32" s="395">
        <v>2300</v>
      </c>
      <c r="K32" s="395">
        <v>5230</v>
      </c>
      <c r="L32" s="395">
        <v>5251.6069010000001</v>
      </c>
      <c r="M32" s="395">
        <v>3872.0590940000002</v>
      </c>
      <c r="N32" s="395"/>
      <c r="O32" s="396">
        <f t="shared" si="9"/>
        <v>4.7683861095666105</v>
      </c>
      <c r="P32" s="397">
        <f t="shared" si="10"/>
        <v>4.7683861095666105</v>
      </c>
      <c r="Q32" s="397">
        <f t="shared" si="11"/>
        <v>10.80517414313176</v>
      </c>
      <c r="R32" s="398"/>
      <c r="S32" s="399">
        <f t="shared" si="12"/>
        <v>23.457975787629838</v>
      </c>
      <c r="T32" s="399">
        <f t="shared" si="12"/>
        <v>163.87453209136174</v>
      </c>
      <c r="U32" s="399">
        <f t="shared" si="12"/>
        <v>35.09410597566746</v>
      </c>
      <c r="V32" s="399">
        <f t="shared" si="12"/>
        <v>127.39130434782608</v>
      </c>
      <c r="W32" s="260"/>
    </row>
    <row r="33" spans="1:27" s="265" customFormat="1" ht="17.25" customHeight="1">
      <c r="A33" s="393" t="s">
        <v>234</v>
      </c>
      <c r="B33" s="395">
        <v>1781.2</v>
      </c>
      <c r="C33" s="395">
        <v>1600.9158910000006</v>
      </c>
      <c r="D33" s="395">
        <v>1311.9407838999996</v>
      </c>
      <c r="E33" s="395">
        <v>2260.3663249999995</v>
      </c>
      <c r="F33" s="395">
        <v>1801.9676620100972</v>
      </c>
      <c r="G33" s="395">
        <v>1074.6777509999999</v>
      </c>
      <c r="H33" s="395">
        <v>234.47054463999962</v>
      </c>
      <c r="I33" s="395">
        <v>604.34876200000042</v>
      </c>
      <c r="J33" s="395">
        <v>1208.1788208166672</v>
      </c>
      <c r="K33" s="395">
        <v>705.72510699999964</v>
      </c>
      <c r="L33" s="395">
        <v>683.46378099999947</v>
      </c>
      <c r="M33" s="395">
        <v>662.72114000000022</v>
      </c>
      <c r="N33" s="395"/>
      <c r="O33" s="396">
        <f t="shared" si="9"/>
        <v>1.7328690626487671</v>
      </c>
      <c r="P33" s="397">
        <f t="shared" si="10"/>
        <v>1.7328690626487671</v>
      </c>
      <c r="Q33" s="397">
        <f t="shared" si="11"/>
        <v>5.6759054586815969</v>
      </c>
      <c r="R33" s="398"/>
      <c r="S33" s="399">
        <f t="shared" si="12"/>
        <v>-78.182246313202057</v>
      </c>
      <c r="T33" s="399">
        <f t="shared" si="12"/>
        <v>157.75039799899079</v>
      </c>
      <c r="U33" s="399">
        <f t="shared" si="12"/>
        <v>99.914171548624168</v>
      </c>
      <c r="V33" s="399">
        <f t="shared" si="12"/>
        <v>-41.587694235281703</v>
      </c>
      <c r="W33" s="260" t="s">
        <v>235</v>
      </c>
      <c r="X33" s="324"/>
      <c r="AA33" s="406"/>
    </row>
    <row r="34" spans="1:27" s="262" customFormat="1" ht="17.25" customHeight="1">
      <c r="A34" s="384" t="s">
        <v>87</v>
      </c>
      <c r="B34" s="407">
        <v>-166.4</v>
      </c>
      <c r="C34" s="407">
        <v>-150.836333</v>
      </c>
      <c r="D34" s="407">
        <v>-181.3</v>
      </c>
      <c r="E34" s="407">
        <v>-399</v>
      </c>
      <c r="F34" s="407">
        <v>-70.3</v>
      </c>
      <c r="G34" s="407">
        <v>-90.231635999999995</v>
      </c>
      <c r="H34" s="407">
        <v>-135.485007</v>
      </c>
      <c r="I34" s="407">
        <v>-122.16204999999999</v>
      </c>
      <c r="J34" s="407">
        <v>-13.563443934712012</v>
      </c>
      <c r="K34" s="407">
        <v>15.558392999999981</v>
      </c>
      <c r="L34" s="407">
        <v>100.25488200000001</v>
      </c>
      <c r="M34" s="407">
        <v>-26.047778757089993</v>
      </c>
      <c r="N34" s="407"/>
      <c r="O34" s="408">
        <v>0</v>
      </c>
      <c r="P34" s="409">
        <v>0</v>
      </c>
      <c r="Q34" s="409">
        <f>J34/J$8*100</f>
        <v>-6.3719727693551109E-2</v>
      </c>
      <c r="R34" s="410"/>
      <c r="S34" s="390">
        <f>+(H34-G34)/G34*100</f>
        <v>50.152444315650001</v>
      </c>
      <c r="T34" s="390">
        <f>+(I34-H34)/H34*100</f>
        <v>-9.8335286649097657</v>
      </c>
      <c r="U34" s="390">
        <f>+(J34-I34)/I34*100</f>
        <v>-88.89717065593446</v>
      </c>
      <c r="V34" s="390">
        <f>+(K34-J34)/J34*100</f>
        <v>-214.70827818429234</v>
      </c>
      <c r="W34" s="256" t="s">
        <v>88</v>
      </c>
      <c r="X34" s="391"/>
      <c r="AA34" s="411"/>
    </row>
    <row r="35" spans="1:27" s="265" customFormat="1" ht="17.25" customHeight="1">
      <c r="A35" s="412" t="s">
        <v>236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387"/>
      <c r="P35" s="392"/>
      <c r="Q35" s="392"/>
      <c r="R35" s="389"/>
      <c r="S35" s="399"/>
      <c r="T35" s="399"/>
      <c r="U35" s="399"/>
      <c r="V35" s="399"/>
      <c r="W35" s="278" t="s">
        <v>237</v>
      </c>
    </row>
    <row r="36" spans="1:27" s="265" customFormat="1" ht="17.25" customHeight="1">
      <c r="A36" s="412" t="s">
        <v>238</v>
      </c>
      <c r="B36" s="397"/>
      <c r="C36" s="397"/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87"/>
      <c r="P36" s="392"/>
      <c r="Q36" s="392"/>
      <c r="R36" s="389"/>
      <c r="S36" s="399"/>
      <c r="T36" s="399"/>
      <c r="U36" s="399"/>
      <c r="V36" s="399"/>
      <c r="W36" s="278" t="s">
        <v>239</v>
      </c>
    </row>
    <row r="37" spans="1:27" s="265" customFormat="1" ht="17.25" customHeight="1">
      <c r="A37" s="315" t="s">
        <v>240</v>
      </c>
      <c r="B37" s="414">
        <v>0.2</v>
      </c>
      <c r="C37" s="414">
        <v>1.1656</v>
      </c>
      <c r="D37" s="414">
        <v>0</v>
      </c>
      <c r="E37" s="414">
        <v>8.7040279999999992</v>
      </c>
      <c r="F37" s="414">
        <v>61.816024759999998</v>
      </c>
      <c r="G37" s="414">
        <v>46.362653000000002</v>
      </c>
      <c r="H37" s="414">
        <v>0</v>
      </c>
      <c r="I37" s="414">
        <v>5.5719279999999998</v>
      </c>
      <c r="J37" s="414">
        <v>140.584798065288</v>
      </c>
      <c r="K37" s="414">
        <v>141.00892099999999</v>
      </c>
      <c r="L37" s="414">
        <v>185.04888800000001</v>
      </c>
      <c r="M37" s="414">
        <v>58.508817000000001</v>
      </c>
      <c r="N37" s="414"/>
      <c r="O37" s="415">
        <f>H37/H$8*100</f>
        <v>0</v>
      </c>
      <c r="P37" s="416">
        <f>H37/H$8*100</f>
        <v>0</v>
      </c>
      <c r="Q37" s="416">
        <f t="shared" si="11"/>
        <v>0.66045357607497812</v>
      </c>
      <c r="R37" s="417"/>
      <c r="S37" s="418">
        <f t="shared" si="12"/>
        <v>-100</v>
      </c>
      <c r="T37" s="419">
        <v>0</v>
      </c>
      <c r="U37" s="419">
        <v>1</v>
      </c>
      <c r="V37" s="419">
        <v>1</v>
      </c>
      <c r="W37" s="272" t="s">
        <v>241</v>
      </c>
    </row>
    <row r="38" spans="1:27" s="265" customFormat="1" ht="17.25" customHeight="1">
      <c r="A38" s="420" t="s">
        <v>242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421"/>
      <c r="T38" s="421"/>
      <c r="U38" s="421"/>
      <c r="V38" s="421"/>
      <c r="W38" s="324" t="s">
        <v>243</v>
      </c>
    </row>
    <row r="39" spans="1:27" s="265" customFormat="1" ht="17.25" customHeight="1">
      <c r="A39" s="273" t="s">
        <v>192</v>
      </c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421"/>
      <c r="T39" s="421"/>
      <c r="U39" s="421"/>
      <c r="V39" s="421"/>
      <c r="W39" s="324" t="s">
        <v>193</v>
      </c>
    </row>
    <row r="40" spans="1:27" s="265" customFormat="1" ht="12"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421"/>
      <c r="T40" s="421"/>
      <c r="U40" s="421"/>
      <c r="V40" s="421"/>
    </row>
    <row r="41" spans="1:27" s="265" customFormat="1" ht="12">
      <c r="S41" s="422"/>
      <c r="T41" s="422"/>
      <c r="U41" s="422"/>
      <c r="V41" s="422"/>
      <c r="W41" s="423"/>
    </row>
    <row r="42" spans="1:27" s="265" customFormat="1" ht="12">
      <c r="S42" s="422"/>
      <c r="T42" s="422"/>
      <c r="U42" s="422"/>
      <c r="V42" s="422"/>
      <c r="W42" s="423"/>
    </row>
    <row r="43" spans="1:27" s="265" customFormat="1" ht="12">
      <c r="S43" s="422"/>
      <c r="T43" s="422"/>
      <c r="U43" s="422"/>
      <c r="V43" s="422"/>
      <c r="W43" s="423"/>
    </row>
    <row r="44" spans="1:27" s="265" customFormat="1" ht="12">
      <c r="S44" s="422"/>
      <c r="T44" s="422"/>
      <c r="U44" s="422"/>
      <c r="V44" s="422"/>
      <c r="W44" s="423"/>
    </row>
    <row r="45" spans="1:27" s="265" customFormat="1" ht="12">
      <c r="S45" s="422"/>
      <c r="T45" s="422"/>
      <c r="U45" s="422"/>
      <c r="V45" s="422"/>
      <c r="W45" s="423"/>
    </row>
    <row r="46" spans="1:27" s="265" customFormat="1" ht="12">
      <c r="S46" s="422"/>
      <c r="T46" s="422"/>
      <c r="U46" s="422"/>
      <c r="V46" s="422"/>
      <c r="W46" s="423"/>
    </row>
    <row r="47" spans="1:27" s="265" customFormat="1" ht="12">
      <c r="S47" s="422"/>
      <c r="T47" s="422"/>
      <c r="U47" s="422"/>
      <c r="V47" s="422"/>
      <c r="W47" s="423"/>
    </row>
    <row r="48" spans="1:27" s="265" customFormat="1" ht="12">
      <c r="S48" s="422"/>
      <c r="T48" s="422"/>
      <c r="U48" s="422"/>
      <c r="V48" s="422"/>
      <c r="W48" s="423"/>
    </row>
    <row r="49" spans="19:23" s="265" customFormat="1" ht="12">
      <c r="S49" s="422"/>
      <c r="T49" s="422"/>
      <c r="U49" s="422"/>
      <c r="V49" s="422"/>
      <c r="W49" s="423"/>
    </row>
    <row r="50" spans="19:23" s="265" customFormat="1" ht="12">
      <c r="S50" s="422"/>
      <c r="T50" s="422"/>
      <c r="U50" s="422"/>
      <c r="V50" s="422"/>
      <c r="W50" s="423"/>
    </row>
    <row r="51" spans="19:23" s="265" customFormat="1" ht="12">
      <c r="S51" s="422"/>
      <c r="T51" s="422"/>
      <c r="U51" s="422"/>
      <c r="V51" s="422"/>
      <c r="W51" s="423"/>
    </row>
  </sheetData>
  <mergeCells count="44">
    <mergeCell ref="U20:U21"/>
    <mergeCell ref="O5:Q5"/>
    <mergeCell ref="O6:Q6"/>
    <mergeCell ref="S5:T5"/>
    <mergeCell ref="S6:T6"/>
    <mergeCell ref="T20:T21"/>
    <mergeCell ref="P20:P21"/>
    <mergeCell ref="A1:W1"/>
    <mergeCell ref="A2:W2"/>
    <mergeCell ref="A3:W3"/>
    <mergeCell ref="A4:W4"/>
    <mergeCell ref="B18:B19"/>
    <mergeCell ref="C18:C19"/>
    <mergeCell ref="D18:D19"/>
    <mergeCell ref="E18:E19"/>
    <mergeCell ref="F18:F19"/>
    <mergeCell ref="G18:G19"/>
    <mergeCell ref="H18:H19"/>
    <mergeCell ref="I18:I19"/>
    <mergeCell ref="T18:T19"/>
    <mergeCell ref="U18:U19"/>
    <mergeCell ref="M18:M19"/>
    <mergeCell ref="P18:P19"/>
    <mergeCell ref="B20:B21"/>
    <mergeCell ref="C20:C21"/>
    <mergeCell ref="D20:D21"/>
    <mergeCell ref="E20:E21"/>
    <mergeCell ref="F20:F21"/>
    <mergeCell ref="M20:M21"/>
    <mergeCell ref="G20:G21"/>
    <mergeCell ref="S20:S21"/>
    <mergeCell ref="S18:S19"/>
    <mergeCell ref="O20:O21"/>
    <mergeCell ref="O18:O19"/>
    <mergeCell ref="H20:H21"/>
    <mergeCell ref="I20:I21"/>
    <mergeCell ref="J20:J21"/>
    <mergeCell ref="K20:K21"/>
    <mergeCell ref="J18:J19"/>
    <mergeCell ref="K18:K19"/>
    <mergeCell ref="L20:L21"/>
    <mergeCell ref="Q18:Q19"/>
    <mergeCell ref="Q20:Q21"/>
    <mergeCell ref="L18:L19"/>
  </mergeCells>
  <pageMargins left="0.17" right="0.16" top="0.35" bottom="0.27" header="0.17" footer="0.17"/>
  <pageSetup paperSize="9" scale="75" orientation="landscape" r:id="rId1"/>
  <colBreaks count="1" manualBreakCount="1">
    <brk id="23" max="1048575" man="1"/>
  </colBreaks>
  <ignoredErrors>
    <ignoredError sqref="I27:M27 I24:M24 I9:M9 I8:M8" unlockedFormula="1"/>
    <ignoredError sqref="I28:M28 I10:M10" formulaRange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zoomScale="110" zoomScaleNormal="110" workbookViewId="0">
      <selection activeCell="M15" sqref="M15"/>
    </sheetView>
  </sheetViews>
  <sheetFormatPr defaultColWidth="8.85546875" defaultRowHeight="12.75"/>
  <cols>
    <col min="1" max="1" width="32.7109375" style="240" customWidth="1"/>
    <col min="2" max="6" width="8.85546875" style="280" hidden="1" customWidth="1"/>
    <col min="7" max="7" width="8.85546875" style="280" customWidth="1"/>
    <col min="8" max="8" width="8.85546875" style="280"/>
    <col min="9" max="13" width="10.7109375" style="280" customWidth="1"/>
    <col min="14" max="16" width="10.140625" style="280" customWidth="1"/>
    <col min="17" max="18" width="10.7109375" style="480" bestFit="1" customWidth="1"/>
    <col min="19" max="20" width="10.7109375" style="480" customWidth="1"/>
    <col min="21" max="21" width="39" style="240" customWidth="1"/>
    <col min="22" max="16384" width="8.85546875" style="240"/>
  </cols>
  <sheetData>
    <row r="1" spans="1:22" ht="19.5">
      <c r="A1" s="681" t="s">
        <v>589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</row>
    <row r="2" spans="1:22" ht="15.75">
      <c r="A2" s="722" t="s">
        <v>590</v>
      </c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</row>
    <row r="3" spans="1:22" ht="14.25">
      <c r="A3" s="723" t="s">
        <v>194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426"/>
    </row>
    <row r="4" spans="1:22" s="242" customFormat="1">
      <c r="A4" s="724" t="s">
        <v>304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4"/>
      <c r="U4" s="724"/>
    </row>
    <row r="5" spans="1:22" s="430" customFormat="1" ht="26.45" customHeight="1">
      <c r="A5" s="725" t="s">
        <v>1</v>
      </c>
      <c r="B5" s="427"/>
      <c r="C5" s="428"/>
      <c r="D5" s="428"/>
      <c r="E5" s="428"/>
      <c r="F5" s="428"/>
      <c r="G5" s="429"/>
      <c r="H5" s="429"/>
      <c r="I5" s="735" t="s">
        <v>66</v>
      </c>
      <c r="J5" s="736"/>
      <c r="K5" s="736"/>
      <c r="L5" s="736"/>
      <c r="M5" s="737"/>
      <c r="N5" s="728" t="s">
        <v>827</v>
      </c>
      <c r="O5" s="729"/>
      <c r="P5" s="730"/>
      <c r="Q5" s="731" t="s">
        <v>248</v>
      </c>
      <c r="R5" s="732"/>
      <c r="S5" s="732"/>
      <c r="T5" s="732"/>
    </row>
    <row r="6" spans="1:22" s="327" customFormat="1" ht="15">
      <c r="A6" s="726"/>
      <c r="C6" s="432"/>
      <c r="D6" s="432"/>
      <c r="E6" s="432"/>
      <c r="F6" s="432"/>
      <c r="G6" s="433"/>
      <c r="H6" s="433" t="s">
        <v>4</v>
      </c>
      <c r="I6" s="434" t="s">
        <v>4</v>
      </c>
      <c r="J6" s="435" t="s">
        <v>6</v>
      </c>
      <c r="K6" s="436" t="s">
        <v>69</v>
      </c>
      <c r="L6" s="435" t="s">
        <v>69</v>
      </c>
      <c r="M6" s="437" t="s">
        <v>69</v>
      </c>
      <c r="N6" s="436" t="s">
        <v>4</v>
      </c>
      <c r="O6" s="436" t="s">
        <v>4</v>
      </c>
      <c r="P6" s="436" t="s">
        <v>6</v>
      </c>
      <c r="Q6" s="733" t="s">
        <v>249</v>
      </c>
      <c r="R6" s="734"/>
      <c r="S6" s="734"/>
      <c r="T6" s="734"/>
      <c r="U6" s="68" t="s">
        <v>3</v>
      </c>
    </row>
    <row r="7" spans="1:22" s="262" customFormat="1" ht="12">
      <c r="A7" s="727"/>
      <c r="B7" s="69">
        <v>2007</v>
      </c>
      <c r="C7" s="69">
        <v>2008</v>
      </c>
      <c r="D7" s="69">
        <v>2009</v>
      </c>
      <c r="E7" s="69">
        <v>2010</v>
      </c>
      <c r="F7" s="69">
        <v>2011</v>
      </c>
      <c r="G7" s="69">
        <v>2012</v>
      </c>
      <c r="H7" s="69">
        <v>2013</v>
      </c>
      <c r="I7" s="439">
        <v>2014</v>
      </c>
      <c r="J7" s="69">
        <v>2015</v>
      </c>
      <c r="K7" s="69">
        <v>2016</v>
      </c>
      <c r="L7" s="69">
        <v>2017</v>
      </c>
      <c r="M7" s="440">
        <v>2018</v>
      </c>
      <c r="N7" s="69">
        <v>2013</v>
      </c>
      <c r="O7" s="69">
        <v>2014</v>
      </c>
      <c r="P7" s="69">
        <v>2015</v>
      </c>
      <c r="Q7" s="441" t="s">
        <v>292</v>
      </c>
      <c r="R7" s="442" t="s">
        <v>389</v>
      </c>
      <c r="S7" s="442" t="s">
        <v>583</v>
      </c>
      <c r="T7" s="442" t="s">
        <v>591</v>
      </c>
      <c r="U7" s="443"/>
    </row>
    <row r="8" spans="1:22" s="262" customFormat="1" ht="15">
      <c r="A8" s="255" t="s">
        <v>250</v>
      </c>
      <c r="B8" s="444">
        <f t="shared" ref="B8:L8" si="0">SUM(B9,B31)</f>
        <v>8200.9</v>
      </c>
      <c r="C8" s="445">
        <f t="shared" si="0"/>
        <v>10175.996671999999</v>
      </c>
      <c r="D8" s="445">
        <f t="shared" si="0"/>
        <v>10953.434156000003</v>
      </c>
      <c r="E8" s="445">
        <f t="shared" si="0"/>
        <v>10815.062102899999</v>
      </c>
      <c r="F8" s="446">
        <f t="shared" si="0"/>
        <v>12264.741933000001</v>
      </c>
      <c r="G8" s="446">
        <f t="shared" si="0"/>
        <v>13110.002924999997</v>
      </c>
      <c r="H8" s="446">
        <f t="shared" si="0"/>
        <v>13530.77100239</v>
      </c>
      <c r="I8" s="447">
        <f t="shared" si="0"/>
        <v>16417.281596000001</v>
      </c>
      <c r="J8" s="446">
        <f t="shared" si="0"/>
        <v>21286.09190853843</v>
      </c>
      <c r="K8" s="446">
        <f t="shared" si="0"/>
        <v>26392.531275656511</v>
      </c>
      <c r="L8" s="446">
        <f t="shared" si="0"/>
        <v>27060.180916366513</v>
      </c>
      <c r="M8" s="448">
        <f t="shared" ref="M8" si="1">SUM(M9,M31)</f>
        <v>25268.15583989942</v>
      </c>
      <c r="N8" s="449"/>
      <c r="O8" s="449"/>
      <c r="P8" s="450"/>
      <c r="Q8" s="451">
        <f t="shared" ref="Q8:T10" si="2">+((H8/G8)-1)*100</f>
        <v>3.2095193250309961</v>
      </c>
      <c r="R8" s="451">
        <f t="shared" si="2"/>
        <v>21.332935078866868</v>
      </c>
      <c r="S8" s="451">
        <f>+((J8/I8)-1)*100</f>
        <v>29.656616925695502</v>
      </c>
      <c r="T8" s="451">
        <f>+((K8/J8)-1)*100</f>
        <v>23.989558013088107</v>
      </c>
      <c r="U8" s="391" t="s">
        <v>251</v>
      </c>
    </row>
    <row r="9" spans="1:22" s="262" customFormat="1" ht="15">
      <c r="A9" s="255" t="s">
        <v>82</v>
      </c>
      <c r="B9" s="452">
        <f t="shared" ref="B9:L9" si="3">SUM(B10,B17,B23,B30)</f>
        <v>8325.4</v>
      </c>
      <c r="C9" s="452">
        <f t="shared" si="3"/>
        <v>10342.396671999999</v>
      </c>
      <c r="D9" s="452">
        <f t="shared" si="3"/>
        <v>11104.270489000002</v>
      </c>
      <c r="E9" s="452">
        <f t="shared" si="3"/>
        <v>10996.362102899999</v>
      </c>
      <c r="F9" s="64">
        <f t="shared" si="3"/>
        <v>12663.741933000001</v>
      </c>
      <c r="G9" s="64">
        <f t="shared" si="3"/>
        <v>13200.234560999997</v>
      </c>
      <c r="H9" s="64">
        <f t="shared" si="3"/>
        <v>13666.256009389999</v>
      </c>
      <c r="I9" s="453">
        <f t="shared" si="3"/>
        <v>16539.443646</v>
      </c>
      <c r="J9" s="64">
        <f t="shared" si="3"/>
        <v>21299.655352473143</v>
      </c>
      <c r="K9" s="64">
        <f t="shared" si="3"/>
        <v>26376.972882656512</v>
      </c>
      <c r="L9" s="64">
        <f t="shared" si="3"/>
        <v>26959.926034366512</v>
      </c>
      <c r="M9" s="454">
        <f t="shared" ref="M9" si="4">SUM(M10,M17,M23,M30)</f>
        <v>25294.203618656509</v>
      </c>
      <c r="N9" s="455">
        <f>+(H9/$H$9)*100</f>
        <v>100</v>
      </c>
      <c r="O9" s="455">
        <f>+(I9/$I$9)*100</f>
        <v>100</v>
      </c>
      <c r="P9" s="456">
        <f>+(J9/$J$9)*100</f>
        <v>100</v>
      </c>
      <c r="Q9" s="451">
        <f t="shared" si="2"/>
        <v>3.5304027836509766</v>
      </c>
      <c r="R9" s="451">
        <f t="shared" si="2"/>
        <v>21.023955900107904</v>
      </c>
      <c r="S9" s="451">
        <f>+((J9/I9)-1)*100</f>
        <v>28.780966327270519</v>
      </c>
      <c r="T9" s="451">
        <f>+((K9/J9)-1)*100</f>
        <v>23.837557210022343</v>
      </c>
      <c r="U9" s="391" t="s">
        <v>83</v>
      </c>
    </row>
    <row r="10" spans="1:22" s="262" customFormat="1" ht="15">
      <c r="A10" s="255" t="s">
        <v>252</v>
      </c>
      <c r="B10" s="452">
        <f>SUM(B11,B12,B15,B16)</f>
        <v>3050.7999999999997</v>
      </c>
      <c r="C10" s="452">
        <f t="shared" ref="C10:L10" si="5">SUM(C11,C12,C15,C16)</f>
        <v>3708.5</v>
      </c>
      <c r="D10" s="452">
        <f t="shared" si="5"/>
        <v>4216.3047380000016</v>
      </c>
      <c r="E10" s="452">
        <f t="shared" si="5"/>
        <v>4614.6055389999992</v>
      </c>
      <c r="F10" s="64">
        <f>SUM(F11,F12,F15,F16)</f>
        <v>5881.7756770000005</v>
      </c>
      <c r="G10" s="64">
        <f t="shared" si="5"/>
        <v>5914.3218849999994</v>
      </c>
      <c r="H10" s="64">
        <f t="shared" si="5"/>
        <v>5246.6271609999994</v>
      </c>
      <c r="I10" s="453">
        <f t="shared" si="5"/>
        <v>6216.7655439999999</v>
      </c>
      <c r="J10" s="64">
        <f t="shared" si="5"/>
        <v>7835.2370308831778</v>
      </c>
      <c r="K10" s="64">
        <f t="shared" ref="K10" si="6">SUM(K11,K12,K15,K16)</f>
        <v>7938.4895976565094</v>
      </c>
      <c r="L10" s="64">
        <f t="shared" si="5"/>
        <v>7765.1471213665118</v>
      </c>
      <c r="M10" s="454">
        <f t="shared" ref="M10" si="7">SUM(M11,M12,M15,M16)</f>
        <v>6985.7228396565097</v>
      </c>
      <c r="N10" s="455">
        <f>+(H10/$H$9)*100</f>
        <v>38.391108416197348</v>
      </c>
      <c r="O10" s="455">
        <f>+(I10/$I$9)*100</f>
        <v>37.587513081212379</v>
      </c>
      <c r="P10" s="456">
        <f>+(J10/$J$9)*100</f>
        <v>36.785745596458277</v>
      </c>
      <c r="Q10" s="451">
        <f t="shared" si="2"/>
        <v>-11.289455274550042</v>
      </c>
      <c r="R10" s="451">
        <f t="shared" si="2"/>
        <v>18.490705613910883</v>
      </c>
      <c r="S10" s="451">
        <f t="shared" si="2"/>
        <v>26.033979815198549</v>
      </c>
      <c r="T10" s="451">
        <f t="shared" si="2"/>
        <v>1.3177976156477866</v>
      </c>
      <c r="U10" s="391" t="s">
        <v>253</v>
      </c>
    </row>
    <row r="11" spans="1:22" s="265" customFormat="1" ht="15">
      <c r="A11" s="457" t="s">
        <v>254</v>
      </c>
      <c r="B11" s="458">
        <v>1607.3</v>
      </c>
      <c r="C11" s="458">
        <v>2043.9</v>
      </c>
      <c r="D11" s="458">
        <v>2197.6652670000008</v>
      </c>
      <c r="E11" s="458">
        <v>2684.2828549999995</v>
      </c>
      <c r="F11" s="304">
        <v>3414.360107</v>
      </c>
      <c r="G11" s="304">
        <v>3431.8828060000001</v>
      </c>
      <c r="H11" s="304">
        <v>2539.0598371399997</v>
      </c>
      <c r="I11" s="459">
        <v>3189.9729499999999</v>
      </c>
      <c r="J11" s="304">
        <v>3552.9629438798438</v>
      </c>
      <c r="K11" s="304">
        <v>3363.26411265651</v>
      </c>
      <c r="L11" s="304">
        <v>3208.7266373665107</v>
      </c>
      <c r="M11" s="460">
        <v>3123.1481996565103</v>
      </c>
      <c r="N11" s="461">
        <f t="shared" ref="N11:N31" si="8">+(H11/$H$9)*100</f>
        <v>18.579044878095562</v>
      </c>
      <c r="O11" s="461">
        <f>+(I11/$I$9)*100</f>
        <v>19.287063206454846</v>
      </c>
      <c r="P11" s="462">
        <f t="shared" ref="P11:P33" si="9">+(J11/$J$9)*100</f>
        <v>16.680847108013431</v>
      </c>
      <c r="Q11" s="463">
        <f>+((H11/G11)-1)*100</f>
        <v>-26.01554363392211</v>
      </c>
      <c r="R11" s="463">
        <f t="shared" ref="Q11:T31" si="10">+((I11/H11)-1)*100</f>
        <v>25.635989484721613</v>
      </c>
      <c r="S11" s="463">
        <f>+((J11/I11)-1)*100</f>
        <v>11.37909316377883</v>
      </c>
      <c r="T11" s="463">
        <f>+((K11/J11)-1)*100</f>
        <v>-5.3391728036482728</v>
      </c>
      <c r="U11" s="324" t="s">
        <v>255</v>
      </c>
    </row>
    <row r="12" spans="1:22" s="265" customFormat="1" ht="15">
      <c r="A12" s="457" t="s">
        <v>256</v>
      </c>
      <c r="B12" s="458">
        <v>475.70000000000005</v>
      </c>
      <c r="C12" s="458">
        <v>586.4</v>
      </c>
      <c r="D12" s="458">
        <v>752.52470600000004</v>
      </c>
      <c r="E12" s="458">
        <v>669.42846799999995</v>
      </c>
      <c r="F12" s="64">
        <f>SUM(F13:F14)</f>
        <v>910.58722000000012</v>
      </c>
      <c r="G12" s="64">
        <f t="shared" ref="G12:L12" si="11">SUM(G13:G14)</f>
        <v>812.66227900000001</v>
      </c>
      <c r="H12" s="64">
        <f t="shared" si="11"/>
        <v>796.60127067999997</v>
      </c>
      <c r="I12" s="453">
        <f>SUM(I13:I14)</f>
        <v>923.31431999999995</v>
      </c>
      <c r="J12" s="64">
        <f t="shared" si="11"/>
        <v>1104.3199049133334</v>
      </c>
      <c r="K12" s="64">
        <f t="shared" si="11"/>
        <v>1199.3696219999999</v>
      </c>
      <c r="L12" s="64">
        <f t="shared" si="11"/>
        <v>1068.734929</v>
      </c>
      <c r="M12" s="454">
        <f t="shared" ref="M12" si="12">SUM(M13:M14)</f>
        <v>980.26558299999999</v>
      </c>
      <c r="N12" s="455">
        <f t="shared" si="8"/>
        <v>5.8289649347462849</v>
      </c>
      <c r="O12" s="455">
        <f>+(I12/$I$9)*100</f>
        <v>5.5824992651630083</v>
      </c>
      <c r="P12" s="462">
        <f t="shared" si="9"/>
        <v>5.1846843840368004</v>
      </c>
      <c r="Q12" s="451">
        <f t="shared" si="10"/>
        <v>-1.976344754153414</v>
      </c>
      <c r="R12" s="451">
        <f>+((I12/H12)-1)*100</f>
        <v>15.906709414590114</v>
      </c>
      <c r="S12" s="451">
        <f>+((J12/I12)-1)*100</f>
        <v>19.603896635474417</v>
      </c>
      <c r="T12" s="451">
        <f>+((K12/J12)-1)*100</f>
        <v>8.6070817580822236</v>
      </c>
      <c r="U12" s="324" t="s">
        <v>257</v>
      </c>
    </row>
    <row r="13" spans="1:22" s="265" customFormat="1" ht="15">
      <c r="A13" s="457" t="s">
        <v>258</v>
      </c>
      <c r="B13" s="458">
        <v>0</v>
      </c>
      <c r="C13" s="458">
        <v>0</v>
      </c>
      <c r="D13" s="458">
        <v>0</v>
      </c>
      <c r="E13" s="458">
        <v>0</v>
      </c>
      <c r="F13" s="304">
        <v>777.54432100000008</v>
      </c>
      <c r="G13" s="304">
        <v>800.809574</v>
      </c>
      <c r="H13" s="304">
        <v>787.97938867999994</v>
      </c>
      <c r="I13" s="459">
        <v>913.25778199999991</v>
      </c>
      <c r="J13" s="304">
        <v>1086.9068900366667</v>
      </c>
      <c r="K13" s="304">
        <v>1188.1437699999999</v>
      </c>
      <c r="L13" s="304">
        <v>1057.267797</v>
      </c>
      <c r="M13" s="460">
        <v>968.549935</v>
      </c>
      <c r="N13" s="461">
        <f>+(H13/$G$9)*100</f>
        <v>5.9694347478345549</v>
      </c>
      <c r="O13" s="461">
        <f t="shared" ref="O13:O33" si="13">+(I13/$I$9)*100</f>
        <v>5.5216959019106291</v>
      </c>
      <c r="P13" s="462">
        <f t="shared" si="9"/>
        <v>5.1029318176759322</v>
      </c>
      <c r="Q13" s="463">
        <f t="shared" si="10"/>
        <v>-1.6021518394084611</v>
      </c>
      <c r="R13" s="463">
        <f t="shared" si="10"/>
        <v>15.898689117980958</v>
      </c>
      <c r="S13" s="463">
        <f t="shared" si="10"/>
        <v>19.014248929407618</v>
      </c>
      <c r="T13" s="463">
        <f t="shared" si="10"/>
        <v>9.3142182546950281</v>
      </c>
      <c r="U13" s="464" t="s">
        <v>302</v>
      </c>
    </row>
    <row r="14" spans="1:22" s="265" customFormat="1" ht="15">
      <c r="A14" s="457" t="s">
        <v>259</v>
      </c>
      <c r="B14" s="458">
        <v>0</v>
      </c>
      <c r="C14" s="458">
        <v>0</v>
      </c>
      <c r="D14" s="458">
        <v>0</v>
      </c>
      <c r="E14" s="458">
        <v>0</v>
      </c>
      <c r="F14" s="304">
        <v>133.04289900000001</v>
      </c>
      <c r="G14" s="304">
        <v>11.852705</v>
      </c>
      <c r="H14" s="304">
        <v>8.6218819999999994</v>
      </c>
      <c r="I14" s="459">
        <v>10.056538</v>
      </c>
      <c r="J14" s="304">
        <v>17.413014876666669</v>
      </c>
      <c r="K14" s="304">
        <v>11.225852</v>
      </c>
      <c r="L14" s="304">
        <v>11.467131999999999</v>
      </c>
      <c r="M14" s="460">
        <v>11.715648</v>
      </c>
      <c r="N14" s="461">
        <f>+(H14/$G$9)*100</f>
        <v>6.5316127226051651E-2</v>
      </c>
      <c r="O14" s="461">
        <f t="shared" si="13"/>
        <v>6.0803363252379616E-2</v>
      </c>
      <c r="P14" s="462">
        <f t="shared" si="9"/>
        <v>8.1752566360867474E-2</v>
      </c>
      <c r="Q14" s="463">
        <f>+((H14/G14)-1)*100</f>
        <v>-27.25810690471079</v>
      </c>
      <c r="R14" s="463">
        <f>+((I14/H14)-1)*100</f>
        <v>16.639708128689314</v>
      </c>
      <c r="S14" s="463">
        <f>+((J14/I14)-1)*100</f>
        <v>73.151186587935825</v>
      </c>
      <c r="T14" s="463">
        <f>+((K14/J14)-1)*100</f>
        <v>-35.531830188449611</v>
      </c>
      <c r="U14" s="464" t="s">
        <v>303</v>
      </c>
    </row>
    <row r="15" spans="1:22" s="265" customFormat="1" ht="15">
      <c r="A15" s="457" t="s">
        <v>260</v>
      </c>
      <c r="B15" s="458">
        <v>825.69999999999993</v>
      </c>
      <c r="C15" s="465">
        <v>982.5</v>
      </c>
      <c r="D15" s="458">
        <v>1170.997198</v>
      </c>
      <c r="E15" s="458">
        <v>1192.3427610000001</v>
      </c>
      <c r="F15" s="304">
        <v>1364.5149330000002</v>
      </c>
      <c r="G15" s="304">
        <v>1525.6040499999999</v>
      </c>
      <c r="H15" s="304">
        <v>1725.97350061</v>
      </c>
      <c r="I15" s="459">
        <v>1982.1994500000001</v>
      </c>
      <c r="J15" s="304">
        <v>2699.8374944233333</v>
      </c>
      <c r="K15" s="304">
        <v>2676.41932</v>
      </c>
      <c r="L15" s="304">
        <v>2893.1537020000001</v>
      </c>
      <c r="M15" s="460">
        <v>2390.9394249999996</v>
      </c>
      <c r="N15" s="461">
        <f t="shared" si="8"/>
        <v>12.629453885717451</v>
      </c>
      <c r="O15" s="461">
        <f t="shared" si="13"/>
        <v>11.984680334029175</v>
      </c>
      <c r="P15" s="462">
        <f t="shared" si="9"/>
        <v>12.67549849866397</v>
      </c>
      <c r="Q15" s="463">
        <f t="shared" si="10"/>
        <v>13.133778099894267</v>
      </c>
      <c r="R15" s="463">
        <f t="shared" si="10"/>
        <v>14.845300307301578</v>
      </c>
      <c r="S15" s="463">
        <f t="shared" si="10"/>
        <v>36.204128924732238</v>
      </c>
      <c r="T15" s="463">
        <f t="shared" si="10"/>
        <v>-0.86739199939643852</v>
      </c>
      <c r="U15" s="324" t="s">
        <v>261</v>
      </c>
    </row>
    <row r="16" spans="1:22" s="265" customFormat="1" ht="15">
      <c r="A16" s="457" t="s">
        <v>262</v>
      </c>
      <c r="B16" s="458">
        <v>142.1</v>
      </c>
      <c r="C16" s="458">
        <v>95.7</v>
      </c>
      <c r="D16" s="458">
        <v>95.117567000000008</v>
      </c>
      <c r="E16" s="458">
        <v>68.551455000000004</v>
      </c>
      <c r="F16" s="304">
        <v>192.31341699999999</v>
      </c>
      <c r="G16" s="304">
        <v>144.17275000000001</v>
      </c>
      <c r="H16" s="304">
        <v>184.99255256999999</v>
      </c>
      <c r="I16" s="459">
        <v>121.27882399999999</v>
      </c>
      <c r="J16" s="304">
        <v>478.11668766666668</v>
      </c>
      <c r="K16" s="304">
        <v>699.43654300000003</v>
      </c>
      <c r="L16" s="304">
        <v>594.53185299999996</v>
      </c>
      <c r="M16" s="460">
        <v>491.36963200000002</v>
      </c>
      <c r="N16" s="461">
        <f t="shared" si="8"/>
        <v>1.3536447176380477</v>
      </c>
      <c r="O16" s="461">
        <f t="shared" si="13"/>
        <v>0.73327027556535007</v>
      </c>
      <c r="P16" s="462">
        <f t="shared" si="9"/>
        <v>2.2447156057440698</v>
      </c>
      <c r="Q16" s="463">
        <f t="shared" si="10"/>
        <v>28.313119205952564</v>
      </c>
      <c r="R16" s="463">
        <f t="shared" si="10"/>
        <v>-34.441239760660714</v>
      </c>
      <c r="S16" s="463">
        <f t="shared" si="10"/>
        <v>294.22932371661744</v>
      </c>
      <c r="T16" s="463">
        <f t="shared" si="10"/>
        <v>46.289924832666188</v>
      </c>
      <c r="U16" s="324" t="s">
        <v>263</v>
      </c>
    </row>
    <row r="17" spans="1:21" s="262" customFormat="1" ht="15">
      <c r="A17" s="255" t="s">
        <v>264</v>
      </c>
      <c r="B17" s="452">
        <f>SUM(B18:B21)</f>
        <v>4444.1000000000004</v>
      </c>
      <c r="C17" s="452">
        <f>SUM(C18:C21)</f>
        <v>5122.8</v>
      </c>
      <c r="D17" s="452">
        <f>SUM(D18:D21)</f>
        <v>5432.5708530000002</v>
      </c>
      <c r="E17" s="452">
        <f>SUM(E18:E21)</f>
        <v>5279.2611290000004</v>
      </c>
      <c r="F17" s="64">
        <f>SUM(F18:F22)</f>
        <v>4927.7102970000005</v>
      </c>
      <c r="G17" s="64">
        <f t="shared" ref="G17:L17" si="14">SUM(G18:G22)</f>
        <v>5307.4933679999995</v>
      </c>
      <c r="H17" s="64">
        <f t="shared" si="14"/>
        <v>6639.8532862999991</v>
      </c>
      <c r="I17" s="453">
        <f t="shared" si="14"/>
        <v>8245.5721549999998</v>
      </c>
      <c r="J17" s="64">
        <f t="shared" si="14"/>
        <v>10226.343213316666</v>
      </c>
      <c r="K17" s="64">
        <f t="shared" si="14"/>
        <v>12582.230105000001</v>
      </c>
      <c r="L17" s="64">
        <f t="shared" si="14"/>
        <v>12738.562942999999</v>
      </c>
      <c r="M17" s="454">
        <f t="shared" ref="M17" si="15">SUM(M18:M22)</f>
        <v>11566.700989999998</v>
      </c>
      <c r="N17" s="455">
        <f t="shared" si="8"/>
        <v>48.585752248002649</v>
      </c>
      <c r="O17" s="455">
        <f t="shared" si="13"/>
        <v>49.8539874223288</v>
      </c>
      <c r="P17" s="456">
        <f>+(J17/$J$9)*100</f>
        <v>48.011777862543049</v>
      </c>
      <c r="Q17" s="451">
        <f t="shared" si="10"/>
        <v>25.103374152723013</v>
      </c>
      <c r="R17" s="451">
        <f t="shared" si="10"/>
        <v>24.183047417825911</v>
      </c>
      <c r="S17" s="451">
        <f t="shared" si="10"/>
        <v>24.022239100964683</v>
      </c>
      <c r="T17" s="451">
        <f t="shared" si="10"/>
        <v>23.037432272129465</v>
      </c>
      <c r="U17" s="391" t="s">
        <v>265</v>
      </c>
    </row>
    <row r="18" spans="1:21" s="265" customFormat="1" ht="15">
      <c r="A18" s="457" t="s">
        <v>266</v>
      </c>
      <c r="B18" s="458">
        <v>1313.8000000000002</v>
      </c>
      <c r="C18" s="458">
        <v>1630.5</v>
      </c>
      <c r="D18" s="458">
        <v>1935.0878400000001</v>
      </c>
      <c r="E18" s="458">
        <v>1643.137213</v>
      </c>
      <c r="F18" s="304">
        <v>1796.661055</v>
      </c>
      <c r="G18" s="304">
        <v>2203.168764</v>
      </c>
      <c r="H18" s="304">
        <v>2002.2797697200001</v>
      </c>
      <c r="I18" s="459">
        <v>2212.015058</v>
      </c>
      <c r="J18" s="304">
        <v>2980.97203795</v>
      </c>
      <c r="K18" s="304">
        <v>3216.7983429999999</v>
      </c>
      <c r="L18" s="304">
        <v>3246.4225770000003</v>
      </c>
      <c r="M18" s="460">
        <v>3128.9930400000003</v>
      </c>
      <c r="N18" s="461">
        <f t="shared" si="8"/>
        <v>14.651267825981353</v>
      </c>
      <c r="O18" s="461">
        <f t="shared" si="13"/>
        <v>13.374180567040822</v>
      </c>
      <c r="P18" s="462">
        <f>+(J18/$J$9)*100</f>
        <v>13.995400341554697</v>
      </c>
      <c r="Q18" s="463">
        <f t="shared" si="10"/>
        <v>-9.11818456954121</v>
      </c>
      <c r="R18" s="463">
        <f t="shared" si="10"/>
        <v>10.474824320346077</v>
      </c>
      <c r="S18" s="463">
        <f t="shared" si="10"/>
        <v>34.762737132777687</v>
      </c>
      <c r="T18" s="463">
        <f t="shared" si="10"/>
        <v>7.9110539128765645</v>
      </c>
      <c r="U18" s="324" t="s">
        <v>267</v>
      </c>
    </row>
    <row r="19" spans="1:21" s="265" customFormat="1" ht="15">
      <c r="A19" s="457" t="s">
        <v>268</v>
      </c>
      <c r="B19" s="458">
        <v>782.19999999999993</v>
      </c>
      <c r="C19" s="458">
        <v>1326.4</v>
      </c>
      <c r="D19" s="458">
        <v>1396.1558639999998</v>
      </c>
      <c r="E19" s="458">
        <v>990.87232799999992</v>
      </c>
      <c r="F19" s="304">
        <v>368.31382600000001</v>
      </c>
      <c r="G19" s="304">
        <v>296.66393599999998</v>
      </c>
      <c r="H19" s="304">
        <v>1391.70545487</v>
      </c>
      <c r="I19" s="459">
        <v>1866.0390179999999</v>
      </c>
      <c r="J19" s="304">
        <v>2213.6856564666668</v>
      </c>
      <c r="K19" s="304">
        <v>2548.305175</v>
      </c>
      <c r="L19" s="304">
        <v>2530.7711389999999</v>
      </c>
      <c r="M19" s="460">
        <v>2345.5326650000002</v>
      </c>
      <c r="N19" s="461">
        <f t="shared" si="8"/>
        <v>10.183516640649552</v>
      </c>
      <c r="O19" s="461">
        <f t="shared" si="13"/>
        <v>11.28235663749968</v>
      </c>
      <c r="P19" s="462">
        <f t="shared" si="9"/>
        <v>10.393058572234747</v>
      </c>
      <c r="Q19" s="463">
        <f t="shared" si="10"/>
        <v>369.1185162695341</v>
      </c>
      <c r="R19" s="463">
        <f t="shared" si="10"/>
        <v>34.082898897188542</v>
      </c>
      <c r="S19" s="463">
        <f t="shared" si="10"/>
        <v>18.630191282884901</v>
      </c>
      <c r="T19" s="463">
        <f t="shared" si="10"/>
        <v>15.115945552424549</v>
      </c>
      <c r="U19" s="324" t="s">
        <v>269</v>
      </c>
    </row>
    <row r="20" spans="1:21" s="265" customFormat="1" ht="15">
      <c r="A20" s="457" t="s">
        <v>270</v>
      </c>
      <c r="B20" s="458">
        <v>235.5</v>
      </c>
      <c r="C20" s="458">
        <v>640.6</v>
      </c>
      <c r="D20" s="458">
        <v>464.54098499999998</v>
      </c>
      <c r="E20" s="458">
        <v>578.16290700000002</v>
      </c>
      <c r="F20" s="304">
        <v>1135.3461150000001</v>
      </c>
      <c r="G20" s="304">
        <v>1578.1540559999999</v>
      </c>
      <c r="H20" s="304">
        <v>1959.2764668599998</v>
      </c>
      <c r="I20" s="459">
        <v>2925.2288200000003</v>
      </c>
      <c r="J20" s="304">
        <v>3312.4706706699999</v>
      </c>
      <c r="K20" s="304">
        <v>3262.9947070000003</v>
      </c>
      <c r="L20" s="304">
        <v>3277.0963849999998</v>
      </c>
      <c r="M20" s="460">
        <v>3259.8915899999997</v>
      </c>
      <c r="N20" s="461">
        <f t="shared" si="8"/>
        <v>14.336600057205084</v>
      </c>
      <c r="O20" s="461">
        <f t="shared" si="13"/>
        <v>17.686379799767057</v>
      </c>
      <c r="P20" s="462">
        <f t="shared" si="9"/>
        <v>15.55175713341006</v>
      </c>
      <c r="Q20" s="463">
        <f t="shared" si="10"/>
        <v>24.149886344175762</v>
      </c>
      <c r="R20" s="463">
        <f t="shared" si="10"/>
        <v>49.30148294426602</v>
      </c>
      <c r="S20" s="463">
        <f t="shared" si="10"/>
        <v>13.238002033290485</v>
      </c>
      <c r="T20" s="463">
        <f t="shared" si="10"/>
        <v>-1.493627222365479</v>
      </c>
      <c r="U20" s="324" t="s">
        <v>271</v>
      </c>
    </row>
    <row r="21" spans="1:21" s="265" customFormat="1" ht="15">
      <c r="A21" s="457" t="s">
        <v>272</v>
      </c>
      <c r="B21" s="458">
        <v>2112.6</v>
      </c>
      <c r="C21" s="458">
        <v>1525.3000000000002</v>
      </c>
      <c r="D21" s="458">
        <v>1636.7861640000001</v>
      </c>
      <c r="E21" s="458">
        <v>2067.0886810000002</v>
      </c>
      <c r="F21" s="304">
        <v>1627.3893010000002</v>
      </c>
      <c r="G21" s="304">
        <v>1229.5066119999999</v>
      </c>
      <c r="H21" s="304">
        <v>979.91802029999997</v>
      </c>
      <c r="I21" s="459">
        <v>772.59129199999995</v>
      </c>
      <c r="J21" s="304">
        <v>1103.739194</v>
      </c>
      <c r="K21" s="304">
        <v>2866.4051289999998</v>
      </c>
      <c r="L21" s="304">
        <v>2798.9009900000001</v>
      </c>
      <c r="M21" s="460">
        <v>1757.959576</v>
      </c>
      <c r="N21" s="461">
        <f>+(H21/$H$9)*100</f>
        <v>7.1703473111194782</v>
      </c>
      <c r="O21" s="461">
        <f>+(I21/$I$9)*100</f>
        <v>4.6712048393891905</v>
      </c>
      <c r="P21" s="462">
        <f t="shared" si="9"/>
        <v>5.1819579976060171</v>
      </c>
      <c r="Q21" s="463">
        <f>+((H21/G21)-1)*100</f>
        <v>-20.299898289607565</v>
      </c>
      <c r="R21" s="463">
        <f>+((I21/H21)-1)*100</f>
        <v>-21.157558490099749</v>
      </c>
      <c r="S21" s="463">
        <f>+((J21/I21)-1)*100</f>
        <v>42.86197701539718</v>
      </c>
      <c r="T21" s="463">
        <f>+((K21/J21)-1)*100</f>
        <v>159.69949645550048</v>
      </c>
      <c r="U21" s="324" t="s">
        <v>273</v>
      </c>
    </row>
    <row r="22" spans="1:21" s="265" customFormat="1" ht="17.25">
      <c r="A22" s="457" t="s">
        <v>396</v>
      </c>
      <c r="B22" s="458"/>
      <c r="C22" s="458"/>
      <c r="D22" s="458"/>
      <c r="E22" s="458"/>
      <c r="F22" s="304"/>
      <c r="G22" s="409">
        <v>0</v>
      </c>
      <c r="H22" s="304">
        <v>306.67357454999978</v>
      </c>
      <c r="I22" s="459">
        <v>469.69796699999995</v>
      </c>
      <c r="J22" s="304">
        <v>615.47565422999992</v>
      </c>
      <c r="K22" s="304">
        <v>687.72675100000004</v>
      </c>
      <c r="L22" s="304">
        <v>885.37185199999999</v>
      </c>
      <c r="M22" s="460">
        <v>1074.3241189999999</v>
      </c>
      <c r="N22" s="461">
        <f>+(H22/$H$9)*100</f>
        <v>2.2440204130471892</v>
      </c>
      <c r="O22" s="461">
        <f>+(I22/$I$9)*100</f>
        <v>2.8398655786320512</v>
      </c>
      <c r="P22" s="462">
        <f t="shared" si="9"/>
        <v>2.8896038177375294</v>
      </c>
      <c r="Q22" s="409">
        <v>0</v>
      </c>
      <c r="R22" s="463">
        <f>+((I22/H22)-1)*100</f>
        <v>53.158930530358049</v>
      </c>
      <c r="S22" s="463">
        <f>+((J22/I22)-1)*100</f>
        <v>31.036473962426147</v>
      </c>
      <c r="T22" s="463">
        <f>+((K22/J22)-1)*100</f>
        <v>11.739066569642119</v>
      </c>
      <c r="U22" s="466" t="s">
        <v>564</v>
      </c>
    </row>
    <row r="23" spans="1:21" s="262" customFormat="1" ht="15">
      <c r="A23" s="255" t="s">
        <v>274</v>
      </c>
      <c r="B23" s="452">
        <f t="shared" ref="B23:L23" si="16">SUM(B24:B29)</f>
        <v>596.20000000000005</v>
      </c>
      <c r="C23" s="452">
        <f t="shared" si="16"/>
        <v>1231.0999999999999</v>
      </c>
      <c r="D23" s="452">
        <f t="shared" si="16"/>
        <v>837.51612</v>
      </c>
      <c r="E23" s="452">
        <f t="shared" si="16"/>
        <v>440.44009790000001</v>
      </c>
      <c r="F23" s="64">
        <f t="shared" si="16"/>
        <v>1128.4559589999999</v>
      </c>
      <c r="G23" s="64">
        <f t="shared" si="16"/>
        <v>871.33807899999999</v>
      </c>
      <c r="H23" s="64">
        <f t="shared" si="16"/>
        <v>823.04936508999992</v>
      </c>
      <c r="I23" s="453">
        <f t="shared" si="16"/>
        <v>1098.7585779999999</v>
      </c>
      <c r="J23" s="64">
        <f t="shared" si="16"/>
        <v>1922.1416052206666</v>
      </c>
      <c r="K23" s="64">
        <f t="shared" ref="K23" si="17">SUM(K24:K29)</f>
        <v>4455.9421330000005</v>
      </c>
      <c r="L23" s="64">
        <f t="shared" si="16"/>
        <v>5066.5311490000004</v>
      </c>
      <c r="M23" s="454">
        <f t="shared" ref="M23" si="18">SUM(M24:M29)</f>
        <v>5099.7665840000009</v>
      </c>
      <c r="N23" s="455">
        <f t="shared" si="8"/>
        <v>6.0224933919318344</v>
      </c>
      <c r="O23" s="455">
        <f t="shared" si="13"/>
        <v>6.6432620196733794</v>
      </c>
      <c r="P23" s="456">
        <f t="shared" si="9"/>
        <v>9.0242850103087857</v>
      </c>
      <c r="Q23" s="451">
        <f t="shared" si="10"/>
        <v>-5.5419033178739419</v>
      </c>
      <c r="R23" s="451">
        <f t="shared" si="10"/>
        <v>33.498502593444243</v>
      </c>
      <c r="S23" s="451">
        <f t="shared" si="10"/>
        <v>74.937574432357849</v>
      </c>
      <c r="T23" s="451">
        <f t="shared" si="10"/>
        <v>131.82174096317149</v>
      </c>
      <c r="U23" s="391" t="s">
        <v>275</v>
      </c>
    </row>
    <row r="24" spans="1:21" s="265" customFormat="1" ht="15">
      <c r="A24" s="457" t="s">
        <v>276</v>
      </c>
      <c r="B24" s="458">
        <v>179.9</v>
      </c>
      <c r="C24" s="458">
        <v>159.79999999999998</v>
      </c>
      <c r="D24" s="458">
        <v>58.986502000000002</v>
      </c>
      <c r="E24" s="458">
        <v>146.70229599999999</v>
      </c>
      <c r="F24" s="304">
        <v>93.345458000000008</v>
      </c>
      <c r="G24" s="304">
        <v>70.257467000000005</v>
      </c>
      <c r="H24" s="304">
        <v>70.500645059999997</v>
      </c>
      <c r="I24" s="459">
        <v>93.968531999999996</v>
      </c>
      <c r="J24" s="304">
        <v>81.529609336666653</v>
      </c>
      <c r="K24" s="304">
        <v>147.09247299999998</v>
      </c>
      <c r="L24" s="304">
        <v>114.259006</v>
      </c>
      <c r="M24" s="460">
        <v>92.226301000000007</v>
      </c>
      <c r="N24" s="461">
        <f t="shared" si="8"/>
        <v>0.51587387951432673</v>
      </c>
      <c r="O24" s="461">
        <f t="shared" si="13"/>
        <v>0.56814808291768581</v>
      </c>
      <c r="P24" s="462">
        <f t="shared" si="9"/>
        <v>0.38277431248294869</v>
      </c>
      <c r="Q24" s="463">
        <f>+((H24/G24)-1)*100</f>
        <v>0.34612414933774538</v>
      </c>
      <c r="R24" s="463">
        <f>+((I24/H24)-1)*100</f>
        <v>33.287478320272832</v>
      </c>
      <c r="S24" s="463">
        <f>+((J24/I24)-1)*100</f>
        <v>-13.237327857088733</v>
      </c>
      <c r="T24" s="463">
        <f>+((K24/J24)-1)*100</f>
        <v>80.416015968627335</v>
      </c>
      <c r="U24" s="324" t="s">
        <v>277</v>
      </c>
    </row>
    <row r="25" spans="1:21" s="265" customFormat="1" ht="15">
      <c r="A25" s="457" t="s">
        <v>278</v>
      </c>
      <c r="B25" s="458">
        <v>172.2</v>
      </c>
      <c r="C25" s="458">
        <v>837.8</v>
      </c>
      <c r="D25" s="458">
        <v>106.089237</v>
      </c>
      <c r="E25" s="458">
        <v>120.04688899999999</v>
      </c>
      <c r="F25" s="304">
        <v>471.08129199999996</v>
      </c>
      <c r="G25" s="304">
        <v>607.73237199999994</v>
      </c>
      <c r="H25" s="304">
        <v>404.45810542000004</v>
      </c>
      <c r="I25" s="459">
        <v>735.60389299999997</v>
      </c>
      <c r="J25" s="304">
        <v>1339.0409750839999</v>
      </c>
      <c r="K25" s="304">
        <v>3393.1372979999996</v>
      </c>
      <c r="L25" s="304">
        <v>3929.855861</v>
      </c>
      <c r="M25" s="460">
        <v>3531.0676320000002</v>
      </c>
      <c r="N25" s="461">
        <f t="shared" si="8"/>
        <v>2.9595384803423808</v>
      </c>
      <c r="O25" s="461">
        <f t="shared" si="13"/>
        <v>4.4475733812116642</v>
      </c>
      <c r="P25" s="462">
        <f t="shared" si="9"/>
        <v>6.2866790702720055</v>
      </c>
      <c r="Q25" s="463">
        <f t="shared" si="10"/>
        <v>-33.44799058688286</v>
      </c>
      <c r="R25" s="463">
        <f t="shared" si="10"/>
        <v>81.873940253003298</v>
      </c>
      <c r="S25" s="463">
        <f t="shared" si="10"/>
        <v>82.032883162569121</v>
      </c>
      <c r="T25" s="463">
        <f t="shared" si="10"/>
        <v>153.40055764814392</v>
      </c>
      <c r="U25" s="324" t="s">
        <v>279</v>
      </c>
    </row>
    <row r="26" spans="1:21" s="265" customFormat="1" ht="15">
      <c r="A26" s="457" t="s">
        <v>280</v>
      </c>
      <c r="B26" s="458">
        <v>88.9</v>
      </c>
      <c r="C26" s="458">
        <v>35.700000000000003</v>
      </c>
      <c r="D26" s="458">
        <v>62.029623999999998</v>
      </c>
      <c r="E26" s="458">
        <v>43.271078000000003</v>
      </c>
      <c r="F26" s="304">
        <v>59.675843</v>
      </c>
      <c r="G26" s="304">
        <v>66.77496099999999</v>
      </c>
      <c r="H26" s="304">
        <v>31.982870659999989</v>
      </c>
      <c r="I26" s="459">
        <v>75.050148000000007</v>
      </c>
      <c r="J26" s="304">
        <v>45.230073653333335</v>
      </c>
      <c r="K26" s="304">
        <v>100.74466200000001</v>
      </c>
      <c r="L26" s="304">
        <v>101.79250500000001</v>
      </c>
      <c r="M26" s="460">
        <v>95.414063999999996</v>
      </c>
      <c r="N26" s="461">
        <f t="shared" si="8"/>
        <v>0.23402803692558338</v>
      </c>
      <c r="O26" s="461">
        <f t="shared" si="13"/>
        <v>0.45376464654027582</v>
      </c>
      <c r="P26" s="462">
        <f t="shared" si="9"/>
        <v>0.21235119960793916</v>
      </c>
      <c r="Q26" s="463">
        <f t="shared" si="10"/>
        <v>-52.103497806610477</v>
      </c>
      <c r="R26" s="463">
        <f t="shared" si="10"/>
        <v>134.65732265822828</v>
      </c>
      <c r="S26" s="463">
        <f t="shared" si="10"/>
        <v>-39.733531700252833</v>
      </c>
      <c r="T26" s="463">
        <f t="shared" si="10"/>
        <v>122.73822229908174</v>
      </c>
      <c r="U26" s="324" t="s">
        <v>281</v>
      </c>
    </row>
    <row r="27" spans="1:21" s="262" customFormat="1" ht="15">
      <c r="A27" s="457" t="s">
        <v>282</v>
      </c>
      <c r="B27" s="458">
        <v>108.2</v>
      </c>
      <c r="C27" s="458">
        <v>93.3</v>
      </c>
      <c r="D27" s="458">
        <v>78.466514000000004</v>
      </c>
      <c r="E27" s="458">
        <v>46.860301</v>
      </c>
      <c r="F27" s="304">
        <v>33.749803</v>
      </c>
      <c r="G27" s="304">
        <v>52.519985999999996</v>
      </c>
      <c r="H27" s="304">
        <v>33.124519409999998</v>
      </c>
      <c r="I27" s="459">
        <v>49.642775</v>
      </c>
      <c r="J27" s="304">
        <v>89.307228723333324</v>
      </c>
      <c r="K27" s="304">
        <v>174.26482200000001</v>
      </c>
      <c r="L27" s="304">
        <v>129.405888</v>
      </c>
      <c r="M27" s="460">
        <v>119.04955299999999</v>
      </c>
      <c r="N27" s="461">
        <f t="shared" si="8"/>
        <v>0.24238181537972323</v>
      </c>
      <c r="O27" s="461">
        <f t="shared" si="13"/>
        <v>0.30014779252871615</v>
      </c>
      <c r="P27" s="462">
        <f t="shared" si="9"/>
        <v>0.41928954833047899</v>
      </c>
      <c r="Q27" s="463">
        <f t="shared" si="10"/>
        <v>-36.929687281333244</v>
      </c>
      <c r="R27" s="463">
        <f t="shared" si="10"/>
        <v>49.867155461320564</v>
      </c>
      <c r="S27" s="463">
        <f t="shared" si="10"/>
        <v>79.899751219252593</v>
      </c>
      <c r="T27" s="463">
        <f t="shared" si="10"/>
        <v>95.129581883968811</v>
      </c>
      <c r="U27" s="324" t="s">
        <v>283</v>
      </c>
    </row>
    <row r="28" spans="1:21" s="262" customFormat="1" ht="15">
      <c r="A28" s="457" t="s">
        <v>284</v>
      </c>
      <c r="B28" s="458">
        <v>42.8</v>
      </c>
      <c r="C28" s="458">
        <v>92.3</v>
      </c>
      <c r="D28" s="458">
        <v>505.93436100000002</v>
      </c>
      <c r="E28" s="458">
        <v>52.495815900000004</v>
      </c>
      <c r="F28" s="304">
        <v>80.384180000000001</v>
      </c>
      <c r="G28" s="304">
        <v>54.566487000000002</v>
      </c>
      <c r="H28" s="304">
        <v>168.21187463999996</v>
      </c>
      <c r="I28" s="459">
        <v>51.606206</v>
      </c>
      <c r="J28" s="304">
        <v>139.71635442333331</v>
      </c>
      <c r="K28" s="304">
        <v>297.769678</v>
      </c>
      <c r="L28" s="304">
        <v>343.10576900000001</v>
      </c>
      <c r="M28" s="460">
        <v>293.58884999999998</v>
      </c>
      <c r="N28" s="461">
        <f t="shared" si="8"/>
        <v>1.2308555797902705</v>
      </c>
      <c r="O28" s="461">
        <f t="shared" si="13"/>
        <v>0.31201899595020999</v>
      </c>
      <c r="P28" s="462">
        <f t="shared" si="9"/>
        <v>0.65595593971482069</v>
      </c>
      <c r="Q28" s="463">
        <f t="shared" si="10"/>
        <v>208.26956963529639</v>
      </c>
      <c r="R28" s="463">
        <f t="shared" si="10"/>
        <v>-69.320711685518361</v>
      </c>
      <c r="S28" s="463">
        <f t="shared" si="10"/>
        <v>170.7355670039633</v>
      </c>
      <c r="T28" s="463">
        <f t="shared" si="10"/>
        <v>113.12442571881979</v>
      </c>
      <c r="U28" s="324" t="s">
        <v>285</v>
      </c>
    </row>
    <row r="29" spans="1:21" s="265" customFormat="1" ht="15">
      <c r="A29" s="457" t="s">
        <v>286</v>
      </c>
      <c r="B29" s="458">
        <v>4.2</v>
      </c>
      <c r="C29" s="458">
        <v>12.2</v>
      </c>
      <c r="D29" s="458">
        <v>26.009882000000001</v>
      </c>
      <c r="E29" s="458">
        <v>31.063718000000001</v>
      </c>
      <c r="F29" s="304">
        <v>390.21938299999999</v>
      </c>
      <c r="G29" s="304">
        <v>19.486806000000001</v>
      </c>
      <c r="H29" s="304">
        <v>114.7713499</v>
      </c>
      <c r="I29" s="459">
        <v>92.887023999999997</v>
      </c>
      <c r="J29" s="304">
        <v>227.31736400000003</v>
      </c>
      <c r="K29" s="304">
        <v>342.9332</v>
      </c>
      <c r="L29" s="304">
        <v>448.11212</v>
      </c>
      <c r="M29" s="460">
        <v>968.42018400000006</v>
      </c>
      <c r="N29" s="461">
        <f t="shared" si="8"/>
        <v>0.83981559997955058</v>
      </c>
      <c r="O29" s="461">
        <f t="shared" si="13"/>
        <v>0.56160912052482703</v>
      </c>
      <c r="P29" s="462">
        <f t="shared" si="9"/>
        <v>1.0672349399005923</v>
      </c>
      <c r="Q29" s="463">
        <f>+((H29/G29)-1)*100</f>
        <v>488.96953097393174</v>
      </c>
      <c r="R29" s="463">
        <f>+((I29/H29)-1)*100</f>
        <v>-19.06776030696491</v>
      </c>
      <c r="S29" s="463">
        <f>+((J29/I29)-1)*100</f>
        <v>144.7245634653986</v>
      </c>
      <c r="T29" s="463">
        <f>+((K29/J29)-1)*100</f>
        <v>50.860978662413125</v>
      </c>
      <c r="U29" s="324" t="s">
        <v>287</v>
      </c>
    </row>
    <row r="30" spans="1:21" s="262" customFormat="1" ht="15">
      <c r="A30" s="255" t="s">
        <v>288</v>
      </c>
      <c r="B30" s="452">
        <v>234.3</v>
      </c>
      <c r="C30" s="452">
        <v>279.99667199999999</v>
      </c>
      <c r="D30" s="452">
        <v>617.87877800000001</v>
      </c>
      <c r="E30" s="452">
        <v>662.05533700000001</v>
      </c>
      <c r="F30" s="64">
        <v>725.8</v>
      </c>
      <c r="G30" s="64">
        <v>1107.0812289999999</v>
      </c>
      <c r="H30" s="64">
        <v>956.72619699999996</v>
      </c>
      <c r="I30" s="453">
        <v>978.34736899999996</v>
      </c>
      <c r="J30" s="64">
        <v>1315.9335030526299</v>
      </c>
      <c r="K30" s="64">
        <v>1400.3110469999999</v>
      </c>
      <c r="L30" s="64">
        <v>1389.6848210000001</v>
      </c>
      <c r="M30" s="454">
        <v>1642.013205</v>
      </c>
      <c r="N30" s="455">
        <f t="shared" si="8"/>
        <v>7.0006459438681627</v>
      </c>
      <c r="O30" s="455">
        <f t="shared" si="13"/>
        <v>5.9152374767854381</v>
      </c>
      <c r="P30" s="456">
        <f t="shared" si="9"/>
        <v>6.1781915306898822</v>
      </c>
      <c r="Q30" s="451">
        <f t="shared" si="10"/>
        <v>-13.581210489478901</v>
      </c>
      <c r="R30" s="451">
        <f t="shared" si="10"/>
        <v>2.2599121951293322</v>
      </c>
      <c r="S30" s="451">
        <f t="shared" si="10"/>
        <v>34.505753758778688</v>
      </c>
      <c r="T30" s="451">
        <f t="shared" si="10"/>
        <v>6.4119914685381696</v>
      </c>
      <c r="U30" s="391" t="s">
        <v>289</v>
      </c>
    </row>
    <row r="31" spans="1:21" s="262" customFormat="1" ht="15">
      <c r="A31" s="255" t="s">
        <v>87</v>
      </c>
      <c r="B31" s="452">
        <v>-124.5</v>
      </c>
      <c r="C31" s="452">
        <v>-166.4</v>
      </c>
      <c r="D31" s="452">
        <v>-150.836333</v>
      </c>
      <c r="E31" s="452">
        <v>-181.3</v>
      </c>
      <c r="F31" s="64">
        <v>-399</v>
      </c>
      <c r="G31" s="64">
        <v>-90.231635999999995</v>
      </c>
      <c r="H31" s="64">
        <v>-135.485007</v>
      </c>
      <c r="I31" s="453">
        <v>-122.16204999999999</v>
      </c>
      <c r="J31" s="64">
        <v>-13.563443934712012</v>
      </c>
      <c r="K31" s="64">
        <v>15.558392999999981</v>
      </c>
      <c r="L31" s="64">
        <v>100.25488200000001</v>
      </c>
      <c r="M31" s="454">
        <v>-26.047778757089993</v>
      </c>
      <c r="N31" s="455">
        <f t="shared" si="8"/>
        <v>-0.9913834989400836</v>
      </c>
      <c r="O31" s="455">
        <f t="shared" si="13"/>
        <v>-0.73861039473080714</v>
      </c>
      <c r="P31" s="456">
        <f t="shared" si="9"/>
        <v>-6.3679170907979671E-2</v>
      </c>
      <c r="Q31" s="451">
        <f t="shared" si="10"/>
        <v>50.152444315650001</v>
      </c>
      <c r="R31" s="451">
        <f t="shared" si="10"/>
        <v>-9.833528664909764</v>
      </c>
      <c r="S31" s="451">
        <f t="shared" si="10"/>
        <v>-88.89717065593446</v>
      </c>
      <c r="T31" s="451">
        <f t="shared" si="10"/>
        <v>-214.70827818429234</v>
      </c>
      <c r="U31" s="391" t="s">
        <v>88</v>
      </c>
    </row>
    <row r="32" spans="1:21" s="265" customFormat="1" ht="15">
      <c r="A32" s="457" t="s">
        <v>236</v>
      </c>
      <c r="B32" s="467"/>
      <c r="C32" s="467"/>
      <c r="D32" s="467"/>
      <c r="E32" s="467"/>
      <c r="F32" s="258"/>
      <c r="G32" s="64"/>
      <c r="H32" s="64"/>
      <c r="I32" s="453"/>
      <c r="J32" s="64"/>
      <c r="K32" s="64"/>
      <c r="L32" s="64"/>
      <c r="M32" s="454"/>
      <c r="N32" s="455"/>
      <c r="O32" s="461"/>
      <c r="P32" s="462"/>
      <c r="Q32" s="463"/>
      <c r="R32" s="463"/>
      <c r="S32" s="463"/>
      <c r="T32" s="463"/>
      <c r="U32" s="324" t="s">
        <v>237</v>
      </c>
    </row>
    <row r="33" spans="1:21" ht="17.25">
      <c r="A33" s="468" t="s">
        <v>290</v>
      </c>
      <c r="B33" s="469">
        <v>1007.8</v>
      </c>
      <c r="C33" s="469">
        <v>390.30930799999999</v>
      </c>
      <c r="D33" s="470">
        <v>584.5</v>
      </c>
      <c r="E33" s="470">
        <v>877.1</v>
      </c>
      <c r="F33" s="471">
        <v>987.6</v>
      </c>
      <c r="G33" s="471">
        <v>1145.8582073000002</v>
      </c>
      <c r="H33" s="471">
        <v>1187.19235</v>
      </c>
      <c r="I33" s="472">
        <v>188.39416600000001</v>
      </c>
      <c r="J33" s="471">
        <v>568.29718400000002</v>
      </c>
      <c r="K33" s="471">
        <v>2779.267159</v>
      </c>
      <c r="L33" s="471">
        <v>3289.8189120000002</v>
      </c>
      <c r="M33" s="473">
        <v>3312.2719229999998</v>
      </c>
      <c r="N33" s="474">
        <f>+(H33/$D$9)*100</f>
        <v>10.691313321087092</v>
      </c>
      <c r="O33" s="474">
        <f t="shared" si="13"/>
        <v>1.1390598742755318</v>
      </c>
      <c r="P33" s="475">
        <f t="shared" si="9"/>
        <v>2.6681050683480376</v>
      </c>
      <c r="Q33" s="476">
        <f>+((H33/G33)-1)*100</f>
        <v>3.6072650557171348</v>
      </c>
      <c r="R33" s="476">
        <f>+((I33/H33)-1)*100</f>
        <v>-84.131116916310987</v>
      </c>
      <c r="S33" s="476">
        <f>+((J33/I33)-1)*100</f>
        <v>201.65328155649996</v>
      </c>
      <c r="T33" s="476">
        <f>+((K33/J33)-1)*100</f>
        <v>389.05172104460047</v>
      </c>
      <c r="U33" s="477" t="s">
        <v>291</v>
      </c>
    </row>
    <row r="34" spans="1:21" ht="15">
      <c r="A34" s="273" t="s">
        <v>192</v>
      </c>
      <c r="B34" s="478"/>
      <c r="C34" s="478"/>
      <c r="D34" s="478"/>
      <c r="E34" s="478"/>
      <c r="F34" s="478"/>
      <c r="G34" s="479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324" t="s">
        <v>193</v>
      </c>
    </row>
    <row r="35" spans="1:21" ht="15"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U35" s="324"/>
    </row>
    <row r="36" spans="1:21">
      <c r="G36" s="480"/>
      <c r="H36" s="480"/>
      <c r="I36" s="480"/>
      <c r="J36" s="480"/>
      <c r="K36" s="480"/>
      <c r="L36" s="480"/>
      <c r="M36" s="480"/>
      <c r="N36" s="480"/>
      <c r="O36" s="480"/>
      <c r="P36" s="480"/>
    </row>
    <row r="37" spans="1:21">
      <c r="B37" s="481"/>
      <c r="C37" s="481"/>
      <c r="G37" s="480"/>
      <c r="H37" s="480"/>
      <c r="I37" s="480"/>
      <c r="J37" s="480"/>
      <c r="K37" s="480"/>
      <c r="L37" s="480"/>
      <c r="M37" s="480"/>
      <c r="N37" s="480"/>
      <c r="O37" s="480"/>
      <c r="P37" s="480"/>
    </row>
    <row r="38" spans="1:21">
      <c r="B38" s="482"/>
      <c r="C38" s="482"/>
      <c r="G38" s="480"/>
      <c r="H38" s="480"/>
      <c r="I38" s="480"/>
      <c r="J38" s="480"/>
      <c r="K38" s="480"/>
      <c r="L38" s="480"/>
      <c r="M38" s="480"/>
      <c r="N38" s="480"/>
      <c r="O38" s="480"/>
      <c r="P38" s="480"/>
    </row>
    <row r="39" spans="1:21">
      <c r="G39" s="480"/>
      <c r="H39" s="480"/>
      <c r="I39" s="480"/>
      <c r="J39" s="480"/>
      <c r="K39" s="480"/>
      <c r="L39" s="480"/>
      <c r="M39" s="480"/>
      <c r="N39" s="480"/>
      <c r="O39" s="480"/>
      <c r="P39" s="480"/>
    </row>
    <row r="40" spans="1:21">
      <c r="N40" s="480"/>
      <c r="O40" s="480"/>
      <c r="P40" s="480"/>
    </row>
    <row r="41" spans="1:21">
      <c r="N41" s="480"/>
      <c r="O41" s="480"/>
      <c r="P41" s="480"/>
    </row>
    <row r="42" spans="1:21">
      <c r="G42" s="480"/>
      <c r="H42" s="480"/>
      <c r="I42" s="480"/>
      <c r="J42" s="480"/>
      <c r="K42" s="480"/>
      <c r="L42" s="480"/>
      <c r="M42" s="480"/>
      <c r="N42" s="480"/>
      <c r="O42" s="480"/>
      <c r="P42" s="480"/>
    </row>
    <row r="43" spans="1:21">
      <c r="G43" s="480"/>
      <c r="H43" s="480"/>
      <c r="I43" s="480"/>
      <c r="J43" s="480"/>
      <c r="K43" s="480"/>
      <c r="L43" s="480"/>
      <c r="M43" s="480"/>
      <c r="N43" s="480"/>
      <c r="O43" s="480"/>
      <c r="P43" s="480"/>
    </row>
    <row r="44" spans="1:21">
      <c r="G44" s="480"/>
      <c r="H44" s="480"/>
      <c r="I44" s="480"/>
      <c r="J44" s="480"/>
      <c r="K44" s="480"/>
      <c r="L44" s="480"/>
      <c r="M44" s="480"/>
      <c r="N44" s="480"/>
      <c r="O44" s="480"/>
      <c r="P44" s="480"/>
    </row>
    <row r="45" spans="1:21">
      <c r="G45" s="480"/>
      <c r="H45" s="480"/>
      <c r="I45" s="480"/>
      <c r="J45" s="480"/>
      <c r="K45" s="480"/>
      <c r="L45" s="480"/>
      <c r="M45" s="480"/>
      <c r="N45" s="480"/>
      <c r="O45" s="480"/>
      <c r="P45" s="480"/>
    </row>
    <row r="46" spans="1:21">
      <c r="G46" s="480"/>
      <c r="H46" s="480"/>
      <c r="I46" s="480"/>
      <c r="J46" s="480"/>
      <c r="K46" s="480"/>
      <c r="L46" s="480"/>
      <c r="M46" s="480"/>
      <c r="N46" s="480"/>
      <c r="O46" s="480"/>
      <c r="P46" s="480"/>
    </row>
    <row r="47" spans="1:21">
      <c r="G47" s="480"/>
      <c r="H47" s="480"/>
      <c r="I47" s="480"/>
      <c r="J47" s="480"/>
      <c r="K47" s="480"/>
      <c r="L47" s="480"/>
      <c r="M47" s="480"/>
      <c r="N47" s="480"/>
      <c r="O47" s="480"/>
      <c r="P47" s="480"/>
    </row>
    <row r="48" spans="1:21">
      <c r="G48" s="480"/>
      <c r="H48" s="480"/>
      <c r="I48" s="480"/>
      <c r="J48" s="480"/>
      <c r="K48" s="480"/>
      <c r="L48" s="480"/>
      <c r="M48" s="480"/>
      <c r="N48" s="480"/>
      <c r="O48" s="480"/>
      <c r="P48" s="480"/>
    </row>
    <row r="49" spans="7:16">
      <c r="G49" s="480"/>
      <c r="H49" s="480"/>
      <c r="I49" s="480"/>
      <c r="J49" s="480"/>
      <c r="K49" s="480"/>
      <c r="L49" s="480"/>
      <c r="M49" s="480"/>
      <c r="N49" s="480"/>
      <c r="O49" s="480"/>
      <c r="P49" s="480"/>
    </row>
    <row r="50" spans="7:16">
      <c r="G50" s="480"/>
      <c r="H50" s="480"/>
      <c r="I50" s="480"/>
      <c r="J50" s="480"/>
      <c r="K50" s="480"/>
      <c r="L50" s="480"/>
      <c r="M50" s="480"/>
      <c r="N50" s="480"/>
      <c r="O50" s="480"/>
      <c r="P50" s="480"/>
    </row>
    <row r="51" spans="7:16">
      <c r="G51" s="480"/>
      <c r="H51" s="480"/>
      <c r="I51" s="480"/>
      <c r="J51" s="480"/>
      <c r="K51" s="480"/>
      <c r="L51" s="480"/>
      <c r="M51" s="480"/>
      <c r="N51" s="480"/>
      <c r="O51" s="480"/>
      <c r="P51" s="480"/>
    </row>
    <row r="52" spans="7:16">
      <c r="G52" s="480"/>
      <c r="H52" s="480"/>
      <c r="I52" s="480"/>
      <c r="J52" s="480"/>
      <c r="K52" s="480"/>
      <c r="L52" s="480"/>
      <c r="M52" s="480"/>
      <c r="N52" s="480"/>
      <c r="O52" s="480"/>
      <c r="P52" s="480"/>
    </row>
    <row r="53" spans="7:16">
      <c r="G53" s="480"/>
      <c r="H53" s="480"/>
      <c r="I53" s="480"/>
      <c r="J53" s="480"/>
      <c r="K53" s="480"/>
      <c r="L53" s="480"/>
      <c r="M53" s="480"/>
      <c r="N53" s="480"/>
      <c r="O53" s="480"/>
      <c r="P53" s="480"/>
    </row>
    <row r="54" spans="7:16">
      <c r="G54" s="480"/>
      <c r="H54" s="480"/>
      <c r="I54" s="480"/>
      <c r="J54" s="480"/>
      <c r="K54" s="480"/>
      <c r="L54" s="480"/>
      <c r="M54" s="480"/>
      <c r="N54" s="480"/>
      <c r="O54" s="480"/>
      <c r="P54" s="480"/>
    </row>
    <row r="55" spans="7:16">
      <c r="G55" s="480"/>
      <c r="H55" s="480"/>
      <c r="I55" s="480"/>
      <c r="J55" s="480"/>
      <c r="K55" s="480"/>
      <c r="L55" s="480"/>
      <c r="M55" s="480"/>
      <c r="N55" s="480"/>
      <c r="O55" s="480"/>
      <c r="P55" s="480"/>
    </row>
    <row r="56" spans="7:16">
      <c r="G56" s="480"/>
      <c r="H56" s="480"/>
      <c r="I56" s="480"/>
      <c r="J56" s="480"/>
      <c r="K56" s="480"/>
      <c r="L56" s="480"/>
      <c r="M56" s="480"/>
      <c r="N56" s="480"/>
      <c r="O56" s="480"/>
      <c r="P56" s="480"/>
    </row>
    <row r="57" spans="7:16">
      <c r="G57" s="480"/>
      <c r="H57" s="480"/>
      <c r="I57" s="480"/>
      <c r="J57" s="480"/>
      <c r="K57" s="480"/>
      <c r="L57" s="480"/>
      <c r="M57" s="480"/>
      <c r="N57" s="480"/>
      <c r="O57" s="480"/>
      <c r="P57" s="480"/>
    </row>
    <row r="58" spans="7:16">
      <c r="G58" s="480"/>
      <c r="H58" s="480"/>
      <c r="I58" s="480"/>
      <c r="J58" s="480"/>
      <c r="K58" s="480"/>
      <c r="L58" s="480"/>
      <c r="M58" s="480"/>
      <c r="N58" s="480"/>
      <c r="O58" s="480"/>
      <c r="P58" s="480"/>
    </row>
    <row r="59" spans="7:16">
      <c r="G59" s="480"/>
      <c r="H59" s="480"/>
      <c r="I59" s="480"/>
      <c r="J59" s="480"/>
      <c r="K59" s="480"/>
      <c r="L59" s="480"/>
      <c r="M59" s="480"/>
      <c r="N59" s="480"/>
      <c r="O59" s="480"/>
      <c r="P59" s="480"/>
    </row>
    <row r="60" spans="7:16">
      <c r="G60" s="480"/>
      <c r="H60" s="480"/>
      <c r="I60" s="480"/>
      <c r="J60" s="480"/>
      <c r="K60" s="480"/>
      <c r="L60" s="480"/>
      <c r="M60" s="480"/>
      <c r="N60" s="480"/>
      <c r="O60" s="480"/>
      <c r="P60" s="480"/>
    </row>
    <row r="61" spans="7:16">
      <c r="G61" s="480"/>
      <c r="H61" s="480"/>
      <c r="I61" s="480"/>
      <c r="J61" s="480"/>
      <c r="K61" s="480"/>
      <c r="L61" s="480"/>
      <c r="M61" s="480"/>
      <c r="N61" s="480"/>
      <c r="O61" s="480"/>
      <c r="P61" s="480"/>
    </row>
    <row r="62" spans="7:16">
      <c r="G62" s="480"/>
      <c r="H62" s="480"/>
      <c r="I62" s="480"/>
      <c r="J62" s="480"/>
      <c r="K62" s="480"/>
      <c r="L62" s="480"/>
      <c r="M62" s="480"/>
      <c r="N62" s="480"/>
      <c r="O62" s="480"/>
      <c r="P62" s="480"/>
    </row>
    <row r="63" spans="7:16">
      <c r="G63" s="480"/>
      <c r="H63" s="480"/>
      <c r="I63" s="480"/>
      <c r="J63" s="480"/>
      <c r="K63" s="480"/>
      <c r="L63" s="480"/>
      <c r="M63" s="480"/>
      <c r="N63" s="480"/>
      <c r="O63" s="480"/>
      <c r="P63" s="480"/>
    </row>
    <row r="64" spans="7:16">
      <c r="G64" s="480"/>
      <c r="H64" s="480"/>
      <c r="I64" s="480"/>
      <c r="J64" s="480"/>
      <c r="K64" s="480"/>
      <c r="L64" s="480"/>
      <c r="M64" s="480"/>
      <c r="N64" s="480"/>
      <c r="O64" s="480"/>
      <c r="P64" s="480"/>
    </row>
    <row r="65" spans="7:16">
      <c r="G65" s="480"/>
      <c r="H65" s="480"/>
      <c r="I65" s="480"/>
      <c r="J65" s="480"/>
      <c r="K65" s="480"/>
      <c r="L65" s="480"/>
      <c r="M65" s="480"/>
      <c r="N65" s="480"/>
      <c r="O65" s="480"/>
      <c r="P65" s="480"/>
    </row>
    <row r="66" spans="7:16">
      <c r="G66" s="480"/>
      <c r="H66" s="480"/>
      <c r="I66" s="480"/>
      <c r="J66" s="480"/>
      <c r="K66" s="480"/>
      <c r="L66" s="480"/>
      <c r="M66" s="480"/>
      <c r="N66" s="480"/>
      <c r="O66" s="480"/>
      <c r="P66" s="480"/>
    </row>
    <row r="67" spans="7:16">
      <c r="G67" s="480"/>
      <c r="H67" s="480"/>
      <c r="I67" s="480"/>
      <c r="J67" s="480"/>
      <c r="K67" s="480"/>
      <c r="L67" s="480"/>
      <c r="M67" s="480"/>
      <c r="N67" s="480"/>
      <c r="O67" s="480"/>
      <c r="P67" s="480"/>
    </row>
    <row r="68" spans="7:16">
      <c r="G68" s="480"/>
      <c r="H68" s="480"/>
      <c r="I68" s="480"/>
      <c r="J68" s="480"/>
      <c r="K68" s="480"/>
      <c r="L68" s="480"/>
      <c r="M68" s="480"/>
      <c r="N68" s="480"/>
      <c r="O68" s="480"/>
      <c r="P68" s="480"/>
    </row>
  </sheetData>
  <mergeCells count="9">
    <mergeCell ref="A1:U1"/>
    <mergeCell ref="A2:U2"/>
    <mergeCell ref="A3:U3"/>
    <mergeCell ref="A4:U4"/>
    <mergeCell ref="A5:A7"/>
    <mergeCell ref="N5:P5"/>
    <mergeCell ref="Q5:T5"/>
    <mergeCell ref="Q6:T6"/>
    <mergeCell ref="I5:M5"/>
  </mergeCells>
  <pageMargins left="0.17" right="0.16" top="0.75" bottom="0.75" header="0.3" footer="0.3"/>
  <pageSetup paperSize="9" scale="80" orientation="landscape" r:id="rId1"/>
  <ignoredErrors>
    <ignoredError sqref="Q23:Q29 Q30:Q33 N23:N31 N9:N21 Q8:Q11 N32:N33 Q12:Q21 O11:O21 R8:R21 O23:O33 R23:R32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zoomScale="110" zoomScaleNormal="110" workbookViewId="0">
      <selection sqref="A1:XFD1048576"/>
    </sheetView>
  </sheetViews>
  <sheetFormatPr defaultColWidth="8.85546875" defaultRowHeight="12"/>
  <cols>
    <col min="1" max="1" width="32.42578125" style="603" customWidth="1"/>
    <col min="2" max="3" width="0" style="639" hidden="1" customWidth="1"/>
    <col min="4" max="4" width="12.7109375" style="639" hidden="1" customWidth="1"/>
    <col min="5" max="7" width="8.85546875" style="639" hidden="1" customWidth="1"/>
    <col min="8" max="11" width="0" style="639" hidden="1" customWidth="1"/>
    <col min="12" max="14" width="8.85546875" style="639"/>
    <col min="15" max="17" width="9.28515625" style="639" customWidth="1"/>
    <col min="18" max="20" width="11.28515625" style="639" customWidth="1"/>
    <col min="21" max="23" width="11" style="640" customWidth="1"/>
    <col min="24" max="24" width="42" style="603" customWidth="1"/>
    <col min="25" max="25" width="17.28515625" style="603" customWidth="1"/>
    <col min="26" max="16384" width="8.85546875" style="603"/>
  </cols>
  <sheetData>
    <row r="1" spans="1:26" ht="19.5">
      <c r="A1" s="681" t="s">
        <v>628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</row>
    <row r="2" spans="1:26" ht="12.75">
      <c r="A2" s="741" t="s">
        <v>629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</row>
    <row r="3" spans="1:26" s="242" customFormat="1" ht="14.25">
      <c r="A3" s="742" t="s">
        <v>194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2"/>
      <c r="X3" s="742"/>
    </row>
    <row r="4" spans="1:26" s="242" customFormat="1" ht="12.75">
      <c r="A4" s="724" t="s">
        <v>304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4"/>
      <c r="U4" s="724"/>
      <c r="V4" s="724"/>
      <c r="W4" s="724"/>
      <c r="X4" s="724"/>
    </row>
    <row r="5" spans="1:26" s="242" customFormat="1" ht="17.25">
      <c r="A5" s="241"/>
      <c r="B5" s="604"/>
      <c r="C5" s="605"/>
      <c r="D5" s="606" t="s">
        <v>2</v>
      </c>
      <c r="E5" s="743" t="s">
        <v>66</v>
      </c>
      <c r="F5" s="743"/>
      <c r="G5" s="743"/>
      <c r="H5" s="607"/>
      <c r="I5" s="607"/>
      <c r="J5" s="607"/>
      <c r="K5" s="607"/>
      <c r="L5" s="607"/>
      <c r="M5" s="607"/>
      <c r="N5" s="607"/>
      <c r="O5" s="607"/>
      <c r="P5" s="607"/>
      <c r="Q5" s="607"/>
      <c r="R5" s="744" t="s">
        <v>345</v>
      </c>
      <c r="S5" s="739"/>
      <c r="T5" s="608"/>
      <c r="U5" s="739" t="s">
        <v>299</v>
      </c>
      <c r="V5" s="739"/>
      <c r="W5" s="609"/>
      <c r="X5" s="610"/>
    </row>
    <row r="6" spans="1:26" s="262" customFormat="1" ht="15" customHeight="1">
      <c r="A6" s="431" t="s">
        <v>1</v>
      </c>
      <c r="B6" s="611"/>
      <c r="C6" s="67"/>
      <c r="D6" s="67" t="s">
        <v>308</v>
      </c>
      <c r="E6" s="67" t="s">
        <v>5</v>
      </c>
      <c r="F6" s="67" t="s">
        <v>5</v>
      </c>
      <c r="G6" s="67" t="s">
        <v>5</v>
      </c>
      <c r="H6" s="67"/>
      <c r="I6" s="67"/>
      <c r="J6" s="67"/>
      <c r="K6" s="67" t="s">
        <v>4</v>
      </c>
      <c r="L6" s="67" t="s">
        <v>4</v>
      </c>
      <c r="M6" s="67" t="s">
        <v>4</v>
      </c>
      <c r="N6" s="488" t="s">
        <v>6</v>
      </c>
      <c r="O6" s="67" t="s">
        <v>5</v>
      </c>
      <c r="P6" s="67" t="s">
        <v>5</v>
      </c>
      <c r="Q6" s="67" t="s">
        <v>5</v>
      </c>
      <c r="R6" s="738" t="s">
        <v>309</v>
      </c>
      <c r="S6" s="718"/>
      <c r="T6" s="375"/>
      <c r="U6" s="740" t="s">
        <v>249</v>
      </c>
      <c r="V6" s="740"/>
      <c r="W6" s="612"/>
      <c r="X6" s="247" t="s">
        <v>3</v>
      </c>
    </row>
    <row r="7" spans="1:26" s="262" customFormat="1">
      <c r="A7" s="438"/>
      <c r="B7" s="329">
        <v>2007</v>
      </c>
      <c r="C7" s="329">
        <v>2008</v>
      </c>
      <c r="D7" s="329">
        <v>2009</v>
      </c>
      <c r="E7" s="329">
        <v>2010</v>
      </c>
      <c r="F7" s="329">
        <v>2011</v>
      </c>
      <c r="G7" s="329">
        <v>2012</v>
      </c>
      <c r="H7" s="329">
        <v>2009</v>
      </c>
      <c r="I7" s="329">
        <v>2010</v>
      </c>
      <c r="J7" s="329">
        <v>2011</v>
      </c>
      <c r="K7" s="329">
        <v>2012</v>
      </c>
      <c r="L7" s="329">
        <v>2013</v>
      </c>
      <c r="M7" s="329">
        <v>2014</v>
      </c>
      <c r="N7" s="329">
        <v>2015</v>
      </c>
      <c r="O7" s="329">
        <v>2016</v>
      </c>
      <c r="P7" s="329">
        <v>2017</v>
      </c>
      <c r="Q7" s="329">
        <v>2018</v>
      </c>
      <c r="R7" s="613">
        <v>2013</v>
      </c>
      <c r="S7" s="329">
        <v>2014</v>
      </c>
      <c r="T7" s="380">
        <v>2015</v>
      </c>
      <c r="U7" s="614" t="s">
        <v>292</v>
      </c>
      <c r="V7" s="614" t="s">
        <v>389</v>
      </c>
      <c r="W7" s="614" t="s">
        <v>583</v>
      </c>
      <c r="X7" s="615"/>
      <c r="Y7" s="327"/>
      <c r="Z7" s="327"/>
    </row>
    <row r="8" spans="1:26" s="262" customFormat="1" ht="15">
      <c r="A8" s="384" t="s">
        <v>84</v>
      </c>
      <c r="B8" s="616">
        <f t="shared" ref="B8:O8" si="0">SUM(B9,B14,B20,B27)</f>
        <v>6560.1</v>
      </c>
      <c r="C8" s="616">
        <f t="shared" si="0"/>
        <v>7463.2</v>
      </c>
      <c r="D8" s="616">
        <f t="shared" si="0"/>
        <v>7942.4</v>
      </c>
      <c r="E8" s="616">
        <f t="shared" si="0"/>
        <v>9115.1999999999989</v>
      </c>
      <c r="F8" s="616">
        <f t="shared" si="0"/>
        <v>8659.1</v>
      </c>
      <c r="G8" s="616">
        <f t="shared" si="0"/>
        <v>8744.8993789999986</v>
      </c>
      <c r="H8" s="616">
        <f t="shared" si="0"/>
        <v>8738.7354969999997</v>
      </c>
      <c r="I8" s="616">
        <f t="shared" si="0"/>
        <v>8369.1443089999993</v>
      </c>
      <c r="J8" s="616">
        <f t="shared" si="0"/>
        <v>9075.7587179999991</v>
      </c>
      <c r="K8" s="616">
        <f t="shared" si="0"/>
        <v>10316.485255000001</v>
      </c>
      <c r="L8" s="616">
        <f t="shared" si="0"/>
        <v>11573.21458545</v>
      </c>
      <c r="M8" s="616">
        <f t="shared" si="0"/>
        <v>13954.396592000001</v>
      </c>
      <c r="N8" s="616">
        <f t="shared" si="0"/>
        <v>16094.313080627187</v>
      </c>
      <c r="O8" s="616">
        <f t="shared" si="0"/>
        <v>16347.355027656509</v>
      </c>
      <c r="P8" s="616">
        <f t="shared" ref="P8:Q8" si="1">SUM(P9,P14,P20,P27)</f>
        <v>16361.88032665651</v>
      </c>
      <c r="Q8" s="616">
        <f t="shared" si="1"/>
        <v>16467.951577656513</v>
      </c>
      <c r="R8" s="617">
        <f t="shared" ref="R8:R27" si="2">+(L8/$L$8)*100</f>
        <v>100</v>
      </c>
      <c r="S8" s="616">
        <f>+(M8/$M$8)*100</f>
        <v>100</v>
      </c>
      <c r="T8" s="618">
        <f>+(N8/$N$8)*100</f>
        <v>100</v>
      </c>
      <c r="U8" s="619">
        <f t="shared" ref="U8:U18" si="3">+((L8/K8)-1)*100</f>
        <v>12.181758606604021</v>
      </c>
      <c r="V8" s="619">
        <f t="shared" ref="V8:W18" si="4">+((M8/L8)-1)*100</f>
        <v>20.574940427905442</v>
      </c>
      <c r="W8" s="619">
        <f>+((N8/M8)-1)*100</f>
        <v>15.335070022690855</v>
      </c>
      <c r="X8" s="391" t="s">
        <v>85</v>
      </c>
    </row>
    <row r="9" spans="1:26" s="262" customFormat="1" ht="15">
      <c r="A9" s="384" t="s">
        <v>310</v>
      </c>
      <c r="B9" s="616">
        <f t="shared" ref="B9:O9" si="5">SUM(B10:B13)</f>
        <v>2241.8999999999996</v>
      </c>
      <c r="C9" s="616">
        <f t="shared" si="5"/>
        <v>3209.7</v>
      </c>
      <c r="D9" s="616">
        <f t="shared" si="5"/>
        <v>3276.6</v>
      </c>
      <c r="E9" s="616">
        <f t="shared" si="5"/>
        <v>4021.9</v>
      </c>
      <c r="F9" s="616">
        <f t="shared" si="5"/>
        <v>3529.1</v>
      </c>
      <c r="G9" s="616">
        <f t="shared" si="5"/>
        <v>3593.374147</v>
      </c>
      <c r="H9" s="616">
        <f t="shared" si="5"/>
        <v>3519.7833220000007</v>
      </c>
      <c r="I9" s="616">
        <f t="shared" si="5"/>
        <v>3978.9039029999999</v>
      </c>
      <c r="J9" s="616">
        <f t="shared" si="5"/>
        <v>4596.1388089999991</v>
      </c>
      <c r="K9" s="616">
        <f t="shared" si="5"/>
        <v>4774.492886</v>
      </c>
      <c r="L9" s="616">
        <f t="shared" si="5"/>
        <v>4784.0412950399996</v>
      </c>
      <c r="M9" s="616">
        <f t="shared" si="5"/>
        <v>5537.7483140000004</v>
      </c>
      <c r="N9" s="616">
        <f t="shared" si="5"/>
        <v>6115.5350003278891</v>
      </c>
      <c r="O9" s="616">
        <f t="shared" si="5"/>
        <v>5935.9640506565102</v>
      </c>
      <c r="P9" s="616">
        <f t="shared" ref="P9:Q9" si="6">SUM(P10:P13)</f>
        <v>5914.9155266565103</v>
      </c>
      <c r="Q9" s="616">
        <f t="shared" si="6"/>
        <v>5899.0648216565105</v>
      </c>
      <c r="R9" s="617">
        <f t="shared" si="2"/>
        <v>41.337186481053941</v>
      </c>
      <c r="S9" s="616">
        <f>+(M9/$M$8)*100</f>
        <v>39.684613214839899</v>
      </c>
      <c r="T9" s="620">
        <f>+(N9/$N$8)*100</f>
        <v>37.99811131852028</v>
      </c>
      <c r="U9" s="619">
        <f t="shared" si="3"/>
        <v>0.19998792056006298</v>
      </c>
      <c r="V9" s="619">
        <f t="shared" si="4"/>
        <v>15.75460938728579</v>
      </c>
      <c r="W9" s="619">
        <f>+((N9/M9)-1)*100</f>
        <v>10.433603218607534</v>
      </c>
      <c r="X9" s="391" t="s">
        <v>311</v>
      </c>
    </row>
    <row r="10" spans="1:26" s="265" customFormat="1" ht="15">
      <c r="A10" s="393" t="s">
        <v>312</v>
      </c>
      <c r="B10" s="401">
        <v>1141.8</v>
      </c>
      <c r="C10" s="413">
        <v>1743.5</v>
      </c>
      <c r="D10" s="413">
        <v>1620.1</v>
      </c>
      <c r="E10" s="413">
        <v>2323.1</v>
      </c>
      <c r="F10" s="413">
        <v>1785</v>
      </c>
      <c r="G10" s="413">
        <v>1807.6922320000001</v>
      </c>
      <c r="H10" s="413">
        <v>1640.2071530000007</v>
      </c>
      <c r="I10" s="413">
        <v>2160.2136339999997</v>
      </c>
      <c r="J10" s="413">
        <v>2490.5053929999999</v>
      </c>
      <c r="K10" s="413">
        <v>2464.698202</v>
      </c>
      <c r="L10" s="413">
        <v>2284.8721354499999</v>
      </c>
      <c r="M10" s="413">
        <v>2757.612995</v>
      </c>
      <c r="N10" s="413">
        <v>2577.6970465912223</v>
      </c>
      <c r="O10" s="413">
        <v>2577.2729236565101</v>
      </c>
      <c r="P10" s="413">
        <v>2533.2329566565104</v>
      </c>
      <c r="Q10" s="413">
        <v>2659.7730276565103</v>
      </c>
      <c r="R10" s="505">
        <f t="shared" si="2"/>
        <v>19.742761344134859</v>
      </c>
      <c r="S10" s="413">
        <f>+(M10/$M$8)*100</f>
        <v>19.761606865759628</v>
      </c>
      <c r="T10" s="621">
        <f>+(N10/$N$8)*100</f>
        <v>16.016197980478026</v>
      </c>
      <c r="U10" s="622">
        <f t="shared" si="3"/>
        <v>-7.2960683950707983</v>
      </c>
      <c r="V10" s="622">
        <f t="shared" si="4"/>
        <v>20.690035657373663</v>
      </c>
      <c r="W10" s="622">
        <f t="shared" si="4"/>
        <v>-6.5243364001763338</v>
      </c>
      <c r="X10" s="324" t="s">
        <v>313</v>
      </c>
    </row>
    <row r="11" spans="1:26" s="265" customFormat="1" ht="15">
      <c r="A11" s="393" t="s">
        <v>314</v>
      </c>
      <c r="B11" s="401">
        <v>404.6</v>
      </c>
      <c r="C11" s="413">
        <v>549.1</v>
      </c>
      <c r="D11" s="413">
        <v>593.9</v>
      </c>
      <c r="E11" s="413">
        <v>551.20000000000005</v>
      </c>
      <c r="F11" s="413">
        <v>611.5</v>
      </c>
      <c r="G11" s="413">
        <v>637.60149200000001</v>
      </c>
      <c r="H11" s="413">
        <v>712.88716299999999</v>
      </c>
      <c r="I11" s="413">
        <v>651.41233499999998</v>
      </c>
      <c r="J11" s="413">
        <v>774.11099200000001</v>
      </c>
      <c r="K11" s="413">
        <v>800.63111700000002</v>
      </c>
      <c r="L11" s="413">
        <v>794.20175268000003</v>
      </c>
      <c r="M11" s="413">
        <v>834.3948089999999</v>
      </c>
      <c r="N11" s="413">
        <v>963.49742169666672</v>
      </c>
      <c r="O11" s="413">
        <v>989.51231799999994</v>
      </c>
      <c r="P11" s="413">
        <v>992.17154100000005</v>
      </c>
      <c r="Q11" s="413">
        <v>936.42039899999997</v>
      </c>
      <c r="R11" s="505">
        <f t="shared" si="2"/>
        <v>6.862412744670622</v>
      </c>
      <c r="S11" s="413">
        <f t="shared" ref="S11:S27" si="7">+(M11/$M$8)*100</f>
        <v>5.9794402681543044</v>
      </c>
      <c r="T11" s="621">
        <f>+(N11/$N$8)*100</f>
        <v>5.9865706406347581</v>
      </c>
      <c r="U11" s="622">
        <f t="shared" si="3"/>
        <v>-0.8030370271007059</v>
      </c>
      <c r="V11" s="622">
        <f t="shared" si="4"/>
        <v>5.0608118383483891</v>
      </c>
      <c r="W11" s="622">
        <f t="shared" si="4"/>
        <v>15.472604971187787</v>
      </c>
      <c r="X11" s="324" t="s">
        <v>315</v>
      </c>
    </row>
    <row r="12" spans="1:26" s="265" customFormat="1" ht="15">
      <c r="A12" s="393" t="s">
        <v>316</v>
      </c>
      <c r="B12" s="623">
        <v>600.29999999999995</v>
      </c>
      <c r="C12" s="413">
        <v>833.4</v>
      </c>
      <c r="D12" s="413">
        <v>968.9</v>
      </c>
      <c r="E12" s="413">
        <v>1055.0999999999999</v>
      </c>
      <c r="F12" s="413">
        <v>1052.7</v>
      </c>
      <c r="G12" s="413">
        <v>1066.94895</v>
      </c>
      <c r="H12" s="413">
        <v>1097.180717</v>
      </c>
      <c r="I12" s="413">
        <v>1132.7824310000001</v>
      </c>
      <c r="J12" s="413">
        <v>1296.9194520000001</v>
      </c>
      <c r="K12" s="413">
        <v>1470.4859779999999</v>
      </c>
      <c r="L12" s="413">
        <v>1659.45558701</v>
      </c>
      <c r="M12" s="413">
        <v>1876.671333</v>
      </c>
      <c r="N12" s="413">
        <v>2466.7831013733335</v>
      </c>
      <c r="O12" s="413">
        <v>2220.3890259999998</v>
      </c>
      <c r="P12" s="413">
        <v>2239.018012</v>
      </c>
      <c r="Q12" s="413">
        <v>2173.0774339999998</v>
      </c>
      <c r="R12" s="505">
        <f t="shared" si="2"/>
        <v>14.338761065540856</v>
      </c>
      <c r="S12" s="413">
        <f t="shared" si="7"/>
        <v>13.448602529154776</v>
      </c>
      <c r="T12" s="621">
        <f t="shared" ref="T12:T27" si="8">+(N12/$N$8)*100</f>
        <v>15.327048063595916</v>
      </c>
      <c r="U12" s="622">
        <f t="shared" si="3"/>
        <v>12.850826994421038</v>
      </c>
      <c r="V12" s="622">
        <f t="shared" si="4"/>
        <v>13.089578756450981</v>
      </c>
      <c r="W12" s="622">
        <f t="shared" si="4"/>
        <v>31.444598635712918</v>
      </c>
      <c r="X12" s="324" t="s">
        <v>317</v>
      </c>
    </row>
    <row r="13" spans="1:26" s="265" customFormat="1" ht="15">
      <c r="A13" s="393" t="s">
        <v>318</v>
      </c>
      <c r="B13" s="506">
        <v>95.2</v>
      </c>
      <c r="C13" s="413">
        <v>83.7</v>
      </c>
      <c r="D13" s="413">
        <v>93.7</v>
      </c>
      <c r="E13" s="413">
        <v>92.5</v>
      </c>
      <c r="F13" s="413">
        <v>79.900000000000006</v>
      </c>
      <c r="G13" s="413">
        <v>81.131473</v>
      </c>
      <c r="H13" s="413">
        <v>69.508289000000005</v>
      </c>
      <c r="I13" s="413">
        <v>34.495502999999999</v>
      </c>
      <c r="J13" s="413">
        <v>34.602972000000001</v>
      </c>
      <c r="K13" s="413">
        <v>38.677588999999998</v>
      </c>
      <c r="L13" s="413">
        <v>45.511819899999999</v>
      </c>
      <c r="M13" s="413">
        <v>69.069176999999996</v>
      </c>
      <c r="N13" s="413">
        <v>107.55743066666668</v>
      </c>
      <c r="O13" s="413">
        <v>148.789783</v>
      </c>
      <c r="P13" s="413">
        <v>150.49301700000001</v>
      </c>
      <c r="Q13" s="413">
        <v>129.793961</v>
      </c>
      <c r="R13" s="505">
        <f t="shared" si="2"/>
        <v>0.39325132670760354</v>
      </c>
      <c r="S13" s="413">
        <f t="shared" si="7"/>
        <v>0.49496355177118212</v>
      </c>
      <c r="T13" s="621">
        <f t="shared" si="8"/>
        <v>0.66829463381157994</v>
      </c>
      <c r="U13" s="622">
        <f t="shared" si="3"/>
        <v>17.66974384054809</v>
      </c>
      <c r="V13" s="622">
        <f t="shared" si="4"/>
        <v>51.760964847727386</v>
      </c>
      <c r="W13" s="622">
        <f>+((N13/M13)-1)*100</f>
        <v>55.724210622441149</v>
      </c>
      <c r="X13" s="324" t="s">
        <v>319</v>
      </c>
    </row>
    <row r="14" spans="1:26" s="262" customFormat="1" ht="15">
      <c r="A14" s="384" t="s">
        <v>320</v>
      </c>
      <c r="B14" s="616">
        <f t="shared" ref="B14:I14" si="9">SUM(B15:B18)</f>
        <v>3817.6</v>
      </c>
      <c r="C14" s="616">
        <f t="shared" si="9"/>
        <v>3679.5</v>
      </c>
      <c r="D14" s="616">
        <f t="shared" si="9"/>
        <v>4016.4</v>
      </c>
      <c r="E14" s="616">
        <f t="shared" si="9"/>
        <v>4170.5</v>
      </c>
      <c r="F14" s="616">
        <f t="shared" si="9"/>
        <v>4282.6000000000004</v>
      </c>
      <c r="G14" s="616">
        <f t="shared" si="9"/>
        <v>4413.3455789999998</v>
      </c>
      <c r="H14" s="616">
        <f t="shared" si="9"/>
        <v>4345.2921539999998</v>
      </c>
      <c r="I14" s="616">
        <f t="shared" si="9"/>
        <v>3462.622922</v>
      </c>
      <c r="J14" s="616">
        <f>SUM(J15:J19)</f>
        <v>3544.46576</v>
      </c>
      <c r="K14" s="616">
        <f t="shared" ref="K14:Q14" si="10">SUM(K15:K19)</f>
        <v>4225.7286190000004</v>
      </c>
      <c r="L14" s="616">
        <f t="shared" si="10"/>
        <v>5531.6275246499999</v>
      </c>
      <c r="M14" s="616">
        <f t="shared" si="10"/>
        <v>7089.9977030000009</v>
      </c>
      <c r="N14" s="616">
        <f t="shared" si="10"/>
        <v>8236.5298372533343</v>
      </c>
      <c r="O14" s="616">
        <f t="shared" si="10"/>
        <v>8411.2020310000007</v>
      </c>
      <c r="P14" s="616">
        <f t="shared" si="10"/>
        <v>8505.485897999999</v>
      </c>
      <c r="Q14" s="616">
        <f t="shared" si="10"/>
        <v>8395.9167649999999</v>
      </c>
      <c r="R14" s="617">
        <f t="shared" si="2"/>
        <v>47.796811195434294</v>
      </c>
      <c r="S14" s="616">
        <f t="shared" si="7"/>
        <v>50.808343135844858</v>
      </c>
      <c r="T14" s="620">
        <f>+(N14/$N$8)*100</f>
        <v>51.176647279017395</v>
      </c>
      <c r="U14" s="619">
        <f t="shared" si="3"/>
        <v>30.90352039594617</v>
      </c>
      <c r="V14" s="619">
        <f t="shared" si="4"/>
        <v>28.17200130351516</v>
      </c>
      <c r="W14" s="619">
        <f t="shared" si="4"/>
        <v>16.171121378053478</v>
      </c>
      <c r="X14" s="391" t="s">
        <v>321</v>
      </c>
    </row>
    <row r="15" spans="1:26" s="265" customFormat="1" ht="15">
      <c r="A15" s="393" t="s">
        <v>322</v>
      </c>
      <c r="B15" s="401">
        <v>1149.4000000000001</v>
      </c>
      <c r="C15" s="413">
        <v>1467.1</v>
      </c>
      <c r="D15" s="413">
        <v>1958.3</v>
      </c>
      <c r="E15" s="413">
        <v>1632</v>
      </c>
      <c r="F15" s="413">
        <v>1703.1</v>
      </c>
      <c r="G15" s="413">
        <v>1731.0649900000001</v>
      </c>
      <c r="H15" s="413">
        <v>1801.544161</v>
      </c>
      <c r="I15" s="413">
        <v>1588.6194419999999</v>
      </c>
      <c r="J15" s="413">
        <v>1701.1680309999999</v>
      </c>
      <c r="K15" s="624">
        <v>2095.118363</v>
      </c>
      <c r="L15" s="413">
        <v>1927.3062449400002</v>
      </c>
      <c r="M15" s="413">
        <v>2111.528174</v>
      </c>
      <c r="N15" s="413">
        <v>2626.59782976</v>
      </c>
      <c r="O15" s="413">
        <v>2767.3188479999999</v>
      </c>
      <c r="P15" s="413">
        <v>2836.0528220000001</v>
      </c>
      <c r="Q15" s="413">
        <v>2818.3677120000002</v>
      </c>
      <c r="R15" s="505">
        <f t="shared" si="2"/>
        <v>16.653162617092018</v>
      </c>
      <c r="S15" s="413">
        <f t="shared" si="7"/>
        <v>15.131633676016708</v>
      </c>
      <c r="T15" s="621">
        <f t="shared" si="8"/>
        <v>16.320036876389899</v>
      </c>
      <c r="U15" s="622">
        <f t="shared" si="3"/>
        <v>-8.0096724377762492</v>
      </c>
      <c r="V15" s="622">
        <f t="shared" si="4"/>
        <v>9.5585187638788973</v>
      </c>
      <c r="W15" s="622">
        <f t="shared" si="4"/>
        <v>24.39321729646975</v>
      </c>
      <c r="X15" s="324" t="s">
        <v>323</v>
      </c>
    </row>
    <row r="16" spans="1:26" s="265" customFormat="1" ht="15">
      <c r="A16" s="393" t="s">
        <v>324</v>
      </c>
      <c r="B16" s="401">
        <v>682.3</v>
      </c>
      <c r="C16" s="413">
        <v>1037.3</v>
      </c>
      <c r="D16" s="413">
        <v>798.5</v>
      </c>
      <c r="E16" s="413">
        <v>875.1</v>
      </c>
      <c r="F16" s="413">
        <v>922.4</v>
      </c>
      <c r="G16" s="413">
        <v>966.45820000000003</v>
      </c>
      <c r="H16" s="413">
        <v>1327.7892979999999</v>
      </c>
      <c r="I16" s="413">
        <v>946.95926599999996</v>
      </c>
      <c r="J16" s="413">
        <v>356.75031100000001</v>
      </c>
      <c r="K16" s="413">
        <v>288.929912</v>
      </c>
      <c r="L16" s="413">
        <v>1369.90178399</v>
      </c>
      <c r="M16" s="413">
        <v>1723.199959</v>
      </c>
      <c r="N16" s="413">
        <v>1956.0536607833335</v>
      </c>
      <c r="O16" s="413">
        <v>2058.9275309999998</v>
      </c>
      <c r="P16" s="413">
        <v>2076.4199349999999</v>
      </c>
      <c r="Q16" s="413">
        <v>1992.0399</v>
      </c>
      <c r="R16" s="505">
        <f t="shared" si="2"/>
        <v>11.836830414535465</v>
      </c>
      <c r="S16" s="413">
        <f t="shared" si="7"/>
        <v>12.348795934235548</v>
      </c>
      <c r="T16" s="621">
        <f t="shared" si="8"/>
        <v>12.153694606188854</v>
      </c>
      <c r="U16" s="622">
        <f t="shared" si="3"/>
        <v>374.12944354131116</v>
      </c>
      <c r="V16" s="622">
        <f t="shared" si="4"/>
        <v>25.79003685804231</v>
      </c>
      <c r="W16" s="622">
        <f>+((N16/M16)-1)*100</f>
        <v>13.512866023886282</v>
      </c>
      <c r="X16" s="324" t="s">
        <v>325</v>
      </c>
    </row>
    <row r="17" spans="1:24" s="265" customFormat="1" ht="15">
      <c r="A17" s="393" t="s">
        <v>326</v>
      </c>
      <c r="B17" s="401">
        <v>231.4</v>
      </c>
      <c r="C17" s="413">
        <v>638.4</v>
      </c>
      <c r="D17" s="413">
        <v>772.2</v>
      </c>
      <c r="E17" s="413">
        <v>1202</v>
      </c>
      <c r="F17" s="413">
        <v>1115.4000000000001</v>
      </c>
      <c r="G17" s="413">
        <v>1165.9169099999999</v>
      </c>
      <c r="H17" s="413">
        <v>463.99557299999998</v>
      </c>
      <c r="I17" s="413">
        <v>577.73113499999999</v>
      </c>
      <c r="J17" s="413">
        <v>1132.764089</v>
      </c>
      <c r="K17" s="413">
        <v>1577.597278</v>
      </c>
      <c r="L17" s="413">
        <v>1958.0622446499999</v>
      </c>
      <c r="M17" s="413">
        <v>2924.2179980000001</v>
      </c>
      <c r="N17" s="413">
        <v>3301.37254373</v>
      </c>
      <c r="O17" s="413">
        <v>3253.0298670000002</v>
      </c>
      <c r="P17" s="413">
        <v>3254.9613129999998</v>
      </c>
      <c r="Q17" s="413">
        <v>3253.2746529999999</v>
      </c>
      <c r="R17" s="505">
        <f t="shared" si="2"/>
        <v>16.918914189249563</v>
      </c>
      <c r="S17" s="413">
        <f t="shared" si="7"/>
        <v>20.955531675776236</v>
      </c>
      <c r="T17" s="621">
        <f t="shared" si="8"/>
        <v>20.512665108421931</v>
      </c>
      <c r="U17" s="622">
        <f t="shared" si="3"/>
        <v>24.116735744646746</v>
      </c>
      <c r="V17" s="622">
        <f t="shared" si="4"/>
        <v>49.342443325783989</v>
      </c>
      <c r="W17" s="622">
        <f t="shared" si="4"/>
        <v>12.897620696813728</v>
      </c>
      <c r="X17" s="324" t="s">
        <v>327</v>
      </c>
    </row>
    <row r="18" spans="1:24" s="265" customFormat="1" ht="15">
      <c r="A18" s="393" t="s">
        <v>328</v>
      </c>
      <c r="B18" s="401">
        <v>1754.5</v>
      </c>
      <c r="C18" s="413">
        <v>536.70000000000005</v>
      </c>
      <c r="D18" s="413">
        <v>487.4</v>
      </c>
      <c r="E18" s="413">
        <v>461.4</v>
      </c>
      <c r="F18" s="413">
        <v>541.70000000000005</v>
      </c>
      <c r="G18" s="413">
        <v>549.90547900000001</v>
      </c>
      <c r="H18" s="413">
        <v>751.963122</v>
      </c>
      <c r="I18" s="413">
        <v>349.31307900000002</v>
      </c>
      <c r="J18" s="413">
        <v>353.78332899999998</v>
      </c>
      <c r="K18" s="413">
        <v>264.08306599999997</v>
      </c>
      <c r="L18" s="413">
        <v>4.6041600000000003</v>
      </c>
      <c r="M18" s="413">
        <v>3.837771</v>
      </c>
      <c r="N18" s="413">
        <v>8.3648729999999993</v>
      </c>
      <c r="O18" s="413">
        <v>36.957242999999998</v>
      </c>
      <c r="P18" s="413">
        <v>37.084266999999997</v>
      </c>
      <c r="Q18" s="413">
        <v>25.715098000000001</v>
      </c>
      <c r="R18" s="505">
        <f>+(L18/$L$8)*100</f>
        <v>3.9782896670631271E-2</v>
      </c>
      <c r="S18" s="413">
        <f>+(M18/$M$8)*100</f>
        <v>2.7502235404432883E-2</v>
      </c>
      <c r="T18" s="621">
        <f t="shared" si="8"/>
        <v>5.1974091457614571E-2</v>
      </c>
      <c r="U18" s="622">
        <f t="shared" si="3"/>
        <v>-98.256548566427199</v>
      </c>
      <c r="V18" s="622">
        <f t="shared" si="4"/>
        <v>-16.645577043369475</v>
      </c>
      <c r="W18" s="622">
        <f t="shared" si="4"/>
        <v>117.96175436210237</v>
      </c>
      <c r="X18" s="324" t="s">
        <v>329</v>
      </c>
    </row>
    <row r="19" spans="1:24" s="265" customFormat="1" ht="17.25">
      <c r="A19" s="393" t="s">
        <v>397</v>
      </c>
      <c r="B19" s="401"/>
      <c r="C19" s="413"/>
      <c r="D19" s="413"/>
      <c r="E19" s="413"/>
      <c r="F19" s="413"/>
      <c r="G19" s="413"/>
      <c r="H19" s="413"/>
      <c r="I19" s="413"/>
      <c r="J19" s="409">
        <v>0</v>
      </c>
      <c r="K19" s="409">
        <v>0</v>
      </c>
      <c r="L19" s="413">
        <v>271.75309106999975</v>
      </c>
      <c r="M19" s="413">
        <v>327.21380099999999</v>
      </c>
      <c r="N19" s="413">
        <v>344.14092997999995</v>
      </c>
      <c r="O19" s="413">
        <v>294.96854200000001</v>
      </c>
      <c r="P19" s="413">
        <v>300.96756099999999</v>
      </c>
      <c r="Q19" s="413">
        <v>306.51940200000001</v>
      </c>
      <c r="R19" s="505">
        <f>+(L19/$L$8)*100</f>
        <v>2.3481210778866175</v>
      </c>
      <c r="S19" s="413">
        <f>+(M19/$M$8)*100</f>
        <v>2.3448796144119219</v>
      </c>
      <c r="T19" s="621">
        <f>+(N19/$N$8)*100</f>
        <v>2.1382765965590931</v>
      </c>
      <c r="U19" s="409">
        <v>0</v>
      </c>
      <c r="V19" s="622">
        <f>+((M19/L19)-1)*100</f>
        <v>20.408492765116094</v>
      </c>
      <c r="W19" s="622">
        <f>+((N19/M19)-1)*100</f>
        <v>5.1731097307842422</v>
      </c>
      <c r="X19" s="511" t="s">
        <v>564</v>
      </c>
    </row>
    <row r="20" spans="1:24" s="262" customFormat="1" ht="15">
      <c r="A20" s="384" t="s">
        <v>330</v>
      </c>
      <c r="B20" s="616">
        <f t="shared" ref="B20:I20" si="11">SUM(B21:B25)</f>
        <v>266.3</v>
      </c>
      <c r="C20" s="616">
        <f t="shared" si="11"/>
        <v>293.99999999999994</v>
      </c>
      <c r="D20" s="616">
        <f t="shared" si="11"/>
        <v>309.5</v>
      </c>
      <c r="E20" s="616">
        <f t="shared" si="11"/>
        <v>330.00000000000006</v>
      </c>
      <c r="F20" s="616">
        <f t="shared" si="11"/>
        <v>292.89999999999998</v>
      </c>
      <c r="G20" s="616">
        <f t="shared" si="11"/>
        <v>304.13394399999993</v>
      </c>
      <c r="H20" s="616">
        <f t="shared" si="11"/>
        <v>255.78124300000002</v>
      </c>
      <c r="I20" s="616">
        <f t="shared" si="11"/>
        <v>265.56214700000004</v>
      </c>
      <c r="J20" s="616">
        <f>SUM(J21:J26)</f>
        <v>209.35414899999998</v>
      </c>
      <c r="K20" s="616">
        <f t="shared" ref="K20:Q20" si="12">SUM(K21:K26)</f>
        <v>209.18252100000001</v>
      </c>
      <c r="L20" s="616">
        <f t="shared" si="12"/>
        <v>300.81956875999992</v>
      </c>
      <c r="M20" s="616">
        <f t="shared" si="12"/>
        <v>348.30320599999999</v>
      </c>
      <c r="N20" s="616">
        <f t="shared" si="12"/>
        <v>426.31473999333332</v>
      </c>
      <c r="O20" s="616">
        <f t="shared" si="12"/>
        <v>599.87789899999996</v>
      </c>
      <c r="P20" s="616">
        <f t="shared" si="12"/>
        <v>551.79408100000012</v>
      </c>
      <c r="Q20" s="616">
        <f t="shared" si="12"/>
        <v>530.95678599999997</v>
      </c>
      <c r="R20" s="617">
        <f t="shared" si="2"/>
        <v>2.599274095705391</v>
      </c>
      <c r="S20" s="616">
        <f t="shared" si="7"/>
        <v>2.4960105132720738</v>
      </c>
      <c r="T20" s="620">
        <f t="shared" si="8"/>
        <v>2.648853280395612</v>
      </c>
      <c r="U20" s="619">
        <f t="shared" ref="U20:W24" si="13">+((L20/K20)-1)*100</f>
        <v>43.807220279174231</v>
      </c>
      <c r="V20" s="619">
        <f t="shared" si="13"/>
        <v>15.784756768228569</v>
      </c>
      <c r="W20" s="619">
        <f>+((N20/M20)-1)*100</f>
        <v>22.397592858600724</v>
      </c>
      <c r="X20" s="391" t="s">
        <v>275</v>
      </c>
    </row>
    <row r="21" spans="1:24" s="265" customFormat="1" ht="15">
      <c r="A21" s="393" t="s">
        <v>331</v>
      </c>
      <c r="B21" s="401">
        <v>25.8</v>
      </c>
      <c r="C21" s="413">
        <v>30.1</v>
      </c>
      <c r="D21" s="413">
        <v>36.9</v>
      </c>
      <c r="E21" s="413">
        <v>61.7</v>
      </c>
      <c r="F21" s="413">
        <v>63.7</v>
      </c>
      <c r="G21" s="413">
        <v>56.472088999999997</v>
      </c>
      <c r="H21" s="413">
        <v>35.399478999999999</v>
      </c>
      <c r="I21" s="413">
        <v>108.925563</v>
      </c>
      <c r="J21" s="413">
        <v>59.694450000000003</v>
      </c>
      <c r="K21" s="413">
        <v>45.578457</v>
      </c>
      <c r="L21" s="413">
        <v>62.856177169999995</v>
      </c>
      <c r="M21" s="413">
        <v>77.722431999999998</v>
      </c>
      <c r="N21" s="413">
        <v>44.223862223333327</v>
      </c>
      <c r="O21" s="413">
        <v>101.097014</v>
      </c>
      <c r="P21" s="413">
        <v>100.008858</v>
      </c>
      <c r="Q21" s="413">
        <v>89.760778000000002</v>
      </c>
      <c r="R21" s="505">
        <f t="shared" si="2"/>
        <v>0.54311770257006753</v>
      </c>
      <c r="S21" s="413">
        <f t="shared" si="7"/>
        <v>0.55697450970082041</v>
      </c>
      <c r="T21" s="621">
        <f t="shared" si="8"/>
        <v>0.27477943296980989</v>
      </c>
      <c r="U21" s="622">
        <f t="shared" si="13"/>
        <v>37.907646083762756</v>
      </c>
      <c r="V21" s="622">
        <f t="shared" si="13"/>
        <v>23.651223315399726</v>
      </c>
      <c r="W21" s="622">
        <f t="shared" si="13"/>
        <v>-43.100259364846785</v>
      </c>
      <c r="X21" s="625" t="s">
        <v>332</v>
      </c>
    </row>
    <row r="22" spans="1:24" s="265" customFormat="1" ht="15">
      <c r="A22" s="393" t="s">
        <v>333</v>
      </c>
      <c r="B22" s="401">
        <v>97.5</v>
      </c>
      <c r="C22" s="413">
        <v>145</v>
      </c>
      <c r="D22" s="413">
        <v>134</v>
      </c>
      <c r="E22" s="413">
        <v>176.9</v>
      </c>
      <c r="F22" s="413">
        <v>139.5</v>
      </c>
      <c r="G22" s="413">
        <v>154.75196</v>
      </c>
      <c r="H22" s="413">
        <v>95.280591000000001</v>
      </c>
      <c r="I22" s="413">
        <v>81.075993999999994</v>
      </c>
      <c r="J22" s="413">
        <v>78.940620999999993</v>
      </c>
      <c r="K22" s="413">
        <v>67.993539999999996</v>
      </c>
      <c r="L22" s="413">
        <v>35.804027499999997</v>
      </c>
      <c r="M22" s="413">
        <v>155.90539000000001</v>
      </c>
      <c r="N22" s="413">
        <v>212.92257755</v>
      </c>
      <c r="O22" s="413">
        <v>240.19330500000001</v>
      </c>
      <c r="P22" s="413">
        <v>233.470788</v>
      </c>
      <c r="Q22" s="413">
        <v>232.45152400000001</v>
      </c>
      <c r="R22" s="505">
        <f t="shared" si="2"/>
        <v>0.30936977134264232</v>
      </c>
      <c r="S22" s="413">
        <f t="shared" si="7"/>
        <v>1.1172492409265475</v>
      </c>
      <c r="T22" s="621">
        <f t="shared" si="8"/>
        <v>1.3229677867165146</v>
      </c>
      <c r="U22" s="622">
        <f t="shared" si="13"/>
        <v>-47.342015873860966</v>
      </c>
      <c r="V22" s="622">
        <f t="shared" si="13"/>
        <v>335.44092909659406</v>
      </c>
      <c r="W22" s="622">
        <f t="shared" si="13"/>
        <v>36.571658972149713</v>
      </c>
      <c r="X22" s="625" t="s">
        <v>334</v>
      </c>
    </row>
    <row r="23" spans="1:24" s="265" customFormat="1" ht="15">
      <c r="A23" s="393" t="s">
        <v>335</v>
      </c>
      <c r="B23" s="401">
        <v>16.899999999999999</v>
      </c>
      <c r="C23" s="413">
        <v>18.600000000000001</v>
      </c>
      <c r="D23" s="413">
        <v>32.700000000000003</v>
      </c>
      <c r="E23" s="413">
        <v>28.6</v>
      </c>
      <c r="F23" s="413">
        <v>33.5</v>
      </c>
      <c r="G23" s="413">
        <v>33.484577000000002</v>
      </c>
      <c r="H23" s="413">
        <v>29.27197</v>
      </c>
      <c r="I23" s="413">
        <v>17.173514000000001</v>
      </c>
      <c r="J23" s="413">
        <v>20.235569000000002</v>
      </c>
      <c r="K23" s="413">
        <v>27.574041999999999</v>
      </c>
      <c r="L23" s="413">
        <v>26.957459039999989</v>
      </c>
      <c r="M23" s="413">
        <v>32.610194</v>
      </c>
      <c r="N23" s="413">
        <v>29.078072353333337</v>
      </c>
      <c r="O23" s="413">
        <v>41.487737000000003</v>
      </c>
      <c r="P23" s="413">
        <v>41.817242999999998</v>
      </c>
      <c r="Q23" s="413">
        <v>40.956308</v>
      </c>
      <c r="R23" s="505">
        <f t="shared" si="2"/>
        <v>0.23292974342574851</v>
      </c>
      <c r="S23" s="413">
        <f t="shared" si="7"/>
        <v>0.23369117958633406</v>
      </c>
      <c r="T23" s="621">
        <f t="shared" si="8"/>
        <v>0.18067296322410162</v>
      </c>
      <c r="U23" s="622">
        <f t="shared" si="13"/>
        <v>-2.2360992994788664</v>
      </c>
      <c r="V23" s="622">
        <f t="shared" si="13"/>
        <v>20.969094125719991</v>
      </c>
      <c r="W23" s="622">
        <f>+((N23/M23)-1)*100</f>
        <v>-10.831342023499346</v>
      </c>
      <c r="X23" s="625" t="s">
        <v>336</v>
      </c>
    </row>
    <row r="24" spans="1:24" s="265" customFormat="1" ht="15">
      <c r="A24" s="412" t="s">
        <v>337</v>
      </c>
      <c r="B24" s="401">
        <v>107.8</v>
      </c>
      <c r="C24" s="413">
        <v>80.099999999999994</v>
      </c>
      <c r="D24" s="413">
        <v>87.7</v>
      </c>
      <c r="E24" s="413">
        <v>48.5</v>
      </c>
      <c r="F24" s="413">
        <v>38.9</v>
      </c>
      <c r="G24" s="413">
        <v>42.022793999999998</v>
      </c>
      <c r="H24" s="413">
        <v>78.335824000000002</v>
      </c>
      <c r="I24" s="413">
        <v>43.838565000000003</v>
      </c>
      <c r="J24" s="413">
        <v>33.652334000000003</v>
      </c>
      <c r="K24" s="413">
        <v>52.352131999999997</v>
      </c>
      <c r="L24" s="413">
        <v>33.053981409999999</v>
      </c>
      <c r="M24" s="413">
        <v>48.876987999999997</v>
      </c>
      <c r="N24" s="413">
        <v>88.751945776666659</v>
      </c>
      <c r="O24" s="413">
        <v>174.086072</v>
      </c>
      <c r="P24" s="413">
        <v>129.22177500000001</v>
      </c>
      <c r="Q24" s="413">
        <v>118.859917</v>
      </c>
      <c r="R24" s="505">
        <f t="shared" si="2"/>
        <v>0.28560760855117906</v>
      </c>
      <c r="S24" s="413">
        <f t="shared" si="7"/>
        <v>0.35026228241227553</v>
      </c>
      <c r="T24" s="621">
        <f t="shared" si="8"/>
        <v>0.5514491070979467</v>
      </c>
      <c r="U24" s="622">
        <f t="shared" si="13"/>
        <v>-36.862205707305293</v>
      </c>
      <c r="V24" s="622">
        <f t="shared" si="13"/>
        <v>47.870198732588932</v>
      </c>
      <c r="W24" s="622">
        <f t="shared" si="13"/>
        <v>81.582272984306357</v>
      </c>
      <c r="X24" s="625" t="s">
        <v>338</v>
      </c>
    </row>
    <row r="25" spans="1:24" s="265" customFormat="1" ht="15">
      <c r="A25" s="412" t="s">
        <v>339</v>
      </c>
      <c r="B25" s="401">
        <v>18.3</v>
      </c>
      <c r="C25" s="413">
        <v>20.2</v>
      </c>
      <c r="D25" s="413">
        <v>18.2</v>
      </c>
      <c r="E25" s="413">
        <v>14.3</v>
      </c>
      <c r="F25" s="413">
        <v>17.3</v>
      </c>
      <c r="G25" s="413">
        <v>17.402524</v>
      </c>
      <c r="H25" s="413">
        <v>17.493379000000001</v>
      </c>
      <c r="I25" s="413">
        <v>14.548511</v>
      </c>
      <c r="J25" s="413">
        <v>16.831175000000002</v>
      </c>
      <c r="K25" s="413">
        <v>15.68435</v>
      </c>
      <c r="L25" s="413">
        <v>140.28595263999998</v>
      </c>
      <c r="M25" s="413">
        <v>31.397749000000001</v>
      </c>
      <c r="N25" s="413">
        <v>48.329011089999995</v>
      </c>
      <c r="O25" s="413">
        <v>40.779578999999998</v>
      </c>
      <c r="P25" s="413">
        <v>45.041224999999997</v>
      </c>
      <c r="Q25" s="413">
        <v>46.694066999999997</v>
      </c>
      <c r="R25" s="505">
        <f t="shared" si="2"/>
        <v>1.212160645637465</v>
      </c>
      <c r="S25" s="413">
        <f t="shared" si="7"/>
        <v>0.22500255595430194</v>
      </c>
      <c r="T25" s="621">
        <f t="shared" si="8"/>
        <v>0.30028626166203942</v>
      </c>
      <c r="U25" s="622">
        <f>+((L25/K25)-1)*100</f>
        <v>794.43268378989239</v>
      </c>
      <c r="V25" s="622">
        <f>+((M25/L25)-1)*100</f>
        <v>-77.618750552614131</v>
      </c>
      <c r="W25" s="622">
        <f>+((N25/M25)-1)*100</f>
        <v>53.925082622961249</v>
      </c>
      <c r="X25" s="626" t="s">
        <v>340</v>
      </c>
    </row>
    <row r="26" spans="1:24" s="265" customFormat="1" ht="15">
      <c r="A26" s="412" t="s">
        <v>398</v>
      </c>
      <c r="B26" s="401"/>
      <c r="C26" s="413"/>
      <c r="D26" s="413"/>
      <c r="E26" s="413"/>
      <c r="F26" s="413"/>
      <c r="G26" s="413"/>
      <c r="H26" s="413"/>
      <c r="I26" s="413"/>
      <c r="J26" s="413">
        <v>0</v>
      </c>
      <c r="K26" s="413">
        <v>0</v>
      </c>
      <c r="L26" s="413">
        <v>1.861971</v>
      </c>
      <c r="M26" s="413">
        <v>1.7904530000000001</v>
      </c>
      <c r="N26" s="413">
        <v>3.009271</v>
      </c>
      <c r="O26" s="413">
        <v>2.2341920000000002</v>
      </c>
      <c r="P26" s="413">
        <v>2.2341920000000002</v>
      </c>
      <c r="Q26" s="413">
        <v>2.2341920000000002</v>
      </c>
      <c r="R26" s="505">
        <f t="shared" si="2"/>
        <v>1.6088624178289195E-2</v>
      </c>
      <c r="S26" s="413">
        <f t="shared" si="7"/>
        <v>1.2830744691794552E-2</v>
      </c>
      <c r="T26" s="621">
        <f t="shared" si="8"/>
        <v>1.8697728725199685E-2</v>
      </c>
      <c r="U26" s="409">
        <v>0</v>
      </c>
      <c r="V26" s="622">
        <f>+((M26/L26)-1)*100</f>
        <v>-3.8409835598943287</v>
      </c>
      <c r="W26" s="622">
        <f>+((N26/M26)-1)*100</f>
        <v>68.073163607198836</v>
      </c>
      <c r="X26" s="626"/>
    </row>
    <row r="27" spans="1:24" s="262" customFormat="1" ht="15">
      <c r="A27" s="438" t="s">
        <v>341</v>
      </c>
      <c r="B27" s="416">
        <v>234.3</v>
      </c>
      <c r="C27" s="627">
        <v>280</v>
      </c>
      <c r="D27" s="627">
        <v>339.9</v>
      </c>
      <c r="E27" s="627">
        <v>592.79999999999995</v>
      </c>
      <c r="F27" s="627">
        <v>554.5</v>
      </c>
      <c r="G27" s="627">
        <v>434.04570899999999</v>
      </c>
      <c r="H27" s="627">
        <v>617.87877800000001</v>
      </c>
      <c r="I27" s="627">
        <v>662.05533700000001</v>
      </c>
      <c r="J27" s="627">
        <v>725.8</v>
      </c>
      <c r="K27" s="627">
        <v>1107.0812289999999</v>
      </c>
      <c r="L27" s="627">
        <v>956.72619699999996</v>
      </c>
      <c r="M27" s="627">
        <v>978.34736899999996</v>
      </c>
      <c r="N27" s="627">
        <v>1315.9335030526299</v>
      </c>
      <c r="O27" s="627">
        <v>1400.3110469999999</v>
      </c>
      <c r="P27" s="627">
        <v>1389.6848210000001</v>
      </c>
      <c r="Q27" s="627">
        <v>1642.013205</v>
      </c>
      <c r="R27" s="628">
        <f t="shared" si="2"/>
        <v>8.2667282278063769</v>
      </c>
      <c r="S27" s="627">
        <f t="shared" si="7"/>
        <v>7.0110331360431779</v>
      </c>
      <c r="T27" s="629">
        <f t="shared" si="8"/>
        <v>8.1763881220667098</v>
      </c>
      <c r="U27" s="630">
        <f>+((L27/K27)-1)*100</f>
        <v>-13.581210489478901</v>
      </c>
      <c r="V27" s="630">
        <f>+((M27/L27)-1)*100</f>
        <v>2.2599121951293322</v>
      </c>
      <c r="W27" s="630">
        <f>+((N27/M27)-1)*100</f>
        <v>34.505753758778688</v>
      </c>
      <c r="X27" s="631" t="s">
        <v>342</v>
      </c>
    </row>
    <row r="28" spans="1:24" s="265" customFormat="1" ht="15">
      <c r="A28" s="273" t="s">
        <v>192</v>
      </c>
      <c r="B28" s="478"/>
      <c r="C28" s="478"/>
      <c r="D28" s="478"/>
      <c r="E28" s="478"/>
      <c r="F28" s="478"/>
      <c r="G28" s="478"/>
      <c r="H28" s="478"/>
      <c r="I28" s="478"/>
      <c r="J28" s="478"/>
      <c r="K28" s="478"/>
      <c r="L28" s="478"/>
      <c r="M28" s="478"/>
      <c r="N28" s="478"/>
      <c r="O28" s="478"/>
      <c r="P28" s="478"/>
      <c r="Q28" s="478"/>
      <c r="R28" s="478"/>
      <c r="S28" s="478"/>
      <c r="T28" s="478"/>
      <c r="U28" s="479"/>
      <c r="V28" s="479"/>
      <c r="W28" s="479"/>
      <c r="X28" s="324" t="s">
        <v>193</v>
      </c>
    </row>
    <row r="29" spans="1:24" s="265" customFormat="1" ht="15">
      <c r="A29" s="273" t="s">
        <v>343</v>
      </c>
      <c r="B29" s="478"/>
      <c r="C29" s="478"/>
      <c r="D29" s="478"/>
      <c r="E29" s="478"/>
      <c r="F29" s="478"/>
      <c r="G29" s="478"/>
      <c r="H29" s="478"/>
      <c r="I29" s="478"/>
      <c r="J29" s="478"/>
      <c r="K29" s="478"/>
      <c r="L29" s="478"/>
      <c r="M29" s="478"/>
      <c r="N29" s="478"/>
      <c r="O29" s="478"/>
      <c r="P29" s="478"/>
      <c r="Q29" s="478"/>
      <c r="R29" s="478"/>
      <c r="S29" s="478"/>
      <c r="T29" s="478"/>
      <c r="U29" s="479"/>
      <c r="V29" s="479"/>
      <c r="W29" s="479"/>
      <c r="X29" s="324" t="s">
        <v>344</v>
      </c>
    </row>
    <row r="30" spans="1:24" s="265" customFormat="1">
      <c r="A30" s="273"/>
      <c r="B30" s="522"/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522"/>
      <c r="N30" s="522"/>
      <c r="O30" s="522"/>
      <c r="P30" s="522"/>
      <c r="Q30" s="522"/>
      <c r="R30" s="522"/>
      <c r="S30" s="522"/>
      <c r="T30" s="522"/>
      <c r="U30" s="632"/>
      <c r="V30" s="632"/>
      <c r="W30" s="632"/>
    </row>
    <row r="31" spans="1:24" s="636" customFormat="1" ht="12.75">
      <c r="A31" s="633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4"/>
      <c r="T31" s="634"/>
      <c r="U31" s="635"/>
      <c r="V31" s="635"/>
      <c r="W31" s="635"/>
    </row>
    <row r="32" spans="1:24" s="636" customFormat="1" ht="12.75">
      <c r="A32" s="633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4"/>
      <c r="P32" s="634"/>
      <c r="Q32" s="634"/>
      <c r="R32" s="634"/>
      <c r="S32" s="634"/>
      <c r="T32" s="634"/>
      <c r="U32" s="635"/>
      <c r="V32" s="635"/>
      <c r="W32" s="635"/>
    </row>
    <row r="33" spans="1:23" s="636" customFormat="1" ht="12.75">
      <c r="A33" s="633"/>
      <c r="B33" s="634"/>
      <c r="C33" s="634"/>
      <c r="D33" s="634"/>
      <c r="E33" s="634"/>
      <c r="F33" s="634"/>
      <c r="G33" s="634"/>
      <c r="H33" s="634"/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4"/>
      <c r="U33" s="635"/>
      <c r="V33" s="635"/>
      <c r="W33" s="635"/>
    </row>
    <row r="34" spans="1:23" s="636" customFormat="1" ht="12.75">
      <c r="A34" s="633"/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634"/>
      <c r="M34" s="634"/>
      <c r="N34" s="634"/>
      <c r="O34" s="634"/>
      <c r="P34" s="634"/>
      <c r="Q34" s="634"/>
      <c r="R34" s="634"/>
      <c r="S34" s="634"/>
      <c r="T34" s="634"/>
      <c r="U34" s="635"/>
      <c r="V34" s="635"/>
      <c r="W34" s="635"/>
    </row>
    <row r="35" spans="1:23" s="636" customFormat="1" ht="12.75">
      <c r="A35" s="633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4"/>
      <c r="P35" s="634"/>
      <c r="Q35" s="634"/>
      <c r="R35" s="634"/>
      <c r="S35" s="634"/>
      <c r="T35" s="634"/>
      <c r="U35" s="635"/>
      <c r="V35" s="635"/>
      <c r="W35" s="635"/>
    </row>
    <row r="36" spans="1:23" s="636" customFormat="1" ht="12.75">
      <c r="A36" s="633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4"/>
      <c r="P36" s="634"/>
      <c r="Q36" s="634"/>
      <c r="R36" s="634"/>
      <c r="S36" s="634"/>
      <c r="T36" s="634"/>
      <c r="U36" s="635"/>
      <c r="V36" s="635"/>
      <c r="W36" s="635"/>
    </row>
    <row r="37" spans="1:23" s="636" customFormat="1">
      <c r="B37" s="637"/>
      <c r="C37" s="637"/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7"/>
      <c r="O37" s="637"/>
      <c r="P37" s="637"/>
      <c r="Q37" s="637"/>
      <c r="R37" s="637"/>
      <c r="S37" s="637"/>
      <c r="T37" s="637"/>
      <c r="U37" s="638"/>
      <c r="V37" s="638"/>
      <c r="W37" s="638"/>
    </row>
  </sheetData>
  <mergeCells count="9">
    <mergeCell ref="R6:S6"/>
    <mergeCell ref="U5:V5"/>
    <mergeCell ref="U6:V6"/>
    <mergeCell ref="A1:X1"/>
    <mergeCell ref="A2:X2"/>
    <mergeCell ref="A3:X3"/>
    <mergeCell ref="A4:X4"/>
    <mergeCell ref="E5:G5"/>
    <mergeCell ref="R5:S5"/>
  </mergeCells>
  <pageMargins left="0.17" right="0.16" top="0.75" bottom="0.75" header="0.3" footer="0.3"/>
  <pageSetup paperSize="9" scale="90" orientation="landscape" r:id="rId1"/>
  <colBreaks count="1" manualBreakCount="1">
    <brk id="2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zoomScale="110" zoomScaleNormal="110" workbookViewId="0">
      <selection activeCell="N32" sqref="N32"/>
    </sheetView>
  </sheetViews>
  <sheetFormatPr defaultColWidth="8.85546875" defaultRowHeight="12.75"/>
  <cols>
    <col min="1" max="1" width="29.140625" style="240" customWidth="1"/>
    <col min="2" max="11" width="8.85546875" style="280" hidden="1" customWidth="1"/>
    <col min="12" max="12" width="8.85546875" style="280"/>
    <col min="13" max="13" width="10.140625" style="280" customWidth="1"/>
    <col min="14" max="14" width="11.5703125" style="280" customWidth="1"/>
    <col min="15" max="17" width="8.85546875" style="280"/>
    <col min="18" max="18" width="12.42578125" style="280" customWidth="1"/>
    <col min="19" max="20" width="10.28515625" style="280" customWidth="1"/>
    <col min="21" max="21" width="1.28515625" style="280" customWidth="1"/>
    <col min="22" max="22" width="14.7109375" style="280" customWidth="1"/>
    <col min="23" max="23" width="12.5703125" style="280" customWidth="1"/>
    <col min="24" max="24" width="0.140625" style="280" customWidth="1"/>
    <col min="25" max="25" width="16.28515625" style="280" customWidth="1"/>
    <col min="26" max="26" width="42" style="240" customWidth="1"/>
    <col min="27" max="16384" width="8.85546875" style="240"/>
  </cols>
  <sheetData>
    <row r="1" spans="1:26" ht="19.5">
      <c r="A1" s="681" t="s">
        <v>631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</row>
    <row r="2" spans="1:26">
      <c r="A2" s="741" t="s">
        <v>630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  <c r="Y2" s="741"/>
      <c r="Z2" s="741"/>
    </row>
    <row r="3" spans="1:26" ht="14.25">
      <c r="A3" s="742" t="s">
        <v>194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2"/>
      <c r="X3" s="742"/>
      <c r="Y3" s="742"/>
      <c r="Z3" s="742"/>
    </row>
    <row r="4" spans="1:26" s="242" customFormat="1">
      <c r="A4" s="724" t="s">
        <v>304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4"/>
      <c r="U4" s="724"/>
      <c r="V4" s="724"/>
      <c r="W4" s="724"/>
      <c r="X4" s="724"/>
      <c r="Y4" s="724"/>
      <c r="Z4" s="724"/>
    </row>
    <row r="5" spans="1:26" s="242" customFormat="1" ht="18.75">
      <c r="A5" s="483"/>
      <c r="B5" s="483"/>
      <c r="D5" s="484" t="s">
        <v>2</v>
      </c>
      <c r="E5" s="750" t="s">
        <v>66</v>
      </c>
      <c r="F5" s="750"/>
      <c r="G5" s="750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751" t="s">
        <v>345</v>
      </c>
      <c r="S5" s="752"/>
      <c r="T5" s="753"/>
      <c r="U5" s="486"/>
      <c r="V5" s="748" t="s">
        <v>299</v>
      </c>
      <c r="W5" s="748"/>
      <c r="X5" s="748"/>
      <c r="Y5" s="748"/>
    </row>
    <row r="6" spans="1:26" s="327" customFormat="1" ht="15">
      <c r="A6" s="487" t="s">
        <v>1</v>
      </c>
      <c r="D6" s="432" t="s">
        <v>346</v>
      </c>
      <c r="E6" s="488" t="s">
        <v>5</v>
      </c>
      <c r="F6" s="488" t="s">
        <v>5</v>
      </c>
      <c r="G6" s="488" t="s">
        <v>5</v>
      </c>
      <c r="H6" s="488"/>
      <c r="I6" s="488"/>
      <c r="J6" s="488"/>
      <c r="K6" s="488" t="s">
        <v>4</v>
      </c>
      <c r="L6" s="488" t="s">
        <v>4</v>
      </c>
      <c r="M6" s="488" t="s">
        <v>4</v>
      </c>
      <c r="N6" s="488" t="s">
        <v>6</v>
      </c>
      <c r="O6" s="488" t="s">
        <v>5</v>
      </c>
      <c r="P6" s="488" t="s">
        <v>5</v>
      </c>
      <c r="Q6" s="488" t="s">
        <v>5</v>
      </c>
      <c r="R6" s="745" t="s">
        <v>309</v>
      </c>
      <c r="S6" s="746"/>
      <c r="T6" s="747"/>
      <c r="U6" s="489"/>
      <c r="V6" s="749" t="s">
        <v>249</v>
      </c>
      <c r="W6" s="749"/>
      <c r="X6" s="749"/>
      <c r="Y6" s="749"/>
      <c r="Z6" s="68" t="s">
        <v>3</v>
      </c>
    </row>
    <row r="7" spans="1:26" s="495" customFormat="1" ht="12">
      <c r="A7" s="490"/>
      <c r="B7" s="490">
        <v>2007</v>
      </c>
      <c r="C7" s="490">
        <v>2008</v>
      </c>
      <c r="D7" s="490">
        <v>2009</v>
      </c>
      <c r="E7" s="490">
        <v>2010</v>
      </c>
      <c r="F7" s="490">
        <v>2011</v>
      </c>
      <c r="G7" s="490">
        <v>2012</v>
      </c>
      <c r="H7" s="490">
        <v>2009</v>
      </c>
      <c r="I7" s="490">
        <v>2010</v>
      </c>
      <c r="J7" s="490">
        <v>2011</v>
      </c>
      <c r="K7" s="490">
        <v>2012</v>
      </c>
      <c r="L7" s="490">
        <v>2013</v>
      </c>
      <c r="M7" s="490">
        <v>2014</v>
      </c>
      <c r="N7" s="490">
        <v>2015</v>
      </c>
      <c r="O7" s="490">
        <v>2016</v>
      </c>
      <c r="P7" s="490">
        <v>2017</v>
      </c>
      <c r="Q7" s="490">
        <v>2018</v>
      </c>
      <c r="R7" s="491">
        <v>2013</v>
      </c>
      <c r="S7" s="490">
        <v>2014</v>
      </c>
      <c r="T7" s="492">
        <v>2015</v>
      </c>
      <c r="U7" s="490"/>
      <c r="V7" s="493" t="s">
        <v>292</v>
      </c>
      <c r="W7" s="493" t="s">
        <v>389</v>
      </c>
      <c r="X7" s="493" t="s">
        <v>582</v>
      </c>
      <c r="Y7" s="493" t="s">
        <v>585</v>
      </c>
      <c r="Z7" s="494"/>
    </row>
    <row r="8" spans="1:26" s="262" customFormat="1" ht="18" customHeight="1">
      <c r="A8" s="384" t="s">
        <v>347</v>
      </c>
      <c r="B8" s="496">
        <f t="shared" ref="B8:O8" si="0">SUM(B9,B28)</f>
        <v>1640.8000000000002</v>
      </c>
      <c r="C8" s="496">
        <f t="shared" si="0"/>
        <v>2712.7999999999997</v>
      </c>
      <c r="D8" s="496">
        <f t="shared" si="0"/>
        <v>2938.9670029999997</v>
      </c>
      <c r="E8" s="496">
        <f t="shared" si="0"/>
        <v>1791.4</v>
      </c>
      <c r="F8" s="496">
        <f t="shared" si="0"/>
        <v>1261.8</v>
      </c>
      <c r="G8" s="496">
        <f t="shared" si="0"/>
        <v>1398.8000000000002</v>
      </c>
      <c r="H8" s="496">
        <f t="shared" si="0"/>
        <v>2214.6986589999997</v>
      </c>
      <c r="I8" s="496">
        <f t="shared" si="0"/>
        <v>2445.9177938999997</v>
      </c>
      <c r="J8" s="496">
        <f t="shared" si="0"/>
        <v>3188.9832150000002</v>
      </c>
      <c r="K8" s="496">
        <f t="shared" si="0"/>
        <v>2793.5176700000002</v>
      </c>
      <c r="L8" s="496">
        <f t="shared" si="0"/>
        <v>1957.5564169399997</v>
      </c>
      <c r="M8" s="496">
        <f t="shared" si="0"/>
        <v>2462.8850039999998</v>
      </c>
      <c r="N8" s="496">
        <f t="shared" si="0"/>
        <v>5191.7788279112428</v>
      </c>
      <c r="O8" s="496">
        <f t="shared" si="0"/>
        <v>10045.176248</v>
      </c>
      <c r="P8" s="496">
        <f t="shared" ref="P8" si="1">SUM(P9,P28)</f>
        <v>10698.300589709999</v>
      </c>
      <c r="Q8" s="496">
        <f t="shared" ref="Q8" si="2">SUM(Q9,Q28)</f>
        <v>8800.204262242909</v>
      </c>
      <c r="R8" s="497"/>
      <c r="S8" s="498"/>
      <c r="T8" s="499"/>
      <c r="U8" s="500"/>
      <c r="V8" s="501">
        <f>+((L8/K8)-1)*100</f>
        <v>-29.925039030091416</v>
      </c>
      <c r="W8" s="501">
        <f>+((M8/L8)-1)*100</f>
        <v>25.814254071405827</v>
      </c>
      <c r="X8" s="501">
        <f t="shared" ref="X8" si="3">+((N8/M8)-1)*100</f>
        <v>110.80069997093713</v>
      </c>
      <c r="Y8" s="502">
        <f>+((N8/M8)-1)*100</f>
        <v>110.80069997093713</v>
      </c>
      <c r="Z8" s="391" t="s">
        <v>348</v>
      </c>
    </row>
    <row r="9" spans="1:26" s="262" customFormat="1" ht="18" customHeight="1">
      <c r="A9" s="384" t="s">
        <v>349</v>
      </c>
      <c r="B9" s="496">
        <f t="shared" ref="B9:O9" si="4">SUM(B10,B15,B21)</f>
        <v>1765.3000000000002</v>
      </c>
      <c r="C9" s="496">
        <f t="shared" si="4"/>
        <v>2879.2</v>
      </c>
      <c r="D9" s="496">
        <f t="shared" si="4"/>
        <v>3007.8670029999998</v>
      </c>
      <c r="E9" s="496">
        <f t="shared" si="4"/>
        <v>2038.9</v>
      </c>
      <c r="F9" s="496">
        <f t="shared" si="4"/>
        <v>1537</v>
      </c>
      <c r="G9" s="496">
        <f t="shared" si="4"/>
        <v>1645.0000000000002</v>
      </c>
      <c r="H9" s="496">
        <f t="shared" si="4"/>
        <v>2365.5349919999999</v>
      </c>
      <c r="I9" s="496">
        <f t="shared" si="4"/>
        <v>2627.2177938999998</v>
      </c>
      <c r="J9" s="496">
        <f t="shared" si="4"/>
        <v>3587.9832150000002</v>
      </c>
      <c r="K9" s="496">
        <f t="shared" si="4"/>
        <v>2883.7493060000002</v>
      </c>
      <c r="L9" s="496">
        <f t="shared" si="4"/>
        <v>2093.0414239399997</v>
      </c>
      <c r="M9" s="496">
        <f t="shared" si="4"/>
        <v>2585.0470539999997</v>
      </c>
      <c r="N9" s="496">
        <f t="shared" si="4"/>
        <v>5205.3422718459551</v>
      </c>
      <c r="O9" s="496">
        <f t="shared" si="4"/>
        <v>10029.617855</v>
      </c>
      <c r="P9" s="496">
        <f t="shared" ref="P9:Q9" si="5">SUM(P10,P15,P21)</f>
        <v>10598.04570771</v>
      </c>
      <c r="Q9" s="496">
        <f t="shared" si="5"/>
        <v>8826.2520409999997</v>
      </c>
      <c r="R9" s="497">
        <f>+(L9/$L$9)*100</f>
        <v>100</v>
      </c>
      <c r="S9" s="500">
        <f>+(M9/$M$9)*100</f>
        <v>100</v>
      </c>
      <c r="T9" s="503">
        <f>+(N9/$N$9)*100</f>
        <v>100</v>
      </c>
      <c r="U9" s="500"/>
      <c r="V9" s="501">
        <f t="shared" ref="V9:W28" si="6">+((L9/K9)-1)*100</f>
        <v>-27.419439006533409</v>
      </c>
      <c r="W9" s="501">
        <f t="shared" si="6"/>
        <v>23.506731612307739</v>
      </c>
      <c r="X9" s="501">
        <f t="shared" ref="X9:X23" si="7">+((N9/M9)-1)*100</f>
        <v>101.36354051240244</v>
      </c>
      <c r="Y9" s="502">
        <f t="shared" ref="Y9:Y31" si="8">+((N9/M9)-1)*100</f>
        <v>101.36354051240244</v>
      </c>
      <c r="Z9" s="391" t="s">
        <v>350</v>
      </c>
    </row>
    <row r="10" spans="1:26" s="262" customFormat="1" ht="18" customHeight="1">
      <c r="A10" s="384" t="s">
        <v>351</v>
      </c>
      <c r="B10" s="496">
        <f t="shared" ref="B10:O10" si="9">SUM(B11:B14)</f>
        <v>808.9</v>
      </c>
      <c r="C10" s="496">
        <f t="shared" si="9"/>
        <v>498.79999999999995</v>
      </c>
      <c r="D10" s="496">
        <f t="shared" si="9"/>
        <v>867.71007999999995</v>
      </c>
      <c r="E10" s="496">
        <f t="shared" si="9"/>
        <v>495.4</v>
      </c>
      <c r="F10" s="496">
        <f t="shared" si="9"/>
        <v>381.3</v>
      </c>
      <c r="G10" s="496">
        <f t="shared" si="9"/>
        <v>709.7</v>
      </c>
      <c r="H10" s="496">
        <f t="shared" si="9"/>
        <v>696.52141600000004</v>
      </c>
      <c r="I10" s="496">
        <f t="shared" si="9"/>
        <v>635.70163600000001</v>
      </c>
      <c r="J10" s="496">
        <f t="shared" si="9"/>
        <v>1285.636868</v>
      </c>
      <c r="K10" s="496">
        <f t="shared" si="9"/>
        <v>1139.8289990000001</v>
      </c>
      <c r="L10" s="496">
        <f t="shared" si="9"/>
        <v>462.58586595999998</v>
      </c>
      <c r="M10" s="496">
        <f t="shared" si="9"/>
        <v>679.01722999999993</v>
      </c>
      <c r="N10" s="496">
        <f t="shared" si="9"/>
        <v>1719.7020305552883</v>
      </c>
      <c r="O10" s="496">
        <f t="shared" si="9"/>
        <v>2002.5255470000002</v>
      </c>
      <c r="P10" s="496">
        <f t="shared" ref="P10:Q10" si="10">SUM(P11:P14)</f>
        <v>1850.2315947099999</v>
      </c>
      <c r="Q10" s="496">
        <f t="shared" si="10"/>
        <v>1086.6580180000001</v>
      </c>
      <c r="R10" s="497">
        <f t="shared" ref="R10:R27" si="11">+(L10/$L$9)*100</f>
        <v>22.101132861919922</v>
      </c>
      <c r="S10" s="500">
        <f>+(M10/$M$9)*100</f>
        <v>26.267112969928942</v>
      </c>
      <c r="T10" s="503">
        <f>+(N10/$N$9)*100</f>
        <v>33.037251745319629</v>
      </c>
      <c r="U10" s="500"/>
      <c r="V10" s="501">
        <f t="shared" si="6"/>
        <v>-59.416204854777519</v>
      </c>
      <c r="W10" s="501">
        <f t="shared" si="6"/>
        <v>46.787284257127482</v>
      </c>
      <c r="X10" s="501">
        <f t="shared" si="7"/>
        <v>153.2633863437145</v>
      </c>
      <c r="Y10" s="502">
        <f t="shared" si="8"/>
        <v>153.2633863437145</v>
      </c>
      <c r="Z10" s="391" t="s">
        <v>352</v>
      </c>
    </row>
    <row r="11" spans="1:26" s="265" customFormat="1" ht="18" customHeight="1">
      <c r="A11" s="393" t="s">
        <v>353</v>
      </c>
      <c r="B11" s="395">
        <v>465.50000000000006</v>
      </c>
      <c r="C11" s="504">
        <v>300.39999999999998</v>
      </c>
      <c r="D11" s="504">
        <v>659</v>
      </c>
      <c r="E11" s="504">
        <v>197</v>
      </c>
      <c r="F11" s="504">
        <v>230.9</v>
      </c>
      <c r="G11" s="504">
        <v>523.29999999999995</v>
      </c>
      <c r="H11" s="504">
        <v>557.45811400000002</v>
      </c>
      <c r="I11" s="504">
        <v>524.06922099999997</v>
      </c>
      <c r="J11" s="504">
        <v>923.85471400000006</v>
      </c>
      <c r="K11" s="504">
        <v>967.18460399999992</v>
      </c>
      <c r="L11" s="413">
        <v>254.18770169000001</v>
      </c>
      <c r="M11" s="413">
        <v>432.35995500000001</v>
      </c>
      <c r="N11" s="413">
        <v>975.26589728862155</v>
      </c>
      <c r="O11" s="413">
        <v>785.99118899999996</v>
      </c>
      <c r="P11" s="413">
        <v>675.49368071000004</v>
      </c>
      <c r="Q11" s="413">
        <v>463.37517200000002</v>
      </c>
      <c r="R11" s="505">
        <f t="shared" si="11"/>
        <v>12.144418107669841</v>
      </c>
      <c r="S11" s="506">
        <f t="shared" ref="S11:S27" si="12">+(M11/$M$9)*100</f>
        <v>16.725419149759123</v>
      </c>
      <c r="T11" s="503">
        <f t="shared" ref="T11:T31" si="13">+(N11/$N$9)*100</f>
        <v>18.735864931755312</v>
      </c>
      <c r="U11" s="506"/>
      <c r="V11" s="507">
        <f t="shared" si="6"/>
        <v>-73.718801908265277</v>
      </c>
      <c r="W11" s="507">
        <f t="shared" si="6"/>
        <v>70.094757584807837</v>
      </c>
      <c r="X11" s="507">
        <f t="shared" si="7"/>
        <v>125.56804486868391</v>
      </c>
      <c r="Y11" s="502">
        <f t="shared" si="8"/>
        <v>125.56804486868391</v>
      </c>
      <c r="Z11" s="324" t="s">
        <v>313</v>
      </c>
    </row>
    <row r="12" spans="1:26" s="265" customFormat="1" ht="18" customHeight="1">
      <c r="A12" s="393" t="s">
        <v>354</v>
      </c>
      <c r="B12" s="395">
        <v>71.099999999999994</v>
      </c>
      <c r="C12" s="504">
        <v>37.299999999999997</v>
      </c>
      <c r="D12" s="504">
        <v>41.634203999999997</v>
      </c>
      <c r="E12" s="504">
        <v>33</v>
      </c>
      <c r="F12" s="504">
        <v>26.7</v>
      </c>
      <c r="G12" s="504">
        <v>21.2</v>
      </c>
      <c r="H12" s="504">
        <v>39.637543000000001</v>
      </c>
      <c r="I12" s="504">
        <v>18.016133</v>
      </c>
      <c r="J12" s="504">
        <v>136.47622799999999</v>
      </c>
      <c r="K12" s="504">
        <v>12.031162</v>
      </c>
      <c r="L12" s="413">
        <v>2.399518</v>
      </c>
      <c r="M12" s="413">
        <v>88.919511</v>
      </c>
      <c r="N12" s="413">
        <v>140.82248321666665</v>
      </c>
      <c r="O12" s="413">
        <v>209.857304</v>
      </c>
      <c r="P12" s="413">
        <v>76.563387999999989</v>
      </c>
      <c r="Q12" s="413">
        <v>43.845184000000003</v>
      </c>
      <c r="R12" s="505">
        <f t="shared" si="11"/>
        <v>0.11464264264216424</v>
      </c>
      <c r="S12" s="506">
        <f t="shared" si="12"/>
        <v>3.439763731279454</v>
      </c>
      <c r="T12" s="503">
        <f>+(N12/$N$9)*100</f>
        <v>2.7053453137621859</v>
      </c>
      <c r="U12" s="506"/>
      <c r="V12" s="507">
        <f t="shared" si="6"/>
        <v>-80.055808408198629</v>
      </c>
      <c r="W12" s="507">
        <f t="shared" si="6"/>
        <v>3605.7238578747902</v>
      </c>
      <c r="X12" s="507">
        <f t="shared" si="7"/>
        <v>58.370735098471968</v>
      </c>
      <c r="Y12" s="502">
        <f t="shared" si="8"/>
        <v>58.370735098471968</v>
      </c>
      <c r="Z12" s="324" t="s">
        <v>315</v>
      </c>
    </row>
    <row r="13" spans="1:26" s="262" customFormat="1" ht="18" customHeight="1">
      <c r="A13" s="393" t="s">
        <v>355</v>
      </c>
      <c r="B13" s="504">
        <v>225.4</v>
      </c>
      <c r="C13" s="504">
        <v>149.1</v>
      </c>
      <c r="D13" s="504">
        <v>145.506271</v>
      </c>
      <c r="E13" s="504">
        <v>227.5</v>
      </c>
      <c r="F13" s="504">
        <v>86.3</v>
      </c>
      <c r="G13" s="504">
        <v>118</v>
      </c>
      <c r="H13" s="504">
        <v>73.816480999999996</v>
      </c>
      <c r="I13" s="504">
        <v>59.56033</v>
      </c>
      <c r="J13" s="504">
        <v>67.595481000000007</v>
      </c>
      <c r="K13" s="504">
        <v>55.118071999999998</v>
      </c>
      <c r="L13" s="413">
        <v>66.5179136</v>
      </c>
      <c r="M13" s="413">
        <v>105.52811699999999</v>
      </c>
      <c r="N13" s="413">
        <v>233.05439305000002</v>
      </c>
      <c r="O13" s="413">
        <v>456.03029400000003</v>
      </c>
      <c r="P13" s="413">
        <v>654.13568999999995</v>
      </c>
      <c r="Q13" s="413">
        <v>217.86199099999999</v>
      </c>
      <c r="R13" s="505">
        <f t="shared" si="11"/>
        <v>3.1780505077049463</v>
      </c>
      <c r="S13" s="506">
        <f t="shared" si="12"/>
        <v>4.0822513012561981</v>
      </c>
      <c r="T13" s="503">
        <f t="shared" si="13"/>
        <v>4.4772155389380881</v>
      </c>
      <c r="U13" s="506"/>
      <c r="V13" s="507">
        <f t="shared" si="6"/>
        <v>20.682584107804058</v>
      </c>
      <c r="W13" s="507">
        <f t="shared" si="6"/>
        <v>58.646162046790337</v>
      </c>
      <c r="X13" s="507">
        <f t="shared" si="7"/>
        <v>120.84577994507382</v>
      </c>
      <c r="Y13" s="502">
        <f t="shared" si="8"/>
        <v>120.84577994507382</v>
      </c>
      <c r="Z13" s="324" t="s">
        <v>356</v>
      </c>
    </row>
    <row r="14" spans="1:26" s="265" customFormat="1" ht="18" customHeight="1">
      <c r="A14" s="393" t="s">
        <v>357</v>
      </c>
      <c r="B14" s="395">
        <v>46.9</v>
      </c>
      <c r="C14" s="504">
        <v>12</v>
      </c>
      <c r="D14" s="504">
        <v>21.569604999999999</v>
      </c>
      <c r="E14" s="504">
        <v>37.9</v>
      </c>
      <c r="F14" s="504">
        <v>37.4</v>
      </c>
      <c r="G14" s="504">
        <v>47.2</v>
      </c>
      <c r="H14" s="504">
        <v>25.609278</v>
      </c>
      <c r="I14" s="504">
        <v>34.055951999999998</v>
      </c>
      <c r="J14" s="504">
        <v>157.71044499999999</v>
      </c>
      <c r="K14" s="504">
        <v>105.495161</v>
      </c>
      <c r="L14" s="504">
        <v>139.48073266999998</v>
      </c>
      <c r="M14" s="504">
        <v>52.209646999999997</v>
      </c>
      <c r="N14" s="504">
        <v>370.559257</v>
      </c>
      <c r="O14" s="504">
        <v>550.64675999999997</v>
      </c>
      <c r="P14" s="504">
        <v>444.038836</v>
      </c>
      <c r="Q14" s="504">
        <v>361.575671</v>
      </c>
      <c r="R14" s="505">
        <f t="shared" si="11"/>
        <v>6.6640216039029729</v>
      </c>
      <c r="S14" s="506">
        <f t="shared" si="12"/>
        <v>2.0196787876341693</v>
      </c>
      <c r="T14" s="503">
        <f t="shared" si="13"/>
        <v>7.1188259608640436</v>
      </c>
      <c r="U14" s="506"/>
      <c r="V14" s="507">
        <f t="shared" si="6"/>
        <v>32.215289637787258</v>
      </c>
      <c r="W14" s="507">
        <f t="shared" si="6"/>
        <v>-62.568559828601011</v>
      </c>
      <c r="X14" s="507">
        <f t="shared" si="7"/>
        <v>609.7524658613379</v>
      </c>
      <c r="Y14" s="502">
        <f t="shared" si="8"/>
        <v>609.7524658613379</v>
      </c>
      <c r="Z14" s="324" t="s">
        <v>319</v>
      </c>
    </row>
    <row r="15" spans="1:26" s="262" customFormat="1" ht="18" customHeight="1">
      <c r="A15" s="384" t="s">
        <v>358</v>
      </c>
      <c r="B15" s="496">
        <f>SUM(B16:B20)</f>
        <v>626.5</v>
      </c>
      <c r="C15" s="496">
        <f t="shared" ref="C15:P15" si="14">SUM(C16:C20)</f>
        <v>1443.3</v>
      </c>
      <c r="D15" s="496">
        <f t="shared" si="14"/>
        <v>849.36242600000003</v>
      </c>
      <c r="E15" s="496">
        <f t="shared" si="14"/>
        <v>896.5</v>
      </c>
      <c r="F15" s="496">
        <f t="shared" si="14"/>
        <v>834.6</v>
      </c>
      <c r="G15" s="496">
        <f t="shared" si="14"/>
        <v>734.1</v>
      </c>
      <c r="H15" s="496">
        <f t="shared" si="14"/>
        <v>1087.278699</v>
      </c>
      <c r="I15" s="496">
        <f t="shared" si="14"/>
        <v>1816.638207</v>
      </c>
      <c r="J15" s="496">
        <f t="shared" si="14"/>
        <v>1383.244537</v>
      </c>
      <c r="K15" s="496">
        <f t="shared" si="14"/>
        <v>1081.7647489999999</v>
      </c>
      <c r="L15" s="496">
        <f t="shared" si="14"/>
        <v>1108.2257616500001</v>
      </c>
      <c r="M15" s="496">
        <f t="shared" si="14"/>
        <v>1155.5744520000001</v>
      </c>
      <c r="N15" s="496">
        <f t="shared" si="14"/>
        <v>1989.8133760633332</v>
      </c>
      <c r="O15" s="496">
        <f t="shared" si="14"/>
        <v>4171.0280739999998</v>
      </c>
      <c r="P15" s="496">
        <f t="shared" si="14"/>
        <v>4233.077045</v>
      </c>
      <c r="Q15" s="496">
        <f t="shared" ref="Q15" si="15">SUM(Q16:Q20)</f>
        <v>3170.7842250000003</v>
      </c>
      <c r="R15" s="497">
        <f t="shared" si="11"/>
        <v>52.948104560866497</v>
      </c>
      <c r="S15" s="500">
        <f t="shared" si="12"/>
        <v>44.702259876156212</v>
      </c>
      <c r="T15" s="503">
        <f>+(N15/$N$9)*100</f>
        <v>38.226369605426378</v>
      </c>
      <c r="U15" s="500"/>
      <c r="V15" s="501">
        <f t="shared" si="6"/>
        <v>2.4460967760745689</v>
      </c>
      <c r="W15" s="501">
        <f t="shared" si="6"/>
        <v>4.272476961689109</v>
      </c>
      <c r="X15" s="501">
        <f t="shared" si="7"/>
        <v>72.192572501017267</v>
      </c>
      <c r="Y15" s="502">
        <f t="shared" si="8"/>
        <v>72.192572501017267</v>
      </c>
      <c r="Z15" s="391" t="s">
        <v>359</v>
      </c>
    </row>
    <row r="16" spans="1:26" s="265" customFormat="1" ht="18" customHeight="1">
      <c r="A16" s="393" t="s">
        <v>360</v>
      </c>
      <c r="B16" s="395">
        <v>164.4</v>
      </c>
      <c r="C16" s="504">
        <v>163.4</v>
      </c>
      <c r="D16" s="504">
        <v>108.19257</v>
      </c>
      <c r="E16" s="504">
        <v>68.400000000000006</v>
      </c>
      <c r="F16" s="504">
        <v>36.6</v>
      </c>
      <c r="G16" s="504">
        <v>29.5</v>
      </c>
      <c r="H16" s="504">
        <v>133.543679</v>
      </c>
      <c r="I16" s="504">
        <v>54.517771000000003</v>
      </c>
      <c r="J16" s="504">
        <v>95.493024000000005</v>
      </c>
      <c r="K16" s="504">
        <v>108.05040099999999</v>
      </c>
      <c r="L16" s="413">
        <v>74.973524780000005</v>
      </c>
      <c r="M16" s="413">
        <v>100.486884</v>
      </c>
      <c r="N16" s="413">
        <v>354.37420818999999</v>
      </c>
      <c r="O16" s="413">
        <v>449.47949499999999</v>
      </c>
      <c r="P16" s="413">
        <v>410.369755</v>
      </c>
      <c r="Q16" s="413">
        <v>310.62532800000002</v>
      </c>
      <c r="R16" s="505">
        <f>+(L16/$L$9)*100</f>
        <v>3.5820373129007521</v>
      </c>
      <c r="S16" s="506">
        <f t="shared" si="12"/>
        <v>3.8872361663402049</v>
      </c>
      <c r="T16" s="503">
        <f t="shared" si="13"/>
        <v>6.8078944607869047</v>
      </c>
      <c r="U16" s="506"/>
      <c r="V16" s="507">
        <f t="shared" si="6"/>
        <v>-30.612451146756957</v>
      </c>
      <c r="W16" s="507">
        <f t="shared" si="6"/>
        <v>34.029824921351384</v>
      </c>
      <c r="X16" s="507">
        <f t="shared" si="7"/>
        <v>252.65717682120581</v>
      </c>
      <c r="Y16" s="502">
        <f t="shared" si="8"/>
        <v>252.65717682120581</v>
      </c>
      <c r="Z16" s="324" t="s">
        <v>323</v>
      </c>
    </row>
    <row r="17" spans="1:26" s="262" customFormat="1" ht="18" customHeight="1">
      <c r="A17" s="393" t="s">
        <v>361</v>
      </c>
      <c r="B17" s="395">
        <v>99.9</v>
      </c>
      <c r="C17" s="504">
        <v>289.10000000000002</v>
      </c>
      <c r="D17" s="504">
        <v>46.711798999999999</v>
      </c>
      <c r="E17" s="504">
        <v>45.4</v>
      </c>
      <c r="F17" s="504">
        <v>27.2</v>
      </c>
      <c r="G17" s="504">
        <v>25.5</v>
      </c>
      <c r="H17" s="504">
        <v>68.366566000000006</v>
      </c>
      <c r="I17" s="504">
        <v>43.913061999999996</v>
      </c>
      <c r="J17" s="504">
        <v>11.563515000000001</v>
      </c>
      <c r="K17" s="504">
        <v>7.7340239999999998</v>
      </c>
      <c r="L17" s="413">
        <v>21.803670879999999</v>
      </c>
      <c r="M17" s="413">
        <v>142.83905899999999</v>
      </c>
      <c r="N17" s="413">
        <v>257.63199568333334</v>
      </c>
      <c r="O17" s="413">
        <v>489.37764399999998</v>
      </c>
      <c r="P17" s="413">
        <v>454.351204</v>
      </c>
      <c r="Q17" s="413">
        <v>353.49276500000002</v>
      </c>
      <c r="R17" s="505">
        <f t="shared" si="11"/>
        <v>1.041721899557829</v>
      </c>
      <c r="S17" s="506">
        <f t="shared" si="12"/>
        <v>5.5255883554992344</v>
      </c>
      <c r="T17" s="503">
        <f t="shared" si="13"/>
        <v>4.9493766639858254</v>
      </c>
      <c r="U17" s="506"/>
      <c r="V17" s="507">
        <f t="shared" si="6"/>
        <v>181.91884173103162</v>
      </c>
      <c r="W17" s="507">
        <f t="shared" si="6"/>
        <v>555.11472717661934</v>
      </c>
      <c r="X17" s="507">
        <f t="shared" si="7"/>
        <v>80.365228871560518</v>
      </c>
      <c r="Y17" s="502">
        <f t="shared" si="8"/>
        <v>80.365228871560518</v>
      </c>
      <c r="Z17" s="324" t="s">
        <v>362</v>
      </c>
    </row>
    <row r="18" spans="1:26" s="262" customFormat="1" ht="18" customHeight="1">
      <c r="A18" s="393" t="s">
        <v>363</v>
      </c>
      <c r="B18" s="395">
        <v>4.0999999999999996</v>
      </c>
      <c r="C18" s="504">
        <v>2.2000000000000002</v>
      </c>
      <c r="D18" s="504">
        <v>0.68482100000000001</v>
      </c>
      <c r="E18" s="504">
        <v>8.4</v>
      </c>
      <c r="F18" s="504">
        <v>0.7</v>
      </c>
      <c r="G18" s="504">
        <v>1</v>
      </c>
      <c r="H18" s="504">
        <v>0.54541200000000001</v>
      </c>
      <c r="I18" s="504">
        <v>0.43177199999999999</v>
      </c>
      <c r="J18" s="504">
        <v>2.5820259999999999</v>
      </c>
      <c r="K18" s="504">
        <v>0.556778</v>
      </c>
      <c r="L18" s="413">
        <v>1.21422221</v>
      </c>
      <c r="M18" s="413">
        <v>1.0108220000000001</v>
      </c>
      <c r="N18" s="413">
        <v>11.09812694</v>
      </c>
      <c r="O18" s="413">
        <v>9.9648400000000006</v>
      </c>
      <c r="P18" s="413">
        <v>22.135072000000001</v>
      </c>
      <c r="Q18" s="413">
        <v>6.6169370000000001</v>
      </c>
      <c r="R18" s="505">
        <f t="shared" si="11"/>
        <v>5.8012335356187744E-2</v>
      </c>
      <c r="S18" s="506">
        <f t="shared" si="12"/>
        <v>3.9102653796413263E-2</v>
      </c>
      <c r="T18" s="503">
        <f t="shared" si="13"/>
        <v>0.21320647827571776</v>
      </c>
      <c r="U18" s="506"/>
      <c r="V18" s="507">
        <f t="shared" si="6"/>
        <v>118.08013427254669</v>
      </c>
      <c r="W18" s="507">
        <f t="shared" si="6"/>
        <v>-16.751481592483785</v>
      </c>
      <c r="X18" s="507">
        <f t="shared" si="7"/>
        <v>997.9308859522248</v>
      </c>
      <c r="Y18" s="502">
        <f t="shared" si="8"/>
        <v>997.9308859522248</v>
      </c>
      <c r="Z18" s="324" t="s">
        <v>327</v>
      </c>
    </row>
    <row r="19" spans="1:26" s="265" customFormat="1" ht="18" customHeight="1">
      <c r="A19" s="393" t="s">
        <v>364</v>
      </c>
      <c r="B19" s="395">
        <v>358.1</v>
      </c>
      <c r="C19" s="504">
        <v>988.6</v>
      </c>
      <c r="D19" s="504">
        <v>693.773236</v>
      </c>
      <c r="E19" s="504">
        <v>774.3</v>
      </c>
      <c r="F19" s="504">
        <v>770.1</v>
      </c>
      <c r="G19" s="504">
        <v>678.1</v>
      </c>
      <c r="H19" s="504">
        <v>884.82304199999999</v>
      </c>
      <c r="I19" s="504">
        <v>1717.7756019999999</v>
      </c>
      <c r="J19" s="504">
        <v>1273.6059720000001</v>
      </c>
      <c r="K19" s="504">
        <v>965.42354599999999</v>
      </c>
      <c r="L19" s="504">
        <v>975.31386029999999</v>
      </c>
      <c r="M19" s="504">
        <v>768.75352099999998</v>
      </c>
      <c r="N19" s="504">
        <v>1095.374321</v>
      </c>
      <c r="O19" s="504">
        <v>2829.4478859999999</v>
      </c>
      <c r="P19" s="504">
        <v>2761.8167229999999</v>
      </c>
      <c r="Q19" s="504">
        <v>1732.2444780000001</v>
      </c>
      <c r="R19" s="508">
        <f>+(L19/$L$9)*100</f>
        <v>46.597924395783906</v>
      </c>
      <c r="S19" s="506">
        <f>+(M19/$M$9)*100</f>
        <v>29.738473031292067</v>
      </c>
      <c r="T19" s="503">
        <f>+(N19/$N$9)*100</f>
        <v>21.043271773395809</v>
      </c>
      <c r="U19" s="506"/>
      <c r="V19" s="509">
        <f>+((L19/K19)-1)*100</f>
        <v>1.0244533957119772</v>
      </c>
      <c r="W19" s="507">
        <f>+((M19/L19)-1)*100</f>
        <v>-21.178858181761452</v>
      </c>
      <c r="X19" s="507">
        <f t="shared" si="7"/>
        <v>42.487063938924074</v>
      </c>
      <c r="Y19" s="502">
        <f t="shared" si="8"/>
        <v>42.487063938924074</v>
      </c>
      <c r="Z19" s="324" t="s">
        <v>365</v>
      </c>
    </row>
    <row r="20" spans="1:26" s="265" customFormat="1" ht="18" customHeight="1">
      <c r="A20" s="393" t="s">
        <v>399</v>
      </c>
      <c r="B20" s="395"/>
      <c r="C20" s="409">
        <v>0</v>
      </c>
      <c r="D20" s="409">
        <v>0</v>
      </c>
      <c r="E20" s="409">
        <v>0</v>
      </c>
      <c r="F20" s="409">
        <v>0</v>
      </c>
      <c r="G20" s="409">
        <v>0</v>
      </c>
      <c r="H20" s="409">
        <v>0</v>
      </c>
      <c r="I20" s="409">
        <v>0</v>
      </c>
      <c r="J20" s="409">
        <v>0</v>
      </c>
      <c r="K20" s="409">
        <v>0</v>
      </c>
      <c r="L20" s="504">
        <v>34.920483480000001</v>
      </c>
      <c r="M20" s="504">
        <v>142.48416599999999</v>
      </c>
      <c r="N20" s="504">
        <v>271.33472425000002</v>
      </c>
      <c r="O20" s="504">
        <v>392.75820900000002</v>
      </c>
      <c r="P20" s="504">
        <v>584.40429099999994</v>
      </c>
      <c r="Q20" s="504">
        <v>767.80471699999998</v>
      </c>
      <c r="R20" s="508">
        <f>+(L20/$L$9)*100</f>
        <v>1.6684086172678181</v>
      </c>
      <c r="S20" s="506">
        <f>+(M20/$M$9)*100</f>
        <v>5.5118596692282882</v>
      </c>
      <c r="T20" s="503">
        <f t="shared" si="13"/>
        <v>5.212620228982126</v>
      </c>
      <c r="U20" s="506"/>
      <c r="V20" s="510" t="s">
        <v>405</v>
      </c>
      <c r="W20" s="507">
        <f>+((M20/L20)-1)*100</f>
        <v>308.02460848402882</v>
      </c>
      <c r="X20" s="507">
        <f t="shared" si="7"/>
        <v>90.431492752675439</v>
      </c>
      <c r="Y20" s="502">
        <f>+((N20/M20)-1)*100</f>
        <v>90.431492752675439</v>
      </c>
      <c r="Z20" s="511" t="s">
        <v>564</v>
      </c>
    </row>
    <row r="21" spans="1:26" s="262" customFormat="1" ht="18" customHeight="1">
      <c r="A21" s="384" t="s">
        <v>330</v>
      </c>
      <c r="B21" s="385">
        <f t="shared" ref="B21:O21" si="16">SUM(B22:B27)</f>
        <v>329.9</v>
      </c>
      <c r="C21" s="385">
        <f t="shared" si="16"/>
        <v>937.10000000000014</v>
      </c>
      <c r="D21" s="385">
        <f t="shared" si="16"/>
        <v>1290.7944969999999</v>
      </c>
      <c r="E21" s="385">
        <f t="shared" si="16"/>
        <v>647</v>
      </c>
      <c r="F21" s="385">
        <f t="shared" si="16"/>
        <v>321.10000000000002</v>
      </c>
      <c r="G21" s="385">
        <f t="shared" si="16"/>
        <v>201.2</v>
      </c>
      <c r="H21" s="385">
        <f t="shared" si="16"/>
        <v>581.73487699999998</v>
      </c>
      <c r="I21" s="385">
        <f t="shared" si="16"/>
        <v>174.8779509</v>
      </c>
      <c r="J21" s="385">
        <f t="shared" si="16"/>
        <v>919.10181</v>
      </c>
      <c r="K21" s="385">
        <f t="shared" si="16"/>
        <v>662.15555800000004</v>
      </c>
      <c r="L21" s="385">
        <f t="shared" si="16"/>
        <v>522.22979633</v>
      </c>
      <c r="M21" s="385">
        <f t="shared" si="16"/>
        <v>750.4553719999999</v>
      </c>
      <c r="N21" s="385">
        <f t="shared" si="16"/>
        <v>1495.8268652273334</v>
      </c>
      <c r="O21" s="385">
        <f t="shared" si="16"/>
        <v>3856.0642340000004</v>
      </c>
      <c r="P21" s="385">
        <f t="shared" ref="P21:Q21" si="17">SUM(P22:P27)</f>
        <v>4514.7370679999995</v>
      </c>
      <c r="Q21" s="385">
        <f t="shared" si="17"/>
        <v>4568.8097980000002</v>
      </c>
      <c r="R21" s="497">
        <f t="shared" si="11"/>
        <v>24.950762577213595</v>
      </c>
      <c r="S21" s="500">
        <f t="shared" si="12"/>
        <v>29.030627153914857</v>
      </c>
      <c r="T21" s="503">
        <f t="shared" si="13"/>
        <v>28.736378649253986</v>
      </c>
      <c r="U21" s="500"/>
      <c r="V21" s="502">
        <f t="shared" si="6"/>
        <v>-21.131856401332215</v>
      </c>
      <c r="W21" s="501">
        <f t="shared" si="6"/>
        <v>43.702135970384745</v>
      </c>
      <c r="X21" s="501">
        <f t="shared" si="7"/>
        <v>99.322560812761253</v>
      </c>
      <c r="Y21" s="502">
        <f t="shared" si="8"/>
        <v>99.322560812761253</v>
      </c>
      <c r="Z21" s="391" t="s">
        <v>275</v>
      </c>
    </row>
    <row r="22" spans="1:26" s="265" customFormat="1" ht="18" customHeight="1">
      <c r="A22" s="393" t="s">
        <v>366</v>
      </c>
      <c r="B22" s="395">
        <v>154.1</v>
      </c>
      <c r="C22" s="504">
        <v>129.69999999999999</v>
      </c>
      <c r="D22" s="504">
        <v>42.402295000000002</v>
      </c>
      <c r="E22" s="504">
        <v>60.5</v>
      </c>
      <c r="F22" s="504">
        <v>71.900000000000006</v>
      </c>
      <c r="G22" s="504">
        <v>64.2</v>
      </c>
      <c r="H22" s="504">
        <v>23.587022999999999</v>
      </c>
      <c r="I22" s="504">
        <v>37.776733</v>
      </c>
      <c r="J22" s="504">
        <v>33.651007999999997</v>
      </c>
      <c r="K22" s="504">
        <v>24.679010000000002</v>
      </c>
      <c r="L22" s="413">
        <v>7.6444678900000005</v>
      </c>
      <c r="M22" s="413">
        <v>16.246099999999998</v>
      </c>
      <c r="N22" s="413">
        <v>37.305747113333332</v>
      </c>
      <c r="O22" s="413">
        <v>45.995458999999997</v>
      </c>
      <c r="P22" s="413">
        <v>14.250147999999999</v>
      </c>
      <c r="Q22" s="413">
        <v>2.4655230000000001</v>
      </c>
      <c r="R22" s="508">
        <f t="shared" si="11"/>
        <v>0.36523251774013343</v>
      </c>
      <c r="S22" s="506">
        <f t="shared" si="12"/>
        <v>0.62846438229669455</v>
      </c>
      <c r="T22" s="503">
        <f t="shared" si="13"/>
        <v>0.71668192339835712</v>
      </c>
      <c r="U22" s="506"/>
      <c r="V22" s="509">
        <f t="shared" si="6"/>
        <v>-69.024414309974347</v>
      </c>
      <c r="W22" s="507">
        <f>+((M22/L22)-1)*100</f>
        <v>112.52100517358569</v>
      </c>
      <c r="X22" s="507">
        <f t="shared" si="7"/>
        <v>129.62893933518407</v>
      </c>
      <c r="Y22" s="502">
        <f t="shared" si="8"/>
        <v>129.62893933518407</v>
      </c>
      <c r="Z22" s="324" t="s">
        <v>367</v>
      </c>
    </row>
    <row r="23" spans="1:26" s="265" customFormat="1" ht="18" customHeight="1">
      <c r="A23" s="393" t="s">
        <v>368</v>
      </c>
      <c r="B23" s="395">
        <v>74.7</v>
      </c>
      <c r="C23" s="504">
        <v>692.8</v>
      </c>
      <c r="D23" s="504">
        <v>318.28409399999998</v>
      </c>
      <c r="E23" s="504">
        <v>294.2</v>
      </c>
      <c r="F23" s="504">
        <v>118.6</v>
      </c>
      <c r="G23" s="504">
        <v>66.7</v>
      </c>
      <c r="H23" s="504">
        <v>10.808646</v>
      </c>
      <c r="I23" s="504">
        <v>38.970894999999999</v>
      </c>
      <c r="J23" s="504">
        <v>392.140671</v>
      </c>
      <c r="K23" s="504">
        <v>539.738832</v>
      </c>
      <c r="L23" s="413">
        <v>368.65407792000002</v>
      </c>
      <c r="M23" s="413">
        <v>579.69850299999996</v>
      </c>
      <c r="N23" s="413">
        <v>1126.118397534</v>
      </c>
      <c r="O23" s="413">
        <v>3152.9439929999999</v>
      </c>
      <c r="P23" s="413">
        <v>3696.3850729999999</v>
      </c>
      <c r="Q23" s="413">
        <v>3298.6161080000002</v>
      </c>
      <c r="R23" s="508">
        <f t="shared" si="11"/>
        <v>17.613319722360547</v>
      </c>
      <c r="S23" s="506">
        <f t="shared" si="12"/>
        <v>22.42506580694527</v>
      </c>
      <c r="T23" s="503">
        <f>+(N23/$N$9)*100</f>
        <v>21.6338972294832</v>
      </c>
      <c r="U23" s="506"/>
      <c r="V23" s="509">
        <f t="shared" si="6"/>
        <v>-31.697692279439327</v>
      </c>
      <c r="W23" s="507">
        <f t="shared" si="6"/>
        <v>57.24727806369139</v>
      </c>
      <c r="X23" s="507">
        <f t="shared" si="7"/>
        <v>94.259324753509006</v>
      </c>
      <c r="Y23" s="502">
        <f t="shared" si="8"/>
        <v>94.259324753509006</v>
      </c>
      <c r="Z23" s="324" t="s">
        <v>369</v>
      </c>
    </row>
    <row r="24" spans="1:26" s="265" customFormat="1" ht="18" customHeight="1">
      <c r="A24" s="393" t="s">
        <v>370</v>
      </c>
      <c r="B24" s="395">
        <v>72</v>
      </c>
      <c r="C24" s="504">
        <v>17.100000000000001</v>
      </c>
      <c r="D24" s="504">
        <v>26.934477000000001</v>
      </c>
      <c r="E24" s="504">
        <v>16.8</v>
      </c>
      <c r="F24" s="504">
        <v>7.5</v>
      </c>
      <c r="G24" s="504">
        <v>14</v>
      </c>
      <c r="H24" s="504">
        <v>32.757654000000002</v>
      </c>
      <c r="I24" s="504">
        <v>26.097563999999998</v>
      </c>
      <c r="J24" s="504">
        <v>39.440274000000002</v>
      </c>
      <c r="K24" s="504">
        <v>39.200918999999999</v>
      </c>
      <c r="L24" s="413">
        <v>5.0254116199999999</v>
      </c>
      <c r="M24" s="413">
        <v>42.439954</v>
      </c>
      <c r="N24" s="413">
        <v>16.152001299999998</v>
      </c>
      <c r="O24" s="413">
        <v>59.256925000000003</v>
      </c>
      <c r="P24" s="413">
        <v>59.975262000000001</v>
      </c>
      <c r="Q24" s="413">
        <v>54.457756000000003</v>
      </c>
      <c r="R24" s="508">
        <f t="shared" si="11"/>
        <v>0.24010091546778967</v>
      </c>
      <c r="S24" s="506">
        <f t="shared" si="12"/>
        <v>1.6417478333452418</v>
      </c>
      <c r="T24" s="503">
        <f t="shared" si="13"/>
        <v>0.31029662328567803</v>
      </c>
      <c r="U24" s="506"/>
      <c r="V24" s="509">
        <f t="shared" si="6"/>
        <v>-87.18037293972624</v>
      </c>
      <c r="W24" s="507">
        <f t="shared" si="6"/>
        <v>744.50702169546867</v>
      </c>
      <c r="X24" s="507">
        <f t="shared" ref="X24:X28" si="18">+((N24/M24)-1)*100</f>
        <v>-61.941520247642124</v>
      </c>
      <c r="Y24" s="502">
        <f t="shared" si="8"/>
        <v>-61.941520247642124</v>
      </c>
      <c r="Z24" s="324" t="s">
        <v>371</v>
      </c>
    </row>
    <row r="25" spans="1:26" s="262" customFormat="1" ht="18" customHeight="1">
      <c r="A25" s="393" t="s">
        <v>372</v>
      </c>
      <c r="B25" s="395">
        <v>0.4</v>
      </c>
      <c r="C25" s="504">
        <v>13.2</v>
      </c>
      <c r="D25" s="504">
        <v>64.703819999999993</v>
      </c>
      <c r="E25" s="504">
        <v>0.5</v>
      </c>
      <c r="F25" s="504">
        <v>0.3</v>
      </c>
      <c r="G25" s="504">
        <v>0.4</v>
      </c>
      <c r="H25" s="504">
        <v>0.13069</v>
      </c>
      <c r="I25" s="504">
        <v>3.0217360000000002</v>
      </c>
      <c r="J25" s="504">
        <v>9.7469E-2</v>
      </c>
      <c r="K25" s="504">
        <v>0.167854</v>
      </c>
      <c r="L25" s="413">
        <v>7.0538000000000003E-2</v>
      </c>
      <c r="M25" s="413">
        <v>0.765787</v>
      </c>
      <c r="N25" s="413">
        <v>0.55528294666666667</v>
      </c>
      <c r="O25" s="413">
        <v>0.17874999999999999</v>
      </c>
      <c r="P25" s="413">
        <v>0.184113</v>
      </c>
      <c r="Q25" s="413">
        <v>0.189636</v>
      </c>
      <c r="R25" s="508">
        <f t="shared" si="11"/>
        <v>3.3701196351488016E-3</v>
      </c>
      <c r="S25" s="506">
        <f t="shared" si="12"/>
        <v>2.9623716087297192E-2</v>
      </c>
      <c r="T25" s="503">
        <f t="shared" si="13"/>
        <v>1.0667558782253686E-2</v>
      </c>
      <c r="U25" s="506"/>
      <c r="V25" s="509">
        <f t="shared" si="6"/>
        <v>-57.976574880550949</v>
      </c>
      <c r="W25" s="507">
        <f>+((M25/L25)-1)*100</f>
        <v>985.63752870793041</v>
      </c>
      <c r="X25" s="507">
        <f t="shared" si="18"/>
        <v>-27.488590604611119</v>
      </c>
      <c r="Y25" s="502">
        <f t="shared" si="8"/>
        <v>-27.488590604611119</v>
      </c>
      <c r="Z25" s="324" t="s">
        <v>373</v>
      </c>
    </row>
    <row r="26" spans="1:26" s="262" customFormat="1" ht="18" customHeight="1">
      <c r="A26" s="393" t="s">
        <v>374</v>
      </c>
      <c r="B26" s="395">
        <v>24.5</v>
      </c>
      <c r="C26" s="504">
        <v>72.099999999999994</v>
      </c>
      <c r="D26" s="504">
        <v>604.09765100000004</v>
      </c>
      <c r="E26" s="504">
        <v>178</v>
      </c>
      <c r="F26" s="504">
        <v>26.2</v>
      </c>
      <c r="G26" s="504">
        <v>0.6</v>
      </c>
      <c r="H26" s="504">
        <v>488.44098200000002</v>
      </c>
      <c r="I26" s="504">
        <v>37.947304900000006</v>
      </c>
      <c r="J26" s="504">
        <v>63.553004999999999</v>
      </c>
      <c r="K26" s="504">
        <v>38.882137</v>
      </c>
      <c r="L26" s="504">
        <v>27.925922</v>
      </c>
      <c r="M26" s="504">
        <v>20.208456999999999</v>
      </c>
      <c r="N26" s="504">
        <v>91.387343333333334</v>
      </c>
      <c r="O26" s="504">
        <v>256.99009899999999</v>
      </c>
      <c r="P26" s="504">
        <v>298.06454400000001</v>
      </c>
      <c r="Q26" s="504">
        <v>246.89478299999999</v>
      </c>
      <c r="R26" s="508">
        <f t="shared" si="11"/>
        <v>1.334226914029798</v>
      </c>
      <c r="S26" s="506">
        <f t="shared" si="12"/>
        <v>0.78174426143347109</v>
      </c>
      <c r="T26" s="503">
        <f t="shared" si="13"/>
        <v>1.7556452306242853</v>
      </c>
      <c r="U26" s="506"/>
      <c r="V26" s="509">
        <f t="shared" si="6"/>
        <v>-28.178016552948204</v>
      </c>
      <c r="W26" s="507">
        <f t="shared" si="6"/>
        <v>-27.63548863310583</v>
      </c>
      <c r="X26" s="507">
        <f t="shared" si="18"/>
        <v>352.22326144610321</v>
      </c>
      <c r="Y26" s="502">
        <f t="shared" si="8"/>
        <v>352.22326144610321</v>
      </c>
      <c r="Z26" s="324" t="s">
        <v>375</v>
      </c>
    </row>
    <row r="27" spans="1:26" s="262" customFormat="1" ht="18" customHeight="1">
      <c r="A27" s="393" t="s">
        <v>376</v>
      </c>
      <c r="B27" s="395">
        <v>4.2</v>
      </c>
      <c r="C27" s="504">
        <v>12.2</v>
      </c>
      <c r="D27" s="504">
        <v>234.37216000000001</v>
      </c>
      <c r="E27" s="504">
        <v>97</v>
      </c>
      <c r="F27" s="504">
        <v>96.6</v>
      </c>
      <c r="G27" s="504">
        <v>55.3</v>
      </c>
      <c r="H27" s="504">
        <v>26.009882000000001</v>
      </c>
      <c r="I27" s="504">
        <v>31.063718000000001</v>
      </c>
      <c r="J27" s="504">
        <v>390.21938299999999</v>
      </c>
      <c r="K27" s="504">
        <v>19.486806000000001</v>
      </c>
      <c r="L27" s="504">
        <v>112.90937890000001</v>
      </c>
      <c r="M27" s="504">
        <v>91.096570999999997</v>
      </c>
      <c r="N27" s="504">
        <v>224.30809300000001</v>
      </c>
      <c r="O27" s="504">
        <v>340.69900799999999</v>
      </c>
      <c r="P27" s="504">
        <v>445.877928</v>
      </c>
      <c r="Q27" s="504">
        <v>966.18599200000006</v>
      </c>
      <c r="R27" s="508">
        <f t="shared" si="11"/>
        <v>5.3945123879801784</v>
      </c>
      <c r="S27" s="506">
        <f t="shared" si="12"/>
        <v>3.5239811538068819</v>
      </c>
      <c r="T27" s="503">
        <f t="shared" si="13"/>
        <v>4.3091900836802086</v>
      </c>
      <c r="U27" s="506"/>
      <c r="V27" s="509">
        <f t="shared" si="6"/>
        <v>479.4144966599452</v>
      </c>
      <c r="W27" s="507">
        <f t="shared" si="6"/>
        <v>-19.318862713184238</v>
      </c>
      <c r="X27" s="507">
        <f t="shared" si="18"/>
        <v>146.23110457143332</v>
      </c>
      <c r="Y27" s="502">
        <f t="shared" si="8"/>
        <v>146.23110457143332</v>
      </c>
      <c r="Z27" s="324" t="s">
        <v>377</v>
      </c>
    </row>
    <row r="28" spans="1:26" s="262" customFormat="1" ht="18" customHeight="1">
      <c r="A28" s="384" t="s">
        <v>378</v>
      </c>
      <c r="B28" s="386">
        <v>-124.5</v>
      </c>
      <c r="C28" s="496">
        <v>-166.4</v>
      </c>
      <c r="D28" s="496">
        <v>-68.900000000000006</v>
      </c>
      <c r="E28" s="496">
        <v>-247.5</v>
      </c>
      <c r="F28" s="496">
        <v>-275.2</v>
      </c>
      <c r="G28" s="496">
        <v>-246.2</v>
      </c>
      <c r="H28" s="496">
        <v>-150.836333</v>
      </c>
      <c r="I28" s="496">
        <v>-181.3</v>
      </c>
      <c r="J28" s="496">
        <v>-399</v>
      </c>
      <c r="K28" s="496">
        <v>-90.231635999999995</v>
      </c>
      <c r="L28" s="496">
        <v>-135.485007</v>
      </c>
      <c r="M28" s="496">
        <v>-122.16204999999999</v>
      </c>
      <c r="N28" s="496">
        <v>-13.563443934712012</v>
      </c>
      <c r="O28" s="496">
        <v>15.558392999999981</v>
      </c>
      <c r="P28" s="496">
        <v>100.25488200000001</v>
      </c>
      <c r="Q28" s="496">
        <v>-26.047778757089993</v>
      </c>
      <c r="R28" s="512">
        <v>0</v>
      </c>
      <c r="S28" s="409">
        <v>0</v>
      </c>
      <c r="T28" s="503">
        <f t="shared" si="13"/>
        <v>-0.26056776339324267</v>
      </c>
      <c r="U28" s="409"/>
      <c r="V28" s="502">
        <f t="shared" si="6"/>
        <v>50.152444315650001</v>
      </c>
      <c r="W28" s="501">
        <f t="shared" si="6"/>
        <v>-9.833528664909764</v>
      </c>
      <c r="X28" s="501">
        <f t="shared" si="18"/>
        <v>-88.89717065593446</v>
      </c>
      <c r="Y28" s="502">
        <f t="shared" si="8"/>
        <v>-88.89717065593446</v>
      </c>
      <c r="Z28" s="391" t="s">
        <v>379</v>
      </c>
    </row>
    <row r="29" spans="1:26" s="265" customFormat="1" ht="18" customHeight="1">
      <c r="A29" s="393" t="s">
        <v>380</v>
      </c>
      <c r="B29" s="513"/>
      <c r="C29" s="513"/>
      <c r="D29" s="513"/>
      <c r="E29" s="513"/>
      <c r="F29" s="513"/>
      <c r="G29" s="513"/>
      <c r="H29" s="513"/>
      <c r="I29" s="513"/>
      <c r="J29" s="513"/>
      <c r="K29" s="513"/>
      <c r="L29" s="513"/>
      <c r="M29" s="513"/>
      <c r="N29" s="513"/>
      <c r="O29" s="513"/>
      <c r="P29" s="513"/>
      <c r="Q29" s="513"/>
      <c r="R29" s="505"/>
      <c r="S29" s="413"/>
      <c r="T29" s="503"/>
      <c r="U29" s="413"/>
      <c r="V29" s="509"/>
      <c r="W29" s="507"/>
      <c r="X29" s="507"/>
      <c r="Y29" s="502"/>
      <c r="Z29" s="324" t="s">
        <v>237</v>
      </c>
    </row>
    <row r="30" spans="1:26" s="265" customFormat="1" ht="18" customHeight="1">
      <c r="A30" s="393" t="s">
        <v>381</v>
      </c>
      <c r="B30" s="514">
        <v>1007.8</v>
      </c>
      <c r="C30" s="515">
        <v>1137.6071899999999</v>
      </c>
      <c r="D30" s="515">
        <v>1774.5</v>
      </c>
      <c r="E30" s="515">
        <v>1441</v>
      </c>
      <c r="F30" s="515">
        <v>1100.8999999999999</v>
      </c>
      <c r="G30" s="515">
        <v>737.1</v>
      </c>
      <c r="H30" s="515">
        <v>778.8</v>
      </c>
      <c r="I30" s="515">
        <v>1283</v>
      </c>
      <c r="J30" s="515">
        <v>916.69999999999993</v>
      </c>
      <c r="K30" s="515">
        <v>1145.9000000000001</v>
      </c>
      <c r="L30" s="515">
        <v>1187.19235</v>
      </c>
      <c r="M30" s="515">
        <v>188.39416600000001</v>
      </c>
      <c r="N30" s="515">
        <v>568.29718400000002</v>
      </c>
      <c r="O30" s="515">
        <v>2779.267159</v>
      </c>
      <c r="P30" s="515">
        <v>3289.8189120000002</v>
      </c>
      <c r="Q30" s="515">
        <v>3312.2719229999998</v>
      </c>
      <c r="R30" s="512">
        <v>0</v>
      </c>
      <c r="S30" s="409">
        <v>0</v>
      </c>
      <c r="T30" s="503">
        <f t="shared" si="13"/>
        <v>10.917575719732</v>
      </c>
      <c r="U30" s="409"/>
      <c r="V30" s="510" t="s">
        <v>405</v>
      </c>
      <c r="W30" s="510" t="s">
        <v>405</v>
      </c>
      <c r="X30" s="510" t="s">
        <v>405</v>
      </c>
      <c r="Y30" s="502">
        <f t="shared" si="8"/>
        <v>201.65328155649996</v>
      </c>
      <c r="Z30" s="516" t="s">
        <v>382</v>
      </c>
    </row>
    <row r="31" spans="1:26" s="265" customFormat="1" ht="18" customHeight="1">
      <c r="A31" s="315" t="s">
        <v>383</v>
      </c>
      <c r="B31" s="517">
        <v>392.7</v>
      </c>
      <c r="C31" s="517">
        <v>390.3</v>
      </c>
      <c r="D31" s="517">
        <v>-993.3</v>
      </c>
      <c r="E31" s="517">
        <v>-1332</v>
      </c>
      <c r="F31" s="517">
        <v>-1393</v>
      </c>
      <c r="G31" s="517">
        <v>-668.6</v>
      </c>
      <c r="H31" s="517">
        <v>584.5</v>
      </c>
      <c r="I31" s="517">
        <v>877.1</v>
      </c>
      <c r="J31" s="517">
        <v>987.6</v>
      </c>
      <c r="K31" s="517">
        <v>1806.07971</v>
      </c>
      <c r="L31" s="517">
        <v>1632.2075219999999</v>
      </c>
      <c r="M31" s="517">
        <v>1413.2714820000001</v>
      </c>
      <c r="N31" s="517">
        <v>1202.30951817</v>
      </c>
      <c r="O31" s="517">
        <v>1200.2252140000001</v>
      </c>
      <c r="P31" s="517">
        <v>1202.6576010000001</v>
      </c>
      <c r="Q31" s="517">
        <v>1226.168165</v>
      </c>
      <c r="R31" s="518">
        <v>0</v>
      </c>
      <c r="S31" s="316">
        <v>0</v>
      </c>
      <c r="T31" s="519">
        <f t="shared" si="13"/>
        <v>23.097607330701592</v>
      </c>
      <c r="U31" s="316"/>
      <c r="V31" s="520" t="s">
        <v>405</v>
      </c>
      <c r="W31" s="520" t="s">
        <v>405</v>
      </c>
      <c r="X31" s="520" t="s">
        <v>405</v>
      </c>
      <c r="Y31" s="521">
        <f t="shared" si="8"/>
        <v>-14.927207300005508</v>
      </c>
      <c r="Z31" s="318" t="s">
        <v>384</v>
      </c>
    </row>
    <row r="32" spans="1:26" s="265" customFormat="1" ht="15">
      <c r="A32" s="273" t="s">
        <v>385</v>
      </c>
      <c r="B32" s="478"/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324" t="s">
        <v>386</v>
      </c>
    </row>
    <row r="33" spans="1:26" s="265" customFormat="1" ht="15">
      <c r="A33" s="273" t="s">
        <v>192</v>
      </c>
      <c r="B33" s="478"/>
      <c r="C33" s="478"/>
      <c r="D33" s="478"/>
      <c r="E33" s="478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8"/>
      <c r="U33" s="478"/>
      <c r="V33" s="478"/>
      <c r="W33" s="478"/>
      <c r="X33" s="478"/>
      <c r="Y33" s="478"/>
      <c r="Z33" s="324" t="s">
        <v>193</v>
      </c>
    </row>
    <row r="34" spans="1:26" s="265" customFormat="1" ht="12">
      <c r="A34" s="275"/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</row>
    <row r="35" spans="1:26">
      <c r="R35" s="279"/>
      <c r="S35" s="279"/>
      <c r="T35" s="279"/>
      <c r="U35" s="279"/>
      <c r="V35" s="279"/>
      <c r="W35" s="279"/>
      <c r="X35" s="279"/>
      <c r="Y35" s="279"/>
    </row>
  </sheetData>
  <mergeCells count="9">
    <mergeCell ref="R6:T6"/>
    <mergeCell ref="V5:Y5"/>
    <mergeCell ref="V6:Y6"/>
    <mergeCell ref="A2:Z2"/>
    <mergeCell ref="A1:Z1"/>
    <mergeCell ref="A3:Z3"/>
    <mergeCell ref="A4:Z4"/>
    <mergeCell ref="E5:G5"/>
    <mergeCell ref="R5:T5"/>
  </mergeCells>
  <pageMargins left="0.17" right="0.16" top="0.75" bottom="0.75" header="0.3" footer="0.3"/>
  <pageSetup paperSize="9" scale="85" orientation="landscape" r:id="rId1"/>
  <colBreaks count="1" manualBreakCount="1">
    <brk id="26" max="1048575" man="1"/>
  </colBreaks>
  <ignoredErrors>
    <ignoredError sqref="M21:Q2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H36" sqref="H36"/>
    </sheetView>
  </sheetViews>
  <sheetFormatPr defaultColWidth="24.7109375" defaultRowHeight="15"/>
  <cols>
    <col min="1" max="1" width="38" style="664" customWidth="1"/>
    <col min="2" max="7" width="10.5703125" style="664" customWidth="1"/>
    <col min="8" max="8" width="66.85546875" style="664" customWidth="1"/>
    <col min="9" max="16384" width="24.7109375" style="664"/>
  </cols>
  <sheetData>
    <row r="1" spans="1:10" ht="18.75">
      <c r="A1" s="754" t="s">
        <v>878</v>
      </c>
      <c r="B1" s="754"/>
      <c r="C1" s="754"/>
      <c r="D1" s="754"/>
      <c r="E1" s="754"/>
      <c r="F1" s="754"/>
      <c r="G1" s="754"/>
      <c r="H1" s="754"/>
      <c r="I1" s="641"/>
      <c r="J1" s="641"/>
    </row>
    <row r="2" spans="1:10">
      <c r="A2" s="755" t="s">
        <v>879</v>
      </c>
      <c r="B2" s="755"/>
      <c r="C2" s="755"/>
      <c r="D2" s="755"/>
      <c r="E2" s="755"/>
      <c r="F2" s="755"/>
      <c r="G2" s="755"/>
      <c r="H2" s="755"/>
      <c r="I2" s="641"/>
      <c r="J2" s="641"/>
    </row>
    <row r="3" spans="1:10">
      <c r="A3" s="683" t="s">
        <v>828</v>
      </c>
      <c r="B3" s="683"/>
      <c r="C3" s="683"/>
      <c r="D3" s="683"/>
      <c r="E3" s="683"/>
      <c r="F3" s="683"/>
      <c r="G3" s="683"/>
      <c r="H3" s="683"/>
      <c r="I3" s="641"/>
      <c r="J3" s="641"/>
    </row>
    <row r="4" spans="1:10">
      <c r="A4" s="756" t="s">
        <v>829</v>
      </c>
      <c r="B4" s="756"/>
      <c r="C4" s="756"/>
      <c r="D4" s="756"/>
      <c r="E4" s="756"/>
      <c r="F4" s="756"/>
      <c r="G4" s="756"/>
      <c r="H4" s="756"/>
      <c r="I4" s="642"/>
      <c r="J4" s="642"/>
    </row>
    <row r="5" spans="1:10">
      <c r="A5" s="757" t="s">
        <v>830</v>
      </c>
      <c r="B5" s="763" t="s">
        <v>68</v>
      </c>
      <c r="C5" s="763"/>
      <c r="D5" s="679" t="s">
        <v>6</v>
      </c>
      <c r="E5" s="763" t="s">
        <v>831</v>
      </c>
      <c r="F5" s="763"/>
      <c r="G5" s="763"/>
      <c r="H5" s="760" t="s">
        <v>644</v>
      </c>
      <c r="I5" s="642"/>
      <c r="J5" s="642"/>
    </row>
    <row r="6" spans="1:10" ht="9" customHeight="1">
      <c r="A6" s="758"/>
      <c r="B6" s="643"/>
      <c r="C6" s="644"/>
      <c r="D6" s="643"/>
      <c r="E6" s="643"/>
      <c r="F6" s="643"/>
      <c r="G6" s="643"/>
      <c r="H6" s="761"/>
      <c r="I6" s="642"/>
      <c r="J6" s="642"/>
    </row>
    <row r="7" spans="1:10">
      <c r="A7" s="759"/>
      <c r="B7" s="678">
        <v>2013</v>
      </c>
      <c r="C7" s="678">
        <v>2014</v>
      </c>
      <c r="D7" s="678">
        <v>2015</v>
      </c>
      <c r="E7" s="678">
        <v>2016</v>
      </c>
      <c r="F7" s="678">
        <v>2017</v>
      </c>
      <c r="G7" s="678">
        <v>2018</v>
      </c>
      <c r="H7" s="762"/>
      <c r="I7" s="641"/>
      <c r="J7" s="641"/>
    </row>
    <row r="8" spans="1:10" ht="15.75">
      <c r="A8" s="665" t="s">
        <v>870</v>
      </c>
      <c r="B8" s="666">
        <v>747</v>
      </c>
      <c r="C8" s="666">
        <v>695.6</v>
      </c>
      <c r="D8" s="666">
        <v>653.70000000000005</v>
      </c>
      <c r="E8" s="666">
        <v>687.6</v>
      </c>
      <c r="F8" s="666">
        <v>712.2</v>
      </c>
      <c r="G8" s="666">
        <v>725.4</v>
      </c>
      <c r="H8" s="660" t="s">
        <v>832</v>
      </c>
      <c r="I8" s="661"/>
      <c r="J8" s="661"/>
    </row>
    <row r="9" spans="1:10" ht="17.25">
      <c r="A9" s="665" t="s">
        <v>871</v>
      </c>
      <c r="B9" s="666">
        <v>78</v>
      </c>
      <c r="C9" s="666">
        <v>45</v>
      </c>
      <c r="D9" s="666">
        <v>49.6</v>
      </c>
      <c r="E9" s="666">
        <v>104.1</v>
      </c>
      <c r="F9" s="666">
        <v>92.3</v>
      </c>
      <c r="G9" s="666">
        <v>84.3</v>
      </c>
      <c r="H9" s="660" t="s">
        <v>833</v>
      </c>
      <c r="I9" s="661"/>
      <c r="J9" s="662"/>
    </row>
    <row r="10" spans="1:10" ht="15.75">
      <c r="A10" s="665" t="s">
        <v>872</v>
      </c>
      <c r="B10" s="666">
        <v>52.6</v>
      </c>
      <c r="C10" s="666">
        <v>64.7</v>
      </c>
      <c r="D10" s="666">
        <v>62.5</v>
      </c>
      <c r="E10" s="666">
        <v>67.900000000000006</v>
      </c>
      <c r="F10" s="666">
        <v>67.900000000000006</v>
      </c>
      <c r="G10" s="666">
        <v>71.2</v>
      </c>
      <c r="H10" s="660" t="s">
        <v>834</v>
      </c>
      <c r="I10" s="661"/>
      <c r="J10" s="661"/>
    </row>
    <row r="11" spans="1:10" ht="15.75">
      <c r="A11" s="665" t="s">
        <v>873</v>
      </c>
      <c r="B11" s="666">
        <v>25.4</v>
      </c>
      <c r="C11" s="666">
        <v>-19.7</v>
      </c>
      <c r="D11" s="666">
        <v>-12.9</v>
      </c>
      <c r="E11" s="666">
        <v>36.200000000000003</v>
      </c>
      <c r="F11" s="666">
        <v>24.4</v>
      </c>
      <c r="G11" s="666">
        <v>13.1</v>
      </c>
      <c r="H11" s="660" t="s">
        <v>835</v>
      </c>
      <c r="I11" s="661"/>
      <c r="J11" s="661"/>
    </row>
    <row r="12" spans="1:10" ht="15.75">
      <c r="A12" s="665" t="s">
        <v>874</v>
      </c>
      <c r="B12" s="666">
        <v>8.3000000000000007</v>
      </c>
      <c r="C12" s="666">
        <v>12.2</v>
      </c>
      <c r="D12" s="666">
        <v>9.8000000000000007</v>
      </c>
      <c r="E12" s="666">
        <v>16.2</v>
      </c>
      <c r="F12" s="666">
        <v>21.2</v>
      </c>
      <c r="G12" s="666">
        <v>21.7</v>
      </c>
      <c r="H12" s="660" t="s">
        <v>836</v>
      </c>
      <c r="I12" s="661"/>
      <c r="J12" s="661"/>
    </row>
    <row r="13" spans="1:10" ht="15.75">
      <c r="A13" s="665" t="s">
        <v>875</v>
      </c>
      <c r="B13" s="666">
        <v>60.9</v>
      </c>
      <c r="C13" s="666">
        <v>76.900000000000006</v>
      </c>
      <c r="D13" s="666">
        <v>72.3</v>
      </c>
      <c r="E13" s="666">
        <v>84.2</v>
      </c>
      <c r="F13" s="666">
        <v>89.2</v>
      </c>
      <c r="G13" s="666">
        <v>93</v>
      </c>
      <c r="H13" s="660" t="s">
        <v>837</v>
      </c>
      <c r="I13" s="661"/>
      <c r="J13" s="661"/>
    </row>
    <row r="14" spans="1:10" ht="15.75">
      <c r="A14" s="667" t="s">
        <v>876</v>
      </c>
      <c r="B14" s="668">
        <v>16.7</v>
      </c>
      <c r="C14" s="668">
        <v>-32.4</v>
      </c>
      <c r="D14" s="668">
        <v>-23.2</v>
      </c>
      <c r="E14" s="668">
        <v>19.600000000000001</v>
      </c>
      <c r="F14" s="668">
        <v>3</v>
      </c>
      <c r="G14" s="668">
        <v>-8.6999999999999993</v>
      </c>
      <c r="H14" s="663" t="s">
        <v>838</v>
      </c>
      <c r="I14" s="661"/>
      <c r="J14" s="661"/>
    </row>
    <row r="15" spans="1:10" ht="15.75">
      <c r="A15" s="647" t="s">
        <v>839</v>
      </c>
      <c r="B15" s="648"/>
      <c r="C15" s="648"/>
      <c r="D15" s="648"/>
      <c r="E15" s="648"/>
      <c r="F15" s="648"/>
      <c r="G15" s="648"/>
      <c r="H15" s="649" t="s">
        <v>840</v>
      </c>
      <c r="I15" s="641"/>
      <c r="J15" s="641"/>
    </row>
    <row r="16" spans="1:10" ht="16.5" customHeight="1">
      <c r="A16" s="650" t="s">
        <v>841</v>
      </c>
      <c r="B16" s="669">
        <v>0.27709928071399359</v>
      </c>
      <c r="C16" s="669">
        <v>0.22762514324519331</v>
      </c>
      <c r="D16" s="669">
        <v>0.1942244359236209</v>
      </c>
      <c r="E16" s="669">
        <v>0.18877262449481014</v>
      </c>
      <c r="F16" s="669">
        <v>0.17742005525129648</v>
      </c>
      <c r="G16" s="669">
        <v>0.15726995107136829</v>
      </c>
      <c r="H16" s="645" t="s">
        <v>842</v>
      </c>
      <c r="I16" s="641"/>
      <c r="J16" s="641"/>
    </row>
    <row r="17" spans="1:10" ht="6" customHeight="1">
      <c r="A17" s="650"/>
      <c r="B17" s="670"/>
      <c r="C17" s="670"/>
      <c r="D17" s="670"/>
      <c r="E17" s="670"/>
      <c r="F17" s="670"/>
      <c r="G17" s="670"/>
      <c r="H17" s="645"/>
      <c r="I17" s="641"/>
      <c r="J17" s="641"/>
    </row>
    <row r="18" spans="1:10" ht="18" customHeight="1">
      <c r="A18" s="650" t="s">
        <v>843</v>
      </c>
      <c r="B18" s="671">
        <v>2.8394512674899939E-3</v>
      </c>
      <c r="C18" s="671">
        <v>3.6661958710220272E-3</v>
      </c>
      <c r="D18" s="671">
        <v>2.978180271075184E-3</v>
      </c>
      <c r="E18" s="671">
        <v>4.5767883376652725E-3</v>
      </c>
      <c r="F18" s="671" t="s">
        <v>844</v>
      </c>
      <c r="G18" s="671" t="s">
        <v>844</v>
      </c>
      <c r="H18" s="645" t="s">
        <v>845</v>
      </c>
    </row>
    <row r="19" spans="1:10" ht="3.75" customHeight="1">
      <c r="A19" s="650"/>
      <c r="B19" s="672"/>
      <c r="C19" s="673"/>
      <c r="D19" s="673"/>
      <c r="E19" s="673"/>
      <c r="F19" s="673"/>
      <c r="G19" s="673"/>
      <c r="H19" s="645"/>
    </row>
    <row r="20" spans="1:10" ht="15.75" customHeight="1">
      <c r="A20" s="653" t="s">
        <v>846</v>
      </c>
      <c r="B20" s="674">
        <v>2.0834046047004891E-2</v>
      </c>
      <c r="C20" s="674">
        <v>2.3109054301769995E-2</v>
      </c>
      <c r="D20" s="674">
        <v>2.1971676897830184E-2</v>
      </c>
      <c r="E20" s="674">
        <v>2.3787998643914569E-2</v>
      </c>
      <c r="F20" s="674" t="s">
        <v>844</v>
      </c>
      <c r="G20" s="674" t="s">
        <v>844</v>
      </c>
      <c r="H20" s="654" t="s">
        <v>847</v>
      </c>
    </row>
    <row r="21" spans="1:10" ht="11.25" customHeight="1">
      <c r="A21" s="650" t="s">
        <v>848</v>
      </c>
      <c r="B21" s="652"/>
      <c r="C21" s="651"/>
      <c r="D21" s="651"/>
      <c r="E21" s="651"/>
      <c r="F21" s="651"/>
      <c r="G21" s="651"/>
      <c r="H21" s="646" t="s">
        <v>849</v>
      </c>
    </row>
    <row r="22" spans="1:10">
      <c r="A22" s="675" t="s">
        <v>850</v>
      </c>
      <c r="B22" s="656"/>
      <c r="C22" s="656"/>
      <c r="D22" s="656"/>
      <c r="E22" s="656"/>
      <c r="F22" s="656"/>
      <c r="G22" s="656"/>
      <c r="H22" s="658" t="s">
        <v>851</v>
      </c>
    </row>
    <row r="23" spans="1:10">
      <c r="A23" s="675" t="s">
        <v>852</v>
      </c>
      <c r="B23" s="656"/>
      <c r="C23" s="656"/>
      <c r="D23" s="656"/>
      <c r="E23" s="656"/>
      <c r="F23" s="656"/>
      <c r="G23" s="656"/>
      <c r="H23" s="658" t="s">
        <v>853</v>
      </c>
    </row>
    <row r="24" spans="1:10">
      <c r="A24" s="675" t="s">
        <v>854</v>
      </c>
      <c r="B24" s="656"/>
      <c r="C24" s="656"/>
      <c r="D24" s="656"/>
      <c r="E24" s="656"/>
      <c r="F24" s="656"/>
      <c r="G24" s="656"/>
      <c r="H24" s="658" t="s">
        <v>855</v>
      </c>
    </row>
    <row r="25" spans="1:10">
      <c r="A25" s="675" t="s">
        <v>856</v>
      </c>
      <c r="B25" s="656"/>
      <c r="C25" s="656"/>
      <c r="D25" s="656"/>
      <c r="E25" s="656"/>
      <c r="F25" s="656"/>
      <c r="G25" s="656"/>
      <c r="H25" s="658" t="s">
        <v>857</v>
      </c>
    </row>
    <row r="26" spans="1:10">
      <c r="A26" s="675" t="s">
        <v>858</v>
      </c>
      <c r="B26" s="656"/>
      <c r="C26" s="656"/>
      <c r="D26" s="656"/>
      <c r="E26" s="656"/>
      <c r="F26" s="656"/>
      <c r="G26" s="656"/>
      <c r="H26" s="658" t="s">
        <v>859</v>
      </c>
    </row>
    <row r="27" spans="1:10">
      <c r="A27" s="675" t="s">
        <v>860</v>
      </c>
      <c r="B27" s="656"/>
      <c r="C27" s="656"/>
      <c r="D27" s="656"/>
      <c r="E27" s="656"/>
      <c r="F27" s="656"/>
      <c r="G27" s="656"/>
      <c r="H27" s="658" t="s">
        <v>861</v>
      </c>
    </row>
    <row r="28" spans="1:10">
      <c r="A28" s="675" t="s">
        <v>862</v>
      </c>
      <c r="B28" s="641"/>
      <c r="C28" s="641"/>
      <c r="D28" s="641"/>
      <c r="E28" s="641"/>
      <c r="F28" s="641"/>
      <c r="G28" s="641"/>
      <c r="H28" s="658" t="s">
        <v>863</v>
      </c>
    </row>
    <row r="29" spans="1:10">
      <c r="A29" s="655"/>
      <c r="B29" s="641"/>
      <c r="C29" s="641"/>
      <c r="D29" s="641"/>
      <c r="E29" s="641"/>
      <c r="F29" s="641"/>
      <c r="G29" s="641"/>
      <c r="H29" s="658" t="s">
        <v>864</v>
      </c>
    </row>
    <row r="30" spans="1:10">
      <c r="A30" s="676" t="s">
        <v>865</v>
      </c>
      <c r="B30" s="641"/>
      <c r="C30" s="641"/>
      <c r="D30" s="641"/>
      <c r="E30" s="641"/>
      <c r="F30" s="641"/>
      <c r="G30" s="641"/>
    </row>
    <row r="31" spans="1:10">
      <c r="A31" s="677" t="s">
        <v>866</v>
      </c>
      <c r="B31" s="659"/>
      <c r="C31" s="659"/>
      <c r="D31" s="659"/>
      <c r="E31" s="659"/>
      <c r="F31" s="659"/>
      <c r="G31" s="659"/>
    </row>
    <row r="32" spans="1:10">
      <c r="A32" s="677" t="s">
        <v>867</v>
      </c>
      <c r="B32" s="641"/>
      <c r="C32" s="641"/>
      <c r="D32" s="641"/>
      <c r="E32" s="641"/>
      <c r="F32" s="641"/>
      <c r="G32" s="641"/>
      <c r="H32" s="641"/>
    </row>
    <row r="33" spans="1:8">
      <c r="A33" s="677" t="s">
        <v>868</v>
      </c>
      <c r="B33" s="641"/>
      <c r="C33" s="641"/>
      <c r="D33" s="641"/>
      <c r="E33" s="641"/>
      <c r="F33" s="641"/>
      <c r="G33" s="641"/>
      <c r="H33" s="641"/>
    </row>
    <row r="34" spans="1:8">
      <c r="A34" s="677" t="s">
        <v>869</v>
      </c>
      <c r="B34" s="641"/>
      <c r="C34" s="641"/>
      <c r="D34" s="641"/>
      <c r="E34" s="641"/>
      <c r="F34" s="641"/>
      <c r="G34" s="641"/>
      <c r="H34" s="641"/>
    </row>
    <row r="35" spans="1:8">
      <c r="A35" s="657" t="s">
        <v>877</v>
      </c>
      <c r="B35" s="641"/>
      <c r="C35" s="641"/>
      <c r="D35" s="641"/>
      <c r="E35" s="641"/>
      <c r="F35" s="641"/>
      <c r="G35" s="641"/>
      <c r="H35" s="641"/>
    </row>
    <row r="36" spans="1:8">
      <c r="A36" s="657"/>
      <c r="B36" s="641"/>
      <c r="C36" s="641"/>
      <c r="D36" s="641"/>
      <c r="E36" s="641"/>
      <c r="F36" s="641"/>
      <c r="G36" s="641"/>
      <c r="H36" s="641"/>
    </row>
    <row r="37" spans="1:8">
      <c r="B37" s="641"/>
      <c r="C37" s="641"/>
      <c r="D37" s="641"/>
      <c r="E37" s="641"/>
      <c r="F37" s="641"/>
      <c r="G37" s="641"/>
      <c r="H37" s="641"/>
    </row>
    <row r="38" spans="1:8">
      <c r="A38" s="641"/>
      <c r="B38" s="641"/>
      <c r="C38" s="641"/>
      <c r="D38" s="641"/>
      <c r="E38" s="641"/>
      <c r="F38" s="641"/>
      <c r="G38" s="641"/>
      <c r="H38" s="641"/>
    </row>
    <row r="39" spans="1:8">
      <c r="B39" s="641"/>
      <c r="C39" s="641"/>
      <c r="D39" s="641"/>
      <c r="E39" s="641"/>
      <c r="F39" s="641"/>
      <c r="G39" s="641"/>
    </row>
    <row r="40" spans="1:8">
      <c r="A40" s="641"/>
      <c r="B40" s="641"/>
      <c r="C40" s="641"/>
      <c r="D40" s="641"/>
      <c r="E40" s="641"/>
      <c r="F40" s="641"/>
      <c r="G40" s="641"/>
      <c r="H40" s="641"/>
    </row>
    <row r="41" spans="1:8">
      <c r="A41" s="641"/>
      <c r="B41" s="641"/>
      <c r="C41" s="641"/>
      <c r="D41" s="641"/>
      <c r="E41" s="641"/>
      <c r="F41" s="641"/>
      <c r="G41" s="641"/>
      <c r="H41" s="641"/>
    </row>
    <row r="48" spans="1:8">
      <c r="H48" s="658"/>
    </row>
  </sheetData>
  <mergeCells count="8">
    <mergeCell ref="A1:H1"/>
    <mergeCell ref="A2:H2"/>
    <mergeCell ref="A3:H3"/>
    <mergeCell ref="A4:H4"/>
    <mergeCell ref="A5:A7"/>
    <mergeCell ref="H5:H7"/>
    <mergeCell ref="E5:G5"/>
    <mergeCell ref="B5:C5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0"/>
  <sheetViews>
    <sheetView topLeftCell="A78" zoomScaleNormal="100" workbookViewId="0">
      <selection activeCell="Y119" sqref="Y119"/>
    </sheetView>
  </sheetViews>
  <sheetFormatPr defaultColWidth="9.140625" defaultRowHeight="12.75"/>
  <cols>
    <col min="1" max="1" width="57.140625" style="523" customWidth="1"/>
    <col min="2" max="2" width="12.5703125" style="523" hidden="1" customWidth="1"/>
    <col min="3" max="3" width="9.28515625" style="523" hidden="1" customWidth="1"/>
    <col min="4" max="5" width="8.7109375" style="523" hidden="1" customWidth="1"/>
    <col min="6" max="6" width="11.7109375" style="554" hidden="1" customWidth="1"/>
    <col min="7" max="12" width="8.7109375" style="523" customWidth="1"/>
    <col min="13" max="16384" width="9.140625" style="523"/>
  </cols>
  <sheetData>
    <row r="1" spans="1:17" ht="15.75" customHeight="1">
      <c r="A1" s="767" t="s">
        <v>632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</row>
    <row r="2" spans="1:17" s="524" customFormat="1" ht="13.5" customHeight="1">
      <c r="A2" s="766" t="s">
        <v>633</v>
      </c>
      <c r="B2" s="766"/>
      <c r="C2" s="766"/>
      <c r="D2" s="766"/>
      <c r="E2" s="766"/>
      <c r="F2" s="766"/>
      <c r="G2" s="766"/>
      <c r="H2" s="766"/>
      <c r="I2" s="766"/>
      <c r="J2" s="766"/>
      <c r="K2" s="766"/>
      <c r="L2" s="766"/>
      <c r="M2" s="766"/>
      <c r="N2" s="766"/>
    </row>
    <row r="3" spans="1:17" s="524" customFormat="1" ht="15" customHeight="1">
      <c r="A3" s="768" t="s">
        <v>304</v>
      </c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</row>
    <row r="4" spans="1:17" s="524" customFormat="1">
      <c r="A4" s="764" t="s">
        <v>406</v>
      </c>
      <c r="B4" s="525"/>
      <c r="C4" s="525"/>
      <c r="D4" s="526"/>
      <c r="E4" s="526"/>
      <c r="F4" s="525"/>
      <c r="G4" s="526" t="s">
        <v>68</v>
      </c>
      <c r="H4" s="526" t="s">
        <v>68</v>
      </c>
      <c r="I4" s="526" t="s">
        <v>68</v>
      </c>
      <c r="J4" s="526" t="s">
        <v>4</v>
      </c>
      <c r="K4" s="526" t="s">
        <v>6</v>
      </c>
      <c r="L4" s="526" t="s">
        <v>69</v>
      </c>
      <c r="M4" s="526" t="s">
        <v>69</v>
      </c>
      <c r="N4" s="526" t="s">
        <v>69</v>
      </c>
    </row>
    <row r="5" spans="1:17" s="528" customFormat="1">
      <c r="A5" s="765"/>
      <c r="B5" s="527">
        <v>2006</v>
      </c>
      <c r="C5" s="527">
        <v>2007</v>
      </c>
      <c r="D5" s="527">
        <v>2008</v>
      </c>
      <c r="E5" s="527">
        <v>2009</v>
      </c>
      <c r="F5" s="527">
        <v>2010</v>
      </c>
      <c r="G5" s="527">
        <v>2011</v>
      </c>
      <c r="H5" s="527">
        <v>2012</v>
      </c>
      <c r="I5" s="527">
        <v>2013</v>
      </c>
      <c r="J5" s="527">
        <v>2014</v>
      </c>
      <c r="K5" s="527">
        <v>2015</v>
      </c>
      <c r="L5" s="527">
        <v>2016</v>
      </c>
      <c r="M5" s="527">
        <v>2017</v>
      </c>
      <c r="N5" s="527">
        <v>2018</v>
      </c>
    </row>
    <row r="6" spans="1:17" s="528" customFormat="1">
      <c r="A6" s="529"/>
      <c r="G6" s="530"/>
      <c r="H6" s="530"/>
      <c r="I6" s="530"/>
      <c r="J6" s="530"/>
      <c r="K6" s="530"/>
      <c r="L6" s="530"/>
      <c r="M6" s="530"/>
    </row>
    <row r="7" spans="1:17" s="524" customFormat="1" ht="14.25" customHeight="1">
      <c r="A7" s="531" t="s">
        <v>407</v>
      </c>
      <c r="B7" s="532">
        <f>B8+B15+B19+B26+B30+B33+B41+B47+B66+B78+B88+B93+B97+B105+B111+B116+B128</f>
        <v>806.06999999999994</v>
      </c>
      <c r="C7" s="532">
        <f>C8+C15+C19+C26+C30+C33+C41+C47+C66+C78+C88+C93+C97+C105+C111+C116+C128</f>
        <v>816.50812199999996</v>
      </c>
      <c r="D7" s="532">
        <f>D8+D15+D19+D26+D30+D33+D41+D47+D66+D78+D88+D93+D97+D105+D111+D116+D128</f>
        <v>755.14876800000002</v>
      </c>
      <c r="E7" s="532">
        <f>E8+E15+E19+E26+E30+E33+E41+E47+E66+E78+E88+E93+E97+E105+E111+E116+E128</f>
        <v>778.84185679999996</v>
      </c>
      <c r="F7" s="532">
        <f>F8+F15+F19+F26+F30+F33+F41+F47+F66+F78+F88+F93+F97+F105+F111+F116+F128</f>
        <v>1283.0207659999999</v>
      </c>
      <c r="G7" s="532">
        <f>G8+G15+G19+G26+G30+G33+G41+G47+G66+G78+G88+G93+G97+G105+G108+G111+G116+G128</f>
        <v>1398.4178940000002</v>
      </c>
      <c r="H7" s="532">
        <f>H8+H15+H19+H26+H30+H33+H41+H47+H66+H78+H88+H93+H97+H105+H108+H111+H116+H122+H125+H128</f>
        <v>1145.8582073</v>
      </c>
      <c r="I7" s="532">
        <f t="shared" ref="I7:N7" si="0">I8+I15+I19+I26+I30+I33+I41+I47+I66+I78+I88+I93+I97+I105+I108+I111+I116+I122+I125+I128</f>
        <v>1187.1923500000003</v>
      </c>
      <c r="J7" s="532">
        <f t="shared" si="0"/>
        <v>188.39416600000004</v>
      </c>
      <c r="K7" s="532">
        <f t="shared" si="0"/>
        <v>568.31973500000004</v>
      </c>
      <c r="L7" s="532">
        <f t="shared" si="0"/>
        <v>2779.244608</v>
      </c>
      <c r="M7" s="532">
        <f t="shared" si="0"/>
        <v>3289.8189120000002</v>
      </c>
      <c r="N7" s="532">
        <f t="shared" si="0"/>
        <v>3312.2719229999998</v>
      </c>
    </row>
    <row r="8" spans="1:17" s="524" customFormat="1" ht="14.25" customHeight="1">
      <c r="A8" s="533" t="s">
        <v>408</v>
      </c>
      <c r="B8" s="534">
        <f>SUM(B9:B11)</f>
        <v>0</v>
      </c>
      <c r="C8" s="534">
        <f t="shared" ref="C8:G8" si="1">SUM(C9:C11)</f>
        <v>0</v>
      </c>
      <c r="D8" s="534">
        <f t="shared" si="1"/>
        <v>0</v>
      </c>
      <c r="E8" s="535">
        <f t="shared" si="1"/>
        <v>40.133375999999998</v>
      </c>
      <c r="F8" s="535">
        <f t="shared" si="1"/>
        <v>22.482177</v>
      </c>
      <c r="G8" s="534">
        <f t="shared" si="1"/>
        <v>181.95449299999999</v>
      </c>
      <c r="H8" s="534">
        <f>SUM(H9:H13)</f>
        <v>153.78399200000001</v>
      </c>
      <c r="I8" s="534">
        <f t="shared" ref="I8:N8" si="2">SUM(I9:I13)</f>
        <v>37.905923999999999</v>
      </c>
      <c r="J8" s="534">
        <f t="shared" si="2"/>
        <v>25.450016999999999</v>
      </c>
      <c r="K8" s="534">
        <f t="shared" si="2"/>
        <v>33.067532999999997</v>
      </c>
      <c r="L8" s="534">
        <f t="shared" si="2"/>
        <v>471.13567999999998</v>
      </c>
      <c r="M8" s="534">
        <f t="shared" si="2"/>
        <v>598.40800000000002</v>
      </c>
      <c r="N8" s="534">
        <f t="shared" si="2"/>
        <v>707.51950000000011</v>
      </c>
      <c r="O8" s="536"/>
      <c r="P8" s="536"/>
      <c r="Q8" s="536"/>
    </row>
    <row r="9" spans="1:17" s="524" customFormat="1" ht="14.25" customHeight="1">
      <c r="A9" s="537" t="s">
        <v>409</v>
      </c>
      <c r="B9" s="538" t="s">
        <v>457</v>
      </c>
      <c r="C9" s="538" t="s">
        <v>457</v>
      </c>
      <c r="D9" s="538" t="s">
        <v>457</v>
      </c>
      <c r="E9" s="530">
        <v>40.133375999999998</v>
      </c>
      <c r="F9" s="530">
        <v>22.482177</v>
      </c>
      <c r="G9" s="530">
        <v>134.44019499999999</v>
      </c>
      <c r="H9" s="530">
        <v>5.2662300000000002</v>
      </c>
      <c r="I9" s="530">
        <v>14.556865</v>
      </c>
      <c r="J9" s="530">
        <v>14.498196999999999</v>
      </c>
      <c r="K9" s="530">
        <v>23.409033000000001</v>
      </c>
      <c r="L9" s="530">
        <v>22.581679999999999</v>
      </c>
      <c r="M9" s="530" t="s">
        <v>457</v>
      </c>
      <c r="N9" s="530" t="s">
        <v>457</v>
      </c>
      <c r="O9" s="539"/>
      <c r="P9" s="539"/>
      <c r="Q9" s="539"/>
    </row>
    <row r="10" spans="1:17" s="524" customFormat="1" ht="14.25" customHeight="1">
      <c r="A10" s="537" t="s">
        <v>410</v>
      </c>
      <c r="B10" s="538" t="s">
        <v>457</v>
      </c>
      <c r="C10" s="538" t="s">
        <v>457</v>
      </c>
      <c r="D10" s="538" t="s">
        <v>457</v>
      </c>
      <c r="E10" s="530">
        <v>0</v>
      </c>
      <c r="F10" s="530">
        <v>0</v>
      </c>
      <c r="G10" s="530">
        <v>47.514297999999997</v>
      </c>
      <c r="H10" s="530">
        <v>148.517762</v>
      </c>
      <c r="I10" s="530">
        <v>23.349059</v>
      </c>
      <c r="J10" s="530">
        <v>10.95182</v>
      </c>
      <c r="K10" s="530" t="s">
        <v>457</v>
      </c>
      <c r="L10" s="530" t="s">
        <v>457</v>
      </c>
      <c r="M10" s="530" t="s">
        <v>457</v>
      </c>
      <c r="N10" s="530" t="s">
        <v>457</v>
      </c>
      <c r="O10" s="539"/>
      <c r="P10" s="539"/>
      <c r="Q10" s="539"/>
    </row>
    <row r="11" spans="1:17" s="524" customFormat="1" ht="14.25" customHeight="1">
      <c r="A11" s="537" t="s">
        <v>411</v>
      </c>
      <c r="B11" s="538" t="s">
        <v>457</v>
      </c>
      <c r="C11" s="538" t="s">
        <v>457</v>
      </c>
      <c r="D11" s="538" t="s">
        <v>457</v>
      </c>
      <c r="E11" s="530">
        <v>0</v>
      </c>
      <c r="F11" s="530">
        <v>0</v>
      </c>
      <c r="G11" s="530" t="s">
        <v>457</v>
      </c>
      <c r="H11" s="530" t="s">
        <v>457</v>
      </c>
      <c r="I11" s="530" t="s">
        <v>457</v>
      </c>
      <c r="J11" s="530" t="s">
        <v>457</v>
      </c>
      <c r="K11" s="530">
        <v>9.6585000000000001</v>
      </c>
      <c r="L11" s="530">
        <v>38.634</v>
      </c>
      <c r="M11" s="530">
        <v>77.268000000000001</v>
      </c>
      <c r="N11" s="530">
        <v>67.609499999999997</v>
      </c>
      <c r="O11" s="539"/>
      <c r="P11" s="539"/>
      <c r="Q11" s="539"/>
    </row>
    <row r="12" spans="1:17" s="524" customFormat="1" ht="14.25" customHeight="1">
      <c r="A12" s="537" t="s">
        <v>595</v>
      </c>
      <c r="B12" s="538" t="s">
        <v>457</v>
      </c>
      <c r="C12" s="538" t="s">
        <v>457</v>
      </c>
      <c r="D12" s="538" t="s">
        <v>457</v>
      </c>
      <c r="E12" s="530">
        <v>0</v>
      </c>
      <c r="F12" s="530">
        <v>0</v>
      </c>
      <c r="G12" s="538" t="s">
        <v>457</v>
      </c>
      <c r="H12" s="538" t="s">
        <v>457</v>
      </c>
      <c r="I12" s="538" t="s">
        <v>457</v>
      </c>
      <c r="J12" s="530" t="s">
        <v>457</v>
      </c>
      <c r="K12" s="530" t="s">
        <v>457</v>
      </c>
      <c r="L12" s="530">
        <v>225</v>
      </c>
      <c r="M12" s="530">
        <v>330.3</v>
      </c>
      <c r="N12" s="530">
        <v>393.35</v>
      </c>
      <c r="O12" s="539"/>
      <c r="P12" s="539"/>
      <c r="Q12" s="539"/>
    </row>
    <row r="13" spans="1:17" s="524" customFormat="1" ht="14.25" customHeight="1">
      <c r="A13" s="537" t="s">
        <v>596</v>
      </c>
      <c r="B13" s="538" t="s">
        <v>457</v>
      </c>
      <c r="C13" s="538" t="s">
        <v>457</v>
      </c>
      <c r="D13" s="538" t="s">
        <v>457</v>
      </c>
      <c r="E13" s="530">
        <v>0</v>
      </c>
      <c r="F13" s="530">
        <v>0</v>
      </c>
      <c r="G13" s="538" t="s">
        <v>457</v>
      </c>
      <c r="H13" s="538" t="s">
        <v>457</v>
      </c>
      <c r="I13" s="538" t="s">
        <v>457</v>
      </c>
      <c r="J13" s="530" t="s">
        <v>457</v>
      </c>
      <c r="K13" s="530" t="s">
        <v>457</v>
      </c>
      <c r="L13" s="530">
        <v>184.92</v>
      </c>
      <c r="M13" s="530">
        <v>190.84</v>
      </c>
      <c r="N13" s="530">
        <v>246.56</v>
      </c>
      <c r="O13" s="539"/>
      <c r="P13" s="539"/>
      <c r="Q13" s="539"/>
    </row>
    <row r="14" spans="1:17" s="524" customFormat="1" ht="9.75" customHeight="1">
      <c r="A14" s="537"/>
      <c r="B14" s="530"/>
      <c r="C14" s="530"/>
      <c r="D14" s="530"/>
      <c r="E14" s="530"/>
      <c r="F14" s="530"/>
      <c r="G14" s="530"/>
      <c r="H14" s="530"/>
      <c r="I14" s="530"/>
      <c r="J14" s="530"/>
      <c r="K14" s="530"/>
      <c r="L14" s="530"/>
      <c r="M14" s="530"/>
      <c r="N14" s="530"/>
      <c r="O14" s="539"/>
      <c r="P14" s="539"/>
      <c r="Q14" s="539"/>
    </row>
    <row r="15" spans="1:17" s="524" customFormat="1" ht="14.25" customHeight="1">
      <c r="A15" s="533" t="s">
        <v>412</v>
      </c>
      <c r="B15" s="530">
        <f t="shared" ref="B15:F17" si="3">SUM(B16)</f>
        <v>0</v>
      </c>
      <c r="C15" s="530">
        <f t="shared" si="3"/>
        <v>0</v>
      </c>
      <c r="D15" s="530">
        <f t="shared" si="3"/>
        <v>0</v>
      </c>
      <c r="E15" s="530">
        <f t="shared" si="3"/>
        <v>0</v>
      </c>
      <c r="F15" s="534">
        <f t="shared" si="3"/>
        <v>13.876379999999999</v>
      </c>
      <c r="G15" s="532">
        <f>SUM(G16:G17)</f>
        <v>16.510059999999999</v>
      </c>
      <c r="H15" s="532">
        <f>SUM(H16:H17)</f>
        <v>87.622929999999997</v>
      </c>
      <c r="I15" s="532">
        <f t="shared" ref="I15:M15" si="4">SUM(I16:I17)</f>
        <v>21.216504</v>
      </c>
      <c r="J15" s="532">
        <f t="shared" si="4"/>
        <v>9.7509049999999995</v>
      </c>
      <c r="K15" s="532">
        <f t="shared" si="4"/>
        <v>18.140284000000001</v>
      </c>
      <c r="L15" s="532">
        <f t="shared" si="4"/>
        <v>18.51192</v>
      </c>
      <c r="M15" s="532">
        <f t="shared" si="4"/>
        <v>37.02384</v>
      </c>
      <c r="N15" s="532">
        <f t="shared" ref="N15" si="5">SUM(N16:N17)</f>
        <v>32.395859999999999</v>
      </c>
      <c r="O15" s="539"/>
      <c r="P15" s="539"/>
      <c r="Q15" s="539"/>
    </row>
    <row r="16" spans="1:17" s="524" customFormat="1" ht="14.25" customHeight="1">
      <c r="A16" s="537" t="s">
        <v>413</v>
      </c>
      <c r="B16" s="530">
        <f t="shared" si="3"/>
        <v>0</v>
      </c>
      <c r="C16" s="530">
        <f t="shared" si="3"/>
        <v>0</v>
      </c>
      <c r="D16" s="530">
        <f t="shared" si="3"/>
        <v>0</v>
      </c>
      <c r="E16" s="530">
        <f t="shared" si="3"/>
        <v>0</v>
      </c>
      <c r="F16" s="530">
        <v>13.876379999999999</v>
      </c>
      <c r="G16" s="530">
        <v>16.510059999999999</v>
      </c>
      <c r="H16" s="530">
        <v>87.622929999999997</v>
      </c>
      <c r="I16" s="530">
        <v>21.216504</v>
      </c>
      <c r="J16" s="530">
        <v>9.7509049999999995</v>
      </c>
      <c r="K16" s="530">
        <v>13.512304</v>
      </c>
      <c r="L16" s="530" t="s">
        <v>457</v>
      </c>
      <c r="M16" s="530" t="s">
        <v>457</v>
      </c>
      <c r="N16" s="530" t="s">
        <v>457</v>
      </c>
      <c r="O16" s="539"/>
      <c r="P16" s="539"/>
      <c r="Q16" s="539"/>
    </row>
    <row r="17" spans="1:17" s="524" customFormat="1" ht="14.25" customHeight="1">
      <c r="A17" s="537" t="s">
        <v>565</v>
      </c>
      <c r="B17" s="530">
        <f t="shared" si="3"/>
        <v>0</v>
      </c>
      <c r="C17" s="530">
        <f t="shared" si="3"/>
        <v>0</v>
      </c>
      <c r="D17" s="530">
        <f t="shared" si="3"/>
        <v>0</v>
      </c>
      <c r="E17" s="530">
        <f t="shared" si="3"/>
        <v>0</v>
      </c>
      <c r="F17" s="538" t="s">
        <v>457</v>
      </c>
      <c r="G17" s="538" t="s">
        <v>457</v>
      </c>
      <c r="H17" s="530" t="s">
        <v>457</v>
      </c>
      <c r="I17" s="530" t="s">
        <v>457</v>
      </c>
      <c r="J17" s="530" t="s">
        <v>457</v>
      </c>
      <c r="K17" s="530">
        <v>4.62798</v>
      </c>
      <c r="L17" s="530">
        <v>18.51192</v>
      </c>
      <c r="M17" s="530">
        <v>37.02384</v>
      </c>
      <c r="N17" s="530">
        <v>32.395859999999999</v>
      </c>
      <c r="O17" s="539"/>
      <c r="P17" s="539"/>
      <c r="Q17" s="539"/>
    </row>
    <row r="18" spans="1:17" s="524" customFormat="1" ht="14.25" customHeight="1">
      <c r="A18" s="537"/>
      <c r="B18" s="530"/>
      <c r="C18" s="530"/>
      <c r="D18" s="530"/>
      <c r="E18" s="530"/>
      <c r="F18" s="530"/>
      <c r="G18" s="530"/>
      <c r="H18" s="530"/>
      <c r="I18" s="530"/>
      <c r="J18" s="530"/>
      <c r="K18" s="530"/>
      <c r="L18" s="530"/>
      <c r="M18" s="530"/>
      <c r="N18" s="530"/>
      <c r="O18" s="539"/>
      <c r="P18" s="539"/>
      <c r="Q18" s="539"/>
    </row>
    <row r="19" spans="1:17" s="524" customFormat="1" ht="14.25" customHeight="1">
      <c r="A19" s="533" t="s">
        <v>414</v>
      </c>
      <c r="B19" s="534">
        <f>SUM(B20:B24)</f>
        <v>21.2</v>
      </c>
      <c r="C19" s="534">
        <f t="shared" ref="C19:M19" si="6">SUM(C20:C24)</f>
        <v>9.5</v>
      </c>
      <c r="D19" s="534">
        <f t="shared" si="6"/>
        <v>2.7</v>
      </c>
      <c r="E19" s="534">
        <f t="shared" si="6"/>
        <v>4.1224828000000002</v>
      </c>
      <c r="F19" s="534">
        <f t="shared" si="6"/>
        <v>65.438178000000008</v>
      </c>
      <c r="G19" s="532">
        <f t="shared" si="6"/>
        <v>41.59984</v>
      </c>
      <c r="H19" s="534">
        <f>SUM(H20:H24)</f>
        <v>9.1164190000000005</v>
      </c>
      <c r="I19" s="534">
        <f t="shared" si="6"/>
        <v>0</v>
      </c>
      <c r="J19" s="534">
        <f t="shared" si="6"/>
        <v>0</v>
      </c>
      <c r="K19" s="534">
        <f t="shared" si="6"/>
        <v>3.2659199999999999</v>
      </c>
      <c r="L19" s="534">
        <f t="shared" si="6"/>
        <v>23.264099999999999</v>
      </c>
      <c r="M19" s="534">
        <f t="shared" si="6"/>
        <v>68.561999999999998</v>
      </c>
      <c r="N19" s="534">
        <f t="shared" ref="N19" si="7">SUM(N20:N24)</f>
        <v>76.726799999999997</v>
      </c>
      <c r="O19" s="539"/>
      <c r="P19" s="539"/>
      <c r="Q19" s="539"/>
    </row>
    <row r="20" spans="1:17" s="524" customFormat="1" ht="14.25" customHeight="1">
      <c r="A20" s="537" t="s">
        <v>415</v>
      </c>
      <c r="B20" s="538" t="s">
        <v>457</v>
      </c>
      <c r="C20" s="538" t="s">
        <v>457</v>
      </c>
      <c r="D20" s="538" t="s">
        <v>457</v>
      </c>
      <c r="E20" s="530">
        <v>0.77411799999999997</v>
      </c>
      <c r="F20" s="530">
        <v>63.394744000000003</v>
      </c>
      <c r="G20" s="530">
        <v>41.59984</v>
      </c>
      <c r="H20" s="530">
        <v>9.1164190000000005</v>
      </c>
      <c r="I20" s="530">
        <f t="shared" ref="I20:J20" si="8">SUM(I21:I25)</f>
        <v>0</v>
      </c>
      <c r="J20" s="534">
        <f t="shared" si="8"/>
        <v>0</v>
      </c>
      <c r="K20" s="530" t="s">
        <v>457</v>
      </c>
      <c r="L20" s="530" t="s">
        <v>457</v>
      </c>
      <c r="M20" s="530" t="s">
        <v>457</v>
      </c>
      <c r="N20" s="530" t="s">
        <v>457</v>
      </c>
      <c r="O20" s="539"/>
      <c r="P20" s="539"/>
      <c r="Q20" s="539"/>
    </row>
    <row r="21" spans="1:17" s="524" customFormat="1" ht="14.25" customHeight="1">
      <c r="A21" s="537" t="s">
        <v>416</v>
      </c>
      <c r="B21" s="538" t="s">
        <v>457</v>
      </c>
      <c r="C21" s="538" t="s">
        <v>457</v>
      </c>
      <c r="D21" s="538" t="s">
        <v>457</v>
      </c>
      <c r="E21" s="530">
        <v>0</v>
      </c>
      <c r="F21" s="530">
        <v>0</v>
      </c>
      <c r="G21" s="530" t="s">
        <v>457</v>
      </c>
      <c r="H21" s="530" t="s">
        <v>457</v>
      </c>
      <c r="I21" s="530">
        <f t="shared" ref="I21:J21" si="9">SUM(I22:I26)</f>
        <v>0</v>
      </c>
      <c r="J21" s="534">
        <f t="shared" si="9"/>
        <v>0</v>
      </c>
      <c r="K21" s="530">
        <v>3.2659199999999999</v>
      </c>
      <c r="L21" s="530">
        <v>16.329599999999999</v>
      </c>
      <c r="M21" s="530">
        <v>40.823999999999998</v>
      </c>
      <c r="N21" s="530">
        <v>48.988799999999998</v>
      </c>
      <c r="O21" s="539"/>
      <c r="P21" s="539"/>
      <c r="Q21" s="539"/>
    </row>
    <row r="22" spans="1:17" s="524" customFormat="1" ht="14.25" customHeight="1">
      <c r="A22" s="537" t="s">
        <v>620</v>
      </c>
      <c r="B22" s="538" t="s">
        <v>457</v>
      </c>
      <c r="C22" s="538" t="s">
        <v>457</v>
      </c>
      <c r="D22" s="538" t="s">
        <v>457</v>
      </c>
      <c r="E22" s="530">
        <v>0</v>
      </c>
      <c r="F22" s="530">
        <v>0</v>
      </c>
      <c r="G22" s="530" t="s">
        <v>457</v>
      </c>
      <c r="H22" s="530" t="s">
        <v>457</v>
      </c>
      <c r="I22" s="530">
        <f t="shared" ref="I22:J22" si="10">SUM(I23:I27)</f>
        <v>0</v>
      </c>
      <c r="J22" s="534">
        <f t="shared" si="10"/>
        <v>0</v>
      </c>
      <c r="K22" s="530" t="s">
        <v>457</v>
      </c>
      <c r="L22" s="530">
        <v>6.9344999999999999</v>
      </c>
      <c r="M22" s="530">
        <v>27.738</v>
      </c>
      <c r="N22" s="530">
        <v>27.738</v>
      </c>
      <c r="O22" s="539"/>
      <c r="P22" s="539"/>
      <c r="Q22" s="539"/>
    </row>
    <row r="23" spans="1:17" s="524" customFormat="1" ht="14.25" customHeight="1">
      <c r="A23" s="537" t="s">
        <v>417</v>
      </c>
      <c r="B23" s="538" t="s">
        <v>457</v>
      </c>
      <c r="C23" s="538" t="s">
        <v>457</v>
      </c>
      <c r="D23" s="538" t="s">
        <v>457</v>
      </c>
      <c r="E23" s="530">
        <v>3.3483648000000001</v>
      </c>
      <c r="F23" s="530">
        <v>2.043434</v>
      </c>
      <c r="G23" s="530" t="s">
        <v>457</v>
      </c>
      <c r="H23" s="530" t="s">
        <v>457</v>
      </c>
      <c r="I23" s="530">
        <f t="shared" ref="I23:J23" si="11">SUM(I24:I28)</f>
        <v>0</v>
      </c>
      <c r="J23" s="534">
        <f t="shared" si="11"/>
        <v>0</v>
      </c>
      <c r="K23" s="530" t="s">
        <v>457</v>
      </c>
      <c r="L23" s="530" t="s">
        <v>457</v>
      </c>
      <c r="M23" s="530" t="s">
        <v>457</v>
      </c>
      <c r="N23" s="530" t="s">
        <v>457</v>
      </c>
      <c r="O23" s="539"/>
      <c r="P23" s="539"/>
      <c r="Q23" s="539"/>
    </row>
    <row r="24" spans="1:17" s="524" customFormat="1" ht="14.25" customHeight="1">
      <c r="A24" s="540" t="s">
        <v>418</v>
      </c>
      <c r="B24" s="530">
        <v>21.2</v>
      </c>
      <c r="C24" s="530">
        <v>9.5</v>
      </c>
      <c r="D24" s="530">
        <v>2.7</v>
      </c>
      <c r="E24" s="530">
        <v>0</v>
      </c>
      <c r="F24" s="530">
        <v>0</v>
      </c>
      <c r="G24" s="530" t="s">
        <v>457</v>
      </c>
      <c r="H24" s="530" t="s">
        <v>457</v>
      </c>
      <c r="I24" s="530">
        <f t="shared" ref="I24:J24" si="12">SUM(I25:I29)</f>
        <v>0</v>
      </c>
      <c r="J24" s="534">
        <f t="shared" si="12"/>
        <v>0</v>
      </c>
      <c r="K24" s="530" t="s">
        <v>457</v>
      </c>
      <c r="L24" s="530" t="s">
        <v>457</v>
      </c>
      <c r="M24" s="530" t="s">
        <v>457</v>
      </c>
      <c r="N24" s="530" t="s">
        <v>457</v>
      </c>
      <c r="O24" s="539"/>
      <c r="P24" s="539"/>
      <c r="Q24" s="539"/>
    </row>
    <row r="25" spans="1:17" s="524" customFormat="1" ht="14.25" customHeight="1">
      <c r="A25" s="540"/>
      <c r="B25" s="530"/>
      <c r="C25" s="530"/>
      <c r="D25" s="530"/>
      <c r="E25" s="530"/>
      <c r="F25" s="530"/>
      <c r="G25" s="530"/>
      <c r="H25" s="530"/>
      <c r="I25" s="530"/>
      <c r="J25" s="530"/>
      <c r="K25" s="530"/>
      <c r="L25" s="530"/>
      <c r="M25" s="530"/>
      <c r="N25" s="530"/>
      <c r="O25" s="539"/>
      <c r="P25" s="539"/>
      <c r="Q25" s="539"/>
    </row>
    <row r="26" spans="1:17" s="524" customFormat="1" ht="14.25" customHeight="1">
      <c r="A26" s="533" t="s">
        <v>419</v>
      </c>
      <c r="B26" s="534">
        <f>SUM(B27:B28)</f>
        <v>0</v>
      </c>
      <c r="C26" s="534">
        <f t="shared" ref="C26:M26" si="13">SUM(C27:C28)</f>
        <v>0</v>
      </c>
      <c r="D26" s="534">
        <f t="shared" si="13"/>
        <v>0</v>
      </c>
      <c r="E26" s="534">
        <f t="shared" si="13"/>
        <v>73.282560000000004</v>
      </c>
      <c r="F26" s="534">
        <f t="shared" si="13"/>
        <v>249.074994</v>
      </c>
      <c r="G26" s="532">
        <f t="shared" si="13"/>
        <v>32.668301999999997</v>
      </c>
      <c r="H26" s="534">
        <f>SUM(H27:H28)</f>
        <v>7.1360210000000004</v>
      </c>
      <c r="I26" s="534">
        <f t="shared" si="13"/>
        <v>0</v>
      </c>
      <c r="J26" s="534">
        <f t="shared" si="13"/>
        <v>0</v>
      </c>
      <c r="K26" s="534">
        <f t="shared" si="13"/>
        <v>0</v>
      </c>
      <c r="L26" s="534">
        <f t="shared" si="13"/>
        <v>0</v>
      </c>
      <c r="M26" s="534">
        <f t="shared" si="13"/>
        <v>0</v>
      </c>
      <c r="N26" s="534">
        <f t="shared" ref="N26" si="14">SUM(N27:N28)</f>
        <v>0</v>
      </c>
      <c r="O26" s="536"/>
      <c r="P26" s="536"/>
      <c r="Q26" s="536"/>
    </row>
    <row r="27" spans="1:17" s="524" customFormat="1" ht="14.25" customHeight="1">
      <c r="A27" s="537" t="s">
        <v>420</v>
      </c>
      <c r="B27" s="530">
        <f t="shared" ref="B27:D27" si="15">SUM(B28:B29)</f>
        <v>0</v>
      </c>
      <c r="C27" s="530">
        <f t="shared" si="15"/>
        <v>0</v>
      </c>
      <c r="D27" s="530">
        <f t="shared" si="15"/>
        <v>0</v>
      </c>
      <c r="E27" s="530">
        <v>73.282560000000004</v>
      </c>
      <c r="F27" s="530">
        <v>249.074994</v>
      </c>
      <c r="G27" s="530">
        <v>32.668301999999997</v>
      </c>
      <c r="H27" s="530">
        <v>7.1360210000000004</v>
      </c>
      <c r="I27" s="530" t="s">
        <v>457</v>
      </c>
      <c r="J27" s="530" t="s">
        <v>457</v>
      </c>
      <c r="K27" s="530" t="s">
        <v>457</v>
      </c>
      <c r="L27" s="530" t="s">
        <v>457</v>
      </c>
      <c r="M27" s="530" t="s">
        <v>457</v>
      </c>
      <c r="N27" s="530" t="s">
        <v>457</v>
      </c>
      <c r="O27" s="539"/>
      <c r="P27" s="539"/>
      <c r="Q27" s="539"/>
    </row>
    <row r="28" spans="1:17" s="524" customFormat="1" ht="14.25" customHeight="1">
      <c r="A28" s="537" t="s">
        <v>421</v>
      </c>
      <c r="B28" s="530">
        <f t="shared" ref="B28:D28" si="16">SUM(B29:B30)</f>
        <v>0</v>
      </c>
      <c r="C28" s="530">
        <f t="shared" si="16"/>
        <v>0</v>
      </c>
      <c r="D28" s="530">
        <f t="shared" si="16"/>
        <v>0</v>
      </c>
      <c r="E28" s="538" t="s">
        <v>457</v>
      </c>
      <c r="F28" s="538" t="s">
        <v>457</v>
      </c>
      <c r="G28" s="538" t="s">
        <v>457</v>
      </c>
      <c r="H28" s="530">
        <v>0</v>
      </c>
      <c r="I28" s="530" t="s">
        <v>457</v>
      </c>
      <c r="J28" s="530" t="s">
        <v>457</v>
      </c>
      <c r="K28" s="530" t="s">
        <v>457</v>
      </c>
      <c r="L28" s="530" t="s">
        <v>457</v>
      </c>
      <c r="M28" s="530" t="s">
        <v>457</v>
      </c>
      <c r="N28" s="530" t="s">
        <v>457</v>
      </c>
      <c r="O28" s="539"/>
      <c r="P28" s="539"/>
      <c r="Q28" s="539"/>
    </row>
    <row r="29" spans="1:17" s="524" customFormat="1" ht="14.25" customHeight="1">
      <c r="A29" s="537"/>
      <c r="B29" s="530"/>
      <c r="C29" s="530"/>
      <c r="D29" s="530"/>
      <c r="E29" s="530"/>
      <c r="F29" s="530"/>
      <c r="G29" s="530"/>
      <c r="H29" s="530"/>
      <c r="I29" s="530"/>
      <c r="J29" s="530"/>
      <c r="K29" s="530"/>
      <c r="L29" s="530"/>
      <c r="M29" s="530"/>
      <c r="N29" s="530"/>
      <c r="O29" s="539"/>
      <c r="P29" s="539"/>
      <c r="Q29" s="539"/>
    </row>
    <row r="30" spans="1:17" s="524" customFormat="1" ht="14.25" customHeight="1">
      <c r="A30" s="533" t="s">
        <v>422</v>
      </c>
      <c r="B30" s="534">
        <f>SUM(B31)</f>
        <v>0</v>
      </c>
      <c r="C30" s="534">
        <f t="shared" ref="C30:N31" si="17">SUM(C31)</f>
        <v>0</v>
      </c>
      <c r="D30" s="534">
        <f t="shared" si="17"/>
        <v>0</v>
      </c>
      <c r="E30" s="534">
        <f t="shared" si="17"/>
        <v>0.52935699999999997</v>
      </c>
      <c r="F30" s="534">
        <f t="shared" si="17"/>
        <v>3.4447350000000001</v>
      </c>
      <c r="G30" s="532">
        <f t="shared" si="17"/>
        <v>0.482072</v>
      </c>
      <c r="H30" s="534">
        <f t="shared" si="17"/>
        <v>49.063294999999997</v>
      </c>
      <c r="I30" s="534">
        <f t="shared" si="17"/>
        <v>66.525672</v>
      </c>
      <c r="J30" s="534">
        <f t="shared" si="17"/>
        <v>52.931077999999999</v>
      </c>
      <c r="K30" s="534">
        <f t="shared" si="17"/>
        <v>102.08812500000001</v>
      </c>
      <c r="L30" s="534">
        <f t="shared" si="17"/>
        <v>0</v>
      </c>
      <c r="M30" s="534">
        <f t="shared" si="17"/>
        <v>0</v>
      </c>
      <c r="N30" s="534">
        <f t="shared" si="17"/>
        <v>0</v>
      </c>
      <c r="O30" s="536"/>
      <c r="P30" s="536"/>
      <c r="Q30" s="536"/>
    </row>
    <row r="31" spans="1:17" s="524" customFormat="1" ht="14.25" customHeight="1">
      <c r="A31" s="537" t="s">
        <v>423</v>
      </c>
      <c r="B31" s="530">
        <f>SUM(B32)</f>
        <v>0</v>
      </c>
      <c r="C31" s="530">
        <f t="shared" si="17"/>
        <v>0</v>
      </c>
      <c r="D31" s="530">
        <f t="shared" si="17"/>
        <v>0</v>
      </c>
      <c r="E31" s="530">
        <v>0.52935699999999997</v>
      </c>
      <c r="F31" s="530">
        <v>3.4447350000000001</v>
      </c>
      <c r="G31" s="530">
        <v>0.482072</v>
      </c>
      <c r="H31" s="530">
        <v>49.063294999999997</v>
      </c>
      <c r="I31" s="530">
        <v>66.525672</v>
      </c>
      <c r="J31" s="530">
        <v>52.931077999999999</v>
      </c>
      <c r="K31" s="530">
        <v>102.08812500000001</v>
      </c>
      <c r="L31" s="530" t="s">
        <v>457</v>
      </c>
      <c r="M31" s="530" t="s">
        <v>457</v>
      </c>
      <c r="N31" s="530" t="s">
        <v>457</v>
      </c>
      <c r="O31" s="539"/>
      <c r="P31" s="539"/>
      <c r="Q31" s="539"/>
    </row>
    <row r="32" spans="1:17" s="524" customFormat="1" ht="14.25" customHeight="1">
      <c r="A32" s="537"/>
      <c r="B32" s="530"/>
      <c r="C32" s="530"/>
      <c r="D32" s="530"/>
      <c r="E32" s="530"/>
      <c r="F32" s="530"/>
      <c r="G32" s="530"/>
      <c r="H32" s="530"/>
      <c r="I32" s="530"/>
      <c r="J32" s="530"/>
      <c r="K32" s="530"/>
      <c r="L32" s="530"/>
      <c r="M32" s="530"/>
      <c r="N32" s="530"/>
      <c r="O32" s="539"/>
      <c r="P32" s="539"/>
      <c r="Q32" s="539"/>
    </row>
    <row r="33" spans="1:17" s="524" customFormat="1" ht="14.25" customHeight="1">
      <c r="A33" s="533" t="s">
        <v>424</v>
      </c>
      <c r="B33" s="534">
        <f>SUM(B34:B39)</f>
        <v>5.3</v>
      </c>
      <c r="C33" s="534">
        <f t="shared" ref="C33:M33" si="18">SUM(C34:C39)</f>
        <v>35.1</v>
      </c>
      <c r="D33" s="534">
        <f t="shared" si="18"/>
        <v>43.17801</v>
      </c>
      <c r="E33" s="534">
        <f t="shared" si="18"/>
        <v>73.612108800000001</v>
      </c>
      <c r="F33" s="534">
        <f t="shared" si="18"/>
        <v>56.078963999999999</v>
      </c>
      <c r="G33" s="532">
        <f t="shared" si="18"/>
        <v>114.40424900000001</v>
      </c>
      <c r="H33" s="534">
        <f>SUM(H34:H39)</f>
        <v>86.079061999999993</v>
      </c>
      <c r="I33" s="534">
        <f t="shared" si="18"/>
        <v>59.978202999999993</v>
      </c>
      <c r="J33" s="534">
        <f t="shared" si="18"/>
        <v>0</v>
      </c>
      <c r="K33" s="534">
        <f t="shared" si="18"/>
        <v>2.2551000000000002E-2</v>
      </c>
      <c r="L33" s="534">
        <f t="shared" si="18"/>
        <v>0</v>
      </c>
      <c r="M33" s="534">
        <f t="shared" si="18"/>
        <v>0</v>
      </c>
      <c r="N33" s="534">
        <f t="shared" ref="N33" si="19">SUM(N34:N39)</f>
        <v>0</v>
      </c>
      <c r="O33" s="539"/>
      <c r="P33" s="539"/>
      <c r="Q33" s="539"/>
    </row>
    <row r="34" spans="1:17" s="524" customFormat="1" ht="14.25" customHeight="1">
      <c r="A34" s="537" t="s">
        <v>425</v>
      </c>
      <c r="B34" s="530">
        <v>5.3</v>
      </c>
      <c r="C34" s="530">
        <v>26</v>
      </c>
      <c r="D34" s="530">
        <v>39.338009999999997</v>
      </c>
      <c r="E34" s="530">
        <v>15.217036800000001</v>
      </c>
      <c r="F34" s="530">
        <v>1.2089019999999999</v>
      </c>
      <c r="G34" s="530">
        <v>47.196472</v>
      </c>
      <c r="H34" s="530">
        <v>0</v>
      </c>
      <c r="I34" s="530">
        <v>0</v>
      </c>
      <c r="J34" s="530" t="s">
        <v>457</v>
      </c>
      <c r="K34" s="530" t="s">
        <v>457</v>
      </c>
      <c r="L34" s="530" t="s">
        <v>457</v>
      </c>
      <c r="M34" s="530" t="s">
        <v>457</v>
      </c>
      <c r="N34" s="530" t="s">
        <v>457</v>
      </c>
      <c r="O34" s="539"/>
      <c r="P34" s="539"/>
      <c r="Q34" s="539"/>
    </row>
    <row r="35" spans="1:17" s="524" customFormat="1" ht="14.25" customHeight="1">
      <c r="A35" s="537" t="s">
        <v>426</v>
      </c>
      <c r="B35" s="530">
        <v>0</v>
      </c>
      <c r="C35" s="530">
        <v>0</v>
      </c>
      <c r="D35" s="530">
        <v>3.84</v>
      </c>
      <c r="E35" s="530">
        <v>29.44</v>
      </c>
      <c r="F35" s="530">
        <v>24.441600000000001</v>
      </c>
      <c r="G35" s="530">
        <v>27.064851000000001</v>
      </c>
      <c r="H35" s="530">
        <v>18.497710999999999</v>
      </c>
      <c r="I35" s="530">
        <v>0</v>
      </c>
      <c r="J35" s="530" t="s">
        <v>457</v>
      </c>
      <c r="K35" s="530" t="s">
        <v>457</v>
      </c>
      <c r="L35" s="530" t="s">
        <v>457</v>
      </c>
      <c r="M35" s="530" t="s">
        <v>457</v>
      </c>
      <c r="N35" s="530" t="s">
        <v>457</v>
      </c>
      <c r="O35" s="539"/>
      <c r="P35" s="539"/>
      <c r="Q35" s="539"/>
    </row>
    <row r="36" spans="1:17" s="524" customFormat="1" ht="14.25" customHeight="1">
      <c r="A36" s="537" t="s">
        <v>427</v>
      </c>
      <c r="B36" s="530">
        <v>0</v>
      </c>
      <c r="C36" s="530">
        <v>0</v>
      </c>
      <c r="D36" s="530">
        <v>0</v>
      </c>
      <c r="E36" s="530">
        <v>15.268672</v>
      </c>
      <c r="F36" s="530">
        <v>26.117453000000001</v>
      </c>
      <c r="G36" s="530">
        <v>16.562859</v>
      </c>
      <c r="H36" s="530">
        <v>56.438654999999997</v>
      </c>
      <c r="I36" s="530">
        <v>49.712792999999998</v>
      </c>
      <c r="J36" s="530" t="s">
        <v>457</v>
      </c>
      <c r="K36" s="530" t="s">
        <v>457</v>
      </c>
      <c r="L36" s="530" t="s">
        <v>457</v>
      </c>
      <c r="M36" s="530" t="s">
        <v>457</v>
      </c>
      <c r="N36" s="530" t="s">
        <v>457</v>
      </c>
      <c r="O36" s="539"/>
      <c r="P36" s="539"/>
      <c r="Q36" s="539"/>
    </row>
    <row r="37" spans="1:17" s="524" customFormat="1" ht="14.25" customHeight="1">
      <c r="A37" s="537" t="s">
        <v>428</v>
      </c>
      <c r="B37" s="530">
        <v>0</v>
      </c>
      <c r="C37" s="530">
        <v>0</v>
      </c>
      <c r="D37" s="530">
        <v>0</v>
      </c>
      <c r="E37" s="530">
        <v>10.133760000000001</v>
      </c>
      <c r="F37" s="530">
        <v>4.3110090000000003</v>
      </c>
      <c r="G37" s="530">
        <v>23.580067</v>
      </c>
      <c r="H37" s="530">
        <v>11.142696000000001</v>
      </c>
      <c r="I37" s="530">
        <v>10.265409999999999</v>
      </c>
      <c r="J37" s="530" t="s">
        <v>457</v>
      </c>
      <c r="K37" s="530">
        <v>2.2551000000000002E-2</v>
      </c>
      <c r="L37" s="530" t="s">
        <v>457</v>
      </c>
      <c r="M37" s="530" t="s">
        <v>457</v>
      </c>
      <c r="N37" s="530" t="s">
        <v>457</v>
      </c>
      <c r="O37" s="539"/>
      <c r="P37" s="539"/>
      <c r="Q37" s="539"/>
    </row>
    <row r="38" spans="1:17" s="524" customFormat="1" ht="14.25" customHeight="1">
      <c r="A38" s="537" t="s">
        <v>420</v>
      </c>
      <c r="B38" s="530">
        <v>0</v>
      </c>
      <c r="C38" s="530">
        <v>0</v>
      </c>
      <c r="D38" s="530">
        <v>0</v>
      </c>
      <c r="E38" s="530">
        <v>3.5526399999999998</v>
      </c>
      <c r="F38" s="530">
        <v>0</v>
      </c>
      <c r="G38" s="530">
        <v>0</v>
      </c>
      <c r="H38" s="530" t="s">
        <v>457</v>
      </c>
      <c r="I38" s="530" t="s">
        <v>457</v>
      </c>
      <c r="J38" s="530" t="s">
        <v>457</v>
      </c>
      <c r="K38" s="530" t="s">
        <v>457</v>
      </c>
      <c r="L38" s="530" t="s">
        <v>457</v>
      </c>
      <c r="M38" s="530" t="s">
        <v>457</v>
      </c>
      <c r="N38" s="530" t="s">
        <v>457</v>
      </c>
      <c r="O38" s="539"/>
      <c r="P38" s="539"/>
      <c r="Q38" s="539"/>
    </row>
    <row r="39" spans="1:17" s="524" customFormat="1" ht="14.25" customHeight="1">
      <c r="A39" s="537" t="s">
        <v>429</v>
      </c>
      <c r="B39" s="530">
        <v>0</v>
      </c>
      <c r="C39" s="530">
        <v>9.1</v>
      </c>
      <c r="D39" s="530">
        <v>0</v>
      </c>
      <c r="E39" s="530">
        <v>0</v>
      </c>
      <c r="F39" s="530">
        <v>0</v>
      </c>
      <c r="G39" s="530">
        <v>0</v>
      </c>
      <c r="H39" s="530" t="s">
        <v>457</v>
      </c>
      <c r="I39" s="530" t="s">
        <v>457</v>
      </c>
      <c r="J39" s="530" t="s">
        <v>457</v>
      </c>
      <c r="K39" s="530" t="s">
        <v>457</v>
      </c>
      <c r="L39" s="530" t="s">
        <v>457</v>
      </c>
      <c r="M39" s="530" t="s">
        <v>457</v>
      </c>
      <c r="N39" s="530" t="s">
        <v>457</v>
      </c>
      <c r="O39" s="539"/>
      <c r="P39" s="539"/>
      <c r="Q39" s="539"/>
    </row>
    <row r="40" spans="1:17" s="524" customFormat="1" ht="14.25" customHeight="1">
      <c r="A40" s="537"/>
      <c r="B40" s="530"/>
      <c r="C40" s="530"/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530"/>
      <c r="O40" s="539"/>
      <c r="P40" s="539"/>
      <c r="Q40" s="539"/>
    </row>
    <row r="41" spans="1:17" s="524" customFormat="1" ht="14.25" customHeight="1">
      <c r="A41" s="533" t="s">
        <v>430</v>
      </c>
      <c r="B41" s="534">
        <f t="shared" ref="B41:G41" si="20">SUM(B42:B44)</f>
        <v>0</v>
      </c>
      <c r="C41" s="534">
        <f t="shared" si="20"/>
        <v>0</v>
      </c>
      <c r="D41" s="534">
        <f t="shared" si="20"/>
        <v>0</v>
      </c>
      <c r="E41" s="534">
        <f t="shared" si="20"/>
        <v>0.97870100000000004</v>
      </c>
      <c r="F41" s="534">
        <f t="shared" si="20"/>
        <v>16.572000000000003</v>
      </c>
      <c r="G41" s="532">
        <f t="shared" si="20"/>
        <v>26.341757999999999</v>
      </c>
      <c r="H41" s="534">
        <f>SUM(H42:H45)</f>
        <v>18.887602999999999</v>
      </c>
      <c r="I41" s="534">
        <f t="shared" ref="I41:N41" si="21">SUM(I42:I45)</f>
        <v>2.7029269999999999</v>
      </c>
      <c r="J41" s="534">
        <f t="shared" si="21"/>
        <v>5.7226840000000001</v>
      </c>
      <c r="K41" s="534">
        <f t="shared" si="21"/>
        <v>14.547447</v>
      </c>
      <c r="L41" s="534">
        <f t="shared" si="21"/>
        <v>9.0279659999999993</v>
      </c>
      <c r="M41" s="534">
        <f t="shared" si="21"/>
        <v>0</v>
      </c>
      <c r="N41" s="534">
        <f t="shared" si="21"/>
        <v>0</v>
      </c>
      <c r="O41" s="539"/>
      <c r="P41" s="539"/>
      <c r="Q41" s="539"/>
    </row>
    <row r="42" spans="1:17" s="524" customFormat="1" ht="14.25" customHeight="1">
      <c r="A42" s="537" t="s">
        <v>431</v>
      </c>
      <c r="B42" s="530">
        <v>0</v>
      </c>
      <c r="C42" s="530">
        <v>0</v>
      </c>
      <c r="D42" s="530">
        <v>0</v>
      </c>
      <c r="E42" s="530">
        <v>0</v>
      </c>
      <c r="F42" s="530">
        <v>10.172000000000001</v>
      </c>
      <c r="G42" s="530">
        <v>12.119864</v>
      </c>
      <c r="H42" s="530">
        <v>5.4513499999999999E-2</v>
      </c>
      <c r="I42" s="530" t="s">
        <v>457</v>
      </c>
      <c r="J42" s="530" t="s">
        <v>457</v>
      </c>
      <c r="K42" s="530" t="s">
        <v>457</v>
      </c>
      <c r="L42" s="530" t="s">
        <v>457</v>
      </c>
      <c r="M42" s="530" t="s">
        <v>457</v>
      </c>
      <c r="N42" s="530" t="s">
        <v>457</v>
      </c>
      <c r="O42" s="539"/>
      <c r="P42" s="539"/>
      <c r="Q42" s="539"/>
    </row>
    <row r="43" spans="1:17" s="524" customFormat="1" ht="14.25" customHeight="1">
      <c r="A43" s="540" t="s">
        <v>431</v>
      </c>
      <c r="B43" s="530">
        <v>0</v>
      </c>
      <c r="C43" s="530">
        <v>0</v>
      </c>
      <c r="D43" s="530">
        <v>0</v>
      </c>
      <c r="E43" s="530">
        <v>0</v>
      </c>
      <c r="F43" s="530">
        <v>0</v>
      </c>
      <c r="G43" s="530">
        <v>14.221894000000001</v>
      </c>
      <c r="H43" s="530">
        <v>14.6449775</v>
      </c>
      <c r="I43" s="530">
        <v>0</v>
      </c>
      <c r="J43" s="530">
        <v>1.71305</v>
      </c>
      <c r="K43" s="530" t="s">
        <v>457</v>
      </c>
      <c r="L43" s="530" t="s">
        <v>457</v>
      </c>
      <c r="M43" s="530" t="s">
        <v>457</v>
      </c>
      <c r="N43" s="530" t="s">
        <v>457</v>
      </c>
      <c r="O43" s="539"/>
      <c r="P43" s="539"/>
      <c r="Q43" s="539"/>
    </row>
    <row r="44" spans="1:17" s="524" customFormat="1" ht="14.25" customHeight="1">
      <c r="A44" s="537" t="s">
        <v>432</v>
      </c>
      <c r="B44" s="530">
        <v>0</v>
      </c>
      <c r="C44" s="530">
        <v>0</v>
      </c>
      <c r="D44" s="530">
        <v>0</v>
      </c>
      <c r="E44" s="530">
        <v>0.97870100000000004</v>
      </c>
      <c r="F44" s="530">
        <v>6.4</v>
      </c>
      <c r="G44" s="530">
        <v>0</v>
      </c>
      <c r="H44" s="530">
        <v>4.1881120000000003</v>
      </c>
      <c r="I44" s="530">
        <v>2.7029269999999999</v>
      </c>
      <c r="J44" s="530">
        <v>4.0096340000000001</v>
      </c>
      <c r="K44" s="530">
        <v>14.547447</v>
      </c>
      <c r="L44" s="530">
        <v>9.0279659999999993</v>
      </c>
      <c r="M44" s="530" t="s">
        <v>457</v>
      </c>
      <c r="N44" s="530" t="s">
        <v>457</v>
      </c>
      <c r="O44" s="539"/>
      <c r="P44" s="539"/>
      <c r="Q44" s="539"/>
    </row>
    <row r="45" spans="1:17" s="524" customFormat="1" ht="14.25" customHeight="1">
      <c r="A45" s="537" t="s">
        <v>597</v>
      </c>
      <c r="B45" s="530"/>
      <c r="C45" s="530"/>
      <c r="D45" s="530"/>
      <c r="E45" s="530"/>
      <c r="F45" s="530"/>
      <c r="G45" s="530"/>
      <c r="H45" s="530"/>
      <c r="I45" s="530"/>
      <c r="J45" s="530" t="s">
        <v>457</v>
      </c>
      <c r="K45" s="530" t="s">
        <v>457</v>
      </c>
      <c r="L45" s="530" t="s">
        <v>457</v>
      </c>
      <c r="M45" s="530" t="s">
        <v>457</v>
      </c>
      <c r="N45" s="530" t="s">
        <v>457</v>
      </c>
      <c r="O45" s="539"/>
      <c r="P45" s="539"/>
      <c r="Q45" s="539"/>
    </row>
    <row r="46" spans="1:17" s="524" customFormat="1" ht="14.25" customHeight="1">
      <c r="A46" s="537"/>
      <c r="B46" s="530"/>
      <c r="C46" s="530"/>
      <c r="D46" s="530"/>
      <c r="E46" s="530"/>
      <c r="F46" s="530"/>
      <c r="G46" s="530"/>
      <c r="H46" s="530"/>
      <c r="I46" s="530"/>
      <c r="J46" s="530"/>
      <c r="K46" s="530"/>
      <c r="L46" s="530"/>
      <c r="M46" s="530"/>
      <c r="N46" s="530"/>
      <c r="O46" s="539"/>
      <c r="P46" s="539"/>
      <c r="Q46" s="539"/>
    </row>
    <row r="47" spans="1:17" s="524" customFormat="1" ht="14.25" customHeight="1">
      <c r="A47" s="533" t="s">
        <v>433</v>
      </c>
      <c r="B47" s="534">
        <f>SUM(B48:B62)</f>
        <v>144.19999999999999</v>
      </c>
      <c r="C47" s="534">
        <f>SUM(C48:C62)</f>
        <v>18</v>
      </c>
      <c r="D47" s="534">
        <f>SUM(D48:D62)</f>
        <v>68.600000000000009</v>
      </c>
      <c r="E47" s="534">
        <f>SUM(E48:E62)</f>
        <v>60.392844799999999</v>
      </c>
      <c r="F47" s="534">
        <f>SUM(F48:F62)</f>
        <v>27.212074000000001</v>
      </c>
      <c r="G47" s="534">
        <f t="shared" ref="G47" si="22">SUM(G48:G63)</f>
        <v>86.673029999999997</v>
      </c>
      <c r="H47" s="534">
        <f>SUM(H48:H64)</f>
        <v>82.244337999999999</v>
      </c>
      <c r="I47" s="534">
        <f t="shared" ref="I47:N47" si="23">SUM(I48:I64)</f>
        <v>30.346392999999999</v>
      </c>
      <c r="J47" s="534">
        <f t="shared" si="23"/>
        <v>11.611944999999999</v>
      </c>
      <c r="K47" s="534">
        <f t="shared" si="23"/>
        <v>8.2537099999999999</v>
      </c>
      <c r="L47" s="534">
        <f t="shared" si="23"/>
        <v>171.56644200000002</v>
      </c>
      <c r="M47" s="534">
        <f t="shared" si="23"/>
        <v>272.89846199999999</v>
      </c>
      <c r="N47" s="534">
        <f t="shared" si="23"/>
        <v>404.93335100000002</v>
      </c>
      <c r="O47" s="539"/>
      <c r="P47" s="539"/>
      <c r="Q47" s="539"/>
    </row>
    <row r="48" spans="1:17" s="524" customFormat="1" ht="14.25" customHeight="1">
      <c r="A48" s="537" t="s">
        <v>434</v>
      </c>
      <c r="B48" s="538" t="s">
        <v>457</v>
      </c>
      <c r="C48" s="538" t="s">
        <v>457</v>
      </c>
      <c r="D48" s="530">
        <v>1.4</v>
      </c>
      <c r="E48" s="538" t="s">
        <v>457</v>
      </c>
      <c r="F48" s="530">
        <v>0.383718</v>
      </c>
      <c r="G48" s="530" t="s">
        <v>457</v>
      </c>
      <c r="H48" s="530" t="s">
        <v>457</v>
      </c>
      <c r="I48" s="530" t="s">
        <v>457</v>
      </c>
      <c r="J48" s="530" t="s">
        <v>457</v>
      </c>
      <c r="K48" s="530" t="s">
        <v>457</v>
      </c>
      <c r="L48" s="530" t="s">
        <v>457</v>
      </c>
      <c r="M48" s="530" t="s">
        <v>457</v>
      </c>
      <c r="N48" s="530" t="s">
        <v>457</v>
      </c>
      <c r="O48" s="539"/>
      <c r="P48" s="539"/>
      <c r="Q48" s="539"/>
    </row>
    <row r="49" spans="1:17" ht="14.25" customHeight="1">
      <c r="A49" s="537" t="s">
        <v>435</v>
      </c>
      <c r="B49" s="538" t="s">
        <v>457</v>
      </c>
      <c r="C49" s="538" t="s">
        <v>457</v>
      </c>
      <c r="D49" s="538" t="s">
        <v>457</v>
      </c>
      <c r="E49" s="538" t="s">
        <v>457</v>
      </c>
      <c r="F49" s="530">
        <v>0</v>
      </c>
      <c r="G49" s="530">
        <v>20.308920000000001</v>
      </c>
      <c r="H49" s="530" t="s">
        <v>457</v>
      </c>
      <c r="I49" s="530" t="s">
        <v>457</v>
      </c>
      <c r="J49" s="530" t="s">
        <v>457</v>
      </c>
      <c r="K49" s="530" t="s">
        <v>457</v>
      </c>
      <c r="L49" s="530" t="s">
        <v>457</v>
      </c>
      <c r="M49" s="530" t="s">
        <v>457</v>
      </c>
      <c r="N49" s="530" t="s">
        <v>457</v>
      </c>
      <c r="O49" s="539"/>
      <c r="P49" s="539"/>
      <c r="Q49" s="539"/>
    </row>
    <row r="50" spans="1:17" ht="14.25" customHeight="1">
      <c r="A50" s="537" t="s">
        <v>436</v>
      </c>
      <c r="B50" s="538" t="s">
        <v>457</v>
      </c>
      <c r="C50" s="538" t="s">
        <v>457</v>
      </c>
      <c r="D50" s="538" t="s">
        <v>457</v>
      </c>
      <c r="E50" s="530">
        <v>12.635954999999999</v>
      </c>
      <c r="F50" s="530">
        <v>23.015940000000001</v>
      </c>
      <c r="G50" s="530">
        <v>35.039594999999998</v>
      </c>
      <c r="H50" s="530">
        <v>22.579273000000001</v>
      </c>
      <c r="I50" s="530">
        <v>0.46817999999999999</v>
      </c>
      <c r="J50" s="530" t="s">
        <v>457</v>
      </c>
      <c r="K50" s="530" t="s">
        <v>457</v>
      </c>
      <c r="L50" s="530" t="s">
        <v>457</v>
      </c>
      <c r="M50" s="530" t="s">
        <v>457</v>
      </c>
      <c r="N50" s="530" t="s">
        <v>457</v>
      </c>
      <c r="O50" s="539"/>
      <c r="P50" s="539"/>
      <c r="Q50" s="539"/>
    </row>
    <row r="51" spans="1:17" ht="14.25" customHeight="1">
      <c r="A51" s="540" t="s">
        <v>437</v>
      </c>
      <c r="B51" s="538" t="s">
        <v>457</v>
      </c>
      <c r="C51" s="538" t="s">
        <v>457</v>
      </c>
      <c r="D51" s="538" t="s">
        <v>457</v>
      </c>
      <c r="E51" s="530">
        <v>1.758157</v>
      </c>
      <c r="F51" s="530">
        <v>3.8124159999999998</v>
      </c>
      <c r="G51" s="530">
        <v>31.324515000000002</v>
      </c>
      <c r="H51" s="530">
        <v>59.665064999999998</v>
      </c>
      <c r="I51" s="530">
        <v>29.878212999999999</v>
      </c>
      <c r="J51" s="530" t="s">
        <v>457</v>
      </c>
      <c r="K51" s="530" t="s">
        <v>457</v>
      </c>
      <c r="L51" s="530" t="s">
        <v>457</v>
      </c>
      <c r="M51" s="530" t="s">
        <v>457</v>
      </c>
      <c r="N51" s="530" t="s">
        <v>457</v>
      </c>
      <c r="O51" s="539"/>
      <c r="P51" s="539"/>
      <c r="Q51" s="539"/>
    </row>
    <row r="52" spans="1:17" ht="14.25" customHeight="1">
      <c r="A52" s="537" t="s">
        <v>438</v>
      </c>
      <c r="B52" s="538" t="s">
        <v>457</v>
      </c>
      <c r="C52" s="538" t="s">
        <v>457</v>
      </c>
      <c r="D52" s="538" t="s">
        <v>457</v>
      </c>
      <c r="E52" s="538" t="s">
        <v>457</v>
      </c>
      <c r="F52" s="538" t="s">
        <v>457</v>
      </c>
      <c r="G52" s="538" t="s">
        <v>457</v>
      </c>
      <c r="H52" s="538" t="s">
        <v>457</v>
      </c>
      <c r="I52" s="538" t="s">
        <v>457</v>
      </c>
      <c r="J52" s="530">
        <v>0.27332400000000001</v>
      </c>
      <c r="K52" s="530">
        <v>0.18038699999999999</v>
      </c>
      <c r="L52" s="530">
        <v>56.345621000000001</v>
      </c>
      <c r="M52" s="530" t="s">
        <v>457</v>
      </c>
      <c r="N52" s="530" t="s">
        <v>457</v>
      </c>
      <c r="O52" s="539"/>
      <c r="P52" s="539"/>
      <c r="Q52" s="539"/>
    </row>
    <row r="53" spans="1:17" ht="14.25" customHeight="1">
      <c r="A53" s="540" t="s">
        <v>439</v>
      </c>
      <c r="B53" s="538" t="s">
        <v>457</v>
      </c>
      <c r="C53" s="538" t="s">
        <v>457</v>
      </c>
      <c r="D53" s="538" t="s">
        <v>457</v>
      </c>
      <c r="E53" s="538" t="s">
        <v>457</v>
      </c>
      <c r="F53" s="538" t="s">
        <v>457</v>
      </c>
      <c r="G53" s="538" t="s">
        <v>457</v>
      </c>
      <c r="H53" s="538" t="s">
        <v>457</v>
      </c>
      <c r="I53" s="538" t="s">
        <v>457</v>
      </c>
      <c r="J53" s="530">
        <v>6.2303629999999997</v>
      </c>
      <c r="K53" s="530" t="s">
        <v>457</v>
      </c>
      <c r="L53" s="530">
        <v>28.643076000000001</v>
      </c>
      <c r="M53" s="530">
        <v>50.125382000000002</v>
      </c>
      <c r="N53" s="530">
        <v>64.446920000000006</v>
      </c>
      <c r="O53" s="539"/>
      <c r="P53" s="539"/>
      <c r="Q53" s="539"/>
    </row>
    <row r="54" spans="1:17" ht="14.25" customHeight="1">
      <c r="A54" s="537" t="s">
        <v>440</v>
      </c>
      <c r="B54" s="530">
        <v>137.1</v>
      </c>
      <c r="C54" s="530">
        <v>10</v>
      </c>
      <c r="D54" s="538" t="s">
        <v>457</v>
      </c>
      <c r="E54" s="538" t="s">
        <v>457</v>
      </c>
      <c r="F54" s="538" t="s">
        <v>457</v>
      </c>
      <c r="G54" s="538" t="s">
        <v>457</v>
      </c>
      <c r="H54" s="538" t="s">
        <v>457</v>
      </c>
      <c r="I54" s="538" t="s">
        <v>457</v>
      </c>
      <c r="J54" s="530" t="s">
        <v>457</v>
      </c>
      <c r="K54" s="530" t="s">
        <v>457</v>
      </c>
      <c r="L54" s="530" t="s">
        <v>457</v>
      </c>
      <c r="M54" s="530" t="s">
        <v>457</v>
      </c>
      <c r="N54" s="530" t="s">
        <v>457</v>
      </c>
      <c r="O54" s="539"/>
      <c r="P54" s="539"/>
      <c r="Q54" s="539"/>
    </row>
    <row r="55" spans="1:17" ht="14.25" customHeight="1">
      <c r="A55" s="537" t="s">
        <v>441</v>
      </c>
      <c r="B55" s="538" t="s">
        <v>457</v>
      </c>
      <c r="C55" s="538" t="s">
        <v>457</v>
      </c>
      <c r="D55" s="530">
        <v>67.2</v>
      </c>
      <c r="E55" s="530">
        <v>38.764032</v>
      </c>
      <c r="F55" s="538" t="s">
        <v>457</v>
      </c>
      <c r="G55" s="538" t="s">
        <v>457</v>
      </c>
      <c r="H55" s="538" t="s">
        <v>457</v>
      </c>
      <c r="I55" s="538" t="s">
        <v>457</v>
      </c>
      <c r="J55" s="530" t="s">
        <v>457</v>
      </c>
      <c r="K55" s="530" t="s">
        <v>457</v>
      </c>
      <c r="L55" s="530" t="s">
        <v>457</v>
      </c>
      <c r="M55" s="530" t="s">
        <v>457</v>
      </c>
      <c r="N55" s="530" t="s">
        <v>457</v>
      </c>
      <c r="O55" s="539"/>
      <c r="P55" s="539"/>
      <c r="Q55" s="539"/>
    </row>
    <row r="56" spans="1:17" ht="14.25" customHeight="1">
      <c r="A56" s="537" t="s">
        <v>442</v>
      </c>
      <c r="B56" s="538" t="s">
        <v>457</v>
      </c>
      <c r="C56" s="538" t="s">
        <v>457</v>
      </c>
      <c r="D56" s="538" t="s">
        <v>457</v>
      </c>
      <c r="E56" s="530">
        <v>6.4</v>
      </c>
      <c r="F56" s="538" t="s">
        <v>457</v>
      </c>
      <c r="G56" s="538" t="s">
        <v>457</v>
      </c>
      <c r="H56" s="538" t="s">
        <v>457</v>
      </c>
      <c r="I56" s="538" t="s">
        <v>457</v>
      </c>
      <c r="J56" s="530" t="s">
        <v>457</v>
      </c>
      <c r="K56" s="530" t="s">
        <v>457</v>
      </c>
      <c r="L56" s="530" t="s">
        <v>457</v>
      </c>
      <c r="M56" s="530" t="s">
        <v>457</v>
      </c>
      <c r="N56" s="530" t="s">
        <v>457</v>
      </c>
      <c r="O56" s="539"/>
      <c r="P56" s="539"/>
      <c r="Q56" s="539"/>
    </row>
    <row r="57" spans="1:17" ht="14.25" customHeight="1">
      <c r="A57" s="540" t="s">
        <v>443</v>
      </c>
      <c r="B57" s="530">
        <v>7</v>
      </c>
      <c r="C57" s="530">
        <v>3.8</v>
      </c>
      <c r="D57" s="538" t="s">
        <v>457</v>
      </c>
      <c r="E57" s="538" t="s">
        <v>457</v>
      </c>
      <c r="F57" s="538" t="s">
        <v>457</v>
      </c>
      <c r="G57" s="538" t="s">
        <v>457</v>
      </c>
      <c r="H57" s="538" t="s">
        <v>457</v>
      </c>
      <c r="I57" s="538" t="s">
        <v>457</v>
      </c>
      <c r="J57" s="530" t="s">
        <v>457</v>
      </c>
      <c r="K57" s="530" t="s">
        <v>457</v>
      </c>
      <c r="L57" s="530" t="s">
        <v>457</v>
      </c>
      <c r="M57" s="530" t="s">
        <v>457</v>
      </c>
      <c r="N57" s="530" t="s">
        <v>457</v>
      </c>
      <c r="O57" s="539"/>
      <c r="P57" s="539"/>
      <c r="Q57" s="539"/>
    </row>
    <row r="58" spans="1:17" ht="14.25" customHeight="1">
      <c r="A58" s="537" t="s">
        <v>444</v>
      </c>
      <c r="B58" s="530">
        <v>0.1</v>
      </c>
      <c r="C58" s="530">
        <v>4.2</v>
      </c>
      <c r="D58" s="530">
        <v>0</v>
      </c>
      <c r="E58" s="530">
        <v>0.83470080000000002</v>
      </c>
      <c r="F58" s="538" t="s">
        <v>457</v>
      </c>
      <c r="G58" s="538" t="s">
        <v>457</v>
      </c>
      <c r="H58" s="538" t="s">
        <v>457</v>
      </c>
      <c r="I58" s="538" t="s">
        <v>457</v>
      </c>
      <c r="J58" s="530" t="s">
        <v>457</v>
      </c>
      <c r="K58" s="530" t="s">
        <v>457</v>
      </c>
      <c r="L58" s="530" t="s">
        <v>457</v>
      </c>
      <c r="M58" s="530" t="s">
        <v>457</v>
      </c>
      <c r="N58" s="530" t="s">
        <v>457</v>
      </c>
      <c r="O58" s="539"/>
      <c r="P58" s="539"/>
      <c r="Q58" s="539"/>
    </row>
    <row r="59" spans="1:17" ht="14.25" customHeight="1">
      <c r="A59" s="537" t="s">
        <v>598</v>
      </c>
      <c r="B59" s="538" t="s">
        <v>457</v>
      </c>
      <c r="C59" s="538" t="s">
        <v>457</v>
      </c>
      <c r="D59" s="538" t="s">
        <v>457</v>
      </c>
      <c r="E59" s="538" t="s">
        <v>457</v>
      </c>
      <c r="F59" s="538" t="s">
        <v>457</v>
      </c>
      <c r="G59" s="538" t="s">
        <v>457</v>
      </c>
      <c r="H59" s="538" t="s">
        <v>457</v>
      </c>
      <c r="I59" s="538" t="s">
        <v>457</v>
      </c>
      <c r="J59" s="530">
        <v>5.1082580000000002</v>
      </c>
      <c r="K59" s="530">
        <v>5.5035429999999996</v>
      </c>
      <c r="L59" s="530">
        <v>16.510626999999999</v>
      </c>
      <c r="M59" s="530">
        <v>33.021254999999996</v>
      </c>
      <c r="N59" s="530">
        <v>33.021254999999996</v>
      </c>
      <c r="O59" s="539"/>
      <c r="P59" s="539"/>
      <c r="Q59" s="539"/>
    </row>
    <row r="60" spans="1:17" ht="14.25" customHeight="1">
      <c r="A60" s="537" t="s">
        <v>445</v>
      </c>
      <c r="B60" s="538" t="s">
        <v>457</v>
      </c>
      <c r="C60" s="538" t="s">
        <v>457</v>
      </c>
      <c r="D60" s="538" t="s">
        <v>457</v>
      </c>
      <c r="E60" s="538" t="s">
        <v>457</v>
      </c>
      <c r="F60" s="538" t="s">
        <v>457</v>
      </c>
      <c r="G60" s="538" t="s">
        <v>457</v>
      </c>
      <c r="H60" s="538" t="s">
        <v>457</v>
      </c>
      <c r="I60" s="538" t="s">
        <v>457</v>
      </c>
      <c r="J60" s="530" t="s">
        <v>457</v>
      </c>
      <c r="K60" s="530" t="s">
        <v>457</v>
      </c>
      <c r="L60" s="530">
        <v>36.984000000000002</v>
      </c>
      <c r="M60" s="530">
        <v>55.475999999999999</v>
      </c>
      <c r="N60" s="530">
        <v>55.475999999999999</v>
      </c>
      <c r="O60" s="539"/>
      <c r="P60" s="539"/>
      <c r="Q60" s="539"/>
    </row>
    <row r="61" spans="1:17" ht="14.25" customHeight="1">
      <c r="A61" s="537" t="s">
        <v>446</v>
      </c>
      <c r="B61" s="538" t="s">
        <v>457</v>
      </c>
      <c r="C61" s="538" t="s">
        <v>457</v>
      </c>
      <c r="D61" s="538" t="s">
        <v>457</v>
      </c>
      <c r="E61" s="538" t="s">
        <v>457</v>
      </c>
      <c r="F61" s="538" t="s">
        <v>457</v>
      </c>
      <c r="G61" s="538" t="s">
        <v>457</v>
      </c>
      <c r="H61" s="538" t="s">
        <v>457</v>
      </c>
      <c r="I61" s="538" t="s">
        <v>457</v>
      </c>
      <c r="J61" s="530" t="s">
        <v>457</v>
      </c>
      <c r="K61" s="530" t="s">
        <v>457</v>
      </c>
      <c r="L61" s="530">
        <v>17.664441</v>
      </c>
      <c r="M61" s="530">
        <v>23.552588</v>
      </c>
      <c r="N61" s="530">
        <v>72.983870999999994</v>
      </c>
      <c r="O61" s="539"/>
      <c r="P61" s="539"/>
      <c r="Q61" s="539"/>
    </row>
    <row r="62" spans="1:17" ht="14.25" customHeight="1">
      <c r="A62" s="537" t="s">
        <v>599</v>
      </c>
      <c r="B62" s="538" t="s">
        <v>457</v>
      </c>
      <c r="C62" s="538" t="s">
        <v>457</v>
      </c>
      <c r="D62" s="538" t="s">
        <v>457</v>
      </c>
      <c r="E62" s="538" t="s">
        <v>457</v>
      </c>
      <c r="F62" s="538" t="s">
        <v>457</v>
      </c>
      <c r="G62" s="538" t="s">
        <v>457</v>
      </c>
      <c r="H62" s="538" t="s">
        <v>457</v>
      </c>
      <c r="I62" s="538" t="s">
        <v>457</v>
      </c>
      <c r="J62" s="530" t="s">
        <v>457</v>
      </c>
      <c r="K62" s="530">
        <v>2.5697800000000002</v>
      </c>
      <c r="L62" s="530">
        <v>15.418677000000001</v>
      </c>
      <c r="M62" s="530">
        <v>20.558236999999998</v>
      </c>
      <c r="N62" s="530">
        <v>61.135305000000002</v>
      </c>
      <c r="O62" s="539"/>
      <c r="P62" s="539"/>
      <c r="Q62" s="539"/>
    </row>
    <row r="63" spans="1:17" ht="13.5" customHeight="1">
      <c r="A63" s="537" t="s">
        <v>566</v>
      </c>
      <c r="B63" s="538" t="s">
        <v>457</v>
      </c>
      <c r="C63" s="538" t="s">
        <v>457</v>
      </c>
      <c r="D63" s="538" t="s">
        <v>457</v>
      </c>
      <c r="E63" s="538" t="s">
        <v>457</v>
      </c>
      <c r="F63" s="538" t="s">
        <v>457</v>
      </c>
      <c r="G63" s="538" t="s">
        <v>457</v>
      </c>
      <c r="H63" s="538" t="s">
        <v>457</v>
      </c>
      <c r="I63" s="538" t="s">
        <v>457</v>
      </c>
      <c r="J63" s="530" t="s">
        <v>457</v>
      </c>
      <c r="K63" s="530" t="s">
        <v>457</v>
      </c>
      <c r="L63" s="530" t="s">
        <v>457</v>
      </c>
      <c r="M63" s="530">
        <v>23.114999999999998</v>
      </c>
      <c r="N63" s="530">
        <v>30.82</v>
      </c>
      <c r="O63" s="539"/>
      <c r="P63" s="539"/>
      <c r="Q63" s="539"/>
    </row>
    <row r="64" spans="1:17" ht="13.5" customHeight="1">
      <c r="A64" s="537" t="s">
        <v>600</v>
      </c>
      <c r="B64" s="538"/>
      <c r="C64" s="538"/>
      <c r="D64" s="538"/>
      <c r="E64" s="538"/>
      <c r="F64" s="538"/>
      <c r="G64" s="538"/>
      <c r="H64" s="538"/>
      <c r="I64" s="538"/>
      <c r="J64" s="530" t="s">
        <v>457</v>
      </c>
      <c r="K64" s="530" t="s">
        <v>457</v>
      </c>
      <c r="L64" s="530" t="s">
        <v>457</v>
      </c>
      <c r="M64" s="530">
        <v>67.05</v>
      </c>
      <c r="N64" s="530">
        <v>87.05</v>
      </c>
      <c r="O64" s="539"/>
      <c r="P64" s="539"/>
      <c r="Q64" s="539"/>
    </row>
    <row r="65" spans="1:17" ht="13.5" customHeight="1">
      <c r="A65" s="537"/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530"/>
      <c r="O65" s="539"/>
      <c r="P65" s="539"/>
      <c r="Q65" s="539"/>
    </row>
    <row r="66" spans="1:17" ht="14.25" customHeight="1">
      <c r="A66" s="533" t="s">
        <v>447</v>
      </c>
      <c r="B66" s="534">
        <f t="shared" ref="B66:G66" si="24">SUM(B67:B74)</f>
        <v>64.87</v>
      </c>
      <c r="C66" s="534">
        <f t="shared" si="24"/>
        <v>77.8</v>
      </c>
      <c r="D66" s="534">
        <f t="shared" si="24"/>
        <v>34.9</v>
      </c>
      <c r="E66" s="534">
        <f t="shared" si="24"/>
        <v>81.389620000000008</v>
      </c>
      <c r="F66" s="534">
        <f t="shared" si="24"/>
        <v>125.39468100000001</v>
      </c>
      <c r="G66" s="532">
        <f t="shared" si="24"/>
        <v>110.975019</v>
      </c>
      <c r="H66" s="534">
        <f>SUM(H67:H76)</f>
        <v>43.581213299999995</v>
      </c>
      <c r="I66" s="534">
        <f t="shared" ref="I66:N66" si="25">SUM(I67:I76)</f>
        <v>37.78454</v>
      </c>
      <c r="J66" s="534">
        <f t="shared" si="25"/>
        <v>11.569822</v>
      </c>
      <c r="K66" s="534">
        <f t="shared" si="25"/>
        <v>15.513646</v>
      </c>
      <c r="L66" s="534">
        <f t="shared" si="25"/>
        <v>18.331233999999998</v>
      </c>
      <c r="M66" s="534">
        <f t="shared" si="25"/>
        <v>44.8431</v>
      </c>
      <c r="N66" s="534">
        <f t="shared" si="25"/>
        <v>54.8431</v>
      </c>
      <c r="O66" s="539"/>
      <c r="P66" s="539"/>
      <c r="Q66" s="539"/>
    </row>
    <row r="67" spans="1:17" ht="14.25" customHeight="1">
      <c r="A67" s="537" t="s">
        <v>448</v>
      </c>
      <c r="B67" s="530">
        <v>18.8</v>
      </c>
      <c r="C67" s="530">
        <v>27.9</v>
      </c>
      <c r="D67" s="530">
        <v>16.5</v>
      </c>
      <c r="E67" s="530">
        <v>28.826278400000003</v>
      </c>
      <c r="F67" s="530">
        <v>26.077563999999999</v>
      </c>
      <c r="G67" s="530" t="s">
        <v>457</v>
      </c>
      <c r="H67" s="530" t="s">
        <v>457</v>
      </c>
      <c r="I67" s="530" t="s">
        <v>457</v>
      </c>
      <c r="J67" s="530" t="s">
        <v>457</v>
      </c>
      <c r="K67" s="530" t="s">
        <v>457</v>
      </c>
      <c r="L67" s="530" t="s">
        <v>457</v>
      </c>
      <c r="M67" s="530" t="s">
        <v>457</v>
      </c>
      <c r="N67" s="530" t="s">
        <v>457</v>
      </c>
      <c r="O67" s="539"/>
      <c r="P67" s="539"/>
      <c r="Q67" s="539"/>
    </row>
    <row r="68" spans="1:17" ht="14.25" customHeight="1">
      <c r="A68" s="540" t="s">
        <v>449</v>
      </c>
      <c r="B68" s="530">
        <v>30</v>
      </c>
      <c r="C68" s="530">
        <v>4.2</v>
      </c>
      <c r="D68" s="530">
        <v>12.2</v>
      </c>
      <c r="E68" s="530">
        <v>26.0098816</v>
      </c>
      <c r="F68" s="530">
        <v>31.063718000000001</v>
      </c>
      <c r="G68" s="530" t="s">
        <v>457</v>
      </c>
      <c r="H68" s="530" t="s">
        <v>457</v>
      </c>
      <c r="I68" s="530" t="s">
        <v>457</v>
      </c>
      <c r="J68" s="530" t="s">
        <v>457</v>
      </c>
      <c r="K68" s="530" t="s">
        <v>457</v>
      </c>
      <c r="L68" s="530" t="s">
        <v>457</v>
      </c>
      <c r="M68" s="530" t="s">
        <v>457</v>
      </c>
      <c r="N68" s="530" t="s">
        <v>457</v>
      </c>
      <c r="O68" s="539"/>
      <c r="P68" s="539"/>
      <c r="Q68" s="539"/>
    </row>
    <row r="69" spans="1:17" ht="14.25" customHeight="1">
      <c r="A69" s="537" t="s">
        <v>450</v>
      </c>
      <c r="B69" s="530">
        <v>3.7</v>
      </c>
      <c r="C69" s="530">
        <v>14.4</v>
      </c>
      <c r="D69" s="530">
        <v>0.2</v>
      </c>
      <c r="E69" s="530">
        <v>15.06729</v>
      </c>
      <c r="F69" s="530">
        <v>21.153192000000001</v>
      </c>
      <c r="G69" s="530">
        <v>2.4465000000000001E-2</v>
      </c>
      <c r="H69" s="530">
        <v>3.0701839999999998</v>
      </c>
      <c r="I69" s="530">
        <v>11.101946999999999</v>
      </c>
      <c r="J69" s="530" t="s">
        <v>457</v>
      </c>
      <c r="K69" s="530" t="s">
        <v>457</v>
      </c>
      <c r="L69" s="530" t="s">
        <v>457</v>
      </c>
      <c r="M69" s="530" t="s">
        <v>457</v>
      </c>
      <c r="N69" s="530" t="s">
        <v>457</v>
      </c>
      <c r="O69" s="539"/>
      <c r="P69" s="539"/>
      <c r="Q69" s="539"/>
    </row>
    <row r="70" spans="1:17" ht="14.25" customHeight="1">
      <c r="A70" s="537" t="s">
        <v>451</v>
      </c>
      <c r="B70" s="530">
        <v>5.4</v>
      </c>
      <c r="C70" s="530">
        <v>3.9</v>
      </c>
      <c r="D70" s="530">
        <v>3.6</v>
      </c>
      <c r="E70" s="530">
        <v>5.09504</v>
      </c>
      <c r="F70" s="530">
        <v>5.163119</v>
      </c>
      <c r="G70" s="530">
        <v>44.064557000000001</v>
      </c>
      <c r="H70" s="530">
        <v>1.8353710000000001</v>
      </c>
      <c r="I70" s="530" t="s">
        <v>457</v>
      </c>
      <c r="J70" s="530" t="s">
        <v>457</v>
      </c>
      <c r="K70" s="530" t="s">
        <v>457</v>
      </c>
      <c r="L70" s="530" t="s">
        <v>457</v>
      </c>
      <c r="M70" s="530" t="s">
        <v>457</v>
      </c>
      <c r="N70" s="530" t="s">
        <v>457</v>
      </c>
      <c r="O70" s="539"/>
      <c r="P70" s="539"/>
      <c r="Q70" s="539"/>
    </row>
    <row r="71" spans="1:17" ht="14.25" customHeight="1">
      <c r="A71" s="537" t="s">
        <v>452</v>
      </c>
      <c r="B71" s="530">
        <v>0</v>
      </c>
      <c r="C71" s="530">
        <v>0</v>
      </c>
      <c r="D71" s="530">
        <v>2.4</v>
      </c>
      <c r="E71" s="530">
        <v>6.3911300000000004</v>
      </c>
      <c r="F71" s="530">
        <v>29.665980000000001</v>
      </c>
      <c r="G71" s="530">
        <v>24.122235</v>
      </c>
      <c r="H71" s="530">
        <v>0</v>
      </c>
      <c r="I71" s="530" t="s">
        <v>457</v>
      </c>
      <c r="J71" s="530" t="s">
        <v>457</v>
      </c>
      <c r="K71" s="530" t="s">
        <v>457</v>
      </c>
      <c r="L71" s="530" t="s">
        <v>457</v>
      </c>
      <c r="M71" s="530" t="s">
        <v>457</v>
      </c>
      <c r="N71" s="530" t="s">
        <v>457</v>
      </c>
      <c r="O71" s="539"/>
      <c r="P71" s="539"/>
      <c r="Q71" s="539"/>
    </row>
    <row r="72" spans="1:17" ht="14.25" customHeight="1">
      <c r="A72" s="537" t="s">
        <v>453</v>
      </c>
      <c r="B72" s="530">
        <v>0</v>
      </c>
      <c r="C72" s="530">
        <v>0</v>
      </c>
      <c r="D72" s="538" t="s">
        <v>457</v>
      </c>
      <c r="E72" s="538" t="s">
        <v>457</v>
      </c>
      <c r="F72" s="530">
        <v>12.271108</v>
      </c>
      <c r="G72" s="530">
        <v>42.763762</v>
      </c>
      <c r="H72" s="530">
        <v>38.675658299999995</v>
      </c>
      <c r="I72" s="530">
        <v>26.682593000000001</v>
      </c>
      <c r="J72" s="538" t="s">
        <v>457</v>
      </c>
      <c r="K72" s="538" t="s">
        <v>457</v>
      </c>
      <c r="L72" s="538" t="s">
        <v>457</v>
      </c>
      <c r="M72" s="538" t="s">
        <v>457</v>
      </c>
      <c r="N72" s="538" t="s">
        <v>457</v>
      </c>
      <c r="O72" s="539"/>
      <c r="P72" s="539"/>
      <c r="Q72" s="539"/>
    </row>
    <row r="73" spans="1:17" ht="14.25" customHeight="1">
      <c r="A73" s="537" t="s">
        <v>454</v>
      </c>
      <c r="B73" s="530">
        <v>0</v>
      </c>
      <c r="C73" s="530">
        <v>12.8</v>
      </c>
      <c r="D73" s="538" t="s">
        <v>457</v>
      </c>
      <c r="E73" s="538" t="s">
        <v>457</v>
      </c>
      <c r="F73" s="538" t="s">
        <v>457</v>
      </c>
      <c r="G73" s="530">
        <v>0</v>
      </c>
      <c r="H73" s="530">
        <v>0</v>
      </c>
      <c r="I73" s="530" t="s">
        <v>457</v>
      </c>
      <c r="J73" s="530">
        <v>11.569822</v>
      </c>
      <c r="K73" s="530">
        <v>15.513646</v>
      </c>
      <c r="L73" s="530">
        <v>3.383534</v>
      </c>
      <c r="M73" s="538" t="s">
        <v>457</v>
      </c>
      <c r="N73" s="538" t="s">
        <v>457</v>
      </c>
      <c r="O73" s="539"/>
      <c r="P73" s="539"/>
      <c r="Q73" s="539"/>
    </row>
    <row r="74" spans="1:17" ht="14.25" customHeight="1">
      <c r="A74" s="537" t="s">
        <v>455</v>
      </c>
      <c r="B74" s="530">
        <v>6.97</v>
      </c>
      <c r="C74" s="530">
        <v>14.6</v>
      </c>
      <c r="D74" s="538" t="s">
        <v>457</v>
      </c>
      <c r="E74" s="538" t="s">
        <v>457</v>
      </c>
      <c r="F74" s="530">
        <v>0</v>
      </c>
      <c r="G74" s="530">
        <v>0</v>
      </c>
      <c r="H74" s="538" t="s">
        <v>457</v>
      </c>
      <c r="I74" s="538" t="s">
        <v>457</v>
      </c>
      <c r="J74" s="538" t="s">
        <v>457</v>
      </c>
      <c r="K74" s="538" t="s">
        <v>457</v>
      </c>
      <c r="L74" s="538" t="s">
        <v>457</v>
      </c>
      <c r="M74" s="538" t="s">
        <v>457</v>
      </c>
      <c r="N74" s="538" t="s">
        <v>457</v>
      </c>
      <c r="O74" s="539"/>
      <c r="P74" s="539"/>
      <c r="Q74" s="539"/>
    </row>
    <row r="75" spans="1:17" ht="14.25" customHeight="1">
      <c r="A75" s="537" t="s">
        <v>601</v>
      </c>
      <c r="B75" s="530"/>
      <c r="C75" s="530"/>
      <c r="D75" s="538"/>
      <c r="E75" s="538"/>
      <c r="F75" s="530"/>
      <c r="G75" s="530"/>
      <c r="H75" s="538"/>
      <c r="I75" s="538"/>
      <c r="J75" s="538" t="s">
        <v>457</v>
      </c>
      <c r="K75" s="538" t="s">
        <v>457</v>
      </c>
      <c r="L75" s="538">
        <v>14.947699999999999</v>
      </c>
      <c r="M75" s="538">
        <v>44.8431</v>
      </c>
      <c r="N75" s="538">
        <v>44.8431</v>
      </c>
      <c r="O75" s="539"/>
      <c r="P75" s="539"/>
      <c r="Q75" s="539"/>
    </row>
    <row r="76" spans="1:17" ht="14.25" customHeight="1">
      <c r="A76" s="537" t="s">
        <v>602</v>
      </c>
      <c r="B76" s="530"/>
      <c r="C76" s="530"/>
      <c r="D76" s="538"/>
      <c r="E76" s="538"/>
      <c r="F76" s="530"/>
      <c r="G76" s="530"/>
      <c r="H76" s="538"/>
      <c r="I76" s="538"/>
      <c r="J76" s="538" t="s">
        <v>457</v>
      </c>
      <c r="K76" s="538" t="s">
        <v>457</v>
      </c>
      <c r="L76" s="538" t="s">
        <v>457</v>
      </c>
      <c r="M76" s="538"/>
      <c r="N76" s="538">
        <v>10</v>
      </c>
      <c r="O76" s="539"/>
      <c r="P76" s="539"/>
      <c r="Q76" s="539"/>
    </row>
    <row r="77" spans="1:17" ht="14.25" customHeight="1">
      <c r="A77" s="537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9"/>
      <c r="P77" s="539"/>
      <c r="Q77" s="539"/>
    </row>
    <row r="78" spans="1:17" ht="14.25" customHeight="1">
      <c r="A78" s="533" t="s">
        <v>456</v>
      </c>
      <c r="B78" s="534">
        <v>0</v>
      </c>
      <c r="C78" s="534">
        <v>0</v>
      </c>
      <c r="D78" s="534">
        <v>0</v>
      </c>
      <c r="E78" s="534">
        <v>0</v>
      </c>
      <c r="F78" s="534">
        <v>0</v>
      </c>
      <c r="G78" s="532">
        <f>SUM(G79:G84)</f>
        <v>10.230764000000001</v>
      </c>
      <c r="H78" s="532">
        <f>SUM(H79:H86)</f>
        <v>14.050041999999999</v>
      </c>
      <c r="I78" s="532">
        <f t="shared" ref="I78:N78" si="26">SUM(I79:I86)</f>
        <v>14.039686</v>
      </c>
      <c r="J78" s="532">
        <f t="shared" si="26"/>
        <v>15.610315</v>
      </c>
      <c r="K78" s="532">
        <f t="shared" si="26"/>
        <v>25.617621999999997</v>
      </c>
      <c r="L78" s="532">
        <f t="shared" si="26"/>
        <v>180.66976599999998</v>
      </c>
      <c r="M78" s="532">
        <f t="shared" si="26"/>
        <v>228.12406900000002</v>
      </c>
      <c r="N78" s="532">
        <f t="shared" si="26"/>
        <v>275.710149</v>
      </c>
      <c r="O78" s="539"/>
      <c r="P78" s="539"/>
      <c r="Q78" s="539"/>
    </row>
    <row r="79" spans="1:17" ht="14.25" customHeight="1">
      <c r="A79" s="537" t="s">
        <v>437</v>
      </c>
      <c r="B79" s="530">
        <v>0</v>
      </c>
      <c r="C79" s="530">
        <v>0</v>
      </c>
      <c r="D79" s="530">
        <v>0</v>
      </c>
      <c r="E79" s="530">
        <v>0</v>
      </c>
      <c r="F79" s="530">
        <v>0</v>
      </c>
      <c r="G79" s="530">
        <v>10.230764000000001</v>
      </c>
      <c r="H79" s="530">
        <v>14.050041999999999</v>
      </c>
      <c r="I79" s="530">
        <v>14.039686</v>
      </c>
      <c r="J79" s="530">
        <v>15.610315</v>
      </c>
      <c r="K79" s="530">
        <v>21.104611999999999</v>
      </c>
      <c r="L79" s="530" t="s">
        <v>457</v>
      </c>
      <c r="M79" s="530" t="s">
        <v>457</v>
      </c>
      <c r="N79" s="530" t="s">
        <v>457</v>
      </c>
      <c r="O79" s="539"/>
      <c r="P79" s="539"/>
      <c r="Q79" s="539"/>
    </row>
    <row r="80" spans="1:17" ht="14.25" customHeight="1">
      <c r="A80" s="537" t="s">
        <v>411</v>
      </c>
      <c r="B80" s="530">
        <v>0</v>
      </c>
      <c r="C80" s="530">
        <v>0</v>
      </c>
      <c r="D80" s="530">
        <v>0</v>
      </c>
      <c r="E80" s="530">
        <v>0</v>
      </c>
      <c r="F80" s="530">
        <v>0</v>
      </c>
      <c r="G80" s="541" t="s">
        <v>457</v>
      </c>
      <c r="H80" s="541">
        <v>0</v>
      </c>
      <c r="I80" s="542" t="s">
        <v>457</v>
      </c>
      <c r="J80" s="530"/>
      <c r="K80" s="530">
        <v>2.5888800000000001</v>
      </c>
      <c r="L80" s="530">
        <v>19.416599999999999</v>
      </c>
      <c r="M80" s="530">
        <v>36.244320000000002</v>
      </c>
      <c r="N80" s="530">
        <v>45.305399999999999</v>
      </c>
      <c r="O80" s="539"/>
      <c r="P80" s="539"/>
      <c r="Q80" s="539"/>
    </row>
    <row r="81" spans="1:17" ht="14.25" customHeight="1">
      <c r="A81" s="537" t="s">
        <v>567</v>
      </c>
      <c r="B81" s="530">
        <v>0</v>
      </c>
      <c r="C81" s="530">
        <v>0</v>
      </c>
      <c r="D81" s="530">
        <v>0</v>
      </c>
      <c r="E81" s="530">
        <v>0</v>
      </c>
      <c r="F81" s="530">
        <v>0</v>
      </c>
      <c r="G81" s="542" t="s">
        <v>457</v>
      </c>
      <c r="H81" s="542">
        <v>0</v>
      </c>
      <c r="I81" s="542" t="s">
        <v>457</v>
      </c>
      <c r="J81" s="538" t="s">
        <v>457</v>
      </c>
      <c r="K81" s="530">
        <v>1.9241299999999999</v>
      </c>
      <c r="L81" s="530">
        <v>61.253166</v>
      </c>
      <c r="M81" s="530">
        <v>81.879749000000004</v>
      </c>
      <c r="N81" s="530">
        <v>91.879749000000004</v>
      </c>
      <c r="O81" s="539"/>
      <c r="P81" s="539"/>
      <c r="Q81" s="539"/>
    </row>
    <row r="82" spans="1:17" ht="14.25" customHeight="1">
      <c r="A82" s="537" t="s">
        <v>568</v>
      </c>
      <c r="B82" s="530">
        <v>0</v>
      </c>
      <c r="C82" s="530">
        <v>0</v>
      </c>
      <c r="D82" s="530">
        <v>0</v>
      </c>
      <c r="E82" s="530">
        <v>0</v>
      </c>
      <c r="F82" s="530">
        <v>0</v>
      </c>
      <c r="G82" s="542" t="s">
        <v>457</v>
      </c>
      <c r="H82" s="542">
        <v>0</v>
      </c>
      <c r="I82" s="542" t="s">
        <v>457</v>
      </c>
      <c r="J82" s="538" t="s">
        <v>457</v>
      </c>
      <c r="K82" s="530" t="s">
        <v>457</v>
      </c>
      <c r="L82" s="530" t="s">
        <v>457</v>
      </c>
      <c r="M82" s="530" t="s">
        <v>457</v>
      </c>
      <c r="N82" s="530" t="s">
        <v>457</v>
      </c>
      <c r="O82" s="539"/>
      <c r="P82" s="539"/>
      <c r="Q82" s="539"/>
    </row>
    <row r="83" spans="1:17" ht="14.25" customHeight="1">
      <c r="A83" s="537" t="s">
        <v>458</v>
      </c>
      <c r="B83" s="530">
        <v>0</v>
      </c>
      <c r="C83" s="530">
        <v>0</v>
      </c>
      <c r="D83" s="530">
        <v>0</v>
      </c>
      <c r="E83" s="530">
        <v>0</v>
      </c>
      <c r="F83" s="530">
        <v>0</v>
      </c>
      <c r="G83" s="541" t="s">
        <v>457</v>
      </c>
      <c r="H83" s="541">
        <v>0</v>
      </c>
      <c r="I83" s="541" t="s">
        <v>457</v>
      </c>
      <c r="J83" s="530" t="s">
        <v>457</v>
      </c>
      <c r="K83" s="530" t="s">
        <v>457</v>
      </c>
      <c r="L83" s="530" t="s">
        <v>457</v>
      </c>
      <c r="M83" s="530" t="s">
        <v>457</v>
      </c>
      <c r="N83" s="530" t="s">
        <v>457</v>
      </c>
      <c r="O83" s="539"/>
      <c r="P83" s="539"/>
      <c r="Q83" s="539"/>
    </row>
    <row r="84" spans="1:17" ht="14.25" customHeight="1">
      <c r="A84" s="537" t="s">
        <v>569</v>
      </c>
      <c r="B84" s="530">
        <v>0</v>
      </c>
      <c r="C84" s="530">
        <v>0</v>
      </c>
      <c r="D84" s="530">
        <v>0</v>
      </c>
      <c r="E84" s="530">
        <v>0</v>
      </c>
      <c r="F84" s="530">
        <v>0</v>
      </c>
      <c r="G84" s="542" t="s">
        <v>457</v>
      </c>
      <c r="H84" s="542">
        <v>0</v>
      </c>
      <c r="I84" s="542" t="s">
        <v>457</v>
      </c>
      <c r="J84" s="538" t="s">
        <v>457</v>
      </c>
      <c r="K84" s="530" t="s">
        <v>457</v>
      </c>
      <c r="L84" s="530" t="s">
        <v>457</v>
      </c>
      <c r="M84" s="530" t="s">
        <v>457</v>
      </c>
      <c r="N84" s="530" t="s">
        <v>457</v>
      </c>
      <c r="O84" s="539"/>
      <c r="P84" s="539"/>
      <c r="Q84" s="539"/>
    </row>
    <row r="85" spans="1:17" ht="14.25" customHeight="1">
      <c r="A85" s="537" t="s">
        <v>603</v>
      </c>
      <c r="B85" s="530">
        <v>0</v>
      </c>
      <c r="C85" s="530">
        <v>0</v>
      </c>
      <c r="D85" s="530">
        <v>0</v>
      </c>
      <c r="E85" s="530">
        <v>0</v>
      </c>
      <c r="F85" s="530">
        <v>0</v>
      </c>
      <c r="G85" s="542" t="s">
        <v>457</v>
      </c>
      <c r="H85" s="542">
        <v>0</v>
      </c>
      <c r="I85" s="542" t="s">
        <v>457</v>
      </c>
      <c r="J85" s="538" t="s">
        <v>457</v>
      </c>
      <c r="K85" s="530" t="s">
        <v>457</v>
      </c>
      <c r="L85" s="530">
        <v>100</v>
      </c>
      <c r="M85" s="530">
        <v>100</v>
      </c>
      <c r="N85" s="530">
        <v>100</v>
      </c>
      <c r="O85" s="539"/>
      <c r="P85" s="539"/>
      <c r="Q85" s="539"/>
    </row>
    <row r="86" spans="1:17" ht="14.25" customHeight="1">
      <c r="A86" s="537" t="s">
        <v>604</v>
      </c>
      <c r="B86" s="530">
        <v>0</v>
      </c>
      <c r="C86" s="530">
        <v>0</v>
      </c>
      <c r="D86" s="530">
        <v>0</v>
      </c>
      <c r="E86" s="530">
        <v>0</v>
      </c>
      <c r="F86" s="530">
        <v>0</v>
      </c>
      <c r="G86" s="542" t="s">
        <v>457</v>
      </c>
      <c r="H86" s="542">
        <v>0</v>
      </c>
      <c r="I86" s="542" t="s">
        <v>457</v>
      </c>
      <c r="J86" s="538" t="s">
        <v>457</v>
      </c>
      <c r="K86" s="530" t="s">
        <v>457</v>
      </c>
      <c r="L86" s="530" t="s">
        <v>457</v>
      </c>
      <c r="M86" s="530">
        <v>10</v>
      </c>
      <c r="N86" s="530">
        <v>38.524999999999999</v>
      </c>
      <c r="O86" s="539"/>
      <c r="P86" s="539"/>
      <c r="Q86" s="539"/>
    </row>
    <row r="87" spans="1:17" ht="14.25" customHeight="1">
      <c r="A87" s="537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9"/>
      <c r="P87" s="539"/>
      <c r="Q87" s="539"/>
    </row>
    <row r="88" spans="1:17" ht="14.25" customHeight="1">
      <c r="A88" s="533" t="s">
        <v>459</v>
      </c>
      <c r="B88" s="534">
        <f t="shared" ref="B88:G88" si="27">SUM(B89:B90)</f>
        <v>0</v>
      </c>
      <c r="C88" s="534">
        <f t="shared" si="27"/>
        <v>0</v>
      </c>
      <c r="D88" s="534">
        <f t="shared" si="27"/>
        <v>0</v>
      </c>
      <c r="E88" s="534">
        <f t="shared" si="27"/>
        <v>0</v>
      </c>
      <c r="F88" s="534">
        <f t="shared" si="27"/>
        <v>0</v>
      </c>
      <c r="G88" s="532">
        <f t="shared" si="27"/>
        <v>277.13603499999999</v>
      </c>
      <c r="H88" s="534">
        <f>SUM(H89:H91)</f>
        <v>19.486806000000001</v>
      </c>
      <c r="I88" s="534">
        <f t="shared" ref="I88:N88" si="28">SUM(I89:I91)</f>
        <v>100.155069</v>
      </c>
      <c r="J88" s="534">
        <f t="shared" si="28"/>
        <v>37.040430999999998</v>
      </c>
      <c r="K88" s="534">
        <f t="shared" si="28"/>
        <v>0</v>
      </c>
      <c r="L88" s="534">
        <f t="shared" si="28"/>
        <v>0</v>
      </c>
      <c r="M88" s="534">
        <f t="shared" si="28"/>
        <v>0</v>
      </c>
      <c r="N88" s="534">
        <f t="shared" si="28"/>
        <v>0</v>
      </c>
      <c r="O88" s="539"/>
      <c r="P88" s="539"/>
      <c r="Q88" s="539"/>
    </row>
    <row r="89" spans="1:17" ht="14.25" customHeight="1">
      <c r="A89" s="537" t="s">
        <v>460</v>
      </c>
      <c r="B89" s="530">
        <v>0</v>
      </c>
      <c r="C89" s="530">
        <v>0</v>
      </c>
      <c r="D89" s="530">
        <v>0</v>
      </c>
      <c r="E89" s="530">
        <v>0</v>
      </c>
      <c r="F89" s="530">
        <v>0</v>
      </c>
      <c r="G89" s="530">
        <v>277.13603499999999</v>
      </c>
      <c r="H89" s="530">
        <v>19.486806000000001</v>
      </c>
      <c r="I89" s="530">
        <v>100.155069</v>
      </c>
      <c r="J89" s="530" t="s">
        <v>457</v>
      </c>
      <c r="K89" s="530" t="s">
        <v>457</v>
      </c>
      <c r="L89" s="530" t="s">
        <v>457</v>
      </c>
      <c r="M89" s="530" t="s">
        <v>457</v>
      </c>
      <c r="N89" s="530" t="s">
        <v>457</v>
      </c>
      <c r="O89" s="539"/>
      <c r="P89" s="539"/>
      <c r="Q89" s="539"/>
    </row>
    <row r="90" spans="1:17" ht="14.25" customHeight="1">
      <c r="A90" s="537" t="s">
        <v>461</v>
      </c>
      <c r="B90" s="530">
        <v>0</v>
      </c>
      <c r="C90" s="530">
        <v>0</v>
      </c>
      <c r="D90" s="530">
        <v>0</v>
      </c>
      <c r="E90" s="530">
        <v>0</v>
      </c>
      <c r="F90" s="530">
        <v>0</v>
      </c>
      <c r="G90" s="530">
        <v>0</v>
      </c>
      <c r="H90" s="530">
        <v>0</v>
      </c>
      <c r="I90" s="530">
        <v>0</v>
      </c>
      <c r="J90" s="530" t="s">
        <v>457</v>
      </c>
      <c r="K90" s="530" t="s">
        <v>457</v>
      </c>
      <c r="L90" s="530" t="s">
        <v>457</v>
      </c>
      <c r="M90" s="530" t="s">
        <v>457</v>
      </c>
      <c r="N90" s="530" t="s">
        <v>457</v>
      </c>
      <c r="O90" s="539"/>
      <c r="P90" s="539"/>
      <c r="Q90" s="539"/>
    </row>
    <row r="91" spans="1:17" ht="14.25" customHeight="1">
      <c r="A91" s="537" t="s">
        <v>605</v>
      </c>
      <c r="B91" s="530"/>
      <c r="C91" s="530"/>
      <c r="D91" s="530"/>
      <c r="E91" s="530"/>
      <c r="F91" s="530"/>
      <c r="G91" s="530"/>
      <c r="H91" s="530"/>
      <c r="I91" s="530"/>
      <c r="J91" s="530">
        <v>37.040430999999998</v>
      </c>
      <c r="K91" s="530" t="s">
        <v>457</v>
      </c>
      <c r="L91" s="530" t="s">
        <v>457</v>
      </c>
      <c r="M91" s="530" t="s">
        <v>457</v>
      </c>
      <c r="N91" s="530" t="s">
        <v>457</v>
      </c>
      <c r="O91" s="539"/>
      <c r="P91" s="539"/>
      <c r="Q91" s="539"/>
    </row>
    <row r="92" spans="1:17" ht="14.25" customHeight="1">
      <c r="A92" s="537"/>
      <c r="B92" s="530"/>
      <c r="C92" s="530"/>
      <c r="D92" s="530"/>
      <c r="E92" s="530"/>
      <c r="F92" s="530"/>
      <c r="G92" s="530"/>
      <c r="H92" s="530"/>
      <c r="I92" s="530"/>
      <c r="J92" s="530"/>
      <c r="K92" s="530"/>
      <c r="L92" s="530"/>
      <c r="M92" s="530"/>
      <c r="N92" s="530"/>
      <c r="O92" s="539"/>
      <c r="P92" s="539"/>
      <c r="Q92" s="539"/>
    </row>
    <row r="93" spans="1:17" ht="14.25" customHeight="1">
      <c r="A93" s="533" t="s">
        <v>462</v>
      </c>
      <c r="B93" s="534">
        <f>SUM(B94:B95)</f>
        <v>0</v>
      </c>
      <c r="C93" s="534">
        <f t="shared" ref="C93:M93" si="29">SUM(C94:C95)</f>
        <v>35.9</v>
      </c>
      <c r="D93" s="534">
        <f t="shared" si="29"/>
        <v>129.30000000000001</v>
      </c>
      <c r="E93" s="534">
        <f t="shared" si="29"/>
        <v>0</v>
      </c>
      <c r="F93" s="534">
        <f t="shared" si="29"/>
        <v>386.53935100000001</v>
      </c>
      <c r="G93" s="532">
        <f t="shared" si="29"/>
        <v>233.78553700000001</v>
      </c>
      <c r="H93" s="534">
        <f t="shared" si="29"/>
        <v>0</v>
      </c>
      <c r="I93" s="534">
        <f t="shared" si="29"/>
        <v>0</v>
      </c>
      <c r="J93" s="534">
        <f t="shared" si="29"/>
        <v>0</v>
      </c>
      <c r="K93" s="534">
        <f t="shared" si="29"/>
        <v>0</v>
      </c>
      <c r="L93" s="534">
        <f t="shared" si="29"/>
        <v>0</v>
      </c>
      <c r="M93" s="534">
        <f t="shared" si="29"/>
        <v>0</v>
      </c>
      <c r="N93" s="534">
        <f t="shared" ref="N93" si="30">SUM(N94:N95)</f>
        <v>0</v>
      </c>
      <c r="O93" s="539"/>
      <c r="P93" s="539"/>
      <c r="Q93" s="539"/>
    </row>
    <row r="94" spans="1:17" ht="14.25" customHeight="1">
      <c r="A94" s="537" t="s">
        <v>463</v>
      </c>
      <c r="B94" s="530">
        <v>0</v>
      </c>
      <c r="C94" s="530">
        <v>0</v>
      </c>
      <c r="D94" s="530">
        <v>0</v>
      </c>
      <c r="E94" s="530">
        <v>0</v>
      </c>
      <c r="F94" s="530">
        <v>386.53935100000001</v>
      </c>
      <c r="G94" s="530">
        <v>233.78553700000001</v>
      </c>
      <c r="H94" s="530" t="s">
        <v>457</v>
      </c>
      <c r="I94" s="530" t="s">
        <v>457</v>
      </c>
      <c r="J94" s="530" t="s">
        <v>457</v>
      </c>
      <c r="K94" s="530" t="s">
        <v>457</v>
      </c>
      <c r="L94" s="530" t="s">
        <v>457</v>
      </c>
      <c r="M94" s="530" t="s">
        <v>457</v>
      </c>
      <c r="N94" s="530" t="s">
        <v>457</v>
      </c>
      <c r="O94" s="539"/>
      <c r="P94" s="539"/>
      <c r="Q94" s="539"/>
    </row>
    <row r="95" spans="1:17" ht="14.25" customHeight="1">
      <c r="A95" s="537" t="s">
        <v>464</v>
      </c>
      <c r="B95" s="530">
        <v>0</v>
      </c>
      <c r="C95" s="530">
        <v>35.9</v>
      </c>
      <c r="D95" s="530">
        <v>129.30000000000001</v>
      </c>
      <c r="E95" s="530">
        <v>0</v>
      </c>
      <c r="F95" s="530">
        <v>0</v>
      </c>
      <c r="G95" s="530">
        <v>0</v>
      </c>
      <c r="H95" s="530" t="s">
        <v>457</v>
      </c>
      <c r="I95" s="530" t="s">
        <v>457</v>
      </c>
      <c r="J95" s="530" t="s">
        <v>457</v>
      </c>
      <c r="K95" s="530" t="s">
        <v>457</v>
      </c>
      <c r="L95" s="530" t="s">
        <v>457</v>
      </c>
      <c r="M95" s="530" t="s">
        <v>457</v>
      </c>
      <c r="N95" s="530" t="s">
        <v>457</v>
      </c>
      <c r="O95" s="539"/>
      <c r="P95" s="539"/>
      <c r="Q95" s="539"/>
    </row>
    <row r="96" spans="1:17" ht="14.25" customHeight="1">
      <c r="A96" s="537"/>
      <c r="B96" s="530"/>
      <c r="C96" s="530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30"/>
      <c r="O96" s="539"/>
      <c r="P96" s="539"/>
      <c r="Q96" s="539"/>
    </row>
    <row r="97" spans="1:14" ht="14.25" customHeight="1">
      <c r="A97" s="533" t="s">
        <v>465</v>
      </c>
      <c r="B97" s="534">
        <f t="shared" ref="B97:G97" si="31">SUM(B98:B101)</f>
        <v>0</v>
      </c>
      <c r="C97" s="534">
        <f t="shared" si="31"/>
        <v>0</v>
      </c>
      <c r="D97" s="534">
        <f t="shared" si="31"/>
        <v>0</v>
      </c>
      <c r="E97" s="534">
        <f t="shared" si="31"/>
        <v>0</v>
      </c>
      <c r="F97" s="534">
        <f t="shared" si="31"/>
        <v>270.71978799999999</v>
      </c>
      <c r="G97" s="532">
        <f t="shared" si="31"/>
        <v>265.65673500000003</v>
      </c>
      <c r="H97" s="534">
        <f>SUM(H98:H103)</f>
        <v>471.93762600000002</v>
      </c>
      <c r="I97" s="534">
        <f t="shared" ref="I97:N97" si="32">SUM(I98:I103)</f>
        <v>816.53743200000008</v>
      </c>
      <c r="J97" s="534">
        <f t="shared" si="32"/>
        <v>0</v>
      </c>
      <c r="K97" s="534">
        <f t="shared" si="32"/>
        <v>229.14829</v>
      </c>
      <c r="L97" s="534">
        <f t="shared" si="32"/>
        <v>1350</v>
      </c>
      <c r="M97" s="534">
        <f t="shared" si="32"/>
        <v>1400.1662780000001</v>
      </c>
      <c r="N97" s="534">
        <f t="shared" si="32"/>
        <v>1130</v>
      </c>
    </row>
    <row r="98" spans="1:14" ht="14.25" customHeight="1">
      <c r="A98" s="537" t="s">
        <v>466</v>
      </c>
      <c r="B98" s="530">
        <v>0</v>
      </c>
      <c r="C98" s="530">
        <v>0</v>
      </c>
      <c r="D98" s="530">
        <v>0</v>
      </c>
      <c r="E98" s="530">
        <v>0</v>
      </c>
      <c r="F98" s="530">
        <v>270.71978799999999</v>
      </c>
      <c r="G98" s="530">
        <v>265.65673500000003</v>
      </c>
      <c r="H98" s="530">
        <v>471.93762600000002</v>
      </c>
      <c r="I98" s="530">
        <v>94.399932000000007</v>
      </c>
      <c r="J98" s="530" t="s">
        <v>457</v>
      </c>
      <c r="K98" s="530" t="s">
        <v>457</v>
      </c>
      <c r="L98" s="530" t="s">
        <v>457</v>
      </c>
      <c r="M98" s="530" t="s">
        <v>457</v>
      </c>
      <c r="N98" s="530" t="s">
        <v>457</v>
      </c>
    </row>
    <row r="99" spans="1:14" ht="14.25" customHeight="1">
      <c r="A99" s="537" t="s">
        <v>606</v>
      </c>
      <c r="B99" s="530">
        <v>0</v>
      </c>
      <c r="C99" s="530">
        <v>0</v>
      </c>
      <c r="D99" s="530">
        <v>0</v>
      </c>
      <c r="E99" s="530">
        <v>0</v>
      </c>
      <c r="F99" s="530">
        <v>0</v>
      </c>
      <c r="G99" s="530" t="s">
        <v>457</v>
      </c>
      <c r="H99" s="530" t="s">
        <v>457</v>
      </c>
      <c r="I99" s="530">
        <v>722.13750000000005</v>
      </c>
      <c r="J99" s="530" t="s">
        <v>457</v>
      </c>
      <c r="K99" s="530">
        <v>229.14829</v>
      </c>
      <c r="L99" s="530">
        <v>650</v>
      </c>
      <c r="M99" s="530">
        <v>600.16627800000003</v>
      </c>
      <c r="N99" s="530" t="s">
        <v>457</v>
      </c>
    </row>
    <row r="100" spans="1:14" ht="14.25" customHeight="1">
      <c r="A100" s="537" t="s">
        <v>570</v>
      </c>
      <c r="B100" s="530">
        <v>0</v>
      </c>
      <c r="C100" s="530">
        <v>0</v>
      </c>
      <c r="D100" s="530">
        <v>0</v>
      </c>
      <c r="E100" s="530">
        <v>0</v>
      </c>
      <c r="F100" s="530" t="s">
        <v>457</v>
      </c>
      <c r="G100" s="530" t="s">
        <v>457</v>
      </c>
      <c r="H100" s="530" t="s">
        <v>457</v>
      </c>
      <c r="I100" s="530" t="s">
        <v>457</v>
      </c>
      <c r="J100" s="530" t="s">
        <v>457</v>
      </c>
      <c r="K100" s="530" t="s">
        <v>457</v>
      </c>
      <c r="L100" s="530">
        <v>500</v>
      </c>
      <c r="M100" s="530">
        <v>550</v>
      </c>
      <c r="N100" s="530">
        <v>655</v>
      </c>
    </row>
    <row r="101" spans="1:14" ht="14.25" customHeight="1">
      <c r="A101" s="537" t="s">
        <v>571</v>
      </c>
      <c r="B101" s="530">
        <v>0</v>
      </c>
      <c r="C101" s="530">
        <v>0</v>
      </c>
      <c r="D101" s="530">
        <v>0</v>
      </c>
      <c r="E101" s="530">
        <v>0</v>
      </c>
      <c r="F101" s="530" t="s">
        <v>457</v>
      </c>
      <c r="G101" s="530" t="s">
        <v>457</v>
      </c>
      <c r="H101" s="530" t="s">
        <v>457</v>
      </c>
      <c r="I101" s="530" t="s">
        <v>457</v>
      </c>
      <c r="J101" s="530" t="s">
        <v>457</v>
      </c>
      <c r="K101" s="530" t="s">
        <v>457</v>
      </c>
      <c r="L101" s="530">
        <v>200</v>
      </c>
      <c r="M101" s="530">
        <v>250</v>
      </c>
      <c r="N101" s="530">
        <v>475</v>
      </c>
    </row>
    <row r="102" spans="1:14" ht="14.25" customHeight="1">
      <c r="A102" s="537" t="s">
        <v>607</v>
      </c>
      <c r="B102" s="530">
        <v>0</v>
      </c>
      <c r="C102" s="530">
        <v>0</v>
      </c>
      <c r="D102" s="530">
        <v>0</v>
      </c>
      <c r="E102" s="530">
        <v>0</v>
      </c>
      <c r="F102" s="530" t="s">
        <v>457</v>
      </c>
      <c r="G102" s="530" t="s">
        <v>457</v>
      </c>
      <c r="H102" s="530" t="s">
        <v>457</v>
      </c>
      <c r="I102" s="530" t="s">
        <v>457</v>
      </c>
      <c r="J102" s="530" t="s">
        <v>457</v>
      </c>
      <c r="K102" s="530" t="s">
        <v>457</v>
      </c>
      <c r="L102" s="530" t="s">
        <v>457</v>
      </c>
      <c r="M102" s="530" t="s">
        <v>457</v>
      </c>
      <c r="N102" s="530" t="s">
        <v>457</v>
      </c>
    </row>
    <row r="103" spans="1:14" ht="14.25" customHeight="1">
      <c r="A103" s="537" t="s">
        <v>608</v>
      </c>
      <c r="B103" s="530">
        <v>0</v>
      </c>
      <c r="C103" s="530">
        <v>0</v>
      </c>
      <c r="D103" s="530">
        <v>0</v>
      </c>
      <c r="E103" s="530">
        <v>0</v>
      </c>
      <c r="F103" s="530" t="s">
        <v>457</v>
      </c>
      <c r="G103" s="530" t="s">
        <v>457</v>
      </c>
      <c r="H103" s="530" t="s">
        <v>457</v>
      </c>
      <c r="I103" s="530" t="s">
        <v>457</v>
      </c>
      <c r="J103" s="530" t="s">
        <v>457</v>
      </c>
      <c r="K103" s="530" t="s">
        <v>457</v>
      </c>
      <c r="L103" s="530" t="s">
        <v>457</v>
      </c>
      <c r="M103" s="530" t="s">
        <v>457</v>
      </c>
      <c r="N103" s="530" t="s">
        <v>457</v>
      </c>
    </row>
    <row r="104" spans="1:14" ht="14.25" customHeight="1">
      <c r="A104" s="537"/>
      <c r="B104" s="530"/>
      <c r="C104" s="530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30"/>
    </row>
    <row r="105" spans="1:14" ht="14.25" customHeight="1">
      <c r="A105" s="533" t="s">
        <v>467</v>
      </c>
      <c r="B105" s="534">
        <f>SUM(B106)</f>
        <v>0</v>
      </c>
      <c r="C105" s="534">
        <f t="shared" ref="C105:N105" si="33">SUM(C106)</f>
        <v>0</v>
      </c>
      <c r="D105" s="534">
        <f t="shared" si="33"/>
        <v>0</v>
      </c>
      <c r="E105" s="534">
        <f t="shared" si="33"/>
        <v>0</v>
      </c>
      <c r="F105" s="534">
        <f t="shared" si="33"/>
        <v>0</v>
      </c>
      <c r="G105" s="534">
        <f t="shared" si="33"/>
        <v>0</v>
      </c>
      <c r="H105" s="534">
        <f t="shared" si="33"/>
        <v>102.86886</v>
      </c>
      <c r="I105" s="534">
        <f t="shared" si="33"/>
        <v>0</v>
      </c>
      <c r="J105" s="534">
        <f t="shared" si="33"/>
        <v>18.706969000000001</v>
      </c>
      <c r="K105" s="534">
        <f t="shared" si="33"/>
        <v>118.654607</v>
      </c>
      <c r="L105" s="534">
        <f t="shared" si="33"/>
        <v>60</v>
      </c>
      <c r="M105" s="534">
        <f t="shared" si="33"/>
        <v>98.793163000000007</v>
      </c>
      <c r="N105" s="534">
        <f t="shared" si="33"/>
        <v>98.793163000000007</v>
      </c>
    </row>
    <row r="106" spans="1:14" ht="14.25" customHeight="1">
      <c r="A106" s="537" t="s">
        <v>609</v>
      </c>
      <c r="B106" s="530" t="s">
        <v>457</v>
      </c>
      <c r="C106" s="530" t="s">
        <v>457</v>
      </c>
      <c r="D106" s="530" t="s">
        <v>457</v>
      </c>
      <c r="E106" s="530" t="s">
        <v>457</v>
      </c>
      <c r="F106" s="530" t="s">
        <v>457</v>
      </c>
      <c r="G106" s="530" t="s">
        <v>457</v>
      </c>
      <c r="H106" s="530">
        <v>102.86886</v>
      </c>
      <c r="I106" s="530" t="s">
        <v>457</v>
      </c>
      <c r="J106" s="530">
        <v>18.706969000000001</v>
      </c>
      <c r="K106" s="530">
        <v>118.654607</v>
      </c>
      <c r="L106" s="530">
        <v>60</v>
      </c>
      <c r="M106" s="530">
        <v>98.793163000000007</v>
      </c>
      <c r="N106" s="530">
        <v>98.793163000000007</v>
      </c>
    </row>
    <row r="107" spans="1:14" ht="14.25" customHeight="1">
      <c r="A107" s="537"/>
      <c r="B107" s="530"/>
      <c r="C107" s="530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30"/>
    </row>
    <row r="108" spans="1:14" ht="14.25" customHeight="1">
      <c r="A108" s="533" t="s">
        <v>572</v>
      </c>
      <c r="B108" s="534">
        <f t="shared" ref="B108:E108" si="34">SUM(B109)</f>
        <v>0</v>
      </c>
      <c r="C108" s="534">
        <f t="shared" si="34"/>
        <v>0</v>
      </c>
      <c r="D108" s="534">
        <f t="shared" si="34"/>
        <v>0</v>
      </c>
      <c r="E108" s="534">
        <f t="shared" si="34"/>
        <v>0</v>
      </c>
      <c r="F108" s="534">
        <f>SUM(F109)</f>
        <v>0</v>
      </c>
      <c r="G108" s="534">
        <f>SUM(G109)</f>
        <v>0</v>
      </c>
      <c r="H108" s="534">
        <f t="shared" ref="H108:J108" si="35">SUM(H109)</f>
        <v>0</v>
      </c>
      <c r="I108" s="534">
        <f t="shared" si="35"/>
        <v>0</v>
      </c>
      <c r="J108" s="534">
        <f t="shared" si="35"/>
        <v>0</v>
      </c>
      <c r="K108" s="534">
        <f>SUM(K109)</f>
        <v>0</v>
      </c>
      <c r="L108" s="534">
        <f>SUM(L109)</f>
        <v>90</v>
      </c>
      <c r="M108" s="534">
        <f>SUM(M109)</f>
        <v>91</v>
      </c>
      <c r="N108" s="534">
        <f>SUM(N109)</f>
        <v>92</v>
      </c>
    </row>
    <row r="109" spans="1:14" ht="14.25" customHeight="1">
      <c r="A109" s="537" t="s">
        <v>573</v>
      </c>
      <c r="B109" s="530" t="s">
        <v>457</v>
      </c>
      <c r="C109" s="530" t="s">
        <v>457</v>
      </c>
      <c r="D109" s="530" t="s">
        <v>457</v>
      </c>
      <c r="E109" s="530" t="s">
        <v>457</v>
      </c>
      <c r="F109" s="530" t="s">
        <v>457</v>
      </c>
      <c r="G109" s="530" t="s">
        <v>457</v>
      </c>
      <c r="H109" s="530" t="s">
        <v>457</v>
      </c>
      <c r="I109" s="530" t="s">
        <v>457</v>
      </c>
      <c r="J109" s="530" t="s">
        <v>457</v>
      </c>
      <c r="K109" s="530" t="s">
        <v>457</v>
      </c>
      <c r="L109" s="530">
        <v>90</v>
      </c>
      <c r="M109" s="530">
        <v>91</v>
      </c>
      <c r="N109" s="530">
        <v>92</v>
      </c>
    </row>
    <row r="110" spans="1:14" ht="14.25" customHeight="1">
      <c r="A110" s="537"/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30"/>
    </row>
    <row r="111" spans="1:14" ht="14.25" customHeight="1">
      <c r="A111" s="533" t="s">
        <v>495</v>
      </c>
      <c r="B111" s="534">
        <f t="shared" ref="B111:M111" si="36">SUM(B112:B114)</f>
        <v>66.2</v>
      </c>
      <c r="C111" s="534">
        <f t="shared" si="36"/>
        <v>117.8</v>
      </c>
      <c r="D111" s="534">
        <f t="shared" si="36"/>
        <v>25</v>
      </c>
      <c r="E111" s="534">
        <f t="shared" si="36"/>
        <v>30.742463999999998</v>
      </c>
      <c r="F111" s="534">
        <f t="shared" si="36"/>
        <v>46.187443999999999</v>
      </c>
      <c r="G111" s="532">
        <f t="shared" si="36"/>
        <v>0</v>
      </c>
      <c r="H111" s="534">
        <f t="shared" si="36"/>
        <v>0</v>
      </c>
      <c r="I111" s="534">
        <f t="shared" si="36"/>
        <v>0</v>
      </c>
      <c r="J111" s="534">
        <f t="shared" si="36"/>
        <v>0</v>
      </c>
      <c r="K111" s="534">
        <f t="shared" si="36"/>
        <v>0</v>
      </c>
      <c r="L111" s="534">
        <f t="shared" si="36"/>
        <v>0</v>
      </c>
      <c r="M111" s="534">
        <f t="shared" si="36"/>
        <v>0</v>
      </c>
      <c r="N111" s="534">
        <f t="shared" ref="N111" si="37">SUM(N112:N114)</f>
        <v>0</v>
      </c>
    </row>
    <row r="112" spans="1:14" ht="14.25" customHeight="1">
      <c r="A112" s="537" t="s">
        <v>468</v>
      </c>
      <c r="B112" s="530">
        <v>45.5</v>
      </c>
      <c r="C112" s="530">
        <v>21.3</v>
      </c>
      <c r="D112" s="530">
        <v>19.399999999999999</v>
      </c>
      <c r="E112" s="530">
        <v>30.742463999999998</v>
      </c>
      <c r="F112" s="530">
        <v>46.187443999999999</v>
      </c>
      <c r="G112" s="530" t="s">
        <v>457</v>
      </c>
      <c r="H112" s="530" t="s">
        <v>457</v>
      </c>
      <c r="I112" s="530" t="s">
        <v>457</v>
      </c>
      <c r="J112" s="530" t="s">
        <v>457</v>
      </c>
      <c r="K112" s="530" t="s">
        <v>457</v>
      </c>
      <c r="L112" s="530" t="s">
        <v>457</v>
      </c>
      <c r="M112" s="530" t="s">
        <v>457</v>
      </c>
      <c r="N112" s="530" t="s">
        <v>457</v>
      </c>
    </row>
    <row r="113" spans="1:14" ht="14.25" customHeight="1">
      <c r="A113" s="537" t="s">
        <v>469</v>
      </c>
      <c r="B113" s="530">
        <v>0</v>
      </c>
      <c r="C113" s="530">
        <v>29.7</v>
      </c>
      <c r="D113" s="530">
        <v>0</v>
      </c>
      <c r="E113" s="530">
        <v>0</v>
      </c>
      <c r="F113" s="530">
        <v>0</v>
      </c>
      <c r="G113" s="530" t="s">
        <v>457</v>
      </c>
      <c r="H113" s="530" t="s">
        <v>457</v>
      </c>
      <c r="I113" s="530" t="s">
        <v>457</v>
      </c>
      <c r="J113" s="530" t="s">
        <v>457</v>
      </c>
      <c r="K113" s="530" t="s">
        <v>457</v>
      </c>
      <c r="L113" s="530" t="s">
        <v>457</v>
      </c>
      <c r="M113" s="530" t="s">
        <v>457</v>
      </c>
      <c r="N113" s="530" t="s">
        <v>457</v>
      </c>
    </row>
    <row r="114" spans="1:14" ht="14.25" customHeight="1">
      <c r="A114" s="537" t="s">
        <v>470</v>
      </c>
      <c r="B114" s="530">
        <v>20.7</v>
      </c>
      <c r="C114" s="530">
        <v>66.8</v>
      </c>
      <c r="D114" s="530">
        <v>5.6</v>
      </c>
      <c r="E114" s="530">
        <v>0</v>
      </c>
      <c r="F114" s="530">
        <v>0</v>
      </c>
      <c r="G114" s="530" t="s">
        <v>457</v>
      </c>
      <c r="H114" s="530" t="s">
        <v>457</v>
      </c>
      <c r="I114" s="530" t="s">
        <v>457</v>
      </c>
      <c r="J114" s="530" t="s">
        <v>457</v>
      </c>
      <c r="K114" s="530" t="s">
        <v>457</v>
      </c>
      <c r="L114" s="530" t="s">
        <v>457</v>
      </c>
      <c r="M114" s="530" t="s">
        <v>457</v>
      </c>
      <c r="N114" s="530" t="s">
        <v>457</v>
      </c>
    </row>
    <row r="115" spans="1:14" ht="14.25" customHeight="1">
      <c r="A115" s="537"/>
      <c r="B115" s="530"/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30"/>
    </row>
    <row r="116" spans="1:14" ht="14.25" customHeight="1">
      <c r="A116" s="533" t="s">
        <v>471</v>
      </c>
      <c r="B116" s="534">
        <f>SUM(B117:B120)</f>
        <v>8.5</v>
      </c>
      <c r="C116" s="534">
        <f t="shared" ref="C116:M116" si="38">SUM(C117:C120)</f>
        <v>98.7</v>
      </c>
      <c r="D116" s="534">
        <f t="shared" si="38"/>
        <v>80.370757999999995</v>
      </c>
      <c r="E116" s="534">
        <f t="shared" si="38"/>
        <v>413.65834240000004</v>
      </c>
      <c r="F116" s="534">
        <f t="shared" si="38"/>
        <v>0</v>
      </c>
      <c r="G116" s="532">
        <f t="shared" si="38"/>
        <v>0</v>
      </c>
      <c r="H116" s="534">
        <f t="shared" si="38"/>
        <v>0</v>
      </c>
      <c r="I116" s="534">
        <f t="shared" si="38"/>
        <v>0</v>
      </c>
      <c r="J116" s="534">
        <f>SUM(J117:J120)</f>
        <v>0</v>
      </c>
      <c r="K116" s="534">
        <f t="shared" si="38"/>
        <v>0</v>
      </c>
      <c r="L116" s="534">
        <f t="shared" si="38"/>
        <v>0</v>
      </c>
      <c r="M116" s="534">
        <f t="shared" si="38"/>
        <v>0</v>
      </c>
      <c r="N116" s="534">
        <f t="shared" ref="N116" si="39">SUM(N117:N120)</f>
        <v>0</v>
      </c>
    </row>
    <row r="117" spans="1:14" ht="14.25" customHeight="1">
      <c r="A117" s="537" t="s">
        <v>472</v>
      </c>
      <c r="B117" s="530">
        <v>0</v>
      </c>
      <c r="C117" s="530">
        <v>0</v>
      </c>
      <c r="D117" s="530">
        <v>0</v>
      </c>
      <c r="E117" s="530">
        <v>413.65834240000004</v>
      </c>
      <c r="F117" s="530" t="s">
        <v>457</v>
      </c>
      <c r="G117" s="530" t="s">
        <v>457</v>
      </c>
      <c r="H117" s="530" t="s">
        <v>457</v>
      </c>
      <c r="I117" s="530" t="s">
        <v>457</v>
      </c>
      <c r="J117" s="530" t="s">
        <v>457</v>
      </c>
      <c r="K117" s="530" t="s">
        <v>457</v>
      </c>
      <c r="L117" s="530" t="s">
        <v>457</v>
      </c>
      <c r="M117" s="530" t="s">
        <v>457</v>
      </c>
      <c r="N117" s="530" t="s">
        <v>457</v>
      </c>
    </row>
    <row r="118" spans="1:14" ht="14.25" customHeight="1">
      <c r="A118" s="537" t="s">
        <v>473</v>
      </c>
      <c r="B118" s="530">
        <v>0</v>
      </c>
      <c r="C118" s="530">
        <v>17.5</v>
      </c>
      <c r="D118" s="530">
        <v>9.9</v>
      </c>
      <c r="E118" s="530">
        <v>0</v>
      </c>
      <c r="F118" s="530" t="s">
        <v>457</v>
      </c>
      <c r="G118" s="530" t="s">
        <v>457</v>
      </c>
      <c r="H118" s="530" t="s">
        <v>457</v>
      </c>
      <c r="I118" s="530" t="s">
        <v>457</v>
      </c>
      <c r="J118" s="530" t="s">
        <v>457</v>
      </c>
      <c r="K118" s="530" t="s">
        <v>457</v>
      </c>
      <c r="L118" s="530" t="s">
        <v>457</v>
      </c>
      <c r="M118" s="530" t="s">
        <v>457</v>
      </c>
      <c r="N118" s="530" t="s">
        <v>457</v>
      </c>
    </row>
    <row r="119" spans="1:14" ht="14.25" customHeight="1">
      <c r="A119" s="537" t="s">
        <v>474</v>
      </c>
      <c r="B119" s="530">
        <v>8.5</v>
      </c>
      <c r="C119" s="530">
        <v>12.5</v>
      </c>
      <c r="D119" s="530">
        <v>11.2</v>
      </c>
      <c r="E119" s="530">
        <v>0</v>
      </c>
      <c r="F119" s="530" t="s">
        <v>457</v>
      </c>
      <c r="G119" s="530" t="s">
        <v>457</v>
      </c>
      <c r="H119" s="530" t="s">
        <v>457</v>
      </c>
      <c r="I119" s="530" t="s">
        <v>457</v>
      </c>
      <c r="J119" s="530" t="s">
        <v>457</v>
      </c>
      <c r="K119" s="530" t="s">
        <v>457</v>
      </c>
      <c r="L119" s="530" t="s">
        <v>457</v>
      </c>
      <c r="M119" s="530" t="s">
        <v>457</v>
      </c>
      <c r="N119" s="530" t="s">
        <v>457</v>
      </c>
    </row>
    <row r="120" spans="1:14" ht="14.25" customHeight="1">
      <c r="A120" s="537" t="s">
        <v>475</v>
      </c>
      <c r="B120" s="530">
        <v>0</v>
      </c>
      <c r="C120" s="530">
        <v>68.7</v>
      </c>
      <c r="D120" s="530">
        <v>59.270758000000001</v>
      </c>
      <c r="E120" s="530">
        <v>0</v>
      </c>
      <c r="F120" s="530" t="s">
        <v>457</v>
      </c>
      <c r="G120" s="530" t="s">
        <v>457</v>
      </c>
      <c r="H120" s="530" t="s">
        <v>457</v>
      </c>
      <c r="I120" s="530" t="s">
        <v>457</v>
      </c>
      <c r="J120" s="530" t="s">
        <v>457</v>
      </c>
      <c r="K120" s="530" t="s">
        <v>457</v>
      </c>
      <c r="L120" s="530" t="s">
        <v>457</v>
      </c>
      <c r="M120" s="530" t="s">
        <v>457</v>
      </c>
      <c r="N120" s="530" t="s">
        <v>457</v>
      </c>
    </row>
    <row r="121" spans="1:14" ht="14.25" customHeight="1">
      <c r="A121" s="537"/>
      <c r="B121" s="530"/>
      <c r="C121" s="530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30"/>
    </row>
    <row r="122" spans="1:14" ht="14.25" customHeight="1">
      <c r="A122" s="533" t="s">
        <v>610</v>
      </c>
      <c r="B122" s="534">
        <f t="shared" ref="B122" si="40">SUM(B123)</f>
        <v>0</v>
      </c>
      <c r="C122" s="534">
        <f t="shared" ref="C122" si="41">SUM(C123)</f>
        <v>0</v>
      </c>
      <c r="D122" s="534">
        <f t="shared" ref="D122" si="42">SUM(D123)</f>
        <v>0</v>
      </c>
      <c r="E122" s="534">
        <f t="shared" ref="E122" si="43">SUM(E123)</f>
        <v>0</v>
      </c>
      <c r="F122" s="534">
        <f t="shared" ref="F122" si="44">SUM(F123)</f>
        <v>0</v>
      </c>
      <c r="G122" s="534">
        <f t="shared" ref="G122" si="45">SUM(G123)</f>
        <v>0</v>
      </c>
      <c r="H122" s="534">
        <f t="shared" ref="H122" si="46">SUM(H123)</f>
        <v>0</v>
      </c>
      <c r="I122" s="534">
        <f t="shared" ref="I122" si="47">SUM(I123)</f>
        <v>0</v>
      </c>
      <c r="J122" s="534">
        <f>SUM(J123)</f>
        <v>0</v>
      </c>
      <c r="K122" s="534">
        <f t="shared" ref="K122:N122" si="48">SUM(K123)</f>
        <v>0</v>
      </c>
      <c r="L122" s="534">
        <f t="shared" si="48"/>
        <v>86.737499999999997</v>
      </c>
      <c r="M122" s="534">
        <f t="shared" si="48"/>
        <v>100</v>
      </c>
      <c r="N122" s="534">
        <f t="shared" si="48"/>
        <v>100</v>
      </c>
    </row>
    <row r="123" spans="1:14" ht="14.25" customHeight="1">
      <c r="A123" s="537" t="s">
        <v>611</v>
      </c>
      <c r="B123" s="530">
        <f t="shared" ref="B123" si="49">SUM(B124)</f>
        <v>0</v>
      </c>
      <c r="C123" s="530">
        <f t="shared" ref="C123" si="50">SUM(C124)</f>
        <v>0</v>
      </c>
      <c r="D123" s="530">
        <f t="shared" ref="D123" si="51">SUM(D124)</f>
        <v>0</v>
      </c>
      <c r="E123" s="530">
        <f t="shared" ref="E123" si="52">SUM(E124)</f>
        <v>0</v>
      </c>
      <c r="F123" s="530">
        <f t="shared" ref="F123" si="53">SUM(F124)</f>
        <v>0</v>
      </c>
      <c r="G123" s="530">
        <f t="shared" ref="G123" si="54">SUM(G124)</f>
        <v>0</v>
      </c>
      <c r="H123" s="530">
        <f t="shared" ref="H123" si="55">SUM(H124)</f>
        <v>0</v>
      </c>
      <c r="I123" s="530">
        <f t="shared" ref="I123" si="56">SUM(I124)</f>
        <v>0</v>
      </c>
      <c r="J123" s="530" t="s">
        <v>457</v>
      </c>
      <c r="K123" s="530" t="s">
        <v>457</v>
      </c>
      <c r="L123" s="530">
        <v>86.737499999999997</v>
      </c>
      <c r="M123" s="530">
        <v>100</v>
      </c>
      <c r="N123" s="530">
        <v>100</v>
      </c>
    </row>
    <row r="124" spans="1:14" ht="14.25" customHeight="1">
      <c r="A124" s="537"/>
      <c r="B124" s="530"/>
      <c r="C124" s="530"/>
      <c r="D124" s="530"/>
      <c r="E124" s="530"/>
      <c r="F124" s="530"/>
      <c r="G124" s="530"/>
      <c r="H124" s="530"/>
      <c r="I124" s="530"/>
      <c r="J124" s="530"/>
      <c r="K124" s="530"/>
      <c r="L124" s="530"/>
      <c r="M124" s="530"/>
      <c r="N124" s="530"/>
    </row>
    <row r="125" spans="1:14" ht="14.25" customHeight="1">
      <c r="A125" s="543" t="s">
        <v>612</v>
      </c>
      <c r="B125" s="530"/>
      <c r="C125" s="530"/>
      <c r="D125" s="530"/>
      <c r="E125" s="530"/>
      <c r="F125" s="530"/>
      <c r="G125" s="530"/>
      <c r="H125" s="530"/>
      <c r="I125" s="530"/>
      <c r="J125" s="534">
        <f>SUM(J126)</f>
        <v>0</v>
      </c>
      <c r="K125" s="534">
        <f t="shared" ref="K125:N125" si="57">SUM(K126)</f>
        <v>0</v>
      </c>
      <c r="L125" s="534">
        <f t="shared" si="57"/>
        <v>300</v>
      </c>
      <c r="M125" s="534">
        <f t="shared" si="57"/>
        <v>350</v>
      </c>
      <c r="N125" s="534">
        <f t="shared" si="57"/>
        <v>339.35</v>
      </c>
    </row>
    <row r="126" spans="1:14" ht="14.25" customHeight="1">
      <c r="A126" s="537" t="s">
        <v>613</v>
      </c>
      <c r="B126" s="530"/>
      <c r="C126" s="530"/>
      <c r="D126" s="530"/>
      <c r="E126" s="530"/>
      <c r="F126" s="530"/>
      <c r="G126" s="530"/>
      <c r="H126" s="530"/>
      <c r="I126" s="530"/>
      <c r="J126" s="530" t="s">
        <v>457</v>
      </c>
      <c r="K126" s="530" t="s">
        <v>457</v>
      </c>
      <c r="L126" s="530">
        <v>300</v>
      </c>
      <c r="M126" s="530">
        <v>350</v>
      </c>
      <c r="N126" s="530">
        <v>339.35</v>
      </c>
    </row>
    <row r="127" spans="1:14" ht="14.25" customHeight="1">
      <c r="A127" s="537"/>
      <c r="B127" s="530"/>
      <c r="C127" s="530"/>
      <c r="D127" s="530"/>
      <c r="E127" s="530"/>
      <c r="F127" s="530"/>
      <c r="G127" s="530"/>
      <c r="H127" s="530"/>
      <c r="I127" s="530"/>
      <c r="J127" s="530"/>
      <c r="K127" s="530"/>
      <c r="L127" s="530"/>
      <c r="M127" s="530"/>
      <c r="N127" s="530"/>
    </row>
    <row r="128" spans="1:14" ht="14.25" customHeight="1">
      <c r="A128" s="533" t="s">
        <v>476</v>
      </c>
      <c r="B128" s="534">
        <f t="shared" ref="B128:M128" si="58">SUM(B129:B133)</f>
        <v>495.79999999999995</v>
      </c>
      <c r="C128" s="534">
        <f t="shared" si="58"/>
        <v>423.70812199999995</v>
      </c>
      <c r="D128" s="534">
        <f t="shared" si="58"/>
        <v>371.1</v>
      </c>
      <c r="E128" s="544">
        <f t="shared" si="58"/>
        <v>0</v>
      </c>
      <c r="F128" s="544">
        <f t="shared" si="58"/>
        <v>0</v>
      </c>
      <c r="G128" s="544">
        <f t="shared" si="58"/>
        <v>0</v>
      </c>
      <c r="H128" s="544">
        <f t="shared" si="58"/>
        <v>0</v>
      </c>
      <c r="I128" s="544">
        <f t="shared" si="58"/>
        <v>0</v>
      </c>
      <c r="J128" s="544">
        <f t="shared" si="58"/>
        <v>0</v>
      </c>
      <c r="K128" s="544">
        <f t="shared" si="58"/>
        <v>0</v>
      </c>
      <c r="L128" s="544">
        <f t="shared" si="58"/>
        <v>0</v>
      </c>
      <c r="M128" s="544">
        <f t="shared" si="58"/>
        <v>0</v>
      </c>
      <c r="N128" s="544">
        <f t="shared" ref="N128" si="59">SUM(N129:N133)</f>
        <v>0</v>
      </c>
    </row>
    <row r="129" spans="1:14" ht="14.25" customHeight="1">
      <c r="A129" s="537" t="s">
        <v>477</v>
      </c>
      <c r="B129" s="530">
        <v>40.799999999999997</v>
      </c>
      <c r="C129" s="530">
        <v>14.9</v>
      </c>
      <c r="D129" s="530">
        <v>12.6</v>
      </c>
      <c r="E129" s="530" t="s">
        <v>457</v>
      </c>
      <c r="F129" s="530" t="s">
        <v>457</v>
      </c>
      <c r="G129" s="530" t="s">
        <v>457</v>
      </c>
      <c r="H129" s="530" t="s">
        <v>457</v>
      </c>
      <c r="I129" s="530" t="s">
        <v>457</v>
      </c>
      <c r="J129" s="530" t="s">
        <v>457</v>
      </c>
      <c r="K129" s="530" t="s">
        <v>457</v>
      </c>
      <c r="L129" s="530" t="s">
        <v>457</v>
      </c>
      <c r="M129" s="530" t="s">
        <v>457</v>
      </c>
      <c r="N129" s="530" t="s">
        <v>457</v>
      </c>
    </row>
    <row r="130" spans="1:14" ht="14.25" customHeight="1">
      <c r="A130" s="537" t="s">
        <v>478</v>
      </c>
      <c r="B130" s="530">
        <v>437.7</v>
      </c>
      <c r="C130" s="530">
        <v>380.8</v>
      </c>
      <c r="D130" s="530">
        <v>358.5</v>
      </c>
      <c r="E130" s="530" t="s">
        <v>457</v>
      </c>
      <c r="F130" s="530" t="s">
        <v>457</v>
      </c>
      <c r="G130" s="530" t="s">
        <v>457</v>
      </c>
      <c r="H130" s="530" t="s">
        <v>457</v>
      </c>
      <c r="I130" s="530" t="s">
        <v>457</v>
      </c>
      <c r="J130" s="530" t="s">
        <v>457</v>
      </c>
      <c r="K130" s="530" t="s">
        <v>457</v>
      </c>
      <c r="L130" s="530" t="s">
        <v>457</v>
      </c>
      <c r="M130" s="530" t="s">
        <v>457</v>
      </c>
      <c r="N130" s="530" t="s">
        <v>457</v>
      </c>
    </row>
    <row r="131" spans="1:14" ht="14.25" customHeight="1">
      <c r="A131" s="537" t="s">
        <v>479</v>
      </c>
      <c r="B131" s="530">
        <v>15.4</v>
      </c>
      <c r="C131" s="530">
        <v>8.1081219999999998</v>
      </c>
      <c r="D131" s="530" t="s">
        <v>457</v>
      </c>
      <c r="E131" s="530" t="s">
        <v>457</v>
      </c>
      <c r="F131" s="530" t="s">
        <v>457</v>
      </c>
      <c r="G131" s="530" t="s">
        <v>457</v>
      </c>
      <c r="H131" s="530" t="s">
        <v>457</v>
      </c>
      <c r="I131" s="530" t="s">
        <v>457</v>
      </c>
      <c r="J131" s="530" t="s">
        <v>457</v>
      </c>
      <c r="K131" s="530" t="s">
        <v>457</v>
      </c>
      <c r="L131" s="530" t="s">
        <v>457</v>
      </c>
      <c r="M131" s="530" t="s">
        <v>457</v>
      </c>
      <c r="N131" s="530" t="s">
        <v>457</v>
      </c>
    </row>
    <row r="132" spans="1:14" ht="14.25" customHeight="1">
      <c r="A132" s="537" t="s">
        <v>480</v>
      </c>
      <c r="B132" s="530" t="s">
        <v>457</v>
      </c>
      <c r="C132" s="530">
        <v>19.899999999999999</v>
      </c>
      <c r="D132" s="530" t="s">
        <v>457</v>
      </c>
      <c r="E132" s="530" t="s">
        <v>457</v>
      </c>
      <c r="F132" s="530" t="s">
        <v>457</v>
      </c>
      <c r="G132" s="530" t="s">
        <v>457</v>
      </c>
      <c r="H132" s="530" t="s">
        <v>457</v>
      </c>
      <c r="I132" s="530" t="s">
        <v>457</v>
      </c>
      <c r="J132" s="530" t="s">
        <v>457</v>
      </c>
      <c r="K132" s="530" t="s">
        <v>457</v>
      </c>
      <c r="L132" s="530" t="s">
        <v>457</v>
      </c>
      <c r="M132" s="530" t="s">
        <v>457</v>
      </c>
      <c r="N132" s="530" t="s">
        <v>457</v>
      </c>
    </row>
    <row r="133" spans="1:14" ht="14.25" customHeight="1">
      <c r="A133" s="537" t="s">
        <v>481</v>
      </c>
      <c r="B133" s="530">
        <v>1.9</v>
      </c>
      <c r="C133" s="530" t="s">
        <v>457</v>
      </c>
      <c r="D133" s="530" t="s">
        <v>457</v>
      </c>
      <c r="E133" s="530" t="s">
        <v>457</v>
      </c>
      <c r="F133" s="530" t="s">
        <v>457</v>
      </c>
      <c r="G133" s="530" t="s">
        <v>457</v>
      </c>
      <c r="H133" s="530" t="s">
        <v>457</v>
      </c>
      <c r="I133" s="530" t="s">
        <v>457</v>
      </c>
      <c r="J133" s="530" t="s">
        <v>457</v>
      </c>
      <c r="K133" s="530" t="s">
        <v>457</v>
      </c>
      <c r="L133" s="530" t="s">
        <v>457</v>
      </c>
      <c r="M133" s="530" t="s">
        <v>457</v>
      </c>
      <c r="N133" s="530" t="s">
        <v>457</v>
      </c>
    </row>
    <row r="134" spans="1:14" ht="13.5" customHeight="1">
      <c r="A134" s="540"/>
      <c r="B134" s="530"/>
      <c r="C134" s="530"/>
      <c r="D134" s="530"/>
      <c r="E134" s="530"/>
      <c r="F134" s="530"/>
      <c r="G134" s="530"/>
      <c r="H134" s="530"/>
      <c r="I134" s="530"/>
      <c r="J134" s="530"/>
      <c r="K134" s="530"/>
      <c r="L134" s="530"/>
      <c r="M134" s="530"/>
      <c r="N134" s="530"/>
    </row>
    <row r="135" spans="1:14" ht="14.25" customHeight="1" thickBot="1">
      <c r="A135" s="545" t="s">
        <v>236</v>
      </c>
      <c r="B135" s="546"/>
      <c r="C135" s="546"/>
      <c r="D135" s="546"/>
      <c r="E135" s="546"/>
      <c r="F135" s="546"/>
      <c r="G135" s="546"/>
      <c r="H135" s="546"/>
      <c r="I135" s="546"/>
      <c r="J135" s="546"/>
      <c r="K135" s="546"/>
      <c r="L135" s="546"/>
      <c r="M135" s="546"/>
      <c r="N135" s="546"/>
    </row>
    <row r="136" spans="1:14" ht="14.25" customHeight="1">
      <c r="A136" s="540" t="s">
        <v>482</v>
      </c>
      <c r="B136" s="547">
        <v>0</v>
      </c>
      <c r="C136" s="547">
        <v>0</v>
      </c>
      <c r="D136" s="547">
        <v>0</v>
      </c>
      <c r="E136" s="547">
        <v>0</v>
      </c>
      <c r="F136" s="547">
        <v>0</v>
      </c>
      <c r="G136" s="547">
        <v>0</v>
      </c>
      <c r="H136" s="530" t="s">
        <v>457</v>
      </c>
      <c r="I136" s="530" t="s">
        <v>457</v>
      </c>
      <c r="J136" s="530" t="s">
        <v>457</v>
      </c>
      <c r="K136" s="530" t="s">
        <v>457</v>
      </c>
      <c r="L136" s="530" t="s">
        <v>457</v>
      </c>
      <c r="M136" s="530" t="s">
        <v>457</v>
      </c>
      <c r="N136" s="530" t="s">
        <v>457</v>
      </c>
    </row>
    <row r="137" spans="1:14" ht="14.25" customHeight="1">
      <c r="A137" s="548" t="s">
        <v>478</v>
      </c>
      <c r="B137" s="549">
        <v>437.7</v>
      </c>
      <c r="C137" s="549">
        <v>380.8</v>
      </c>
      <c r="D137" s="549">
        <v>358.5</v>
      </c>
      <c r="E137" s="549">
        <v>92.003429999999994</v>
      </c>
      <c r="F137" s="549">
        <v>363.346474</v>
      </c>
      <c r="G137" s="549">
        <v>193.714834</v>
      </c>
      <c r="H137" s="549" t="s">
        <v>457</v>
      </c>
      <c r="I137" s="549" t="s">
        <v>457</v>
      </c>
      <c r="J137" s="549" t="s">
        <v>457</v>
      </c>
      <c r="K137" s="549" t="s">
        <v>457</v>
      </c>
      <c r="L137" s="549" t="s">
        <v>457</v>
      </c>
      <c r="M137" s="549" t="s">
        <v>457</v>
      </c>
      <c r="N137" s="549" t="s">
        <v>457</v>
      </c>
    </row>
    <row r="138" spans="1:14">
      <c r="A138" s="365" t="s">
        <v>483</v>
      </c>
      <c r="B138" s="550"/>
      <c r="C138" s="550"/>
      <c r="D138" s="550"/>
      <c r="E138" s="550"/>
      <c r="F138" s="550"/>
      <c r="G138" s="530"/>
      <c r="H138" s="530"/>
      <c r="I138" s="530"/>
      <c r="J138" s="530"/>
      <c r="K138" s="530"/>
      <c r="L138" s="530"/>
      <c r="M138" s="530"/>
    </row>
    <row r="139" spans="1:14">
      <c r="A139" s="551"/>
      <c r="B139" s="552"/>
      <c r="C139" s="552"/>
      <c r="D139" s="552"/>
      <c r="E139" s="552"/>
      <c r="F139" s="552"/>
      <c r="G139" s="530"/>
      <c r="H139" s="530"/>
      <c r="I139" s="530"/>
      <c r="J139" s="530"/>
      <c r="K139" s="530"/>
      <c r="L139" s="530"/>
      <c r="M139" s="530"/>
    </row>
    <row r="140" spans="1:14">
      <c r="A140" s="553"/>
      <c r="B140" s="552"/>
      <c r="C140" s="552"/>
      <c r="D140" s="552"/>
      <c r="E140" s="552"/>
      <c r="F140" s="552"/>
      <c r="G140" s="530"/>
      <c r="H140" s="530"/>
      <c r="I140" s="530"/>
      <c r="J140" s="530"/>
      <c r="K140" s="530"/>
      <c r="L140" s="530"/>
      <c r="M140" s="530"/>
    </row>
    <row r="141" spans="1:14">
      <c r="A141" s="553"/>
      <c r="B141" s="552"/>
      <c r="C141" s="552"/>
      <c r="D141" s="552"/>
      <c r="E141" s="552"/>
      <c r="F141" s="552"/>
      <c r="G141" s="530"/>
      <c r="H141" s="530"/>
      <c r="I141" s="530"/>
      <c r="J141" s="530"/>
      <c r="K141" s="530"/>
      <c r="L141" s="530"/>
      <c r="M141" s="530"/>
    </row>
    <row r="142" spans="1:14">
      <c r="A142" s="553"/>
      <c r="B142" s="552"/>
      <c r="C142" s="552"/>
      <c r="D142" s="552"/>
      <c r="E142" s="552"/>
      <c r="F142" s="552"/>
      <c r="G142" s="530"/>
      <c r="H142" s="530"/>
      <c r="I142" s="530"/>
      <c r="J142" s="530"/>
      <c r="K142" s="530"/>
      <c r="L142" s="530"/>
      <c r="M142" s="530"/>
    </row>
    <row r="143" spans="1:14">
      <c r="A143" s="551"/>
      <c r="B143" s="552"/>
      <c r="C143" s="552"/>
      <c r="D143" s="552"/>
      <c r="E143" s="552"/>
      <c r="F143" s="552"/>
      <c r="G143" s="552"/>
      <c r="H143" s="530"/>
      <c r="I143" s="530"/>
      <c r="J143" s="530"/>
      <c r="K143" s="530"/>
      <c r="L143" s="530"/>
      <c r="M143" s="530"/>
    </row>
    <row r="144" spans="1:14">
      <c r="A144" s="553"/>
      <c r="B144" s="552"/>
      <c r="C144" s="552"/>
      <c r="D144" s="552"/>
      <c r="E144" s="552"/>
      <c r="F144" s="552"/>
      <c r="G144" s="552"/>
      <c r="H144" s="530"/>
      <c r="I144" s="530"/>
      <c r="J144" s="530"/>
      <c r="K144" s="530"/>
      <c r="L144" s="530"/>
      <c r="M144" s="530"/>
    </row>
    <row r="145" spans="1:13">
      <c r="A145" s="551"/>
      <c r="B145" s="552"/>
      <c r="C145" s="552"/>
      <c r="D145" s="552"/>
      <c r="E145" s="552"/>
      <c r="F145" s="552"/>
      <c r="G145" s="552"/>
      <c r="H145" s="530"/>
      <c r="I145" s="530"/>
      <c r="J145" s="530"/>
      <c r="K145" s="530"/>
      <c r="L145" s="530"/>
      <c r="M145" s="530"/>
    </row>
    <row r="146" spans="1:13">
      <c r="A146" s="551"/>
      <c r="B146" s="552"/>
      <c r="C146" s="552"/>
      <c r="D146" s="552"/>
      <c r="E146" s="552"/>
      <c r="F146" s="552"/>
      <c r="G146" s="552"/>
      <c r="H146" s="530"/>
      <c r="I146" s="530"/>
      <c r="J146" s="530"/>
      <c r="K146" s="530"/>
      <c r="L146" s="530"/>
      <c r="M146" s="530"/>
    </row>
    <row r="147" spans="1:13">
      <c r="A147" s="551"/>
      <c r="B147" s="552"/>
      <c r="C147" s="552"/>
      <c r="D147" s="552"/>
      <c r="E147" s="552"/>
      <c r="F147" s="552"/>
      <c r="G147" s="552"/>
      <c r="H147" s="530"/>
      <c r="I147" s="530"/>
      <c r="J147" s="530"/>
      <c r="K147" s="530"/>
      <c r="L147" s="530"/>
      <c r="M147" s="530"/>
    </row>
    <row r="148" spans="1:13">
      <c r="A148" s="551"/>
      <c r="B148" s="552"/>
      <c r="C148" s="552"/>
      <c r="D148" s="552"/>
      <c r="E148" s="552"/>
      <c r="F148" s="552"/>
      <c r="G148" s="552"/>
      <c r="H148" s="530"/>
      <c r="I148" s="530"/>
      <c r="J148" s="530"/>
      <c r="K148" s="530"/>
      <c r="L148" s="530"/>
      <c r="M148" s="530"/>
    </row>
    <row r="149" spans="1:13">
      <c r="A149" s="551"/>
      <c r="B149" s="552"/>
      <c r="C149" s="552"/>
      <c r="D149" s="552"/>
      <c r="E149" s="552"/>
      <c r="F149" s="552"/>
      <c r="G149" s="552"/>
      <c r="H149" s="530"/>
      <c r="I149" s="530"/>
      <c r="J149" s="530"/>
      <c r="K149" s="530"/>
      <c r="L149" s="530"/>
      <c r="M149" s="530"/>
    </row>
    <row r="150" spans="1:13">
      <c r="A150" s="551"/>
      <c r="B150" s="552"/>
      <c r="C150" s="552"/>
      <c r="D150" s="552"/>
      <c r="E150" s="552"/>
      <c r="F150" s="552"/>
      <c r="G150" s="552"/>
      <c r="H150" s="530"/>
      <c r="I150" s="530"/>
      <c r="J150" s="530"/>
      <c r="K150" s="530"/>
      <c r="L150" s="530"/>
      <c r="M150" s="530"/>
    </row>
    <row r="151" spans="1:13">
      <c r="A151" s="551"/>
      <c r="B151" s="552"/>
      <c r="C151" s="552"/>
      <c r="D151" s="552"/>
      <c r="E151" s="552"/>
      <c r="F151" s="552"/>
      <c r="G151" s="552"/>
      <c r="H151" s="530"/>
      <c r="I151" s="530"/>
      <c r="J151" s="530"/>
      <c r="K151" s="530"/>
      <c r="L151" s="530"/>
      <c r="M151" s="530"/>
    </row>
    <row r="152" spans="1:13">
      <c r="A152" s="551"/>
      <c r="B152" s="552"/>
      <c r="C152" s="552"/>
      <c r="D152" s="552"/>
      <c r="E152" s="552"/>
      <c r="F152" s="552"/>
      <c r="G152" s="552"/>
      <c r="H152" s="530"/>
      <c r="I152" s="530"/>
      <c r="J152" s="530"/>
      <c r="K152" s="530"/>
      <c r="L152" s="530"/>
      <c r="M152" s="530"/>
    </row>
    <row r="153" spans="1:13">
      <c r="A153" s="551"/>
      <c r="B153" s="552"/>
      <c r="C153" s="552"/>
      <c r="D153" s="552"/>
      <c r="E153" s="552"/>
      <c r="F153" s="552"/>
      <c r="G153" s="552"/>
      <c r="H153" s="530"/>
      <c r="I153" s="530"/>
      <c r="J153" s="530"/>
      <c r="K153" s="530"/>
      <c r="L153" s="530"/>
      <c r="M153" s="530"/>
    </row>
    <row r="154" spans="1:13">
      <c r="A154" s="551"/>
      <c r="B154" s="552"/>
      <c r="C154" s="552"/>
      <c r="D154" s="552"/>
      <c r="E154" s="552"/>
      <c r="F154" s="552"/>
      <c r="G154" s="552"/>
      <c r="H154" s="530"/>
      <c r="I154" s="530"/>
      <c r="J154" s="530"/>
      <c r="K154" s="530"/>
      <c r="L154" s="530"/>
      <c r="M154" s="530"/>
    </row>
    <row r="155" spans="1:13">
      <c r="A155" s="551"/>
      <c r="B155" s="552"/>
      <c r="C155" s="552"/>
      <c r="D155" s="552"/>
      <c r="E155" s="552"/>
      <c r="F155" s="552"/>
      <c r="G155" s="552"/>
      <c r="H155" s="530"/>
      <c r="I155" s="530"/>
      <c r="J155" s="530"/>
      <c r="K155" s="530"/>
      <c r="L155" s="530"/>
      <c r="M155" s="530"/>
    </row>
    <row r="156" spans="1:13">
      <c r="A156" s="551"/>
      <c r="B156" s="552"/>
      <c r="C156" s="552"/>
      <c r="D156" s="552"/>
      <c r="E156" s="552"/>
      <c r="F156" s="552"/>
      <c r="G156" s="552"/>
      <c r="H156" s="530"/>
      <c r="I156" s="530"/>
      <c r="J156" s="530"/>
      <c r="K156" s="530"/>
      <c r="L156" s="530"/>
      <c r="M156" s="530"/>
    </row>
    <row r="157" spans="1:13">
      <c r="A157" s="551"/>
      <c r="B157" s="552"/>
      <c r="C157" s="552"/>
      <c r="D157" s="552"/>
      <c r="E157" s="552"/>
      <c r="F157" s="552"/>
      <c r="G157" s="552"/>
      <c r="H157" s="530"/>
      <c r="I157" s="530"/>
      <c r="J157" s="530"/>
      <c r="K157" s="530"/>
      <c r="L157" s="530"/>
      <c r="M157" s="530"/>
    </row>
    <row r="158" spans="1:13">
      <c r="A158" s="551"/>
      <c r="B158" s="552"/>
      <c r="C158" s="552"/>
      <c r="D158" s="552"/>
      <c r="E158" s="552"/>
      <c r="F158" s="552"/>
      <c r="G158" s="552"/>
      <c r="H158" s="530"/>
      <c r="I158" s="530"/>
      <c r="J158" s="530"/>
      <c r="K158" s="530"/>
      <c r="L158" s="530"/>
      <c r="M158" s="530"/>
    </row>
    <row r="159" spans="1:13">
      <c r="A159" s="551"/>
      <c r="B159" s="552"/>
      <c r="C159" s="552"/>
      <c r="D159" s="552"/>
      <c r="E159" s="552"/>
      <c r="F159" s="552"/>
      <c r="G159" s="552"/>
      <c r="H159" s="530"/>
      <c r="I159" s="530"/>
      <c r="J159" s="530"/>
      <c r="K159" s="530"/>
      <c r="L159" s="530"/>
      <c r="M159" s="530"/>
    </row>
    <row r="160" spans="1:13">
      <c r="A160" s="551"/>
      <c r="B160" s="552"/>
      <c r="C160" s="552"/>
      <c r="D160" s="552"/>
      <c r="E160" s="552"/>
      <c r="F160" s="552"/>
      <c r="G160" s="552"/>
      <c r="H160" s="530"/>
      <c r="I160" s="530"/>
      <c r="J160" s="530"/>
      <c r="K160" s="530"/>
      <c r="L160" s="530"/>
      <c r="M160" s="530"/>
    </row>
    <row r="161" spans="1:13">
      <c r="A161" s="551"/>
      <c r="B161" s="552"/>
      <c r="C161" s="552"/>
      <c r="D161" s="552"/>
      <c r="E161" s="552"/>
      <c r="F161" s="552"/>
      <c r="G161" s="552"/>
      <c r="H161" s="530"/>
      <c r="I161" s="530"/>
      <c r="J161" s="530"/>
      <c r="K161" s="530"/>
      <c r="L161" s="530"/>
      <c r="M161" s="530"/>
    </row>
    <row r="162" spans="1:13">
      <c r="A162" s="551"/>
      <c r="B162" s="552"/>
      <c r="C162" s="552"/>
      <c r="D162" s="552"/>
      <c r="E162" s="552"/>
      <c r="F162" s="552"/>
      <c r="G162" s="552"/>
      <c r="H162" s="530"/>
      <c r="I162" s="530"/>
      <c r="J162" s="530"/>
      <c r="K162" s="530"/>
      <c r="L162" s="530"/>
      <c r="M162" s="530"/>
    </row>
    <row r="163" spans="1:13">
      <c r="A163" s="551"/>
      <c r="B163" s="552"/>
      <c r="C163" s="552"/>
      <c r="D163" s="552"/>
      <c r="E163" s="552"/>
      <c r="F163" s="552"/>
      <c r="G163" s="552"/>
      <c r="H163" s="530"/>
      <c r="I163" s="530"/>
      <c r="J163" s="530"/>
      <c r="K163" s="530"/>
      <c r="L163" s="530"/>
      <c r="M163" s="530"/>
    </row>
    <row r="164" spans="1:13">
      <c r="A164" s="551"/>
      <c r="B164" s="552"/>
      <c r="C164" s="552"/>
      <c r="D164" s="552"/>
      <c r="E164" s="552"/>
      <c r="F164" s="552"/>
      <c r="G164" s="552"/>
      <c r="H164" s="530"/>
      <c r="I164" s="530"/>
      <c r="J164" s="530"/>
      <c r="K164" s="530"/>
      <c r="L164" s="530"/>
      <c r="M164" s="530"/>
    </row>
    <row r="165" spans="1:13">
      <c r="A165" s="551"/>
      <c r="B165" s="552"/>
      <c r="C165" s="552"/>
      <c r="D165" s="552"/>
      <c r="E165" s="552"/>
      <c r="F165" s="552"/>
      <c r="G165" s="552"/>
      <c r="H165" s="530"/>
      <c r="I165" s="530"/>
      <c r="J165" s="530"/>
      <c r="K165" s="530"/>
      <c r="L165" s="530"/>
      <c r="M165" s="530"/>
    </row>
    <row r="166" spans="1:13">
      <c r="A166" s="551"/>
      <c r="B166" s="552"/>
      <c r="C166" s="552"/>
      <c r="D166" s="552"/>
      <c r="E166" s="552"/>
      <c r="F166" s="552"/>
      <c r="G166" s="552"/>
      <c r="H166" s="530"/>
      <c r="I166" s="530"/>
      <c r="J166" s="530"/>
      <c r="K166" s="530"/>
      <c r="L166" s="530"/>
      <c r="M166" s="530"/>
    </row>
    <row r="167" spans="1:13">
      <c r="A167" s="551"/>
      <c r="B167" s="552"/>
      <c r="C167" s="552"/>
      <c r="D167" s="552"/>
      <c r="E167" s="552"/>
      <c r="F167" s="552"/>
      <c r="G167" s="552"/>
      <c r="H167" s="530"/>
      <c r="I167" s="530"/>
      <c r="J167" s="530"/>
      <c r="K167" s="530"/>
      <c r="L167" s="530"/>
      <c r="M167" s="530"/>
    </row>
    <row r="168" spans="1:13">
      <c r="A168" s="551"/>
      <c r="B168" s="552"/>
      <c r="C168" s="552"/>
      <c r="D168" s="552"/>
      <c r="E168" s="552"/>
      <c r="F168" s="552"/>
      <c r="G168" s="552"/>
      <c r="H168" s="530"/>
      <c r="I168" s="530"/>
      <c r="J168" s="530"/>
      <c r="K168" s="530"/>
      <c r="L168" s="530"/>
      <c r="M168" s="530"/>
    </row>
    <row r="169" spans="1:13">
      <c r="A169" s="551"/>
      <c r="B169" s="552"/>
      <c r="C169" s="552"/>
      <c r="D169" s="552"/>
      <c r="E169" s="552"/>
      <c r="F169" s="552"/>
      <c r="G169" s="552"/>
      <c r="H169" s="530"/>
      <c r="I169" s="530"/>
      <c r="J169" s="530"/>
      <c r="K169" s="530"/>
      <c r="L169" s="530"/>
      <c r="M169" s="530"/>
    </row>
    <row r="170" spans="1:13">
      <c r="A170" s="551"/>
      <c r="B170" s="552"/>
      <c r="C170" s="552"/>
      <c r="D170" s="552"/>
      <c r="E170" s="552"/>
      <c r="F170" s="552"/>
      <c r="G170" s="552"/>
      <c r="H170" s="530"/>
      <c r="I170" s="530"/>
      <c r="J170" s="530"/>
      <c r="K170" s="530"/>
      <c r="L170" s="530"/>
      <c r="M170" s="530"/>
    </row>
    <row r="171" spans="1:13">
      <c r="A171" s="551"/>
      <c r="B171" s="552"/>
      <c r="C171" s="552"/>
      <c r="D171" s="552"/>
      <c r="E171" s="552"/>
      <c r="F171" s="552"/>
      <c r="G171" s="552"/>
      <c r="H171" s="530"/>
      <c r="I171" s="530"/>
      <c r="J171" s="530"/>
      <c r="K171" s="530"/>
      <c r="L171" s="530"/>
      <c r="M171" s="530"/>
    </row>
    <row r="172" spans="1:13">
      <c r="A172" s="551"/>
      <c r="B172" s="552"/>
      <c r="C172" s="552"/>
      <c r="D172" s="552"/>
      <c r="E172" s="552"/>
      <c r="F172" s="552"/>
      <c r="G172" s="552"/>
      <c r="H172" s="530"/>
      <c r="I172" s="530"/>
      <c r="J172" s="530"/>
      <c r="K172" s="530"/>
      <c r="L172" s="530"/>
      <c r="M172" s="530"/>
    </row>
    <row r="173" spans="1:13">
      <c r="A173" s="551"/>
      <c r="B173" s="552"/>
      <c r="C173" s="552"/>
      <c r="D173" s="552"/>
      <c r="E173" s="552"/>
      <c r="F173" s="552"/>
      <c r="G173" s="552"/>
      <c r="H173" s="530"/>
      <c r="I173" s="530"/>
      <c r="J173" s="530"/>
      <c r="K173" s="530"/>
      <c r="L173" s="530"/>
      <c r="M173" s="530"/>
    </row>
    <row r="174" spans="1:13">
      <c r="A174" s="551"/>
      <c r="B174" s="552"/>
      <c r="C174" s="552"/>
      <c r="D174" s="552"/>
      <c r="E174" s="552"/>
      <c r="F174" s="552"/>
      <c r="G174" s="552"/>
      <c r="H174" s="530"/>
      <c r="I174" s="530"/>
      <c r="J174" s="530"/>
      <c r="K174" s="530"/>
      <c r="L174" s="530"/>
      <c r="M174" s="530"/>
    </row>
    <row r="175" spans="1:13">
      <c r="A175" s="551"/>
      <c r="B175" s="552"/>
      <c r="C175" s="552"/>
      <c r="D175" s="552"/>
      <c r="E175" s="552"/>
      <c r="F175" s="552"/>
      <c r="G175" s="552"/>
      <c r="H175" s="552"/>
      <c r="I175" s="552"/>
      <c r="J175" s="552"/>
      <c r="K175" s="552"/>
      <c r="L175" s="552"/>
      <c r="M175" s="552"/>
    </row>
    <row r="176" spans="1:13">
      <c r="A176" s="551"/>
      <c r="B176" s="552"/>
      <c r="C176" s="552"/>
      <c r="D176" s="552"/>
      <c r="E176" s="552"/>
      <c r="F176" s="552"/>
      <c r="G176" s="552"/>
      <c r="H176" s="552"/>
      <c r="I176" s="552"/>
      <c r="J176" s="552"/>
      <c r="K176" s="552"/>
      <c r="L176" s="552"/>
      <c r="M176" s="552"/>
    </row>
    <row r="177" spans="1:13">
      <c r="A177" s="551"/>
      <c r="B177" s="552"/>
      <c r="C177" s="552"/>
      <c r="D177" s="552"/>
      <c r="E177" s="552"/>
      <c r="F177" s="552"/>
      <c r="G177" s="552"/>
      <c r="H177" s="552"/>
      <c r="I177" s="552"/>
      <c r="J177" s="552"/>
      <c r="K177" s="552"/>
      <c r="L177" s="552"/>
      <c r="M177" s="552"/>
    </row>
    <row r="178" spans="1:13">
      <c r="A178" s="551"/>
      <c r="B178" s="552"/>
      <c r="C178" s="552"/>
      <c r="D178" s="552"/>
      <c r="E178" s="552"/>
      <c r="F178" s="552"/>
      <c r="G178" s="552"/>
      <c r="H178" s="552"/>
      <c r="I178" s="552"/>
      <c r="J178" s="552"/>
      <c r="K178" s="552"/>
      <c r="L178" s="552"/>
      <c r="M178" s="552"/>
    </row>
    <row r="179" spans="1:13">
      <c r="A179" s="551"/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</row>
    <row r="180" spans="1:13">
      <c r="A180" s="551"/>
      <c r="B180" s="552"/>
      <c r="C180" s="552"/>
      <c r="D180" s="552"/>
      <c r="E180" s="552"/>
      <c r="F180" s="552"/>
      <c r="G180" s="552"/>
      <c r="H180" s="552"/>
      <c r="I180" s="552"/>
      <c r="J180" s="552"/>
      <c r="K180" s="552"/>
      <c r="L180" s="552"/>
      <c r="M180" s="552"/>
    </row>
    <row r="181" spans="1:13">
      <c r="A181" s="551"/>
      <c r="B181" s="552"/>
      <c r="C181" s="552"/>
      <c r="D181" s="552"/>
      <c r="E181" s="552"/>
      <c r="F181" s="552"/>
      <c r="G181" s="552"/>
      <c r="H181" s="552"/>
      <c r="I181" s="552"/>
      <c r="J181" s="552"/>
      <c r="K181" s="552"/>
      <c r="L181" s="552"/>
      <c r="M181" s="552"/>
    </row>
    <row r="182" spans="1:13">
      <c r="A182" s="551"/>
      <c r="B182" s="552"/>
      <c r="C182" s="552"/>
      <c r="D182" s="552"/>
      <c r="E182" s="552"/>
      <c r="F182" s="552"/>
      <c r="G182" s="552"/>
      <c r="H182" s="552"/>
      <c r="I182" s="552"/>
      <c r="J182" s="552"/>
      <c r="K182" s="552"/>
      <c r="L182" s="552"/>
      <c r="M182" s="552"/>
    </row>
    <row r="183" spans="1:13">
      <c r="A183" s="551"/>
      <c r="B183" s="552"/>
      <c r="C183" s="552"/>
      <c r="D183" s="552"/>
      <c r="E183" s="552"/>
      <c r="F183" s="552"/>
      <c r="G183" s="552"/>
      <c r="H183" s="552"/>
      <c r="I183" s="552"/>
      <c r="J183" s="552"/>
      <c r="K183" s="552"/>
      <c r="L183" s="552"/>
      <c r="M183" s="552"/>
    </row>
    <row r="184" spans="1:13">
      <c r="A184" s="551"/>
      <c r="B184" s="552"/>
      <c r="C184" s="552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</row>
    <row r="185" spans="1:13">
      <c r="A185" s="551"/>
      <c r="B185" s="552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552"/>
    </row>
    <row r="186" spans="1:13">
      <c r="A186" s="551"/>
      <c r="B186" s="552"/>
      <c r="C186" s="552"/>
      <c r="D186" s="552"/>
      <c r="E186" s="552"/>
      <c r="F186" s="552"/>
      <c r="G186" s="552"/>
      <c r="H186" s="552"/>
      <c r="I186" s="552"/>
      <c r="J186" s="552"/>
      <c r="K186" s="552"/>
      <c r="L186" s="552"/>
      <c r="M186" s="552"/>
    </row>
    <row r="187" spans="1:13">
      <c r="A187" s="551"/>
      <c r="B187" s="552"/>
      <c r="C187" s="552"/>
      <c r="D187" s="552"/>
      <c r="E187" s="552"/>
      <c r="F187" s="552"/>
      <c r="G187" s="552"/>
      <c r="H187" s="552"/>
      <c r="I187" s="552"/>
      <c r="J187" s="552"/>
      <c r="K187" s="552"/>
      <c r="L187" s="552"/>
      <c r="M187" s="552"/>
    </row>
    <row r="188" spans="1:13">
      <c r="A188" s="551"/>
      <c r="B188" s="552"/>
      <c r="C188" s="552"/>
      <c r="D188" s="552"/>
      <c r="E188" s="552"/>
      <c r="F188" s="552"/>
      <c r="G188" s="552"/>
      <c r="H188" s="552"/>
      <c r="I188" s="552"/>
      <c r="J188" s="552"/>
      <c r="K188" s="552"/>
      <c r="L188" s="552"/>
      <c r="M188" s="552"/>
    </row>
    <row r="189" spans="1:13">
      <c r="A189" s="551"/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</row>
    <row r="190" spans="1:13">
      <c r="A190" s="551"/>
      <c r="B190" s="552"/>
      <c r="C190" s="552"/>
      <c r="D190" s="552"/>
      <c r="E190" s="552"/>
      <c r="F190" s="552"/>
      <c r="G190" s="552"/>
      <c r="H190" s="552"/>
      <c r="I190" s="552"/>
      <c r="J190" s="552"/>
      <c r="K190" s="552"/>
      <c r="L190" s="552"/>
      <c r="M190" s="552"/>
    </row>
    <row r="191" spans="1:13">
      <c r="A191" s="551"/>
      <c r="B191" s="552"/>
      <c r="C191" s="552"/>
      <c r="D191" s="552"/>
      <c r="E191" s="552"/>
      <c r="F191" s="552"/>
      <c r="G191" s="552"/>
      <c r="H191" s="552"/>
      <c r="I191" s="552"/>
      <c r="J191" s="552"/>
      <c r="K191" s="552"/>
      <c r="L191" s="552"/>
      <c r="M191" s="552"/>
    </row>
    <row r="192" spans="1:13">
      <c r="A192" s="551"/>
      <c r="B192" s="552"/>
      <c r="C192" s="552"/>
      <c r="D192" s="552"/>
      <c r="E192" s="552"/>
      <c r="F192" s="552"/>
      <c r="G192" s="552"/>
      <c r="H192" s="552"/>
      <c r="I192" s="552"/>
      <c r="J192" s="552"/>
      <c r="K192" s="552"/>
      <c r="L192" s="552"/>
      <c r="M192" s="552"/>
    </row>
    <row r="193" spans="1:13">
      <c r="A193" s="551"/>
      <c r="B193" s="552"/>
      <c r="C193" s="552"/>
      <c r="D193" s="552"/>
      <c r="E193" s="552"/>
      <c r="F193" s="552"/>
      <c r="G193" s="552"/>
      <c r="H193" s="552"/>
      <c r="I193" s="552"/>
      <c r="J193" s="552"/>
      <c r="K193" s="552"/>
      <c r="L193" s="552"/>
      <c r="M193" s="552"/>
    </row>
    <row r="194" spans="1:13">
      <c r="A194" s="551"/>
      <c r="B194" s="552"/>
      <c r="C194" s="552"/>
      <c r="D194" s="552"/>
      <c r="E194" s="552"/>
      <c r="F194" s="552"/>
      <c r="G194" s="552"/>
      <c r="H194" s="552"/>
      <c r="I194" s="552"/>
      <c r="J194" s="552"/>
      <c r="K194" s="552"/>
      <c r="L194" s="552"/>
      <c r="M194" s="552"/>
    </row>
    <row r="195" spans="1:13">
      <c r="A195" s="551"/>
      <c r="B195" s="552"/>
      <c r="C195" s="552"/>
      <c r="D195" s="552"/>
      <c r="E195" s="552"/>
      <c r="F195" s="552"/>
      <c r="G195" s="552"/>
      <c r="H195" s="552"/>
      <c r="I195" s="552"/>
      <c r="J195" s="552"/>
      <c r="K195" s="552"/>
      <c r="L195" s="552"/>
      <c r="M195" s="552"/>
    </row>
    <row r="196" spans="1:13">
      <c r="A196" s="551"/>
      <c r="B196" s="552"/>
      <c r="C196" s="552"/>
      <c r="D196" s="552"/>
      <c r="E196" s="552"/>
      <c r="F196" s="552"/>
      <c r="G196" s="552"/>
      <c r="H196" s="552"/>
      <c r="I196" s="552"/>
      <c r="J196" s="552"/>
      <c r="K196" s="552"/>
      <c r="L196" s="552"/>
      <c r="M196" s="552"/>
    </row>
    <row r="197" spans="1:13">
      <c r="A197" s="551"/>
      <c r="B197" s="552"/>
      <c r="C197" s="552"/>
      <c r="D197" s="552"/>
      <c r="E197" s="552"/>
      <c r="F197" s="552"/>
      <c r="G197" s="552"/>
      <c r="H197" s="552"/>
      <c r="I197" s="552"/>
      <c r="J197" s="552"/>
      <c r="K197" s="552"/>
      <c r="L197" s="552"/>
      <c r="M197" s="552"/>
    </row>
    <row r="198" spans="1:13">
      <c r="A198" s="551"/>
      <c r="B198" s="552"/>
      <c r="C198" s="552"/>
      <c r="D198" s="552"/>
      <c r="E198" s="552"/>
      <c r="F198" s="552"/>
      <c r="G198" s="552"/>
      <c r="H198" s="552"/>
      <c r="I198" s="552"/>
      <c r="J198" s="552"/>
      <c r="K198" s="552"/>
      <c r="L198" s="552"/>
      <c r="M198" s="552"/>
    </row>
    <row r="199" spans="1:13">
      <c r="A199" s="551"/>
      <c r="B199" s="552"/>
      <c r="C199" s="552"/>
      <c r="D199" s="552"/>
      <c r="E199" s="552"/>
      <c r="F199" s="552"/>
      <c r="G199" s="552"/>
      <c r="H199" s="552"/>
      <c r="I199" s="552"/>
      <c r="J199" s="552"/>
      <c r="K199" s="552"/>
      <c r="L199" s="552"/>
      <c r="M199" s="552"/>
    </row>
    <row r="200" spans="1:13">
      <c r="A200" s="551"/>
      <c r="B200" s="552"/>
      <c r="C200" s="552"/>
      <c r="D200" s="552"/>
      <c r="E200" s="552"/>
      <c r="F200" s="552"/>
      <c r="G200" s="552"/>
      <c r="H200" s="552"/>
      <c r="I200" s="552"/>
      <c r="J200" s="552"/>
      <c r="K200" s="552"/>
      <c r="L200" s="552"/>
      <c r="M200" s="552"/>
    </row>
    <row r="201" spans="1:13">
      <c r="A201" s="551"/>
      <c r="B201" s="552"/>
      <c r="C201" s="552"/>
      <c r="D201" s="552"/>
      <c r="E201" s="552"/>
      <c r="F201" s="552"/>
      <c r="G201" s="552"/>
      <c r="H201" s="552"/>
      <c r="I201" s="552"/>
      <c r="J201" s="552"/>
      <c r="K201" s="552"/>
      <c r="L201" s="552"/>
      <c r="M201" s="552"/>
    </row>
    <row r="202" spans="1:13">
      <c r="A202" s="551"/>
      <c r="B202" s="552"/>
      <c r="C202" s="552"/>
      <c r="D202" s="552"/>
      <c r="E202" s="552"/>
      <c r="F202" s="552"/>
      <c r="G202" s="552"/>
      <c r="H202" s="552"/>
      <c r="I202" s="552"/>
      <c r="J202" s="552"/>
      <c r="K202" s="552"/>
      <c r="L202" s="552"/>
      <c r="M202" s="552"/>
    </row>
    <row r="203" spans="1:13">
      <c r="A203" s="551"/>
      <c r="B203" s="552"/>
      <c r="C203" s="552"/>
      <c r="D203" s="552"/>
      <c r="E203" s="552"/>
      <c r="F203" s="552"/>
      <c r="G203" s="552"/>
      <c r="H203" s="552"/>
      <c r="I203" s="552"/>
      <c r="J203" s="552"/>
      <c r="K203" s="552"/>
      <c r="L203" s="552"/>
      <c r="M203" s="552"/>
    </row>
    <row r="204" spans="1:13">
      <c r="A204" s="551"/>
      <c r="B204" s="552"/>
      <c r="C204" s="552"/>
      <c r="D204" s="552"/>
      <c r="E204" s="552"/>
      <c r="F204" s="552"/>
      <c r="G204" s="552"/>
      <c r="H204" s="552"/>
      <c r="I204" s="552"/>
      <c r="J204" s="552"/>
      <c r="K204" s="552"/>
      <c r="L204" s="552"/>
      <c r="M204" s="552"/>
    </row>
    <row r="205" spans="1:13">
      <c r="A205" s="551"/>
      <c r="B205" s="552"/>
      <c r="C205" s="552"/>
      <c r="D205" s="552"/>
      <c r="E205" s="552"/>
      <c r="F205" s="552"/>
      <c r="G205" s="552"/>
      <c r="H205" s="552"/>
      <c r="I205" s="552"/>
      <c r="J205" s="552"/>
      <c r="K205" s="552"/>
      <c r="L205" s="552"/>
      <c r="M205" s="552"/>
    </row>
    <row r="206" spans="1:13">
      <c r="A206" s="551"/>
      <c r="B206" s="552"/>
      <c r="C206" s="552"/>
      <c r="D206" s="552"/>
      <c r="E206" s="552"/>
      <c r="F206" s="552"/>
      <c r="G206" s="552"/>
      <c r="H206" s="552"/>
      <c r="I206" s="552"/>
      <c r="J206" s="552"/>
      <c r="K206" s="552"/>
      <c r="L206" s="552"/>
      <c r="M206" s="552"/>
    </row>
    <row r="207" spans="1:13">
      <c r="A207" s="551"/>
      <c r="B207" s="552"/>
      <c r="C207" s="552"/>
      <c r="D207" s="552"/>
      <c r="E207" s="552"/>
      <c r="F207" s="552"/>
      <c r="G207" s="552"/>
      <c r="H207" s="552"/>
      <c r="I207" s="552"/>
      <c r="J207" s="552"/>
      <c r="K207" s="552"/>
      <c r="L207" s="552"/>
      <c r="M207" s="552"/>
    </row>
    <row r="208" spans="1:13">
      <c r="A208" s="551"/>
      <c r="B208" s="552"/>
      <c r="C208" s="552"/>
      <c r="D208" s="552"/>
      <c r="E208" s="552"/>
      <c r="F208" s="552"/>
      <c r="G208" s="552"/>
      <c r="H208" s="552"/>
      <c r="I208" s="552"/>
      <c r="J208" s="552"/>
      <c r="K208" s="552"/>
      <c r="L208" s="552"/>
      <c r="M208" s="552"/>
    </row>
    <row r="209" spans="1:13">
      <c r="A209" s="551"/>
      <c r="B209" s="552"/>
      <c r="C209" s="552"/>
      <c r="D209" s="552"/>
      <c r="E209" s="552"/>
      <c r="F209" s="552"/>
      <c r="G209" s="552"/>
      <c r="H209" s="552"/>
      <c r="I209" s="552"/>
      <c r="J209" s="552"/>
      <c r="K209" s="552"/>
      <c r="L209" s="552"/>
      <c r="M209" s="552"/>
    </row>
    <row r="210" spans="1:13">
      <c r="A210" s="551"/>
      <c r="B210" s="552"/>
      <c r="C210" s="552"/>
      <c r="D210" s="552"/>
      <c r="E210" s="552"/>
      <c r="F210" s="552"/>
      <c r="G210" s="552"/>
      <c r="H210" s="552"/>
      <c r="I210" s="552"/>
      <c r="J210" s="552"/>
      <c r="K210" s="552"/>
      <c r="L210" s="552"/>
      <c r="M210" s="552"/>
    </row>
    <row r="211" spans="1:13">
      <c r="A211" s="551"/>
      <c r="B211" s="552"/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</row>
    <row r="212" spans="1:13">
      <c r="A212" s="551"/>
      <c r="B212" s="552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</row>
    <row r="213" spans="1:13">
      <c r="A213" s="551"/>
      <c r="B213" s="552"/>
      <c r="C213" s="552"/>
      <c r="D213" s="552"/>
      <c r="E213" s="552"/>
      <c r="F213" s="552"/>
      <c r="G213" s="552"/>
      <c r="H213" s="552"/>
      <c r="I213" s="552"/>
      <c r="J213" s="552"/>
      <c r="K213" s="552"/>
      <c r="L213" s="552"/>
      <c r="M213" s="552"/>
    </row>
    <row r="214" spans="1:13">
      <c r="A214" s="551"/>
      <c r="B214" s="552"/>
      <c r="C214" s="552"/>
      <c r="D214" s="552"/>
      <c r="E214" s="552"/>
      <c r="F214" s="552"/>
      <c r="G214" s="552"/>
      <c r="H214" s="552"/>
      <c r="I214" s="552"/>
      <c r="J214" s="552"/>
      <c r="K214" s="552"/>
      <c r="L214" s="552"/>
      <c r="M214" s="552"/>
    </row>
    <row r="215" spans="1:13">
      <c r="A215" s="551"/>
      <c r="B215" s="552"/>
      <c r="C215" s="552"/>
      <c r="D215" s="552"/>
      <c r="E215" s="552"/>
      <c r="F215" s="552"/>
      <c r="G215" s="552"/>
      <c r="H215" s="552"/>
      <c r="I215" s="552"/>
      <c r="J215" s="552"/>
      <c r="K215" s="552"/>
      <c r="L215" s="552"/>
      <c r="M215" s="552"/>
    </row>
    <row r="216" spans="1:13">
      <c r="A216" s="551"/>
      <c r="B216" s="552"/>
      <c r="C216" s="552"/>
      <c r="D216" s="552"/>
      <c r="E216" s="552"/>
      <c r="F216" s="552"/>
      <c r="G216" s="552"/>
      <c r="H216" s="552"/>
      <c r="I216" s="552"/>
      <c r="J216" s="552"/>
      <c r="K216" s="552"/>
      <c r="L216" s="552"/>
      <c r="M216" s="552"/>
    </row>
    <row r="217" spans="1:13">
      <c r="A217" s="551"/>
      <c r="B217" s="552"/>
      <c r="C217" s="552"/>
      <c r="D217" s="552"/>
      <c r="E217" s="552"/>
      <c r="F217" s="552"/>
      <c r="G217" s="552"/>
      <c r="H217" s="552"/>
      <c r="I217" s="552"/>
      <c r="J217" s="552"/>
      <c r="K217" s="552"/>
      <c r="L217" s="552"/>
      <c r="M217" s="552"/>
    </row>
    <row r="218" spans="1:13">
      <c r="A218" s="551"/>
      <c r="B218" s="552"/>
      <c r="C218" s="552"/>
      <c r="D218" s="552"/>
      <c r="E218" s="552"/>
      <c r="F218" s="552"/>
      <c r="G218" s="552"/>
      <c r="H218" s="552"/>
      <c r="I218" s="552"/>
      <c r="J218" s="552"/>
      <c r="K218" s="552"/>
      <c r="L218" s="552"/>
      <c r="M218" s="552"/>
    </row>
    <row r="219" spans="1:13">
      <c r="A219" s="551"/>
      <c r="B219" s="552"/>
      <c r="C219" s="552"/>
      <c r="D219" s="552"/>
      <c r="E219" s="552"/>
      <c r="F219" s="552"/>
      <c r="G219" s="552"/>
      <c r="H219" s="552"/>
      <c r="I219" s="552"/>
      <c r="J219" s="552"/>
      <c r="K219" s="552"/>
      <c r="L219" s="552"/>
      <c r="M219" s="552"/>
    </row>
    <row r="220" spans="1:13">
      <c r="A220" s="551"/>
      <c r="B220" s="552"/>
      <c r="C220" s="552"/>
      <c r="D220" s="552"/>
      <c r="E220" s="552"/>
      <c r="F220" s="552"/>
      <c r="G220" s="552"/>
      <c r="H220" s="552"/>
      <c r="I220" s="552"/>
      <c r="J220" s="552"/>
      <c r="K220" s="552"/>
      <c r="L220" s="552"/>
      <c r="M220" s="552"/>
    </row>
    <row r="221" spans="1:13">
      <c r="A221" s="551"/>
      <c r="B221" s="552"/>
      <c r="C221" s="552"/>
      <c r="D221" s="552"/>
      <c r="E221" s="552"/>
      <c r="F221" s="552"/>
      <c r="G221" s="552"/>
      <c r="H221" s="552"/>
      <c r="I221" s="552"/>
      <c r="J221" s="552"/>
      <c r="K221" s="552"/>
      <c r="L221" s="552"/>
      <c r="M221" s="552"/>
    </row>
    <row r="222" spans="1:13">
      <c r="A222" s="551"/>
      <c r="B222" s="552"/>
      <c r="C222" s="552"/>
      <c r="D222" s="552"/>
      <c r="E222" s="552"/>
      <c r="F222" s="552"/>
      <c r="G222" s="552"/>
      <c r="H222" s="552"/>
      <c r="I222" s="552"/>
      <c r="J222" s="552"/>
      <c r="K222" s="552"/>
      <c r="L222" s="552"/>
      <c r="M222" s="552"/>
    </row>
    <row r="223" spans="1:13">
      <c r="A223" s="551"/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</row>
    <row r="224" spans="1:13">
      <c r="A224" s="551"/>
      <c r="B224" s="552"/>
      <c r="C224" s="552"/>
      <c r="D224" s="552"/>
      <c r="E224" s="552"/>
      <c r="F224" s="552"/>
      <c r="G224" s="552"/>
      <c r="H224" s="552"/>
      <c r="I224" s="552"/>
      <c r="J224" s="552"/>
      <c r="K224" s="552"/>
      <c r="L224" s="552"/>
      <c r="M224" s="552"/>
    </row>
    <row r="225" spans="1:13">
      <c r="A225" s="551"/>
      <c r="B225" s="552"/>
      <c r="C225" s="552"/>
      <c r="D225" s="552"/>
      <c r="E225" s="552"/>
      <c r="F225" s="552"/>
      <c r="G225" s="552"/>
      <c r="H225" s="552"/>
      <c r="I225" s="552"/>
      <c r="J225" s="552"/>
      <c r="K225" s="552"/>
      <c r="L225" s="552"/>
      <c r="M225" s="552"/>
    </row>
    <row r="226" spans="1:13">
      <c r="A226" s="551"/>
      <c r="B226" s="552"/>
      <c r="C226" s="552"/>
      <c r="D226" s="552"/>
      <c r="E226" s="552"/>
      <c r="F226" s="552"/>
      <c r="G226" s="552"/>
      <c r="H226" s="552"/>
      <c r="I226" s="552"/>
      <c r="J226" s="552"/>
      <c r="K226" s="552"/>
      <c r="L226" s="552"/>
      <c r="M226" s="552"/>
    </row>
    <row r="227" spans="1:13">
      <c r="A227" s="551"/>
      <c r="B227" s="552"/>
      <c r="C227" s="552"/>
      <c r="D227" s="552"/>
      <c r="E227" s="552"/>
      <c r="F227" s="552"/>
      <c r="G227" s="552"/>
      <c r="H227" s="552"/>
      <c r="I227" s="552"/>
      <c r="J227" s="552"/>
      <c r="K227" s="552"/>
      <c r="L227" s="552"/>
      <c r="M227" s="552"/>
    </row>
    <row r="228" spans="1:13">
      <c r="A228" s="551"/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</row>
    <row r="229" spans="1:13">
      <c r="A229" s="551"/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</row>
    <row r="230" spans="1:13">
      <c r="A230" s="551"/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552"/>
      <c r="M230" s="552"/>
    </row>
    <row r="231" spans="1:13">
      <c r="A231" s="551"/>
      <c r="B231" s="552"/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</row>
    <row r="232" spans="1:13">
      <c r="A232" s="551"/>
      <c r="B232" s="552"/>
      <c r="C232" s="552"/>
      <c r="D232" s="552"/>
      <c r="E232" s="552"/>
      <c r="F232" s="552"/>
      <c r="G232" s="552"/>
      <c r="H232" s="552"/>
      <c r="I232" s="552"/>
      <c r="J232" s="552"/>
      <c r="K232" s="552"/>
      <c r="L232" s="552"/>
      <c r="M232" s="552"/>
    </row>
    <row r="233" spans="1:13">
      <c r="A233" s="551"/>
      <c r="B233" s="552"/>
      <c r="C233" s="552"/>
      <c r="D233" s="552"/>
      <c r="E233" s="552"/>
      <c r="F233" s="552"/>
      <c r="G233" s="552"/>
      <c r="H233" s="552"/>
      <c r="I233" s="552"/>
      <c r="J233" s="552"/>
      <c r="K233" s="552"/>
      <c r="L233" s="552"/>
      <c r="M233" s="552"/>
    </row>
    <row r="234" spans="1:13">
      <c r="A234" s="551"/>
      <c r="B234" s="552"/>
      <c r="C234" s="552"/>
      <c r="D234" s="552"/>
      <c r="E234" s="552"/>
      <c r="F234" s="552"/>
      <c r="G234" s="552"/>
      <c r="H234" s="552"/>
      <c r="I234" s="552"/>
      <c r="J234" s="552"/>
      <c r="K234" s="552"/>
      <c r="L234" s="552"/>
      <c r="M234" s="552"/>
    </row>
    <row r="235" spans="1:13">
      <c r="A235" s="551"/>
      <c r="B235" s="552"/>
      <c r="C235" s="552"/>
      <c r="D235" s="552"/>
      <c r="E235" s="552"/>
      <c r="F235" s="552"/>
      <c r="G235" s="552"/>
      <c r="H235" s="552"/>
      <c r="I235" s="552"/>
      <c r="J235" s="552"/>
      <c r="K235" s="552"/>
      <c r="L235" s="552"/>
      <c r="M235" s="552"/>
    </row>
    <row r="236" spans="1:13">
      <c r="A236" s="551"/>
      <c r="B236" s="552"/>
      <c r="C236" s="552"/>
      <c r="D236" s="552"/>
      <c r="E236" s="552"/>
      <c r="F236" s="552"/>
      <c r="G236" s="552"/>
      <c r="H236" s="552"/>
      <c r="I236" s="552"/>
      <c r="J236" s="552"/>
      <c r="K236" s="552"/>
      <c r="L236" s="552"/>
      <c r="M236" s="552"/>
    </row>
    <row r="237" spans="1:13">
      <c r="A237" s="551"/>
      <c r="B237" s="552"/>
      <c r="C237" s="552"/>
      <c r="D237" s="552"/>
      <c r="E237" s="552"/>
      <c r="F237" s="552"/>
      <c r="G237" s="552"/>
      <c r="H237" s="552"/>
      <c r="I237" s="552"/>
      <c r="J237" s="552"/>
      <c r="K237" s="552"/>
      <c r="L237" s="552"/>
      <c r="M237" s="552"/>
    </row>
    <row r="238" spans="1:13">
      <c r="A238" s="551"/>
      <c r="B238" s="552"/>
      <c r="C238" s="552"/>
      <c r="D238" s="552"/>
      <c r="E238" s="552"/>
      <c r="F238" s="552"/>
      <c r="G238" s="552"/>
      <c r="H238" s="552"/>
      <c r="I238" s="552"/>
      <c r="J238" s="552"/>
      <c r="K238" s="552"/>
      <c r="L238" s="552"/>
    </row>
    <row r="239" spans="1:13">
      <c r="A239" s="551"/>
      <c r="B239" s="552"/>
      <c r="C239" s="552"/>
      <c r="D239" s="552"/>
      <c r="E239" s="552"/>
      <c r="F239" s="552"/>
      <c r="G239" s="552"/>
      <c r="H239" s="552"/>
      <c r="I239" s="552"/>
      <c r="J239" s="552"/>
      <c r="K239" s="552"/>
      <c r="L239" s="552"/>
    </row>
    <row r="240" spans="1:13">
      <c r="A240" s="551"/>
      <c r="B240" s="552"/>
      <c r="C240" s="552"/>
      <c r="D240" s="552"/>
      <c r="E240" s="552"/>
      <c r="F240" s="552"/>
      <c r="G240" s="552"/>
      <c r="H240" s="552"/>
      <c r="I240" s="552"/>
      <c r="J240" s="552"/>
      <c r="K240" s="552"/>
      <c r="L240" s="552"/>
    </row>
    <row r="241" spans="1:12">
      <c r="A241" s="551"/>
      <c r="B241" s="552"/>
      <c r="C241" s="552"/>
      <c r="D241" s="552"/>
      <c r="E241" s="552"/>
      <c r="F241" s="552"/>
      <c r="G241" s="552"/>
      <c r="H241" s="552"/>
      <c r="I241" s="552"/>
      <c r="J241" s="552"/>
      <c r="K241" s="552"/>
      <c r="L241" s="552"/>
    </row>
    <row r="242" spans="1:12">
      <c r="A242" s="551"/>
      <c r="B242" s="552"/>
      <c r="C242" s="552"/>
      <c r="D242" s="552"/>
      <c r="E242" s="552"/>
      <c r="F242" s="552"/>
      <c r="G242" s="552"/>
      <c r="H242" s="552"/>
      <c r="I242" s="552"/>
      <c r="J242" s="552"/>
      <c r="K242" s="552"/>
      <c r="L242" s="552"/>
    </row>
    <row r="243" spans="1:12">
      <c r="A243" s="551"/>
      <c r="B243" s="552"/>
      <c r="C243" s="552"/>
      <c r="D243" s="552"/>
      <c r="E243" s="552"/>
      <c r="F243" s="552"/>
      <c r="G243" s="552"/>
      <c r="H243" s="552"/>
      <c r="I243" s="552"/>
      <c r="J243" s="552"/>
      <c r="K243" s="552"/>
      <c r="L243" s="552"/>
    </row>
    <row r="244" spans="1:12">
      <c r="B244" s="552"/>
      <c r="C244" s="552"/>
      <c r="D244" s="552"/>
      <c r="E244" s="552"/>
      <c r="F244" s="552"/>
      <c r="G244" s="552"/>
      <c r="H244" s="552"/>
      <c r="I244" s="552"/>
      <c r="J244" s="552"/>
      <c r="K244" s="552"/>
      <c r="L244" s="552"/>
    </row>
    <row r="245" spans="1:12">
      <c r="B245" s="552"/>
      <c r="C245" s="552"/>
      <c r="D245" s="552"/>
      <c r="E245" s="552"/>
      <c r="F245" s="552"/>
      <c r="G245" s="552"/>
      <c r="H245" s="552"/>
      <c r="I245" s="552"/>
      <c r="J245" s="552"/>
      <c r="K245" s="552"/>
      <c r="L245" s="552"/>
    </row>
    <row r="246" spans="1:12">
      <c r="B246" s="552"/>
      <c r="C246" s="552"/>
      <c r="D246" s="552"/>
      <c r="E246" s="552"/>
      <c r="F246" s="552"/>
      <c r="G246" s="552"/>
      <c r="H246" s="552"/>
      <c r="I246" s="552"/>
      <c r="J246" s="552"/>
      <c r="K246" s="552"/>
      <c r="L246" s="552"/>
    </row>
    <row r="247" spans="1:12">
      <c r="B247" s="552"/>
      <c r="C247" s="552"/>
      <c r="D247" s="552"/>
      <c r="E247" s="552"/>
      <c r="F247" s="552"/>
      <c r="G247" s="552"/>
      <c r="H247" s="552"/>
      <c r="I247" s="552"/>
      <c r="J247" s="552"/>
      <c r="K247" s="552"/>
      <c r="L247" s="552"/>
    </row>
    <row r="248" spans="1:12">
      <c r="B248" s="552"/>
      <c r="C248" s="552"/>
      <c r="D248" s="552"/>
      <c r="E248" s="552"/>
      <c r="F248" s="552"/>
      <c r="G248" s="552"/>
      <c r="H248" s="552"/>
      <c r="I248" s="552"/>
      <c r="J248" s="552"/>
      <c r="K248" s="552"/>
      <c r="L248" s="552"/>
    </row>
    <row r="249" spans="1:12">
      <c r="B249" s="552"/>
      <c r="C249" s="552"/>
      <c r="D249" s="552"/>
      <c r="E249" s="552"/>
      <c r="F249" s="552"/>
      <c r="G249" s="552"/>
      <c r="H249" s="552"/>
      <c r="I249" s="552"/>
      <c r="J249" s="552"/>
      <c r="K249" s="552"/>
      <c r="L249" s="552"/>
    </row>
    <row r="250" spans="1:12">
      <c r="B250" s="552"/>
      <c r="C250" s="552"/>
      <c r="D250" s="552"/>
      <c r="E250" s="552"/>
      <c r="F250" s="552"/>
      <c r="G250" s="552"/>
      <c r="H250" s="552"/>
      <c r="I250" s="552"/>
      <c r="J250" s="552"/>
      <c r="K250" s="552"/>
      <c r="L250" s="552"/>
    </row>
    <row r="251" spans="1:12">
      <c r="B251" s="552"/>
      <c r="C251" s="552"/>
      <c r="D251" s="552"/>
      <c r="E251" s="552"/>
      <c r="F251" s="552"/>
      <c r="G251" s="552"/>
      <c r="H251" s="552"/>
      <c r="I251" s="552"/>
      <c r="J251" s="552"/>
      <c r="K251" s="552"/>
      <c r="L251" s="552"/>
    </row>
    <row r="252" spans="1:12">
      <c r="B252" s="552"/>
      <c r="C252" s="552"/>
      <c r="D252" s="552"/>
      <c r="E252" s="552"/>
      <c r="F252" s="552"/>
      <c r="G252" s="552"/>
      <c r="H252" s="552"/>
      <c r="I252" s="552"/>
      <c r="J252" s="552"/>
      <c r="K252" s="552"/>
      <c r="L252" s="552"/>
    </row>
    <row r="253" spans="1:12">
      <c r="B253" s="552"/>
      <c r="C253" s="552"/>
      <c r="D253" s="552"/>
      <c r="E253" s="552"/>
      <c r="F253" s="552"/>
      <c r="G253" s="552"/>
      <c r="H253" s="552"/>
      <c r="I253" s="552"/>
      <c r="J253" s="552"/>
      <c r="K253" s="552"/>
      <c r="L253" s="552"/>
    </row>
    <row r="254" spans="1:12">
      <c r="B254" s="552"/>
      <c r="C254" s="552"/>
      <c r="D254" s="552"/>
      <c r="E254" s="552"/>
      <c r="F254" s="552"/>
      <c r="G254" s="552"/>
      <c r="H254" s="552"/>
      <c r="I254" s="552"/>
      <c r="J254" s="552"/>
      <c r="K254" s="552"/>
      <c r="L254" s="552"/>
    </row>
    <row r="255" spans="1:12">
      <c r="B255" s="552"/>
      <c r="C255" s="552"/>
      <c r="D255" s="552"/>
      <c r="E255" s="552"/>
      <c r="F255" s="552"/>
      <c r="G255" s="552"/>
      <c r="H255" s="552"/>
      <c r="I255" s="552"/>
      <c r="J255" s="552"/>
      <c r="K255" s="552"/>
      <c r="L255" s="552"/>
    </row>
    <row r="256" spans="1:12">
      <c r="B256" s="552"/>
      <c r="C256" s="552"/>
      <c r="D256" s="552"/>
      <c r="E256" s="552"/>
      <c r="F256" s="552"/>
      <c r="G256" s="552"/>
      <c r="H256" s="552"/>
      <c r="I256" s="552"/>
      <c r="J256" s="552"/>
      <c r="K256" s="552"/>
      <c r="L256" s="552"/>
    </row>
    <row r="257" spans="2:12">
      <c r="B257" s="552"/>
      <c r="C257" s="552"/>
      <c r="D257" s="552"/>
      <c r="E257" s="552"/>
      <c r="F257" s="552"/>
      <c r="G257" s="552"/>
      <c r="H257" s="552"/>
      <c r="I257" s="552"/>
      <c r="J257" s="552"/>
      <c r="K257" s="552"/>
      <c r="L257" s="552"/>
    </row>
    <row r="258" spans="2:12">
      <c r="B258" s="552"/>
      <c r="C258" s="552"/>
      <c r="D258" s="552"/>
      <c r="E258" s="552"/>
      <c r="F258" s="552"/>
      <c r="G258" s="552"/>
      <c r="H258" s="552"/>
      <c r="I258" s="552"/>
      <c r="J258" s="552"/>
      <c r="K258" s="552"/>
      <c r="L258" s="552"/>
    </row>
    <row r="259" spans="2:12">
      <c r="B259" s="552"/>
      <c r="C259" s="552"/>
      <c r="D259" s="552"/>
      <c r="E259" s="552"/>
      <c r="F259" s="552"/>
      <c r="G259" s="552"/>
      <c r="H259" s="552"/>
      <c r="I259" s="552"/>
      <c r="J259" s="552"/>
      <c r="K259" s="552"/>
      <c r="L259" s="552"/>
    </row>
    <row r="260" spans="2:12">
      <c r="B260" s="552"/>
      <c r="C260" s="552"/>
      <c r="D260" s="552"/>
      <c r="E260" s="552"/>
      <c r="F260" s="552"/>
      <c r="G260" s="552"/>
      <c r="H260" s="552"/>
      <c r="I260" s="552"/>
      <c r="J260" s="552"/>
      <c r="K260" s="552"/>
      <c r="L260" s="552"/>
    </row>
    <row r="261" spans="2:12">
      <c r="B261" s="552"/>
      <c r="C261" s="552"/>
      <c r="D261" s="552"/>
      <c r="E261" s="552"/>
      <c r="F261" s="552"/>
      <c r="G261" s="552"/>
      <c r="H261" s="552"/>
      <c r="I261" s="552"/>
      <c r="J261" s="552"/>
      <c r="K261" s="552"/>
      <c r="L261" s="552"/>
    </row>
    <row r="262" spans="2:12">
      <c r="B262" s="552"/>
      <c r="C262" s="552"/>
      <c r="D262" s="552"/>
      <c r="E262" s="552"/>
      <c r="F262" s="552"/>
      <c r="G262" s="552"/>
      <c r="H262" s="552"/>
      <c r="I262" s="552"/>
      <c r="J262" s="552"/>
      <c r="K262" s="552"/>
      <c r="L262" s="552"/>
    </row>
    <row r="263" spans="2:12">
      <c r="B263" s="552"/>
      <c r="C263" s="552"/>
      <c r="D263" s="552"/>
      <c r="E263" s="552"/>
      <c r="F263" s="552"/>
      <c r="G263" s="552"/>
      <c r="H263" s="552"/>
      <c r="I263" s="552"/>
      <c r="J263" s="552"/>
      <c r="K263" s="552"/>
      <c r="L263" s="552"/>
    </row>
    <row r="264" spans="2:12">
      <c r="B264" s="552"/>
      <c r="C264" s="552"/>
      <c r="D264" s="552"/>
      <c r="E264" s="552"/>
      <c r="F264" s="552"/>
      <c r="G264" s="552"/>
      <c r="H264" s="552"/>
      <c r="I264" s="552"/>
      <c r="J264" s="552"/>
      <c r="K264" s="552"/>
      <c r="L264" s="552"/>
    </row>
    <row r="265" spans="2:12">
      <c r="B265" s="552"/>
      <c r="C265" s="552"/>
      <c r="D265" s="552"/>
      <c r="E265" s="552"/>
      <c r="F265" s="552"/>
      <c r="G265" s="552"/>
      <c r="H265" s="552"/>
      <c r="I265" s="552"/>
      <c r="J265" s="552"/>
      <c r="K265" s="552"/>
      <c r="L265" s="552"/>
    </row>
    <row r="266" spans="2:12">
      <c r="B266" s="552"/>
      <c r="C266" s="552"/>
      <c r="D266" s="552"/>
      <c r="E266" s="552"/>
      <c r="F266" s="552"/>
      <c r="G266" s="552"/>
      <c r="H266" s="552"/>
      <c r="I266" s="552"/>
      <c r="J266" s="552"/>
      <c r="K266" s="552"/>
      <c r="L266" s="552"/>
    </row>
    <row r="267" spans="2:12">
      <c r="B267" s="552"/>
      <c r="C267" s="552"/>
      <c r="D267" s="552"/>
      <c r="E267" s="552"/>
      <c r="F267" s="552"/>
      <c r="G267" s="552"/>
      <c r="H267" s="552"/>
      <c r="I267" s="552"/>
      <c r="J267" s="552"/>
      <c r="K267" s="552"/>
      <c r="L267" s="552"/>
    </row>
    <row r="268" spans="2:12">
      <c r="B268" s="552"/>
      <c r="C268" s="552"/>
      <c r="D268" s="552"/>
      <c r="E268" s="552"/>
      <c r="F268" s="552"/>
      <c r="G268" s="552"/>
      <c r="H268" s="552"/>
      <c r="I268" s="552"/>
      <c r="J268" s="552"/>
      <c r="K268" s="552"/>
      <c r="L268" s="552"/>
    </row>
    <row r="269" spans="2:12">
      <c r="B269" s="552"/>
      <c r="C269" s="552"/>
      <c r="D269" s="552"/>
      <c r="E269" s="552"/>
      <c r="F269" s="552"/>
      <c r="G269" s="552"/>
      <c r="H269" s="552"/>
      <c r="I269" s="552"/>
      <c r="J269" s="552"/>
      <c r="K269" s="552"/>
      <c r="L269" s="552"/>
    </row>
    <row r="270" spans="2:12">
      <c r="B270" s="552"/>
      <c r="C270" s="552"/>
      <c r="D270" s="552"/>
      <c r="E270" s="552"/>
      <c r="F270" s="552"/>
      <c r="G270" s="552"/>
      <c r="H270" s="552"/>
      <c r="I270" s="552"/>
      <c r="J270" s="552"/>
      <c r="K270" s="552"/>
      <c r="L270" s="552"/>
    </row>
  </sheetData>
  <mergeCells count="4">
    <mergeCell ref="A4:A5"/>
    <mergeCell ref="A2:N2"/>
    <mergeCell ref="A1:N1"/>
    <mergeCell ref="A3:N3"/>
  </mergeCells>
  <pageMargins left="0.18" right="0.22" top="0.42" bottom="0.3" header="0.3" footer="0.17"/>
  <pageSetup paperSize="9" scale="73" orientation="landscape" r:id="rId1"/>
  <rowBreaks count="2" manualBreakCount="2">
    <brk id="54" max="14" man="1"/>
    <brk id="103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zoomScale="106" zoomScaleNormal="106" workbookViewId="0">
      <selection activeCell="R31" sqref="R31"/>
    </sheetView>
  </sheetViews>
  <sheetFormatPr defaultColWidth="9.140625" defaultRowHeight="12.75"/>
  <cols>
    <col min="1" max="1" width="24.42578125" style="523" customWidth="1"/>
    <col min="2" max="5" width="9.140625" style="523" hidden="1" customWidth="1"/>
    <col min="6" max="6" width="9.140625" style="554" hidden="1" customWidth="1"/>
    <col min="7" max="8" width="0" style="523" hidden="1" customWidth="1"/>
    <col min="9" max="16384" width="9.140625" style="523"/>
  </cols>
  <sheetData>
    <row r="1" spans="1:14" ht="21">
      <c r="A1" s="770" t="s">
        <v>634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</row>
    <row r="2" spans="1:14" s="524" customFormat="1" ht="15">
      <c r="A2" s="769" t="s">
        <v>635</v>
      </c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</row>
    <row r="3" spans="1:14" s="524" customFormat="1">
      <c r="A3" s="555"/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</row>
    <row r="4" spans="1:14" s="524" customFormat="1">
      <c r="A4" s="764" t="s">
        <v>1</v>
      </c>
      <c r="B4" s="556"/>
      <c r="C4" s="556"/>
      <c r="D4" s="526"/>
      <c r="E4" s="526"/>
      <c r="F4" s="525"/>
      <c r="G4" s="526" t="s">
        <v>68</v>
      </c>
      <c r="H4" s="526" t="s">
        <v>68</v>
      </c>
      <c r="I4" s="526" t="s">
        <v>68</v>
      </c>
      <c r="J4" s="526" t="s">
        <v>4</v>
      </c>
      <c r="K4" s="526" t="s">
        <v>6</v>
      </c>
      <c r="L4" s="526" t="s">
        <v>69</v>
      </c>
      <c r="M4" s="526" t="s">
        <v>69</v>
      </c>
      <c r="N4" s="526" t="s">
        <v>69</v>
      </c>
    </row>
    <row r="5" spans="1:14" s="528" customFormat="1">
      <c r="A5" s="765"/>
      <c r="B5" s="527">
        <v>2006</v>
      </c>
      <c r="C5" s="527">
        <v>2007</v>
      </c>
      <c r="D5" s="527">
        <v>2008</v>
      </c>
      <c r="E5" s="527">
        <v>2009</v>
      </c>
      <c r="F5" s="527">
        <v>2010</v>
      </c>
      <c r="G5" s="527">
        <v>2011</v>
      </c>
      <c r="H5" s="527">
        <v>2012</v>
      </c>
      <c r="I5" s="527">
        <v>2013</v>
      </c>
      <c r="J5" s="527">
        <v>2014</v>
      </c>
      <c r="K5" s="527">
        <v>2015</v>
      </c>
      <c r="L5" s="527">
        <v>2016</v>
      </c>
      <c r="M5" s="527">
        <v>2017</v>
      </c>
      <c r="N5" s="527">
        <v>2018</v>
      </c>
    </row>
    <row r="6" spans="1:14" s="524" customFormat="1">
      <c r="A6" s="557" t="s">
        <v>484</v>
      </c>
      <c r="B6" s="558">
        <f t="shared" ref="B6:M6" si="0">B8+B15</f>
        <v>806.09999999999991</v>
      </c>
      <c r="C6" s="558">
        <f t="shared" si="0"/>
        <v>816.49044500000002</v>
      </c>
      <c r="D6" s="558">
        <f t="shared" si="0"/>
        <v>755.10795499999995</v>
      </c>
      <c r="E6" s="558">
        <f t="shared" si="0"/>
        <v>778.84185600000001</v>
      </c>
      <c r="F6" s="558">
        <f t="shared" si="0"/>
        <v>1283.0210480000001</v>
      </c>
      <c r="G6" s="558">
        <f t="shared" si="0"/>
        <v>1398.4178940000002</v>
      </c>
      <c r="H6" s="558">
        <f t="shared" si="0"/>
        <v>1145.8582073000002</v>
      </c>
      <c r="I6" s="558">
        <f t="shared" si="0"/>
        <v>1187.1923499999998</v>
      </c>
      <c r="J6" s="558">
        <f t="shared" si="0"/>
        <v>188.39416599999998</v>
      </c>
      <c r="K6" s="558">
        <f t="shared" si="0"/>
        <v>568.29718400000002</v>
      </c>
      <c r="L6" s="558">
        <f t="shared" si="0"/>
        <v>2779.244608</v>
      </c>
      <c r="M6" s="558">
        <f t="shared" si="0"/>
        <v>3289.8189120000006</v>
      </c>
      <c r="N6" s="558">
        <f t="shared" ref="N6" si="1">N8+N15</f>
        <v>3312.2719230000002</v>
      </c>
    </row>
    <row r="7" spans="1:14" s="524" customFormat="1">
      <c r="A7" s="559"/>
      <c r="B7" s="560"/>
      <c r="C7" s="560"/>
      <c r="D7" s="561"/>
      <c r="E7" s="530"/>
      <c r="F7" s="534"/>
      <c r="G7" s="534"/>
      <c r="H7" s="560"/>
      <c r="I7" s="560"/>
      <c r="J7" s="560"/>
      <c r="K7" s="560"/>
      <c r="L7" s="560"/>
      <c r="M7" s="560"/>
      <c r="N7" s="560"/>
    </row>
    <row r="8" spans="1:14" s="524" customFormat="1">
      <c r="A8" s="557" t="s">
        <v>485</v>
      </c>
      <c r="B8" s="558">
        <f t="shared" ref="B8:L8" si="2">SUM(B9:B14)</f>
        <v>120.4</v>
      </c>
      <c r="C8" s="558">
        <f t="shared" si="2"/>
        <v>24.2</v>
      </c>
      <c r="D8" s="558">
        <f t="shared" si="2"/>
        <v>28.072474</v>
      </c>
      <c r="E8" s="558">
        <f t="shared" si="2"/>
        <v>531.19676100000004</v>
      </c>
      <c r="F8" s="558">
        <f t="shared" si="2"/>
        <v>350.87172900000002</v>
      </c>
      <c r="G8" s="558">
        <f t="shared" si="2"/>
        <v>272.73269500000004</v>
      </c>
      <c r="H8" s="558">
        <f t="shared" si="2"/>
        <v>257.65936199999999</v>
      </c>
      <c r="I8" s="558">
        <f t="shared" si="2"/>
        <v>59.122427999999999</v>
      </c>
      <c r="J8" s="558">
        <f t="shared" si="2"/>
        <v>35.200921999999998</v>
      </c>
      <c r="K8" s="558">
        <f t="shared" si="2"/>
        <v>54.473737</v>
      </c>
      <c r="L8" s="558">
        <f t="shared" si="2"/>
        <v>812.9117</v>
      </c>
      <c r="M8" s="558">
        <f t="shared" ref="M8:N8" si="3">SUM(M9:M14)</f>
        <v>1053.9938400000001</v>
      </c>
      <c r="N8" s="558">
        <f t="shared" si="3"/>
        <v>1155.99216</v>
      </c>
    </row>
    <row r="9" spans="1:14" s="524" customFormat="1">
      <c r="A9" s="559" t="s">
        <v>486</v>
      </c>
      <c r="B9" s="560">
        <v>77.900000000000006</v>
      </c>
      <c r="C9" s="560">
        <v>11.6</v>
      </c>
      <c r="D9" s="560">
        <v>1.8260099999999999</v>
      </c>
      <c r="E9" s="560">
        <v>40.133375999999998</v>
      </c>
      <c r="F9" s="560">
        <v>22.482177</v>
      </c>
      <c r="G9" s="560">
        <v>181.95449300000001</v>
      </c>
      <c r="H9" s="560">
        <v>153.78399200000001</v>
      </c>
      <c r="I9" s="560">
        <v>37.905923999999999</v>
      </c>
      <c r="J9" s="560">
        <v>25.450016999999999</v>
      </c>
      <c r="K9" s="560">
        <v>33.067532999999997</v>
      </c>
      <c r="L9" s="560">
        <v>471.13567999999998</v>
      </c>
      <c r="M9" s="560">
        <v>598.40800000000002</v>
      </c>
      <c r="N9" s="560">
        <v>707.51949999999999</v>
      </c>
    </row>
    <row r="10" spans="1:14" s="524" customFormat="1" ht="15">
      <c r="A10" s="559" t="s">
        <v>414</v>
      </c>
      <c r="B10" s="560">
        <v>42.5</v>
      </c>
      <c r="C10" s="560">
        <v>12.6</v>
      </c>
      <c r="D10" s="560">
        <v>4.2685310000000003</v>
      </c>
      <c r="E10" s="560">
        <v>4.1224829999999999</v>
      </c>
      <c r="F10" s="560">
        <v>65.438177999999994</v>
      </c>
      <c r="G10" s="560">
        <v>41.59984</v>
      </c>
      <c r="H10" s="560">
        <v>9.1164190000000005</v>
      </c>
      <c r="I10" s="538" t="s">
        <v>457</v>
      </c>
      <c r="J10" s="538" t="s">
        <v>457</v>
      </c>
      <c r="K10" s="560">
        <v>3.2659199999999999</v>
      </c>
      <c r="L10" s="560">
        <v>23.264099999999999</v>
      </c>
      <c r="M10" s="560">
        <v>68.561999999999998</v>
      </c>
      <c r="N10" s="560">
        <v>76.726799999999997</v>
      </c>
    </row>
    <row r="11" spans="1:14" s="524" customFormat="1" ht="15">
      <c r="A11" s="559" t="s">
        <v>419</v>
      </c>
      <c r="B11" s="538" t="s">
        <v>457</v>
      </c>
      <c r="C11" s="538" t="s">
        <v>457</v>
      </c>
      <c r="D11" s="560">
        <v>21.977933</v>
      </c>
      <c r="E11" s="560">
        <v>73.282560000000004</v>
      </c>
      <c r="F11" s="560">
        <v>249.074994</v>
      </c>
      <c r="G11" s="560">
        <v>32.668301999999997</v>
      </c>
      <c r="H11" s="560">
        <v>7.1360210000000004</v>
      </c>
      <c r="I11" s="538" t="s">
        <v>457</v>
      </c>
      <c r="J11" s="538" t="s">
        <v>457</v>
      </c>
      <c r="K11" s="560" t="s">
        <v>457</v>
      </c>
      <c r="L11" s="560" t="s">
        <v>457</v>
      </c>
      <c r="M11" s="560" t="s">
        <v>457</v>
      </c>
      <c r="N11" s="560" t="s">
        <v>457</v>
      </c>
    </row>
    <row r="12" spans="1:14" s="524" customFormat="1" ht="15">
      <c r="A12" s="559" t="s">
        <v>487</v>
      </c>
      <c r="B12" s="538" t="s">
        <v>457</v>
      </c>
      <c r="C12" s="538" t="s">
        <v>457</v>
      </c>
      <c r="D12" s="538" t="s">
        <v>457</v>
      </c>
      <c r="E12" s="538" t="s">
        <v>457</v>
      </c>
      <c r="F12" s="560">
        <v>13.876379999999999</v>
      </c>
      <c r="G12" s="560">
        <v>16.510059999999999</v>
      </c>
      <c r="H12" s="560">
        <v>87.622929999999997</v>
      </c>
      <c r="I12" s="560">
        <v>21.216504</v>
      </c>
      <c r="J12" s="560">
        <v>9.7509049999999995</v>
      </c>
      <c r="K12" s="560">
        <v>18.140284000000001</v>
      </c>
      <c r="L12" s="560">
        <v>18.51192</v>
      </c>
      <c r="M12" s="560">
        <v>37.02384</v>
      </c>
      <c r="N12" s="560">
        <v>32.395859999999999</v>
      </c>
    </row>
    <row r="13" spans="1:14" s="524" customFormat="1" ht="15">
      <c r="A13" s="559" t="s">
        <v>612</v>
      </c>
      <c r="B13" s="538"/>
      <c r="C13" s="538"/>
      <c r="D13" s="538"/>
      <c r="E13" s="538"/>
      <c r="F13" s="560"/>
      <c r="G13" s="560"/>
      <c r="H13" s="560"/>
      <c r="I13" s="560"/>
      <c r="J13" s="560" t="s">
        <v>457</v>
      </c>
      <c r="K13" s="560" t="s">
        <v>457</v>
      </c>
      <c r="L13" s="560">
        <v>300</v>
      </c>
      <c r="M13" s="560">
        <v>350</v>
      </c>
      <c r="N13" s="560">
        <v>339.35</v>
      </c>
    </row>
    <row r="14" spans="1:14" s="524" customFormat="1" ht="15">
      <c r="A14" s="559" t="s">
        <v>488</v>
      </c>
      <c r="B14" s="538" t="s">
        <v>457</v>
      </c>
      <c r="C14" s="538" t="s">
        <v>457</v>
      </c>
      <c r="D14" s="538" t="s">
        <v>457</v>
      </c>
      <c r="E14" s="560">
        <v>413.658342</v>
      </c>
      <c r="F14" s="538" t="s">
        <v>457</v>
      </c>
      <c r="G14" s="538" t="s">
        <v>457</v>
      </c>
      <c r="H14" s="538" t="s">
        <v>457</v>
      </c>
      <c r="I14" s="538" t="s">
        <v>457</v>
      </c>
      <c r="J14" s="538" t="s">
        <v>457</v>
      </c>
      <c r="K14" s="538" t="s">
        <v>457</v>
      </c>
      <c r="L14" s="538" t="s">
        <v>457</v>
      </c>
      <c r="M14" s="538" t="s">
        <v>457</v>
      </c>
      <c r="N14" s="538" t="s">
        <v>457</v>
      </c>
    </row>
    <row r="15" spans="1:14" s="524" customFormat="1">
      <c r="A15" s="557" t="s">
        <v>489</v>
      </c>
      <c r="B15" s="558">
        <f t="shared" ref="B15:I15" si="4">SUM(B16:B34)</f>
        <v>685.69999999999993</v>
      </c>
      <c r="C15" s="558">
        <f t="shared" si="4"/>
        <v>792.29044499999998</v>
      </c>
      <c r="D15" s="558">
        <f t="shared" si="4"/>
        <v>727.035481</v>
      </c>
      <c r="E15" s="558">
        <f t="shared" si="4"/>
        <v>247.64509500000003</v>
      </c>
      <c r="F15" s="558">
        <f t="shared" si="4"/>
        <v>932.14931899999999</v>
      </c>
      <c r="G15" s="558">
        <f t="shared" si="4"/>
        <v>1125.685199</v>
      </c>
      <c r="H15" s="558">
        <f t="shared" si="4"/>
        <v>888.19884530000013</v>
      </c>
      <c r="I15" s="558">
        <f t="shared" si="4"/>
        <v>1128.0699219999999</v>
      </c>
      <c r="J15" s="558">
        <f>SUM(J16:J35)</f>
        <v>153.19324399999999</v>
      </c>
      <c r="K15" s="558">
        <f t="shared" ref="K15:M15" si="5">SUM(K16:K35)</f>
        <v>513.82344699999999</v>
      </c>
      <c r="L15" s="558">
        <f t="shared" si="5"/>
        <v>1966.3329080000001</v>
      </c>
      <c r="M15" s="558">
        <f t="shared" si="5"/>
        <v>2235.8250720000005</v>
      </c>
      <c r="N15" s="558">
        <f t="shared" ref="N15" si="6">SUM(N16:N35)</f>
        <v>2156.279763</v>
      </c>
    </row>
    <row r="16" spans="1:14" s="524" customFormat="1">
      <c r="A16" s="562" t="s">
        <v>490</v>
      </c>
      <c r="B16" s="560">
        <v>3.2</v>
      </c>
      <c r="C16" s="560">
        <v>9.0444999999999998E-2</v>
      </c>
      <c r="D16" s="560">
        <v>7.4265999999999999E-2</v>
      </c>
      <c r="E16" s="560">
        <v>0</v>
      </c>
      <c r="F16" s="560">
        <v>0</v>
      </c>
      <c r="G16" s="560">
        <v>10.230764000000001</v>
      </c>
      <c r="H16" s="560">
        <v>14.050041999999999</v>
      </c>
      <c r="I16" s="560">
        <v>14.039686</v>
      </c>
      <c r="J16" s="560">
        <v>15.610315</v>
      </c>
      <c r="K16" s="560">
        <v>25.617621999999997</v>
      </c>
      <c r="L16" s="560">
        <v>180.66976599999998</v>
      </c>
      <c r="M16" s="560">
        <v>228.12406900000002</v>
      </c>
      <c r="N16" s="560">
        <v>275.710149</v>
      </c>
    </row>
    <row r="17" spans="1:18" s="524" customFormat="1" ht="15">
      <c r="A17" s="562" t="s">
        <v>491</v>
      </c>
      <c r="B17" s="560">
        <v>43.699999999999996</v>
      </c>
      <c r="C17" s="560">
        <v>66.400000000000006</v>
      </c>
      <c r="D17" s="560">
        <v>53.807986999999997</v>
      </c>
      <c r="E17" s="560">
        <v>73.612109000000004</v>
      </c>
      <c r="F17" s="560">
        <v>56.078963999999999</v>
      </c>
      <c r="G17" s="560">
        <v>114.40424899999999</v>
      </c>
      <c r="H17" s="560">
        <v>86.079061999999993</v>
      </c>
      <c r="I17" s="560">
        <v>59.978203000000001</v>
      </c>
      <c r="J17" s="560" t="s">
        <v>457</v>
      </c>
      <c r="K17" s="560" t="s">
        <v>457</v>
      </c>
      <c r="L17" s="538" t="s">
        <v>457</v>
      </c>
      <c r="M17" s="538" t="s">
        <v>457</v>
      </c>
      <c r="N17" s="538" t="s">
        <v>457</v>
      </c>
    </row>
    <row r="18" spans="1:18" s="524" customFormat="1" ht="14.25" customHeight="1">
      <c r="A18" s="562" t="s">
        <v>492</v>
      </c>
      <c r="B18" s="560">
        <v>64.900000000000006</v>
      </c>
      <c r="C18" s="560">
        <v>65.099999999999994</v>
      </c>
      <c r="D18" s="560">
        <v>34.857382000000001</v>
      </c>
      <c r="E18" s="560">
        <v>81.389618999999996</v>
      </c>
      <c r="F18" s="560">
        <v>125.39468100000001</v>
      </c>
      <c r="G18" s="560">
        <v>110.975019</v>
      </c>
      <c r="H18" s="560">
        <v>43.581213299999995</v>
      </c>
      <c r="I18" s="560">
        <v>37.78454</v>
      </c>
      <c r="J18" s="560">
        <v>11.569822</v>
      </c>
      <c r="K18" s="560">
        <v>15.513646</v>
      </c>
      <c r="L18" s="560">
        <v>18.331233999999998</v>
      </c>
      <c r="M18" s="538">
        <v>44.8431</v>
      </c>
      <c r="N18" s="538">
        <v>54.8431</v>
      </c>
    </row>
    <row r="19" spans="1:18" s="524" customFormat="1" ht="14.25" customHeight="1">
      <c r="A19" s="562" t="s">
        <v>493</v>
      </c>
      <c r="B19" s="560">
        <v>146.1</v>
      </c>
      <c r="C19" s="560">
        <v>30.8</v>
      </c>
      <c r="D19" s="560">
        <v>68.596787000000006</v>
      </c>
      <c r="E19" s="560">
        <v>60.392845000000001</v>
      </c>
      <c r="F19" s="560">
        <v>27.212074000000001</v>
      </c>
      <c r="G19" s="560">
        <v>86.673029999999997</v>
      </c>
      <c r="H19" s="560">
        <v>82.244337999999999</v>
      </c>
      <c r="I19" s="560">
        <v>30.346392999999999</v>
      </c>
      <c r="J19" s="560">
        <v>11.611944999999999</v>
      </c>
      <c r="K19" s="560">
        <v>8.2537099999999999</v>
      </c>
      <c r="L19" s="560">
        <v>171.56644200000002</v>
      </c>
      <c r="M19" s="560">
        <v>272.89846199999999</v>
      </c>
      <c r="N19" s="560">
        <v>404.93335100000002</v>
      </c>
    </row>
    <row r="20" spans="1:18" s="524" customFormat="1" ht="14.25" customHeight="1">
      <c r="A20" s="562" t="s">
        <v>494</v>
      </c>
      <c r="B20" s="560">
        <v>5.0999999999999996</v>
      </c>
      <c r="C20" s="560">
        <v>5.0999999999999996</v>
      </c>
      <c r="D20" s="560">
        <v>0</v>
      </c>
      <c r="E20" s="560">
        <v>0.97870100000000004</v>
      </c>
      <c r="F20" s="560">
        <v>16.572282000000001</v>
      </c>
      <c r="G20" s="560">
        <v>26.341757999999999</v>
      </c>
      <c r="H20" s="560">
        <v>18.887602999999999</v>
      </c>
      <c r="I20" s="560">
        <v>2.7029269999999999</v>
      </c>
      <c r="J20" s="560">
        <v>5.7226840000000001</v>
      </c>
      <c r="K20" s="560">
        <v>14.547447</v>
      </c>
      <c r="L20" s="538">
        <v>9.0279659999999993</v>
      </c>
      <c r="M20" s="538" t="s">
        <v>457</v>
      </c>
      <c r="N20" s="538" t="s">
        <v>457</v>
      </c>
      <c r="O20" s="523"/>
      <c r="P20" s="523"/>
      <c r="Q20" s="523"/>
      <c r="R20" s="523"/>
    </row>
    <row r="21" spans="1:18" s="524" customFormat="1" ht="14.25" customHeight="1">
      <c r="A21" s="562" t="s">
        <v>495</v>
      </c>
      <c r="B21" s="560">
        <v>4.5999999999999996</v>
      </c>
      <c r="C21" s="560">
        <v>117.8</v>
      </c>
      <c r="D21" s="560">
        <v>35.050213999999997</v>
      </c>
      <c r="E21" s="560">
        <v>30.742463999999998</v>
      </c>
      <c r="F21" s="560">
        <v>46.187443999999999</v>
      </c>
      <c r="G21" s="538" t="s">
        <v>457</v>
      </c>
      <c r="H21" s="538" t="s">
        <v>457</v>
      </c>
      <c r="I21" s="538" t="s">
        <v>457</v>
      </c>
      <c r="J21" s="538"/>
      <c r="K21" s="538"/>
      <c r="L21" s="538"/>
      <c r="M21" s="538"/>
      <c r="N21" s="538"/>
      <c r="O21" s="523"/>
      <c r="P21" s="523"/>
      <c r="Q21" s="523"/>
      <c r="R21" s="523"/>
    </row>
    <row r="22" spans="1:18" s="524" customFormat="1" ht="14.25" customHeight="1">
      <c r="A22" s="562" t="s">
        <v>496</v>
      </c>
      <c r="B22" s="538" t="s">
        <v>457</v>
      </c>
      <c r="C22" s="560">
        <v>35.9</v>
      </c>
      <c r="D22" s="560">
        <v>129.32033300000001</v>
      </c>
      <c r="E22" s="538" t="s">
        <v>457</v>
      </c>
      <c r="F22" s="560">
        <v>386.53935100000001</v>
      </c>
      <c r="G22" s="560">
        <v>233.78553700000001</v>
      </c>
      <c r="H22" s="538" t="s">
        <v>457</v>
      </c>
      <c r="I22" s="538" t="s">
        <v>457</v>
      </c>
      <c r="J22" s="538" t="s">
        <v>457</v>
      </c>
      <c r="K22" s="538" t="s">
        <v>457</v>
      </c>
      <c r="L22" s="538" t="s">
        <v>457</v>
      </c>
      <c r="M22" s="538" t="s">
        <v>457</v>
      </c>
      <c r="N22" s="538" t="s">
        <v>457</v>
      </c>
      <c r="O22" s="523"/>
      <c r="P22" s="523"/>
      <c r="Q22" s="523"/>
      <c r="R22" s="523"/>
    </row>
    <row r="23" spans="1:18" s="524" customFormat="1" ht="14.25" customHeight="1">
      <c r="A23" s="562" t="s">
        <v>497</v>
      </c>
      <c r="B23" s="538" t="s">
        <v>457</v>
      </c>
      <c r="C23" s="538" t="s">
        <v>457</v>
      </c>
      <c r="D23" s="538" t="s">
        <v>457</v>
      </c>
      <c r="E23" s="538" t="s">
        <v>457</v>
      </c>
      <c r="F23" s="561">
        <v>270.71978799999999</v>
      </c>
      <c r="G23" s="561">
        <v>265.65673500000003</v>
      </c>
      <c r="H23" s="561">
        <v>471.93762600000002</v>
      </c>
      <c r="I23" s="561">
        <v>816.53743199999997</v>
      </c>
      <c r="J23" s="561">
        <v>0</v>
      </c>
      <c r="K23" s="561">
        <v>229.14829</v>
      </c>
      <c r="L23" s="561">
        <v>1350</v>
      </c>
      <c r="M23" s="561">
        <v>1400.1662780000001</v>
      </c>
      <c r="N23" s="561">
        <v>1130</v>
      </c>
      <c r="O23" s="523"/>
      <c r="P23" s="523"/>
      <c r="Q23" s="523"/>
      <c r="R23" s="523"/>
    </row>
    <row r="24" spans="1:18" ht="14.25" customHeight="1">
      <c r="A24" s="562" t="s">
        <v>498</v>
      </c>
      <c r="B24" s="538" t="s">
        <v>457</v>
      </c>
      <c r="C24" s="538" t="s">
        <v>457</v>
      </c>
      <c r="D24" s="538" t="s">
        <v>457</v>
      </c>
      <c r="E24" s="538" t="s">
        <v>457</v>
      </c>
      <c r="F24" s="538" t="s">
        <v>457</v>
      </c>
      <c r="G24" s="538" t="s">
        <v>457</v>
      </c>
      <c r="H24" s="561">
        <v>102.86886</v>
      </c>
      <c r="I24" s="561">
        <v>0</v>
      </c>
      <c r="J24" s="561">
        <v>18.706969000000001</v>
      </c>
      <c r="K24" s="561">
        <v>118.654607</v>
      </c>
      <c r="L24" s="561">
        <v>60</v>
      </c>
      <c r="M24" s="561">
        <v>98.793163000000007</v>
      </c>
      <c r="N24" s="561">
        <v>98.793163000000007</v>
      </c>
    </row>
    <row r="25" spans="1:18" ht="14.25" customHeight="1">
      <c r="A25" s="562" t="s">
        <v>499</v>
      </c>
      <c r="B25" s="538" t="s">
        <v>457</v>
      </c>
      <c r="C25" s="538" t="s">
        <v>457</v>
      </c>
      <c r="D25" s="538" t="s">
        <v>457</v>
      </c>
      <c r="E25" s="538" t="s">
        <v>457</v>
      </c>
      <c r="F25" s="538" t="s">
        <v>457</v>
      </c>
      <c r="G25" s="538" t="s">
        <v>457</v>
      </c>
      <c r="H25" s="538" t="s">
        <v>457</v>
      </c>
      <c r="I25" s="538" t="s">
        <v>457</v>
      </c>
      <c r="J25" s="538" t="s">
        <v>457</v>
      </c>
      <c r="K25" s="538" t="s">
        <v>457</v>
      </c>
      <c r="L25" s="538" t="s">
        <v>457</v>
      </c>
      <c r="M25" s="538" t="s">
        <v>457</v>
      </c>
      <c r="N25" s="538" t="s">
        <v>457</v>
      </c>
    </row>
    <row r="26" spans="1:18" ht="14.25" customHeight="1">
      <c r="A26" s="562" t="s">
        <v>572</v>
      </c>
      <c r="B26" s="538"/>
      <c r="C26" s="538"/>
      <c r="D26" s="538"/>
      <c r="E26" s="538"/>
      <c r="F26" s="538"/>
      <c r="G26" s="538"/>
      <c r="H26" s="538"/>
      <c r="I26" s="538"/>
      <c r="J26" s="538" t="s">
        <v>457</v>
      </c>
      <c r="K26" s="538" t="s">
        <v>457</v>
      </c>
      <c r="L26" s="538">
        <v>90</v>
      </c>
      <c r="M26" s="538">
        <v>91</v>
      </c>
      <c r="N26" s="538">
        <v>92</v>
      </c>
    </row>
    <row r="27" spans="1:18" ht="14.25" customHeight="1">
      <c r="A27" s="562" t="s">
        <v>500</v>
      </c>
      <c r="B27" s="560">
        <v>32</v>
      </c>
      <c r="C27" s="538" t="s">
        <v>457</v>
      </c>
      <c r="D27" s="538" t="s">
        <v>457</v>
      </c>
      <c r="E27" s="561">
        <v>0.52935699999999997</v>
      </c>
      <c r="F27" s="561">
        <v>3.4447350000000001</v>
      </c>
      <c r="G27" s="561">
        <v>0.482072</v>
      </c>
      <c r="H27" s="561">
        <v>49.063294999999997</v>
      </c>
      <c r="I27" s="561">
        <v>66.525672</v>
      </c>
      <c r="J27" s="561">
        <v>52.931077999999999</v>
      </c>
      <c r="K27" s="561">
        <v>102.08812500000001</v>
      </c>
      <c r="L27" s="538" t="s">
        <v>457</v>
      </c>
      <c r="M27" s="538" t="s">
        <v>457</v>
      </c>
      <c r="N27" s="538" t="s">
        <v>457</v>
      </c>
    </row>
    <row r="28" spans="1:18" ht="14.25" customHeight="1">
      <c r="A28" s="563" t="s">
        <v>501</v>
      </c>
      <c r="B28" s="538" t="s">
        <v>457</v>
      </c>
      <c r="C28" s="538" t="s">
        <v>457</v>
      </c>
      <c r="D28" s="538" t="s">
        <v>457</v>
      </c>
      <c r="E28" s="538" t="s">
        <v>457</v>
      </c>
      <c r="F28" s="538" t="s">
        <v>457</v>
      </c>
      <c r="G28" s="560">
        <v>277.13603499999999</v>
      </c>
      <c r="H28" s="560">
        <v>19.486806000000001</v>
      </c>
      <c r="I28" s="560">
        <v>100.155069</v>
      </c>
      <c r="J28" s="560">
        <v>37.040430999999998</v>
      </c>
      <c r="K28" s="560" t="s">
        <v>457</v>
      </c>
      <c r="L28" s="538" t="s">
        <v>457</v>
      </c>
      <c r="M28" s="538" t="s">
        <v>457</v>
      </c>
      <c r="N28" s="538" t="s">
        <v>457</v>
      </c>
    </row>
    <row r="29" spans="1:18" ht="14.25" customHeight="1">
      <c r="A29" s="563" t="s">
        <v>614</v>
      </c>
      <c r="B29" s="538"/>
      <c r="C29" s="538"/>
      <c r="D29" s="538"/>
      <c r="E29" s="538"/>
      <c r="F29" s="538"/>
      <c r="G29" s="560"/>
      <c r="H29" s="560"/>
      <c r="I29" s="560"/>
      <c r="J29" s="560" t="s">
        <v>457</v>
      </c>
      <c r="K29" s="560" t="s">
        <v>457</v>
      </c>
      <c r="L29" s="538">
        <v>86.737499999999997</v>
      </c>
      <c r="M29" s="538">
        <v>100</v>
      </c>
      <c r="N29" s="538">
        <v>100</v>
      </c>
    </row>
    <row r="30" spans="1:18" ht="14.25" customHeight="1">
      <c r="A30" s="563" t="s">
        <v>502</v>
      </c>
      <c r="B30" s="538" t="s">
        <v>457</v>
      </c>
      <c r="C30" s="538" t="s">
        <v>457</v>
      </c>
      <c r="D30" s="560">
        <v>80.306944000000001</v>
      </c>
      <c r="E30" s="538" t="s">
        <v>457</v>
      </c>
      <c r="F30" s="538" t="s">
        <v>457</v>
      </c>
      <c r="G30" s="538" t="s">
        <v>457</v>
      </c>
      <c r="H30" s="538" t="s">
        <v>457</v>
      </c>
      <c r="I30" s="538" t="s">
        <v>457</v>
      </c>
      <c r="J30" s="538" t="s">
        <v>457</v>
      </c>
      <c r="K30" s="538" t="s">
        <v>457</v>
      </c>
      <c r="L30" s="538" t="s">
        <v>457</v>
      </c>
      <c r="M30" s="538" t="s">
        <v>457</v>
      </c>
      <c r="N30" s="538" t="s">
        <v>457</v>
      </c>
    </row>
    <row r="31" spans="1:18" ht="14.25" customHeight="1">
      <c r="A31" s="563" t="s">
        <v>503</v>
      </c>
      <c r="B31" s="547">
        <v>106.2</v>
      </c>
      <c r="C31" s="547">
        <v>24.4</v>
      </c>
      <c r="D31" s="538" t="s">
        <v>457</v>
      </c>
      <c r="E31" s="538" t="s">
        <v>457</v>
      </c>
      <c r="F31" s="538" t="s">
        <v>457</v>
      </c>
      <c r="G31" s="538" t="s">
        <v>457</v>
      </c>
      <c r="H31" s="538" t="s">
        <v>457</v>
      </c>
      <c r="I31" s="538" t="s">
        <v>457</v>
      </c>
      <c r="J31" s="538" t="s">
        <v>457</v>
      </c>
      <c r="K31" s="538" t="s">
        <v>457</v>
      </c>
      <c r="L31" s="538" t="s">
        <v>457</v>
      </c>
      <c r="M31" s="538" t="s">
        <v>457</v>
      </c>
      <c r="N31" s="538" t="s">
        <v>457</v>
      </c>
    </row>
    <row r="32" spans="1:18" ht="14.25" customHeight="1">
      <c r="A32" s="563" t="s">
        <v>504</v>
      </c>
      <c r="B32" s="547">
        <v>256</v>
      </c>
      <c r="C32" s="547">
        <v>320</v>
      </c>
      <c r="D32" s="547">
        <v>325.021568</v>
      </c>
      <c r="E32" s="538" t="s">
        <v>457</v>
      </c>
      <c r="F32" s="538" t="s">
        <v>457</v>
      </c>
      <c r="G32" s="538" t="s">
        <v>457</v>
      </c>
      <c r="H32" s="538" t="s">
        <v>457</v>
      </c>
      <c r="I32" s="538" t="s">
        <v>457</v>
      </c>
      <c r="J32" s="538" t="s">
        <v>457</v>
      </c>
      <c r="K32" s="538" t="s">
        <v>457</v>
      </c>
      <c r="L32" s="538" t="s">
        <v>457</v>
      </c>
      <c r="M32" s="538" t="s">
        <v>457</v>
      </c>
      <c r="N32" s="538" t="s">
        <v>457</v>
      </c>
    </row>
    <row r="33" spans="1:14" ht="14.25" customHeight="1">
      <c r="A33" s="563" t="s">
        <v>505</v>
      </c>
      <c r="B33" s="547">
        <v>15.4</v>
      </c>
      <c r="C33" s="547">
        <v>28</v>
      </c>
      <c r="D33" s="547">
        <v>0</v>
      </c>
      <c r="E33" s="538" t="s">
        <v>457</v>
      </c>
      <c r="F33" s="538" t="s">
        <v>457</v>
      </c>
      <c r="G33" s="538" t="s">
        <v>457</v>
      </c>
      <c r="H33" s="538" t="s">
        <v>457</v>
      </c>
      <c r="I33" s="538" t="s">
        <v>457</v>
      </c>
      <c r="J33" s="538" t="s">
        <v>457</v>
      </c>
      <c r="K33" s="538" t="s">
        <v>457</v>
      </c>
      <c r="L33" s="538" t="s">
        <v>457</v>
      </c>
      <c r="M33" s="538" t="s">
        <v>457</v>
      </c>
      <c r="N33" s="538" t="s">
        <v>457</v>
      </c>
    </row>
    <row r="34" spans="1:14" ht="14.25" customHeight="1">
      <c r="A34" s="563" t="s">
        <v>506</v>
      </c>
      <c r="B34" s="547">
        <v>8.5</v>
      </c>
      <c r="C34" s="547">
        <v>98.7</v>
      </c>
      <c r="D34" s="538" t="s">
        <v>457</v>
      </c>
      <c r="E34" s="538" t="s">
        <v>457</v>
      </c>
      <c r="F34" s="538" t="s">
        <v>457</v>
      </c>
      <c r="G34" s="538" t="s">
        <v>457</v>
      </c>
      <c r="H34" s="538" t="s">
        <v>457</v>
      </c>
      <c r="I34" s="538" t="s">
        <v>457</v>
      </c>
      <c r="J34" s="538" t="s">
        <v>457</v>
      </c>
      <c r="K34" s="538" t="s">
        <v>457</v>
      </c>
      <c r="L34" s="538" t="s">
        <v>457</v>
      </c>
      <c r="M34" s="538" t="s">
        <v>457</v>
      </c>
      <c r="N34" s="538" t="s">
        <v>457</v>
      </c>
    </row>
    <row r="35" spans="1:14" ht="14.25" customHeight="1">
      <c r="A35" s="564" t="s">
        <v>507</v>
      </c>
      <c r="B35" s="565" t="s">
        <v>457</v>
      </c>
      <c r="C35" s="565" t="s">
        <v>457</v>
      </c>
      <c r="D35" s="565" t="s">
        <v>457</v>
      </c>
      <c r="E35" s="565" t="s">
        <v>457</v>
      </c>
      <c r="F35" s="565" t="s">
        <v>457</v>
      </c>
      <c r="G35" s="565" t="s">
        <v>457</v>
      </c>
      <c r="H35" s="565" t="s">
        <v>457</v>
      </c>
      <c r="I35" s="565" t="s">
        <v>457</v>
      </c>
      <c r="J35" s="565" t="s">
        <v>457</v>
      </c>
      <c r="K35" s="565" t="s">
        <v>457</v>
      </c>
      <c r="L35" s="565" t="s">
        <v>457</v>
      </c>
      <c r="M35" s="565" t="s">
        <v>457</v>
      </c>
      <c r="N35" s="565" t="s">
        <v>457</v>
      </c>
    </row>
    <row r="36" spans="1:14">
      <c r="A36" s="566" t="s">
        <v>483</v>
      </c>
      <c r="B36" s="567"/>
      <c r="C36" s="568"/>
      <c r="D36" s="568"/>
      <c r="E36" s="568"/>
      <c r="F36" s="530"/>
      <c r="G36" s="568"/>
      <c r="H36" s="568"/>
      <c r="I36" s="568"/>
      <c r="J36" s="568"/>
      <c r="K36" s="568"/>
      <c r="L36" s="568"/>
    </row>
    <row r="37" spans="1:14">
      <c r="A37" s="569"/>
      <c r="B37" s="570"/>
    </row>
    <row r="38" spans="1:14">
      <c r="A38" s="569"/>
      <c r="B38" s="570"/>
    </row>
    <row r="39" spans="1:14" ht="18.75">
      <c r="A39" s="569"/>
      <c r="B39" s="571"/>
      <c r="C39" s="572"/>
      <c r="D39" s="572"/>
      <c r="E39" s="572"/>
      <c r="F39" s="573"/>
      <c r="G39" s="572"/>
      <c r="H39" s="572"/>
      <c r="I39" s="572"/>
      <c r="J39" s="572"/>
      <c r="K39" s="572"/>
      <c r="L39" s="572"/>
    </row>
    <row r="40" spans="1:14">
      <c r="A40" s="569"/>
    </row>
    <row r="41" spans="1:14">
      <c r="A41" s="569"/>
    </row>
    <row r="42" spans="1:14">
      <c r="A42" s="569"/>
    </row>
    <row r="43" spans="1:14">
      <c r="A43" s="569"/>
    </row>
    <row r="45" spans="1:14">
      <c r="A45" s="569"/>
    </row>
    <row r="46" spans="1:14">
      <c r="A46" s="569"/>
    </row>
    <row r="47" spans="1:14">
      <c r="A47" s="569"/>
    </row>
    <row r="48" spans="1:14">
      <c r="A48" s="569"/>
    </row>
    <row r="50" spans="1:1">
      <c r="A50" s="569"/>
    </row>
    <row r="51" spans="1:1">
      <c r="A51" s="569"/>
    </row>
    <row r="52" spans="1:1">
      <c r="A52" s="569"/>
    </row>
    <row r="53" spans="1:1">
      <c r="A53" s="569"/>
    </row>
    <row r="54" spans="1:1">
      <c r="A54" s="569"/>
    </row>
    <row r="55" spans="1:1">
      <c r="A55" s="569"/>
    </row>
    <row r="56" spans="1:1">
      <c r="A56" s="569"/>
    </row>
    <row r="57" spans="1:1">
      <c r="A57" s="569"/>
    </row>
    <row r="58" spans="1:1">
      <c r="A58" s="569"/>
    </row>
    <row r="59" spans="1:1">
      <c r="A59" s="569"/>
    </row>
    <row r="63" spans="1:1">
      <c r="A63" s="569"/>
    </row>
    <row r="65" spans="1:1">
      <c r="A65" s="569"/>
    </row>
    <row r="66" spans="1:1">
      <c r="A66" s="569"/>
    </row>
    <row r="67" spans="1:1">
      <c r="A67" s="569"/>
    </row>
    <row r="69" spans="1:1">
      <c r="A69" s="569"/>
    </row>
  </sheetData>
  <mergeCells count="3">
    <mergeCell ref="A4:A5"/>
    <mergeCell ref="A2:N2"/>
    <mergeCell ref="A1:N1"/>
  </mergeCells>
  <pageMargins left="0.32" right="0.7" top="0.5699999999999999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zoomScaleNormal="100" workbookViewId="0">
      <pane ySplit="5" topLeftCell="A54" activePane="bottomLeft" state="frozen"/>
      <selection pane="bottomLeft" sqref="A1:XFD1048576"/>
    </sheetView>
  </sheetViews>
  <sheetFormatPr defaultColWidth="8.42578125" defaultRowHeight="15"/>
  <cols>
    <col min="1" max="1" width="11" style="574" customWidth="1"/>
    <col min="2" max="2" width="16.7109375" style="574" customWidth="1"/>
    <col min="3" max="3" width="9.42578125" style="574" customWidth="1"/>
    <col min="4" max="4" width="11" style="574" customWidth="1"/>
    <col min="5" max="6" width="9.42578125" style="574" customWidth="1"/>
    <col min="7" max="7" width="9" style="574" customWidth="1"/>
    <col min="8" max="9" width="9.28515625" style="574" customWidth="1"/>
    <col min="10" max="10" width="6.85546875" style="574" customWidth="1"/>
    <col min="11" max="11" width="9.28515625" style="574" bestFit="1" customWidth="1"/>
    <col min="12" max="12" width="10.7109375" style="574" bestFit="1" customWidth="1"/>
    <col min="13" max="13" width="11" style="574" bestFit="1" customWidth="1"/>
    <col min="14" max="14" width="9.42578125" style="574" bestFit="1" customWidth="1"/>
    <col min="15" max="16384" width="8.42578125" style="574"/>
  </cols>
  <sheetData>
    <row r="1" spans="1:19" ht="21">
      <c r="A1" s="774" t="s">
        <v>587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</row>
    <row r="2" spans="1:19">
      <c r="A2" s="769" t="s">
        <v>586</v>
      </c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</row>
    <row r="3" spans="1:19">
      <c r="A3" s="773" t="s">
        <v>301</v>
      </c>
      <c r="B3" s="773"/>
      <c r="C3" s="773"/>
      <c r="D3" s="773"/>
      <c r="E3" s="773"/>
      <c r="F3" s="773"/>
      <c r="G3" s="773"/>
      <c r="H3" s="773"/>
      <c r="I3" s="773"/>
      <c r="J3" s="773"/>
      <c r="K3" s="773"/>
      <c r="L3" s="773"/>
      <c r="M3" s="773"/>
      <c r="N3" s="773"/>
    </row>
    <row r="4" spans="1:19" s="579" customFormat="1">
      <c r="A4" s="771" t="s">
        <v>1</v>
      </c>
      <c r="B4" s="575"/>
      <c r="C4" s="576"/>
      <c r="D4" s="576"/>
      <c r="E4" s="577"/>
      <c r="F4" s="577"/>
      <c r="G4" s="577"/>
      <c r="H4" s="577"/>
      <c r="I4" s="577"/>
      <c r="J4" s="577"/>
      <c r="K4" s="577" t="s">
        <v>68</v>
      </c>
      <c r="L4" s="577" t="s">
        <v>6</v>
      </c>
      <c r="M4" s="577" t="s">
        <v>69</v>
      </c>
      <c r="N4" s="577" t="s">
        <v>69</v>
      </c>
      <c r="O4" s="577" t="s">
        <v>69</v>
      </c>
      <c r="P4" s="578"/>
    </row>
    <row r="5" spans="1:19" s="579" customFormat="1">
      <c r="A5" s="772"/>
      <c r="B5" s="580"/>
      <c r="C5" s="581">
        <v>2006</v>
      </c>
      <c r="D5" s="581">
        <v>2007</v>
      </c>
      <c r="E5" s="581">
        <v>2008</v>
      </c>
      <c r="F5" s="581">
        <v>2009</v>
      </c>
      <c r="G5" s="581">
        <v>2010</v>
      </c>
      <c r="H5" s="581">
        <v>2011</v>
      </c>
      <c r="I5" s="581">
        <v>2012</v>
      </c>
      <c r="J5" s="581">
        <v>2013</v>
      </c>
      <c r="K5" s="581">
        <v>2014</v>
      </c>
      <c r="L5" s="581">
        <v>2015</v>
      </c>
      <c r="M5" s="581">
        <v>2016</v>
      </c>
      <c r="N5" s="581">
        <v>2017</v>
      </c>
      <c r="O5" s="581">
        <v>2018</v>
      </c>
      <c r="P5" s="578"/>
    </row>
    <row r="6" spans="1:19">
      <c r="A6" s="582" t="s">
        <v>508</v>
      </c>
      <c r="B6" s="583"/>
      <c r="C6" s="583">
        <f t="shared" ref="C6:O6" si="0">C10+C39</f>
        <v>867.39999999999986</v>
      </c>
      <c r="D6" s="583">
        <f t="shared" si="0"/>
        <v>1044</v>
      </c>
      <c r="E6" s="583">
        <f t="shared" si="0"/>
        <v>399.27022199999999</v>
      </c>
      <c r="F6" s="583">
        <f t="shared" si="0"/>
        <v>416.93679480000003</v>
      </c>
      <c r="G6" s="583">
        <f t="shared" si="0"/>
        <v>106.90035900000001</v>
      </c>
      <c r="H6" s="583">
        <f t="shared" si="0"/>
        <v>732.43525699999998</v>
      </c>
      <c r="I6" s="583">
        <f t="shared" si="0"/>
        <v>366.59901528</v>
      </c>
      <c r="J6" s="583">
        <f t="shared" si="0"/>
        <v>117.585902</v>
      </c>
      <c r="K6" s="583">
        <f>K10+K39</f>
        <v>165.26972699999999</v>
      </c>
      <c r="L6" s="583">
        <f t="shared" si="0"/>
        <v>1082.1120049640001</v>
      </c>
      <c r="M6" s="583">
        <f t="shared" si="0"/>
        <v>1220.5699099999999</v>
      </c>
      <c r="N6" s="583">
        <f t="shared" si="0"/>
        <v>1234.9685950000001</v>
      </c>
      <c r="O6" s="583">
        <f t="shared" si="0"/>
        <v>967.5915</v>
      </c>
      <c r="P6" s="584"/>
    </row>
    <row r="7" spans="1:19">
      <c r="A7" s="585" t="s">
        <v>509</v>
      </c>
      <c r="B7" s="585"/>
      <c r="C7" s="586">
        <v>74.2</v>
      </c>
      <c r="D7" s="586">
        <v>108.1</v>
      </c>
      <c r="E7" s="586">
        <v>55.550635999999997</v>
      </c>
      <c r="F7" s="586">
        <v>38.580908000000001</v>
      </c>
      <c r="G7" s="586">
        <v>1.7</v>
      </c>
      <c r="H7" s="586">
        <v>321.37</v>
      </c>
      <c r="I7" s="586">
        <v>144.28058300000001</v>
      </c>
      <c r="J7" s="586">
        <v>43.25014952999998</v>
      </c>
      <c r="K7" s="586">
        <v>63.872695</v>
      </c>
      <c r="L7" s="586">
        <v>63.235455999999999</v>
      </c>
      <c r="M7" s="586">
        <v>33.626260000000002</v>
      </c>
      <c r="N7" s="586">
        <v>33.604999999999997</v>
      </c>
      <c r="O7" s="586">
        <v>33.630499999999998</v>
      </c>
      <c r="P7" s="584"/>
    </row>
    <row r="8" spans="1:19">
      <c r="A8" s="585" t="s">
        <v>510</v>
      </c>
      <c r="B8" s="585"/>
      <c r="C8" s="586">
        <v>793.2</v>
      </c>
      <c r="D8" s="586">
        <v>935.9</v>
      </c>
      <c r="E8" s="586">
        <v>461.42420499999997</v>
      </c>
      <c r="F8" s="586">
        <v>382.93491899999998</v>
      </c>
      <c r="G8" s="586">
        <v>105.2</v>
      </c>
      <c r="H8" s="586">
        <v>411.09999999999997</v>
      </c>
      <c r="I8" s="586">
        <v>222.38928999999999</v>
      </c>
      <c r="J8" s="586">
        <v>74.405078000000003</v>
      </c>
      <c r="K8" s="586">
        <v>101.40112999999999</v>
      </c>
      <c r="L8" s="586">
        <v>1019.17959</v>
      </c>
      <c r="M8" s="586">
        <v>1186.9436499999999</v>
      </c>
      <c r="N8" s="586">
        <v>1201.366595</v>
      </c>
      <c r="O8" s="586">
        <v>933.96100000000001</v>
      </c>
      <c r="P8" s="587"/>
      <c r="Q8" s="588"/>
      <c r="R8" s="588"/>
      <c r="S8" s="588"/>
    </row>
    <row r="9" spans="1:19">
      <c r="A9" s="582"/>
      <c r="B9" s="586"/>
      <c r="C9" s="586"/>
      <c r="D9" s="586"/>
      <c r="E9" s="586"/>
      <c r="F9" s="586"/>
      <c r="G9" s="586"/>
      <c r="H9" s="586"/>
      <c r="I9" s="586"/>
      <c r="J9" s="586"/>
      <c r="K9" s="586"/>
      <c r="L9" s="586"/>
      <c r="M9" s="586"/>
      <c r="N9" s="586"/>
      <c r="O9" s="586"/>
      <c r="P9" s="589"/>
      <c r="Q9" s="590"/>
      <c r="R9" s="590"/>
      <c r="S9" s="590"/>
    </row>
    <row r="10" spans="1:19" s="593" customFormat="1">
      <c r="A10" s="582" t="s">
        <v>511</v>
      </c>
      <c r="B10" s="582"/>
      <c r="C10" s="583">
        <f>SUM(C11:C37)</f>
        <v>61.400000000000006</v>
      </c>
      <c r="D10" s="583">
        <f t="shared" ref="D10:J10" si="1">SUM(D11:D37)</f>
        <v>145.69999999999999</v>
      </c>
      <c r="E10" s="583">
        <f t="shared" si="1"/>
        <v>103.44919200000001</v>
      </c>
      <c r="F10" s="583">
        <f t="shared" si="1"/>
        <v>110.16981440000001</v>
      </c>
      <c r="G10" s="583">
        <f t="shared" si="1"/>
        <v>100.10901800000001</v>
      </c>
      <c r="H10" s="583">
        <f t="shared" si="1"/>
        <v>704.76930299999992</v>
      </c>
      <c r="I10" s="583">
        <f t="shared" si="1"/>
        <v>194.41182400000002</v>
      </c>
      <c r="J10" s="583">
        <f t="shared" si="1"/>
        <v>47.533464000000002</v>
      </c>
      <c r="K10" s="583">
        <f>SUM(K11:K37)</f>
        <v>81.700487999999993</v>
      </c>
      <c r="L10" s="583">
        <f t="shared" ref="L10:O10" si="2">SUM(L11:L37)</f>
        <v>695.37744996399999</v>
      </c>
      <c r="M10" s="583">
        <f t="shared" si="2"/>
        <v>782.04675899999995</v>
      </c>
      <c r="N10" s="583">
        <f t="shared" si="2"/>
        <v>794.97592600000007</v>
      </c>
      <c r="O10" s="583">
        <f t="shared" si="2"/>
        <v>509.49450000000002</v>
      </c>
      <c r="P10" s="591"/>
      <c r="Q10" s="592"/>
      <c r="R10" s="592"/>
      <c r="S10" s="592"/>
    </row>
    <row r="11" spans="1:19">
      <c r="A11" s="585" t="s">
        <v>512</v>
      </c>
      <c r="B11" s="585"/>
      <c r="C11" s="586">
        <v>0.2</v>
      </c>
      <c r="D11" s="586">
        <v>31.2</v>
      </c>
      <c r="E11" s="586">
        <v>13.244916999999999</v>
      </c>
      <c r="F11" s="586">
        <v>0.38777200000000001</v>
      </c>
      <c r="G11" s="586" t="s">
        <v>457</v>
      </c>
      <c r="H11" s="586">
        <v>292.81524000000002</v>
      </c>
      <c r="I11" s="586">
        <v>37.245066000000001</v>
      </c>
      <c r="J11" s="586">
        <v>17.073177999999999</v>
      </c>
      <c r="K11" s="586">
        <v>24.416872999999999</v>
      </c>
      <c r="L11" s="586">
        <v>185.385909</v>
      </c>
      <c r="M11" s="586">
        <v>178.608665</v>
      </c>
      <c r="N11" s="586">
        <v>112.87439999999999</v>
      </c>
      <c r="O11" s="586" t="s">
        <v>457</v>
      </c>
      <c r="P11" s="589"/>
      <c r="Q11" s="590"/>
      <c r="R11" s="590"/>
      <c r="S11" s="590"/>
    </row>
    <row r="12" spans="1:19">
      <c r="A12" s="585" t="s">
        <v>513</v>
      </c>
      <c r="B12" s="585"/>
      <c r="C12" s="586">
        <v>0.8</v>
      </c>
      <c r="D12" s="586">
        <v>2</v>
      </c>
      <c r="E12" s="586">
        <v>21.409351000000001</v>
      </c>
      <c r="F12" s="586">
        <v>44.171931799999996</v>
      </c>
      <c r="G12" s="586">
        <v>98.695518000000007</v>
      </c>
      <c r="H12" s="586">
        <v>204.53121000000002</v>
      </c>
      <c r="I12" s="586">
        <v>0</v>
      </c>
      <c r="J12" s="586" t="s">
        <v>457</v>
      </c>
      <c r="K12" s="586">
        <v>1.518337</v>
      </c>
      <c r="L12" s="586">
        <v>321.09519596399997</v>
      </c>
      <c r="M12" s="586">
        <v>570.36816999999996</v>
      </c>
      <c r="N12" s="586">
        <v>616.4</v>
      </c>
      <c r="O12" s="586">
        <v>462.3</v>
      </c>
      <c r="P12" s="589"/>
      <c r="Q12" s="590"/>
      <c r="R12" s="590"/>
      <c r="S12" s="590"/>
    </row>
    <row r="13" spans="1:19">
      <c r="A13" s="585" t="s">
        <v>514</v>
      </c>
      <c r="B13" s="585"/>
      <c r="C13" s="586" t="s">
        <v>457</v>
      </c>
      <c r="D13" s="586" t="s">
        <v>457</v>
      </c>
      <c r="E13" s="586" t="s">
        <v>457</v>
      </c>
      <c r="F13" s="586" t="s">
        <v>457</v>
      </c>
      <c r="G13" s="586" t="s">
        <v>457</v>
      </c>
      <c r="H13" s="586" t="s">
        <v>457</v>
      </c>
      <c r="I13" s="586">
        <v>1.647303</v>
      </c>
      <c r="J13" s="586">
        <v>1.214658</v>
      </c>
      <c r="K13" s="586">
        <v>0.47871999999999998</v>
      </c>
      <c r="L13" s="586">
        <v>0.90822099999999995</v>
      </c>
      <c r="M13" s="586" t="s">
        <v>457</v>
      </c>
      <c r="N13" s="586" t="s">
        <v>457</v>
      </c>
      <c r="O13" s="586" t="s">
        <v>457</v>
      </c>
      <c r="P13" s="589"/>
      <c r="Q13" s="590"/>
      <c r="R13" s="590"/>
      <c r="S13" s="590"/>
    </row>
    <row r="14" spans="1:19">
      <c r="A14" s="585" t="s">
        <v>574</v>
      </c>
      <c r="B14" s="585"/>
      <c r="C14" s="586" t="s">
        <v>457</v>
      </c>
      <c r="D14" s="586" t="s">
        <v>457</v>
      </c>
      <c r="E14" s="586" t="s">
        <v>457</v>
      </c>
      <c r="F14" s="586" t="s">
        <v>457</v>
      </c>
      <c r="G14" s="586" t="s">
        <v>457</v>
      </c>
      <c r="H14" s="586" t="s">
        <v>457</v>
      </c>
      <c r="I14" s="586" t="s">
        <v>457</v>
      </c>
      <c r="J14" s="586">
        <v>3.1860189999999999</v>
      </c>
      <c r="K14" s="586">
        <v>3.1860189999999999</v>
      </c>
      <c r="L14" s="586" t="s">
        <v>457</v>
      </c>
      <c r="M14" s="586" t="s">
        <v>457</v>
      </c>
      <c r="N14" s="586" t="s">
        <v>457</v>
      </c>
      <c r="O14" s="586" t="s">
        <v>457</v>
      </c>
      <c r="P14" s="589"/>
      <c r="Q14" s="590"/>
      <c r="R14" s="590"/>
      <c r="S14" s="590"/>
    </row>
    <row r="15" spans="1:19">
      <c r="A15" s="585" t="s">
        <v>515</v>
      </c>
      <c r="B15" s="585"/>
      <c r="C15" s="586" t="s">
        <v>457</v>
      </c>
      <c r="D15" s="586" t="s">
        <v>457</v>
      </c>
      <c r="E15" s="586" t="s">
        <v>457</v>
      </c>
      <c r="F15" s="586" t="s">
        <v>457</v>
      </c>
      <c r="G15" s="586" t="s">
        <v>457</v>
      </c>
      <c r="H15" s="586">
        <v>113.542565</v>
      </c>
      <c r="I15" s="586" t="s">
        <v>457</v>
      </c>
      <c r="J15" s="586">
        <v>0.61314000000000002</v>
      </c>
      <c r="K15" s="586">
        <v>0.61148100000000005</v>
      </c>
      <c r="L15" s="586" t="s">
        <v>457</v>
      </c>
      <c r="M15" s="586" t="s">
        <v>457</v>
      </c>
      <c r="N15" s="586" t="s">
        <v>457</v>
      </c>
      <c r="O15" s="586" t="s">
        <v>457</v>
      </c>
      <c r="P15" s="589"/>
      <c r="Q15" s="590"/>
      <c r="R15" s="590"/>
      <c r="S15" s="590"/>
    </row>
    <row r="16" spans="1:19">
      <c r="A16" s="585" t="s">
        <v>516</v>
      </c>
      <c r="B16" s="585"/>
      <c r="C16" s="586" t="s">
        <v>457</v>
      </c>
      <c r="D16" s="586" t="s">
        <v>457</v>
      </c>
      <c r="E16" s="586" t="s">
        <v>457</v>
      </c>
      <c r="F16" s="586" t="s">
        <v>457</v>
      </c>
      <c r="G16" s="586" t="s">
        <v>457</v>
      </c>
      <c r="H16" s="586">
        <v>0</v>
      </c>
      <c r="I16" s="586" t="s">
        <v>457</v>
      </c>
      <c r="J16" s="586">
        <v>4.2063240000000004</v>
      </c>
      <c r="K16" s="586">
        <v>16.547422999999998</v>
      </c>
      <c r="L16" s="586">
        <v>43.888522000000002</v>
      </c>
      <c r="M16" s="586" t="s">
        <v>457</v>
      </c>
      <c r="N16" s="586" t="s">
        <v>457</v>
      </c>
      <c r="O16" s="586" t="s">
        <v>457</v>
      </c>
      <c r="P16" s="589"/>
      <c r="Q16" s="590"/>
      <c r="R16" s="590"/>
      <c r="S16" s="590"/>
    </row>
    <row r="17" spans="1:19">
      <c r="A17" s="585" t="s">
        <v>517</v>
      </c>
      <c r="B17" s="585"/>
      <c r="C17" s="586">
        <v>14</v>
      </c>
      <c r="D17" s="586">
        <v>8.8000000000000007</v>
      </c>
      <c r="E17" s="586">
        <v>67.310708000000005</v>
      </c>
      <c r="F17" s="586">
        <v>28.627313600000001</v>
      </c>
      <c r="G17" s="586">
        <v>1.4135</v>
      </c>
      <c r="H17" s="586">
        <v>93.491135</v>
      </c>
      <c r="I17" s="586">
        <v>40.564931000000001</v>
      </c>
      <c r="J17" s="586">
        <v>9.9695370000000008</v>
      </c>
      <c r="K17" s="586">
        <v>3.7877999999999998</v>
      </c>
      <c r="L17" s="586">
        <v>43.933092000000002</v>
      </c>
      <c r="M17" s="586" t="s">
        <v>457</v>
      </c>
      <c r="N17" s="586" t="s">
        <v>457</v>
      </c>
      <c r="O17" s="586" t="s">
        <v>457</v>
      </c>
      <c r="P17" s="589"/>
      <c r="Q17" s="590"/>
      <c r="R17" s="590"/>
      <c r="S17" s="590"/>
    </row>
    <row r="18" spans="1:19">
      <c r="A18" s="585" t="s">
        <v>518</v>
      </c>
      <c r="B18" s="585"/>
      <c r="C18" s="586">
        <v>0.1</v>
      </c>
      <c r="D18" s="586" t="s">
        <v>457</v>
      </c>
      <c r="E18" s="586" t="s">
        <v>457</v>
      </c>
      <c r="F18" s="586" t="s">
        <v>457</v>
      </c>
      <c r="G18" s="586" t="s">
        <v>457</v>
      </c>
      <c r="H18" s="586">
        <v>0</v>
      </c>
      <c r="I18" s="586">
        <v>6.4226900000000002</v>
      </c>
      <c r="J18" s="586">
        <v>1.2205839999999999</v>
      </c>
      <c r="K18" s="586">
        <v>13.778985</v>
      </c>
      <c r="L18" s="586">
        <v>3.0840000000000001</v>
      </c>
      <c r="M18" s="586">
        <v>2.9440050000000002</v>
      </c>
      <c r="N18" s="586" t="s">
        <v>457</v>
      </c>
      <c r="O18" s="586" t="s">
        <v>457</v>
      </c>
      <c r="P18" s="589"/>
      <c r="Q18" s="590"/>
      <c r="R18" s="590"/>
      <c r="S18" s="590"/>
    </row>
    <row r="19" spans="1:19">
      <c r="A19" s="585" t="s">
        <v>519</v>
      </c>
      <c r="B19" s="585"/>
      <c r="C19" s="586" t="s">
        <v>457</v>
      </c>
      <c r="D19" s="586" t="s">
        <v>457</v>
      </c>
      <c r="E19" s="586" t="s">
        <v>457</v>
      </c>
      <c r="F19" s="586" t="s">
        <v>457</v>
      </c>
      <c r="G19" s="586" t="s">
        <v>457</v>
      </c>
      <c r="H19" s="586">
        <v>0</v>
      </c>
      <c r="I19" s="586" t="s">
        <v>457</v>
      </c>
      <c r="J19" s="586" t="s">
        <v>457</v>
      </c>
      <c r="K19" s="586" t="s">
        <v>457</v>
      </c>
      <c r="L19" s="586" t="s">
        <v>457</v>
      </c>
      <c r="M19" s="586" t="s">
        <v>457</v>
      </c>
      <c r="N19" s="586" t="s">
        <v>457</v>
      </c>
      <c r="O19" s="586"/>
      <c r="P19" s="589"/>
      <c r="Q19" s="590"/>
      <c r="R19" s="590"/>
      <c r="S19" s="590"/>
    </row>
    <row r="20" spans="1:19">
      <c r="A20" s="585" t="s">
        <v>520</v>
      </c>
      <c r="B20" s="585"/>
      <c r="C20" s="586" t="s">
        <v>457</v>
      </c>
      <c r="D20" s="586" t="s">
        <v>457</v>
      </c>
      <c r="E20" s="586" t="s">
        <v>457</v>
      </c>
      <c r="F20" s="586">
        <v>31.664140800000002</v>
      </c>
      <c r="G20" s="586" t="s">
        <v>457</v>
      </c>
      <c r="H20" s="586">
        <v>0</v>
      </c>
      <c r="I20" s="586">
        <v>1.3487000000000001E-2</v>
      </c>
      <c r="J20" s="586" t="s">
        <v>457</v>
      </c>
      <c r="K20" s="586">
        <v>16.755168999999999</v>
      </c>
      <c r="L20" s="586">
        <v>59.087983000000001</v>
      </c>
      <c r="M20" s="586">
        <v>8.3265779999999996</v>
      </c>
      <c r="N20" s="586">
        <v>2.7755260000000002</v>
      </c>
      <c r="O20" s="586" t="s">
        <v>457</v>
      </c>
      <c r="P20" s="589"/>
      <c r="Q20" s="590"/>
      <c r="R20" s="590"/>
      <c r="S20" s="590"/>
    </row>
    <row r="21" spans="1:19">
      <c r="A21" s="585" t="s">
        <v>521</v>
      </c>
      <c r="B21" s="585"/>
      <c r="C21" s="586" t="s">
        <v>457</v>
      </c>
      <c r="D21" s="586" t="s">
        <v>457</v>
      </c>
      <c r="E21" s="586" t="s">
        <v>457</v>
      </c>
      <c r="F21" s="586" t="s">
        <v>457</v>
      </c>
      <c r="G21" s="586" t="s">
        <v>457</v>
      </c>
      <c r="H21" s="586">
        <v>0</v>
      </c>
      <c r="I21" s="586" t="s">
        <v>457</v>
      </c>
      <c r="J21" s="586" t="s">
        <v>457</v>
      </c>
      <c r="K21" s="586" t="s">
        <v>457</v>
      </c>
      <c r="L21" s="586" t="s">
        <v>457</v>
      </c>
      <c r="M21" s="586" t="s">
        <v>457</v>
      </c>
      <c r="N21" s="586" t="s">
        <v>457</v>
      </c>
      <c r="O21" s="586"/>
      <c r="P21" s="589"/>
      <c r="Q21" s="590"/>
      <c r="R21" s="590"/>
      <c r="S21" s="590"/>
    </row>
    <row r="22" spans="1:19">
      <c r="A22" s="585" t="s">
        <v>522</v>
      </c>
      <c r="B22" s="585"/>
      <c r="C22" s="586" t="s">
        <v>457</v>
      </c>
      <c r="D22" s="586" t="s">
        <v>457</v>
      </c>
      <c r="E22" s="586" t="s">
        <v>457</v>
      </c>
      <c r="F22" s="586" t="s">
        <v>457</v>
      </c>
      <c r="G22" s="586" t="s">
        <v>457</v>
      </c>
      <c r="H22" s="586">
        <v>0</v>
      </c>
      <c r="I22" s="586" t="s">
        <v>457</v>
      </c>
      <c r="J22" s="586" t="s">
        <v>457</v>
      </c>
      <c r="K22" s="586" t="s">
        <v>457</v>
      </c>
      <c r="L22" s="586" t="s">
        <v>457</v>
      </c>
      <c r="M22" s="586" t="s">
        <v>457</v>
      </c>
      <c r="N22" s="586" t="s">
        <v>457</v>
      </c>
      <c r="O22" s="586"/>
      <c r="P22" s="589"/>
      <c r="Q22" s="590"/>
      <c r="R22" s="590"/>
      <c r="S22" s="590"/>
    </row>
    <row r="23" spans="1:19">
      <c r="A23" s="585" t="s">
        <v>523</v>
      </c>
      <c r="B23" s="585"/>
      <c r="C23" s="586" t="s">
        <v>457</v>
      </c>
      <c r="D23" s="586" t="s">
        <v>457</v>
      </c>
      <c r="E23" s="586" t="s">
        <v>457</v>
      </c>
      <c r="F23" s="586" t="s">
        <v>457</v>
      </c>
      <c r="G23" s="586" t="s">
        <v>457</v>
      </c>
      <c r="H23" s="586">
        <v>0</v>
      </c>
      <c r="I23" s="586" t="s">
        <v>457</v>
      </c>
      <c r="J23" s="586" t="s">
        <v>457</v>
      </c>
      <c r="K23" s="586" t="s">
        <v>457</v>
      </c>
      <c r="L23" s="586" t="s">
        <v>457</v>
      </c>
      <c r="M23" s="586" t="s">
        <v>457</v>
      </c>
      <c r="N23" s="586" t="s">
        <v>457</v>
      </c>
      <c r="O23" s="586"/>
      <c r="P23" s="589"/>
      <c r="Q23" s="590"/>
      <c r="R23" s="590"/>
      <c r="S23" s="590"/>
    </row>
    <row r="24" spans="1:19">
      <c r="A24" s="585" t="s">
        <v>524</v>
      </c>
      <c r="B24" s="585"/>
      <c r="C24" s="586" t="s">
        <v>457</v>
      </c>
      <c r="D24" s="586" t="s">
        <v>457</v>
      </c>
      <c r="E24" s="586" t="s">
        <v>457</v>
      </c>
      <c r="F24" s="586">
        <v>0.106756</v>
      </c>
      <c r="G24" s="586" t="s">
        <v>457</v>
      </c>
      <c r="H24" s="586">
        <v>0</v>
      </c>
      <c r="I24" s="586" t="s">
        <v>457</v>
      </c>
      <c r="J24" s="586" t="s">
        <v>457</v>
      </c>
      <c r="K24" s="586" t="s">
        <v>457</v>
      </c>
      <c r="L24" s="586" t="s">
        <v>457</v>
      </c>
      <c r="M24" s="586" t="s">
        <v>457</v>
      </c>
      <c r="N24" s="586" t="s">
        <v>457</v>
      </c>
      <c r="O24" s="586"/>
      <c r="P24" s="589"/>
      <c r="Q24" s="590"/>
      <c r="R24" s="590"/>
      <c r="S24" s="590"/>
    </row>
    <row r="25" spans="1:19">
      <c r="A25" s="585" t="s">
        <v>525</v>
      </c>
      <c r="B25" s="585"/>
      <c r="C25" s="586">
        <v>6</v>
      </c>
      <c r="D25" s="586">
        <v>13.8</v>
      </c>
      <c r="E25" s="586" t="s">
        <v>457</v>
      </c>
      <c r="F25" s="586" t="s">
        <v>457</v>
      </c>
      <c r="G25" s="586" t="s">
        <v>457</v>
      </c>
      <c r="H25" s="586">
        <v>0</v>
      </c>
      <c r="I25" s="586">
        <v>107.94</v>
      </c>
      <c r="J25" s="586">
        <v>9.8850739999999995</v>
      </c>
      <c r="K25" s="586" t="s">
        <v>457</v>
      </c>
      <c r="L25" s="586" t="s">
        <v>457</v>
      </c>
      <c r="M25" s="586" t="s">
        <v>457</v>
      </c>
      <c r="N25" s="586" t="s">
        <v>457</v>
      </c>
      <c r="O25" s="586"/>
      <c r="P25" s="589"/>
      <c r="Q25" s="590"/>
      <c r="R25" s="590"/>
      <c r="S25" s="590"/>
    </row>
    <row r="26" spans="1:19">
      <c r="A26" s="585" t="s">
        <v>526</v>
      </c>
      <c r="B26" s="585"/>
      <c r="C26" s="586" t="s">
        <v>457</v>
      </c>
      <c r="D26" s="586" t="s">
        <v>457</v>
      </c>
      <c r="E26" s="586" t="s">
        <v>457</v>
      </c>
      <c r="F26" s="586" t="s">
        <v>457</v>
      </c>
      <c r="G26" s="586" t="s">
        <v>457</v>
      </c>
      <c r="H26" s="586">
        <v>0</v>
      </c>
      <c r="I26" s="586">
        <v>8.1359999999999991E-3</v>
      </c>
      <c r="J26" s="586" t="s">
        <v>457</v>
      </c>
      <c r="K26" s="586" t="s">
        <v>457</v>
      </c>
      <c r="L26" s="586" t="s">
        <v>457</v>
      </c>
      <c r="M26" s="586" t="s">
        <v>457</v>
      </c>
      <c r="N26" s="586" t="s">
        <v>457</v>
      </c>
      <c r="O26" s="586"/>
      <c r="P26" s="589"/>
      <c r="Q26" s="590"/>
      <c r="R26" s="590"/>
      <c r="S26" s="590"/>
    </row>
    <row r="27" spans="1:19">
      <c r="A27" s="585" t="s">
        <v>527</v>
      </c>
      <c r="B27" s="585"/>
      <c r="C27" s="594">
        <v>0.3</v>
      </c>
      <c r="D27" s="594">
        <v>0.2</v>
      </c>
      <c r="E27" s="595" t="s">
        <v>457</v>
      </c>
      <c r="F27" s="595" t="s">
        <v>457</v>
      </c>
      <c r="G27" s="595" t="s">
        <v>457</v>
      </c>
      <c r="H27" s="594">
        <v>0.28881200000000001</v>
      </c>
      <c r="I27" s="594">
        <v>0.57021100000000002</v>
      </c>
      <c r="J27" s="594">
        <v>1.1887999999999999E-2</v>
      </c>
      <c r="K27" s="586" t="s">
        <v>457</v>
      </c>
      <c r="L27" s="586" t="s">
        <v>457</v>
      </c>
      <c r="M27" s="586" t="s">
        <v>457</v>
      </c>
      <c r="N27" s="586" t="s">
        <v>457</v>
      </c>
      <c r="O27" s="586"/>
      <c r="P27" s="584"/>
    </row>
    <row r="28" spans="1:19">
      <c r="A28" s="585" t="s">
        <v>575</v>
      </c>
      <c r="B28" s="585"/>
      <c r="C28" s="586" t="s">
        <v>457</v>
      </c>
      <c r="D28" s="586" t="s">
        <v>457</v>
      </c>
      <c r="E28" s="586" t="s">
        <v>457</v>
      </c>
      <c r="F28" s="586" t="s">
        <v>457</v>
      </c>
      <c r="G28" s="586" t="s">
        <v>457</v>
      </c>
      <c r="H28" s="586" t="s">
        <v>457</v>
      </c>
      <c r="I28" s="586" t="s">
        <v>457</v>
      </c>
      <c r="J28" s="594">
        <v>0.153062</v>
      </c>
      <c r="K28" s="586" t="s">
        <v>457</v>
      </c>
      <c r="L28" s="586" t="s">
        <v>457</v>
      </c>
      <c r="M28" s="586" t="s">
        <v>457</v>
      </c>
      <c r="N28" s="586" t="s">
        <v>457</v>
      </c>
      <c r="O28" s="586"/>
      <c r="P28" s="584"/>
    </row>
    <row r="29" spans="1:19">
      <c r="A29" s="585" t="s">
        <v>528</v>
      </c>
      <c r="B29" s="585"/>
      <c r="C29" s="586">
        <v>17</v>
      </c>
      <c r="D29" s="586">
        <v>17.600000000000001</v>
      </c>
      <c r="E29" s="586" t="s">
        <v>457</v>
      </c>
      <c r="F29" s="586" t="s">
        <v>457</v>
      </c>
      <c r="G29" s="586" t="s">
        <v>457</v>
      </c>
      <c r="H29" s="586">
        <v>0</v>
      </c>
      <c r="I29" s="586">
        <v>0</v>
      </c>
      <c r="J29" s="586" t="s">
        <v>457</v>
      </c>
      <c r="K29" s="586" t="s">
        <v>457</v>
      </c>
      <c r="L29" s="586" t="s">
        <v>457</v>
      </c>
      <c r="M29" s="586" t="s">
        <v>457</v>
      </c>
      <c r="N29" s="586" t="s">
        <v>457</v>
      </c>
      <c r="O29" s="586"/>
      <c r="P29" s="584"/>
    </row>
    <row r="30" spans="1:19">
      <c r="A30" s="585" t="s">
        <v>529</v>
      </c>
      <c r="B30" s="585"/>
      <c r="C30" s="586" t="s">
        <v>457</v>
      </c>
      <c r="D30" s="586" t="s">
        <v>457</v>
      </c>
      <c r="E30" s="586" t="s">
        <v>457</v>
      </c>
      <c r="F30" s="586" t="s">
        <v>457</v>
      </c>
      <c r="G30" s="586" t="s">
        <v>457</v>
      </c>
      <c r="H30" s="586">
        <v>0</v>
      </c>
      <c r="I30" s="586">
        <v>0</v>
      </c>
      <c r="J30" s="586" t="s">
        <v>457</v>
      </c>
      <c r="K30" s="586" t="s">
        <v>457</v>
      </c>
      <c r="L30" s="586" t="s">
        <v>457</v>
      </c>
      <c r="M30" s="586" t="s">
        <v>457</v>
      </c>
      <c r="N30" s="586" t="s">
        <v>457</v>
      </c>
      <c r="O30" s="586"/>
      <c r="P30" s="584"/>
    </row>
    <row r="31" spans="1:19">
      <c r="A31" s="585" t="s">
        <v>530</v>
      </c>
      <c r="B31" s="585"/>
      <c r="C31" s="586" t="s">
        <v>457</v>
      </c>
      <c r="D31" s="586" t="s">
        <v>457</v>
      </c>
      <c r="E31" s="586" t="s">
        <v>457</v>
      </c>
      <c r="F31" s="586" t="s">
        <v>457</v>
      </c>
      <c r="G31" s="586" t="s">
        <v>457</v>
      </c>
      <c r="H31" s="586">
        <v>0</v>
      </c>
      <c r="I31" s="586">
        <v>0</v>
      </c>
      <c r="J31" s="586" t="s">
        <v>457</v>
      </c>
      <c r="K31" s="586" t="s">
        <v>457</v>
      </c>
      <c r="L31" s="586" t="s">
        <v>457</v>
      </c>
      <c r="M31" s="586" t="s">
        <v>457</v>
      </c>
      <c r="N31" s="586" t="s">
        <v>457</v>
      </c>
      <c r="O31" s="586"/>
      <c r="P31" s="584"/>
    </row>
    <row r="32" spans="1:19">
      <c r="A32" s="585" t="s">
        <v>531</v>
      </c>
      <c r="B32" s="585"/>
      <c r="C32" s="586" t="s">
        <v>457</v>
      </c>
      <c r="D32" s="586" t="s">
        <v>457</v>
      </c>
      <c r="E32" s="586" t="s">
        <v>457</v>
      </c>
      <c r="F32" s="586" t="s">
        <v>457</v>
      </c>
      <c r="G32" s="586" t="s">
        <v>457</v>
      </c>
      <c r="H32" s="586">
        <v>0</v>
      </c>
      <c r="I32" s="586">
        <v>0</v>
      </c>
      <c r="J32" s="586" t="s">
        <v>457</v>
      </c>
      <c r="K32" s="586" t="s">
        <v>457</v>
      </c>
      <c r="L32" s="586" t="s">
        <v>457</v>
      </c>
      <c r="M32" s="586" t="s">
        <v>457</v>
      </c>
      <c r="N32" s="586" t="s">
        <v>457</v>
      </c>
      <c r="O32" s="586"/>
      <c r="P32" s="584"/>
    </row>
    <row r="33" spans="1:16">
      <c r="A33" s="585" t="s">
        <v>532</v>
      </c>
      <c r="B33" s="585"/>
      <c r="C33" s="586" t="s">
        <v>457</v>
      </c>
      <c r="D33" s="586">
        <v>0.1</v>
      </c>
      <c r="E33" s="586" t="s">
        <v>457</v>
      </c>
      <c r="F33" s="586" t="s">
        <v>457</v>
      </c>
      <c r="G33" s="586" t="s">
        <v>457</v>
      </c>
      <c r="H33" s="586">
        <v>0</v>
      </c>
      <c r="I33" s="586">
        <v>0</v>
      </c>
      <c r="J33" s="586" t="s">
        <v>457</v>
      </c>
      <c r="K33" s="586" t="s">
        <v>457</v>
      </c>
      <c r="L33" s="586">
        <v>31.926686</v>
      </c>
      <c r="M33" s="586" t="s">
        <v>457</v>
      </c>
      <c r="N33" s="586" t="s">
        <v>457</v>
      </c>
      <c r="O33" s="586"/>
      <c r="P33" s="584"/>
    </row>
    <row r="34" spans="1:16">
      <c r="A34" s="585" t="s">
        <v>533</v>
      </c>
      <c r="B34" s="585"/>
      <c r="C34" s="586" t="s">
        <v>457</v>
      </c>
      <c r="D34" s="586">
        <v>42.1</v>
      </c>
      <c r="E34" s="586" t="s">
        <v>457</v>
      </c>
      <c r="F34" s="586" t="s">
        <v>457</v>
      </c>
      <c r="G34" s="586" t="s">
        <v>457</v>
      </c>
      <c r="H34" s="586">
        <v>0</v>
      </c>
      <c r="I34" s="586">
        <v>0</v>
      </c>
      <c r="J34" s="586" t="s">
        <v>457</v>
      </c>
      <c r="K34" s="586">
        <v>0.61968100000000004</v>
      </c>
      <c r="L34" s="586">
        <v>6.0678409999999996</v>
      </c>
      <c r="M34" s="586">
        <v>21.799340999999998</v>
      </c>
      <c r="N34" s="586">
        <v>62.926000000000002</v>
      </c>
      <c r="O34" s="586">
        <v>47.194499999999998</v>
      </c>
      <c r="P34" s="584"/>
    </row>
    <row r="35" spans="1:16">
      <c r="A35" s="585" t="s">
        <v>534</v>
      </c>
      <c r="B35" s="585"/>
      <c r="C35" s="586" t="s">
        <v>457</v>
      </c>
      <c r="D35" s="586">
        <v>6.4</v>
      </c>
      <c r="E35" s="586" t="s">
        <v>457</v>
      </c>
      <c r="F35" s="586" t="s">
        <v>457</v>
      </c>
      <c r="G35" s="586" t="s">
        <v>457</v>
      </c>
      <c r="H35" s="586">
        <v>0</v>
      </c>
      <c r="I35" s="586">
        <v>0</v>
      </c>
      <c r="J35" s="586" t="s">
        <v>457</v>
      </c>
      <c r="K35" s="586" t="s">
        <v>457</v>
      </c>
      <c r="L35" s="586" t="s">
        <v>457</v>
      </c>
      <c r="M35" s="586" t="s">
        <v>457</v>
      </c>
      <c r="N35" s="586" t="s">
        <v>457</v>
      </c>
      <c r="O35" s="586"/>
      <c r="P35" s="584"/>
    </row>
    <row r="36" spans="1:16">
      <c r="A36" s="596" t="s">
        <v>581</v>
      </c>
      <c r="B36" s="596"/>
      <c r="C36" s="586" t="s">
        <v>457</v>
      </c>
      <c r="D36" s="586" t="s">
        <v>457</v>
      </c>
      <c r="E36" s="586" t="s">
        <v>457</v>
      </c>
      <c r="F36" s="586" t="s">
        <v>457</v>
      </c>
      <c r="G36" s="586" t="s">
        <v>457</v>
      </c>
      <c r="H36" s="586">
        <v>0.100341</v>
      </c>
      <c r="I36" s="586">
        <v>0</v>
      </c>
      <c r="J36" s="586" t="s">
        <v>457</v>
      </c>
      <c r="K36" s="586" t="s">
        <v>457</v>
      </c>
      <c r="L36" s="586" t="s">
        <v>457</v>
      </c>
      <c r="M36" s="586" t="s">
        <v>457</v>
      </c>
      <c r="N36" s="586" t="s">
        <v>457</v>
      </c>
      <c r="O36" s="586"/>
      <c r="P36" s="584"/>
    </row>
    <row r="37" spans="1:16">
      <c r="A37" s="585" t="s">
        <v>535</v>
      </c>
      <c r="B37" s="585"/>
      <c r="C37" s="586">
        <v>23</v>
      </c>
      <c r="D37" s="586">
        <v>23.5</v>
      </c>
      <c r="E37" s="586">
        <v>1.484216</v>
      </c>
      <c r="F37" s="586">
        <v>5.2119001999999996</v>
      </c>
      <c r="G37" s="586" t="s">
        <v>457</v>
      </c>
      <c r="H37" s="586">
        <v>0</v>
      </c>
      <c r="I37" s="586">
        <v>0</v>
      </c>
      <c r="J37" s="586" t="s">
        <v>457</v>
      </c>
      <c r="K37" s="586" t="s">
        <v>457</v>
      </c>
      <c r="L37" s="586" t="s">
        <v>457</v>
      </c>
      <c r="M37" s="586" t="s">
        <v>457</v>
      </c>
      <c r="N37" s="586" t="s">
        <v>457</v>
      </c>
      <c r="O37" s="586"/>
      <c r="P37" s="584"/>
    </row>
    <row r="38" spans="1:16">
      <c r="A38" s="585"/>
      <c r="B38" s="585"/>
      <c r="C38" s="586"/>
      <c r="D38" s="586"/>
      <c r="E38" s="586"/>
      <c r="F38" s="586"/>
      <c r="G38" s="586"/>
      <c r="H38" s="586"/>
      <c r="I38" s="586"/>
      <c r="J38" s="586"/>
      <c r="K38" s="586"/>
      <c r="L38" s="586"/>
      <c r="M38" s="586"/>
      <c r="N38" s="586"/>
      <c r="O38" s="586"/>
      <c r="P38" s="584"/>
    </row>
    <row r="39" spans="1:16" s="593" customFormat="1">
      <c r="A39" s="582" t="s">
        <v>536</v>
      </c>
      <c r="B39" s="582"/>
      <c r="C39" s="583">
        <f t="shared" ref="C39:O39" si="3">SUM(C40:C77)</f>
        <v>805.99999999999989</v>
      </c>
      <c r="D39" s="583">
        <f t="shared" si="3"/>
        <v>898.30000000000007</v>
      </c>
      <c r="E39" s="583">
        <f t="shared" si="3"/>
        <v>295.82103000000001</v>
      </c>
      <c r="F39" s="583">
        <f t="shared" si="3"/>
        <v>306.76698040000002</v>
      </c>
      <c r="G39" s="583">
        <f t="shared" si="3"/>
        <v>6.7913410000000001</v>
      </c>
      <c r="H39" s="583">
        <f t="shared" si="3"/>
        <v>27.665954000000003</v>
      </c>
      <c r="I39" s="583">
        <f t="shared" si="3"/>
        <v>172.18719127999998</v>
      </c>
      <c r="J39" s="583">
        <f t="shared" si="3"/>
        <v>70.052437999999995</v>
      </c>
      <c r="K39" s="583">
        <f>SUM(K40:K77)</f>
        <v>83.569238999999982</v>
      </c>
      <c r="L39" s="583">
        <f t="shared" si="3"/>
        <v>386.73455500000006</v>
      </c>
      <c r="M39" s="583">
        <f t="shared" si="3"/>
        <v>438.52315099999998</v>
      </c>
      <c r="N39" s="583">
        <f t="shared" si="3"/>
        <v>439.99266899999998</v>
      </c>
      <c r="O39" s="583">
        <f t="shared" si="3"/>
        <v>458.09699999999998</v>
      </c>
      <c r="P39" s="597"/>
    </row>
    <row r="40" spans="1:16">
      <c r="A40" s="598" t="s">
        <v>537</v>
      </c>
      <c r="B40" s="596"/>
      <c r="C40" s="586">
        <v>16.399999999999999</v>
      </c>
      <c r="D40" s="586">
        <v>8.6</v>
      </c>
      <c r="E40" s="586">
        <v>9.2094889999999996</v>
      </c>
      <c r="F40" s="586">
        <v>9.4867480000000004</v>
      </c>
      <c r="G40" s="586">
        <v>1.6576500000000001</v>
      </c>
      <c r="H40" s="586">
        <v>7.9368569999999998</v>
      </c>
      <c r="I40" s="586">
        <v>6.5018419999999999</v>
      </c>
      <c r="J40" s="586">
        <v>17.467737</v>
      </c>
      <c r="K40" s="586">
        <v>1.560921</v>
      </c>
      <c r="L40" s="586">
        <v>19.648510999999999</v>
      </c>
      <c r="M40" s="586">
        <v>4.0008819999999998</v>
      </c>
      <c r="N40" s="586">
        <v>1.85</v>
      </c>
      <c r="O40" s="586">
        <v>1.85</v>
      </c>
      <c r="P40" s="584"/>
    </row>
    <row r="41" spans="1:16">
      <c r="A41" s="598" t="s">
        <v>492</v>
      </c>
      <c r="B41" s="596"/>
      <c r="C41" s="586">
        <v>0.8</v>
      </c>
      <c r="D41" s="586">
        <v>0.7</v>
      </c>
      <c r="E41" s="586">
        <v>0.37727500000000003</v>
      </c>
      <c r="F41" s="586">
        <v>7.9126890000000003</v>
      </c>
      <c r="G41" s="586">
        <v>2.9260739999999998</v>
      </c>
      <c r="H41" s="586">
        <v>0</v>
      </c>
      <c r="I41" s="586">
        <v>5.7275E-2</v>
      </c>
      <c r="J41" s="586" t="s">
        <v>457</v>
      </c>
      <c r="K41" s="586">
        <v>2.169349</v>
      </c>
      <c r="L41" s="586">
        <v>122.836333</v>
      </c>
      <c r="M41" s="586">
        <v>224.03724</v>
      </c>
      <c r="N41" s="586">
        <v>184.32040000000001</v>
      </c>
      <c r="O41" s="586">
        <v>187.096</v>
      </c>
      <c r="P41" s="584"/>
    </row>
    <row r="42" spans="1:16">
      <c r="A42" s="598" t="s">
        <v>538</v>
      </c>
      <c r="B42" s="596"/>
      <c r="C42" s="586">
        <v>8.1</v>
      </c>
      <c r="D42" s="586">
        <v>6.5</v>
      </c>
      <c r="E42" s="586">
        <v>4.439038</v>
      </c>
      <c r="F42" s="586">
        <v>4.5109589999999997</v>
      </c>
      <c r="G42" s="586" t="s">
        <v>457</v>
      </c>
      <c r="H42" s="586">
        <v>5.0552919999999997</v>
      </c>
      <c r="I42" s="586">
        <v>3.6765569999999999</v>
      </c>
      <c r="J42" s="586">
        <v>1.3785970000000001</v>
      </c>
      <c r="K42" s="586">
        <v>3.4072879999999999</v>
      </c>
      <c r="L42" s="586">
        <v>0.470771</v>
      </c>
      <c r="M42" s="586">
        <v>0.45</v>
      </c>
      <c r="N42" s="586">
        <v>0.45</v>
      </c>
      <c r="O42" s="586">
        <v>0.45606000000000002</v>
      </c>
      <c r="P42" s="584"/>
    </row>
    <row r="43" spans="1:16">
      <c r="A43" s="598" t="s">
        <v>539</v>
      </c>
      <c r="B43" s="596"/>
      <c r="C43" s="586">
        <v>0.6</v>
      </c>
      <c r="D43" s="586">
        <v>0.8</v>
      </c>
      <c r="E43" s="586">
        <v>7.8654000000000002E-2</v>
      </c>
      <c r="F43" s="586" t="s">
        <v>457</v>
      </c>
      <c r="G43" s="586" t="s">
        <v>457</v>
      </c>
      <c r="H43" s="586">
        <v>0.28139999999999998</v>
      </c>
      <c r="I43" s="586">
        <v>0.45473999999999998</v>
      </c>
      <c r="J43" s="586">
        <v>0.82618800000000003</v>
      </c>
      <c r="K43" s="586">
        <v>0.16594400000000001</v>
      </c>
      <c r="L43" s="586">
        <v>0.197958</v>
      </c>
      <c r="M43" s="586">
        <v>0.12</v>
      </c>
      <c r="N43" s="586">
        <v>0.12</v>
      </c>
      <c r="O43" s="586">
        <v>0.12</v>
      </c>
      <c r="P43" s="584"/>
    </row>
    <row r="44" spans="1:16">
      <c r="A44" s="598" t="s">
        <v>540</v>
      </c>
      <c r="B44" s="596"/>
      <c r="C44" s="586">
        <v>17.399999999999999</v>
      </c>
      <c r="D44" s="586">
        <v>22.8</v>
      </c>
      <c r="E44" s="586">
        <v>14.651209</v>
      </c>
      <c r="F44" s="586">
        <v>15.053713</v>
      </c>
      <c r="G44" s="586" t="s">
        <v>457</v>
      </c>
      <c r="H44" s="586">
        <v>1.9375549999999999</v>
      </c>
      <c r="I44" s="586">
        <v>8.4033289999999994</v>
      </c>
      <c r="J44" s="586">
        <v>4.3554250000000003</v>
      </c>
      <c r="K44" s="586">
        <v>7.4675710000000004</v>
      </c>
      <c r="L44" s="586">
        <v>5.1888339999999999</v>
      </c>
      <c r="M44" s="586">
        <v>5.1100000000000003</v>
      </c>
      <c r="N44" s="586">
        <v>5.1239999999999997</v>
      </c>
      <c r="O44" s="586">
        <v>5.13828</v>
      </c>
      <c r="P44" s="584"/>
    </row>
    <row r="45" spans="1:16">
      <c r="A45" s="598" t="s">
        <v>541</v>
      </c>
      <c r="B45" s="596"/>
      <c r="C45" s="586">
        <v>1.1000000000000001</v>
      </c>
      <c r="D45" s="586">
        <v>3</v>
      </c>
      <c r="E45" s="586">
        <v>2.5137339999999999</v>
      </c>
      <c r="F45" s="586" t="s">
        <v>457</v>
      </c>
      <c r="G45" s="586" t="s">
        <v>457</v>
      </c>
      <c r="H45" s="586">
        <v>0.11744300000000001</v>
      </c>
      <c r="I45" s="586">
        <v>1.4242049999999999</v>
      </c>
      <c r="J45" s="586">
        <v>0.57494100000000004</v>
      </c>
      <c r="K45" s="586">
        <v>1.830633</v>
      </c>
      <c r="L45" s="586">
        <v>0.35109000000000001</v>
      </c>
      <c r="M45" s="586">
        <v>0.45</v>
      </c>
      <c r="N45" s="586">
        <v>0.45800000000000002</v>
      </c>
      <c r="O45" s="586">
        <v>0.46616000000000002</v>
      </c>
      <c r="P45" s="584"/>
    </row>
    <row r="46" spans="1:16">
      <c r="A46" s="598" t="s">
        <v>542</v>
      </c>
      <c r="B46" s="596"/>
      <c r="C46" s="586">
        <v>0.1</v>
      </c>
      <c r="D46" s="586" t="s">
        <v>457</v>
      </c>
      <c r="E46" s="586" t="s">
        <v>457</v>
      </c>
      <c r="F46" s="586">
        <v>0.13859199999999999</v>
      </c>
      <c r="G46" s="586" t="s">
        <v>457</v>
      </c>
      <c r="H46" s="586">
        <v>0</v>
      </c>
      <c r="I46" s="586">
        <v>68.830670279999993</v>
      </c>
      <c r="J46" s="586">
        <v>20.898446</v>
      </c>
      <c r="K46" s="586">
        <v>34.654837000000001</v>
      </c>
      <c r="L46" s="586">
        <v>163.93917300000001</v>
      </c>
      <c r="M46" s="586">
        <v>80.368656000000001</v>
      </c>
      <c r="N46" s="586">
        <v>84.332055999999994</v>
      </c>
      <c r="O46" s="586">
        <v>114.01049999999999</v>
      </c>
      <c r="P46" s="584"/>
    </row>
    <row r="47" spans="1:16">
      <c r="A47" s="598" t="s">
        <v>543</v>
      </c>
      <c r="B47" s="596"/>
      <c r="C47" s="586" t="s">
        <v>457</v>
      </c>
      <c r="D47" s="586" t="s">
        <v>457</v>
      </c>
      <c r="E47" s="586" t="s">
        <v>457</v>
      </c>
      <c r="F47" s="586" t="s">
        <v>457</v>
      </c>
      <c r="G47" s="586" t="s">
        <v>457</v>
      </c>
      <c r="H47" s="586">
        <v>2.9656419999999999</v>
      </c>
      <c r="I47" s="586">
        <v>3.4063859999999999</v>
      </c>
      <c r="J47" s="586" t="s">
        <v>457</v>
      </c>
      <c r="K47" s="586" t="s">
        <v>457</v>
      </c>
      <c r="L47" s="586" t="s">
        <v>457</v>
      </c>
      <c r="M47" s="586" t="s">
        <v>457</v>
      </c>
      <c r="N47" s="586" t="s">
        <v>457</v>
      </c>
      <c r="O47" s="586" t="s">
        <v>457</v>
      </c>
      <c r="P47" s="584"/>
    </row>
    <row r="48" spans="1:16">
      <c r="A48" s="598" t="s">
        <v>544</v>
      </c>
      <c r="B48" s="596"/>
      <c r="C48" s="586" t="s">
        <v>457</v>
      </c>
      <c r="D48" s="586" t="s">
        <v>457</v>
      </c>
      <c r="E48" s="586" t="s">
        <v>457</v>
      </c>
      <c r="F48" s="586" t="s">
        <v>457</v>
      </c>
      <c r="G48" s="586" t="s">
        <v>457</v>
      </c>
      <c r="H48" s="586">
        <v>1.006378</v>
      </c>
      <c r="I48" s="586">
        <v>0.217976</v>
      </c>
      <c r="J48" s="586">
        <v>0.24321599999999999</v>
      </c>
      <c r="K48" s="586">
        <v>1.025882</v>
      </c>
      <c r="L48" s="586">
        <v>0.237982</v>
      </c>
      <c r="M48" s="586">
        <v>1</v>
      </c>
      <c r="N48" s="586">
        <v>1</v>
      </c>
      <c r="O48" s="586">
        <v>1</v>
      </c>
      <c r="P48" s="584"/>
    </row>
    <row r="49" spans="1:16">
      <c r="A49" s="598" t="s">
        <v>545</v>
      </c>
      <c r="B49" s="596"/>
      <c r="C49" s="586" t="s">
        <v>457</v>
      </c>
      <c r="D49" s="586" t="s">
        <v>457</v>
      </c>
      <c r="E49" s="586" t="s">
        <v>457</v>
      </c>
      <c r="F49" s="586" t="s">
        <v>457</v>
      </c>
      <c r="G49" s="586" t="s">
        <v>457</v>
      </c>
      <c r="H49" s="586">
        <v>1.43</v>
      </c>
      <c r="I49" s="586">
        <v>14.442686999999999</v>
      </c>
      <c r="J49" s="586">
        <v>8.0710139999999999</v>
      </c>
      <c r="K49" s="586">
        <v>11.105262</v>
      </c>
      <c r="L49" s="586">
        <v>10.888244</v>
      </c>
      <c r="M49" s="586">
        <v>19.261900000000001</v>
      </c>
      <c r="N49" s="586">
        <v>12.4</v>
      </c>
      <c r="O49" s="586">
        <v>12.4</v>
      </c>
      <c r="P49" s="584"/>
    </row>
    <row r="50" spans="1:16">
      <c r="A50" s="598" t="s">
        <v>546</v>
      </c>
      <c r="B50" s="596"/>
      <c r="C50" s="586" t="s">
        <v>457</v>
      </c>
      <c r="D50" s="586" t="s">
        <v>457</v>
      </c>
      <c r="E50" s="586" t="s">
        <v>457</v>
      </c>
      <c r="F50" s="586" t="s">
        <v>457</v>
      </c>
      <c r="G50" s="586" t="s">
        <v>457</v>
      </c>
      <c r="H50" s="586">
        <v>1.4559519999999999</v>
      </c>
      <c r="I50" s="586">
        <v>0.45156099999999999</v>
      </c>
      <c r="J50" s="586" t="s">
        <v>457</v>
      </c>
      <c r="K50" s="586" t="s">
        <v>457</v>
      </c>
      <c r="L50" s="586" t="s">
        <v>457</v>
      </c>
      <c r="M50" s="586" t="s">
        <v>457</v>
      </c>
      <c r="N50" s="586" t="s">
        <v>457</v>
      </c>
      <c r="O50" s="586" t="s">
        <v>457</v>
      </c>
      <c r="P50" s="584"/>
    </row>
    <row r="51" spans="1:16">
      <c r="A51" s="598" t="s">
        <v>547</v>
      </c>
      <c r="B51" s="596"/>
      <c r="C51" s="586" t="s">
        <v>457</v>
      </c>
      <c r="D51" s="586" t="s">
        <v>457</v>
      </c>
      <c r="E51" s="586" t="s">
        <v>457</v>
      </c>
      <c r="F51" s="586" t="s">
        <v>457</v>
      </c>
      <c r="G51" s="586" t="s">
        <v>457</v>
      </c>
      <c r="H51" s="586">
        <v>4.2015000000000002</v>
      </c>
      <c r="I51" s="586" t="s">
        <v>457</v>
      </c>
      <c r="J51" s="586" t="s">
        <v>457</v>
      </c>
      <c r="K51" s="586" t="s">
        <v>457</v>
      </c>
      <c r="L51" s="586" t="s">
        <v>457</v>
      </c>
      <c r="M51" s="586" t="s">
        <v>457</v>
      </c>
      <c r="N51" s="586" t="s">
        <v>457</v>
      </c>
      <c r="O51" s="586" t="s">
        <v>457</v>
      </c>
      <c r="P51" s="584"/>
    </row>
    <row r="52" spans="1:16">
      <c r="A52" s="598" t="s">
        <v>548</v>
      </c>
      <c r="B52" s="596"/>
      <c r="C52" s="586" t="s">
        <v>457</v>
      </c>
      <c r="D52" s="586" t="s">
        <v>457</v>
      </c>
      <c r="E52" s="586" t="s">
        <v>457</v>
      </c>
      <c r="F52" s="586" t="s">
        <v>457</v>
      </c>
      <c r="G52" s="586" t="s">
        <v>457</v>
      </c>
      <c r="H52" s="586">
        <v>0.58679199999999998</v>
      </c>
      <c r="I52" s="586">
        <v>3.7572800000000002</v>
      </c>
      <c r="J52" s="586">
        <v>3.0452080000000001</v>
      </c>
      <c r="K52" s="586">
        <v>5.4525810000000003</v>
      </c>
      <c r="L52" s="586">
        <v>2.8089050000000002</v>
      </c>
      <c r="M52" s="586">
        <v>2.2799999999999998</v>
      </c>
      <c r="N52" s="586">
        <v>2.2799999999999998</v>
      </c>
      <c r="O52" s="586">
        <v>2.2799999999999998</v>
      </c>
      <c r="P52" s="584"/>
    </row>
    <row r="53" spans="1:16">
      <c r="A53" s="598" t="s">
        <v>576</v>
      </c>
      <c r="B53" s="596"/>
      <c r="C53" s="586" t="s">
        <v>457</v>
      </c>
      <c r="D53" s="586" t="s">
        <v>457</v>
      </c>
      <c r="E53" s="586" t="s">
        <v>457</v>
      </c>
      <c r="F53" s="586" t="s">
        <v>457</v>
      </c>
      <c r="G53" s="586" t="s">
        <v>457</v>
      </c>
      <c r="H53" s="586" t="s">
        <v>457</v>
      </c>
      <c r="I53" s="586" t="s">
        <v>457</v>
      </c>
      <c r="J53" s="586" t="s">
        <v>457</v>
      </c>
      <c r="K53" s="586" t="s">
        <v>457</v>
      </c>
      <c r="L53" s="586">
        <v>14.378213000000001</v>
      </c>
      <c r="M53" s="586">
        <v>14.378213000000001</v>
      </c>
      <c r="N53" s="586">
        <v>14.378213000000001</v>
      </c>
      <c r="O53" s="586" t="s">
        <v>457</v>
      </c>
      <c r="P53" s="584"/>
    </row>
    <row r="54" spans="1:16">
      <c r="A54" s="598" t="s">
        <v>494</v>
      </c>
      <c r="B54" s="596"/>
      <c r="C54" s="586" t="s">
        <v>457</v>
      </c>
      <c r="D54" s="586" t="s">
        <v>457</v>
      </c>
      <c r="E54" s="586" t="s">
        <v>457</v>
      </c>
      <c r="F54" s="586" t="s">
        <v>457</v>
      </c>
      <c r="G54" s="586" t="s">
        <v>457</v>
      </c>
      <c r="H54" s="586" t="s">
        <v>457</v>
      </c>
      <c r="I54" s="586" t="s">
        <v>457</v>
      </c>
      <c r="J54" s="586" t="s">
        <v>457</v>
      </c>
      <c r="K54" s="586" t="s">
        <v>457</v>
      </c>
      <c r="L54" s="586" t="s">
        <v>457</v>
      </c>
      <c r="M54" s="586" t="s">
        <v>457</v>
      </c>
      <c r="N54" s="586" t="s">
        <v>457</v>
      </c>
      <c r="O54" s="586" t="s">
        <v>457</v>
      </c>
      <c r="P54" s="584"/>
    </row>
    <row r="55" spans="1:16">
      <c r="A55" s="598" t="s">
        <v>592</v>
      </c>
      <c r="B55" s="596"/>
      <c r="C55" s="586" t="s">
        <v>457</v>
      </c>
      <c r="D55" s="586" t="s">
        <v>457</v>
      </c>
      <c r="E55" s="586" t="s">
        <v>457</v>
      </c>
      <c r="F55" s="586" t="s">
        <v>457</v>
      </c>
      <c r="G55" s="586" t="s">
        <v>457</v>
      </c>
      <c r="H55" s="586" t="s">
        <v>457</v>
      </c>
      <c r="I55" s="586" t="s">
        <v>457</v>
      </c>
      <c r="J55" s="586" t="s">
        <v>457</v>
      </c>
      <c r="K55" s="586">
        <v>1.6536</v>
      </c>
      <c r="L55" s="586">
        <v>37.204799999999999</v>
      </c>
      <c r="M55" s="586" t="s">
        <v>457</v>
      </c>
      <c r="N55" s="586" t="s">
        <v>457</v>
      </c>
      <c r="O55" s="586" t="s">
        <v>457</v>
      </c>
      <c r="P55" s="584"/>
    </row>
    <row r="56" spans="1:16">
      <c r="A56" s="598" t="s">
        <v>549</v>
      </c>
      <c r="B56" s="596"/>
      <c r="C56" s="586" t="s">
        <v>457</v>
      </c>
      <c r="D56" s="586" t="s">
        <v>457</v>
      </c>
      <c r="E56" s="586" t="s">
        <v>457</v>
      </c>
      <c r="F56" s="586" t="s">
        <v>457</v>
      </c>
      <c r="G56" s="586" t="s">
        <v>457</v>
      </c>
      <c r="H56" s="586">
        <v>0.128665</v>
      </c>
      <c r="I56" s="586">
        <v>0.100574</v>
      </c>
      <c r="J56" s="586" t="s">
        <v>457</v>
      </c>
      <c r="K56" s="586" t="s">
        <v>457</v>
      </c>
      <c r="L56" s="586" t="s">
        <v>457</v>
      </c>
      <c r="M56" s="586" t="s">
        <v>457</v>
      </c>
      <c r="N56" s="586" t="s">
        <v>457</v>
      </c>
      <c r="O56" s="586" t="s">
        <v>457</v>
      </c>
      <c r="P56" s="584"/>
    </row>
    <row r="57" spans="1:16">
      <c r="A57" s="598" t="s">
        <v>550</v>
      </c>
      <c r="B57" s="596"/>
      <c r="C57" s="586" t="s">
        <v>457</v>
      </c>
      <c r="D57" s="586" t="s">
        <v>457</v>
      </c>
      <c r="E57" s="586" t="s">
        <v>457</v>
      </c>
      <c r="F57" s="586" t="s">
        <v>457</v>
      </c>
      <c r="G57" s="586" t="s">
        <v>457</v>
      </c>
      <c r="H57" s="586">
        <v>0.12449300000000001</v>
      </c>
      <c r="I57" s="586">
        <v>0</v>
      </c>
      <c r="J57" s="586" t="s">
        <v>457</v>
      </c>
      <c r="K57" s="586" t="s">
        <v>457</v>
      </c>
      <c r="L57" s="586" t="s">
        <v>457</v>
      </c>
      <c r="M57" s="586" t="s">
        <v>457</v>
      </c>
      <c r="N57" s="586" t="s">
        <v>457</v>
      </c>
      <c r="O57" s="586" t="s">
        <v>457</v>
      </c>
      <c r="P57" s="584"/>
    </row>
    <row r="58" spans="1:16">
      <c r="A58" s="598" t="s">
        <v>551</v>
      </c>
      <c r="B58" s="596"/>
      <c r="C58" s="586" t="s">
        <v>457</v>
      </c>
      <c r="D58" s="586" t="s">
        <v>457</v>
      </c>
      <c r="E58" s="586" t="s">
        <v>457</v>
      </c>
      <c r="F58" s="586" t="s">
        <v>457</v>
      </c>
      <c r="G58" s="586" t="s">
        <v>457</v>
      </c>
      <c r="H58" s="586">
        <v>0.43798500000000001</v>
      </c>
      <c r="I58" s="586">
        <v>0</v>
      </c>
      <c r="J58" s="586">
        <v>0.18181</v>
      </c>
      <c r="K58" s="586" t="s">
        <v>457</v>
      </c>
      <c r="L58" s="586" t="s">
        <v>457</v>
      </c>
      <c r="M58" s="586" t="s">
        <v>457</v>
      </c>
      <c r="N58" s="586" t="s">
        <v>457</v>
      </c>
      <c r="O58" s="586" t="s">
        <v>457</v>
      </c>
      <c r="P58" s="584"/>
    </row>
    <row r="59" spans="1:16">
      <c r="A59" s="598" t="s">
        <v>552</v>
      </c>
      <c r="B59" s="596"/>
      <c r="C59" s="586" t="s">
        <v>457</v>
      </c>
      <c r="D59" s="586">
        <v>2.5</v>
      </c>
      <c r="E59" s="586" t="s">
        <v>457</v>
      </c>
      <c r="F59" s="586" t="s">
        <v>457</v>
      </c>
      <c r="G59" s="586" t="s">
        <v>457</v>
      </c>
      <c r="H59" s="586" t="s">
        <v>457</v>
      </c>
      <c r="I59" s="586">
        <v>0</v>
      </c>
      <c r="J59" s="586" t="s">
        <v>457</v>
      </c>
      <c r="K59" s="586" t="s">
        <v>457</v>
      </c>
      <c r="L59" s="586" t="s">
        <v>457</v>
      </c>
      <c r="M59" s="586" t="s">
        <v>457</v>
      </c>
      <c r="N59" s="586" t="s">
        <v>457</v>
      </c>
      <c r="O59" s="586" t="s">
        <v>457</v>
      </c>
      <c r="P59" s="584"/>
    </row>
    <row r="60" spans="1:16">
      <c r="A60" s="598" t="s">
        <v>553</v>
      </c>
      <c r="B60" s="596"/>
      <c r="C60" s="586">
        <v>0.9</v>
      </c>
      <c r="D60" s="586">
        <v>0.6</v>
      </c>
      <c r="E60" s="586">
        <v>0.75402599999999997</v>
      </c>
      <c r="F60" s="586">
        <v>0.67631300000000005</v>
      </c>
      <c r="G60" s="586" t="s">
        <v>457</v>
      </c>
      <c r="H60" s="586" t="s">
        <v>457</v>
      </c>
      <c r="I60" s="586">
        <v>0.8</v>
      </c>
      <c r="J60" s="586">
        <v>2.9046539999999998</v>
      </c>
      <c r="K60" s="586">
        <v>4.957039</v>
      </c>
      <c r="L60" s="586">
        <v>5.1640389999999998</v>
      </c>
      <c r="M60" s="586">
        <v>5.0999999999999996</v>
      </c>
      <c r="N60" s="586">
        <v>5.0999999999999996</v>
      </c>
      <c r="O60" s="586">
        <v>5.0999999999999996</v>
      </c>
      <c r="P60" s="584"/>
    </row>
    <row r="61" spans="1:16">
      <c r="A61" s="598" t="s">
        <v>554</v>
      </c>
      <c r="B61" s="596"/>
      <c r="C61" s="586">
        <v>2.5</v>
      </c>
      <c r="D61" s="586" t="s">
        <v>457</v>
      </c>
      <c r="E61" s="586" t="s">
        <v>457</v>
      </c>
      <c r="F61" s="586" t="s">
        <v>457</v>
      </c>
      <c r="G61" s="586" t="s">
        <v>457</v>
      </c>
      <c r="H61" s="586" t="s">
        <v>457</v>
      </c>
      <c r="I61" s="586">
        <v>0</v>
      </c>
      <c r="J61" s="586" t="s">
        <v>457</v>
      </c>
      <c r="K61" s="586" t="s">
        <v>457</v>
      </c>
      <c r="L61" s="586" t="s">
        <v>457</v>
      </c>
      <c r="M61" s="586" t="s">
        <v>457</v>
      </c>
      <c r="N61" s="586" t="s">
        <v>457</v>
      </c>
      <c r="O61" s="586" t="s">
        <v>457</v>
      </c>
      <c r="P61" s="584"/>
    </row>
    <row r="62" spans="1:16">
      <c r="A62" s="598" t="s">
        <v>555</v>
      </c>
      <c r="B62" s="596"/>
      <c r="C62" s="586">
        <v>2.9</v>
      </c>
      <c r="D62" s="586">
        <v>1.5</v>
      </c>
      <c r="E62" s="586">
        <v>0.21615100000000001</v>
      </c>
      <c r="F62" s="586" t="s">
        <v>457</v>
      </c>
      <c r="G62" s="586" t="s">
        <v>457</v>
      </c>
      <c r="H62" s="586" t="s">
        <v>457</v>
      </c>
      <c r="I62" s="586">
        <v>0</v>
      </c>
      <c r="J62" s="586" t="s">
        <v>457</v>
      </c>
      <c r="K62" s="586" t="s">
        <v>457</v>
      </c>
      <c r="L62" s="586" t="s">
        <v>457</v>
      </c>
      <c r="M62" s="586" t="s">
        <v>457</v>
      </c>
      <c r="N62" s="586" t="s">
        <v>457</v>
      </c>
      <c r="O62" s="586" t="s">
        <v>457</v>
      </c>
      <c r="P62" s="584"/>
    </row>
    <row r="63" spans="1:16">
      <c r="A63" s="598" t="s">
        <v>493</v>
      </c>
      <c r="B63" s="596"/>
      <c r="C63" s="586" t="s">
        <v>457</v>
      </c>
      <c r="D63" s="586">
        <v>0.2</v>
      </c>
      <c r="E63" s="586">
        <v>9.2590000000000006E-2</v>
      </c>
      <c r="F63" s="586">
        <v>2.3064000000000001E-2</v>
      </c>
      <c r="G63" s="586" t="s">
        <v>457</v>
      </c>
      <c r="H63" s="586" t="s">
        <v>457</v>
      </c>
      <c r="I63" s="586">
        <v>0</v>
      </c>
      <c r="J63" s="586" t="s">
        <v>457</v>
      </c>
      <c r="K63" s="586">
        <v>0.35753099999999999</v>
      </c>
      <c r="L63" s="586">
        <v>0.108171</v>
      </c>
      <c r="M63" s="586">
        <v>0.1</v>
      </c>
      <c r="N63" s="586">
        <v>0.1</v>
      </c>
      <c r="O63" s="586">
        <v>0.1</v>
      </c>
      <c r="P63" s="584"/>
    </row>
    <row r="64" spans="1:16">
      <c r="A64" s="598" t="s">
        <v>556</v>
      </c>
      <c r="B64" s="596"/>
      <c r="C64" s="586">
        <v>746.8</v>
      </c>
      <c r="D64" s="586">
        <v>840.2</v>
      </c>
      <c r="E64" s="586" t="s">
        <v>457</v>
      </c>
      <c r="F64" s="586" t="s">
        <v>457</v>
      </c>
      <c r="G64" s="586" t="s">
        <v>457</v>
      </c>
      <c r="H64" s="586" t="s">
        <v>457</v>
      </c>
      <c r="I64" s="586">
        <v>0</v>
      </c>
      <c r="J64" s="586" t="s">
        <v>457</v>
      </c>
      <c r="K64" s="586" t="s">
        <v>457</v>
      </c>
      <c r="L64" s="586" t="s">
        <v>457</v>
      </c>
      <c r="M64" s="586" t="s">
        <v>457</v>
      </c>
      <c r="N64" s="586" t="s">
        <v>457</v>
      </c>
      <c r="O64" s="586" t="s">
        <v>457</v>
      </c>
      <c r="P64" s="584"/>
    </row>
    <row r="65" spans="1:16">
      <c r="A65" s="598" t="s">
        <v>557</v>
      </c>
      <c r="B65" s="596"/>
      <c r="C65" s="586" t="s">
        <v>457</v>
      </c>
      <c r="D65" s="586" t="s">
        <v>457</v>
      </c>
      <c r="E65" s="586" t="s">
        <v>457</v>
      </c>
      <c r="F65" s="586" t="s">
        <v>457</v>
      </c>
      <c r="G65" s="586" t="s">
        <v>457</v>
      </c>
      <c r="H65" s="586" t="s">
        <v>457</v>
      </c>
      <c r="I65" s="586">
        <v>0.11934500000000001</v>
      </c>
      <c r="J65" s="586" t="s">
        <v>457</v>
      </c>
      <c r="K65" s="586" t="s">
        <v>457</v>
      </c>
      <c r="L65" s="586" t="s">
        <v>457</v>
      </c>
      <c r="M65" s="586" t="s">
        <v>457</v>
      </c>
      <c r="N65" s="586" t="s">
        <v>457</v>
      </c>
      <c r="O65" s="586" t="s">
        <v>457</v>
      </c>
      <c r="P65" s="584"/>
    </row>
    <row r="66" spans="1:16">
      <c r="A66" s="598" t="s">
        <v>491</v>
      </c>
      <c r="B66" s="596"/>
      <c r="C66" s="586" t="s">
        <v>457</v>
      </c>
      <c r="D66" s="586" t="s">
        <v>457</v>
      </c>
      <c r="E66" s="586" t="s">
        <v>457</v>
      </c>
      <c r="F66" s="586" t="s">
        <v>457</v>
      </c>
      <c r="G66" s="586" t="s">
        <v>457</v>
      </c>
      <c r="H66" s="586" t="s">
        <v>457</v>
      </c>
      <c r="I66" s="586">
        <v>56.042175</v>
      </c>
      <c r="J66" s="586">
        <v>5.3110780000000002</v>
      </c>
      <c r="K66" s="586">
        <v>1.9840000000000001E-3</v>
      </c>
      <c r="L66" s="586">
        <v>0.37301000000000001</v>
      </c>
      <c r="M66" s="586">
        <v>0.5</v>
      </c>
      <c r="N66" s="586">
        <v>0.5</v>
      </c>
      <c r="O66" s="586">
        <v>0.5</v>
      </c>
      <c r="P66" s="584"/>
    </row>
    <row r="67" spans="1:16">
      <c r="A67" s="598" t="s">
        <v>558</v>
      </c>
      <c r="B67" s="596"/>
      <c r="C67" s="586" t="s">
        <v>457</v>
      </c>
      <c r="D67" s="586" t="s">
        <v>457</v>
      </c>
      <c r="E67" s="586" t="s">
        <v>457</v>
      </c>
      <c r="F67" s="586" t="s">
        <v>457</v>
      </c>
      <c r="G67" s="586" t="s">
        <v>457</v>
      </c>
      <c r="H67" s="586" t="s">
        <v>457</v>
      </c>
      <c r="I67" s="586">
        <v>1.6884999999999999</v>
      </c>
      <c r="J67" s="586" t="s">
        <v>457</v>
      </c>
      <c r="K67" s="586" t="s">
        <v>457</v>
      </c>
      <c r="L67" s="586" t="s">
        <v>457</v>
      </c>
      <c r="M67" s="586" t="s">
        <v>457</v>
      </c>
      <c r="N67" s="586" t="s">
        <v>457</v>
      </c>
      <c r="O67" s="586" t="s">
        <v>457</v>
      </c>
      <c r="P67" s="584"/>
    </row>
    <row r="68" spans="1:16">
      <c r="A68" s="598" t="s">
        <v>559</v>
      </c>
      <c r="B68" s="596"/>
      <c r="C68" s="586" t="s">
        <v>457</v>
      </c>
      <c r="D68" s="586" t="s">
        <v>457</v>
      </c>
      <c r="E68" s="586" t="s">
        <v>457</v>
      </c>
      <c r="F68" s="586" t="s">
        <v>457</v>
      </c>
      <c r="G68" s="586" t="s">
        <v>457</v>
      </c>
      <c r="H68" s="586" t="s">
        <v>457</v>
      </c>
      <c r="I68" s="586">
        <v>0.35026499999999999</v>
      </c>
      <c r="J68" s="586">
        <v>1.53</v>
      </c>
      <c r="K68" s="586">
        <v>0.76749999999999996</v>
      </c>
      <c r="L68" s="586">
        <v>0.61439999999999995</v>
      </c>
      <c r="M68" s="586">
        <v>1</v>
      </c>
      <c r="N68" s="586">
        <v>1</v>
      </c>
      <c r="O68" s="586">
        <v>1</v>
      </c>
      <c r="P68" s="584"/>
    </row>
    <row r="69" spans="1:16">
      <c r="A69" s="598" t="s">
        <v>560</v>
      </c>
      <c r="B69" s="596"/>
      <c r="C69" s="586" t="s">
        <v>457</v>
      </c>
      <c r="D69" s="586" t="s">
        <v>457</v>
      </c>
      <c r="E69" s="586" t="s">
        <v>457</v>
      </c>
      <c r="F69" s="586" t="s">
        <v>457</v>
      </c>
      <c r="G69" s="586" t="s">
        <v>457</v>
      </c>
      <c r="H69" s="586" t="s">
        <v>457</v>
      </c>
      <c r="I69" s="586">
        <v>0.81384500000000004</v>
      </c>
      <c r="J69" s="586" t="s">
        <v>457</v>
      </c>
      <c r="K69" s="586" t="s">
        <v>457</v>
      </c>
      <c r="L69" s="586">
        <v>1.1046370000000001</v>
      </c>
      <c r="M69" s="586">
        <v>1</v>
      </c>
      <c r="N69" s="586">
        <v>1</v>
      </c>
      <c r="O69" s="586">
        <v>1</v>
      </c>
      <c r="P69" s="584"/>
    </row>
    <row r="70" spans="1:16">
      <c r="A70" s="598" t="s">
        <v>561</v>
      </c>
      <c r="B70" s="596"/>
      <c r="C70" s="586" t="s">
        <v>457</v>
      </c>
      <c r="D70" s="586" t="s">
        <v>457</v>
      </c>
      <c r="E70" s="586" t="s">
        <v>457</v>
      </c>
      <c r="F70" s="586" t="s">
        <v>457</v>
      </c>
      <c r="G70" s="586" t="s">
        <v>457</v>
      </c>
      <c r="H70" s="586" t="s">
        <v>457</v>
      </c>
      <c r="I70" s="586">
        <v>0.36792000000000002</v>
      </c>
      <c r="J70" s="586">
        <v>0.36696000000000001</v>
      </c>
      <c r="K70" s="586">
        <v>0.36792000000000002</v>
      </c>
      <c r="L70" s="586">
        <v>0.18336</v>
      </c>
      <c r="M70" s="586">
        <v>0.2</v>
      </c>
      <c r="N70" s="586">
        <v>0.2</v>
      </c>
      <c r="O70" s="586">
        <v>0.2</v>
      </c>
      <c r="P70" s="584"/>
    </row>
    <row r="71" spans="1:16">
      <c r="A71" s="598" t="s">
        <v>577</v>
      </c>
      <c r="B71" s="596"/>
      <c r="C71" s="586" t="s">
        <v>457</v>
      </c>
      <c r="D71" s="586" t="s">
        <v>457</v>
      </c>
      <c r="E71" s="586" t="s">
        <v>457</v>
      </c>
      <c r="F71" s="586" t="s">
        <v>457</v>
      </c>
      <c r="G71" s="586" t="s">
        <v>457</v>
      </c>
      <c r="H71" s="586" t="s">
        <v>457</v>
      </c>
      <c r="I71" s="586" t="s">
        <v>457</v>
      </c>
      <c r="J71" s="586" t="s">
        <v>457</v>
      </c>
      <c r="K71" s="586">
        <v>7.4315000000000006E-2</v>
      </c>
      <c r="L71" s="586">
        <v>2.9278999999999999E-2</v>
      </c>
      <c r="M71" s="586">
        <v>5.6259999999999998E-2</v>
      </c>
      <c r="N71" s="586">
        <v>0.01</v>
      </c>
      <c r="O71" s="586">
        <v>0.01</v>
      </c>
      <c r="P71" s="584"/>
    </row>
    <row r="72" spans="1:16">
      <c r="A72" s="598" t="s">
        <v>578</v>
      </c>
      <c r="B72" s="596"/>
      <c r="C72" s="586" t="s">
        <v>457</v>
      </c>
      <c r="D72" s="586" t="s">
        <v>457</v>
      </c>
      <c r="E72" s="586" t="s">
        <v>457</v>
      </c>
      <c r="F72" s="586" t="s">
        <v>457</v>
      </c>
      <c r="G72" s="586" t="s">
        <v>457</v>
      </c>
      <c r="H72" s="586" t="s">
        <v>457</v>
      </c>
      <c r="I72" s="586" t="s">
        <v>457</v>
      </c>
      <c r="J72" s="586" t="s">
        <v>457</v>
      </c>
      <c r="K72" s="586">
        <v>0.13536100000000001</v>
      </c>
      <c r="L72" s="586">
        <v>6.8450000000000004E-3</v>
      </c>
      <c r="M72" s="586">
        <v>0.01</v>
      </c>
      <c r="N72" s="586">
        <v>0.01</v>
      </c>
      <c r="O72" s="586">
        <v>0.01</v>
      </c>
      <c r="P72" s="584"/>
    </row>
    <row r="73" spans="1:16">
      <c r="A73" s="598" t="s">
        <v>579</v>
      </c>
      <c r="B73" s="596"/>
      <c r="C73" s="586" t="s">
        <v>457</v>
      </c>
      <c r="D73" s="586" t="s">
        <v>457</v>
      </c>
      <c r="E73" s="586" t="s">
        <v>457</v>
      </c>
      <c r="F73" s="586" t="s">
        <v>457</v>
      </c>
      <c r="G73" s="586" t="s">
        <v>457</v>
      </c>
      <c r="H73" s="586" t="s">
        <v>457</v>
      </c>
      <c r="I73" s="586" t="s">
        <v>457</v>
      </c>
      <c r="J73" s="586" t="s">
        <v>457</v>
      </c>
      <c r="K73" s="586">
        <v>2.3332000000000002</v>
      </c>
      <c r="L73" s="586" t="s">
        <v>457</v>
      </c>
      <c r="M73" s="586" t="s">
        <v>457</v>
      </c>
      <c r="N73" s="586" t="s">
        <v>457</v>
      </c>
      <c r="O73" s="586" t="s">
        <v>457</v>
      </c>
      <c r="P73" s="584"/>
    </row>
    <row r="74" spans="1:16">
      <c r="A74" s="598" t="s">
        <v>580</v>
      </c>
      <c r="B74" s="596"/>
      <c r="C74" s="586" t="s">
        <v>457</v>
      </c>
      <c r="D74" s="586" t="s">
        <v>457</v>
      </c>
      <c r="E74" s="586" t="s">
        <v>457</v>
      </c>
      <c r="F74" s="586" t="s">
        <v>457</v>
      </c>
      <c r="G74" s="586" t="s">
        <v>457</v>
      </c>
      <c r="H74" s="586" t="s">
        <v>457</v>
      </c>
      <c r="I74" s="586" t="s">
        <v>457</v>
      </c>
      <c r="J74" s="586">
        <v>2.2995000000000001</v>
      </c>
      <c r="K74" s="586">
        <v>4.068816</v>
      </c>
      <c r="L74" s="586">
        <v>1</v>
      </c>
      <c r="M74" s="586">
        <v>2</v>
      </c>
      <c r="N74" s="586">
        <v>2</v>
      </c>
      <c r="O74" s="586">
        <v>2</v>
      </c>
      <c r="P74" s="584"/>
    </row>
    <row r="75" spans="1:16">
      <c r="A75" s="598" t="s">
        <v>562</v>
      </c>
      <c r="B75" s="596"/>
      <c r="C75" s="586" t="s">
        <v>457</v>
      </c>
      <c r="D75" s="586" t="s">
        <v>457</v>
      </c>
      <c r="E75" s="586" t="s">
        <v>457</v>
      </c>
      <c r="F75" s="586" t="s">
        <v>457</v>
      </c>
      <c r="G75" s="586" t="s">
        <v>457</v>
      </c>
      <c r="H75" s="586" t="s">
        <v>457</v>
      </c>
      <c r="I75" s="586">
        <v>9.6279000000000003E-2</v>
      </c>
      <c r="J75" s="586" t="s">
        <v>457</v>
      </c>
      <c r="K75" s="586" t="s">
        <v>457</v>
      </c>
      <c r="L75" s="586" t="s">
        <v>457</v>
      </c>
      <c r="M75" s="586" t="s">
        <v>457</v>
      </c>
      <c r="N75" s="586" t="s">
        <v>457</v>
      </c>
      <c r="O75" s="586" t="s">
        <v>457</v>
      </c>
      <c r="P75" s="584"/>
    </row>
    <row r="76" spans="1:16">
      <c r="A76" s="598" t="s">
        <v>563</v>
      </c>
      <c r="B76" s="596"/>
      <c r="C76" s="586" t="s">
        <v>457</v>
      </c>
      <c r="D76" s="586" t="s">
        <v>457</v>
      </c>
      <c r="E76" s="586" t="s">
        <v>457</v>
      </c>
      <c r="F76" s="586" t="s">
        <v>457</v>
      </c>
      <c r="G76" s="586" t="s">
        <v>457</v>
      </c>
      <c r="H76" s="586" t="s">
        <v>457</v>
      </c>
      <c r="I76" s="586">
        <v>0.18378</v>
      </c>
      <c r="J76" s="586">
        <v>0.59766399999999997</v>
      </c>
      <c r="K76" s="586" t="s">
        <v>457</v>
      </c>
      <c r="L76" s="586" t="s">
        <v>457</v>
      </c>
      <c r="M76" s="586">
        <v>77.099999999999994</v>
      </c>
      <c r="N76" s="586">
        <v>123.36</v>
      </c>
      <c r="O76" s="586">
        <v>123.36</v>
      </c>
      <c r="P76" s="584"/>
    </row>
    <row r="77" spans="1:16">
      <c r="A77" s="599" t="s">
        <v>594</v>
      </c>
      <c r="B77" s="600" t="s">
        <v>593</v>
      </c>
      <c r="C77" s="601">
        <v>8.4</v>
      </c>
      <c r="D77" s="601">
        <v>10.9</v>
      </c>
      <c r="E77" s="601">
        <v>263.48886399999998</v>
      </c>
      <c r="F77" s="601">
        <v>268.96490240000003</v>
      </c>
      <c r="G77" s="601">
        <v>2.2076169999999999</v>
      </c>
      <c r="H77" s="601" t="s">
        <v>457</v>
      </c>
      <c r="I77" s="601" t="s">
        <v>457</v>
      </c>
      <c r="J77" s="601" t="s">
        <v>457</v>
      </c>
      <c r="K77" s="601">
        <v>1.1705E-2</v>
      </c>
      <c r="L77" s="601" t="s">
        <v>457</v>
      </c>
      <c r="M77" s="601" t="s">
        <v>457</v>
      </c>
      <c r="N77" s="601" t="s">
        <v>457</v>
      </c>
      <c r="O77" s="601" t="s">
        <v>457</v>
      </c>
      <c r="P77" s="584"/>
    </row>
    <row r="78" spans="1:16">
      <c r="A78" s="566" t="s">
        <v>483</v>
      </c>
      <c r="B78" s="369"/>
      <c r="C78" s="584"/>
      <c r="D78" s="584"/>
      <c r="E78" s="584"/>
      <c r="F78" s="584"/>
      <c r="G78" s="584"/>
      <c r="H78" s="584"/>
      <c r="I78" s="584"/>
      <c r="J78" s="584"/>
      <c r="K78" s="584"/>
      <c r="L78" s="584"/>
      <c r="M78" s="584"/>
      <c r="N78" s="584"/>
      <c r="O78" s="584"/>
      <c r="P78" s="584"/>
    </row>
    <row r="79" spans="1:16">
      <c r="A79" s="602"/>
      <c r="B79" s="602"/>
      <c r="C79" s="584"/>
      <c r="D79" s="584"/>
      <c r="E79" s="584"/>
      <c r="F79" s="584"/>
      <c r="G79" s="584"/>
      <c r="H79" s="584"/>
      <c r="I79" s="584"/>
      <c r="J79" s="584"/>
      <c r="K79" s="584"/>
      <c r="L79" s="584"/>
      <c r="M79" s="584"/>
      <c r="N79" s="584"/>
      <c r="O79" s="584"/>
      <c r="P79" s="584"/>
    </row>
    <row r="80" spans="1:16">
      <c r="C80" s="584"/>
      <c r="D80" s="584"/>
      <c r="E80" s="584"/>
      <c r="F80" s="584"/>
      <c r="G80" s="584"/>
      <c r="H80" s="584"/>
      <c r="I80" s="584"/>
      <c r="J80" s="584"/>
      <c r="K80" s="584"/>
      <c r="L80" s="584"/>
      <c r="M80" s="584"/>
      <c r="N80" s="584"/>
      <c r="O80" s="584"/>
      <c r="P80" s="584"/>
    </row>
    <row r="81" spans="3:16">
      <c r="C81" s="584"/>
      <c r="D81" s="584"/>
      <c r="E81" s="584"/>
      <c r="F81" s="584"/>
      <c r="G81" s="584"/>
      <c r="H81" s="584"/>
      <c r="I81" s="584"/>
      <c r="J81" s="584"/>
      <c r="K81" s="584"/>
      <c r="L81" s="584"/>
      <c r="M81" s="584"/>
      <c r="N81" s="584"/>
      <c r="O81" s="584"/>
      <c r="P81" s="584"/>
    </row>
    <row r="82" spans="3:16">
      <c r="C82" s="584"/>
      <c r="D82" s="584"/>
      <c r="E82" s="584"/>
      <c r="F82" s="584"/>
      <c r="G82" s="584"/>
      <c r="H82" s="584"/>
      <c r="I82" s="584"/>
      <c r="J82" s="584"/>
      <c r="K82" s="584"/>
      <c r="L82" s="584"/>
      <c r="M82" s="584"/>
      <c r="N82" s="584"/>
      <c r="O82" s="584"/>
      <c r="P82" s="584"/>
    </row>
    <row r="83" spans="3:16">
      <c r="C83" s="584"/>
      <c r="D83" s="584"/>
      <c r="E83" s="584"/>
      <c r="F83" s="584"/>
      <c r="G83" s="584"/>
      <c r="H83" s="584"/>
      <c r="I83" s="584"/>
      <c r="J83" s="584"/>
      <c r="K83" s="584"/>
      <c r="L83" s="584"/>
      <c r="M83" s="584"/>
      <c r="N83" s="584"/>
      <c r="O83" s="584"/>
      <c r="P83" s="584"/>
    </row>
    <row r="84" spans="3:16">
      <c r="C84" s="584"/>
      <c r="D84" s="584"/>
      <c r="E84" s="584"/>
      <c r="F84" s="584"/>
      <c r="G84" s="584"/>
      <c r="H84" s="584"/>
      <c r="I84" s="584"/>
      <c r="J84" s="584"/>
      <c r="K84" s="584"/>
      <c r="L84" s="584"/>
      <c r="M84" s="584"/>
      <c r="N84" s="584"/>
      <c r="O84" s="584"/>
      <c r="P84" s="584"/>
    </row>
    <row r="85" spans="3:16">
      <c r="C85" s="584"/>
      <c r="D85" s="584"/>
      <c r="E85" s="584"/>
      <c r="F85" s="584"/>
      <c r="G85" s="584"/>
      <c r="H85" s="584"/>
      <c r="I85" s="584"/>
      <c r="J85" s="584"/>
      <c r="K85" s="584"/>
      <c r="L85" s="584"/>
      <c r="M85" s="584"/>
      <c r="N85" s="584"/>
      <c r="O85" s="584"/>
      <c r="P85" s="584"/>
    </row>
    <row r="86" spans="3:16">
      <c r="C86" s="584"/>
      <c r="D86" s="584"/>
      <c r="E86" s="584"/>
      <c r="F86" s="584"/>
      <c r="G86" s="584"/>
      <c r="H86" s="584"/>
      <c r="I86" s="584"/>
      <c r="J86" s="584"/>
      <c r="K86" s="584"/>
      <c r="L86" s="584"/>
      <c r="M86" s="584"/>
      <c r="N86" s="584"/>
      <c r="O86" s="584"/>
      <c r="P86" s="584"/>
    </row>
    <row r="87" spans="3:16">
      <c r="C87" s="584"/>
      <c r="D87" s="584"/>
      <c r="E87" s="584"/>
      <c r="F87" s="584"/>
      <c r="G87" s="584"/>
      <c r="H87" s="584"/>
      <c r="I87" s="584"/>
      <c r="J87" s="584"/>
      <c r="K87" s="584"/>
      <c r="L87" s="584"/>
      <c r="M87" s="584"/>
      <c r="N87" s="584"/>
      <c r="O87" s="584"/>
      <c r="P87" s="584"/>
    </row>
    <row r="88" spans="3:16">
      <c r="C88" s="584"/>
      <c r="D88" s="584"/>
      <c r="E88" s="584"/>
      <c r="F88" s="584"/>
      <c r="G88" s="584"/>
      <c r="H88" s="584"/>
      <c r="I88" s="584"/>
      <c r="J88" s="584"/>
      <c r="K88" s="584"/>
      <c r="L88" s="584"/>
      <c r="M88" s="584"/>
      <c r="N88" s="584"/>
      <c r="O88" s="584"/>
      <c r="P88" s="584"/>
    </row>
    <row r="89" spans="3:16">
      <c r="C89" s="584"/>
      <c r="D89" s="584"/>
      <c r="E89" s="584"/>
      <c r="F89" s="584"/>
      <c r="G89" s="584"/>
      <c r="H89" s="584"/>
      <c r="I89" s="584"/>
      <c r="J89" s="584"/>
      <c r="K89" s="584"/>
      <c r="L89" s="584"/>
      <c r="M89" s="584"/>
      <c r="N89" s="584"/>
      <c r="O89" s="584"/>
      <c r="P89" s="584"/>
    </row>
    <row r="90" spans="3:16">
      <c r="C90" s="584"/>
      <c r="D90" s="584"/>
      <c r="E90" s="584"/>
      <c r="F90" s="584"/>
      <c r="G90" s="584"/>
      <c r="H90" s="584"/>
      <c r="I90" s="584"/>
      <c r="J90" s="584"/>
      <c r="K90" s="584"/>
      <c r="L90" s="584"/>
      <c r="M90" s="584"/>
      <c r="N90" s="584"/>
      <c r="O90" s="584"/>
      <c r="P90" s="584"/>
    </row>
    <row r="91" spans="3:16">
      <c r="C91" s="584"/>
      <c r="D91" s="584"/>
      <c r="E91" s="584"/>
      <c r="F91" s="584"/>
      <c r="G91" s="584"/>
      <c r="H91" s="584"/>
      <c r="I91" s="584"/>
      <c r="J91" s="584"/>
      <c r="K91" s="584"/>
      <c r="L91" s="584"/>
      <c r="M91" s="584"/>
      <c r="N91" s="584"/>
      <c r="O91" s="584"/>
      <c r="P91" s="584"/>
    </row>
    <row r="92" spans="3:16">
      <c r="C92" s="584"/>
      <c r="D92" s="584"/>
      <c r="E92" s="584"/>
      <c r="F92" s="584"/>
      <c r="G92" s="584"/>
      <c r="H92" s="584"/>
      <c r="I92" s="584"/>
      <c r="J92" s="584"/>
      <c r="K92" s="584"/>
      <c r="L92" s="584"/>
      <c r="M92" s="584"/>
      <c r="N92" s="584"/>
      <c r="O92" s="584"/>
      <c r="P92" s="584"/>
    </row>
    <row r="93" spans="3:16">
      <c r="C93" s="584"/>
      <c r="D93" s="584"/>
      <c r="E93" s="584"/>
      <c r="F93" s="584"/>
      <c r="G93" s="584"/>
      <c r="H93" s="584"/>
      <c r="I93" s="584"/>
      <c r="J93" s="584"/>
      <c r="K93" s="584"/>
      <c r="L93" s="584"/>
      <c r="M93" s="584"/>
      <c r="N93" s="584"/>
      <c r="O93" s="584"/>
      <c r="P93" s="584"/>
    </row>
    <row r="94" spans="3:16">
      <c r="C94" s="584"/>
      <c r="D94" s="584"/>
      <c r="E94" s="584"/>
      <c r="F94" s="584"/>
      <c r="G94" s="584"/>
      <c r="H94" s="584"/>
      <c r="I94" s="584"/>
      <c r="J94" s="584"/>
      <c r="K94" s="584"/>
      <c r="L94" s="584"/>
      <c r="M94" s="584"/>
      <c r="N94" s="584"/>
      <c r="O94" s="584"/>
      <c r="P94" s="584"/>
    </row>
    <row r="95" spans="3:16">
      <c r="C95" s="584"/>
      <c r="D95" s="584"/>
      <c r="E95" s="584"/>
      <c r="F95" s="584"/>
      <c r="G95" s="584"/>
      <c r="H95" s="584"/>
      <c r="I95" s="584"/>
      <c r="J95" s="584"/>
      <c r="K95" s="584"/>
      <c r="L95" s="584"/>
      <c r="M95" s="584"/>
      <c r="N95" s="584"/>
      <c r="O95" s="584"/>
      <c r="P95" s="584"/>
    </row>
    <row r="96" spans="3:16">
      <c r="C96" s="584"/>
      <c r="D96" s="584"/>
      <c r="E96" s="584"/>
      <c r="F96" s="584"/>
      <c r="G96" s="584"/>
      <c r="H96" s="584"/>
      <c r="I96" s="584"/>
      <c r="J96" s="584"/>
      <c r="K96" s="584"/>
      <c r="L96" s="584"/>
      <c r="M96" s="584"/>
      <c r="N96" s="584"/>
      <c r="O96" s="584"/>
      <c r="P96" s="584"/>
    </row>
    <row r="97" spans="3:16">
      <c r="C97" s="584"/>
      <c r="D97" s="584"/>
      <c r="E97" s="584"/>
      <c r="F97" s="584"/>
      <c r="G97" s="584"/>
      <c r="H97" s="584"/>
      <c r="I97" s="584"/>
      <c r="J97" s="584"/>
      <c r="K97" s="584"/>
      <c r="L97" s="584"/>
      <c r="M97" s="584"/>
      <c r="N97" s="584"/>
      <c r="O97" s="584"/>
      <c r="P97" s="584"/>
    </row>
    <row r="98" spans="3:16">
      <c r="C98" s="584"/>
      <c r="D98" s="584"/>
      <c r="E98" s="584"/>
      <c r="F98" s="584"/>
      <c r="G98" s="584"/>
      <c r="H98" s="584"/>
      <c r="I98" s="584"/>
      <c r="J98" s="584"/>
      <c r="K98" s="584"/>
      <c r="L98" s="584"/>
      <c r="M98" s="584"/>
      <c r="N98" s="584"/>
      <c r="O98" s="584"/>
      <c r="P98" s="584"/>
    </row>
    <row r="99" spans="3:16">
      <c r="C99" s="584"/>
      <c r="D99" s="584"/>
      <c r="E99" s="584"/>
      <c r="F99" s="584"/>
      <c r="G99" s="584"/>
      <c r="H99" s="584"/>
      <c r="I99" s="584"/>
      <c r="J99" s="584"/>
      <c r="K99" s="584"/>
      <c r="L99" s="584"/>
      <c r="M99" s="584"/>
      <c r="N99" s="584"/>
      <c r="O99" s="584"/>
      <c r="P99" s="584"/>
    </row>
    <row r="100" spans="3:16">
      <c r="C100" s="584"/>
      <c r="D100" s="584"/>
      <c r="E100" s="584"/>
      <c r="F100" s="584"/>
      <c r="G100" s="584"/>
      <c r="H100" s="584"/>
      <c r="I100" s="584"/>
      <c r="J100" s="584"/>
      <c r="K100" s="584"/>
      <c r="L100" s="584"/>
      <c r="M100" s="584"/>
      <c r="N100" s="584"/>
      <c r="O100" s="584"/>
      <c r="P100" s="584"/>
    </row>
    <row r="101" spans="3:16">
      <c r="C101" s="584"/>
      <c r="D101" s="584"/>
      <c r="E101" s="584"/>
      <c r="F101" s="584"/>
      <c r="G101" s="584"/>
      <c r="H101" s="584"/>
      <c r="I101" s="584"/>
      <c r="J101" s="584"/>
      <c r="K101" s="584"/>
      <c r="L101" s="584"/>
      <c r="M101" s="584"/>
      <c r="N101" s="584"/>
      <c r="O101" s="584"/>
      <c r="P101" s="584"/>
    </row>
    <row r="102" spans="3:16">
      <c r="C102" s="584"/>
      <c r="D102" s="584"/>
      <c r="E102" s="584"/>
      <c r="F102" s="584"/>
      <c r="G102" s="584"/>
      <c r="H102" s="584"/>
      <c r="I102" s="584"/>
      <c r="J102" s="584"/>
      <c r="K102" s="584"/>
      <c r="L102" s="584"/>
      <c r="M102" s="584"/>
      <c r="N102" s="584"/>
      <c r="O102" s="584"/>
      <c r="P102" s="584"/>
    </row>
    <row r="103" spans="3:16">
      <c r="C103" s="584"/>
      <c r="D103" s="584"/>
      <c r="E103" s="584"/>
      <c r="F103" s="584"/>
      <c r="G103" s="584"/>
      <c r="H103" s="584"/>
      <c r="I103" s="584"/>
      <c r="J103" s="584"/>
      <c r="K103" s="584"/>
      <c r="L103" s="584"/>
      <c r="M103" s="584"/>
      <c r="N103" s="584"/>
      <c r="O103" s="584"/>
      <c r="P103" s="584"/>
    </row>
    <row r="104" spans="3:16">
      <c r="C104" s="584"/>
      <c r="D104" s="584"/>
      <c r="E104" s="584"/>
      <c r="F104" s="584"/>
      <c r="G104" s="584"/>
      <c r="H104" s="584"/>
      <c r="I104" s="584"/>
      <c r="J104" s="584"/>
      <c r="K104" s="584"/>
      <c r="L104" s="584"/>
      <c r="M104" s="584"/>
      <c r="N104" s="584"/>
      <c r="O104" s="584"/>
      <c r="P104" s="584"/>
    </row>
    <row r="105" spans="3:16">
      <c r="C105" s="584"/>
      <c r="D105" s="584"/>
      <c r="E105" s="584"/>
      <c r="F105" s="584"/>
      <c r="G105" s="584"/>
      <c r="H105" s="584"/>
      <c r="I105" s="584"/>
      <c r="J105" s="584"/>
      <c r="K105" s="584"/>
      <c r="L105" s="584"/>
      <c r="M105" s="584"/>
      <c r="N105" s="584"/>
      <c r="O105" s="584"/>
      <c r="P105" s="584"/>
    </row>
    <row r="106" spans="3:16">
      <c r="C106" s="584"/>
      <c r="D106" s="584"/>
      <c r="E106" s="584"/>
      <c r="F106" s="584"/>
      <c r="G106" s="584"/>
      <c r="H106" s="584"/>
      <c r="I106" s="584"/>
      <c r="J106" s="584"/>
      <c r="K106" s="584"/>
      <c r="L106" s="584"/>
      <c r="M106" s="584"/>
      <c r="N106" s="584"/>
      <c r="O106" s="584"/>
      <c r="P106" s="584"/>
    </row>
    <row r="107" spans="3:16">
      <c r="C107" s="584"/>
      <c r="D107" s="584"/>
      <c r="E107" s="584"/>
      <c r="F107" s="584"/>
      <c r="G107" s="584"/>
      <c r="H107" s="584"/>
      <c r="I107" s="584"/>
      <c r="J107" s="584"/>
      <c r="K107" s="584"/>
      <c r="L107" s="584"/>
      <c r="M107" s="584"/>
      <c r="N107" s="584"/>
      <c r="O107" s="584"/>
      <c r="P107" s="584"/>
    </row>
    <row r="108" spans="3:16">
      <c r="C108" s="584"/>
      <c r="D108" s="584"/>
      <c r="E108" s="584"/>
      <c r="F108" s="584"/>
      <c r="G108" s="584"/>
      <c r="H108" s="584"/>
      <c r="I108" s="584"/>
      <c r="J108" s="584"/>
      <c r="K108" s="584"/>
      <c r="L108" s="584"/>
      <c r="M108" s="584"/>
      <c r="N108" s="584"/>
      <c r="O108" s="584"/>
      <c r="P108" s="584"/>
    </row>
    <row r="109" spans="3:16">
      <c r="C109" s="584"/>
      <c r="D109" s="584"/>
      <c r="E109" s="584"/>
      <c r="F109" s="584"/>
      <c r="G109" s="584"/>
      <c r="H109" s="584"/>
      <c r="I109" s="584"/>
      <c r="J109" s="584"/>
      <c r="K109" s="584"/>
      <c r="L109" s="584"/>
      <c r="M109" s="584"/>
      <c r="N109" s="584"/>
      <c r="O109" s="584"/>
      <c r="P109" s="584"/>
    </row>
    <row r="110" spans="3:16">
      <c r="C110" s="584"/>
      <c r="D110" s="584"/>
      <c r="E110" s="584"/>
      <c r="F110" s="584"/>
      <c r="G110" s="584"/>
      <c r="H110" s="584"/>
      <c r="I110" s="584"/>
      <c r="J110" s="584"/>
      <c r="K110" s="584"/>
      <c r="L110" s="584"/>
      <c r="M110" s="584"/>
      <c r="N110" s="584"/>
      <c r="O110" s="584"/>
      <c r="P110" s="584"/>
    </row>
    <row r="111" spans="3:16">
      <c r="C111" s="584"/>
      <c r="D111" s="584"/>
      <c r="E111" s="584"/>
      <c r="F111" s="584"/>
      <c r="G111" s="584"/>
      <c r="H111" s="584"/>
      <c r="I111" s="584"/>
      <c r="J111" s="584"/>
      <c r="K111" s="584"/>
      <c r="L111" s="584"/>
      <c r="M111" s="584"/>
      <c r="N111" s="584"/>
      <c r="O111" s="584"/>
      <c r="P111" s="584"/>
    </row>
    <row r="112" spans="3:16">
      <c r="C112" s="584"/>
      <c r="D112" s="584"/>
      <c r="E112" s="584"/>
      <c r="F112" s="584"/>
      <c r="G112" s="584"/>
      <c r="H112" s="584"/>
      <c r="I112" s="584"/>
      <c r="J112" s="584"/>
      <c r="K112" s="584"/>
      <c r="L112" s="584"/>
      <c r="M112" s="584"/>
      <c r="N112" s="584"/>
      <c r="O112" s="584"/>
      <c r="P112" s="584"/>
    </row>
    <row r="113" spans="3:16">
      <c r="C113" s="584"/>
      <c r="D113" s="584"/>
      <c r="E113" s="584"/>
      <c r="F113" s="584"/>
      <c r="G113" s="584"/>
      <c r="H113" s="584"/>
      <c r="I113" s="584"/>
      <c r="J113" s="584"/>
      <c r="K113" s="584"/>
      <c r="L113" s="584"/>
      <c r="M113" s="584"/>
      <c r="N113" s="584"/>
      <c r="O113" s="584"/>
      <c r="P113" s="584"/>
    </row>
    <row r="114" spans="3:16">
      <c r="C114" s="584"/>
      <c r="D114" s="584"/>
      <c r="E114" s="584"/>
      <c r="F114" s="584"/>
      <c r="G114" s="584"/>
      <c r="H114" s="584"/>
      <c r="I114" s="584"/>
      <c r="J114" s="584"/>
      <c r="K114" s="584"/>
      <c r="L114" s="584"/>
      <c r="M114" s="584"/>
      <c r="N114" s="584"/>
      <c r="O114" s="584"/>
      <c r="P114" s="584"/>
    </row>
    <row r="115" spans="3:16">
      <c r="C115" s="584"/>
      <c r="D115" s="584"/>
      <c r="E115" s="584"/>
      <c r="F115" s="584"/>
      <c r="G115" s="584"/>
      <c r="H115" s="584"/>
      <c r="I115" s="584"/>
      <c r="J115" s="584"/>
      <c r="K115" s="584"/>
      <c r="L115" s="584"/>
      <c r="M115" s="584"/>
      <c r="N115" s="584"/>
      <c r="O115" s="584"/>
      <c r="P115" s="584"/>
    </row>
    <row r="116" spans="3:16">
      <c r="C116" s="584"/>
      <c r="D116" s="584"/>
      <c r="E116" s="584"/>
      <c r="F116" s="584"/>
      <c r="G116" s="584"/>
      <c r="H116" s="584"/>
      <c r="I116" s="584"/>
      <c r="J116" s="584"/>
      <c r="K116" s="584"/>
      <c r="L116" s="584"/>
      <c r="M116" s="584"/>
      <c r="N116" s="584"/>
      <c r="O116" s="584"/>
      <c r="P116" s="584"/>
    </row>
    <row r="117" spans="3:16">
      <c r="C117" s="584"/>
      <c r="D117" s="584"/>
      <c r="E117" s="584"/>
      <c r="F117" s="584"/>
      <c r="G117" s="584"/>
      <c r="H117" s="584"/>
      <c r="I117" s="584"/>
      <c r="J117" s="584"/>
      <c r="K117" s="584"/>
      <c r="L117" s="584"/>
      <c r="M117" s="584"/>
      <c r="N117" s="584"/>
      <c r="O117" s="584"/>
      <c r="P117" s="584"/>
    </row>
    <row r="118" spans="3:16">
      <c r="C118" s="584"/>
      <c r="D118" s="584"/>
      <c r="E118" s="584"/>
      <c r="F118" s="584"/>
      <c r="G118" s="584"/>
      <c r="H118" s="584"/>
      <c r="I118" s="584"/>
      <c r="J118" s="584"/>
      <c r="K118" s="584"/>
      <c r="L118" s="584"/>
      <c r="M118" s="584"/>
      <c r="N118" s="584"/>
      <c r="O118" s="584"/>
      <c r="P118" s="584"/>
    </row>
    <row r="119" spans="3:16">
      <c r="C119" s="584"/>
      <c r="D119" s="584"/>
      <c r="E119" s="584"/>
      <c r="F119" s="584"/>
      <c r="G119" s="584"/>
      <c r="H119" s="584"/>
      <c r="I119" s="584"/>
      <c r="J119" s="584"/>
      <c r="K119" s="584"/>
      <c r="L119" s="584"/>
      <c r="M119" s="584"/>
      <c r="N119" s="584"/>
      <c r="O119" s="584"/>
      <c r="P119" s="584"/>
    </row>
    <row r="120" spans="3:16">
      <c r="C120" s="584"/>
      <c r="D120" s="584"/>
      <c r="E120" s="584"/>
      <c r="F120" s="584"/>
      <c r="G120" s="584"/>
      <c r="H120" s="584"/>
      <c r="I120" s="584"/>
      <c r="J120" s="584"/>
      <c r="K120" s="584"/>
      <c r="L120" s="584"/>
      <c r="M120" s="584"/>
      <c r="N120" s="584"/>
      <c r="O120" s="584"/>
      <c r="P120" s="584"/>
    </row>
    <row r="121" spans="3:16">
      <c r="C121" s="584"/>
      <c r="D121" s="584"/>
      <c r="E121" s="584"/>
      <c r="F121" s="584"/>
      <c r="G121" s="584"/>
      <c r="H121" s="584"/>
      <c r="I121" s="584"/>
      <c r="J121" s="584"/>
      <c r="K121" s="584"/>
      <c r="L121" s="584"/>
      <c r="M121" s="584"/>
      <c r="N121" s="584"/>
      <c r="O121" s="584"/>
      <c r="P121" s="584"/>
    </row>
    <row r="122" spans="3:16">
      <c r="C122" s="584"/>
      <c r="D122" s="584"/>
      <c r="E122" s="584"/>
      <c r="F122" s="584"/>
      <c r="G122" s="584"/>
      <c r="H122" s="584"/>
      <c r="I122" s="584"/>
      <c r="J122" s="584"/>
      <c r="K122" s="584"/>
      <c r="L122" s="584"/>
      <c r="M122" s="584"/>
      <c r="N122" s="584"/>
      <c r="O122" s="584"/>
      <c r="P122" s="584"/>
    </row>
    <row r="123" spans="3:16">
      <c r="C123" s="584"/>
      <c r="D123" s="584"/>
      <c r="E123" s="584"/>
      <c r="F123" s="584"/>
      <c r="G123" s="584"/>
      <c r="H123" s="584"/>
      <c r="I123" s="584"/>
      <c r="J123" s="584"/>
      <c r="K123" s="584"/>
      <c r="L123" s="584"/>
      <c r="M123" s="584"/>
      <c r="N123" s="584"/>
      <c r="O123" s="584"/>
      <c r="P123" s="584"/>
    </row>
    <row r="124" spans="3:16">
      <c r="C124" s="584"/>
      <c r="D124" s="584"/>
      <c r="E124" s="584"/>
      <c r="F124" s="584"/>
      <c r="G124" s="584"/>
      <c r="H124" s="584"/>
      <c r="I124" s="584"/>
      <c r="J124" s="584"/>
      <c r="K124" s="584"/>
      <c r="L124" s="584"/>
      <c r="M124" s="584"/>
      <c r="N124" s="584"/>
      <c r="O124" s="584"/>
      <c r="P124" s="584"/>
    </row>
    <row r="125" spans="3:16">
      <c r="C125" s="584"/>
      <c r="D125" s="584"/>
      <c r="E125" s="584"/>
      <c r="F125" s="584"/>
      <c r="G125" s="584"/>
      <c r="H125" s="584"/>
      <c r="I125" s="584"/>
      <c r="J125" s="584"/>
      <c r="K125" s="584"/>
      <c r="L125" s="584"/>
      <c r="M125" s="584"/>
      <c r="N125" s="584"/>
      <c r="O125" s="584"/>
      <c r="P125" s="584"/>
    </row>
    <row r="126" spans="3:16">
      <c r="C126" s="584"/>
      <c r="D126" s="584"/>
      <c r="E126" s="584"/>
      <c r="F126" s="584"/>
      <c r="G126" s="584"/>
      <c r="H126" s="584"/>
      <c r="I126" s="584"/>
      <c r="J126" s="584"/>
      <c r="K126" s="584"/>
      <c r="L126" s="584"/>
      <c r="M126" s="584"/>
      <c r="N126" s="584"/>
      <c r="O126" s="584"/>
      <c r="P126" s="584"/>
    </row>
    <row r="127" spans="3:16">
      <c r="C127" s="584"/>
      <c r="D127" s="584"/>
      <c r="E127" s="584"/>
      <c r="F127" s="584"/>
      <c r="G127" s="584"/>
      <c r="H127" s="584"/>
      <c r="I127" s="584"/>
      <c r="J127" s="584"/>
      <c r="K127" s="584"/>
      <c r="L127" s="584"/>
      <c r="M127" s="584"/>
      <c r="N127" s="584"/>
      <c r="O127" s="584"/>
      <c r="P127" s="584"/>
    </row>
    <row r="128" spans="3:16">
      <c r="C128" s="584"/>
      <c r="D128" s="584"/>
      <c r="E128" s="584"/>
      <c r="F128" s="584"/>
      <c r="G128" s="584"/>
      <c r="H128" s="584"/>
      <c r="I128" s="584"/>
      <c r="J128" s="584"/>
      <c r="K128" s="584"/>
      <c r="L128" s="584"/>
      <c r="M128" s="584"/>
      <c r="N128" s="584"/>
      <c r="O128" s="584"/>
      <c r="P128" s="584"/>
    </row>
    <row r="129" spans="3:16">
      <c r="C129" s="584"/>
      <c r="D129" s="584"/>
      <c r="E129" s="584"/>
      <c r="F129" s="584"/>
      <c r="G129" s="584"/>
      <c r="H129" s="584"/>
      <c r="I129" s="584"/>
      <c r="J129" s="584"/>
      <c r="K129" s="584"/>
      <c r="L129" s="584"/>
      <c r="M129" s="584"/>
      <c r="N129" s="584"/>
      <c r="O129" s="584"/>
      <c r="P129" s="584"/>
    </row>
    <row r="130" spans="3:16">
      <c r="C130" s="584"/>
      <c r="D130" s="584"/>
      <c r="E130" s="584"/>
      <c r="F130" s="584"/>
      <c r="G130" s="584"/>
      <c r="H130" s="584"/>
      <c r="I130" s="584"/>
      <c r="J130" s="584"/>
      <c r="K130" s="584"/>
      <c r="L130" s="584"/>
      <c r="M130" s="584"/>
      <c r="N130" s="584"/>
      <c r="O130" s="584"/>
      <c r="P130" s="584"/>
    </row>
    <row r="131" spans="3:16">
      <c r="C131" s="584"/>
      <c r="D131" s="584"/>
      <c r="E131" s="584"/>
      <c r="F131" s="584"/>
      <c r="G131" s="584"/>
      <c r="H131" s="584"/>
      <c r="I131" s="584"/>
      <c r="J131" s="584"/>
      <c r="K131" s="584"/>
      <c r="L131" s="584"/>
      <c r="M131" s="584"/>
      <c r="N131" s="584"/>
      <c r="O131" s="584"/>
      <c r="P131" s="584"/>
    </row>
    <row r="132" spans="3:16">
      <c r="C132" s="584"/>
      <c r="D132" s="584"/>
      <c r="E132" s="584"/>
      <c r="F132" s="584"/>
      <c r="G132" s="584"/>
      <c r="H132" s="584"/>
      <c r="I132" s="584"/>
      <c r="J132" s="584"/>
      <c r="K132" s="584"/>
      <c r="L132" s="584"/>
      <c r="M132" s="584"/>
      <c r="N132" s="584"/>
      <c r="O132" s="584"/>
      <c r="P132" s="584"/>
    </row>
    <row r="133" spans="3:16">
      <c r="C133" s="584"/>
      <c r="D133" s="584"/>
      <c r="E133" s="584"/>
      <c r="F133" s="584"/>
      <c r="G133" s="584"/>
      <c r="H133" s="584"/>
      <c r="I133" s="584"/>
      <c r="J133" s="584"/>
      <c r="K133" s="584"/>
      <c r="L133" s="584"/>
      <c r="M133" s="584"/>
      <c r="N133" s="584"/>
      <c r="O133" s="584"/>
      <c r="P133" s="584"/>
    </row>
    <row r="134" spans="3:16">
      <c r="C134" s="584"/>
      <c r="D134" s="584"/>
      <c r="E134" s="584"/>
      <c r="F134" s="584"/>
      <c r="G134" s="584"/>
      <c r="H134" s="584"/>
      <c r="I134" s="584"/>
      <c r="J134" s="584"/>
      <c r="K134" s="584"/>
      <c r="L134" s="584"/>
      <c r="M134" s="584"/>
      <c r="N134" s="584"/>
      <c r="O134" s="584"/>
      <c r="P134" s="584"/>
    </row>
    <row r="135" spans="3:16">
      <c r="C135" s="584"/>
      <c r="D135" s="584"/>
      <c r="E135" s="584"/>
      <c r="F135" s="584"/>
      <c r="G135" s="584"/>
      <c r="H135" s="584"/>
      <c r="I135" s="584"/>
      <c r="J135" s="584"/>
      <c r="K135" s="584"/>
      <c r="L135" s="584"/>
      <c r="M135" s="584"/>
      <c r="N135" s="584"/>
      <c r="O135" s="584"/>
      <c r="P135" s="584"/>
    </row>
    <row r="136" spans="3:16">
      <c r="C136" s="584"/>
      <c r="D136" s="584"/>
      <c r="E136" s="584"/>
      <c r="F136" s="584"/>
      <c r="G136" s="584"/>
      <c r="H136" s="584"/>
      <c r="I136" s="584"/>
      <c r="J136" s="584"/>
      <c r="K136" s="584"/>
      <c r="L136" s="584"/>
      <c r="M136" s="584"/>
      <c r="N136" s="584"/>
      <c r="O136" s="584"/>
      <c r="P136" s="584"/>
    </row>
    <row r="137" spans="3:16">
      <c r="C137" s="584"/>
      <c r="D137" s="584"/>
      <c r="E137" s="584"/>
      <c r="F137" s="584"/>
      <c r="G137" s="584"/>
      <c r="H137" s="584"/>
      <c r="I137" s="584"/>
      <c r="J137" s="584"/>
      <c r="K137" s="584"/>
      <c r="L137" s="584"/>
      <c r="M137" s="584"/>
      <c r="N137" s="584"/>
      <c r="O137" s="584"/>
      <c r="P137" s="584"/>
    </row>
    <row r="138" spans="3:16">
      <c r="C138" s="584"/>
      <c r="D138" s="584"/>
      <c r="E138" s="584"/>
      <c r="F138" s="584"/>
      <c r="G138" s="584"/>
      <c r="H138" s="584"/>
      <c r="I138" s="584"/>
      <c r="J138" s="584"/>
      <c r="K138" s="584"/>
      <c r="L138" s="584"/>
      <c r="M138" s="584"/>
      <c r="N138" s="584"/>
      <c r="O138" s="584"/>
      <c r="P138" s="584"/>
    </row>
    <row r="139" spans="3:16">
      <c r="C139" s="584"/>
      <c r="D139" s="584"/>
      <c r="E139" s="584"/>
      <c r="F139" s="584"/>
      <c r="G139" s="584"/>
      <c r="H139" s="584"/>
      <c r="I139" s="584"/>
      <c r="J139" s="584"/>
      <c r="K139" s="584"/>
      <c r="L139" s="584"/>
      <c r="M139" s="584"/>
      <c r="N139" s="584"/>
      <c r="O139" s="584"/>
      <c r="P139" s="584"/>
    </row>
    <row r="140" spans="3:16">
      <c r="C140" s="584"/>
      <c r="D140" s="584"/>
      <c r="E140" s="584"/>
      <c r="F140" s="584"/>
      <c r="G140" s="584"/>
      <c r="H140" s="584"/>
      <c r="I140" s="584"/>
      <c r="J140" s="584"/>
      <c r="K140" s="584"/>
      <c r="L140" s="584"/>
      <c r="M140" s="584"/>
      <c r="N140" s="584"/>
      <c r="O140" s="584"/>
      <c r="P140" s="584"/>
    </row>
    <row r="141" spans="3:16">
      <c r="C141" s="584"/>
      <c r="D141" s="584"/>
      <c r="E141" s="584"/>
      <c r="F141" s="584"/>
      <c r="G141" s="584"/>
      <c r="H141" s="584"/>
      <c r="I141" s="584"/>
      <c r="J141" s="584"/>
      <c r="K141" s="584"/>
      <c r="L141" s="584"/>
      <c r="M141" s="584"/>
      <c r="N141" s="584"/>
      <c r="O141" s="584"/>
      <c r="P141" s="584"/>
    </row>
    <row r="142" spans="3:16">
      <c r="C142" s="584"/>
      <c r="D142" s="584"/>
      <c r="E142" s="584"/>
      <c r="F142" s="584"/>
      <c r="G142" s="584"/>
      <c r="H142" s="584"/>
      <c r="I142" s="584"/>
      <c r="J142" s="584"/>
      <c r="K142" s="584"/>
      <c r="L142" s="584"/>
      <c r="M142" s="584"/>
      <c r="N142" s="584"/>
      <c r="O142" s="584"/>
      <c r="P142" s="584"/>
    </row>
    <row r="143" spans="3:16">
      <c r="C143" s="584"/>
      <c r="D143" s="584"/>
      <c r="E143" s="584"/>
      <c r="F143" s="584"/>
      <c r="G143" s="584"/>
      <c r="H143" s="584"/>
      <c r="I143" s="584"/>
      <c r="J143" s="584"/>
      <c r="K143" s="584"/>
      <c r="L143" s="584"/>
      <c r="M143" s="584"/>
      <c r="N143" s="584"/>
      <c r="O143" s="584"/>
      <c r="P143" s="584"/>
    </row>
    <row r="144" spans="3:16">
      <c r="C144" s="584"/>
      <c r="D144" s="584"/>
      <c r="E144" s="584"/>
      <c r="F144" s="584"/>
      <c r="G144" s="584"/>
      <c r="H144" s="584"/>
      <c r="I144" s="584"/>
      <c r="J144" s="584"/>
      <c r="K144" s="584"/>
      <c r="L144" s="584"/>
      <c r="M144" s="584"/>
      <c r="N144" s="584"/>
      <c r="O144" s="584"/>
      <c r="P144" s="584"/>
    </row>
    <row r="145" spans="3:16">
      <c r="C145" s="584"/>
      <c r="D145" s="584"/>
      <c r="E145" s="584"/>
      <c r="F145" s="584"/>
      <c r="G145" s="584"/>
      <c r="H145" s="584"/>
      <c r="I145" s="584"/>
      <c r="J145" s="584"/>
      <c r="K145" s="584"/>
      <c r="L145" s="584"/>
      <c r="M145" s="584"/>
      <c r="N145" s="584"/>
      <c r="O145" s="584"/>
      <c r="P145" s="584"/>
    </row>
    <row r="146" spans="3:16">
      <c r="C146" s="584"/>
      <c r="D146" s="584"/>
      <c r="E146" s="584"/>
      <c r="F146" s="584"/>
      <c r="G146" s="584"/>
      <c r="H146" s="584"/>
      <c r="I146" s="584"/>
      <c r="J146" s="584"/>
      <c r="K146" s="584"/>
      <c r="L146" s="584"/>
      <c r="M146" s="584"/>
      <c r="N146" s="584"/>
      <c r="O146" s="584"/>
      <c r="P146" s="584"/>
    </row>
    <row r="147" spans="3:16">
      <c r="C147" s="584"/>
      <c r="D147" s="584"/>
      <c r="E147" s="584"/>
      <c r="F147" s="584"/>
      <c r="G147" s="584"/>
      <c r="H147" s="584"/>
      <c r="I147" s="584"/>
      <c r="J147" s="584"/>
      <c r="K147" s="584"/>
      <c r="L147" s="584"/>
      <c r="M147" s="584"/>
      <c r="N147" s="584"/>
      <c r="O147" s="584"/>
      <c r="P147" s="584"/>
    </row>
    <row r="148" spans="3:16">
      <c r="C148" s="584"/>
      <c r="D148" s="584"/>
      <c r="E148" s="584"/>
      <c r="F148" s="584"/>
      <c r="G148" s="584"/>
      <c r="H148" s="584"/>
      <c r="I148" s="584"/>
      <c r="J148" s="584"/>
      <c r="K148" s="584"/>
      <c r="L148" s="584"/>
      <c r="M148" s="584"/>
      <c r="N148" s="584"/>
      <c r="O148" s="584"/>
      <c r="P148" s="584"/>
    </row>
    <row r="149" spans="3:16">
      <c r="C149" s="584"/>
      <c r="D149" s="584"/>
      <c r="E149" s="584"/>
      <c r="F149" s="584"/>
      <c r="G149" s="584"/>
      <c r="H149" s="584"/>
      <c r="I149" s="584"/>
      <c r="J149" s="584"/>
      <c r="K149" s="584"/>
      <c r="L149" s="584"/>
      <c r="M149" s="584"/>
      <c r="N149" s="584"/>
      <c r="O149" s="584"/>
      <c r="P149" s="584"/>
    </row>
    <row r="150" spans="3:16">
      <c r="C150" s="584"/>
      <c r="D150" s="584"/>
      <c r="E150" s="584"/>
      <c r="F150" s="584"/>
      <c r="G150" s="584"/>
      <c r="H150" s="584"/>
      <c r="I150" s="584"/>
      <c r="J150" s="584"/>
      <c r="K150" s="584"/>
      <c r="L150" s="584"/>
      <c r="M150" s="584"/>
      <c r="N150" s="584"/>
      <c r="O150" s="584"/>
      <c r="P150" s="584"/>
    </row>
    <row r="151" spans="3:16">
      <c r="C151" s="584"/>
      <c r="D151" s="584"/>
      <c r="E151" s="584"/>
      <c r="F151" s="584"/>
      <c r="G151" s="584"/>
      <c r="H151" s="584"/>
      <c r="I151" s="584"/>
      <c r="J151" s="584"/>
      <c r="K151" s="584"/>
      <c r="L151" s="584"/>
      <c r="M151" s="584"/>
      <c r="N151" s="584"/>
      <c r="O151" s="584"/>
      <c r="P151" s="584"/>
    </row>
    <row r="152" spans="3:16">
      <c r="C152" s="584"/>
      <c r="D152" s="584"/>
      <c r="E152" s="584"/>
      <c r="F152" s="584"/>
      <c r="G152" s="584"/>
      <c r="H152" s="584"/>
      <c r="I152" s="584"/>
      <c r="J152" s="584"/>
      <c r="K152" s="584"/>
      <c r="L152" s="584"/>
      <c r="M152" s="584"/>
      <c r="N152" s="584"/>
      <c r="O152" s="584"/>
      <c r="P152" s="584"/>
    </row>
    <row r="153" spans="3:16">
      <c r="C153" s="584"/>
      <c r="D153" s="584"/>
      <c r="E153" s="584"/>
      <c r="F153" s="584"/>
      <c r="G153" s="584"/>
      <c r="H153" s="584"/>
      <c r="I153" s="584"/>
      <c r="J153" s="584"/>
      <c r="K153" s="584"/>
      <c r="L153" s="584"/>
      <c r="M153" s="584"/>
      <c r="N153" s="584"/>
      <c r="O153" s="584"/>
      <c r="P153" s="584"/>
    </row>
    <row r="154" spans="3:16">
      <c r="C154" s="584"/>
      <c r="D154" s="584"/>
      <c r="E154" s="584"/>
      <c r="F154" s="584"/>
      <c r="G154" s="584"/>
      <c r="H154" s="584"/>
      <c r="I154" s="584"/>
      <c r="J154" s="584"/>
      <c r="K154" s="584"/>
      <c r="L154" s="584"/>
      <c r="M154" s="584"/>
      <c r="N154" s="584"/>
      <c r="O154" s="584"/>
      <c r="P154" s="584"/>
    </row>
    <row r="155" spans="3:16">
      <c r="C155" s="584"/>
      <c r="D155" s="584"/>
      <c r="E155" s="584"/>
      <c r="F155" s="584"/>
      <c r="G155" s="584"/>
      <c r="H155" s="584"/>
      <c r="I155" s="584"/>
      <c r="J155" s="584"/>
      <c r="K155" s="584"/>
      <c r="L155" s="584"/>
      <c r="M155" s="584"/>
      <c r="N155" s="584"/>
      <c r="O155" s="584"/>
      <c r="P155" s="584"/>
    </row>
    <row r="156" spans="3:16">
      <c r="C156" s="584"/>
      <c r="D156" s="584"/>
      <c r="E156" s="584"/>
      <c r="F156" s="584"/>
      <c r="G156" s="584"/>
      <c r="H156" s="584"/>
      <c r="I156" s="584"/>
      <c r="J156" s="584"/>
      <c r="K156" s="584"/>
      <c r="L156" s="584"/>
      <c r="M156" s="584"/>
      <c r="N156" s="584"/>
      <c r="O156" s="584"/>
      <c r="P156" s="584"/>
    </row>
    <row r="157" spans="3:16">
      <c r="C157" s="584"/>
      <c r="D157" s="584"/>
      <c r="E157" s="584"/>
      <c r="F157" s="584"/>
      <c r="G157" s="584"/>
      <c r="H157" s="584"/>
      <c r="I157" s="584"/>
      <c r="J157" s="584"/>
      <c r="K157" s="584"/>
      <c r="L157" s="584"/>
      <c r="M157" s="584"/>
      <c r="N157" s="584"/>
      <c r="O157" s="584"/>
      <c r="P157" s="584"/>
    </row>
    <row r="158" spans="3:16">
      <c r="C158" s="584"/>
      <c r="D158" s="584"/>
      <c r="E158" s="584"/>
      <c r="F158" s="584"/>
      <c r="G158" s="584"/>
      <c r="H158" s="584"/>
      <c r="I158" s="584"/>
      <c r="J158" s="584"/>
      <c r="K158" s="584"/>
      <c r="L158" s="584"/>
      <c r="M158" s="584"/>
      <c r="N158" s="584"/>
      <c r="O158" s="584"/>
      <c r="P158" s="584"/>
    </row>
    <row r="159" spans="3:16">
      <c r="C159" s="584"/>
      <c r="D159" s="584"/>
      <c r="E159" s="584"/>
      <c r="F159" s="584"/>
      <c r="G159" s="584"/>
      <c r="H159" s="584"/>
      <c r="I159" s="584"/>
      <c r="J159" s="584"/>
      <c r="K159" s="584"/>
      <c r="L159" s="584"/>
      <c r="M159" s="584"/>
      <c r="N159" s="584"/>
      <c r="O159" s="584"/>
      <c r="P159" s="584"/>
    </row>
    <row r="160" spans="3:16">
      <c r="C160" s="584"/>
      <c r="D160" s="584"/>
      <c r="E160" s="584"/>
      <c r="F160" s="584"/>
      <c r="G160" s="584"/>
      <c r="H160" s="584"/>
      <c r="I160" s="584"/>
      <c r="J160" s="584"/>
      <c r="K160" s="584"/>
      <c r="L160" s="584"/>
      <c r="M160" s="584"/>
      <c r="N160" s="584"/>
      <c r="O160" s="584"/>
      <c r="P160" s="584"/>
    </row>
    <row r="161" spans="3:16">
      <c r="C161" s="584"/>
      <c r="D161" s="584"/>
      <c r="E161" s="584"/>
      <c r="F161" s="584"/>
      <c r="G161" s="584"/>
      <c r="H161" s="584"/>
      <c r="I161" s="584"/>
      <c r="J161" s="584"/>
      <c r="K161" s="584"/>
      <c r="L161" s="584"/>
      <c r="M161" s="584"/>
      <c r="N161" s="584"/>
      <c r="O161" s="584"/>
      <c r="P161" s="584"/>
    </row>
    <row r="162" spans="3:16">
      <c r="C162" s="584"/>
      <c r="D162" s="584"/>
      <c r="E162" s="584"/>
      <c r="F162" s="584"/>
      <c r="G162" s="584"/>
      <c r="H162" s="584"/>
      <c r="I162" s="584"/>
      <c r="J162" s="584"/>
      <c r="K162" s="584"/>
      <c r="L162" s="584"/>
      <c r="M162" s="584"/>
      <c r="N162" s="584"/>
      <c r="O162" s="584"/>
      <c r="P162" s="584"/>
    </row>
    <row r="163" spans="3:16">
      <c r="C163" s="584"/>
      <c r="D163" s="584"/>
      <c r="E163" s="584"/>
      <c r="F163" s="584"/>
      <c r="G163" s="584"/>
      <c r="H163" s="584"/>
      <c r="I163" s="584"/>
      <c r="J163" s="584"/>
      <c r="K163" s="584"/>
      <c r="L163" s="584"/>
      <c r="M163" s="584"/>
      <c r="N163" s="584"/>
      <c r="O163" s="584"/>
      <c r="P163" s="584"/>
    </row>
  </sheetData>
  <mergeCells count="4">
    <mergeCell ref="A4:A5"/>
    <mergeCell ref="A3:N3"/>
    <mergeCell ref="A2:O2"/>
    <mergeCell ref="A1:O1"/>
  </mergeCells>
  <pageMargins left="0.7" right="0.7" top="0.3" bottom="0.18" header="0.18" footer="0.17"/>
  <pageSetup paperSize="9" scale="91" orientation="landscape" r:id="rId1"/>
  <rowBreaks count="2" manualBreakCount="2">
    <brk id="38" max="16383" man="1"/>
    <brk id="78" max="16383" man="1"/>
  </rowBreaks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workbookViewId="0">
      <selection activeCell="S32" sqref="S32"/>
    </sheetView>
  </sheetViews>
  <sheetFormatPr defaultColWidth="8.85546875" defaultRowHeight="12"/>
  <cols>
    <col min="1" max="1" width="15.7109375" style="37" customWidth="1"/>
    <col min="2" max="2" width="8.85546875" style="37"/>
    <col min="3" max="3" width="8.85546875" style="38"/>
    <col min="4" max="11" width="8.85546875" style="37"/>
    <col min="12" max="12" width="10.85546875" style="37" customWidth="1"/>
    <col min="13" max="13" width="12" style="37" customWidth="1"/>
    <col min="14" max="16384" width="8.85546875" style="37"/>
  </cols>
  <sheetData>
    <row r="1" spans="1:21">
      <c r="R1" s="775"/>
      <c r="S1" s="775"/>
      <c r="T1" s="775"/>
      <c r="U1" s="775"/>
    </row>
    <row r="3" spans="1:21">
      <c r="B3" s="776" t="s">
        <v>387</v>
      </c>
      <c r="C3" s="777"/>
      <c r="D3" s="777"/>
      <c r="E3" s="777"/>
      <c r="F3" s="777"/>
      <c r="G3" s="777"/>
      <c r="H3" s="39"/>
      <c r="I3" s="39"/>
      <c r="J3" s="39"/>
      <c r="K3" s="39"/>
      <c r="L3" s="39"/>
    </row>
    <row r="4" spans="1:21">
      <c r="B4" s="40">
        <v>2007</v>
      </c>
      <c r="C4" s="41">
        <v>2008</v>
      </c>
      <c r="D4" s="41">
        <v>2009</v>
      </c>
      <c r="E4" s="41">
        <v>2010</v>
      </c>
      <c r="F4" s="41">
        <v>2011</v>
      </c>
      <c r="G4" s="41">
        <v>2012</v>
      </c>
      <c r="H4" s="42">
        <v>2013</v>
      </c>
      <c r="I4" s="42">
        <v>2014</v>
      </c>
      <c r="J4" s="42" t="s">
        <v>616</v>
      </c>
      <c r="K4" s="42" t="s">
        <v>388</v>
      </c>
      <c r="L4" s="42" t="s">
        <v>391</v>
      </c>
      <c r="M4" s="42" t="s">
        <v>588</v>
      </c>
    </row>
    <row r="5" spans="1:21">
      <c r="A5" s="43" t="s">
        <v>252</v>
      </c>
      <c r="B5" s="44">
        <f>'[1]13.7'!B10</f>
        <v>808.9</v>
      </c>
      <c r="C5" s="44">
        <f>'[1]13.7'!C10</f>
        <v>498.79999999999995</v>
      </c>
      <c r="D5" s="44">
        <f>'[1]13.7'!H10</f>
        <v>696.52141600000004</v>
      </c>
      <c r="E5" s="44">
        <f>'[1]13.7'!I10</f>
        <v>635.70163600000001</v>
      </c>
      <c r="F5" s="44">
        <f>'[1]13.7'!J10</f>
        <v>1285.636868</v>
      </c>
      <c r="G5" s="49">
        <f>'[1]13.7'!K10</f>
        <v>1139.8289990000001</v>
      </c>
      <c r="H5" s="49">
        <v>462.58586595999998</v>
      </c>
      <c r="I5" s="49">
        <v>679.01722999999993</v>
      </c>
      <c r="J5" s="49">
        <v>1719.7020305552883</v>
      </c>
      <c r="K5" s="49">
        <v>2002.5255470000002</v>
      </c>
      <c r="L5" s="49">
        <v>1850.2315947099999</v>
      </c>
      <c r="M5" s="49">
        <v>1086.6580180000001</v>
      </c>
    </row>
    <row r="6" spans="1:21">
      <c r="A6" s="43" t="s">
        <v>264</v>
      </c>
      <c r="B6" s="44">
        <f>'[1]13.7'!B15</f>
        <v>626.5</v>
      </c>
      <c r="C6" s="44">
        <f>'[1]13.7'!C15</f>
        <v>1443.3</v>
      </c>
      <c r="D6" s="44">
        <f>'[1]13.7'!H15</f>
        <v>1087.278699</v>
      </c>
      <c r="E6" s="44">
        <f>'[1]13.7'!I15</f>
        <v>1816.638207</v>
      </c>
      <c r="F6" s="44">
        <f>'[1]13.7'!J15</f>
        <v>1383.244537</v>
      </c>
      <c r="G6" s="49">
        <f>'[1]13.7'!K15</f>
        <v>1081.7647489999999</v>
      </c>
      <c r="H6" s="49">
        <v>1108.2257616500001</v>
      </c>
      <c r="I6" s="49">
        <v>1155.5744520000001</v>
      </c>
      <c r="J6" s="49">
        <v>1989.8133760633332</v>
      </c>
      <c r="K6" s="49">
        <v>4171.0280739999998</v>
      </c>
      <c r="L6" s="49">
        <v>4233.077045</v>
      </c>
      <c r="M6" s="49">
        <v>3170.7842250000003</v>
      </c>
    </row>
    <row r="7" spans="1:21">
      <c r="A7" s="43" t="s">
        <v>274</v>
      </c>
      <c r="B7" s="44">
        <f>'[1]13.7'!B20</f>
        <v>329.9</v>
      </c>
      <c r="C7" s="44">
        <f>'[1]13.7'!C20</f>
        <v>937.10000000000014</v>
      </c>
      <c r="D7" s="46">
        <f>'[1]13.7'!H20</f>
        <v>581.73487699999998</v>
      </c>
      <c r="E7" s="46">
        <f>'[1]13.7'!I20</f>
        <v>174.8779509</v>
      </c>
      <c r="F7" s="46">
        <f>'[1]13.7'!J20</f>
        <v>919.10181</v>
      </c>
      <c r="G7" s="50">
        <f>'[1]13.7'!K20</f>
        <v>662.15555800000004</v>
      </c>
      <c r="H7" s="50">
        <v>522.22979633</v>
      </c>
      <c r="I7" s="50">
        <v>750.4553719999999</v>
      </c>
      <c r="J7" s="50">
        <v>1495.8268652273334</v>
      </c>
      <c r="K7" s="50">
        <v>3856.0642340000004</v>
      </c>
      <c r="L7" s="50">
        <v>4514.7370679999995</v>
      </c>
      <c r="M7" s="50">
        <v>4568.8097980000002</v>
      </c>
    </row>
    <row r="34" spans="1:13">
      <c r="B34" s="776" t="s">
        <v>244</v>
      </c>
      <c r="C34" s="777"/>
      <c r="D34" s="777"/>
      <c r="E34" s="777"/>
      <c r="F34" s="777"/>
      <c r="G34" s="777"/>
    </row>
    <row r="35" spans="1:13">
      <c r="B35" s="40">
        <v>2007</v>
      </c>
      <c r="C35" s="41">
        <v>2008</v>
      </c>
      <c r="D35" s="41">
        <v>2009</v>
      </c>
      <c r="E35" s="41">
        <v>2010</v>
      </c>
      <c r="F35" s="41">
        <v>2011</v>
      </c>
      <c r="G35" s="41">
        <v>2012</v>
      </c>
      <c r="H35" s="42">
        <v>2013</v>
      </c>
      <c r="I35" s="42">
        <v>2014</v>
      </c>
      <c r="J35" s="42" t="s">
        <v>615</v>
      </c>
      <c r="K35" s="42" t="s">
        <v>388</v>
      </c>
      <c r="L35" s="42" t="s">
        <v>391</v>
      </c>
      <c r="M35" s="42" t="s">
        <v>588</v>
      </c>
    </row>
    <row r="36" spans="1:13">
      <c r="A36" s="43" t="s">
        <v>252</v>
      </c>
      <c r="B36" s="45">
        <f>'[1]13.6'!B9</f>
        <v>2241.8999999999996</v>
      </c>
      <c r="C36" s="45">
        <f>'[1]13.6'!C9</f>
        <v>3209.7</v>
      </c>
      <c r="D36" s="45">
        <f>'[1]13.6'!H9</f>
        <v>3519.7833220000007</v>
      </c>
      <c r="E36" s="45">
        <f>'[1]13.6'!I9</f>
        <v>3978.9039029999999</v>
      </c>
      <c r="F36" s="45">
        <f>'[1]13.6'!J9</f>
        <v>4596.1388089999991</v>
      </c>
      <c r="G36" s="45">
        <v>4774.492886</v>
      </c>
      <c r="H36" s="48">
        <v>4784.0412950399996</v>
      </c>
      <c r="I36" s="48">
        <v>5537.7483140000004</v>
      </c>
      <c r="J36" s="48">
        <v>6115.5350003278891</v>
      </c>
      <c r="K36" s="48">
        <v>5935.9640506565102</v>
      </c>
      <c r="L36" s="48">
        <v>5914.9155266565103</v>
      </c>
      <c r="M36" s="48">
        <v>5899.0648216565105</v>
      </c>
    </row>
    <row r="37" spans="1:13">
      <c r="A37" s="43" t="s">
        <v>264</v>
      </c>
      <c r="B37" s="45">
        <f>'[1]13.6'!B14</f>
        <v>3817.6</v>
      </c>
      <c r="C37" s="45">
        <f>'[1]13.6'!C14</f>
        <v>3679.5</v>
      </c>
      <c r="D37" s="45">
        <f>'[1]13.6'!H14</f>
        <v>4345.2921539999998</v>
      </c>
      <c r="E37" s="45">
        <f>'[1]13.6'!I14</f>
        <v>3462.622922</v>
      </c>
      <c r="F37" s="45">
        <f>'[1]13.6'!J14</f>
        <v>3544.46576</v>
      </c>
      <c r="G37" s="45">
        <v>4225.7286190000004</v>
      </c>
      <c r="H37" s="48">
        <v>5531.6275246499999</v>
      </c>
      <c r="I37" s="48">
        <v>7089.9977030000009</v>
      </c>
      <c r="J37" s="48">
        <v>8236.5298372533343</v>
      </c>
      <c r="K37" s="48">
        <v>8411.2020310000007</v>
      </c>
      <c r="L37" s="48">
        <v>8505.485897999999</v>
      </c>
      <c r="M37" s="48">
        <v>8395.9167649999999</v>
      </c>
    </row>
    <row r="38" spans="1:13">
      <c r="A38" s="43" t="s">
        <v>274</v>
      </c>
      <c r="B38" s="45">
        <f>'[1]13.6'!B19</f>
        <v>266.3</v>
      </c>
      <c r="C38" s="45">
        <f>'[1]13.6'!C19</f>
        <v>293.99999999999994</v>
      </c>
      <c r="D38" s="45">
        <f>'[1]13.6'!H19</f>
        <v>255.78124300000002</v>
      </c>
      <c r="E38" s="45">
        <f>'[1]13.6'!I19</f>
        <v>265.56214700000004</v>
      </c>
      <c r="F38" s="45">
        <f>'[1]13.6'!J19</f>
        <v>209.35414899999998</v>
      </c>
      <c r="G38" s="45">
        <v>209.18252100000001</v>
      </c>
      <c r="H38" s="48">
        <v>300.81956875999992</v>
      </c>
      <c r="I38" s="48">
        <v>348.30320599999999</v>
      </c>
      <c r="J38" s="48">
        <v>426.31473999333332</v>
      </c>
      <c r="K38" s="48">
        <v>599.87789899999996</v>
      </c>
      <c r="L38" s="48">
        <v>551.79408100000012</v>
      </c>
      <c r="M38" s="48">
        <v>530.95678599999997</v>
      </c>
    </row>
    <row r="41" spans="1:13">
      <c r="M41" s="47"/>
    </row>
    <row r="46" spans="1:13">
      <c r="A46" s="16"/>
    </row>
    <row r="48" spans="1:13">
      <c r="M48" s="47"/>
    </row>
    <row r="53" spans="1:1">
      <c r="A53" s="16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view="pageBreakPreview" topLeftCell="A34" zoomScaleNormal="96" zoomScaleSheetLayoutView="100" workbookViewId="0">
      <selection activeCell="Q30" sqref="Q30"/>
    </sheetView>
  </sheetViews>
  <sheetFormatPr defaultColWidth="9.140625" defaultRowHeight="12.75"/>
  <cols>
    <col min="1" max="1" width="32" style="5" bestFit="1" customWidth="1"/>
    <col min="2" max="3" width="8.85546875" style="17" customWidth="1"/>
    <col min="4" max="4" width="8.85546875" style="19" customWidth="1"/>
    <col min="5" max="10" width="8.85546875" style="5" customWidth="1"/>
    <col min="11" max="12" width="9.42578125" style="5" customWidth="1"/>
    <col min="13" max="22" width="8.140625" style="5" customWidth="1"/>
    <col min="23" max="16384" width="9.140625" style="5"/>
  </cols>
  <sheetData>
    <row r="1" spans="1:22">
      <c r="A1" s="4" t="s">
        <v>244</v>
      </c>
      <c r="B1" s="5"/>
      <c r="C1" s="5"/>
      <c r="D1" s="5"/>
    </row>
    <row r="2" spans="1:22">
      <c r="A2" s="6"/>
      <c r="B2" s="41">
        <v>1998</v>
      </c>
      <c r="C2" s="41">
        <v>1999</v>
      </c>
      <c r="D2" s="41">
        <v>2000</v>
      </c>
      <c r="E2" s="41">
        <v>2001</v>
      </c>
      <c r="F2" s="41">
        <v>2002</v>
      </c>
      <c r="G2" s="41">
        <v>2003</v>
      </c>
      <c r="H2" s="41">
        <v>2004</v>
      </c>
      <c r="I2" s="52">
        <v>2005</v>
      </c>
      <c r="J2" s="52">
        <v>2006</v>
      </c>
      <c r="K2" s="53">
        <v>2007</v>
      </c>
      <c r="L2" s="53">
        <v>2008</v>
      </c>
      <c r="M2" s="53">
        <v>2009</v>
      </c>
      <c r="N2" s="53">
        <v>2010</v>
      </c>
      <c r="O2" s="53">
        <v>2011</v>
      </c>
      <c r="P2" s="71">
        <v>2012</v>
      </c>
      <c r="Q2" s="71">
        <v>2013</v>
      </c>
      <c r="R2" s="71">
        <v>2014</v>
      </c>
      <c r="S2" s="71" t="s">
        <v>618</v>
      </c>
      <c r="T2" s="71" t="s">
        <v>245</v>
      </c>
      <c r="U2" s="71" t="s">
        <v>392</v>
      </c>
      <c r="V2" s="71" t="s">
        <v>617</v>
      </c>
    </row>
    <row r="3" spans="1:22">
      <c r="A3" s="7"/>
      <c r="B3" s="54">
        <f>SUM(B4:B6)</f>
        <v>1297.9000000000001</v>
      </c>
      <c r="C3" s="54">
        <f t="shared" ref="C3:M3" si="0">SUM(C4:C6)</f>
        <v>1545.5</v>
      </c>
      <c r="D3" s="54">
        <f t="shared" si="0"/>
        <v>1875.9</v>
      </c>
      <c r="E3" s="54">
        <f t="shared" si="0"/>
        <v>1971.3999999999999</v>
      </c>
      <c r="F3" s="54">
        <f t="shared" si="0"/>
        <v>2109.4</v>
      </c>
      <c r="G3" s="54">
        <f t="shared" si="0"/>
        <v>2345.6999999999998</v>
      </c>
      <c r="H3" s="54">
        <f t="shared" si="0"/>
        <v>2788.1</v>
      </c>
      <c r="I3" s="54">
        <f t="shared" si="0"/>
        <v>4643.2999999999993</v>
      </c>
      <c r="J3" s="54">
        <f t="shared" si="0"/>
        <v>5607.8000000000011</v>
      </c>
      <c r="K3" s="54">
        <f t="shared" si="0"/>
        <v>6560.1</v>
      </c>
      <c r="L3" s="54">
        <f t="shared" si="0"/>
        <v>7463.2000000000007</v>
      </c>
      <c r="M3" s="55">
        <f t="shared" si="0"/>
        <v>8764.9308290000008</v>
      </c>
      <c r="N3" s="55">
        <f>SUM(N4:N6)</f>
        <v>8428.1</v>
      </c>
      <c r="O3" s="55">
        <v>9075.7434510000003</v>
      </c>
      <c r="P3" s="72">
        <v>10316.485255</v>
      </c>
      <c r="Q3" s="72">
        <v>11573.214585849999</v>
      </c>
      <c r="R3" s="72">
        <v>13960.001397</v>
      </c>
      <c r="S3" s="72">
        <v>16234.904366467077</v>
      </c>
      <c r="T3" s="72">
        <v>16227.501863999998</v>
      </c>
      <c r="U3" s="72">
        <v>16225.199133</v>
      </c>
      <c r="V3" s="72">
        <v>16170.712633999998</v>
      </c>
    </row>
    <row r="4" spans="1:22">
      <c r="A4" s="8" t="s">
        <v>196</v>
      </c>
      <c r="B4" s="56">
        <v>1188.4000000000001</v>
      </c>
      <c r="C4" s="56">
        <v>1421.8</v>
      </c>
      <c r="D4" s="56">
        <v>1741.2</v>
      </c>
      <c r="E4" s="56">
        <v>1824.8</v>
      </c>
      <c r="F4" s="56">
        <v>1939.8</v>
      </c>
      <c r="G4" s="56">
        <v>2174.6999999999998</v>
      </c>
      <c r="H4" s="56">
        <v>2600.8000000000002</v>
      </c>
      <c r="I4" s="56">
        <v>4260.8999999999996</v>
      </c>
      <c r="J4" s="56">
        <v>5259.2000000000007</v>
      </c>
      <c r="K4" s="56">
        <v>6157.5</v>
      </c>
      <c r="L4" s="56">
        <v>6704.0000000000009</v>
      </c>
      <c r="M4" s="57">
        <f>+'[2]13.4'!C11</f>
        <v>7725.4148610000011</v>
      </c>
      <c r="N4" s="57">
        <f>8428.1-N5-N6</f>
        <v>7113.5</v>
      </c>
      <c r="O4" s="58">
        <v>7352.3074529999994</v>
      </c>
      <c r="P4" s="73">
        <v>8519.2447279999997</v>
      </c>
      <c r="Q4" s="73">
        <v>8842.2643139699994</v>
      </c>
      <c r="R4" s="73">
        <v>10437.031647</v>
      </c>
      <c r="S4" s="73">
        <v>13176.737087791109</v>
      </c>
      <c r="T4" s="73">
        <v>13544.515696999999</v>
      </c>
      <c r="U4" s="73">
        <v>13525.383776999999</v>
      </c>
      <c r="V4" s="73">
        <v>13200.112980999998</v>
      </c>
    </row>
    <row r="5" spans="1:22">
      <c r="A5" s="9" t="s">
        <v>220</v>
      </c>
      <c r="B5" s="56">
        <v>81.599999999999994</v>
      </c>
      <c r="C5" s="56">
        <v>98.7</v>
      </c>
      <c r="D5" s="56">
        <v>106.4</v>
      </c>
      <c r="E5" s="56">
        <v>116.5</v>
      </c>
      <c r="F5" s="56">
        <v>136.5</v>
      </c>
      <c r="G5" s="56">
        <v>135.19999999999999</v>
      </c>
      <c r="H5" s="56">
        <v>138.6</v>
      </c>
      <c r="I5" s="56">
        <v>154.9</v>
      </c>
      <c r="J5" s="56">
        <v>198.8</v>
      </c>
      <c r="K5" s="56">
        <v>234.3</v>
      </c>
      <c r="L5" s="56">
        <v>280</v>
      </c>
      <c r="M5" s="57">
        <f>+'[2]13.4'!C23</f>
        <v>617.87877800000001</v>
      </c>
      <c r="N5" s="57">
        <v>675.8</v>
      </c>
      <c r="O5" s="57">
        <v>725.78473299999996</v>
      </c>
      <c r="P5" s="74">
        <v>1107.0812289999999</v>
      </c>
      <c r="Q5" s="74">
        <v>956.72619699999996</v>
      </c>
      <c r="R5" s="74">
        <v>978.34736899999996</v>
      </c>
      <c r="S5" s="74">
        <v>1315.9350030526341</v>
      </c>
      <c r="T5" s="74">
        <v>1400.3110469999999</v>
      </c>
      <c r="U5" s="74">
        <v>1389.6848210000001</v>
      </c>
      <c r="V5" s="74">
        <v>1642.013205</v>
      </c>
    </row>
    <row r="6" spans="1:22">
      <c r="A6" s="10" t="s">
        <v>222</v>
      </c>
      <c r="B6" s="59">
        <v>27.9</v>
      </c>
      <c r="C6" s="59">
        <v>25</v>
      </c>
      <c r="D6" s="59">
        <v>28.3</v>
      </c>
      <c r="E6" s="59">
        <v>30.1</v>
      </c>
      <c r="F6" s="59">
        <v>33.1</v>
      </c>
      <c r="G6" s="59">
        <v>35.799999999999997</v>
      </c>
      <c r="H6" s="59">
        <v>48.7</v>
      </c>
      <c r="I6" s="59">
        <v>227.5</v>
      </c>
      <c r="J6" s="59">
        <v>149.80000000000001</v>
      </c>
      <c r="K6" s="59">
        <v>168.3</v>
      </c>
      <c r="L6" s="59">
        <v>479.2</v>
      </c>
      <c r="M6" s="60">
        <f>+'[2]13.4'!C24</f>
        <v>421.63718999999998</v>
      </c>
      <c r="N6" s="60">
        <f>249.3+389.5</f>
        <v>638.79999999999995</v>
      </c>
      <c r="O6" s="60">
        <v>997.65126500000008</v>
      </c>
      <c r="P6" s="75">
        <v>690.15929800000004</v>
      </c>
      <c r="Q6" s="75">
        <v>1774.22407488</v>
      </c>
      <c r="R6" s="75">
        <v>2544.6223810000001</v>
      </c>
      <c r="S6" s="75">
        <v>1742.2322756233332</v>
      </c>
      <c r="T6" s="75">
        <v>1282.6751199999999</v>
      </c>
      <c r="U6" s="75">
        <v>1310.130535</v>
      </c>
      <c r="V6" s="75">
        <v>1328.586448</v>
      </c>
    </row>
    <row r="7" spans="1:22">
      <c r="A7" s="11"/>
      <c r="B7" s="37"/>
      <c r="C7" s="37"/>
      <c r="D7" s="37"/>
      <c r="E7" s="37"/>
      <c r="F7" s="37"/>
      <c r="G7" s="37"/>
      <c r="H7" s="37"/>
      <c r="I7" s="37"/>
      <c r="J7" s="37"/>
      <c r="K7" s="61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4" t="s">
        <v>246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2">
      <c r="A9" s="12"/>
      <c r="B9" s="53">
        <v>1998</v>
      </c>
      <c r="C9" s="53">
        <v>1999</v>
      </c>
      <c r="D9" s="53">
        <v>2000</v>
      </c>
      <c r="E9" s="53">
        <v>2001</v>
      </c>
      <c r="F9" s="53">
        <v>2002</v>
      </c>
      <c r="G9" s="53">
        <v>2003</v>
      </c>
      <c r="H9" s="53">
        <v>2004</v>
      </c>
      <c r="I9" s="53">
        <v>2005</v>
      </c>
      <c r="J9" s="53">
        <v>2006</v>
      </c>
      <c r="K9" s="53">
        <v>2007</v>
      </c>
      <c r="L9" s="53">
        <v>2008</v>
      </c>
      <c r="M9" s="53">
        <v>2009</v>
      </c>
      <c r="N9" s="53">
        <v>2010</v>
      </c>
      <c r="O9" s="53">
        <v>2011</v>
      </c>
      <c r="P9" s="53">
        <v>2012</v>
      </c>
      <c r="Q9" s="53">
        <v>2013</v>
      </c>
      <c r="R9" s="53">
        <v>2014</v>
      </c>
      <c r="S9" s="53">
        <v>2015</v>
      </c>
      <c r="T9" s="53">
        <v>2016</v>
      </c>
      <c r="U9" s="53">
        <v>2017</v>
      </c>
      <c r="V9" s="53">
        <v>2018</v>
      </c>
    </row>
    <row r="10" spans="1:22">
      <c r="A10" s="8" t="s">
        <v>196</v>
      </c>
      <c r="B10" s="62">
        <f>B4/$B$3*100</f>
        <v>91.563294552739038</v>
      </c>
      <c r="C10" s="62">
        <f>C4/$C$3*100</f>
        <v>91.996117761242317</v>
      </c>
      <c r="D10" s="62">
        <f>D4/$D$3*100</f>
        <v>92.819446665600509</v>
      </c>
      <c r="E10" s="62">
        <f>E4/$E$3*100</f>
        <v>92.563660342903518</v>
      </c>
      <c r="F10" s="62">
        <f>F4/$F$3*100</f>
        <v>91.959798994974875</v>
      </c>
      <c r="G10" s="62">
        <f>G4/$G$3*100</f>
        <v>92.71006522573218</v>
      </c>
      <c r="H10" s="62">
        <f>H4/$H$3*100</f>
        <v>93.282163480506455</v>
      </c>
      <c r="I10" s="62">
        <f>I4/$I$3*100</f>
        <v>91.764477849805104</v>
      </c>
      <c r="J10" s="62">
        <f>J4/$J$3*100</f>
        <v>93.783658475694565</v>
      </c>
      <c r="K10" s="62">
        <f>K4/$K$3*100</f>
        <v>93.862898431426345</v>
      </c>
      <c r="L10" s="62">
        <f>L4/$L$3*100</f>
        <v>89.82741987351271</v>
      </c>
      <c r="M10" s="62">
        <f>M4/$M$3*100</f>
        <v>88.140055086794121</v>
      </c>
      <c r="N10" s="62">
        <f>N4/$N$3*100</f>
        <v>84.40217842692897</v>
      </c>
      <c r="O10" s="62">
        <f>O4/$O$3*100</f>
        <v>81.010525393265652</v>
      </c>
      <c r="P10" s="62">
        <f>P4/$P$3*100</f>
        <v>82.578945420108582</v>
      </c>
      <c r="Q10" s="62">
        <f>Q4/$Q$3*100</f>
        <v>76.40283733078796</v>
      </c>
      <c r="R10" s="62">
        <f>R4/$R$3*100</f>
        <v>74.763829531155451</v>
      </c>
      <c r="S10" s="62">
        <f>S4/$S$3*100</f>
        <v>81.16301020539079</v>
      </c>
      <c r="T10" s="62">
        <f>T4/$T$3*100</f>
        <v>83.466425149812579</v>
      </c>
      <c r="U10" s="62">
        <f>U4/$U$3*100</f>
        <v>83.360356111075902</v>
      </c>
      <c r="V10" s="62">
        <f>V4/$V$3*100</f>
        <v>81.629754233872688</v>
      </c>
    </row>
    <row r="11" spans="1:22">
      <c r="A11" s="9" t="s">
        <v>220</v>
      </c>
      <c r="B11" s="62">
        <f>B5/$B$3*100</f>
        <v>6.2870791278218654</v>
      </c>
      <c r="C11" s="62">
        <f>C5/$C$3*100</f>
        <v>6.3862827563895177</v>
      </c>
      <c r="D11" s="62">
        <f>D5/$D$3*100</f>
        <v>5.6719441334825946</v>
      </c>
      <c r="E11" s="62">
        <f>E5/$E$3*100</f>
        <v>5.9095059348686219</v>
      </c>
      <c r="F11" s="62">
        <f>F5/$F$3*100</f>
        <v>6.471034417369868</v>
      </c>
      <c r="G11" s="62">
        <f>G5/$G$3*100</f>
        <v>5.7637379033977068</v>
      </c>
      <c r="H11" s="62">
        <f>H5/$H$3*100</f>
        <v>4.9711272909866935</v>
      </c>
      <c r="I11" s="62">
        <f>I5/$I$3*100</f>
        <v>3.3359894902332399</v>
      </c>
      <c r="J11" s="62">
        <f>J5/$J$3*100</f>
        <v>3.5450622347444622</v>
      </c>
      <c r="K11" s="62">
        <f>K5/$K$3*100</f>
        <v>3.5715918964649926</v>
      </c>
      <c r="L11" s="62">
        <f>L5/$L$3*100</f>
        <v>3.7517418801586446</v>
      </c>
      <c r="M11" s="62">
        <f>M5/$M$3*100</f>
        <v>7.0494427172849052</v>
      </c>
      <c r="N11" s="62">
        <f>N5/$N$3*100</f>
        <v>8.018414589290586</v>
      </c>
      <c r="O11" s="62">
        <f>O5/$O$3*100</f>
        <v>7.9969727760432692</v>
      </c>
      <c r="P11" s="62">
        <f>P5/$P$3*100</f>
        <v>10.731186073895085</v>
      </c>
      <c r="Q11" s="62">
        <f>Q5/$Q$3*100</f>
        <v>8.2667282275206588</v>
      </c>
      <c r="R11" s="62">
        <f t="shared" ref="R11:R12" si="1">R5/$R$3*100</f>
        <v>7.0082182743208499</v>
      </c>
      <c r="S11" s="62">
        <f t="shared" ref="S11:S12" si="2">S5/$S$3*100</f>
        <v>8.1055913441084115</v>
      </c>
      <c r="T11" s="62">
        <f t="shared" ref="T11:T12" si="3">T5/$T$3*100</f>
        <v>8.6292459476250549</v>
      </c>
      <c r="U11" s="62">
        <f>U5/$U$3*100</f>
        <v>8.5649785226583575</v>
      </c>
      <c r="V11" s="62">
        <f>V5/$V$3*100</f>
        <v>10.154241449740182</v>
      </c>
    </row>
    <row r="12" spans="1:22">
      <c r="A12" s="10" t="s">
        <v>222</v>
      </c>
      <c r="B12" s="63">
        <f>B6/$B$3*100</f>
        <v>2.1496263194390934</v>
      </c>
      <c r="C12" s="63">
        <f>C6/$C$3*100</f>
        <v>1.6175994823681656</v>
      </c>
      <c r="D12" s="63">
        <f>D6/$D$3*100</f>
        <v>1.5086092009168932</v>
      </c>
      <c r="E12" s="63">
        <f>E6/$E$3*100</f>
        <v>1.5268337222278585</v>
      </c>
      <c r="F12" s="63">
        <f>F6/$F$3*100</f>
        <v>1.5691665876552574</v>
      </c>
      <c r="G12" s="63">
        <f>G6/$G$3*100</f>
        <v>1.5261968708701028</v>
      </c>
      <c r="H12" s="63">
        <f>H6/$H$3*100</f>
        <v>1.7467092285068688</v>
      </c>
      <c r="I12" s="63">
        <f>I6/$I$3*100</f>
        <v>4.8995326599616664</v>
      </c>
      <c r="J12" s="63">
        <f>J6/$J$3*100</f>
        <v>2.6712792895609683</v>
      </c>
      <c r="K12" s="63">
        <f>K6/$K$3*100</f>
        <v>2.5655096721086568</v>
      </c>
      <c r="L12" s="63">
        <f>L6/$L$3*100</f>
        <v>6.4208382463286515</v>
      </c>
      <c r="M12" s="63">
        <f>M6/$M$3*100</f>
        <v>4.8105021959209804</v>
      </c>
      <c r="N12" s="63">
        <f>N6/$N$3*100</f>
        <v>7.5794069837804487</v>
      </c>
      <c r="O12" s="62">
        <f>O6/$O$3*100</f>
        <v>10.992501830691072</v>
      </c>
      <c r="P12" s="62">
        <f>P6/$P$3*100</f>
        <v>6.6898685059963281</v>
      </c>
      <c r="Q12" s="62">
        <f>Q6/$Q$3*100</f>
        <v>15.330434441691393</v>
      </c>
      <c r="R12" s="62">
        <f t="shared" si="1"/>
        <v>18.227952194523699</v>
      </c>
      <c r="S12" s="62">
        <f t="shared" si="2"/>
        <v>10.731398450500791</v>
      </c>
      <c r="T12" s="62">
        <f t="shared" si="3"/>
        <v>7.9043289025623746</v>
      </c>
      <c r="U12" s="62">
        <f t="shared" ref="U12" si="4">U6/$U$3*100</f>
        <v>8.0746653662657391</v>
      </c>
      <c r="V12" s="62">
        <f>V6/$V$3*100</f>
        <v>8.2160043163871386</v>
      </c>
    </row>
    <row r="13" spans="1:22">
      <c r="B13" s="778"/>
      <c r="C13" s="778"/>
      <c r="D13" s="778"/>
      <c r="I13" s="13"/>
      <c r="J13" s="13"/>
      <c r="K13" s="14"/>
    </row>
    <row r="14" spans="1:22">
      <c r="B14" s="13"/>
      <c r="C14" s="13"/>
      <c r="D14" s="14"/>
      <c r="O14" s="15"/>
      <c r="P14" s="15"/>
      <c r="Q14" s="15"/>
      <c r="R14" s="15"/>
      <c r="S14" s="15"/>
      <c r="T14" s="15"/>
    </row>
    <row r="15" spans="1:22">
      <c r="A15" s="16"/>
      <c r="D15" s="17"/>
    </row>
    <row r="16" spans="1:22">
      <c r="A16" s="11"/>
      <c r="D16" s="17"/>
    </row>
    <row r="17" spans="1:4">
      <c r="A17" s="11"/>
      <c r="D17" s="17"/>
    </row>
    <row r="18" spans="1:4">
      <c r="B18" s="18"/>
    </row>
    <row r="19" spans="1:4">
      <c r="B19" s="18"/>
    </row>
    <row r="20" spans="1:4">
      <c r="B20" s="18"/>
    </row>
    <row r="21" spans="1:4">
      <c r="B21" s="18"/>
    </row>
    <row r="22" spans="1:4">
      <c r="B22" s="18"/>
    </row>
    <row r="23" spans="1:4">
      <c r="B23" s="18"/>
    </row>
    <row r="24" spans="1:4">
      <c r="B24" s="18"/>
    </row>
    <row r="25" spans="1:4">
      <c r="B25" s="18"/>
    </row>
    <row r="26" spans="1:4">
      <c r="B26" s="18"/>
    </row>
    <row r="27" spans="1:4">
      <c r="B27" s="18"/>
    </row>
    <row r="28" spans="1:4">
      <c r="B28" s="18"/>
    </row>
    <row r="29" spans="1:4">
      <c r="B29" s="18"/>
    </row>
    <row r="30" spans="1:4">
      <c r="B30" s="18"/>
    </row>
    <row r="56" spans="1:20">
      <c r="P56" s="22"/>
    </row>
    <row r="57" spans="1:20">
      <c r="J57" s="1"/>
      <c r="K57" s="1"/>
      <c r="L57" s="1"/>
      <c r="N57" s="22" t="s">
        <v>636</v>
      </c>
      <c r="O57" s="1"/>
      <c r="P57" s="1"/>
      <c r="Q57" s="1"/>
      <c r="R57" s="1"/>
      <c r="S57" s="1"/>
      <c r="T57" s="1"/>
    </row>
    <row r="58" spans="1:20" s="24" customFormat="1">
      <c r="A58" s="20"/>
      <c r="B58" s="21">
        <v>2003</v>
      </c>
      <c r="C58" s="21">
        <v>2004</v>
      </c>
      <c r="D58" s="21">
        <v>2005</v>
      </c>
      <c r="E58" s="21">
        <v>2006</v>
      </c>
      <c r="F58" s="22">
        <v>2007</v>
      </c>
      <c r="G58" s="22">
        <v>2008</v>
      </c>
      <c r="H58" s="22">
        <v>2009</v>
      </c>
      <c r="I58" s="22">
        <v>2010</v>
      </c>
      <c r="J58" s="22">
        <v>2011</v>
      </c>
      <c r="K58" s="22">
        <v>2012</v>
      </c>
      <c r="L58" s="22">
        <v>2013</v>
      </c>
      <c r="M58" s="22">
        <v>2014</v>
      </c>
      <c r="N58" s="22">
        <v>2015</v>
      </c>
      <c r="O58" s="22" t="s">
        <v>245</v>
      </c>
      <c r="P58" s="22" t="s">
        <v>392</v>
      </c>
      <c r="Q58" s="22" t="s">
        <v>588</v>
      </c>
      <c r="R58" s="23"/>
      <c r="S58" s="23"/>
      <c r="T58" s="23"/>
    </row>
    <row r="59" spans="1:20" s="24" customFormat="1">
      <c r="A59" s="25" t="s">
        <v>84</v>
      </c>
      <c r="B59" s="26">
        <v>2345.6999999999998</v>
      </c>
      <c r="C59" s="26">
        <v>2788.1</v>
      </c>
      <c r="D59" s="27">
        <v>4643.3</v>
      </c>
      <c r="E59" s="26">
        <v>5607.8000000000011</v>
      </c>
      <c r="F59" s="26">
        <v>6560.1</v>
      </c>
      <c r="G59" s="26">
        <v>7463.2</v>
      </c>
      <c r="H59" s="26">
        <f>+'[2]13.4'!C10</f>
        <v>8764.9308290000008</v>
      </c>
      <c r="I59" s="26">
        <v>8428.0733739999996</v>
      </c>
      <c r="J59" s="26">
        <v>9075.7434510000003</v>
      </c>
      <c r="K59" s="76">
        <v>10316.485255</v>
      </c>
      <c r="L59" s="76">
        <v>11573.214585849999</v>
      </c>
      <c r="M59" s="76">
        <v>13959.968519999999</v>
      </c>
      <c r="N59" s="76">
        <v>16234.897878692473</v>
      </c>
      <c r="O59" s="76">
        <v>16227.522015999997</v>
      </c>
      <c r="P59" s="76">
        <v>16225.179275999999</v>
      </c>
      <c r="Q59" s="76">
        <v>16170.666053999998</v>
      </c>
      <c r="R59" s="3"/>
      <c r="S59" s="3"/>
      <c r="T59" s="3"/>
    </row>
    <row r="60" spans="1:20" s="24" customFormat="1">
      <c r="A60" s="28" t="s">
        <v>86</v>
      </c>
      <c r="B60" s="29">
        <v>1206.2</v>
      </c>
      <c r="C60" s="29">
        <v>991</v>
      </c>
      <c r="D60" s="30">
        <v>1132.0999999999999</v>
      </c>
      <c r="E60" s="29">
        <v>1458.4</v>
      </c>
      <c r="F60" s="29">
        <v>1765.3000000000002</v>
      </c>
      <c r="G60" s="29">
        <v>2879.2</v>
      </c>
      <c r="H60" s="29">
        <v>2339.3396600000005</v>
      </c>
      <c r="I60" s="29">
        <v>2568.2887288999996</v>
      </c>
      <c r="J60" s="29">
        <v>3587.9832149999993</v>
      </c>
      <c r="K60" s="77">
        <v>2883.7493060000002</v>
      </c>
      <c r="L60" s="77">
        <v>2093.0414239399997</v>
      </c>
      <c r="M60" s="77">
        <v>2579.4051260000006</v>
      </c>
      <c r="N60" s="77">
        <v>5064.7574737806672</v>
      </c>
      <c r="O60" s="77">
        <v>9888.6341479999992</v>
      </c>
      <c r="P60" s="77">
        <v>10412.954420999999</v>
      </c>
      <c r="Q60" s="77">
        <v>8767.7113890000001</v>
      </c>
      <c r="R60" s="31"/>
      <c r="S60" s="31"/>
      <c r="T60" s="31"/>
    </row>
    <row r="61" spans="1:20" s="24" customFormat="1">
      <c r="A61" s="32" t="s">
        <v>110</v>
      </c>
      <c r="B61" s="29">
        <v>1268.7</v>
      </c>
      <c r="C61" s="29">
        <v>1647.2</v>
      </c>
      <c r="D61" s="33">
        <v>1722.8</v>
      </c>
      <c r="E61" s="29">
        <v>2370.3000000000002</v>
      </c>
      <c r="F61" s="29">
        <v>2905.1000000000004</v>
      </c>
      <c r="G61" s="29">
        <v>3366.8</v>
      </c>
      <c r="H61" s="29">
        <v>2731.9902730000003</v>
      </c>
      <c r="I61" s="29">
        <v>2931.0472653899988</v>
      </c>
      <c r="J61" s="29">
        <v>4892.9547389999998</v>
      </c>
      <c r="K61" s="77">
        <v>6880.0618489999988</v>
      </c>
      <c r="L61" s="77">
        <v>8872.8437029999986</v>
      </c>
      <c r="M61" s="77">
        <v>10837.855577</v>
      </c>
      <c r="N61" s="77">
        <v>12144.954811876654</v>
      </c>
      <c r="O61" s="77">
        <v>13864.498839488133</v>
      </c>
      <c r="P61" s="77">
        <v>14983.380465871682</v>
      </c>
      <c r="Q61" s="77">
        <v>16705.869435174427</v>
      </c>
      <c r="R61" s="31"/>
      <c r="S61" s="31"/>
      <c r="T61" s="31"/>
    </row>
    <row r="62" spans="1:20" s="24" customFormat="1">
      <c r="A62" s="34" t="s">
        <v>247</v>
      </c>
      <c r="B62" s="35">
        <v>1668.1</v>
      </c>
      <c r="C62" s="35">
        <v>1683.9</v>
      </c>
      <c r="D62" s="36">
        <v>2030.5</v>
      </c>
      <c r="E62" s="35">
        <v>2865.5</v>
      </c>
      <c r="F62" s="35">
        <v>3585.6000000000004</v>
      </c>
      <c r="G62" s="35">
        <v>3530.4399999999996</v>
      </c>
      <c r="H62" s="35">
        <v>2567.4414229999993</v>
      </c>
      <c r="I62" s="35">
        <v>3411.9841732599989</v>
      </c>
      <c r="J62" s="35">
        <v>3744.7069500000007</v>
      </c>
      <c r="K62" s="78">
        <v>2843.3084128</v>
      </c>
      <c r="L62" s="78">
        <v>2642.1310951999994</v>
      </c>
      <c r="M62" s="78">
        <v>4036.9878939999999</v>
      </c>
      <c r="N62" s="78">
        <v>4331.7897080287785</v>
      </c>
      <c r="O62" s="78">
        <v>6156.3180381790571</v>
      </c>
      <c r="P62" s="78">
        <v>5392.341387025831</v>
      </c>
      <c r="Q62" s="78">
        <v>4320.7504549135538</v>
      </c>
      <c r="R62" s="31"/>
      <c r="S62" s="31"/>
      <c r="T62" s="31"/>
    </row>
    <row r="63" spans="1:20" s="24" customFormat="1" ht="12"/>
  </sheetData>
  <mergeCells count="1">
    <mergeCell ref="B13:D13"/>
  </mergeCells>
  <pageMargins left="0.17" right="0.7" top="0.75" bottom="0.17" header="0.3" footer="0.3"/>
  <pageSetup paperSize="9" scale="62" orientation="landscape" r:id="rId1"/>
  <colBreaks count="1" manualBreakCount="1">
    <brk id="2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workbookViewId="0">
      <selection activeCell="R16" sqref="R16"/>
    </sheetView>
  </sheetViews>
  <sheetFormatPr defaultColWidth="8" defaultRowHeight="12.75"/>
  <cols>
    <col min="1" max="1" width="30.28515625" style="81" customWidth="1"/>
    <col min="2" max="6" width="15.85546875" style="81" customWidth="1"/>
    <col min="7" max="11" width="9.140625" style="81" customWidth="1"/>
    <col min="12" max="13" width="19.7109375" style="81" customWidth="1"/>
    <col min="14" max="14" width="23.42578125" style="81" customWidth="1"/>
    <col min="15" max="15" width="1.5703125" style="81" customWidth="1"/>
    <col min="16" max="16" width="14.28515625" style="81" bestFit="1" customWidth="1"/>
    <col min="17" max="17" width="8.28515625" style="81" bestFit="1" customWidth="1"/>
    <col min="18" max="16384" width="8" style="81"/>
  </cols>
  <sheetData>
    <row r="1" spans="1:17" ht="8.25" customHeight="1"/>
    <row r="2" spans="1:17" ht="18.75" customHeight="1">
      <c r="A2" s="784" t="s">
        <v>637</v>
      </c>
      <c r="B2" s="784"/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  <c r="N2" s="784"/>
    </row>
    <row r="3" spans="1:17" ht="15.75" customHeight="1">
      <c r="A3" s="785" t="s">
        <v>638</v>
      </c>
      <c r="B3" s="785"/>
      <c r="C3" s="785"/>
      <c r="D3" s="785"/>
      <c r="E3" s="785"/>
      <c r="F3" s="785"/>
      <c r="G3" s="785"/>
      <c r="H3" s="785"/>
      <c r="I3" s="785"/>
      <c r="J3" s="785"/>
      <c r="K3" s="785"/>
      <c r="L3" s="785"/>
      <c r="M3" s="785"/>
      <c r="N3" s="785"/>
    </row>
    <row r="4" spans="1:17" ht="6" customHeigh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1:17" ht="25.9" customHeight="1">
      <c r="A5" s="786" t="s">
        <v>639</v>
      </c>
      <c r="B5" s="789" t="s">
        <v>640</v>
      </c>
      <c r="C5" s="789"/>
      <c r="D5" s="789"/>
      <c r="E5" s="789"/>
      <c r="F5" s="790"/>
      <c r="G5" s="791" t="s">
        <v>641</v>
      </c>
      <c r="H5" s="789"/>
      <c r="I5" s="789"/>
      <c r="J5" s="789"/>
      <c r="K5" s="790"/>
      <c r="L5" s="83" t="s">
        <v>642</v>
      </c>
      <c r="M5" s="84" t="s">
        <v>643</v>
      </c>
      <c r="N5" s="792" t="s">
        <v>644</v>
      </c>
    </row>
    <row r="6" spans="1:17" s="87" customFormat="1" ht="51" customHeight="1">
      <c r="A6" s="787"/>
      <c r="B6" s="795" t="s">
        <v>645</v>
      </c>
      <c r="C6" s="795"/>
      <c r="D6" s="795"/>
      <c r="E6" s="795"/>
      <c r="F6" s="796"/>
      <c r="G6" s="797" t="s">
        <v>646</v>
      </c>
      <c r="H6" s="798"/>
      <c r="I6" s="798"/>
      <c r="J6" s="798"/>
      <c r="K6" s="799"/>
      <c r="L6" s="85" t="s">
        <v>647</v>
      </c>
      <c r="M6" s="86" t="s">
        <v>648</v>
      </c>
      <c r="N6" s="793"/>
    </row>
    <row r="7" spans="1:17" ht="18.75" customHeight="1">
      <c r="A7" s="788"/>
      <c r="B7" s="88">
        <v>2011</v>
      </c>
      <c r="C7" s="88">
        <v>2012</v>
      </c>
      <c r="D7" s="88">
        <v>2013</v>
      </c>
      <c r="E7" s="89" t="s">
        <v>649</v>
      </c>
      <c r="F7" s="90">
        <v>2015</v>
      </c>
      <c r="G7" s="91">
        <v>2011</v>
      </c>
      <c r="H7" s="88">
        <v>2012</v>
      </c>
      <c r="I7" s="88">
        <v>2013</v>
      </c>
      <c r="J7" s="88">
        <v>2014</v>
      </c>
      <c r="K7" s="90">
        <v>2015</v>
      </c>
      <c r="L7" s="92">
        <v>2014</v>
      </c>
      <c r="M7" s="93">
        <v>2015</v>
      </c>
      <c r="N7" s="794"/>
    </row>
    <row r="8" spans="1:17" ht="19.5" customHeight="1">
      <c r="A8" s="94" t="s">
        <v>650</v>
      </c>
      <c r="B8" s="95">
        <v>337494704.2076</v>
      </c>
      <c r="C8" s="95">
        <v>299914418.10500002</v>
      </c>
      <c r="D8" s="95">
        <v>350246279.87499994</v>
      </c>
      <c r="E8" s="96">
        <v>431977863.3118999</v>
      </c>
      <c r="F8" s="97">
        <v>496472273.14529997</v>
      </c>
      <c r="G8" s="98">
        <f t="shared" ref="G8:G28" si="0">(B8/$B$28)*100</f>
        <v>7.400866620570616</v>
      </c>
      <c r="H8" s="99">
        <f t="shared" ref="H8:H28" si="1">(C8/$C$28)*100</f>
        <v>4.1933328367356175</v>
      </c>
      <c r="I8" s="99">
        <f>(D8/$D$28)*100</f>
        <v>3.8990700171998918</v>
      </c>
      <c r="J8" s="99">
        <f>(E8/$E$28)*100</f>
        <v>3.7571793063672669</v>
      </c>
      <c r="K8" s="100">
        <f>(F8/$F$28)*100</f>
        <v>3.8137298901266101</v>
      </c>
      <c r="L8" s="101">
        <f>((E8/D8)-1)*100</f>
        <v>23.335460826612998</v>
      </c>
      <c r="M8" s="102">
        <f>((F8/E8)-1)*100</f>
        <v>14.930026584911671</v>
      </c>
      <c r="N8" s="103" t="s">
        <v>651</v>
      </c>
      <c r="Q8" s="104"/>
    </row>
    <row r="9" spans="1:17" ht="19.5" customHeight="1">
      <c r="A9" s="105" t="s">
        <v>652</v>
      </c>
      <c r="B9" s="95">
        <v>229856988.79999998</v>
      </c>
      <c r="C9" s="95">
        <v>313152517.39999998</v>
      </c>
      <c r="D9" s="95">
        <v>355036694.05000001</v>
      </c>
      <c r="E9" s="106">
        <v>482197189.75</v>
      </c>
      <c r="F9" s="97">
        <v>512725167.70999998</v>
      </c>
      <c r="G9" s="98">
        <f t="shared" si="0"/>
        <v>5.0404966202621857</v>
      </c>
      <c r="H9" s="99">
        <f t="shared" si="1"/>
        <v>4.3784248267120889</v>
      </c>
      <c r="I9" s="99">
        <f>(D9/$D$28)*100</f>
        <v>3.9523986643631916</v>
      </c>
      <c r="J9" s="99">
        <f>(E9/$E$28)*100</f>
        <v>4.1939679247152819</v>
      </c>
      <c r="K9" s="100">
        <f t="shared" ref="K9:K28" si="2">(F9/$F$28)*100</f>
        <v>3.9385790572508581</v>
      </c>
      <c r="L9" s="101">
        <f>((E9/D9)-1)*100</f>
        <v>35.816155859679078</v>
      </c>
      <c r="M9" s="102">
        <f t="shared" ref="M9:M27" si="3">((F9/E9)-1)*100</f>
        <v>6.3310153208954834</v>
      </c>
      <c r="N9" s="103" t="s">
        <v>653</v>
      </c>
      <c r="P9" s="107"/>
      <c r="Q9" s="104"/>
    </row>
    <row r="10" spans="1:17" ht="19.5" customHeight="1">
      <c r="A10" s="108" t="s">
        <v>654</v>
      </c>
      <c r="B10" s="95">
        <v>29029741.73</v>
      </c>
      <c r="C10" s="95">
        <v>28598365.850000001</v>
      </c>
      <c r="D10" s="95">
        <v>27710614</v>
      </c>
      <c r="E10" s="96">
        <v>28174257</v>
      </c>
      <c r="F10" s="97">
        <v>30778895.300000001</v>
      </c>
      <c r="G10" s="98">
        <f t="shared" si="0"/>
        <v>0.63658849722627686</v>
      </c>
      <c r="H10" s="99">
        <f t="shared" si="1"/>
        <v>0.39985562332584712</v>
      </c>
      <c r="I10" s="99">
        <f t="shared" ref="I10:I27" si="4">(D10/$D$28)*100</f>
        <v>0.30848471608081079</v>
      </c>
      <c r="J10" s="99">
        <f t="shared" ref="J10:J27" si="5">(E10/$E$28)*100</f>
        <v>0.24504898135542275</v>
      </c>
      <c r="K10" s="100">
        <f t="shared" si="2"/>
        <v>0.23643292755713219</v>
      </c>
      <c r="L10" s="101">
        <f>((E10/D10)-1)*100</f>
        <v>1.6731603276636253</v>
      </c>
      <c r="M10" s="102">
        <f t="shared" si="3"/>
        <v>9.2447453006480274</v>
      </c>
      <c r="N10" s="103" t="s">
        <v>655</v>
      </c>
      <c r="P10" s="109"/>
      <c r="Q10" s="104"/>
    </row>
    <row r="11" spans="1:17" ht="19.5" customHeight="1">
      <c r="A11" s="105" t="s">
        <v>656</v>
      </c>
      <c r="B11" s="95">
        <v>35069424.219999999</v>
      </c>
      <c r="C11" s="95">
        <v>1401117904.5887001</v>
      </c>
      <c r="D11" s="95">
        <v>1881814670.0172997</v>
      </c>
      <c r="E11" s="96">
        <v>2475402851.9278002</v>
      </c>
      <c r="F11" s="97">
        <v>2673628146.3839998</v>
      </c>
      <c r="G11" s="98">
        <f t="shared" si="0"/>
        <v>0.76903171479922761</v>
      </c>
      <c r="H11" s="99">
        <f t="shared" si="1"/>
        <v>19.590100918032675</v>
      </c>
      <c r="I11" s="99">
        <f t="shared" si="4"/>
        <v>20.949050937557406</v>
      </c>
      <c r="J11" s="99">
        <f t="shared" si="5"/>
        <v>21.53011336942145</v>
      </c>
      <c r="K11" s="100">
        <f t="shared" si="2"/>
        <v>20.537895323641383</v>
      </c>
      <c r="L11" s="101">
        <f>((E11/D11)-1)*100</f>
        <v>31.543392203709608</v>
      </c>
      <c r="M11" s="102">
        <f>((F11/E11)-1)*100</f>
        <v>8.0077993891711543</v>
      </c>
      <c r="N11" s="110" t="s">
        <v>657</v>
      </c>
      <c r="Q11" s="104"/>
    </row>
    <row r="12" spans="1:17" ht="19.5" customHeight="1">
      <c r="A12" s="108" t="s">
        <v>658</v>
      </c>
      <c r="B12" s="95">
        <v>44654557.465700001</v>
      </c>
      <c r="C12" s="95">
        <v>51539663.522400007</v>
      </c>
      <c r="D12" s="95">
        <v>54796856.450100005</v>
      </c>
      <c r="E12" s="96">
        <v>116054694.13689999</v>
      </c>
      <c r="F12" s="97">
        <v>219550748.9149</v>
      </c>
      <c r="G12" s="98">
        <f t="shared" si="0"/>
        <v>0.9792225468550313</v>
      </c>
      <c r="H12" s="99">
        <f t="shared" si="1"/>
        <v>0.7206154502619484</v>
      </c>
      <c r="I12" s="99">
        <f t="shared" si="4"/>
        <v>0.61001869912121209</v>
      </c>
      <c r="J12" s="99">
        <f t="shared" si="5"/>
        <v>1.0093996295896108</v>
      </c>
      <c r="K12" s="100">
        <f t="shared" si="2"/>
        <v>1.686513625890617</v>
      </c>
      <c r="L12" s="101">
        <f t="shared" ref="L12:M28" si="6">((E12/D12)-1)*100</f>
        <v>111.79078811315316</v>
      </c>
      <c r="M12" s="102">
        <f t="shared" si="3"/>
        <v>89.178689020466834</v>
      </c>
      <c r="N12" s="103" t="s">
        <v>659</v>
      </c>
      <c r="Q12" s="104"/>
    </row>
    <row r="13" spans="1:17" ht="19.5" customHeight="1">
      <c r="A13" s="105" t="s">
        <v>660</v>
      </c>
      <c r="B13" s="95">
        <v>923334858.34319997</v>
      </c>
      <c r="C13" s="95">
        <v>2572005117.2307997</v>
      </c>
      <c r="D13" s="95">
        <v>3654632712.6659002</v>
      </c>
      <c r="E13" s="96">
        <v>4542200766.8251991</v>
      </c>
      <c r="F13" s="97">
        <v>6018466639.1227999</v>
      </c>
      <c r="G13" s="98">
        <f t="shared" si="0"/>
        <v>20.2476603263027</v>
      </c>
      <c r="H13" s="99">
        <f t="shared" si="1"/>
        <v>35.961170464835831</v>
      </c>
      <c r="I13" s="99">
        <f t="shared" si="4"/>
        <v>40.684711451950641</v>
      </c>
      <c r="J13" s="99">
        <f>(E13/$E$28)*100</f>
        <v>39.506336263715319</v>
      </c>
      <c r="K13" s="100">
        <f t="shared" si="2"/>
        <v>46.23179854322899</v>
      </c>
      <c r="L13" s="101">
        <f t="shared" si="6"/>
        <v>24.286108179441523</v>
      </c>
      <c r="M13" s="102">
        <f t="shared" si="3"/>
        <v>32.501114505545004</v>
      </c>
      <c r="N13" s="103" t="s">
        <v>661</v>
      </c>
      <c r="Q13" s="104"/>
    </row>
    <row r="14" spans="1:17" ht="19.5" customHeight="1">
      <c r="A14" s="111" t="s">
        <v>662</v>
      </c>
      <c r="B14" s="95">
        <v>0</v>
      </c>
      <c r="C14" s="95">
        <v>0</v>
      </c>
      <c r="D14" s="95">
        <v>0</v>
      </c>
      <c r="E14" s="96">
        <v>0</v>
      </c>
      <c r="F14" s="97">
        <v>46759964.469999999</v>
      </c>
      <c r="G14" s="98">
        <f t="shared" si="0"/>
        <v>0</v>
      </c>
      <c r="H14" s="99">
        <f t="shared" si="1"/>
        <v>0</v>
      </c>
      <c r="I14" s="99">
        <f t="shared" si="4"/>
        <v>0</v>
      </c>
      <c r="J14" s="99">
        <f>(E14/$E$28)*100</f>
        <v>0</v>
      </c>
      <c r="K14" s="100">
        <f t="shared" si="2"/>
        <v>0.35919402513804921</v>
      </c>
      <c r="L14" s="112" t="s">
        <v>457</v>
      </c>
      <c r="M14" s="113" t="s">
        <v>457</v>
      </c>
      <c r="N14" s="114" t="s">
        <v>394</v>
      </c>
      <c r="Q14" s="104"/>
    </row>
    <row r="15" spans="1:17" ht="19.5" customHeight="1">
      <c r="A15" s="108" t="s">
        <v>663</v>
      </c>
      <c r="B15" s="95">
        <v>91658196.929999992</v>
      </c>
      <c r="C15" s="95">
        <v>89591327.080000013</v>
      </c>
      <c r="D15" s="95">
        <v>95183780.023000002</v>
      </c>
      <c r="E15" s="96">
        <v>107989839.28320001</v>
      </c>
      <c r="F15" s="97">
        <v>109629838.70999999</v>
      </c>
      <c r="G15" s="98">
        <f t="shared" si="0"/>
        <v>2.0099577317920159</v>
      </c>
      <c r="H15" s="99">
        <f t="shared" si="1"/>
        <v>1.2526448581733647</v>
      </c>
      <c r="I15" s="99">
        <f t="shared" si="4"/>
        <v>1.0596207415647125</v>
      </c>
      <c r="J15" s="99">
        <f t="shared" si="5"/>
        <v>0.93925458666342043</v>
      </c>
      <c r="K15" s="100">
        <f t="shared" si="2"/>
        <v>0.84213885720003445</v>
      </c>
      <c r="L15" s="101">
        <f t="shared" si="6"/>
        <v>13.454035190770508</v>
      </c>
      <c r="M15" s="102">
        <f t="shared" si="3"/>
        <v>1.5186608644718325</v>
      </c>
      <c r="N15" s="110" t="s">
        <v>664</v>
      </c>
      <c r="P15" s="109"/>
      <c r="Q15" s="104"/>
    </row>
    <row r="16" spans="1:17" ht="19.5" customHeight="1">
      <c r="A16" s="111" t="s">
        <v>665</v>
      </c>
      <c r="B16" s="95">
        <v>0</v>
      </c>
      <c r="C16" s="95">
        <v>0</v>
      </c>
      <c r="D16" s="95">
        <v>0</v>
      </c>
      <c r="E16" s="96">
        <v>114128047.2168</v>
      </c>
      <c r="F16" s="97">
        <v>106059531.70860001</v>
      </c>
      <c r="G16" s="115" t="s">
        <v>457</v>
      </c>
      <c r="H16" s="113" t="s">
        <v>457</v>
      </c>
      <c r="I16" s="113" t="s">
        <v>457</v>
      </c>
      <c r="J16" s="113" t="s">
        <v>457</v>
      </c>
      <c r="K16" s="100">
        <f t="shared" si="2"/>
        <v>0.8147129821518575</v>
      </c>
      <c r="L16" s="112" t="s">
        <v>457</v>
      </c>
      <c r="M16" s="102">
        <f t="shared" si="3"/>
        <v>-7.0697043408382125</v>
      </c>
      <c r="N16" s="114" t="s">
        <v>666</v>
      </c>
      <c r="P16" s="109"/>
      <c r="Q16" s="104"/>
    </row>
    <row r="17" spans="1:17" ht="19.5" customHeight="1">
      <c r="A17" s="105" t="s">
        <v>667</v>
      </c>
      <c r="B17" s="95">
        <v>7338828.0599999996</v>
      </c>
      <c r="C17" s="95">
        <v>16626055.370000001</v>
      </c>
      <c r="D17" s="95">
        <v>20650873.640000001</v>
      </c>
      <c r="E17" s="106">
        <v>28491864.500000004</v>
      </c>
      <c r="F17" s="97">
        <v>29076730.280000005</v>
      </c>
      <c r="G17" s="98">
        <f t="shared" si="0"/>
        <v>0.16093197003159945</v>
      </c>
      <c r="H17" s="99">
        <f t="shared" si="1"/>
        <v>0.23246159477400338</v>
      </c>
      <c r="I17" s="99">
        <f t="shared" si="4"/>
        <v>0.2298930977009784</v>
      </c>
      <c r="J17" s="99">
        <f t="shared" si="5"/>
        <v>0.24781141070168178</v>
      </c>
      <c r="K17" s="100">
        <f t="shared" si="2"/>
        <v>0.22335747910645487</v>
      </c>
      <c r="L17" s="101">
        <f t="shared" si="6"/>
        <v>37.969293680690996</v>
      </c>
      <c r="M17" s="102">
        <f t="shared" si="3"/>
        <v>2.0527466007007167</v>
      </c>
      <c r="N17" s="110" t="s">
        <v>668</v>
      </c>
      <c r="Q17" s="104"/>
    </row>
    <row r="18" spans="1:17" ht="19.5" customHeight="1">
      <c r="A18" s="105" t="s">
        <v>669</v>
      </c>
      <c r="B18" s="95">
        <v>511255000</v>
      </c>
      <c r="C18" s="95">
        <v>168705000</v>
      </c>
      <c r="D18" s="95">
        <v>0</v>
      </c>
      <c r="E18" s="96">
        <v>789362981.79999995</v>
      </c>
      <c r="F18" s="97">
        <v>1099036730.9112</v>
      </c>
      <c r="G18" s="98">
        <f t="shared" si="0"/>
        <v>11.211227959809348</v>
      </c>
      <c r="H18" s="99">
        <f t="shared" si="1"/>
        <v>2.3587936208315563</v>
      </c>
      <c r="I18" s="99">
        <f t="shared" si="4"/>
        <v>0</v>
      </c>
      <c r="J18" s="99">
        <f t="shared" si="5"/>
        <v>6.8655792630048449</v>
      </c>
      <c r="K18" s="100">
        <f t="shared" si="2"/>
        <v>8.4424235908868095</v>
      </c>
      <c r="L18" s="112" t="s">
        <v>457</v>
      </c>
      <c r="M18" s="102">
        <f t="shared" si="3"/>
        <v>39.230842622622731</v>
      </c>
      <c r="N18" s="103" t="s">
        <v>670</v>
      </c>
      <c r="Q18" s="104"/>
    </row>
    <row r="19" spans="1:17" ht="19.5" customHeight="1">
      <c r="A19" s="108" t="s">
        <v>671</v>
      </c>
      <c r="B19" s="95">
        <v>87861980</v>
      </c>
      <c r="C19" s="95">
        <v>171860080</v>
      </c>
      <c r="D19" s="95">
        <v>177775270</v>
      </c>
      <c r="E19" s="96">
        <v>227539500</v>
      </c>
      <c r="F19" s="97">
        <v>248718070</v>
      </c>
      <c r="G19" s="98">
        <f t="shared" si="0"/>
        <v>1.9267111065519353</v>
      </c>
      <c r="H19" s="99">
        <f t="shared" si="1"/>
        <v>2.4029072071343522</v>
      </c>
      <c r="I19" s="99">
        <f t="shared" si="4"/>
        <v>1.9790594929487844</v>
      </c>
      <c r="J19" s="99">
        <f t="shared" si="5"/>
        <v>1.9790521075009084</v>
      </c>
      <c r="K19" s="100">
        <f t="shared" si="2"/>
        <v>1.9105669925216493</v>
      </c>
      <c r="L19" s="101">
        <f t="shared" si="6"/>
        <v>27.99277424807174</v>
      </c>
      <c r="M19" s="102">
        <f t="shared" si="3"/>
        <v>9.3076454857288446</v>
      </c>
      <c r="N19" s="103" t="s">
        <v>672</v>
      </c>
      <c r="Q19" s="104"/>
    </row>
    <row r="20" spans="1:17" ht="19.5" customHeight="1">
      <c r="A20" s="105" t="s">
        <v>673</v>
      </c>
      <c r="B20" s="95">
        <v>37072935</v>
      </c>
      <c r="C20" s="95">
        <v>39918623.75</v>
      </c>
      <c r="D20" s="95">
        <v>32890380.349999998</v>
      </c>
      <c r="E20" s="96">
        <v>38065530.5</v>
      </c>
      <c r="F20" s="97">
        <v>37635924.899999999</v>
      </c>
      <c r="G20" s="98">
        <f t="shared" si="0"/>
        <v>0.81296637768666236</v>
      </c>
      <c r="H20" s="99">
        <f t="shared" si="1"/>
        <v>0.55813280610459126</v>
      </c>
      <c r="I20" s="99">
        <f t="shared" si="4"/>
        <v>0.36614777442533858</v>
      </c>
      <c r="J20" s="99">
        <f t="shared" si="5"/>
        <v>0.33107951964017285</v>
      </c>
      <c r="K20" s="100">
        <f t="shared" si="2"/>
        <v>0.28910627943905987</v>
      </c>
      <c r="L20" s="101">
        <f t="shared" si="6"/>
        <v>15.734540296977762</v>
      </c>
      <c r="M20" s="102">
        <f t="shared" si="3"/>
        <v>-1.1285948057390138</v>
      </c>
      <c r="N20" s="110" t="s">
        <v>674</v>
      </c>
      <c r="P20" s="107"/>
      <c r="Q20" s="104"/>
    </row>
    <row r="21" spans="1:17" ht="19.5" customHeight="1">
      <c r="A21" s="108" t="s">
        <v>675</v>
      </c>
      <c r="B21" s="95">
        <v>78480509.9366</v>
      </c>
      <c r="C21" s="95">
        <v>76481814.014899984</v>
      </c>
      <c r="D21" s="95">
        <v>101471706.8211</v>
      </c>
      <c r="E21" s="96">
        <v>89108745.615999997</v>
      </c>
      <c r="F21" s="97">
        <v>78504606.268000007</v>
      </c>
      <c r="G21" s="98">
        <f t="shared" si="0"/>
        <v>1.720986371382784</v>
      </c>
      <c r="H21" s="99">
        <f t="shared" si="1"/>
        <v>1.0693507306124395</v>
      </c>
      <c r="I21" s="99">
        <f t="shared" si="4"/>
        <v>1.1296202483619564</v>
      </c>
      <c r="J21" s="99">
        <f t="shared" si="5"/>
        <v>0.77503400863633398</v>
      </c>
      <c r="K21" s="100">
        <f t="shared" si="2"/>
        <v>0.60304548638765576</v>
      </c>
      <c r="L21" s="101">
        <f t="shared" si="6"/>
        <v>-12.18365354482167</v>
      </c>
      <c r="M21" s="102">
        <f t="shared" si="3"/>
        <v>-11.900222895850032</v>
      </c>
      <c r="N21" s="110" t="s">
        <v>676</v>
      </c>
      <c r="P21" s="109"/>
      <c r="Q21" s="104"/>
    </row>
    <row r="22" spans="1:17" ht="19.5" customHeight="1">
      <c r="A22" s="108" t="s">
        <v>677</v>
      </c>
      <c r="B22" s="95">
        <v>139511809.34999999</v>
      </c>
      <c r="C22" s="95">
        <v>17563271.770000003</v>
      </c>
      <c r="D22" s="95">
        <v>245418995.9262</v>
      </c>
      <c r="E22" s="96">
        <v>6604867.4700000007</v>
      </c>
      <c r="F22" s="97">
        <v>6990379.9299999997</v>
      </c>
      <c r="G22" s="98">
        <f t="shared" si="0"/>
        <v>3.0593318357929231</v>
      </c>
      <c r="H22" s="99">
        <f t="shared" si="1"/>
        <v>0.24556553399132786</v>
      </c>
      <c r="I22" s="99">
        <f t="shared" si="4"/>
        <v>2.7320942538166597</v>
      </c>
      <c r="J22" s="99">
        <f t="shared" si="5"/>
        <v>5.744662744827906E-2</v>
      </c>
      <c r="K22" s="100">
        <f t="shared" si="2"/>
        <v>5.3697703425584629E-2</v>
      </c>
      <c r="L22" s="101">
        <f t="shared" si="6"/>
        <v>-97.308738288544646</v>
      </c>
      <c r="M22" s="102">
        <f t="shared" si="3"/>
        <v>5.8367932702819036</v>
      </c>
      <c r="N22" s="110" t="s">
        <v>678</v>
      </c>
      <c r="P22" s="109"/>
      <c r="Q22" s="104"/>
    </row>
    <row r="23" spans="1:17" ht="19.5" customHeight="1">
      <c r="A23" s="105" t="s">
        <v>679</v>
      </c>
      <c r="B23" s="95">
        <v>1202495510.0143998</v>
      </c>
      <c r="C23" s="95">
        <v>1049841778.2217</v>
      </c>
      <c r="D23" s="95">
        <v>1068823153.4752001</v>
      </c>
      <c r="E23" s="96">
        <v>1156222825.7628999</v>
      </c>
      <c r="F23" s="97">
        <v>1234003148.4213002</v>
      </c>
      <c r="G23" s="98">
        <f t="shared" si="0"/>
        <v>26.369328971684659</v>
      </c>
      <c r="H23" s="99">
        <f t="shared" si="1"/>
        <v>14.678640759620659</v>
      </c>
      <c r="I23" s="99">
        <f t="shared" si="4"/>
        <v>11.898531264604745</v>
      </c>
      <c r="J23" s="99">
        <f t="shared" si="5"/>
        <v>10.056386781489467</v>
      </c>
      <c r="K23" s="100">
        <f t="shared" si="2"/>
        <v>9.4791893650571097</v>
      </c>
      <c r="L23" s="101">
        <f t="shared" si="6"/>
        <v>8.1771874050001756</v>
      </c>
      <c r="M23" s="102">
        <f t="shared" si="3"/>
        <v>6.7271049252188186</v>
      </c>
      <c r="N23" s="110" t="s">
        <v>680</v>
      </c>
      <c r="P23" s="107"/>
      <c r="Q23" s="104"/>
    </row>
    <row r="24" spans="1:17" ht="19.5" customHeight="1">
      <c r="A24" s="105" t="s">
        <v>681</v>
      </c>
      <c r="B24" s="95">
        <v>750739844.92149997</v>
      </c>
      <c r="C24" s="95">
        <v>802900158.02600002</v>
      </c>
      <c r="D24" s="95">
        <v>860140725.22539997</v>
      </c>
      <c r="E24" s="96">
        <v>804701951.22000003</v>
      </c>
      <c r="F24" s="97">
        <v>642475.1399999999</v>
      </c>
      <c r="G24" s="98">
        <f t="shared" si="0"/>
        <v>16.4628522751403</v>
      </c>
      <c r="H24" s="99">
        <f t="shared" si="1"/>
        <v>11.225961120988574</v>
      </c>
      <c r="I24" s="99">
        <f t="shared" si="4"/>
        <v>9.5754019528654339</v>
      </c>
      <c r="J24" s="99">
        <f t="shared" si="5"/>
        <v>6.9989917903134806</v>
      </c>
      <c r="K24" s="100">
        <f t="shared" si="2"/>
        <v>4.9352738866127637E-3</v>
      </c>
      <c r="L24" s="101">
        <f t="shared" si="6"/>
        <v>-6.4453143979285699</v>
      </c>
      <c r="M24" s="102">
        <f t="shared" si="3"/>
        <v>-99.920159863036744</v>
      </c>
      <c r="N24" s="110" t="s">
        <v>682</v>
      </c>
      <c r="Q24" s="104"/>
    </row>
    <row r="25" spans="1:17" ht="19.5" customHeight="1">
      <c r="A25" s="105" t="s">
        <v>683</v>
      </c>
      <c r="B25" s="95">
        <v>47548283.660000004</v>
      </c>
      <c r="C25" s="95">
        <v>45912900.350000001</v>
      </c>
      <c r="D25" s="95">
        <v>49700980.010000005</v>
      </c>
      <c r="E25" s="96">
        <v>52186302.670000002</v>
      </c>
      <c r="F25" s="97">
        <v>62246567.850000001</v>
      </c>
      <c r="G25" s="98">
        <f t="shared" si="0"/>
        <v>1.042678599152943</v>
      </c>
      <c r="H25" s="99">
        <f t="shared" si="1"/>
        <v>0.64194337132541979</v>
      </c>
      <c r="I25" s="99">
        <f t="shared" si="4"/>
        <v>0.55328953401476078</v>
      </c>
      <c r="J25" s="99">
        <f t="shared" si="5"/>
        <v>0.45389663017517307</v>
      </c>
      <c r="K25" s="100">
        <f t="shared" si="2"/>
        <v>0.47815680594485677</v>
      </c>
      <c r="L25" s="101">
        <f t="shared" si="6"/>
        <v>5.0005506118791621</v>
      </c>
      <c r="M25" s="102">
        <f t="shared" si="3"/>
        <v>19.277597118952983</v>
      </c>
      <c r="N25" s="103" t="s">
        <v>684</v>
      </c>
      <c r="Q25" s="104"/>
    </row>
    <row r="26" spans="1:17" ht="19.5" customHeight="1">
      <c r="A26" s="116" t="s">
        <v>685</v>
      </c>
      <c r="B26" s="95">
        <v>6802023.7300000004</v>
      </c>
      <c r="C26" s="95">
        <v>6443984.5899999999</v>
      </c>
      <c r="D26" s="95">
        <v>6238700.8399999999</v>
      </c>
      <c r="E26" s="96">
        <v>6704584.9800000004</v>
      </c>
      <c r="F26" s="97">
        <v>7018232.3599999994</v>
      </c>
      <c r="G26" s="98">
        <f t="shared" si="0"/>
        <v>0.14916047495880269</v>
      </c>
      <c r="H26" s="99">
        <f t="shared" si="1"/>
        <v>9.009827653969267E-2</v>
      </c>
      <c r="I26" s="99">
        <f t="shared" si="4"/>
        <v>6.9451505381314033E-2</v>
      </c>
      <c r="J26" s="99">
        <f t="shared" si="5"/>
        <v>5.8313932458267409E-2</v>
      </c>
      <c r="K26" s="100">
        <f t="shared" si="2"/>
        <v>5.3911656249436626E-2</v>
      </c>
      <c r="L26" s="101">
        <f t="shared" si="6"/>
        <v>7.4676467416572079</v>
      </c>
      <c r="M26" s="102">
        <f t="shared" si="3"/>
        <v>4.6781028346365883</v>
      </c>
      <c r="N26" s="103" t="s">
        <v>686</v>
      </c>
      <c r="Q26" s="104"/>
    </row>
    <row r="27" spans="1:17" ht="19.5" customHeight="1">
      <c r="A27" s="117" t="s">
        <v>687</v>
      </c>
      <c r="B27" s="118">
        <v>0</v>
      </c>
      <c r="C27" s="118">
        <v>0</v>
      </c>
      <c r="D27" s="118">
        <v>283466.0528</v>
      </c>
      <c r="E27" s="119">
        <v>283466.0528</v>
      </c>
      <c r="F27" s="120">
        <v>79948.23</v>
      </c>
      <c r="G27" s="98">
        <f t="shared" si="0"/>
        <v>0</v>
      </c>
      <c r="H27" s="99">
        <f t="shared" si="1"/>
        <v>0</v>
      </c>
      <c r="I27" s="99">
        <f t="shared" si="4"/>
        <v>3.1556480421746028E-3</v>
      </c>
      <c r="J27" s="99">
        <f t="shared" si="5"/>
        <v>2.4654800120366082E-3</v>
      </c>
      <c r="K27" s="100">
        <f t="shared" si="2"/>
        <v>6.1413490925098083E-4</v>
      </c>
      <c r="L27" s="101">
        <f t="shared" si="6"/>
        <v>0</v>
      </c>
      <c r="M27" s="102">
        <f t="shared" si="3"/>
        <v>-71.796188922696984</v>
      </c>
      <c r="N27" s="103" t="s">
        <v>688</v>
      </c>
      <c r="Q27" s="104"/>
    </row>
    <row r="28" spans="1:17" ht="19.5" customHeight="1">
      <c r="A28" s="121" t="s">
        <v>689</v>
      </c>
      <c r="B28" s="122">
        <f>SUM(B8:B27)</f>
        <v>4560205196.3689995</v>
      </c>
      <c r="C28" s="122">
        <f>SUM(C8:C27)</f>
        <v>7152172979.8695002</v>
      </c>
      <c r="D28" s="122">
        <f>SUM(D8:D27)</f>
        <v>8982815859.421999</v>
      </c>
      <c r="E28" s="123">
        <f>SUM(E8:E27)</f>
        <v>11497398130.023495</v>
      </c>
      <c r="F28" s="124">
        <f>SUM(F8:F27)</f>
        <v>13018024019.756098</v>
      </c>
      <c r="G28" s="125">
        <f t="shared" si="0"/>
        <v>100</v>
      </c>
      <c r="H28" s="126">
        <f t="shared" si="1"/>
        <v>100</v>
      </c>
      <c r="I28" s="127">
        <f>(D28/$D$28)*100</f>
        <v>100</v>
      </c>
      <c r="J28" s="127">
        <f>(E28/$E$28)*100</f>
        <v>100</v>
      </c>
      <c r="K28" s="128">
        <f t="shared" si="2"/>
        <v>100</v>
      </c>
      <c r="L28" s="129">
        <f t="shared" si="6"/>
        <v>27.993251892879133</v>
      </c>
      <c r="M28" s="130">
        <f t="shared" si="6"/>
        <v>13.225826161153353</v>
      </c>
      <c r="N28" s="131" t="s">
        <v>690</v>
      </c>
    </row>
    <row r="29" spans="1:17" s="135" customFormat="1" ht="15" customHeight="1">
      <c r="A29" s="132" t="s">
        <v>691</v>
      </c>
      <c r="B29" s="133"/>
      <c r="C29" s="133"/>
      <c r="D29" s="133"/>
      <c r="E29" s="133"/>
      <c r="F29" s="134">
        <f>F28-'[3]MIRA Revenue 2015'!$O$55</f>
        <v>0</v>
      </c>
      <c r="J29" s="136"/>
      <c r="K29" s="137"/>
    </row>
    <row r="30" spans="1:17" s="135" customFormat="1" ht="15" customHeight="1">
      <c r="B30" s="134"/>
      <c r="C30" s="134"/>
      <c r="D30" s="134"/>
      <c r="E30" s="134"/>
      <c r="F30" s="134"/>
      <c r="J30" s="137"/>
      <c r="K30" s="137"/>
    </row>
    <row r="31" spans="1:17" s="135" customFormat="1" ht="15" customHeight="1">
      <c r="A31" s="138" t="s">
        <v>692</v>
      </c>
      <c r="B31" s="134"/>
      <c r="C31" s="134"/>
      <c r="D31" s="134"/>
      <c r="E31" s="134"/>
      <c r="F31" s="134"/>
      <c r="J31" s="137"/>
      <c r="K31" s="137"/>
    </row>
    <row r="32" spans="1:17" s="135" customFormat="1" ht="28.5" customHeight="1">
      <c r="A32" s="782" t="s">
        <v>693</v>
      </c>
      <c r="B32" s="782"/>
      <c r="C32" s="782"/>
      <c r="D32" s="782"/>
      <c r="E32" s="782"/>
      <c r="F32" s="782"/>
      <c r="G32" s="782"/>
      <c r="H32" s="782"/>
      <c r="I32" s="782"/>
      <c r="J32" s="782"/>
      <c r="K32" s="782"/>
      <c r="L32" s="782"/>
      <c r="M32" s="782"/>
      <c r="N32" s="782"/>
    </row>
    <row r="33" spans="1:15" s="135" customFormat="1">
      <c r="A33" s="783" t="s">
        <v>694</v>
      </c>
      <c r="B33" s="783"/>
      <c r="C33" s="783"/>
      <c r="D33" s="783"/>
      <c r="E33" s="783"/>
      <c r="F33" s="783"/>
      <c r="G33" s="783"/>
      <c r="H33" s="783"/>
      <c r="I33" s="783"/>
      <c r="J33" s="783"/>
      <c r="K33" s="783"/>
      <c r="L33" s="783"/>
      <c r="M33" s="783"/>
      <c r="N33" s="783"/>
    </row>
    <row r="34" spans="1:15" s="135" customFormat="1">
      <c r="A34" s="783" t="s">
        <v>695</v>
      </c>
      <c r="B34" s="783"/>
      <c r="C34" s="783"/>
      <c r="D34" s="783"/>
      <c r="E34" s="783"/>
      <c r="F34" s="783"/>
      <c r="G34" s="783"/>
      <c r="H34" s="783"/>
      <c r="I34" s="783"/>
      <c r="J34" s="783"/>
      <c r="K34" s="783"/>
      <c r="L34" s="783"/>
      <c r="M34" s="783"/>
      <c r="N34" s="783"/>
    </row>
    <row r="35" spans="1:15" s="135" customFormat="1" ht="15">
      <c r="A35" s="783" t="s">
        <v>696</v>
      </c>
      <c r="B35" s="783"/>
      <c r="C35" s="783"/>
      <c r="D35" s="783"/>
      <c r="E35" s="783"/>
      <c r="F35" s="783"/>
      <c r="G35" s="783"/>
      <c r="H35" s="783"/>
      <c r="I35" s="783"/>
      <c r="J35" s="783"/>
      <c r="K35" s="783"/>
      <c r="L35" s="783"/>
      <c r="M35" s="783"/>
      <c r="N35" s="783"/>
      <c r="O35" s="139"/>
    </row>
    <row r="36" spans="1:15" s="140" customFormat="1" ht="17.25">
      <c r="A36" s="783" t="s">
        <v>697</v>
      </c>
      <c r="B36" s="783"/>
      <c r="C36" s="783"/>
      <c r="D36" s="783"/>
      <c r="E36" s="783"/>
      <c r="F36" s="783"/>
      <c r="G36" s="783"/>
      <c r="H36" s="783"/>
      <c r="I36" s="783"/>
      <c r="J36" s="783"/>
      <c r="K36" s="783"/>
      <c r="L36" s="783"/>
      <c r="M36" s="783"/>
      <c r="N36" s="783"/>
    </row>
    <row r="37" spans="1:15" s="140" customFormat="1" ht="17.25">
      <c r="A37" s="141" t="s">
        <v>698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</row>
    <row r="38" spans="1:15" s="135" customFormat="1" ht="18.75">
      <c r="A38" s="780" t="s">
        <v>699</v>
      </c>
      <c r="B38" s="780"/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143">
        <v>1</v>
      </c>
    </row>
    <row r="39" spans="1:15" ht="15">
      <c r="A39" s="779" t="s">
        <v>700</v>
      </c>
      <c r="B39" s="779"/>
      <c r="C39" s="779"/>
      <c r="D39" s="779"/>
      <c r="E39" s="779"/>
      <c r="F39" s="779"/>
      <c r="G39" s="779"/>
      <c r="H39" s="779"/>
      <c r="I39" s="779"/>
      <c r="J39" s="779"/>
      <c r="K39" s="779"/>
      <c r="L39" s="779"/>
      <c r="M39" s="779"/>
      <c r="N39" s="779"/>
      <c r="O39" s="143">
        <v>2</v>
      </c>
    </row>
    <row r="40" spans="1:15" ht="18.75">
      <c r="A40" s="780" t="s">
        <v>701</v>
      </c>
      <c r="B40" s="780"/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143">
        <v>3</v>
      </c>
    </row>
    <row r="41" spans="1:15" ht="18.75">
      <c r="A41" s="781" t="s">
        <v>702</v>
      </c>
      <c r="B41" s="781"/>
      <c r="C41" s="781"/>
      <c r="D41" s="781"/>
      <c r="E41" s="781"/>
      <c r="F41" s="781"/>
      <c r="G41" s="781"/>
      <c r="H41" s="781"/>
      <c r="I41" s="781"/>
      <c r="J41" s="781"/>
      <c r="K41" s="781"/>
      <c r="L41" s="781"/>
      <c r="M41" s="781"/>
      <c r="N41" s="781"/>
      <c r="O41" s="143">
        <v>4</v>
      </c>
    </row>
    <row r="42" spans="1:15" s="146" customFormat="1" ht="37.5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 t="s">
        <v>703</v>
      </c>
      <c r="O42" s="145">
        <v>5</v>
      </c>
    </row>
    <row r="43" spans="1:15" ht="18.75">
      <c r="H43" s="781" t="s">
        <v>704</v>
      </c>
      <c r="I43" s="781"/>
      <c r="J43" s="781"/>
      <c r="K43" s="781"/>
      <c r="L43" s="781"/>
      <c r="M43" s="781"/>
      <c r="N43" s="781"/>
    </row>
    <row r="58" s="147" customFormat="1"/>
    <row r="59" s="147" customFormat="1"/>
    <row r="60" s="147" customFormat="1"/>
    <row r="61" s="147" customFormat="1"/>
    <row r="62" s="147" customFormat="1"/>
    <row r="63" s="147" customFormat="1"/>
    <row r="65" spans="15:15" ht="15">
      <c r="O65" s="148"/>
    </row>
    <row r="66" spans="15:15" ht="15">
      <c r="O66" s="148"/>
    </row>
    <row r="67" spans="15:15" ht="15">
      <c r="O67" s="148"/>
    </row>
    <row r="68" spans="15:15" ht="15">
      <c r="O68" s="148"/>
    </row>
  </sheetData>
  <mergeCells count="18">
    <mergeCell ref="A2:N2"/>
    <mergeCell ref="A3:N3"/>
    <mergeCell ref="A5:A7"/>
    <mergeCell ref="B5:F5"/>
    <mergeCell ref="G5:K5"/>
    <mergeCell ref="N5:N7"/>
    <mergeCell ref="B6:F6"/>
    <mergeCell ref="G6:K6"/>
    <mergeCell ref="A39:N39"/>
    <mergeCell ref="A40:N40"/>
    <mergeCell ref="A41:N41"/>
    <mergeCell ref="H43:N43"/>
    <mergeCell ref="A32:N32"/>
    <mergeCell ref="A33:N33"/>
    <mergeCell ref="A34:N34"/>
    <mergeCell ref="A35:N35"/>
    <mergeCell ref="A36:N36"/>
    <mergeCell ref="A38:N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selection activeCell="L26" sqref="L26"/>
    </sheetView>
  </sheetViews>
  <sheetFormatPr defaultColWidth="8" defaultRowHeight="15.75"/>
  <cols>
    <col min="1" max="1" width="35" style="82" customWidth="1"/>
    <col min="2" max="4" width="14" style="82" customWidth="1"/>
    <col min="5" max="6" width="14.7109375" style="82" bestFit="1" customWidth="1"/>
    <col min="7" max="7" width="0.7109375" style="82" customWidth="1"/>
    <col min="8" max="10" width="8.7109375" style="82" customWidth="1"/>
    <col min="11" max="12" width="10.140625" style="82" customWidth="1"/>
    <col min="13" max="13" width="1.28515625" style="82" customWidth="1"/>
    <col min="14" max="14" width="20.28515625" style="206" customWidth="1"/>
    <col min="15" max="15" width="19.42578125" style="206" customWidth="1"/>
    <col min="16" max="16" width="33.7109375" style="152" customWidth="1"/>
    <col min="17" max="17" width="0.85546875" style="82" customWidth="1"/>
    <col min="18" max="16384" width="8" style="82"/>
  </cols>
  <sheetData>
    <row r="1" spans="1:16" s="149" customFormat="1" ht="21">
      <c r="A1" s="800" t="s">
        <v>705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</row>
    <row r="2" spans="1:16" ht="15">
      <c r="A2" s="801" t="s">
        <v>706</v>
      </c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</row>
    <row r="3" spans="1:16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4" spans="1:16" ht="30">
      <c r="A4" s="802" t="s">
        <v>639</v>
      </c>
      <c r="B4" s="805" t="s">
        <v>640</v>
      </c>
      <c r="C4" s="805"/>
      <c r="D4" s="805"/>
      <c r="E4" s="805"/>
      <c r="F4" s="805"/>
      <c r="G4" s="153"/>
      <c r="H4" s="806" t="s">
        <v>707</v>
      </c>
      <c r="I4" s="805"/>
      <c r="J4" s="805"/>
      <c r="K4" s="805"/>
      <c r="L4" s="805"/>
      <c r="M4" s="154"/>
      <c r="N4" s="155" t="s">
        <v>708</v>
      </c>
      <c r="O4" s="155" t="s">
        <v>709</v>
      </c>
      <c r="P4" s="807" t="s">
        <v>644</v>
      </c>
    </row>
    <row r="5" spans="1:16" ht="18.75">
      <c r="A5" s="803"/>
      <c r="B5" s="810" t="s">
        <v>645</v>
      </c>
      <c r="C5" s="810"/>
      <c r="D5" s="810"/>
      <c r="E5" s="810"/>
      <c r="F5" s="810"/>
      <c r="G5" s="156"/>
      <c r="H5" s="811" t="s">
        <v>710</v>
      </c>
      <c r="I5" s="812"/>
      <c r="J5" s="812"/>
      <c r="K5" s="812"/>
      <c r="L5" s="812"/>
      <c r="M5" s="157"/>
      <c r="N5" s="813" t="s">
        <v>647</v>
      </c>
      <c r="O5" s="813" t="s">
        <v>648</v>
      </c>
      <c r="P5" s="808"/>
    </row>
    <row r="6" spans="1:16" ht="15">
      <c r="A6" s="804"/>
      <c r="B6" s="158">
        <v>2011</v>
      </c>
      <c r="C6" s="158">
        <v>2012</v>
      </c>
      <c r="D6" s="158">
        <v>2013</v>
      </c>
      <c r="E6" s="159" t="s">
        <v>711</v>
      </c>
      <c r="F6" s="158">
        <v>2015</v>
      </c>
      <c r="G6" s="158"/>
      <c r="H6" s="160">
        <v>2011</v>
      </c>
      <c r="I6" s="158">
        <v>2012</v>
      </c>
      <c r="J6" s="161">
        <v>2013</v>
      </c>
      <c r="K6" s="161" t="s">
        <v>712</v>
      </c>
      <c r="L6" s="161">
        <v>2015</v>
      </c>
      <c r="M6" s="162"/>
      <c r="N6" s="814"/>
      <c r="O6" s="814"/>
      <c r="P6" s="809"/>
    </row>
    <row r="7" spans="1:16" s="172" customFormat="1" ht="19.5">
      <c r="A7" s="163" t="s">
        <v>689</v>
      </c>
      <c r="B7" s="164">
        <f>SUM(B8:B54)</f>
        <v>4560205196.3689995</v>
      </c>
      <c r="C7" s="164">
        <f>SUM(C8:C54)</f>
        <v>7152172979.8694992</v>
      </c>
      <c r="D7" s="164">
        <f>SUM(D8:D54)</f>
        <v>8982562927.9292011</v>
      </c>
      <c r="E7" s="165">
        <f>SUM(E8:E54)</f>
        <v>11497398130.023497</v>
      </c>
      <c r="F7" s="164">
        <f>SUM(F8:F54)</f>
        <v>13018024019.756102</v>
      </c>
      <c r="G7" s="164"/>
      <c r="H7" s="166">
        <f>SUM(H8:H54)</f>
        <v>100.00000000000003</v>
      </c>
      <c r="I7" s="167">
        <f>SUM(I8:I54)</f>
        <v>100.00000000000004</v>
      </c>
      <c r="J7" s="167">
        <f>SUM(J8:J54)</f>
        <v>100.00000000000001</v>
      </c>
      <c r="K7" s="167">
        <f>SUM(K8:K54)</f>
        <v>100</v>
      </c>
      <c r="L7" s="167">
        <f>SUM(L8:L54)</f>
        <v>100</v>
      </c>
      <c r="M7" s="168"/>
      <c r="N7" s="169">
        <f>(E7/D7-1)*100</f>
        <v>27.996855933789199</v>
      </c>
      <c r="O7" s="170">
        <f>(F7/E7-1)*100</f>
        <v>13.225826161153353</v>
      </c>
      <c r="P7" s="171" t="s">
        <v>690</v>
      </c>
    </row>
    <row r="8" spans="1:16" ht="19.5">
      <c r="A8" s="173" t="s">
        <v>713</v>
      </c>
      <c r="B8" s="174">
        <v>337494704.2076</v>
      </c>
      <c r="C8" s="174">
        <v>299914418.10500002</v>
      </c>
      <c r="D8" s="174">
        <v>350246279.87499994</v>
      </c>
      <c r="E8" s="175">
        <v>431977863.3118999</v>
      </c>
      <c r="F8" s="174">
        <v>496472273.14529997</v>
      </c>
      <c r="G8" s="174"/>
      <c r="H8" s="176">
        <f t="shared" ref="H8:L54" si="0">B8/B$7*100</f>
        <v>7.400866620570616</v>
      </c>
      <c r="I8" s="177">
        <f t="shared" si="0"/>
        <v>4.1933328367356175</v>
      </c>
      <c r="J8" s="177">
        <f>D8/D$7*100</f>
        <v>3.8991798074243396</v>
      </c>
      <c r="K8" s="177">
        <f>E8/E$7*100</f>
        <v>3.7571793063672665</v>
      </c>
      <c r="L8" s="177">
        <f>F8/F$7*100</f>
        <v>3.8137298901266088</v>
      </c>
      <c r="M8" s="178"/>
      <c r="N8" s="179">
        <f>(E8/D8-1)*100</f>
        <v>23.335460826612998</v>
      </c>
      <c r="O8" s="180">
        <f t="shared" ref="N8:O21" si="1">(F8/E8-1)*100</f>
        <v>14.930026584911671</v>
      </c>
      <c r="P8" s="181" t="s">
        <v>651</v>
      </c>
    </row>
    <row r="9" spans="1:16" ht="19.5">
      <c r="A9" s="173" t="s">
        <v>714</v>
      </c>
      <c r="B9" s="174">
        <v>229856988.79999998</v>
      </c>
      <c r="C9" s="174">
        <v>313152517.39999998</v>
      </c>
      <c r="D9" s="174">
        <v>355036694.05000001</v>
      </c>
      <c r="E9" s="182">
        <v>482197189.75</v>
      </c>
      <c r="F9" s="174">
        <v>512725167.70999998</v>
      </c>
      <c r="G9" s="174"/>
      <c r="H9" s="176">
        <f t="shared" si="0"/>
        <v>5.0404966202621857</v>
      </c>
      <c r="I9" s="177">
        <f t="shared" si="0"/>
        <v>4.3784248267120889</v>
      </c>
      <c r="J9" s="177">
        <f t="shared" si="0"/>
        <v>3.9525099562185702</v>
      </c>
      <c r="K9" s="177">
        <f t="shared" si="0"/>
        <v>4.193967924715281</v>
      </c>
      <c r="L9" s="177">
        <f t="shared" si="0"/>
        <v>3.9385790572508572</v>
      </c>
      <c r="M9" s="178"/>
      <c r="N9" s="179">
        <f t="shared" si="1"/>
        <v>35.816155859679078</v>
      </c>
      <c r="O9" s="180">
        <f t="shared" si="1"/>
        <v>6.3310153208954834</v>
      </c>
      <c r="P9" s="181" t="s">
        <v>715</v>
      </c>
    </row>
    <row r="10" spans="1:16" ht="19.5">
      <c r="A10" s="173" t="s">
        <v>716</v>
      </c>
      <c r="B10" s="174">
        <v>35069424.219999999</v>
      </c>
      <c r="C10" s="174">
        <v>1401117904.5887001</v>
      </c>
      <c r="D10" s="174">
        <v>1881814670.0172997</v>
      </c>
      <c r="E10" s="175">
        <v>2475402851.9278002</v>
      </c>
      <c r="F10" s="174">
        <v>2673628146.3839998</v>
      </c>
      <c r="G10" s="174"/>
      <c r="H10" s="176">
        <f t="shared" si="0"/>
        <v>0.76903171479922761</v>
      </c>
      <c r="I10" s="177">
        <f t="shared" si="0"/>
        <v>19.590100918032679</v>
      </c>
      <c r="J10" s="177">
        <f>D10/D$7*100</f>
        <v>20.949640822066858</v>
      </c>
      <c r="K10" s="177">
        <f>E10/E$7*100</f>
        <v>21.530113369421446</v>
      </c>
      <c r="L10" s="177">
        <f t="shared" si="0"/>
        <v>20.537895323641379</v>
      </c>
      <c r="M10" s="178"/>
      <c r="N10" s="179">
        <f t="shared" si="1"/>
        <v>31.543392203709608</v>
      </c>
      <c r="O10" s="180">
        <f t="shared" si="1"/>
        <v>8.0077993891711543</v>
      </c>
      <c r="P10" s="181" t="s">
        <v>127</v>
      </c>
    </row>
    <row r="11" spans="1:16" ht="19.5">
      <c r="A11" s="173" t="s">
        <v>717</v>
      </c>
      <c r="B11" s="174">
        <v>66177301.209999993</v>
      </c>
      <c r="C11" s="174">
        <v>64518018.390000001</v>
      </c>
      <c r="D11" s="174">
        <v>68042407.709999993</v>
      </c>
      <c r="E11" s="175">
        <v>75002051.50999999</v>
      </c>
      <c r="F11" s="174">
        <v>79189736.699999988</v>
      </c>
      <c r="G11" s="174"/>
      <c r="H11" s="176">
        <f t="shared" si="0"/>
        <v>1.4511913030293626</v>
      </c>
      <c r="I11" s="177">
        <f t="shared" si="0"/>
        <v>0.90207575476141821</v>
      </c>
      <c r="J11" s="177">
        <f t="shared" si="0"/>
        <v>0.75749436164190809</v>
      </c>
      <c r="K11" s="177">
        <f t="shared" si="0"/>
        <v>0.65233934375243485</v>
      </c>
      <c r="L11" s="177">
        <f t="shared" si="0"/>
        <v>0.60830842361192417</v>
      </c>
      <c r="M11" s="178"/>
      <c r="N11" s="179">
        <f t="shared" si="1"/>
        <v>10.22839143150598</v>
      </c>
      <c r="O11" s="180">
        <f t="shared" si="1"/>
        <v>5.5834275272345746</v>
      </c>
      <c r="P11" s="181" t="s">
        <v>718</v>
      </c>
    </row>
    <row r="12" spans="1:16" ht="19.5">
      <c r="A12" s="173" t="s">
        <v>719</v>
      </c>
      <c r="B12" s="174">
        <v>9126000</v>
      </c>
      <c r="C12" s="174">
        <v>10083100</v>
      </c>
      <c r="D12" s="174">
        <v>10077300</v>
      </c>
      <c r="E12" s="175">
        <v>9630000</v>
      </c>
      <c r="F12" s="174">
        <v>12219500</v>
      </c>
      <c r="G12" s="174"/>
      <c r="H12" s="176">
        <f t="shared" si="0"/>
        <v>0.20012257359090885</v>
      </c>
      <c r="I12" s="177">
        <f t="shared" si="0"/>
        <v>0.14097953207199945</v>
      </c>
      <c r="J12" s="177">
        <f t="shared" si="0"/>
        <v>0.11218735767123843</v>
      </c>
      <c r="K12" s="177">
        <f t="shared" si="0"/>
        <v>8.3758080663945134E-2</v>
      </c>
      <c r="L12" s="177">
        <f t="shared" si="0"/>
        <v>9.3866012087976916E-2</v>
      </c>
      <c r="M12" s="178"/>
      <c r="N12" s="179">
        <f t="shared" si="1"/>
        <v>-4.4386889345360387</v>
      </c>
      <c r="O12" s="180">
        <f t="shared" si="1"/>
        <v>26.889927310488048</v>
      </c>
      <c r="P12" s="181" t="s">
        <v>720</v>
      </c>
    </row>
    <row r="13" spans="1:16" ht="19.5">
      <c r="A13" s="173" t="s">
        <v>721</v>
      </c>
      <c r="B13" s="174">
        <v>2800011</v>
      </c>
      <c r="C13" s="174">
        <v>2774867</v>
      </c>
      <c r="D13" s="174">
        <v>2213224</v>
      </c>
      <c r="E13" s="175">
        <v>2662962</v>
      </c>
      <c r="F13" s="174">
        <v>2378536</v>
      </c>
      <c r="G13" s="174"/>
      <c r="H13" s="176">
        <f t="shared" si="0"/>
        <v>6.1400987004476694E-2</v>
      </c>
      <c r="I13" s="177">
        <f t="shared" si="0"/>
        <v>3.8797537584872997E-2</v>
      </c>
      <c r="J13" s="177">
        <f t="shared" si="0"/>
        <v>2.4639114891346792E-2</v>
      </c>
      <c r="K13" s="177">
        <f t="shared" si="0"/>
        <v>2.3161431568122604E-2</v>
      </c>
      <c r="L13" s="177">
        <f t="shared" si="0"/>
        <v>1.8271098566036929E-2</v>
      </c>
      <c r="M13" s="178"/>
      <c r="N13" s="179">
        <f t="shared" si="1"/>
        <v>20.320491735133906</v>
      </c>
      <c r="O13" s="180">
        <f t="shared" si="1"/>
        <v>-10.680813319904681</v>
      </c>
      <c r="P13" s="181" t="s">
        <v>722</v>
      </c>
    </row>
    <row r="14" spans="1:16" ht="19.5">
      <c r="A14" s="173" t="s">
        <v>723</v>
      </c>
      <c r="B14" s="174">
        <v>10200</v>
      </c>
      <c r="C14" s="174">
        <v>9800</v>
      </c>
      <c r="D14" s="174">
        <v>8200</v>
      </c>
      <c r="E14" s="175">
        <v>4800</v>
      </c>
      <c r="F14" s="174">
        <v>4000</v>
      </c>
      <c r="G14" s="174"/>
      <c r="H14" s="176">
        <f t="shared" si="0"/>
        <v>2.2367414536787969E-4</v>
      </c>
      <c r="I14" s="177">
        <f t="shared" si="0"/>
        <v>1.370212944734848E-4</v>
      </c>
      <c r="J14" s="177">
        <f t="shared" si="0"/>
        <v>9.1287977226455012E-5</v>
      </c>
      <c r="K14" s="177">
        <f t="shared" si="0"/>
        <v>4.1748576031872965E-5</v>
      </c>
      <c r="L14" s="177">
        <f t="shared" si="0"/>
        <v>3.0726629432620618E-5</v>
      </c>
      <c r="M14" s="178"/>
      <c r="N14" s="179">
        <f t="shared" si="1"/>
        <v>-41.463414634146346</v>
      </c>
      <c r="O14" s="180">
        <f t="shared" si="1"/>
        <v>-16.666666666666664</v>
      </c>
      <c r="P14" s="181" t="s">
        <v>724</v>
      </c>
    </row>
    <row r="15" spans="1:16" ht="19.5">
      <c r="A15" s="173" t="s">
        <v>725</v>
      </c>
      <c r="B15" s="174">
        <v>6600</v>
      </c>
      <c r="C15" s="174">
        <v>3800</v>
      </c>
      <c r="D15" s="174">
        <v>1600</v>
      </c>
      <c r="E15" s="182">
        <v>200</v>
      </c>
      <c r="F15" s="174">
        <v>1400</v>
      </c>
      <c r="G15" s="174"/>
      <c r="H15" s="176">
        <f t="shared" si="0"/>
        <v>1.4473032935568688E-4</v>
      </c>
      <c r="I15" s="177">
        <f t="shared" si="0"/>
        <v>5.3130706020330843E-5</v>
      </c>
      <c r="J15" s="177">
        <f t="shared" si="0"/>
        <v>1.7812288239308294E-5</v>
      </c>
      <c r="K15" s="177">
        <f t="shared" si="0"/>
        <v>1.7395240013280404E-6</v>
      </c>
      <c r="L15" s="177">
        <f t="shared" si="0"/>
        <v>1.0754320301417216E-5</v>
      </c>
      <c r="M15" s="178"/>
      <c r="N15" s="179">
        <f t="shared" si="1"/>
        <v>-87.5</v>
      </c>
      <c r="O15" s="180">
        <f t="shared" si="1"/>
        <v>600</v>
      </c>
      <c r="P15" s="181" t="s">
        <v>726</v>
      </c>
    </row>
    <row r="16" spans="1:16" ht="19.5">
      <c r="A16" s="173" t="s">
        <v>727</v>
      </c>
      <c r="B16" s="174">
        <v>26368958.637699999</v>
      </c>
      <c r="C16" s="174">
        <v>38326919.319099993</v>
      </c>
      <c r="D16" s="174">
        <v>65871274.453900002</v>
      </c>
      <c r="E16" s="175">
        <v>79428949.993799999</v>
      </c>
      <c r="F16" s="174">
        <v>77088771.710000008</v>
      </c>
      <c r="G16" s="174"/>
      <c r="H16" s="176">
        <f t="shared" si="0"/>
        <v>0.57824061642436442</v>
      </c>
      <c r="I16" s="177">
        <f t="shared" si="0"/>
        <v>0.53587796921264219</v>
      </c>
      <c r="J16" s="177">
        <f t="shared" si="0"/>
        <v>0.73332382953965747</v>
      </c>
      <c r="K16" s="177">
        <f t="shared" si="0"/>
        <v>0.6908428245724989</v>
      </c>
      <c r="L16" s="177">
        <f t="shared" si="0"/>
        <v>0.5921695304372645</v>
      </c>
      <c r="M16" s="178"/>
      <c r="N16" s="179">
        <f t="shared" si="1"/>
        <v>20.582075650272014</v>
      </c>
      <c r="O16" s="180">
        <f t="shared" si="1"/>
        <v>-2.9462535813235102</v>
      </c>
      <c r="P16" s="181" t="s">
        <v>728</v>
      </c>
    </row>
    <row r="17" spans="1:16" ht="19.5">
      <c r="A17" s="173" t="s">
        <v>729</v>
      </c>
      <c r="B17" s="174">
        <v>44654557.465700001</v>
      </c>
      <c r="C17" s="174">
        <v>51539663.522400007</v>
      </c>
      <c r="D17" s="174">
        <v>54796856.450100005</v>
      </c>
      <c r="E17" s="175">
        <v>116054694.13689999</v>
      </c>
      <c r="F17" s="174">
        <v>219550748.9149</v>
      </c>
      <c r="G17" s="174"/>
      <c r="H17" s="176">
        <f t="shared" si="0"/>
        <v>0.9792225468550313</v>
      </c>
      <c r="I17" s="177">
        <f t="shared" si="0"/>
        <v>0.7206154502619484</v>
      </c>
      <c r="J17" s="177">
        <f t="shared" si="0"/>
        <v>0.61003587606073828</v>
      </c>
      <c r="K17" s="177">
        <f>E17/E$7*100</f>
        <v>1.0093996295896106</v>
      </c>
      <c r="L17" s="177">
        <f t="shared" si="0"/>
        <v>1.6865136258906164</v>
      </c>
      <c r="M17" s="178"/>
      <c r="N17" s="179">
        <f t="shared" si="1"/>
        <v>111.79078811315316</v>
      </c>
      <c r="O17" s="180">
        <f t="shared" si="1"/>
        <v>89.178689020466834</v>
      </c>
      <c r="P17" s="181" t="s">
        <v>659</v>
      </c>
    </row>
    <row r="18" spans="1:16" ht="19.5">
      <c r="A18" s="173" t="s">
        <v>730</v>
      </c>
      <c r="B18" s="174">
        <v>543387.33450000011</v>
      </c>
      <c r="C18" s="174">
        <v>0</v>
      </c>
      <c r="D18" s="174">
        <v>0</v>
      </c>
      <c r="E18" s="175">
        <v>0</v>
      </c>
      <c r="F18" s="174">
        <v>0</v>
      </c>
      <c r="G18" s="174"/>
      <c r="H18" s="176">
        <f t="shared" si="0"/>
        <v>1.191585271058997E-2</v>
      </c>
      <c r="I18" s="177">
        <f t="shared" si="0"/>
        <v>0</v>
      </c>
      <c r="J18" s="177">
        <f t="shared" si="0"/>
        <v>0</v>
      </c>
      <c r="K18" s="177">
        <f t="shared" si="0"/>
        <v>0</v>
      </c>
      <c r="L18" s="177">
        <f t="shared" si="0"/>
        <v>0</v>
      </c>
      <c r="M18" s="178"/>
      <c r="N18" s="183" t="s">
        <v>457</v>
      </c>
      <c r="O18" s="183" t="s">
        <v>457</v>
      </c>
      <c r="P18" s="181" t="s">
        <v>731</v>
      </c>
    </row>
    <row r="19" spans="1:16" ht="19.5">
      <c r="A19" s="173" t="s">
        <v>732</v>
      </c>
      <c r="B19" s="174">
        <v>205312</v>
      </c>
      <c r="C19" s="174">
        <v>144688</v>
      </c>
      <c r="D19" s="174">
        <v>122000</v>
      </c>
      <c r="E19" s="175">
        <v>255800</v>
      </c>
      <c r="F19" s="174">
        <v>381292</v>
      </c>
      <c r="G19" s="174"/>
      <c r="H19" s="176">
        <f t="shared" si="0"/>
        <v>4.5022535425264824E-3</v>
      </c>
      <c r="I19" s="177">
        <f t="shared" si="0"/>
        <v>2.0229935770183232E-3</v>
      </c>
      <c r="J19" s="177">
        <f t="shared" si="0"/>
        <v>1.3581869782472574E-3</v>
      </c>
      <c r="K19" s="177">
        <f t="shared" si="0"/>
        <v>2.2248511976985636E-3</v>
      </c>
      <c r="L19" s="177">
        <f t="shared" si="0"/>
        <v>2.9289544974056949E-3</v>
      </c>
      <c r="M19" s="178"/>
      <c r="N19" s="179">
        <f t="shared" si="1"/>
        <v>109.67213114754099</v>
      </c>
      <c r="O19" s="180">
        <f t="shared" si="1"/>
        <v>49.05863956215795</v>
      </c>
      <c r="P19" s="181" t="s">
        <v>733</v>
      </c>
    </row>
    <row r="20" spans="1:16" ht="19.5">
      <c r="A20" s="173" t="s">
        <v>734</v>
      </c>
      <c r="B20" s="174">
        <v>3067500</v>
      </c>
      <c r="C20" s="174">
        <v>2685000</v>
      </c>
      <c r="D20" s="174">
        <v>1820000</v>
      </c>
      <c r="E20" s="175">
        <v>2235925</v>
      </c>
      <c r="F20" s="174">
        <v>863486.3</v>
      </c>
      <c r="G20" s="174"/>
      <c r="H20" s="176">
        <f t="shared" si="0"/>
        <v>6.7266709893722645E-2</v>
      </c>
      <c r="I20" s="177">
        <f t="shared" si="0"/>
        <v>3.7541038332786401E-2</v>
      </c>
      <c r="J20" s="177">
        <f t="shared" si="0"/>
        <v>2.0261477872213187E-2</v>
      </c>
      <c r="K20" s="177">
        <f t="shared" si="0"/>
        <v>1.9447226013346992E-2</v>
      </c>
      <c r="L20" s="177">
        <f t="shared" si="0"/>
        <v>6.6330058900611697E-3</v>
      </c>
      <c r="M20" s="178"/>
      <c r="N20" s="179">
        <f t="shared" si="1"/>
        <v>22.853021978021971</v>
      </c>
      <c r="O20" s="180">
        <f t="shared" si="1"/>
        <v>-61.381249371065664</v>
      </c>
      <c r="P20" s="181" t="s">
        <v>735</v>
      </c>
    </row>
    <row r="21" spans="1:16" ht="28.5">
      <c r="A21" s="173" t="s">
        <v>736</v>
      </c>
      <c r="B21" s="174">
        <v>1918832.01</v>
      </c>
      <c r="C21" s="174">
        <v>971033.66999999993</v>
      </c>
      <c r="D21" s="174">
        <v>859560</v>
      </c>
      <c r="E21" s="175">
        <v>1166560</v>
      </c>
      <c r="F21" s="174">
        <v>1840460</v>
      </c>
      <c r="G21" s="174"/>
      <c r="H21" s="176">
        <f t="shared" si="0"/>
        <v>4.2077755876596158E-2</v>
      </c>
      <c r="I21" s="177">
        <f t="shared" si="0"/>
        <v>1.3576764330687618E-2</v>
      </c>
      <c r="J21" s="177">
        <f t="shared" si="0"/>
        <v>9.5692065493623996E-3</v>
      </c>
      <c r="K21" s="177">
        <f t="shared" si="0"/>
        <v>1.0146295594946194E-2</v>
      </c>
      <c r="L21" s="177">
        <f t="shared" si="0"/>
        <v>1.4137783101390234E-2</v>
      </c>
      <c r="M21" s="178"/>
      <c r="N21" s="179">
        <f t="shared" si="1"/>
        <v>35.715947694169103</v>
      </c>
      <c r="O21" s="180">
        <f t="shared" si="1"/>
        <v>57.768138801261834</v>
      </c>
      <c r="P21" s="184" t="s">
        <v>737</v>
      </c>
    </row>
    <row r="22" spans="1:16" ht="19.5">
      <c r="A22" s="173" t="s">
        <v>738</v>
      </c>
      <c r="B22" s="174">
        <v>13328804.895099999</v>
      </c>
      <c r="C22" s="174">
        <v>3751557.7451999998</v>
      </c>
      <c r="D22" s="174">
        <v>0</v>
      </c>
      <c r="E22" s="175">
        <v>0</v>
      </c>
      <c r="F22" s="174">
        <v>0</v>
      </c>
      <c r="G22" s="174"/>
      <c r="H22" s="176">
        <f t="shared" si="0"/>
        <v>0.29228520036144157</v>
      </c>
      <c r="I22" s="177">
        <f t="shared" si="0"/>
        <v>5.2453397810135902E-2</v>
      </c>
      <c r="J22" s="177">
        <f t="shared" si="0"/>
        <v>0</v>
      </c>
      <c r="K22" s="177">
        <f t="shared" si="0"/>
        <v>0</v>
      </c>
      <c r="L22" s="177">
        <f t="shared" si="0"/>
        <v>0</v>
      </c>
      <c r="M22" s="178"/>
      <c r="N22" s="183" t="s">
        <v>457</v>
      </c>
      <c r="O22" s="183" t="s">
        <v>457</v>
      </c>
      <c r="P22" s="181" t="s">
        <v>739</v>
      </c>
    </row>
    <row r="23" spans="1:16" ht="19.5">
      <c r="A23" s="173" t="s">
        <v>740</v>
      </c>
      <c r="B23" s="174">
        <v>34441393.530400001</v>
      </c>
      <c r="C23" s="174">
        <v>33094297.160799991</v>
      </c>
      <c r="D23" s="174">
        <v>35600432.367200002</v>
      </c>
      <c r="E23" s="175">
        <v>9666424.6421999969</v>
      </c>
      <c r="F23" s="174">
        <v>1384446.138</v>
      </c>
      <c r="G23" s="174"/>
      <c r="H23" s="176">
        <f t="shared" si="0"/>
        <v>0.75525973168539617</v>
      </c>
      <c r="I23" s="177">
        <f t="shared" si="0"/>
        <v>0.46271667721050891</v>
      </c>
      <c r="J23" s="177">
        <f t="shared" si="0"/>
        <v>0.39632822673035434</v>
      </c>
      <c r="K23" s="177">
        <f t="shared" si="0"/>
        <v>8.4074888360678543E-2</v>
      </c>
      <c r="L23" s="177">
        <f t="shared" si="0"/>
        <v>1.0634840862937187E-2</v>
      </c>
      <c r="M23" s="178"/>
      <c r="N23" s="179">
        <f t="shared" ref="N23:O53" si="2">(E23/D23-1)*100</f>
        <v>-72.8474515632399</v>
      </c>
      <c r="O23" s="180">
        <f t="shared" si="2"/>
        <v>-85.677784814500839</v>
      </c>
      <c r="P23" s="181" t="s">
        <v>741</v>
      </c>
    </row>
    <row r="24" spans="1:16" ht="19.5">
      <c r="A24" s="173" t="s">
        <v>742</v>
      </c>
      <c r="B24" s="174">
        <v>923334858.34319997</v>
      </c>
      <c r="C24" s="174">
        <v>2572005117.2307997</v>
      </c>
      <c r="D24" s="174">
        <v>3654632712.6659002</v>
      </c>
      <c r="E24" s="175">
        <v>4542200766.8251991</v>
      </c>
      <c r="F24" s="174">
        <v>6018466639.1227999</v>
      </c>
      <c r="G24" s="174"/>
      <c r="H24" s="176">
        <f t="shared" si="0"/>
        <v>20.2476603263027</v>
      </c>
      <c r="I24" s="177">
        <f t="shared" si="0"/>
        <v>35.961170464835838</v>
      </c>
      <c r="J24" s="177">
        <f t="shared" si="0"/>
        <v>40.685857054256367</v>
      </c>
      <c r="K24" s="177">
        <f t="shared" si="0"/>
        <v>39.506336263715312</v>
      </c>
      <c r="L24" s="177">
        <f t="shared" si="0"/>
        <v>46.231798543228983</v>
      </c>
      <c r="M24" s="178"/>
      <c r="N24" s="179">
        <f t="shared" si="2"/>
        <v>24.286108179441523</v>
      </c>
      <c r="O24" s="180">
        <f t="shared" si="2"/>
        <v>32.501114505545004</v>
      </c>
      <c r="P24" s="181" t="s">
        <v>123</v>
      </c>
    </row>
    <row r="25" spans="1:16" ht="19.5">
      <c r="A25" s="173" t="s">
        <v>743</v>
      </c>
      <c r="B25" s="174">
        <v>7052607.3000000007</v>
      </c>
      <c r="C25" s="174">
        <v>6572305.9499999993</v>
      </c>
      <c r="D25" s="174">
        <v>6006803.5</v>
      </c>
      <c r="E25" s="175">
        <v>5931325.75</v>
      </c>
      <c r="F25" s="174">
        <v>5908028.4400000004</v>
      </c>
      <c r="G25" s="174"/>
      <c r="H25" s="176">
        <f t="shared" si="0"/>
        <v>0.15465548141595781</v>
      </c>
      <c r="I25" s="177">
        <f t="shared" si="0"/>
        <v>9.1892435606610839E-2</v>
      </c>
      <c r="J25" s="177">
        <f t="shared" si="0"/>
        <v>6.6871822086803701E-2</v>
      </c>
      <c r="K25" s="177">
        <f t="shared" si="0"/>
        <v>5.1588417509100204E-2</v>
      </c>
      <c r="L25" s="177">
        <f t="shared" si="0"/>
        <v>4.5383450138315927E-2</v>
      </c>
      <c r="M25" s="178"/>
      <c r="N25" s="179">
        <f t="shared" si="2"/>
        <v>-1.2565376909699166</v>
      </c>
      <c r="O25" s="180">
        <f t="shared" si="2"/>
        <v>-0.39278419331461034</v>
      </c>
      <c r="P25" s="181" t="s">
        <v>744</v>
      </c>
    </row>
    <row r="26" spans="1:16" ht="18.75">
      <c r="A26" s="111" t="s">
        <v>662</v>
      </c>
      <c r="B26" s="174">
        <v>0</v>
      </c>
      <c r="C26" s="174">
        <v>0</v>
      </c>
      <c r="D26" s="174">
        <v>0</v>
      </c>
      <c r="E26" s="175">
        <v>0</v>
      </c>
      <c r="F26" s="185">
        <v>46759964.469999999</v>
      </c>
      <c r="G26" s="174"/>
      <c r="H26" s="176">
        <f t="shared" si="0"/>
        <v>0</v>
      </c>
      <c r="I26" s="177">
        <f t="shared" si="0"/>
        <v>0</v>
      </c>
      <c r="J26" s="177">
        <f t="shared" si="0"/>
        <v>0</v>
      </c>
      <c r="K26" s="177">
        <f t="shared" si="0"/>
        <v>0</v>
      </c>
      <c r="L26" s="177">
        <f t="shared" si="0"/>
        <v>0.35919402513804904</v>
      </c>
      <c r="M26" s="178"/>
      <c r="N26" s="183" t="s">
        <v>457</v>
      </c>
      <c r="O26" s="183" t="s">
        <v>457</v>
      </c>
      <c r="P26" s="114" t="s">
        <v>394</v>
      </c>
    </row>
    <row r="27" spans="1:16" ht="19.5">
      <c r="A27" s="173" t="s">
        <v>745</v>
      </c>
      <c r="B27" s="174">
        <v>7483460</v>
      </c>
      <c r="C27" s="174">
        <v>7606520</v>
      </c>
      <c r="D27" s="174">
        <v>7870030</v>
      </c>
      <c r="E27" s="175">
        <v>7806260</v>
      </c>
      <c r="F27" s="174">
        <v>7374275</v>
      </c>
      <c r="G27" s="174"/>
      <c r="H27" s="176">
        <f t="shared" si="0"/>
        <v>0.16410358038183462</v>
      </c>
      <c r="I27" s="177">
        <f t="shared" si="0"/>
        <v>0.10635257314678079</v>
      </c>
      <c r="J27" s="177">
        <f t="shared" si="0"/>
        <v>8.761452675750217E-2</v>
      </c>
      <c r="K27" s="177">
        <f t="shared" si="0"/>
        <v>6.789588315303513E-2</v>
      </c>
      <c r="L27" s="177">
        <f t="shared" si="0"/>
        <v>5.66466538148096E-2</v>
      </c>
      <c r="M27" s="178"/>
      <c r="N27" s="179">
        <f t="shared" si="2"/>
        <v>-0.81028916027003905</v>
      </c>
      <c r="O27" s="180">
        <f t="shared" si="2"/>
        <v>-5.5338279790834495</v>
      </c>
      <c r="P27" s="181" t="s">
        <v>746</v>
      </c>
    </row>
    <row r="28" spans="1:16" ht="18.75">
      <c r="A28" s="111" t="s">
        <v>665</v>
      </c>
      <c r="B28" s="174">
        <v>0</v>
      </c>
      <c r="C28" s="174">
        <v>0</v>
      </c>
      <c r="D28" s="174">
        <v>0</v>
      </c>
      <c r="E28" s="175">
        <v>114128047.2168</v>
      </c>
      <c r="F28" s="185">
        <v>106059531.70860001</v>
      </c>
      <c r="G28" s="174"/>
      <c r="H28" s="176">
        <f t="shared" si="0"/>
        <v>0</v>
      </c>
      <c r="I28" s="177">
        <f t="shared" si="0"/>
        <v>0</v>
      </c>
      <c r="J28" s="177">
        <f t="shared" si="0"/>
        <v>0</v>
      </c>
      <c r="K28" s="177">
        <f t="shared" si="0"/>
        <v>0.99264238679161731</v>
      </c>
      <c r="L28" s="177">
        <f t="shared" si="0"/>
        <v>0.81471298215185717</v>
      </c>
      <c r="M28" s="178"/>
      <c r="N28" s="183" t="s">
        <v>457</v>
      </c>
      <c r="O28" s="180">
        <f t="shared" si="2"/>
        <v>-7.0697043408382125</v>
      </c>
      <c r="P28" s="114" t="s">
        <v>666</v>
      </c>
    </row>
    <row r="29" spans="1:16" ht="19.5">
      <c r="A29" s="173" t="s">
        <v>747</v>
      </c>
      <c r="B29" s="174">
        <v>7338828.0599999996</v>
      </c>
      <c r="C29" s="174">
        <v>16626055.370000001</v>
      </c>
      <c r="D29" s="174">
        <v>20650873.640000001</v>
      </c>
      <c r="E29" s="182">
        <v>28491864.500000004</v>
      </c>
      <c r="F29" s="174">
        <v>29076730.280000005</v>
      </c>
      <c r="G29" s="174"/>
      <c r="H29" s="176">
        <f t="shared" si="0"/>
        <v>0.16093197003159945</v>
      </c>
      <c r="I29" s="177">
        <f t="shared" si="0"/>
        <v>0.23246159477400344</v>
      </c>
      <c r="J29" s="177">
        <f t="shared" si="0"/>
        <v>0.22989957104325859</v>
      </c>
      <c r="K29" s="177">
        <f t="shared" si="0"/>
        <v>0.24781141070168172</v>
      </c>
      <c r="L29" s="177">
        <f t="shared" si="0"/>
        <v>0.22335747910645484</v>
      </c>
      <c r="M29" s="178"/>
      <c r="N29" s="179">
        <f t="shared" si="2"/>
        <v>37.969293680690996</v>
      </c>
      <c r="O29" s="180">
        <f t="shared" si="2"/>
        <v>2.0527466007007167</v>
      </c>
      <c r="P29" s="186" t="s">
        <v>668</v>
      </c>
    </row>
    <row r="30" spans="1:16" ht="19.5">
      <c r="A30" s="173" t="s">
        <v>748</v>
      </c>
      <c r="B30" s="174">
        <v>511255000</v>
      </c>
      <c r="C30" s="174">
        <v>168705000</v>
      </c>
      <c r="D30" s="174">
        <v>0</v>
      </c>
      <c r="E30" s="175">
        <v>789362981.79999995</v>
      </c>
      <c r="F30" s="174">
        <v>1099036730.9112</v>
      </c>
      <c r="G30" s="174"/>
      <c r="H30" s="176">
        <f t="shared" si="0"/>
        <v>11.211227959809348</v>
      </c>
      <c r="I30" s="177">
        <f t="shared" si="0"/>
        <v>2.3587936208315567</v>
      </c>
      <c r="J30" s="177">
        <f t="shared" si="0"/>
        <v>0</v>
      </c>
      <c r="K30" s="177">
        <f t="shared" si="0"/>
        <v>6.8655792630048449</v>
      </c>
      <c r="L30" s="177">
        <f t="shared" si="0"/>
        <v>8.4424235908868059</v>
      </c>
      <c r="M30" s="178"/>
      <c r="N30" s="183" t="s">
        <v>457</v>
      </c>
      <c r="O30" s="180">
        <f t="shared" si="2"/>
        <v>39.230842622622731</v>
      </c>
      <c r="P30" s="181" t="s">
        <v>670</v>
      </c>
    </row>
    <row r="31" spans="1:16" ht="28.5">
      <c r="A31" s="173" t="s">
        <v>749</v>
      </c>
      <c r="B31" s="174">
        <v>6737481.419999999</v>
      </c>
      <c r="C31" s="174">
        <v>7508921.870000001</v>
      </c>
      <c r="D31" s="174">
        <v>14004293.390000001</v>
      </c>
      <c r="E31" s="175">
        <v>21367539.843200002</v>
      </c>
      <c r="F31" s="174">
        <v>19918710.609999999</v>
      </c>
      <c r="G31" s="174"/>
      <c r="H31" s="176">
        <f t="shared" si="0"/>
        <v>0.14774513711279103</v>
      </c>
      <c r="I31" s="177">
        <f t="shared" si="0"/>
        <v>0.10498797905384288</v>
      </c>
      <c r="J31" s="177">
        <f t="shared" si="0"/>
        <v>0.15590531903157495</v>
      </c>
      <c r="K31" s="177">
        <f t="shared" si="0"/>
        <v>0.18584674203289797</v>
      </c>
      <c r="L31" s="177">
        <f t="shared" si="0"/>
        <v>0.15300870992226964</v>
      </c>
      <c r="M31" s="178"/>
      <c r="N31" s="179">
        <f t="shared" si="2"/>
        <v>52.578493238779544</v>
      </c>
      <c r="O31" s="180">
        <f t="shared" si="2"/>
        <v>-6.7805149485240186</v>
      </c>
      <c r="P31" s="181" t="s">
        <v>750</v>
      </c>
    </row>
    <row r="32" spans="1:16" ht="19.5">
      <c r="A32" s="173" t="s">
        <v>751</v>
      </c>
      <c r="B32" s="174">
        <v>0</v>
      </c>
      <c r="C32" s="174">
        <v>0</v>
      </c>
      <c r="D32" s="174">
        <v>0</v>
      </c>
      <c r="E32" s="175">
        <v>283466.0528</v>
      </c>
      <c r="F32" s="174">
        <v>0</v>
      </c>
      <c r="G32" s="174"/>
      <c r="H32" s="176">
        <f t="shared" si="0"/>
        <v>0</v>
      </c>
      <c r="I32" s="177">
        <f t="shared" si="0"/>
        <v>0</v>
      </c>
      <c r="J32" s="177">
        <f t="shared" si="0"/>
        <v>0</v>
      </c>
      <c r="K32" s="177">
        <f>E32/E$7*100</f>
        <v>2.4654800120366073E-3</v>
      </c>
      <c r="L32" s="177">
        <f t="shared" si="0"/>
        <v>0</v>
      </c>
      <c r="M32" s="178"/>
      <c r="N32" s="183" t="s">
        <v>457</v>
      </c>
      <c r="O32" s="180">
        <f t="shared" si="2"/>
        <v>-100</v>
      </c>
      <c r="P32" s="181" t="s">
        <v>752</v>
      </c>
    </row>
    <row r="33" spans="1:16" ht="19.5">
      <c r="A33" s="173" t="s">
        <v>753</v>
      </c>
      <c r="B33" s="174">
        <v>70761.650000000009</v>
      </c>
      <c r="C33" s="174">
        <v>61879.78</v>
      </c>
      <c r="D33" s="174">
        <v>0</v>
      </c>
      <c r="E33" s="182">
        <v>4000</v>
      </c>
      <c r="F33" s="174">
        <v>0</v>
      </c>
      <c r="G33" s="174"/>
      <c r="H33" s="176">
        <f t="shared" si="0"/>
        <v>1.5517207439775516E-3</v>
      </c>
      <c r="I33" s="177">
        <f t="shared" si="0"/>
        <v>8.6518852625861798E-4</v>
      </c>
      <c r="J33" s="177">
        <f t="shared" si="0"/>
        <v>0</v>
      </c>
      <c r="K33" s="177">
        <f t="shared" si="0"/>
        <v>3.4790480026560802E-5</v>
      </c>
      <c r="L33" s="177">
        <f t="shared" si="0"/>
        <v>0</v>
      </c>
      <c r="M33" s="178"/>
      <c r="N33" s="183" t="s">
        <v>457</v>
      </c>
      <c r="O33" s="180">
        <f t="shared" si="2"/>
        <v>-100</v>
      </c>
      <c r="P33" s="181" t="s">
        <v>754</v>
      </c>
    </row>
    <row r="34" spans="1:16" ht="19.5">
      <c r="A34" s="173" t="s">
        <v>755</v>
      </c>
      <c r="B34" s="174">
        <v>22915.07</v>
      </c>
      <c r="C34" s="174">
        <v>52027.4</v>
      </c>
      <c r="D34" s="174">
        <v>78000</v>
      </c>
      <c r="E34" s="175">
        <v>102000</v>
      </c>
      <c r="F34" s="174">
        <v>244000</v>
      </c>
      <c r="G34" s="174"/>
      <c r="H34" s="176">
        <f t="shared" si="0"/>
        <v>5.0250085277403326E-4</v>
      </c>
      <c r="I34" s="177">
        <f t="shared" si="0"/>
        <v>7.2743486694793705E-4</v>
      </c>
      <c r="J34" s="177">
        <f t="shared" si="0"/>
        <v>8.6834905166627947E-4</v>
      </c>
      <c r="K34" s="177">
        <f t="shared" si="0"/>
        <v>8.8715724067730053E-4</v>
      </c>
      <c r="L34" s="177">
        <f t="shared" si="0"/>
        <v>1.8743243953898575E-3</v>
      </c>
      <c r="M34" s="178"/>
      <c r="N34" s="179">
        <f t="shared" si="2"/>
        <v>30.76923076923077</v>
      </c>
      <c r="O34" s="180">
        <f t="shared" si="2"/>
        <v>139.21568627450981</v>
      </c>
      <c r="P34" s="181" t="s">
        <v>756</v>
      </c>
    </row>
    <row r="35" spans="1:16" ht="19.5">
      <c r="A35" s="173" t="s">
        <v>757</v>
      </c>
      <c r="B35" s="174">
        <v>183022.32170000003</v>
      </c>
      <c r="C35" s="174">
        <v>0</v>
      </c>
      <c r="D35" s="174">
        <v>0</v>
      </c>
      <c r="E35" s="175">
        <v>0</v>
      </c>
      <c r="F35" s="174">
        <v>0</v>
      </c>
      <c r="G35" s="174"/>
      <c r="H35" s="176">
        <f t="shared" si="0"/>
        <v>4.0134668028914368E-3</v>
      </c>
      <c r="I35" s="177">
        <f t="shared" si="0"/>
        <v>0</v>
      </c>
      <c r="J35" s="177">
        <f t="shared" si="0"/>
        <v>0</v>
      </c>
      <c r="K35" s="177">
        <f t="shared" si="0"/>
        <v>0</v>
      </c>
      <c r="L35" s="177">
        <f t="shared" si="0"/>
        <v>0</v>
      </c>
      <c r="M35" s="178"/>
      <c r="N35" s="183" t="s">
        <v>457</v>
      </c>
      <c r="O35" s="183" t="s">
        <v>457</v>
      </c>
      <c r="P35" s="181" t="s">
        <v>758</v>
      </c>
    </row>
    <row r="36" spans="1:16" ht="28.5">
      <c r="A36" s="173" t="s">
        <v>759</v>
      </c>
      <c r="B36" s="174">
        <v>0</v>
      </c>
      <c r="C36" s="174">
        <v>0</v>
      </c>
      <c r="D36" s="174">
        <v>30534.559999999998</v>
      </c>
      <c r="E36" s="175">
        <v>0</v>
      </c>
      <c r="F36" s="174">
        <v>79948.23</v>
      </c>
      <c r="G36" s="174"/>
      <c r="H36" s="176">
        <f t="shared" si="0"/>
        <v>0</v>
      </c>
      <c r="I36" s="177">
        <f t="shared" si="0"/>
        <v>0</v>
      </c>
      <c r="J36" s="177">
        <f t="shared" si="0"/>
        <v>3.3993148998778344E-4</v>
      </c>
      <c r="K36" s="177">
        <f t="shared" si="0"/>
        <v>0</v>
      </c>
      <c r="L36" s="177">
        <f t="shared" si="0"/>
        <v>6.1413490925098062E-4</v>
      </c>
      <c r="M36" s="178"/>
      <c r="N36" s="179">
        <f t="shared" si="2"/>
        <v>-100</v>
      </c>
      <c r="O36" s="183" t="s">
        <v>457</v>
      </c>
      <c r="P36" s="181" t="s">
        <v>760</v>
      </c>
    </row>
    <row r="37" spans="1:16" ht="19.5">
      <c r="A37" s="173" t="s">
        <v>761</v>
      </c>
      <c r="B37" s="174">
        <v>84000</v>
      </c>
      <c r="C37" s="174">
        <v>84000</v>
      </c>
      <c r="D37" s="174">
        <v>84000</v>
      </c>
      <c r="E37" s="182">
        <v>84000</v>
      </c>
      <c r="F37" s="174">
        <v>87000</v>
      </c>
      <c r="G37" s="174"/>
      <c r="H37" s="176">
        <f t="shared" si="0"/>
        <v>1.8420223736178331E-3</v>
      </c>
      <c r="I37" s="177">
        <f t="shared" si="0"/>
        <v>1.1744682383441555E-3</v>
      </c>
      <c r="J37" s="177">
        <f t="shared" si="0"/>
        <v>9.3514513256368558E-4</v>
      </c>
      <c r="K37" s="177">
        <f t="shared" si="0"/>
        <v>7.306000805577769E-4</v>
      </c>
      <c r="L37" s="177">
        <f t="shared" si="0"/>
        <v>6.6830419015949849E-4</v>
      </c>
      <c r="M37" s="178"/>
      <c r="N37" s="179">
        <f t="shared" si="2"/>
        <v>0</v>
      </c>
      <c r="O37" s="180">
        <f t="shared" si="2"/>
        <v>3.5714285714285809</v>
      </c>
      <c r="P37" s="181" t="s">
        <v>762</v>
      </c>
    </row>
    <row r="38" spans="1:16" ht="19.5">
      <c r="A38" s="173" t="s">
        <v>763</v>
      </c>
      <c r="B38" s="174">
        <v>6570852.9999999991</v>
      </c>
      <c r="C38" s="174">
        <v>6292505.6700000009</v>
      </c>
      <c r="D38" s="174">
        <v>3859126.6630000002</v>
      </c>
      <c r="E38" s="175">
        <v>3712770.9800000004</v>
      </c>
      <c r="F38" s="174">
        <v>3780881.34</v>
      </c>
      <c r="G38" s="174"/>
      <c r="H38" s="176">
        <f t="shared" si="0"/>
        <v>0.14409116952087925</v>
      </c>
      <c r="I38" s="177">
        <f t="shared" si="0"/>
        <v>8.7980333916851325E-2</v>
      </c>
      <c r="J38" s="177">
        <f t="shared" si="0"/>
        <v>4.2962422795847485E-2</v>
      </c>
      <c r="K38" s="177">
        <f t="shared" si="0"/>
        <v>3.2292271155721149E-2</v>
      </c>
      <c r="L38" s="177">
        <f t="shared" si="0"/>
        <v>2.9043434965722523E-2</v>
      </c>
      <c r="M38" s="178"/>
      <c r="N38" s="179">
        <f t="shared" si="2"/>
        <v>-3.7924560601549695</v>
      </c>
      <c r="O38" s="180">
        <f t="shared" si="2"/>
        <v>1.8344885899749031</v>
      </c>
      <c r="P38" s="181" t="s">
        <v>764</v>
      </c>
    </row>
    <row r="39" spans="1:16" ht="19.5">
      <c r="A39" s="173" t="s">
        <v>765</v>
      </c>
      <c r="B39" s="174">
        <v>87861980</v>
      </c>
      <c r="C39" s="174">
        <v>171860080</v>
      </c>
      <c r="D39" s="174">
        <v>177775270</v>
      </c>
      <c r="E39" s="175">
        <v>227539500</v>
      </c>
      <c r="F39" s="174">
        <v>248718070</v>
      </c>
      <c r="G39" s="174"/>
      <c r="H39" s="176">
        <f t="shared" si="0"/>
        <v>1.9267111065519353</v>
      </c>
      <c r="I39" s="177">
        <f t="shared" si="0"/>
        <v>2.4029072071343527</v>
      </c>
      <c r="J39" s="177">
        <f t="shared" si="0"/>
        <v>1.9791152194130357</v>
      </c>
      <c r="K39" s="177">
        <f t="shared" si="0"/>
        <v>1.979052107500908</v>
      </c>
      <c r="L39" s="177">
        <f t="shared" si="0"/>
        <v>1.9105669925216489</v>
      </c>
      <c r="M39" s="178"/>
      <c r="N39" s="179">
        <f t="shared" si="2"/>
        <v>27.99277424807174</v>
      </c>
      <c r="O39" s="180">
        <f t="shared" si="2"/>
        <v>9.3076454857288446</v>
      </c>
      <c r="P39" s="181" t="s">
        <v>766</v>
      </c>
    </row>
    <row r="40" spans="1:16" ht="39">
      <c r="A40" s="173" t="s">
        <v>767</v>
      </c>
      <c r="B40" s="174">
        <v>1595200</v>
      </c>
      <c r="C40" s="174">
        <v>1564800</v>
      </c>
      <c r="D40" s="174">
        <v>1569400</v>
      </c>
      <c r="E40" s="175">
        <v>1553800</v>
      </c>
      <c r="F40" s="174">
        <v>1642600</v>
      </c>
      <c r="G40" s="174"/>
      <c r="H40" s="176">
        <f t="shared" si="0"/>
        <v>3.4980882028513891E-2</v>
      </c>
      <c r="I40" s="177">
        <f t="shared" si="0"/>
        <v>2.1878665468582553E-2</v>
      </c>
      <c r="J40" s="177">
        <f t="shared" si="0"/>
        <v>1.7471628226731522E-2</v>
      </c>
      <c r="K40" s="177">
        <f t="shared" si="0"/>
        <v>1.3514361966317546E-2</v>
      </c>
      <c r="L40" s="177">
        <f t="shared" si="0"/>
        <v>1.2617890376505656E-2</v>
      </c>
      <c r="M40" s="178"/>
      <c r="N40" s="179">
        <f t="shared" si="2"/>
        <v>-0.99401044985344411</v>
      </c>
      <c r="O40" s="180">
        <f t="shared" si="2"/>
        <v>5.7150212382546028</v>
      </c>
      <c r="P40" s="181" t="s">
        <v>768</v>
      </c>
    </row>
    <row r="41" spans="1:16" ht="19.5">
      <c r="A41" s="173" t="s">
        <v>769</v>
      </c>
      <c r="B41" s="174">
        <v>37072935</v>
      </c>
      <c r="C41" s="174">
        <v>39918623.75</v>
      </c>
      <c r="D41" s="174">
        <v>32890380.349999998</v>
      </c>
      <c r="E41" s="175">
        <v>38065530.5</v>
      </c>
      <c r="F41" s="174">
        <v>37635924.899999999</v>
      </c>
      <c r="G41" s="174"/>
      <c r="H41" s="176">
        <f t="shared" si="0"/>
        <v>0.81296637768666236</v>
      </c>
      <c r="I41" s="177">
        <f t="shared" si="0"/>
        <v>0.55813280610459126</v>
      </c>
      <c r="J41" s="177">
        <f t="shared" si="0"/>
        <v>0.36615808443417602</v>
      </c>
      <c r="K41" s="177">
        <f t="shared" si="0"/>
        <v>0.33107951964017279</v>
      </c>
      <c r="L41" s="177">
        <f t="shared" si="0"/>
        <v>0.28910627943905975</v>
      </c>
      <c r="M41" s="178"/>
      <c r="N41" s="179">
        <f t="shared" si="2"/>
        <v>15.734540296977762</v>
      </c>
      <c r="O41" s="180">
        <f t="shared" si="2"/>
        <v>-1.1285948057390138</v>
      </c>
      <c r="P41" s="181" t="s">
        <v>674</v>
      </c>
    </row>
    <row r="42" spans="1:16" ht="19.5">
      <c r="A42" s="173" t="s">
        <v>770</v>
      </c>
      <c r="B42" s="174">
        <v>1668748.04</v>
      </c>
      <c r="C42" s="174">
        <v>1297591.8</v>
      </c>
      <c r="D42" s="174">
        <v>898349.8400000002</v>
      </c>
      <c r="E42" s="175">
        <v>1067876.9200000002</v>
      </c>
      <c r="F42" s="174">
        <v>690960.24000000011</v>
      </c>
      <c r="G42" s="174"/>
      <c r="H42" s="176">
        <f t="shared" si="0"/>
        <v>3.6593705066796503E-2</v>
      </c>
      <c r="I42" s="177">
        <f t="shared" si="0"/>
        <v>1.814262327899788E-2</v>
      </c>
      <c r="J42" s="177">
        <f t="shared" si="0"/>
        <v>1.0001041431135307E-2</v>
      </c>
      <c r="K42" s="177">
        <f t="shared" si="0"/>
        <v>9.2879876640213181E-3</v>
      </c>
      <c r="L42" s="177">
        <f t="shared" si="0"/>
        <v>5.3077198117886526E-3</v>
      </c>
      <c r="M42" s="178"/>
      <c r="N42" s="179">
        <f t="shared" si="2"/>
        <v>18.870942304614857</v>
      </c>
      <c r="O42" s="180">
        <f t="shared" si="2"/>
        <v>-35.295891590203112</v>
      </c>
      <c r="P42" s="181" t="s">
        <v>771</v>
      </c>
    </row>
    <row r="43" spans="1:16" ht="19.5">
      <c r="A43" s="173" t="s">
        <v>772</v>
      </c>
      <c r="B43" s="174">
        <v>137836230.31</v>
      </c>
      <c r="C43" s="174">
        <v>16241056.810000002</v>
      </c>
      <c r="D43" s="174">
        <v>244520646.0862</v>
      </c>
      <c r="E43" s="175">
        <v>5536990.5499999998</v>
      </c>
      <c r="F43" s="174">
        <v>6299419.6900000013</v>
      </c>
      <c r="G43" s="174"/>
      <c r="H43" s="176">
        <f t="shared" si="0"/>
        <v>3.0225883348352438</v>
      </c>
      <c r="I43" s="177">
        <f t="shared" si="0"/>
        <v>0.22707863548200061</v>
      </c>
      <c r="J43" s="177">
        <f t="shared" si="0"/>
        <v>2.7221701428433041</v>
      </c>
      <c r="K43" s="177">
        <f t="shared" si="0"/>
        <v>4.8158639784257731E-2</v>
      </c>
      <c r="L43" s="177">
        <f t="shared" si="0"/>
        <v>4.8389983613795977E-2</v>
      </c>
      <c r="M43" s="178"/>
      <c r="N43" s="179">
        <f t="shared" si="2"/>
        <v>-97.735573401009219</v>
      </c>
      <c r="O43" s="180">
        <f t="shared" si="2"/>
        <v>13.76973887015216</v>
      </c>
      <c r="P43" s="181" t="s">
        <v>773</v>
      </c>
    </row>
    <row r="44" spans="1:16" ht="19.5">
      <c r="A44" s="173" t="s">
        <v>774</v>
      </c>
      <c r="B44" s="174">
        <v>6831</v>
      </c>
      <c r="C44" s="174">
        <v>24623.16</v>
      </c>
      <c r="D44" s="174">
        <v>0</v>
      </c>
      <c r="E44" s="175">
        <v>0</v>
      </c>
      <c r="F44" s="174">
        <v>0</v>
      </c>
      <c r="G44" s="174"/>
      <c r="H44" s="176">
        <f t="shared" si="0"/>
        <v>1.4979589088313591E-4</v>
      </c>
      <c r="I44" s="177">
        <f t="shared" si="0"/>
        <v>3.4427523032936041E-4</v>
      </c>
      <c r="J44" s="177">
        <f t="shared" si="0"/>
        <v>0</v>
      </c>
      <c r="K44" s="177">
        <f t="shared" si="0"/>
        <v>0</v>
      </c>
      <c r="L44" s="177">
        <f t="shared" si="0"/>
        <v>0</v>
      </c>
      <c r="M44" s="178"/>
      <c r="N44" s="183" t="s">
        <v>457</v>
      </c>
      <c r="O44" s="183" t="s">
        <v>457</v>
      </c>
      <c r="P44" s="181" t="s">
        <v>775</v>
      </c>
    </row>
    <row r="45" spans="1:16" ht="19.5">
      <c r="A45" s="173" t="s">
        <v>776</v>
      </c>
      <c r="B45" s="174">
        <v>2548315.2200000002</v>
      </c>
      <c r="C45" s="174">
        <v>0</v>
      </c>
      <c r="D45" s="174">
        <v>0</v>
      </c>
      <c r="E45" s="175">
        <v>0</v>
      </c>
      <c r="F45" s="174">
        <v>0</v>
      </c>
      <c r="G45" s="174"/>
      <c r="H45" s="176">
        <f t="shared" si="0"/>
        <v>5.588159107465298E-2</v>
      </c>
      <c r="I45" s="177">
        <f t="shared" si="0"/>
        <v>0</v>
      </c>
      <c r="J45" s="177">
        <f t="shared" si="0"/>
        <v>0</v>
      </c>
      <c r="K45" s="177">
        <f t="shared" si="0"/>
        <v>0</v>
      </c>
      <c r="L45" s="177">
        <f t="shared" si="0"/>
        <v>0</v>
      </c>
      <c r="M45" s="178"/>
      <c r="N45" s="183" t="s">
        <v>457</v>
      </c>
      <c r="O45" s="183" t="s">
        <v>457</v>
      </c>
      <c r="P45" s="181" t="s">
        <v>777</v>
      </c>
    </row>
    <row r="46" spans="1:16" ht="18.75">
      <c r="A46" s="111" t="s">
        <v>778</v>
      </c>
      <c r="B46" s="174">
        <v>0</v>
      </c>
      <c r="C46" s="174">
        <v>0</v>
      </c>
      <c r="D46" s="174">
        <v>0</v>
      </c>
      <c r="E46" s="175">
        <v>0</v>
      </c>
      <c r="F46" s="185">
        <v>2506700</v>
      </c>
      <c r="G46" s="174"/>
      <c r="H46" s="176">
        <f t="shared" si="0"/>
        <v>0</v>
      </c>
      <c r="I46" s="177">
        <f t="shared" si="0"/>
        <v>0</v>
      </c>
      <c r="J46" s="177">
        <f t="shared" si="0"/>
        <v>0</v>
      </c>
      <c r="K46" s="177">
        <f t="shared" si="0"/>
        <v>0</v>
      </c>
      <c r="L46" s="177">
        <f t="shared" si="0"/>
        <v>1.9255610499687527E-2</v>
      </c>
      <c r="M46" s="178"/>
      <c r="N46" s="183" t="s">
        <v>457</v>
      </c>
      <c r="O46" s="183" t="s">
        <v>457</v>
      </c>
      <c r="P46" s="114" t="s">
        <v>779</v>
      </c>
    </row>
    <row r="47" spans="1:16" ht="19.5">
      <c r="A47" s="173" t="s">
        <v>780</v>
      </c>
      <c r="B47" s="174">
        <v>1202495510.0143998</v>
      </c>
      <c r="C47" s="174">
        <v>1049841778.2217</v>
      </c>
      <c r="D47" s="174">
        <v>1068823153.4752001</v>
      </c>
      <c r="E47" s="175">
        <v>1156222825.7628999</v>
      </c>
      <c r="F47" s="174">
        <v>1234003148.4213002</v>
      </c>
      <c r="G47" s="174"/>
      <c r="H47" s="176">
        <f t="shared" si="0"/>
        <v>26.369328971684659</v>
      </c>
      <c r="I47" s="177">
        <f t="shared" si="0"/>
        <v>14.678640759620661</v>
      </c>
      <c r="J47" s="177">
        <f t="shared" si="0"/>
        <v>11.898866304091694</v>
      </c>
      <c r="K47" s="177">
        <f t="shared" si="0"/>
        <v>10.056386781489465</v>
      </c>
      <c r="L47" s="177">
        <f t="shared" si="0"/>
        <v>9.479189365057108</v>
      </c>
      <c r="M47" s="178"/>
      <c r="N47" s="179">
        <f t="shared" si="2"/>
        <v>8.1771874050001756</v>
      </c>
      <c r="O47" s="180">
        <f t="shared" si="2"/>
        <v>6.7271049252188186</v>
      </c>
      <c r="P47" s="181" t="s">
        <v>781</v>
      </c>
    </row>
    <row r="48" spans="1:16" ht="19.5">
      <c r="A48" s="173" t="s">
        <v>782</v>
      </c>
      <c r="B48" s="174">
        <v>750739844.92149997</v>
      </c>
      <c r="C48" s="174">
        <v>802900158.02600002</v>
      </c>
      <c r="D48" s="174">
        <v>860140725.22539997</v>
      </c>
      <c r="E48" s="175">
        <v>804701951.22000003</v>
      </c>
      <c r="F48" s="174">
        <v>642475.1399999999</v>
      </c>
      <c r="G48" s="174"/>
      <c r="H48" s="176">
        <f t="shared" si="0"/>
        <v>16.4628522751403</v>
      </c>
      <c r="I48" s="177">
        <f t="shared" si="0"/>
        <v>11.225961120988575</v>
      </c>
      <c r="J48" s="177">
        <f t="shared" si="0"/>
        <v>9.5756715775515637</v>
      </c>
      <c r="K48" s="177">
        <f t="shared" si="0"/>
        <v>6.9989917903134788</v>
      </c>
      <c r="L48" s="177">
        <f t="shared" si="0"/>
        <v>4.9352738866127619E-3</v>
      </c>
      <c r="M48" s="178"/>
      <c r="N48" s="179">
        <f t="shared" si="2"/>
        <v>-6.4453143979285699</v>
      </c>
      <c r="O48" s="180">
        <f t="shared" si="2"/>
        <v>-99.920159863036744</v>
      </c>
      <c r="P48" s="181" t="s">
        <v>783</v>
      </c>
    </row>
    <row r="49" spans="1:18" ht="19.5">
      <c r="A49" s="173" t="s">
        <v>784</v>
      </c>
      <c r="B49" s="174">
        <v>2722950</v>
      </c>
      <c r="C49" s="174">
        <v>2640850</v>
      </c>
      <c r="D49" s="174">
        <v>3091300</v>
      </c>
      <c r="E49" s="175">
        <v>2751950</v>
      </c>
      <c r="F49" s="174">
        <v>1322646</v>
      </c>
      <c r="G49" s="174"/>
      <c r="H49" s="176">
        <f t="shared" si="0"/>
        <v>5.9711128836222351E-2</v>
      </c>
      <c r="I49" s="177">
        <f t="shared" si="0"/>
        <v>3.6923743419418613E-2</v>
      </c>
      <c r="J49" s="177">
        <f t="shared" si="0"/>
        <v>3.4414454146358582E-2</v>
      </c>
      <c r="K49" s="177">
        <f t="shared" si="0"/>
        <v>2.3935415377273502E-2</v>
      </c>
      <c r="L49" s="177">
        <f t="shared" si="0"/>
        <v>1.0160113378134482E-2</v>
      </c>
      <c r="M49" s="178"/>
      <c r="N49" s="179">
        <f t="shared" si="2"/>
        <v>-10.977582246951123</v>
      </c>
      <c r="O49" s="180">
        <f t="shared" si="2"/>
        <v>-51.937862243136678</v>
      </c>
      <c r="P49" s="181" t="s">
        <v>785</v>
      </c>
    </row>
    <row r="50" spans="1:18" ht="19.5">
      <c r="A50" s="173" t="s">
        <v>786</v>
      </c>
      <c r="B50" s="174">
        <v>90115</v>
      </c>
      <c r="C50" s="174">
        <v>41400</v>
      </c>
      <c r="D50" s="174">
        <v>13800</v>
      </c>
      <c r="E50" s="175">
        <v>0</v>
      </c>
      <c r="F50" s="174">
        <v>0</v>
      </c>
      <c r="G50" s="174"/>
      <c r="H50" s="176">
        <f t="shared" si="0"/>
        <v>1.9761172166496551E-3</v>
      </c>
      <c r="I50" s="177">
        <f t="shared" si="0"/>
        <v>5.7884506032676239E-4</v>
      </c>
      <c r="J50" s="177">
        <f t="shared" si="0"/>
        <v>1.5363098606403406E-4</v>
      </c>
      <c r="K50" s="177">
        <f t="shared" si="0"/>
        <v>0</v>
      </c>
      <c r="L50" s="177">
        <f t="shared" si="0"/>
        <v>0</v>
      </c>
      <c r="M50" s="178"/>
      <c r="N50" s="179">
        <f t="shared" si="2"/>
        <v>-100</v>
      </c>
      <c r="O50" s="180"/>
      <c r="P50" s="181" t="s">
        <v>787</v>
      </c>
    </row>
    <row r="51" spans="1:18" ht="19.5">
      <c r="A51" s="173" t="s">
        <v>788</v>
      </c>
      <c r="B51" s="174">
        <v>4945838.9999999991</v>
      </c>
      <c r="C51" s="174">
        <v>4574175.1999999993</v>
      </c>
      <c r="D51" s="174">
        <v>3173348.76</v>
      </c>
      <c r="E51" s="175">
        <v>1892151.2000000002</v>
      </c>
      <c r="F51" s="174">
        <v>745481.62</v>
      </c>
      <c r="G51" s="174"/>
      <c r="H51" s="176">
        <f t="shared" si="0"/>
        <v>0.1084565011227577</v>
      </c>
      <c r="I51" s="177">
        <f t="shared" si="0"/>
        <v>6.3955041535970536E-2</v>
      </c>
      <c r="J51" s="177">
        <f t="shared" si="0"/>
        <v>3.5327876748107223E-2</v>
      </c>
      <c r="K51" s="177">
        <f t="shared" si="0"/>
        <v>1.6457212132708267E-2</v>
      </c>
      <c r="L51" s="177">
        <f t="shared" si="0"/>
        <v>5.7265343716424244E-3</v>
      </c>
      <c r="M51" s="178"/>
      <c r="N51" s="179">
        <f t="shared" si="2"/>
        <v>-40.373676418724294</v>
      </c>
      <c r="O51" s="180">
        <f t="shared" si="2"/>
        <v>-60.601371602861342</v>
      </c>
      <c r="P51" s="181" t="s">
        <v>789</v>
      </c>
    </row>
    <row r="52" spans="1:18" ht="19.5">
      <c r="A52" s="173" t="s">
        <v>790</v>
      </c>
      <c r="B52" s="174">
        <v>47548283.660000004</v>
      </c>
      <c r="C52" s="174">
        <v>45912900.350000001</v>
      </c>
      <c r="D52" s="174">
        <v>49700980.010000005</v>
      </c>
      <c r="E52" s="175">
        <v>52186302.670000002</v>
      </c>
      <c r="F52" s="174">
        <v>62246567.850000001</v>
      </c>
      <c r="G52" s="174"/>
      <c r="H52" s="176">
        <f t="shared" si="0"/>
        <v>1.042678599152943</v>
      </c>
      <c r="I52" s="177">
        <f t="shared" si="0"/>
        <v>0.64194337132541979</v>
      </c>
      <c r="J52" s="177">
        <f t="shared" si="0"/>
        <v>0.55330511357138734</v>
      </c>
      <c r="K52" s="177">
        <f t="shared" si="0"/>
        <v>0.45389663017517295</v>
      </c>
      <c r="L52" s="177">
        <f t="shared" si="0"/>
        <v>0.4781568059448566</v>
      </c>
      <c r="M52" s="178"/>
      <c r="N52" s="179">
        <f t="shared" si="2"/>
        <v>5.0005506118791621</v>
      </c>
      <c r="O52" s="180">
        <f t="shared" si="2"/>
        <v>19.277597118952983</v>
      </c>
      <c r="P52" s="181" t="s">
        <v>791</v>
      </c>
    </row>
    <row r="53" spans="1:18" ht="24" customHeight="1">
      <c r="A53" s="187" t="s">
        <v>792</v>
      </c>
      <c r="B53" s="174">
        <v>6802023.7300000004</v>
      </c>
      <c r="C53" s="174">
        <v>6443984.5899999999</v>
      </c>
      <c r="D53" s="174">
        <v>6238700.8399999999</v>
      </c>
      <c r="E53" s="175">
        <v>6704584.9800000004</v>
      </c>
      <c r="F53" s="174">
        <v>7018232.3599999994</v>
      </c>
      <c r="G53" s="174"/>
      <c r="H53" s="176">
        <f t="shared" si="0"/>
        <v>0.14916047495880269</v>
      </c>
      <c r="I53" s="177">
        <f t="shared" si="0"/>
        <v>9.009827653969267E-2</v>
      </c>
      <c r="J53" s="177">
        <f t="shared" si="0"/>
        <v>6.9453461000559241E-2</v>
      </c>
      <c r="K53" s="177">
        <f t="shared" si="0"/>
        <v>5.8313932458267395E-2</v>
      </c>
      <c r="L53" s="177">
        <f t="shared" si="0"/>
        <v>5.3911656249436612E-2</v>
      </c>
      <c r="M53" s="178"/>
      <c r="N53" s="188">
        <f t="shared" si="2"/>
        <v>7.4676467416572079</v>
      </c>
      <c r="O53" s="180">
        <f t="shared" si="2"/>
        <v>4.6781028346365883</v>
      </c>
      <c r="P53" s="181" t="s">
        <v>793</v>
      </c>
    </row>
    <row r="54" spans="1:18" ht="24" customHeight="1">
      <c r="A54" s="189" t="s">
        <v>794</v>
      </c>
      <c r="B54" s="190">
        <v>1066627.9971999999</v>
      </c>
      <c r="C54" s="190">
        <v>1309039.7897999999</v>
      </c>
      <c r="D54" s="190">
        <v>0</v>
      </c>
      <c r="E54" s="191">
        <v>13370.98</v>
      </c>
      <c r="F54" s="190">
        <v>31388.42</v>
      </c>
      <c r="G54" s="190"/>
      <c r="H54" s="192">
        <f t="shared" si="0"/>
        <v>2.3389912323447368E-2</v>
      </c>
      <c r="I54" s="193">
        <f t="shared" si="0"/>
        <v>1.8302686379152493E-2</v>
      </c>
      <c r="J54" s="193">
        <f t="shared" si="0"/>
        <v>0</v>
      </c>
      <c r="K54" s="193">
        <f t="shared" si="0"/>
        <v>1.1629570315638599E-4</v>
      </c>
      <c r="L54" s="193">
        <f t="shared" si="0"/>
        <v>2.4111508745386441E-4</v>
      </c>
      <c r="M54" s="194"/>
      <c r="N54" s="195" t="s">
        <v>457</v>
      </c>
      <c r="O54" s="196">
        <f t="shared" ref="O54" si="3">(F54/E54-1)*100</f>
        <v>134.75033243636591</v>
      </c>
      <c r="P54" s="197" t="s">
        <v>795</v>
      </c>
    </row>
    <row r="55" spans="1:18" s="198" customFormat="1" ht="15" customHeight="1">
      <c r="A55" s="138" t="s">
        <v>796</v>
      </c>
      <c r="B55" s="134"/>
      <c r="C55" s="134"/>
      <c r="D55" s="134"/>
      <c r="E55" s="134"/>
      <c r="F55" s="134"/>
      <c r="J55" s="199"/>
    </row>
    <row r="56" spans="1:18" s="202" customFormat="1" ht="15.6" customHeight="1">
      <c r="A56" s="200" t="s">
        <v>698</v>
      </c>
      <c r="B56" s="201"/>
      <c r="C56" s="201"/>
      <c r="D56" s="201"/>
      <c r="E56" s="201"/>
      <c r="F56" s="201"/>
      <c r="G56" s="201"/>
      <c r="N56" s="203"/>
      <c r="O56" s="203"/>
      <c r="P56" s="204" t="s">
        <v>704</v>
      </c>
      <c r="Q56" s="205"/>
      <c r="R56" s="205"/>
    </row>
    <row r="68" spans="3:6" s="82" customFormat="1" ht="15">
      <c r="C68" s="174"/>
      <c r="D68" s="174"/>
      <c r="E68" s="174"/>
      <c r="F68" s="174"/>
    </row>
  </sheetData>
  <mergeCells count="10">
    <mergeCell ref="A1:P1"/>
    <mergeCell ref="A2:P2"/>
    <mergeCell ref="A4:A6"/>
    <mergeCell ref="B4:F4"/>
    <mergeCell ref="H4:L4"/>
    <mergeCell ref="P4:P6"/>
    <mergeCell ref="B5:F5"/>
    <mergeCell ref="H5:L5"/>
    <mergeCell ref="N5:N6"/>
    <mergeCell ref="O5:O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A38" sqref="A37:A38"/>
    </sheetView>
  </sheetViews>
  <sheetFormatPr defaultColWidth="8" defaultRowHeight="12.75"/>
  <cols>
    <col min="1" max="1" width="33.5703125" style="81" customWidth="1"/>
    <col min="2" max="6" width="14.140625" style="81" customWidth="1"/>
    <col min="7" max="7" width="16" style="81" bestFit="1" customWidth="1"/>
    <col min="8" max="10" width="15.85546875" style="81" bestFit="1" customWidth="1"/>
    <col min="11" max="11" width="15.85546875" style="81" customWidth="1"/>
    <col min="12" max="12" width="30.7109375" style="81" customWidth="1"/>
    <col min="13" max="13" width="2.7109375" style="81" customWidth="1"/>
    <col min="14" max="14" width="14.28515625" style="81" bestFit="1" customWidth="1"/>
    <col min="15" max="15" width="15.7109375" style="81" bestFit="1" customWidth="1"/>
    <col min="16" max="16" width="13.140625" style="81" bestFit="1" customWidth="1"/>
    <col min="17" max="17" width="11.42578125" style="81" bestFit="1" customWidth="1"/>
    <col min="18" max="16384" width="8" style="81"/>
  </cols>
  <sheetData>
    <row r="1" spans="1:17" ht="21" customHeight="1">
      <c r="A1" s="800" t="s">
        <v>797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207"/>
      <c r="N1" s="207"/>
    </row>
    <row r="2" spans="1:17" ht="15" customHeight="1">
      <c r="A2" s="816" t="s">
        <v>798</v>
      </c>
      <c r="B2" s="816"/>
      <c r="C2" s="816"/>
      <c r="D2" s="816"/>
      <c r="E2" s="816"/>
      <c r="F2" s="816"/>
      <c r="G2" s="816"/>
      <c r="H2" s="816"/>
      <c r="I2" s="816"/>
      <c r="J2" s="816"/>
      <c r="K2" s="816"/>
      <c r="L2" s="816"/>
    </row>
    <row r="3" spans="1:17" ht="15.75">
      <c r="A3" s="208"/>
    </row>
    <row r="4" spans="1:17" s="209" customFormat="1" ht="15">
      <c r="A4" s="802" t="s">
        <v>639</v>
      </c>
      <c r="B4" s="817" t="s">
        <v>799</v>
      </c>
      <c r="C4" s="817"/>
      <c r="D4" s="817"/>
      <c r="E4" s="817"/>
      <c r="F4" s="817"/>
      <c r="G4" s="818" t="s">
        <v>800</v>
      </c>
      <c r="H4" s="819"/>
      <c r="I4" s="819"/>
      <c r="J4" s="819"/>
      <c r="K4" s="819"/>
      <c r="L4" s="792" t="s">
        <v>644</v>
      </c>
    </row>
    <row r="5" spans="1:17" s="209" customFormat="1" ht="15" customHeight="1">
      <c r="A5" s="804"/>
      <c r="B5" s="158">
        <v>2011</v>
      </c>
      <c r="C5" s="158">
        <v>2012</v>
      </c>
      <c r="D5" s="158">
        <v>2013</v>
      </c>
      <c r="E5" s="158">
        <v>2014</v>
      </c>
      <c r="F5" s="158">
        <v>2015</v>
      </c>
      <c r="G5" s="210">
        <v>2011</v>
      </c>
      <c r="H5" s="158">
        <v>2012</v>
      </c>
      <c r="I5" s="158">
        <v>2013</v>
      </c>
      <c r="J5" s="158">
        <v>2014</v>
      </c>
      <c r="K5" s="158">
        <v>2015</v>
      </c>
      <c r="L5" s="794"/>
    </row>
    <row r="6" spans="1:17" s="218" customFormat="1" ht="18.75">
      <c r="A6" s="51" t="s">
        <v>650</v>
      </c>
      <c r="B6" s="211">
        <v>19177733.059999999</v>
      </c>
      <c r="C6" s="211">
        <v>19575668.5</v>
      </c>
      <c r="D6" s="211">
        <v>21844561.5</v>
      </c>
      <c r="E6" s="212">
        <v>28184033.52</v>
      </c>
      <c r="F6" s="213">
        <v>32417321.899999999</v>
      </c>
      <c r="G6" s="214">
        <v>291450389.36759996</v>
      </c>
      <c r="H6" s="213">
        <v>299914418.10500002</v>
      </c>
      <c r="I6" s="213">
        <v>334886279.87499994</v>
      </c>
      <c r="J6" s="212">
        <v>431977863.3118999</v>
      </c>
      <c r="K6" s="213">
        <v>496472273.14529997</v>
      </c>
      <c r="L6" s="205" t="s">
        <v>651</v>
      </c>
      <c r="M6" s="215"/>
      <c r="N6" s="216"/>
      <c r="O6" s="216"/>
      <c r="P6" s="217"/>
      <c r="Q6" s="217"/>
    </row>
    <row r="7" spans="1:17" s="218" customFormat="1" ht="18.75">
      <c r="A7" s="51" t="s">
        <v>801</v>
      </c>
      <c r="B7" s="213">
        <v>0</v>
      </c>
      <c r="C7" s="213">
        <v>11908865.66</v>
      </c>
      <c r="D7" s="213">
        <v>22888993.050000001</v>
      </c>
      <c r="E7" s="219">
        <v>32214433.059999999</v>
      </c>
      <c r="F7" s="213">
        <v>47978717.559999995</v>
      </c>
      <c r="G7" s="214">
        <v>0</v>
      </c>
      <c r="H7" s="213">
        <v>182771358.85869998</v>
      </c>
      <c r="I7" s="213">
        <v>351027951.6473</v>
      </c>
      <c r="J7" s="219">
        <v>494373285.54780006</v>
      </c>
      <c r="K7" s="213">
        <v>735772450.04399979</v>
      </c>
      <c r="L7" s="205" t="s">
        <v>802</v>
      </c>
      <c r="M7" s="215"/>
      <c r="N7" s="216"/>
      <c r="O7" s="216"/>
      <c r="P7" s="217"/>
      <c r="Q7" s="217"/>
    </row>
    <row r="8" spans="1:17" s="218" customFormat="1" ht="18.75">
      <c r="A8" s="220" t="s">
        <v>803</v>
      </c>
      <c r="B8" s="221">
        <v>56986235.290392153</v>
      </c>
      <c r="C8" s="213">
        <v>102165172.67</v>
      </c>
      <c r="D8" s="213">
        <v>159893127.06</v>
      </c>
      <c r="E8" s="219">
        <v>197442098.38999999</v>
      </c>
      <c r="F8" s="213">
        <v>270522607.89999998</v>
      </c>
      <c r="G8" s="214">
        <v>836519126.52320004</v>
      </c>
      <c r="H8" s="213">
        <v>1566354386.6008</v>
      </c>
      <c r="I8" s="213">
        <v>2451146060.2459002</v>
      </c>
      <c r="J8" s="219">
        <v>3027133231.0051994</v>
      </c>
      <c r="K8" s="213">
        <v>4143909644.8527999</v>
      </c>
      <c r="L8" s="222" t="s">
        <v>123</v>
      </c>
      <c r="M8" s="215"/>
      <c r="N8" s="216"/>
      <c r="O8" s="216"/>
      <c r="P8" s="217"/>
      <c r="Q8" s="217"/>
    </row>
    <row r="9" spans="1:17" s="218" customFormat="1" ht="18.75">
      <c r="A9" s="223" t="s">
        <v>662</v>
      </c>
      <c r="B9" s="221">
        <v>0</v>
      </c>
      <c r="C9" s="221">
        <v>0</v>
      </c>
      <c r="D9" s="221">
        <v>0</v>
      </c>
      <c r="E9" s="224">
        <v>0</v>
      </c>
      <c r="F9" s="213">
        <v>3050053</v>
      </c>
      <c r="G9" s="214">
        <v>0</v>
      </c>
      <c r="H9" s="213">
        <v>0</v>
      </c>
      <c r="I9" s="213">
        <v>0</v>
      </c>
      <c r="J9" s="219">
        <v>0</v>
      </c>
      <c r="K9" s="213">
        <v>46759964.469999999</v>
      </c>
      <c r="L9" s="114" t="s">
        <v>394</v>
      </c>
      <c r="M9" s="215"/>
      <c r="N9" s="216"/>
      <c r="O9" s="216"/>
      <c r="P9" s="217"/>
      <c r="Q9" s="217"/>
    </row>
    <row r="10" spans="1:17" s="218" customFormat="1" ht="30">
      <c r="A10" s="223" t="s">
        <v>665</v>
      </c>
      <c r="B10" s="221">
        <v>0</v>
      </c>
      <c r="C10" s="221">
        <v>0</v>
      </c>
      <c r="D10" s="221">
        <v>0</v>
      </c>
      <c r="E10" s="224">
        <v>7446222.0500000007</v>
      </c>
      <c r="F10" s="213">
        <v>6841123.3400000008</v>
      </c>
      <c r="G10" s="214">
        <v>0</v>
      </c>
      <c r="H10" s="213">
        <v>0</v>
      </c>
      <c r="I10" s="213">
        <v>0</v>
      </c>
      <c r="J10" s="219">
        <v>114128047.2168</v>
      </c>
      <c r="K10" s="213">
        <v>104832265.70860001</v>
      </c>
      <c r="L10" s="114" t="s">
        <v>666</v>
      </c>
      <c r="M10" s="215"/>
      <c r="N10" s="216"/>
      <c r="O10" s="216"/>
      <c r="P10" s="217"/>
      <c r="Q10" s="217"/>
    </row>
    <row r="11" spans="1:17" s="218" customFormat="1" ht="18.75">
      <c r="A11" s="225" t="s">
        <v>748</v>
      </c>
      <c r="B11" s="221">
        <v>35500000</v>
      </c>
      <c r="C11" s="213">
        <v>11000000</v>
      </c>
      <c r="D11" s="213">
        <v>0</v>
      </c>
      <c r="E11" s="219">
        <v>51500090</v>
      </c>
      <c r="F11" s="213">
        <v>71724913.219999999</v>
      </c>
      <c r="G11" s="214">
        <v>511255000</v>
      </c>
      <c r="H11" s="213">
        <v>168705000</v>
      </c>
      <c r="I11" s="213">
        <v>0</v>
      </c>
      <c r="J11" s="219">
        <v>789362981.79999995</v>
      </c>
      <c r="K11" s="213">
        <v>1099036730.9112</v>
      </c>
      <c r="L11" s="222" t="s">
        <v>804</v>
      </c>
      <c r="M11" s="215"/>
      <c r="N11" s="216"/>
      <c r="O11" s="216"/>
      <c r="P11" s="217"/>
      <c r="Q11" s="217"/>
    </row>
    <row r="12" spans="1:17" s="218" customFormat="1" ht="18.75">
      <c r="A12" s="226" t="s">
        <v>805</v>
      </c>
      <c r="B12" s="221">
        <v>2562856.1143137249</v>
      </c>
      <c r="C12" s="213">
        <v>2446800.52</v>
      </c>
      <c r="D12" s="213">
        <v>105659.19000000002</v>
      </c>
      <c r="E12" s="219">
        <v>48592.28</v>
      </c>
      <c r="F12" s="213">
        <v>12545.67</v>
      </c>
      <c r="G12" s="214">
        <v>36328201.196600005</v>
      </c>
      <c r="H12" s="213">
        <v>37463625.014900006</v>
      </c>
      <c r="I12" s="213">
        <v>1618094.6210999999</v>
      </c>
      <c r="J12" s="219">
        <v>743448.97600000002</v>
      </c>
      <c r="K12" s="213">
        <v>192149.10799999998</v>
      </c>
      <c r="L12" s="205" t="s">
        <v>806</v>
      </c>
      <c r="M12" s="215"/>
      <c r="N12" s="216"/>
      <c r="O12" s="216"/>
      <c r="P12" s="217"/>
      <c r="Q12" s="217"/>
    </row>
    <row r="13" spans="1:17" s="218" customFormat="1" ht="18.75">
      <c r="A13" s="226" t="s">
        <v>679</v>
      </c>
      <c r="B13" s="221">
        <v>83001603.933193609</v>
      </c>
      <c r="C13" s="213">
        <v>68482728.730000004</v>
      </c>
      <c r="D13" s="213">
        <v>69527537.179999992</v>
      </c>
      <c r="E13" s="219">
        <v>75255036.530000001</v>
      </c>
      <c r="F13" s="213">
        <v>78560521.829999983</v>
      </c>
      <c r="G13" s="214">
        <v>1202483510.0143998</v>
      </c>
      <c r="H13" s="213">
        <v>1049829778.2217</v>
      </c>
      <c r="I13" s="213">
        <v>1065853500.8252</v>
      </c>
      <c r="J13" s="219">
        <v>1154383098.6629</v>
      </c>
      <c r="K13" s="213">
        <v>1204026629.3013</v>
      </c>
      <c r="L13" s="222" t="s">
        <v>680</v>
      </c>
      <c r="M13" s="215"/>
      <c r="N13" s="216"/>
      <c r="O13" s="216"/>
      <c r="P13" s="217"/>
      <c r="Q13" s="217"/>
    </row>
    <row r="14" spans="1:17" s="218" customFormat="1" ht="18.75">
      <c r="A14" s="226" t="s">
        <v>681</v>
      </c>
      <c r="B14" s="221">
        <v>52014114.890000001</v>
      </c>
      <c r="C14" s="213">
        <v>52439238.5</v>
      </c>
      <c r="D14" s="213">
        <v>56192403.219999999</v>
      </c>
      <c r="E14" s="219">
        <v>52484907</v>
      </c>
      <c r="F14" s="213">
        <v>41942</v>
      </c>
      <c r="G14" s="214">
        <v>750739844.92149997</v>
      </c>
      <c r="H14" s="213">
        <v>802900158.02600002</v>
      </c>
      <c r="I14" s="213">
        <v>860140725.22539997</v>
      </c>
      <c r="J14" s="219">
        <v>804701951.22000003</v>
      </c>
      <c r="K14" s="213">
        <v>642475.1399999999</v>
      </c>
      <c r="L14" s="205" t="s">
        <v>682</v>
      </c>
      <c r="M14" s="215"/>
      <c r="N14" s="216"/>
      <c r="O14" s="216"/>
      <c r="P14" s="217"/>
      <c r="Q14" s="217"/>
    </row>
    <row r="15" spans="1:17" s="218" customFormat="1" ht="34.5">
      <c r="A15" s="227" t="s">
        <v>807</v>
      </c>
      <c r="B15" s="228">
        <v>8378446.8460784312</v>
      </c>
      <c r="C15" s="228">
        <v>1610743.6400000001</v>
      </c>
      <c r="D15" s="228">
        <v>16438380.49</v>
      </c>
      <c r="E15" s="229">
        <v>5008365.54</v>
      </c>
      <c r="F15" s="228">
        <v>6821029.1499999994</v>
      </c>
      <c r="G15" s="230">
        <v>127915122.06569999</v>
      </c>
      <c r="H15" s="228">
        <v>24695922.958399996</v>
      </c>
      <c r="I15" s="228">
        <v>252138006.12330002</v>
      </c>
      <c r="J15" s="229">
        <v>76870598.452899992</v>
      </c>
      <c r="K15" s="228">
        <v>104445534.36490001</v>
      </c>
      <c r="L15" s="231" t="s">
        <v>688</v>
      </c>
      <c r="M15" s="215"/>
      <c r="N15" s="216"/>
      <c r="O15" s="216"/>
      <c r="P15" s="217"/>
      <c r="Q15" s="217"/>
    </row>
    <row r="16" spans="1:17" s="218" customFormat="1" ht="18.75">
      <c r="A16" s="232" t="s">
        <v>691</v>
      </c>
      <c r="B16" s="233"/>
      <c r="C16" s="233"/>
      <c r="D16" s="233"/>
      <c r="E16" s="233"/>
      <c r="F16" s="233"/>
      <c r="G16" s="233"/>
      <c r="H16" s="233"/>
      <c r="I16" s="213"/>
      <c r="J16" s="213"/>
      <c r="K16" s="213"/>
      <c r="L16" s="205"/>
      <c r="M16" s="215"/>
    </row>
    <row r="17" spans="1:13">
      <c r="A17" s="815" t="s">
        <v>808</v>
      </c>
      <c r="B17" s="815"/>
      <c r="C17" s="815"/>
      <c r="D17" s="815"/>
      <c r="E17" s="815"/>
      <c r="F17" s="815"/>
      <c r="G17" s="815"/>
      <c r="H17" s="815"/>
      <c r="I17" s="147"/>
      <c r="J17" s="234"/>
      <c r="K17" s="234"/>
      <c r="L17" s="146"/>
      <c r="M17" s="209"/>
    </row>
    <row r="18" spans="1:13">
      <c r="A18" s="815" t="s">
        <v>809</v>
      </c>
      <c r="B18" s="815"/>
      <c r="C18" s="815"/>
      <c r="D18" s="815"/>
      <c r="E18" s="815"/>
      <c r="F18" s="815"/>
      <c r="G18" s="815"/>
      <c r="H18" s="815"/>
      <c r="I18" s="147"/>
      <c r="J18" s="147"/>
      <c r="K18" s="147"/>
      <c r="M18" s="209"/>
    </row>
    <row r="19" spans="1:13" ht="17.25">
      <c r="A19" s="235" t="s">
        <v>698</v>
      </c>
      <c r="B19" s="236"/>
      <c r="C19" s="236"/>
      <c r="D19" s="236"/>
      <c r="E19" s="236"/>
      <c r="F19" s="236"/>
      <c r="G19" s="236"/>
      <c r="H19" s="236"/>
      <c r="L19" s="237"/>
      <c r="M19" s="209"/>
    </row>
    <row r="20" spans="1:13">
      <c r="B20" s="238"/>
      <c r="C20" s="238"/>
      <c r="D20" s="238"/>
      <c r="E20" s="238"/>
      <c r="F20" s="239"/>
      <c r="M20" s="209"/>
    </row>
    <row r="21" spans="1:13">
      <c r="B21" s="238"/>
      <c r="C21" s="238"/>
      <c r="D21" s="238"/>
      <c r="E21" s="238"/>
      <c r="F21" s="238"/>
      <c r="M21" s="209"/>
    </row>
    <row r="22" spans="1:13">
      <c r="B22" s="238"/>
      <c r="C22" s="238"/>
      <c r="D22" s="238"/>
      <c r="E22" s="238"/>
      <c r="F22" s="238"/>
    </row>
    <row r="23" spans="1:13">
      <c r="B23" s="238"/>
      <c r="C23" s="238"/>
      <c r="D23" s="238"/>
      <c r="E23" s="238"/>
      <c r="F23" s="238"/>
    </row>
    <row r="24" spans="1:13">
      <c r="B24" s="238"/>
      <c r="C24" s="238"/>
      <c r="D24" s="238"/>
      <c r="E24" s="238"/>
      <c r="F24" s="238"/>
      <c r="H24" s="107"/>
    </row>
  </sheetData>
  <mergeCells count="8">
    <mergeCell ref="A17:H17"/>
    <mergeCell ref="A18:H18"/>
    <mergeCell ref="A1:L1"/>
    <mergeCell ref="A2:L2"/>
    <mergeCell ref="A4:A5"/>
    <mergeCell ref="B4:F4"/>
    <mergeCell ref="G4:K4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11</vt:i4>
      </vt:variant>
    </vt:vector>
  </HeadingPairs>
  <TitlesOfParts>
    <vt:vector size="27" baseType="lpstr">
      <vt:lpstr>13.1</vt:lpstr>
      <vt:lpstr>13.2</vt:lpstr>
      <vt:lpstr>13.3</vt:lpstr>
      <vt:lpstr>13.4</vt:lpstr>
      <vt:lpstr>13.5</vt:lpstr>
      <vt:lpstr>13.6</vt:lpstr>
      <vt:lpstr>13.7</vt:lpstr>
      <vt:lpstr>13.8</vt:lpstr>
      <vt:lpstr>13.9</vt:lpstr>
      <vt:lpstr>13.10</vt:lpstr>
      <vt:lpstr>13.11</vt:lpstr>
      <vt:lpstr>Fig 1.5 &amp; 1.6</vt:lpstr>
      <vt:lpstr>Fig13.1&amp;13.2</vt:lpstr>
      <vt:lpstr>13.12</vt:lpstr>
      <vt:lpstr>13.13</vt:lpstr>
      <vt:lpstr>13.14</vt:lpstr>
      <vt:lpstr>'13.1'!Print_Area</vt:lpstr>
      <vt:lpstr>'13.11'!Print_Area</vt:lpstr>
      <vt:lpstr>'13.4'!Print_Area</vt:lpstr>
      <vt:lpstr>'13.5'!Print_Area</vt:lpstr>
      <vt:lpstr>'13.6'!Print_Area</vt:lpstr>
      <vt:lpstr>'13.7'!Print_Area</vt:lpstr>
      <vt:lpstr>'13.9'!Print_Area</vt:lpstr>
      <vt:lpstr>'Fig 1.5 &amp; 1.6'!Print_Area</vt:lpstr>
      <vt:lpstr>'13.11'!Print_Titles</vt:lpstr>
      <vt:lpstr>'13.3'!Print_Titles</vt:lpstr>
      <vt:lpstr>'13.9'!Print_Titles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2016-03-03T08:19:56Z</cp:lastPrinted>
  <dcterms:created xsi:type="dcterms:W3CDTF">2014-03-06T08:38:12Z</dcterms:created>
  <dcterms:modified xsi:type="dcterms:W3CDTF">2016-04-18T08:58:12Z</dcterms:modified>
</cp:coreProperties>
</file>