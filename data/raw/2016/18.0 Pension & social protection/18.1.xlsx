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225" windowWidth="6975" windowHeight="4110" tabRatio="857"/>
  </bookViews>
  <sheets>
    <sheet name="18.1" sheetId="6" r:id="rId1"/>
  </sheets>
  <externalReferences>
    <externalReference r:id="rId2"/>
  </externalReferences>
  <definedNames>
    <definedName name="_xlnm.Print_Area" localSheetId="0">'18.1'!$A$1:$R$49</definedName>
  </definedNames>
  <calcPr calcId="145621"/>
</workbook>
</file>

<file path=xl/calcChain.xml><?xml version="1.0" encoding="utf-8"?>
<calcChain xmlns="http://schemas.openxmlformats.org/spreadsheetml/2006/main">
  <c r="AE27" i="6" l="1"/>
  <c r="AE26" i="6"/>
  <c r="AE25" i="6"/>
  <c r="AE24" i="6"/>
  <c r="AC24" i="6"/>
  <c r="AF26" i="6" l="1"/>
  <c r="AF25" i="6"/>
  <c r="AF24" i="6"/>
  <c r="AF27" i="6"/>
  <c r="C8" i="6"/>
  <c r="D8" i="6"/>
  <c r="B11" i="6"/>
  <c r="B8" i="6" l="1"/>
  <c r="I11" i="6" l="1"/>
  <c r="I12" i="6"/>
  <c r="Q12" i="6" s="1"/>
  <c r="I10" i="6"/>
  <c r="I9" i="6"/>
  <c r="P11" i="6" l="1"/>
  <c r="Q11" i="6"/>
  <c r="P9" i="6"/>
  <c r="AH24" i="6" s="1"/>
  <c r="Q9" i="6"/>
  <c r="Q10" i="6"/>
  <c r="P10" i="6"/>
  <c r="AH25" i="6" l="1"/>
  <c r="AH26" i="6"/>
  <c r="P12" i="6"/>
  <c r="AH27" i="6" s="1"/>
  <c r="K8" i="6"/>
  <c r="J8" i="6"/>
  <c r="I8" i="6"/>
  <c r="N9" i="6" l="1"/>
  <c r="AG24" i="6" s="1"/>
  <c r="N10" i="6"/>
  <c r="AG25" i="6" s="1"/>
  <c r="P8" i="6"/>
  <c r="N11" i="6"/>
  <c r="AG26" i="6" s="1"/>
  <c r="N8" i="6"/>
  <c r="N12" i="6"/>
  <c r="AG27" i="6" s="1"/>
  <c r="AC27" i="6" l="1"/>
  <c r="AD27" i="6"/>
  <c r="E8" i="6"/>
  <c r="G8" i="6"/>
  <c r="O8" i="6" s="1"/>
  <c r="F8" i="6"/>
  <c r="O12" i="6"/>
  <c r="O11" i="6"/>
  <c r="O10" i="6"/>
  <c r="O9" i="6"/>
  <c r="M9" i="6" l="1"/>
  <c r="Q8" i="6"/>
  <c r="M12" i="6"/>
  <c r="M11" i="6"/>
  <c r="M10" i="6"/>
  <c r="M8" i="6" l="1"/>
  <c r="AC26" i="6" l="1"/>
  <c r="AD26" i="6"/>
  <c r="AD24" i="6"/>
  <c r="L12" i="6" l="1"/>
  <c r="L11" i="6"/>
  <c r="L10" i="6" l="1"/>
  <c r="L9" i="6"/>
  <c r="L8" i="6" l="1"/>
  <c r="AD25" i="6" l="1"/>
  <c r="AC25" i="6"/>
</calcChain>
</file>

<file path=xl/sharedStrings.xml><?xml version="1.0" encoding="utf-8"?>
<sst xmlns="http://schemas.openxmlformats.org/spreadsheetml/2006/main" count="61" uniqueCount="37">
  <si>
    <t>Male</t>
  </si>
  <si>
    <t>Female</t>
  </si>
  <si>
    <t>Total</t>
  </si>
  <si>
    <t>% share</t>
  </si>
  <si>
    <t>% change</t>
  </si>
  <si>
    <t>Basic Pension</t>
  </si>
  <si>
    <t>Retirement Pension</t>
  </si>
  <si>
    <t>Other Pension</t>
  </si>
  <si>
    <t>ފިރިހެން</t>
  </si>
  <si>
    <t>އަންހެން</t>
  </si>
  <si>
    <t>އަސާސީ ޕެންޝަން</t>
  </si>
  <si>
    <t>ރިޓަޔަރމަންޓް ޕެންޝަން</t>
  </si>
  <si>
    <t>ޖުމްލަ</t>
  </si>
  <si>
    <t>އެހެނިހެން ޕެންޝަން</t>
  </si>
  <si>
    <t>Type of pension</t>
  </si>
  <si>
    <t>ޕެންޝަންގެ ބާވަތް</t>
  </si>
  <si>
    <t>Source: Maldives Pension Administration</t>
  </si>
  <si>
    <t>% share of females</t>
  </si>
  <si>
    <t xml:space="preserve">Payout Rf </t>
  </si>
  <si>
    <t>Payout Rf (million Rf)</t>
  </si>
  <si>
    <t>މަޢުލޫމާތު ދެއްވި ފަރާތް: މޯލްޑިވްސް ޕެންޝަން އެޑްމިނިސްޓްރޭޝަން</t>
  </si>
  <si>
    <t>އިތުރުވި މިންވަރު</t>
  </si>
  <si>
    <t xml:space="preserve">ދެވުނު މިންވަރު (ރުފިޔާއިން)  </t>
  </si>
  <si>
    <t>އިންސައްތަ</t>
  </si>
  <si>
    <t>އަންހެނުންގެ އިން ސައްތަ</t>
  </si>
  <si>
    <t>Note: Other pension includes Pension payable to state employees, who have completed 20 or 40 years’ service in state employment.  Moreover this also includes various benefits paid by the state on monthly basis.</t>
  </si>
  <si>
    <t xml:space="preserve">ނޯޓް: އެހެނިހެން ޕެންޝަންގެ ގޮތުގައި ހިމެނެނީ ދަޢުލަތަށް ގިނަ ދުވަހު، 20 ނުވަތަ 40 އަހަރަށް ޚިދުމަތްކުރެވި ބޭފުޅުންނަށް ދެވޭ ޕެންޝަނެވެ.  އަދި މިނޫނަސް ދެވޭ އެކިއެކި މަހުންމަހުން ދެވޭ އެކއެކި އިނާޔަތްތަކެވެ. </t>
  </si>
  <si>
    <r>
      <t xml:space="preserve">  </t>
    </r>
    <r>
      <rPr>
        <b/>
        <sz val="11"/>
        <color theme="1"/>
        <rFont val="Calibri"/>
        <family val="2"/>
        <scheme val="minor"/>
      </rPr>
      <t>Amount Paid (in MVR)</t>
    </r>
    <r>
      <rPr>
        <b/>
        <sz val="11"/>
        <color theme="1"/>
        <rFont val="Faruma"/>
      </rPr>
      <t xml:space="preserve">  </t>
    </r>
  </si>
  <si>
    <t>Senior Citizen Allowance</t>
  </si>
  <si>
    <t>ސީނިއަރ ސިޓިޒަން އެލަވަންސް</t>
  </si>
  <si>
    <r>
      <t>Senior Citizen Allowance</t>
    </r>
    <r>
      <rPr>
        <vertAlign val="superscript"/>
        <sz val="11"/>
        <color theme="1"/>
        <rFont val="Calibri"/>
        <family val="2"/>
        <scheme val="minor"/>
      </rPr>
      <t>1_/</t>
    </r>
  </si>
  <si>
    <t xml:space="preserve">ދައުލަތުން ޕެންޝަންލިބޭ ފަރާޓްތަކުގެ ތެރެއިން މަހަކު 000،5ރ އަށްވުރެ މަދުން ޕެންޝަން ފައިސާ ލިބޭ ފަރާޓްތަކަށް 000،5ރ ހަމަކޮށްދިނުމަށްޓަކާ ހެދި ސްކީމެއް.  ސީނިއަރ ސިޓިޒަން އެލަވަންސް ސްކީމް ތަޢާރަފުކުރެވިފައިވާ ފެބްރުއަރީ 2014 ގައެވެ. </t>
  </si>
  <si>
    <t>1_/</t>
  </si>
  <si>
    <r>
      <rPr>
        <i/>
        <vertAlign val="superscript"/>
        <sz val="10"/>
        <color theme="1"/>
        <rFont val="Calibri"/>
        <family val="2"/>
        <scheme val="minor"/>
      </rPr>
      <t>1_/</t>
    </r>
    <r>
      <rPr>
        <i/>
        <sz val="10"/>
        <color theme="1"/>
        <rFont val="Calibri"/>
        <family val="2"/>
        <scheme val="minor"/>
      </rPr>
      <t xml:space="preserve"> Those pensioners receiving less than 5,000 mvr is given the balance amount to reach 5,000 mvr under this scheme. Senior Citizen Allowance was introduced in February 2014.</t>
    </r>
  </si>
  <si>
    <t>2014-2015</t>
  </si>
  <si>
    <t>TABLE:    18.1   AMOUNT OF PENSION PAID OUT UNDER DIFFERENT SCHEMES, 2014 - 2015</t>
  </si>
  <si>
    <t>ތާވަލު 18.1:  ޕެންޝަންގެ ގޮތުގައި އެކި ސްކީމްތަކުން ދެވުނު މިންވަރު، 2014 - 2015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</si>
</sst>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Faruma"/>
    </font>
    <font>
      <b/>
      <sz val="11"/>
      <color theme="1"/>
      <name val="Faruma"/>
    </font>
    <font>
      <b/>
      <sz val="10"/>
      <color theme="1"/>
      <name val="Faruma"/>
    </font>
    <font>
      <i/>
      <sz val="10"/>
      <color theme="1"/>
      <name val="Calibri"/>
      <family val="2"/>
      <scheme val="minor"/>
    </font>
    <font>
      <sz val="10"/>
      <color theme="1"/>
      <name val="Faruma"/>
    </font>
    <font>
      <sz val="10"/>
      <name val="Arial"/>
      <family val="2"/>
    </font>
    <font>
      <sz val="10"/>
      <name val="Courier"/>
      <family val="3"/>
    </font>
    <font>
      <b/>
      <i/>
      <sz val="12"/>
      <color rgb="FFFF0000"/>
      <name val="Calibri"/>
      <family val="2"/>
      <scheme val="minor"/>
    </font>
    <font>
      <u/>
      <sz val="9.35"/>
      <color theme="10"/>
      <name val="Calibri"/>
      <family val="2"/>
    </font>
    <font>
      <i/>
      <vertAlign val="superscript"/>
      <sz val="10"/>
      <color theme="1"/>
      <name val="Calibri"/>
      <family val="2"/>
      <scheme val="minor"/>
    </font>
    <font>
      <vertAlign val="superscript"/>
      <sz val="11"/>
      <color theme="1"/>
      <name val="Calibri"/>
      <family val="2"/>
      <scheme val="minor"/>
    </font>
    <font>
      <vertAlign val="superscript"/>
      <sz val="10"/>
      <color theme="1"/>
      <name val="Faruma"/>
    </font>
  </fonts>
  <fills count="3">
    <fill>
      <patternFill patternType="none"/>
    </fill>
    <fill>
      <patternFill patternType="gray125"/>
    </fill>
    <fill>
      <patternFill patternType="solid">
        <fgColor theme="0"/>
        <bgColor indexed="64"/>
      </patternFill>
    </fill>
  </fills>
  <borders count="22">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hair">
        <color auto="1"/>
      </right>
      <top/>
      <bottom/>
      <diagonal/>
    </border>
    <border>
      <left/>
      <right style="hair">
        <color auto="1"/>
      </right>
      <top/>
      <bottom style="thin">
        <color indexed="64"/>
      </bottom>
      <diagonal/>
    </border>
    <border>
      <left/>
      <right/>
      <top/>
      <bottom style="hair">
        <color auto="1"/>
      </bottom>
      <diagonal/>
    </border>
    <border>
      <left style="hair">
        <color auto="1"/>
      </left>
      <right/>
      <top/>
      <bottom style="thin">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top style="hair">
        <color indexed="64"/>
      </top>
      <bottom/>
      <diagonal/>
    </border>
    <border>
      <left/>
      <right/>
      <top style="hair">
        <color indexed="64"/>
      </top>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right/>
      <top style="hair">
        <color indexed="64"/>
      </top>
      <bottom style="thin">
        <color indexed="64"/>
      </bottom>
      <diagonal/>
    </border>
    <border>
      <left style="hair">
        <color indexed="64"/>
      </left>
      <right/>
      <top style="thin">
        <color indexed="64"/>
      </top>
      <bottom/>
      <diagonal/>
    </border>
    <border>
      <left style="hair">
        <color indexed="64"/>
      </left>
      <right/>
      <top/>
      <bottom style="hair">
        <color indexed="64"/>
      </bottom>
      <diagonal/>
    </border>
    <border>
      <left style="hair">
        <color indexed="64"/>
      </left>
      <right/>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right style="hair">
        <color auto="1"/>
      </right>
      <top style="thin">
        <color indexed="64"/>
      </top>
      <bottom style="thin">
        <color indexed="64"/>
      </bottom>
      <diagonal/>
    </border>
    <border>
      <left/>
      <right style="hair">
        <color indexed="64"/>
      </right>
      <top style="hair">
        <color indexed="64"/>
      </top>
      <bottom/>
      <diagonal/>
    </border>
  </borders>
  <cellStyleXfs count="4">
    <xf numFmtId="0" fontId="0" fillId="0" borderId="0"/>
    <xf numFmtId="43" fontId="1" fillId="0" borderId="0" applyFont="0" applyFill="0" applyBorder="0" applyAlignment="0" applyProtection="0"/>
    <xf numFmtId="164" fontId="9" fillId="0" borderId="0"/>
    <xf numFmtId="0" fontId="11" fillId="0" borderId="0" applyNumberFormat="0" applyFill="0" applyBorder="0" applyAlignment="0" applyProtection="0">
      <alignment vertical="top"/>
      <protection locked="0"/>
    </xf>
  </cellStyleXfs>
  <cellXfs count="93">
    <xf numFmtId="0" fontId="0" fillId="0" borderId="0" xfId="0"/>
    <xf numFmtId="0" fontId="0" fillId="2" borderId="0" xfId="0" applyFill="1"/>
    <xf numFmtId="0" fontId="0" fillId="2" borderId="0" xfId="0" applyFill="1" applyBorder="1"/>
    <xf numFmtId="0" fontId="2" fillId="2" borderId="0" xfId="0" applyFont="1" applyFill="1"/>
    <xf numFmtId="0" fontId="0" fillId="2" borderId="2" xfId="0" applyFill="1" applyBorder="1"/>
    <xf numFmtId="0" fontId="3" fillId="2" borderId="0" xfId="0" applyFont="1" applyFill="1" applyBorder="1"/>
    <xf numFmtId="164" fontId="0" fillId="2" borderId="2" xfId="1" applyNumberFormat="1" applyFont="1" applyFill="1" applyBorder="1" applyAlignment="1">
      <alignment horizontal="center" vertical="center"/>
    </xf>
    <xf numFmtId="0" fontId="3" fillId="2" borderId="2" xfId="0" applyFont="1" applyFill="1" applyBorder="1"/>
    <xf numFmtId="0" fontId="2" fillId="2" borderId="3" xfId="0" applyFont="1" applyFill="1" applyBorder="1"/>
    <xf numFmtId="0" fontId="2" fillId="2" borderId="0" xfId="0" applyFont="1" applyFill="1" applyBorder="1"/>
    <xf numFmtId="164" fontId="0" fillId="2" borderId="0" xfId="1" applyNumberFormat="1" applyFont="1" applyFill="1" applyBorder="1" applyAlignment="1">
      <alignment horizontal="center" vertical="center"/>
    </xf>
    <xf numFmtId="164" fontId="2" fillId="2" borderId="0" xfId="1" applyNumberFormat="1" applyFont="1" applyFill="1" applyBorder="1" applyAlignment="1">
      <alignment horizontal="center" vertical="center"/>
    </xf>
    <xf numFmtId="164" fontId="0" fillId="2" borderId="0" xfId="1" applyNumberFormat="1" applyFont="1" applyFill="1" applyBorder="1"/>
    <xf numFmtId="0" fontId="2" fillId="2" borderId="5" xfId="0" applyFont="1" applyFill="1" applyBorder="1" applyAlignment="1">
      <alignment horizontal="right" vertical="center"/>
    </xf>
    <xf numFmtId="0" fontId="4" fillId="2" borderId="0" xfId="0" applyFont="1" applyFill="1" applyBorder="1"/>
    <xf numFmtId="0" fontId="0" fillId="2" borderId="0" xfId="0" applyFill="1" applyAlignment="1">
      <alignment vertical="center"/>
    </xf>
    <xf numFmtId="0" fontId="0" fillId="2" borderId="0" xfId="0" applyFill="1" applyBorder="1" applyAlignment="1">
      <alignment vertical="center"/>
    </xf>
    <xf numFmtId="164" fontId="2" fillId="2" borderId="4" xfId="1" applyNumberFormat="1" applyFont="1" applyFill="1" applyBorder="1" applyAlignment="1">
      <alignment horizontal="center" vertical="center"/>
    </xf>
    <xf numFmtId="164" fontId="0" fillId="2" borderId="4" xfId="1" applyNumberFormat="1" applyFont="1" applyFill="1" applyBorder="1" applyAlignment="1">
      <alignment horizontal="center" vertical="center"/>
    </xf>
    <xf numFmtId="164" fontId="0" fillId="2" borderId="5" xfId="1" applyNumberFormat="1" applyFont="1" applyFill="1" applyBorder="1" applyAlignment="1">
      <alignment horizontal="center" vertical="center"/>
    </xf>
    <xf numFmtId="0" fontId="2" fillId="2" borderId="3" xfId="0" applyFont="1" applyFill="1" applyBorder="1" applyAlignment="1">
      <alignment wrapText="1"/>
    </xf>
    <xf numFmtId="0" fontId="2" fillId="2" borderId="0" xfId="0" applyFont="1" applyFill="1" applyBorder="1"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2" fillId="2" borderId="14" xfId="0" applyFont="1" applyFill="1" applyBorder="1" applyAlignment="1">
      <alignment horizontal="right" vertical="center"/>
    </xf>
    <xf numFmtId="0" fontId="5" fillId="2" borderId="0" xfId="0" applyFont="1" applyFill="1" applyBorder="1" applyAlignment="1">
      <alignment horizontal="center" vertical="center"/>
    </xf>
    <xf numFmtId="0" fontId="5" fillId="2" borderId="11" xfId="0" applyFont="1" applyFill="1" applyBorder="1" applyAlignment="1">
      <alignment horizontal="center" vertical="center"/>
    </xf>
    <xf numFmtId="0" fontId="2" fillId="2" borderId="7" xfId="0" applyFont="1" applyFill="1" applyBorder="1" applyAlignment="1">
      <alignment horizontal="right" vertical="center"/>
    </xf>
    <xf numFmtId="0" fontId="5" fillId="2" borderId="0" xfId="0" applyFont="1" applyFill="1" applyBorder="1" applyAlignment="1">
      <alignment horizontal="right" vertical="center"/>
    </xf>
    <xf numFmtId="0" fontId="5" fillId="2" borderId="11" xfId="0" applyFont="1" applyFill="1" applyBorder="1" applyAlignment="1">
      <alignment horizontal="right" vertical="center"/>
    </xf>
    <xf numFmtId="0" fontId="0" fillId="2" borderId="0" xfId="0" applyFont="1" applyFill="1" applyBorder="1"/>
    <xf numFmtId="0" fontId="0" fillId="2" borderId="2" xfId="0" applyFont="1" applyFill="1" applyBorder="1"/>
    <xf numFmtId="0" fontId="2" fillId="2" borderId="19" xfId="0" applyFont="1" applyFill="1" applyBorder="1" applyAlignment="1">
      <alignment horizontal="right" vertical="center"/>
    </xf>
    <xf numFmtId="164" fontId="2" fillId="2" borderId="17" xfId="1" applyNumberFormat="1" applyFont="1" applyFill="1" applyBorder="1" applyAlignment="1">
      <alignment horizontal="center" vertical="center"/>
    </xf>
    <xf numFmtId="164" fontId="1" fillId="2" borderId="0" xfId="1" applyNumberFormat="1" applyFont="1" applyFill="1" applyBorder="1" applyAlignment="1">
      <alignment horizontal="center" vertical="center"/>
    </xf>
    <xf numFmtId="164" fontId="1" fillId="2" borderId="2" xfId="1" applyNumberFormat="1" applyFont="1" applyFill="1" applyBorder="1" applyAlignment="1">
      <alignment horizontal="center" vertical="center"/>
    </xf>
    <xf numFmtId="0" fontId="2" fillId="2" borderId="6" xfId="0" applyFont="1" applyFill="1" applyBorder="1" applyAlignment="1">
      <alignment vertical="center"/>
    </xf>
    <xf numFmtId="164" fontId="6" fillId="2" borderId="0" xfId="0" applyNumberFormat="1" applyFont="1" applyFill="1" applyAlignment="1">
      <alignment vertical="center"/>
    </xf>
    <xf numFmtId="164" fontId="1" fillId="2" borderId="17" xfId="1" applyNumberFormat="1" applyFont="1" applyFill="1" applyBorder="1" applyAlignment="1">
      <alignment horizontal="center" vertical="center"/>
    </xf>
    <xf numFmtId="164" fontId="1" fillId="2" borderId="7" xfId="1" applyNumberFormat="1" applyFont="1" applyFill="1" applyBorder="1" applyAlignment="1">
      <alignment horizontal="center" vertical="center"/>
    </xf>
    <xf numFmtId="0" fontId="2" fillId="2" borderId="12" xfId="0" applyFont="1" applyFill="1" applyBorder="1" applyAlignment="1">
      <alignment horizontal="right" vertical="center"/>
    </xf>
    <xf numFmtId="0" fontId="5" fillId="2" borderId="21" xfId="0" applyFont="1" applyFill="1" applyBorder="1" applyAlignment="1">
      <alignment horizontal="right" vertical="center"/>
    </xf>
    <xf numFmtId="0" fontId="6" fillId="2" borderId="0" xfId="0" applyFont="1" applyFill="1" applyBorder="1" applyAlignment="1">
      <alignment vertical="center"/>
    </xf>
    <xf numFmtId="0" fontId="10" fillId="2" borderId="0" xfId="0" applyFont="1" applyFill="1" applyAlignment="1">
      <alignment vertical="center"/>
    </xf>
    <xf numFmtId="0" fontId="11" fillId="2" borderId="0" xfId="3" applyFill="1" applyAlignment="1" applyProtection="1"/>
    <xf numFmtId="0" fontId="14" fillId="2" borderId="0" xfId="0" applyFont="1" applyFill="1" applyAlignment="1">
      <alignment horizontal="left" vertical="center"/>
    </xf>
    <xf numFmtId="164" fontId="1" fillId="2" borderId="17" xfId="1" applyNumberFormat="1" applyFont="1" applyFill="1" applyBorder="1" applyAlignment="1">
      <alignment horizontal="right" vertical="center"/>
    </xf>
    <xf numFmtId="0" fontId="4" fillId="2" borderId="0" xfId="0" applyFont="1" applyFill="1" applyAlignment="1">
      <alignment horizontal="center"/>
    </xf>
    <xf numFmtId="0" fontId="2" fillId="2" borderId="0" xfId="0" applyFont="1" applyFill="1" applyAlignment="1">
      <alignment horizontal="center"/>
    </xf>
    <xf numFmtId="0" fontId="4" fillId="2" borderId="3" xfId="0" applyFont="1" applyFill="1" applyBorder="1" applyAlignment="1">
      <alignment horizontal="right" vertical="center"/>
    </xf>
    <xf numFmtId="0" fontId="4" fillId="2" borderId="0" xfId="0" applyFont="1" applyFill="1" applyBorder="1" applyAlignment="1">
      <alignment horizontal="right" vertical="center"/>
    </xf>
    <xf numFmtId="0" fontId="4" fillId="2" borderId="2" xfId="0" applyFont="1" applyFill="1" applyBorder="1" applyAlignment="1">
      <alignment horizontal="right" vertical="center"/>
    </xf>
    <xf numFmtId="0" fontId="2" fillId="2" borderId="0"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2" xfId="0" applyFont="1" applyFill="1" applyBorder="1" applyAlignment="1">
      <alignment horizontal="center"/>
    </xf>
    <xf numFmtId="0" fontId="2" fillId="2" borderId="2" xfId="0" applyFont="1" applyFill="1" applyBorder="1" applyAlignment="1">
      <alignment horizontal="right" vertical="center"/>
    </xf>
    <xf numFmtId="0" fontId="0" fillId="2" borderId="0" xfId="0" applyFont="1" applyFill="1"/>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16" xfId="0" applyFont="1" applyFill="1" applyBorder="1" applyAlignment="1">
      <alignment horizontal="center" vertical="center" wrapText="1"/>
    </xf>
    <xf numFmtId="164" fontId="2" fillId="2" borderId="15" xfId="1" applyNumberFormat="1" applyFont="1" applyFill="1" applyBorder="1" applyAlignment="1">
      <alignment horizontal="right" vertical="center"/>
    </xf>
    <xf numFmtId="164" fontId="1" fillId="2" borderId="7" xfId="1" applyNumberFormat="1" applyFont="1" applyFill="1" applyBorder="1" applyAlignment="1">
      <alignment horizontal="right" vertical="center"/>
    </xf>
    <xf numFmtId="0" fontId="5" fillId="2" borderId="10" xfId="0" applyFont="1" applyFill="1" applyBorder="1" applyAlignment="1">
      <alignment horizontal="right" vertical="center"/>
    </xf>
    <xf numFmtId="164" fontId="6" fillId="2" borderId="0" xfId="0" applyNumberFormat="1" applyFont="1" applyFill="1" applyAlignment="1">
      <alignment horizontal="right" vertical="center" indent="2"/>
    </xf>
    <xf numFmtId="164" fontId="1" fillId="2" borderId="0" xfId="1" applyNumberFormat="1" applyFont="1" applyFill="1" applyBorder="1" applyAlignment="1">
      <alignment horizontal="right" vertical="center"/>
    </xf>
    <xf numFmtId="164" fontId="1" fillId="2" borderId="2" xfId="1" applyNumberFormat="1" applyFont="1" applyFill="1" applyBorder="1" applyAlignment="1">
      <alignment horizontal="right" vertical="center"/>
    </xf>
    <xf numFmtId="164" fontId="2" fillId="2" borderId="3" xfId="1" applyNumberFormat="1" applyFont="1" applyFill="1" applyBorder="1" applyAlignment="1">
      <alignment horizontal="right" vertical="center"/>
    </xf>
    <xf numFmtId="1" fontId="2" fillId="2" borderId="15" xfId="1" applyNumberFormat="1" applyFont="1" applyFill="1" applyBorder="1" applyAlignment="1">
      <alignment horizontal="center" vertical="center"/>
    </xf>
    <xf numFmtId="1" fontId="1" fillId="2" borderId="17" xfId="1" applyNumberFormat="1" applyFont="1" applyFill="1" applyBorder="1" applyAlignment="1">
      <alignment horizontal="center" vertical="center"/>
    </xf>
    <xf numFmtId="1" fontId="1" fillId="2" borderId="7" xfId="1" applyNumberFormat="1" applyFont="1" applyFill="1" applyBorder="1" applyAlignment="1">
      <alignment horizontal="center" vertical="center"/>
    </xf>
    <xf numFmtId="43" fontId="0" fillId="2" borderId="0" xfId="1" applyNumberFormat="1" applyFont="1" applyFill="1" applyBorder="1"/>
    <xf numFmtId="0" fontId="4" fillId="2" borderId="0" xfId="0" applyFont="1" applyFill="1" applyAlignment="1">
      <alignment horizontal="center"/>
    </xf>
    <xf numFmtId="0" fontId="2" fillId="2" borderId="0" xfId="0" applyFont="1" applyFill="1" applyAlignment="1">
      <alignment horizontal="center"/>
    </xf>
    <xf numFmtId="0" fontId="4" fillId="2" borderId="3" xfId="0" applyFont="1" applyFill="1" applyBorder="1" applyAlignment="1">
      <alignment horizontal="right" vertical="center"/>
    </xf>
    <xf numFmtId="0" fontId="4" fillId="2" borderId="0" xfId="0" applyFont="1" applyFill="1" applyBorder="1" applyAlignment="1">
      <alignment horizontal="right" vertical="center"/>
    </xf>
    <xf numFmtId="0" fontId="4" fillId="2" borderId="2" xfId="0" applyFont="1" applyFill="1" applyBorder="1" applyAlignment="1">
      <alignment horizontal="right" vertical="center"/>
    </xf>
    <xf numFmtId="0" fontId="2" fillId="2" borderId="3" xfId="0" applyFont="1" applyFill="1" applyBorder="1" applyAlignment="1">
      <alignment horizontal="left" vertical="center"/>
    </xf>
    <xf numFmtId="0" fontId="2" fillId="2" borderId="0" xfId="0" applyFont="1" applyFill="1" applyBorder="1" applyAlignment="1">
      <alignment horizontal="left" vertical="center"/>
    </xf>
    <xf numFmtId="0" fontId="2" fillId="2" borderId="2" xfId="0" applyFont="1" applyFill="1" applyBorder="1" applyAlignment="1">
      <alignment horizontal="lef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4" fillId="2" borderId="1" xfId="0" applyFont="1" applyFill="1" applyBorder="1" applyAlignment="1">
      <alignment horizontal="right" vertical="center"/>
    </xf>
    <xf numFmtId="0" fontId="4" fillId="2" borderId="1" xfId="0" applyFont="1" applyFill="1" applyBorder="1" applyAlignment="1">
      <alignment horizontal="left" vertical="center"/>
    </xf>
    <xf numFmtId="0" fontId="4" fillId="2" borderId="20" xfId="0" applyFont="1" applyFill="1" applyBorder="1" applyAlignment="1">
      <alignment horizontal="left" vertical="center"/>
    </xf>
    <xf numFmtId="0" fontId="2" fillId="2" borderId="18" xfId="0" applyFont="1" applyFill="1" applyBorder="1" applyAlignment="1">
      <alignment horizontal="center" vertical="center"/>
    </xf>
    <xf numFmtId="0" fontId="4" fillId="2" borderId="1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2" borderId="17" xfId="0" applyFont="1" applyFill="1" applyBorder="1" applyAlignment="1">
      <alignment horizontal="center" vertical="center"/>
    </xf>
    <xf numFmtId="0" fontId="2" fillId="2" borderId="0" xfId="0" applyFont="1" applyFill="1" applyBorder="1" applyAlignment="1">
      <alignment horizontal="center" vertical="center"/>
    </xf>
    <xf numFmtId="0" fontId="4" fillId="2" borderId="13"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4">
    <cellStyle name="Comma" xfId="1" builtinId="3"/>
    <cellStyle name="Hyperlink" xfId="3" builtinId="8"/>
    <cellStyle name="Normal" xfId="0" builtinId="0"/>
    <cellStyle name="Normal 2" xfId="2"/>
  </cellStyles>
  <dxfs count="0"/>
  <tableStyles count="0" defaultTableStyle="TableStyleMedium2" defaultPivotStyle="PivotStyleLight16"/>
  <colors>
    <mruColors>
      <color rgb="FF1C706E"/>
      <color rgb="FF28B2AF"/>
      <color rgb="FFD4F5F4"/>
      <color rgb="FF8DE5E3"/>
      <color rgb="FF33CCCC"/>
      <color rgb="FFA7EBE9"/>
      <color rgb="FF9933FF"/>
      <color rgb="FF9900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title>
      <c:tx>
        <c:rich>
          <a:bodyPr/>
          <a:lstStyle/>
          <a:p>
            <a:pPr>
              <a:defRPr sz="1050">
                <a:latin typeface="Consolas" pitchFamily="49" charset="0"/>
                <a:cs typeface="Consolas" pitchFamily="49" charset="0"/>
              </a:defRPr>
            </a:pPr>
            <a:r>
              <a:rPr lang="en-US" sz="1050">
                <a:latin typeface="Consolas" pitchFamily="49" charset="0"/>
                <a:cs typeface="Consolas" pitchFamily="49" charset="0"/>
              </a:rPr>
              <a:t>Figure 18.3: Percentage shares of different pension schemes in the payments , 2015</a:t>
            </a:r>
          </a:p>
        </c:rich>
      </c:tx>
      <c:layout/>
      <c:overlay val="0"/>
    </c:title>
    <c:autoTitleDeleted val="0"/>
    <c:plotArea>
      <c:layout>
        <c:manualLayout>
          <c:layoutTarget val="inner"/>
          <c:xMode val="edge"/>
          <c:yMode val="edge"/>
          <c:x val="0.29486180692624853"/>
          <c:y val="0.18498100050926619"/>
          <c:w val="0.39921878353960566"/>
          <c:h val="0.76864496415560379"/>
        </c:manualLayout>
      </c:layout>
      <c:doughnutChart>
        <c:varyColors val="1"/>
        <c:ser>
          <c:idx val="0"/>
          <c:order val="0"/>
          <c:dPt>
            <c:idx val="0"/>
            <c:bubble3D val="0"/>
            <c:spPr>
              <a:solidFill>
                <a:srgbClr val="33CCCC"/>
              </a:solidFill>
            </c:spPr>
          </c:dPt>
          <c:dPt>
            <c:idx val="1"/>
            <c:bubble3D val="0"/>
            <c:spPr>
              <a:solidFill>
                <a:srgbClr val="8DE5E3"/>
              </a:solidFill>
            </c:spPr>
          </c:dPt>
          <c:dPt>
            <c:idx val="2"/>
            <c:bubble3D val="0"/>
            <c:spPr>
              <a:solidFill>
                <a:srgbClr val="D4F5F4"/>
              </a:solidFill>
            </c:spPr>
          </c:dPt>
          <c:dPt>
            <c:idx val="3"/>
            <c:bubble3D val="0"/>
            <c:spPr>
              <a:solidFill>
                <a:srgbClr val="1C706E"/>
              </a:solidFill>
            </c:spPr>
          </c:dPt>
          <c:dLbls>
            <c:dLbl>
              <c:idx val="0"/>
              <c:layout>
                <c:manualLayout>
                  <c:x val="9.1661990383441541E-2"/>
                  <c:y val="-0.13059396401157697"/>
                </c:manualLayout>
              </c:layout>
              <c:showLegendKey val="0"/>
              <c:showVal val="0"/>
              <c:showCatName val="1"/>
              <c:showSerName val="0"/>
              <c:showPercent val="1"/>
              <c:showBubbleSize val="0"/>
            </c:dLbl>
            <c:dLbl>
              <c:idx val="1"/>
              <c:layout>
                <c:manualLayout>
                  <c:x val="0.13705168806130361"/>
                  <c:y val="9.4674021560588947E-2"/>
                </c:manualLayout>
              </c:layout>
              <c:showLegendKey val="0"/>
              <c:showVal val="0"/>
              <c:showCatName val="1"/>
              <c:showSerName val="0"/>
              <c:showPercent val="1"/>
              <c:showBubbleSize val="0"/>
            </c:dLbl>
            <c:dLbl>
              <c:idx val="2"/>
              <c:layout>
                <c:manualLayout>
                  <c:x val="4.5448001611308707E-3"/>
                  <c:y val="2.074135885036401E-2"/>
                </c:manualLayout>
              </c:layout>
              <c:showLegendKey val="0"/>
              <c:showVal val="0"/>
              <c:showCatName val="1"/>
              <c:showSerName val="0"/>
              <c:showPercent val="1"/>
              <c:showBubbleSize val="0"/>
            </c:dLbl>
            <c:dLbl>
              <c:idx val="3"/>
              <c:layout>
                <c:manualLayout>
                  <c:x val="-0.11296156283266155"/>
                  <c:y val="-0.12013736687907257"/>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'18.1'!$AB$24:$AB$27</c:f>
              <c:strCache>
                <c:ptCount val="4"/>
                <c:pt idx="0">
                  <c:v>Basic Pension</c:v>
                </c:pt>
                <c:pt idx="1">
                  <c:v>Retirement Pension</c:v>
                </c:pt>
                <c:pt idx="2">
                  <c:v>Other Pension</c:v>
                </c:pt>
                <c:pt idx="3">
                  <c:v>Senior Citizen Allowance</c:v>
                </c:pt>
              </c:strCache>
            </c:strRef>
          </c:cat>
          <c:val>
            <c:numRef>
              <c:f>'18.1'!$AG$24:$AG$27</c:f>
              <c:numCache>
                <c:formatCode>_(* #,##0_);_(* \(#,##0\);_(* "-"??_);_(@_)</c:formatCode>
                <c:ptCount val="4"/>
                <c:pt idx="0">
                  <c:v>33.875265001354443</c:v>
                </c:pt>
                <c:pt idx="1">
                  <c:v>3.8746128711958647</c:v>
                </c:pt>
                <c:pt idx="2">
                  <c:v>20.636043944699257</c:v>
                </c:pt>
                <c:pt idx="3">
                  <c:v>41.614078182750426</c:v>
                </c:pt>
              </c:numCache>
            </c:numRef>
          </c:val>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printSettings>
    <c:headerFooter/>
    <c:pageMargins b="0.75000000000000389" l="0.70000000000000062" r="0.70000000000000062" t="0.750000000000003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10799299020752E-2"/>
          <c:y val="0.20690000491045771"/>
          <c:w val="0.87373066236507901"/>
          <c:h val="0.64272554369785506"/>
        </c:manualLayout>
      </c:layout>
      <c:barChart>
        <c:barDir val="col"/>
        <c:grouping val="clustered"/>
        <c:varyColors val="0"/>
        <c:ser>
          <c:idx val="0"/>
          <c:order val="0"/>
          <c:spPr>
            <a:solidFill>
              <a:srgbClr val="1C706E"/>
            </a:solidFill>
          </c:spPr>
          <c:invertIfNegative val="0"/>
          <c:cat>
            <c:strRef>
              <c:f>'18.1'!$AB$24:$AB$27</c:f>
              <c:strCache>
                <c:ptCount val="4"/>
                <c:pt idx="0">
                  <c:v>Basic Pension</c:v>
                </c:pt>
                <c:pt idx="1">
                  <c:v>Retirement Pension</c:v>
                </c:pt>
                <c:pt idx="2">
                  <c:v>Other Pension</c:v>
                </c:pt>
                <c:pt idx="3">
                  <c:v>Senior Citizen Allowance</c:v>
                </c:pt>
              </c:strCache>
            </c:strRef>
          </c:cat>
          <c:val>
            <c:numRef>
              <c:f>'18.1'!$AH$24:$AH$27</c:f>
              <c:numCache>
                <c:formatCode>_(* #,##0_);_(* \(#,##0\);_(* "-"??_);_(@_)</c:formatCode>
                <c:ptCount val="4"/>
                <c:pt idx="0">
                  <c:v>50.417730525703043</c:v>
                </c:pt>
                <c:pt idx="1">
                  <c:v>16.38057577090126</c:v>
                </c:pt>
                <c:pt idx="2">
                  <c:v>20.549396790948606</c:v>
                </c:pt>
                <c:pt idx="3">
                  <c:v>49.284860313555853</c:v>
                </c:pt>
              </c:numCache>
            </c:numRef>
          </c:val>
        </c:ser>
        <c:dLbls>
          <c:showLegendKey val="0"/>
          <c:showVal val="0"/>
          <c:showCatName val="0"/>
          <c:showSerName val="0"/>
          <c:showPercent val="0"/>
          <c:showBubbleSize val="0"/>
        </c:dLbls>
        <c:gapWidth val="150"/>
        <c:axId val="53486336"/>
        <c:axId val="53487872"/>
      </c:barChart>
      <c:catAx>
        <c:axId val="53486336"/>
        <c:scaling>
          <c:orientation val="minMax"/>
        </c:scaling>
        <c:delete val="0"/>
        <c:axPos val="b"/>
        <c:majorTickMark val="out"/>
        <c:minorTickMark val="none"/>
        <c:tickLblPos val="nextTo"/>
        <c:crossAx val="53487872"/>
        <c:crosses val="autoZero"/>
        <c:auto val="1"/>
        <c:lblAlgn val="ctr"/>
        <c:lblOffset val="100"/>
        <c:noMultiLvlLbl val="0"/>
      </c:catAx>
      <c:valAx>
        <c:axId val="53487872"/>
        <c:scaling>
          <c:orientation val="minMax"/>
        </c:scaling>
        <c:delete val="0"/>
        <c:axPos val="l"/>
        <c:majorGridlines>
          <c:spPr>
            <a:ln>
              <a:solidFill>
                <a:srgbClr val="33CCCC"/>
              </a:solidFill>
            </a:ln>
          </c:spPr>
        </c:majorGridlines>
        <c:title>
          <c:tx>
            <c:rich>
              <a:bodyPr rot="-5400000" vert="horz"/>
              <a:lstStyle/>
              <a:p>
                <a:pPr>
                  <a:defRPr/>
                </a:pPr>
                <a:r>
                  <a:rPr lang="en-US"/>
                  <a:t>Percentage</a:t>
                </a:r>
              </a:p>
            </c:rich>
          </c:tx>
          <c:layout>
            <c:manualLayout>
              <c:xMode val="edge"/>
              <c:yMode val="edge"/>
              <c:x val="1.0197511353822065E-2"/>
              <c:y val="0.33289734616506428"/>
            </c:manualLayout>
          </c:layout>
          <c:overlay val="0"/>
        </c:title>
        <c:numFmt formatCode="_(* #,##0_);_(* \(#,##0\);_(* &quot;-&quot;??_);_(@_)" sourceLinked="1"/>
        <c:majorTickMark val="out"/>
        <c:minorTickMark val="none"/>
        <c:tickLblPos val="nextTo"/>
        <c:crossAx val="53486336"/>
        <c:crosses val="autoZero"/>
        <c:crossBetween val="between"/>
      </c:valAx>
      <c:spPr>
        <a:solidFill>
          <a:srgbClr val="D4F5F4"/>
        </a:solidFill>
        <a:ln>
          <a:solidFill>
            <a:sysClr val="window" lastClr="FFFFFF">
              <a:lumMod val="65000"/>
            </a:sysClr>
          </a:solidFill>
        </a:ln>
      </c:spPr>
    </c:plotArea>
    <c:plotVisOnly val="1"/>
    <c:dispBlanksAs val="gap"/>
    <c:showDLblsOverMax val="0"/>
  </c:chart>
  <c:spPr>
    <a:solidFill>
      <a:schemeClr val="bg1"/>
    </a:solidFill>
  </c:spPr>
  <c:printSettings>
    <c:headerFooter/>
    <c:pageMargins b="0.75000000000000389" l="0.70000000000000062" r="0.70000000000000062" t="0.75000000000000389"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69744434962666"/>
          <c:y val="0.19401629473145998"/>
          <c:w val="0.84351215125762224"/>
          <c:h val="0.61760156922195997"/>
        </c:manualLayout>
      </c:layout>
      <c:barChart>
        <c:barDir val="col"/>
        <c:grouping val="clustered"/>
        <c:varyColors val="0"/>
        <c:ser>
          <c:idx val="0"/>
          <c:order val="0"/>
          <c:tx>
            <c:strRef>
              <c:f>'18.1'!$AC$23</c:f>
              <c:strCache>
                <c:ptCount val="1"/>
                <c:pt idx="0">
                  <c:v>Male</c:v>
                </c:pt>
              </c:strCache>
            </c:strRef>
          </c:tx>
          <c:spPr>
            <a:solidFill>
              <a:srgbClr val="33CCCC"/>
            </a:solidFill>
          </c:spPr>
          <c:invertIfNegative val="0"/>
          <c:cat>
            <c:strRef>
              <c:f>'18.1'!$AB$24:$AB$27</c:f>
              <c:strCache>
                <c:ptCount val="4"/>
                <c:pt idx="0">
                  <c:v>Basic Pension</c:v>
                </c:pt>
                <c:pt idx="1">
                  <c:v>Retirement Pension</c:v>
                </c:pt>
                <c:pt idx="2">
                  <c:v>Other Pension</c:v>
                </c:pt>
                <c:pt idx="3">
                  <c:v>Senior Citizen Allowance</c:v>
                </c:pt>
              </c:strCache>
            </c:strRef>
          </c:cat>
          <c:val>
            <c:numRef>
              <c:f>'18.1'!$AC$24:$AC$27</c:f>
              <c:numCache>
                <c:formatCode>_(* #,##0_);_(* \(#,##0\);_(* "-"??_);_(@_)</c:formatCode>
                <c:ptCount val="4"/>
                <c:pt idx="0" formatCode="_(* #,##0.00_);_(* \(#,##0.00\);_(* &quot;-&quot;??_);_(@_)">
                  <c:v>211.71591383000001</c:v>
                </c:pt>
                <c:pt idx="1">
                  <c:v>40.839450540000001</c:v>
                </c:pt>
                <c:pt idx="2">
                  <c:v>206.66552877999999</c:v>
                </c:pt>
                <c:pt idx="3">
                  <c:v>266.02491034999997</c:v>
                </c:pt>
              </c:numCache>
            </c:numRef>
          </c:val>
        </c:ser>
        <c:ser>
          <c:idx val="1"/>
          <c:order val="1"/>
          <c:tx>
            <c:strRef>
              <c:f>'18.1'!$AD$23</c:f>
              <c:strCache>
                <c:ptCount val="1"/>
                <c:pt idx="0">
                  <c:v>Female</c:v>
                </c:pt>
              </c:strCache>
            </c:strRef>
          </c:tx>
          <c:spPr>
            <a:solidFill>
              <a:srgbClr val="1C706E"/>
            </a:solidFill>
          </c:spPr>
          <c:invertIfNegative val="0"/>
          <c:cat>
            <c:strRef>
              <c:f>'18.1'!$AB$24:$AB$27</c:f>
              <c:strCache>
                <c:ptCount val="4"/>
                <c:pt idx="0">
                  <c:v>Basic Pension</c:v>
                </c:pt>
                <c:pt idx="1">
                  <c:v>Retirement Pension</c:v>
                </c:pt>
                <c:pt idx="2">
                  <c:v>Other Pension</c:v>
                </c:pt>
                <c:pt idx="3">
                  <c:v>Senior Citizen Allowance</c:v>
                </c:pt>
              </c:strCache>
            </c:strRef>
          </c:cat>
          <c:val>
            <c:numRef>
              <c:f>'18.1'!$AD$24:$AD$27</c:f>
              <c:numCache>
                <c:formatCode>_(* #,##0_);_(* \(#,##0\);_(* "-"??_);_(@_)</c:formatCode>
                <c:ptCount val="4"/>
                <c:pt idx="0">
                  <c:v>215.28332616999998</c:v>
                </c:pt>
                <c:pt idx="1">
                  <c:v>8.0002190899999999</c:v>
                </c:pt>
                <c:pt idx="2">
                  <c:v>53.452733930000001</c:v>
                </c:pt>
                <c:pt idx="3">
                  <c:v>258.52241810999999</c:v>
                </c:pt>
              </c:numCache>
            </c:numRef>
          </c:val>
        </c:ser>
        <c:dLbls>
          <c:showLegendKey val="0"/>
          <c:showVal val="0"/>
          <c:showCatName val="0"/>
          <c:showSerName val="0"/>
          <c:showPercent val="0"/>
          <c:showBubbleSize val="0"/>
        </c:dLbls>
        <c:gapWidth val="150"/>
        <c:axId val="53496832"/>
        <c:axId val="53502720"/>
      </c:barChart>
      <c:catAx>
        <c:axId val="53496832"/>
        <c:scaling>
          <c:orientation val="minMax"/>
        </c:scaling>
        <c:delete val="0"/>
        <c:axPos val="b"/>
        <c:majorTickMark val="out"/>
        <c:minorTickMark val="none"/>
        <c:tickLblPos val="nextTo"/>
        <c:crossAx val="53502720"/>
        <c:crosses val="autoZero"/>
        <c:auto val="1"/>
        <c:lblAlgn val="ctr"/>
        <c:lblOffset val="100"/>
        <c:noMultiLvlLbl val="0"/>
      </c:catAx>
      <c:valAx>
        <c:axId val="53502720"/>
        <c:scaling>
          <c:orientation val="minMax"/>
        </c:scaling>
        <c:delete val="0"/>
        <c:axPos val="l"/>
        <c:majorGridlines>
          <c:spPr>
            <a:ln>
              <a:solidFill>
                <a:srgbClr val="33CCCC"/>
              </a:solidFill>
            </a:ln>
          </c:spPr>
        </c:majorGridlines>
        <c:title>
          <c:tx>
            <c:rich>
              <a:bodyPr rot="-5400000" vert="horz"/>
              <a:lstStyle/>
              <a:p>
                <a:pPr>
                  <a:defRPr/>
                </a:pPr>
                <a:r>
                  <a:rPr lang="en-US"/>
                  <a:t>Value (In million</a:t>
                </a:r>
                <a:r>
                  <a:rPr lang="en-US" baseline="0"/>
                  <a:t> MVR)</a:t>
                </a:r>
                <a:endParaRPr lang="en-US"/>
              </a:p>
            </c:rich>
          </c:tx>
          <c:layout>
            <c:manualLayout>
              <c:xMode val="edge"/>
              <c:yMode val="edge"/>
              <c:x val="1.4787345917580607E-2"/>
              <c:y val="0.24334864391951005"/>
            </c:manualLayout>
          </c:layout>
          <c:overlay val="0"/>
        </c:title>
        <c:numFmt formatCode="_(* #,##0.00_);_(* \(#,##0.00\);_(* &quot;-&quot;??_);_(@_)" sourceLinked="1"/>
        <c:majorTickMark val="out"/>
        <c:minorTickMark val="none"/>
        <c:tickLblPos val="nextTo"/>
        <c:crossAx val="53496832"/>
        <c:crosses val="autoZero"/>
        <c:crossBetween val="between"/>
      </c:valAx>
      <c:spPr>
        <a:solidFill>
          <a:srgbClr val="D4F5F4"/>
        </a:solidFill>
        <a:ln>
          <a:solidFill>
            <a:schemeClr val="bg1">
              <a:lumMod val="65000"/>
            </a:schemeClr>
          </a:solidFill>
        </a:ln>
      </c:spPr>
    </c:plotArea>
    <c:legend>
      <c:legendPos val="r"/>
      <c:layout>
        <c:manualLayout>
          <c:xMode val="edge"/>
          <c:yMode val="edge"/>
          <c:x val="0.33793557388813206"/>
          <c:y val="0.30970013956480325"/>
          <c:w val="0.21001246719160252"/>
          <c:h val="7.4841790609507131E-2"/>
        </c:manualLayout>
      </c:layout>
      <c:overlay val="0"/>
    </c:legend>
    <c:plotVisOnly val="1"/>
    <c:dispBlanksAs val="gap"/>
    <c:showDLblsOverMax val="0"/>
  </c:chart>
  <c:spPr>
    <a:solidFill>
      <a:schemeClr val="bg1"/>
    </a:solidFill>
  </c:spPr>
  <c:printSettings>
    <c:headerFooter/>
    <c:pageMargins b="0.75000000000000411" l="0.70000000000000062" r="0.70000000000000062" t="0.750000000000004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485775</xdr:colOff>
      <xdr:row>31</xdr:row>
      <xdr:rowOff>164753</xdr:rowOff>
    </xdr:from>
    <xdr:to>
      <xdr:col>14</xdr:col>
      <xdr:colOff>171450</xdr:colOff>
      <xdr:row>48</xdr:row>
      <xdr:rowOff>80434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510113</xdr:colOff>
      <xdr:row>18</xdr:row>
      <xdr:rowOff>59809</xdr:rowOff>
    </xdr:from>
    <xdr:to>
      <xdr:col>18</xdr:col>
      <xdr:colOff>28575</xdr:colOff>
      <xdr:row>30</xdr:row>
      <xdr:rowOff>118577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506661</xdr:colOff>
      <xdr:row>18</xdr:row>
      <xdr:rowOff>44673</xdr:rowOff>
    </xdr:from>
    <xdr:to>
      <xdr:col>9</xdr:col>
      <xdr:colOff>432858</xdr:colOff>
      <xdr:row>30</xdr:row>
      <xdr:rowOff>99706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1143000</xdr:colOff>
      <xdr:row>19</xdr:row>
      <xdr:rowOff>180975</xdr:rowOff>
    </xdr:from>
    <xdr:to>
      <xdr:col>9</xdr:col>
      <xdr:colOff>200025</xdr:colOff>
      <xdr:row>19</xdr:row>
      <xdr:rowOff>180975</xdr:rowOff>
    </xdr:to>
    <xdr:sp macro="" textlink="">
      <xdr:nvSpPr>
        <xdr:cNvPr id="9" name="Line 4"/>
        <xdr:cNvSpPr>
          <a:spLocks noChangeShapeType="1"/>
        </xdr:cNvSpPr>
      </xdr:nvSpPr>
      <xdr:spPr bwMode="auto">
        <a:xfrm flipV="1">
          <a:off x="1143000" y="4914900"/>
          <a:ext cx="483870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4</xdr:col>
      <xdr:colOff>744070</xdr:colOff>
      <xdr:row>33</xdr:row>
      <xdr:rowOff>56029</xdr:rowOff>
    </xdr:from>
    <xdr:to>
      <xdr:col>13</xdr:col>
      <xdr:colOff>22412</xdr:colOff>
      <xdr:row>33</xdr:row>
      <xdr:rowOff>56029</xdr:rowOff>
    </xdr:to>
    <xdr:sp macro="" textlink="">
      <xdr:nvSpPr>
        <xdr:cNvPr id="10" name="Line 4"/>
        <xdr:cNvSpPr>
          <a:spLocks noChangeShapeType="1"/>
        </xdr:cNvSpPr>
      </xdr:nvSpPr>
      <xdr:spPr bwMode="auto">
        <a:xfrm flipV="1">
          <a:off x="2368923" y="7821705"/>
          <a:ext cx="616996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10</xdr:col>
      <xdr:colOff>133350</xdr:colOff>
      <xdr:row>20</xdr:row>
      <xdr:rowOff>38099</xdr:rowOff>
    </xdr:from>
    <xdr:to>
      <xdr:col>17</xdr:col>
      <xdr:colOff>1257300</xdr:colOff>
      <xdr:row>20</xdr:row>
      <xdr:rowOff>47625</xdr:rowOff>
    </xdr:to>
    <xdr:sp macro="" textlink="">
      <xdr:nvSpPr>
        <xdr:cNvPr id="12" name="Line 4"/>
        <xdr:cNvSpPr>
          <a:spLocks noChangeShapeType="1"/>
        </xdr:cNvSpPr>
      </xdr:nvSpPr>
      <xdr:spPr bwMode="auto">
        <a:xfrm>
          <a:off x="6934200" y="4962524"/>
          <a:ext cx="5667375" cy="9526"/>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0</xdr:col>
      <xdr:colOff>1114426</xdr:colOff>
      <xdr:row>18</xdr:row>
      <xdr:rowOff>133350</xdr:rowOff>
    </xdr:from>
    <xdr:to>
      <xdr:col>9</xdr:col>
      <xdr:colOff>123825</xdr:colOff>
      <xdr:row>20</xdr:row>
      <xdr:rowOff>0</xdr:rowOff>
    </xdr:to>
    <xdr:sp macro="" textlink="">
      <xdr:nvSpPr>
        <xdr:cNvPr id="5" name="TextBox 4"/>
        <xdr:cNvSpPr txBox="1"/>
      </xdr:nvSpPr>
      <xdr:spPr>
        <a:xfrm>
          <a:off x="1114426" y="4638675"/>
          <a:ext cx="79247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dk1"/>
              </a:solidFill>
              <a:effectLst/>
              <a:latin typeface="Consolas" pitchFamily="49" charset="0"/>
              <a:ea typeface="+mn-ea"/>
              <a:cs typeface="Consolas" pitchFamily="49" charset="0"/>
            </a:rPr>
            <a:t>Figure 18.1: Pension payments made under different schemes, 2015</a:t>
          </a:r>
          <a:endParaRPr lang="en-US" sz="1050">
            <a:effectLst/>
            <a:latin typeface="Consolas" pitchFamily="49" charset="0"/>
            <a:cs typeface="Consolas" pitchFamily="49" charset="0"/>
          </a:endParaRPr>
        </a:p>
        <a:p>
          <a:endParaRPr lang="en-US" sz="105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0.08308</cdr:x>
      <cdr:y>0.03903</cdr:y>
    </cdr:from>
    <cdr:to>
      <cdr:x>0.97397</cdr:x>
      <cdr:y>0.12832</cdr:y>
    </cdr:to>
    <cdr:sp macro="" textlink="">
      <cdr:nvSpPr>
        <cdr:cNvPr id="2" name="TextBox 1"/>
        <cdr:cNvSpPr txBox="1"/>
      </cdr:nvSpPr>
      <cdr:spPr>
        <a:xfrm xmlns:a="http://schemas.openxmlformats.org/drawingml/2006/main">
          <a:off x="547162" y="106393"/>
          <a:ext cx="5867400" cy="2433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18.2: Percentage share of pension payments going to females, 2015</a:t>
          </a:r>
          <a:endParaRPr lang="en-US">
            <a:effectLst/>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0.1042</cdr:y>
    </cdr:from>
    <cdr:to>
      <cdr:x>1</cdr:x>
      <cdr:y>0.33165</cdr:y>
    </cdr:to>
    <cdr:sp macro="" textlink="">
      <cdr:nvSpPr>
        <cdr:cNvPr id="2" name="TextBox 1"/>
        <cdr:cNvSpPr txBox="1"/>
      </cdr:nvSpPr>
      <cdr:spPr>
        <a:xfrm xmlns:a="http://schemas.openxmlformats.org/drawingml/2006/main">
          <a:off x="0" y="283633"/>
          <a:ext cx="5707872"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ifaza\AppData\Local\Microsoft\Windows\INetCache\Content.Outlook\ODPSUPO0\Documents%20and%20Settings\f.shifaza\Application%20Data\Microsoft\Excel\18.%20SOCIAL%20PROTECTION%20_%2029%20July%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 "/>
      <sheetName val="18.2 "/>
      <sheetName val="Figures"/>
      <sheetName val="18.3"/>
      <sheetName val="18.4"/>
      <sheetName val="18.5 new"/>
      <sheetName val="18.6"/>
      <sheetName val="18.7"/>
      <sheetName val="18.8"/>
      <sheetName val="18.9"/>
      <sheetName val="18.10"/>
      <sheetName val="Sheet1"/>
      <sheetName val="18.11"/>
      <sheetName val="18.12"/>
      <sheetName val="18.13"/>
      <sheetName val="18.14"/>
      <sheetName val="18.15"/>
      <sheetName val="18.16"/>
      <sheetName val="18.17"/>
    </sheetNames>
    <sheetDataSet>
      <sheetData sheetId="0"/>
      <sheetData sheetId="1"/>
      <sheetData sheetId="2"/>
      <sheetData sheetId="3"/>
      <sheetData sheetId="4"/>
      <sheetData sheetId="5"/>
      <sheetData sheetId="6"/>
      <sheetData sheetId="7"/>
      <sheetData sheetId="8"/>
      <sheetData sheetId="9">
        <row r="5">
          <cell r="C5">
            <v>2010</v>
          </cell>
          <cell r="D5">
            <v>2011</v>
          </cell>
          <cell r="E5">
            <v>2012</v>
          </cell>
        </row>
        <row r="7">
          <cell r="A7" t="str">
            <v>January</v>
          </cell>
          <cell r="D7">
            <v>13828</v>
          </cell>
          <cell r="E7">
            <v>18448</v>
          </cell>
        </row>
        <row r="8">
          <cell r="A8" t="str">
            <v>February</v>
          </cell>
          <cell r="D8">
            <v>13973</v>
          </cell>
          <cell r="E8">
            <v>18752</v>
          </cell>
        </row>
        <row r="9">
          <cell r="A9" t="str">
            <v>March</v>
          </cell>
          <cell r="D9">
            <v>14118</v>
          </cell>
          <cell r="E9">
            <v>18955</v>
          </cell>
        </row>
        <row r="10">
          <cell r="A10" t="str">
            <v>April</v>
          </cell>
          <cell r="D10">
            <v>14339</v>
          </cell>
          <cell r="E10">
            <v>19216</v>
          </cell>
        </row>
        <row r="11">
          <cell r="A11" t="str">
            <v>May</v>
          </cell>
          <cell r="D11">
            <v>14703</v>
          </cell>
          <cell r="E11">
            <v>19500</v>
          </cell>
        </row>
        <row r="12">
          <cell r="A12" t="str">
            <v>June</v>
          </cell>
          <cell r="D12">
            <v>15283</v>
          </cell>
          <cell r="E12">
            <v>19773</v>
          </cell>
        </row>
        <row r="13">
          <cell r="A13" t="str">
            <v>July</v>
          </cell>
          <cell r="D13">
            <v>15897</v>
          </cell>
          <cell r="E13">
            <v>19992</v>
          </cell>
        </row>
        <row r="14">
          <cell r="A14" t="str">
            <v>August</v>
          </cell>
          <cell r="D14">
            <v>16459</v>
          </cell>
          <cell r="E14">
            <v>20166</v>
          </cell>
        </row>
        <row r="15">
          <cell r="A15" t="str">
            <v>September</v>
          </cell>
          <cell r="D15">
            <v>16943</v>
          </cell>
          <cell r="E15">
            <v>20369</v>
          </cell>
        </row>
        <row r="16">
          <cell r="A16" t="str">
            <v>October</v>
          </cell>
          <cell r="D16">
            <v>17538</v>
          </cell>
          <cell r="E16">
            <v>20507</v>
          </cell>
        </row>
        <row r="17">
          <cell r="A17" t="str">
            <v>November</v>
          </cell>
          <cell r="D17">
            <v>17804</v>
          </cell>
          <cell r="E17">
            <v>20638</v>
          </cell>
        </row>
        <row r="18">
          <cell r="A18" t="str">
            <v>December</v>
          </cell>
          <cell r="D18">
            <v>18072</v>
          </cell>
          <cell r="E18">
            <v>20719</v>
          </cell>
        </row>
      </sheetData>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H28"/>
  <sheetViews>
    <sheetView tabSelected="1" zoomScale="85" zoomScaleNormal="85" workbookViewId="0">
      <selection activeCell="X18" sqref="X18"/>
    </sheetView>
  </sheetViews>
  <sheetFormatPr defaultColWidth="9.140625" defaultRowHeight="15" x14ac:dyDescent="0.25"/>
  <cols>
    <col min="1" max="1" width="24.42578125" style="1" customWidth="1"/>
    <col min="2" max="3" width="15.28515625" style="1" hidden="1" customWidth="1"/>
    <col min="4" max="4" width="16.42578125" style="1" hidden="1" customWidth="1"/>
    <col min="5" max="6" width="15.28515625" style="1" customWidth="1"/>
    <col min="7" max="7" width="16.42578125" style="1" customWidth="1"/>
    <col min="8" max="8" width="0.7109375" style="1" hidden="1" customWidth="1"/>
    <col min="9" max="10" width="15.28515625" style="1" customWidth="1"/>
    <col min="11" max="11" width="16.42578125" style="1" customWidth="1"/>
    <col min="12" max="12" width="9.28515625" style="1" hidden="1" customWidth="1"/>
    <col min="13" max="14" width="9.28515625" style="1" customWidth="1"/>
    <col min="15" max="16" width="9.5703125" style="1" customWidth="1"/>
    <col min="17" max="17" width="14" style="1" customWidth="1"/>
    <col min="18" max="18" width="22.5703125" style="1" customWidth="1"/>
    <col min="19" max="19" width="1.42578125" style="1" customWidth="1"/>
    <col min="20" max="20" width="14.42578125" style="1" customWidth="1"/>
    <col min="21" max="26" width="12.85546875" style="1" customWidth="1"/>
    <col min="27" max="27" width="41.140625" style="1" customWidth="1"/>
    <col min="28" max="28" width="34.42578125" style="1" customWidth="1"/>
    <col min="29" max="30" width="9.140625" style="1"/>
    <col min="31" max="32" width="17.140625" style="1" customWidth="1"/>
    <col min="33" max="16384" width="9.140625" style="1"/>
  </cols>
  <sheetData>
    <row r="1" spans="1:27" ht="21.75" customHeight="1" x14ac:dyDescent="0.55000000000000004">
      <c r="A1" s="72" t="s">
        <v>36</v>
      </c>
      <c r="B1" s="72"/>
      <c r="C1" s="72"/>
      <c r="D1" s="72"/>
      <c r="E1" s="72"/>
      <c r="F1" s="72"/>
      <c r="G1" s="72"/>
      <c r="H1" s="72"/>
      <c r="I1" s="72"/>
      <c r="J1" s="72"/>
      <c r="K1" s="72"/>
      <c r="L1" s="72"/>
      <c r="M1" s="72"/>
      <c r="N1" s="72"/>
      <c r="O1" s="72"/>
      <c r="P1" s="72"/>
      <c r="Q1" s="72"/>
      <c r="R1" s="72"/>
      <c r="S1" s="47"/>
    </row>
    <row r="2" spans="1:27" x14ac:dyDescent="0.25">
      <c r="A2" s="73" t="s">
        <v>35</v>
      </c>
      <c r="B2" s="73"/>
      <c r="C2" s="73"/>
      <c r="D2" s="73"/>
      <c r="E2" s="73"/>
      <c r="F2" s="73"/>
      <c r="G2" s="73"/>
      <c r="H2" s="73"/>
      <c r="I2" s="73"/>
      <c r="J2" s="73"/>
      <c r="K2" s="73"/>
      <c r="L2" s="73"/>
      <c r="M2" s="73"/>
      <c r="N2" s="73"/>
      <c r="O2" s="73"/>
      <c r="P2" s="73"/>
      <c r="Q2" s="73"/>
      <c r="R2" s="73"/>
      <c r="S2" s="48"/>
    </row>
    <row r="3" spans="1:27" ht="8.25" customHeight="1" x14ac:dyDescent="0.25">
      <c r="A3" s="2"/>
      <c r="B3" s="2"/>
      <c r="C3" s="2"/>
      <c r="D3" s="2"/>
      <c r="E3" s="2"/>
      <c r="F3" s="2"/>
      <c r="G3" s="2"/>
      <c r="H3" s="2"/>
      <c r="I3" s="2"/>
      <c r="J3" s="2"/>
      <c r="K3" s="2"/>
      <c r="L3" s="2"/>
      <c r="M3" s="2"/>
      <c r="N3" s="2"/>
      <c r="O3" s="2"/>
      <c r="P3" s="2"/>
      <c r="Q3" s="2"/>
    </row>
    <row r="4" spans="1:27" ht="36" customHeight="1" x14ac:dyDescent="0.25">
      <c r="A4" s="77" t="s">
        <v>14</v>
      </c>
      <c r="B4" s="82" t="s">
        <v>27</v>
      </c>
      <c r="C4" s="82"/>
      <c r="D4" s="82"/>
      <c r="E4" s="82" t="s">
        <v>27</v>
      </c>
      <c r="F4" s="82"/>
      <c r="G4" s="82"/>
      <c r="H4" s="53"/>
      <c r="I4" s="83" t="s">
        <v>22</v>
      </c>
      <c r="J4" s="83"/>
      <c r="K4" s="84"/>
      <c r="L4" s="86" t="s">
        <v>23</v>
      </c>
      <c r="M4" s="87"/>
      <c r="N4" s="87"/>
      <c r="O4" s="86" t="s">
        <v>24</v>
      </c>
      <c r="P4" s="90"/>
      <c r="Q4" s="53" t="s">
        <v>21</v>
      </c>
      <c r="R4" s="74" t="s">
        <v>15</v>
      </c>
      <c r="S4" s="49"/>
      <c r="T4" s="3"/>
    </row>
    <row r="5" spans="1:27" s="15" customFormat="1" ht="15" customHeight="1" x14ac:dyDescent="0.25">
      <c r="A5" s="78"/>
      <c r="B5" s="80">
        <v>2013</v>
      </c>
      <c r="C5" s="80"/>
      <c r="D5" s="80"/>
      <c r="E5" s="80">
        <v>2014</v>
      </c>
      <c r="F5" s="80"/>
      <c r="G5" s="81"/>
      <c r="H5" s="52"/>
      <c r="I5" s="85">
        <v>2015</v>
      </c>
      <c r="J5" s="80"/>
      <c r="K5" s="81"/>
      <c r="L5" s="88" t="s">
        <v>3</v>
      </c>
      <c r="M5" s="89"/>
      <c r="N5" s="89"/>
      <c r="O5" s="91" t="s">
        <v>17</v>
      </c>
      <c r="P5" s="92"/>
      <c r="Q5" s="52" t="s">
        <v>4</v>
      </c>
      <c r="R5" s="75"/>
      <c r="S5" s="50"/>
    </row>
    <row r="6" spans="1:27" s="15" customFormat="1" ht="16.5" customHeight="1" x14ac:dyDescent="0.25">
      <c r="A6" s="78"/>
      <c r="B6" s="26" t="s">
        <v>12</v>
      </c>
      <c r="C6" s="25" t="s">
        <v>8</v>
      </c>
      <c r="D6" s="26" t="s">
        <v>9</v>
      </c>
      <c r="E6" s="29" t="s">
        <v>12</v>
      </c>
      <c r="F6" s="28" t="s">
        <v>8</v>
      </c>
      <c r="G6" s="41" t="s">
        <v>9</v>
      </c>
      <c r="H6" s="28"/>
      <c r="I6" s="63" t="s">
        <v>12</v>
      </c>
      <c r="J6" s="28" t="s">
        <v>8</v>
      </c>
      <c r="K6" s="41" t="s">
        <v>9</v>
      </c>
      <c r="L6" s="36"/>
      <c r="M6" s="36"/>
      <c r="N6" s="36"/>
      <c r="O6" s="60"/>
      <c r="P6" s="57"/>
      <c r="Q6" s="52"/>
      <c r="R6" s="75"/>
      <c r="S6" s="50"/>
    </row>
    <row r="7" spans="1:27" ht="21" x14ac:dyDescent="0.25">
      <c r="A7" s="79"/>
      <c r="B7" s="54" t="s">
        <v>2</v>
      </c>
      <c r="C7" s="54" t="s">
        <v>0</v>
      </c>
      <c r="D7" s="54" t="s">
        <v>1</v>
      </c>
      <c r="E7" s="59" t="s">
        <v>2</v>
      </c>
      <c r="F7" s="59" t="s">
        <v>0</v>
      </c>
      <c r="G7" s="13" t="s">
        <v>1</v>
      </c>
      <c r="H7" s="59"/>
      <c r="I7" s="27" t="s">
        <v>2</v>
      </c>
      <c r="J7" s="59" t="s">
        <v>0</v>
      </c>
      <c r="K7" s="13" t="s">
        <v>1</v>
      </c>
      <c r="L7" s="24">
        <v>2013</v>
      </c>
      <c r="M7" s="24">
        <v>2014</v>
      </c>
      <c r="N7" s="55">
        <v>2015</v>
      </c>
      <c r="O7" s="32">
        <v>2014</v>
      </c>
      <c r="P7" s="40">
        <v>2015</v>
      </c>
      <c r="Q7" s="58" t="s">
        <v>34</v>
      </c>
      <c r="R7" s="76"/>
      <c r="S7" s="51"/>
    </row>
    <row r="8" spans="1:27" s="3" customFormat="1" ht="26.25" customHeight="1" x14ac:dyDescent="0.55000000000000004">
      <c r="A8" s="9" t="s">
        <v>2</v>
      </c>
      <c r="B8" s="11">
        <f t="shared" ref="B8:D8" si="0">SUM(B9:B11)</f>
        <v>691476496.03999996</v>
      </c>
      <c r="C8" s="11">
        <f t="shared" si="0"/>
        <v>426114222.03999996</v>
      </c>
      <c r="D8" s="11">
        <f t="shared" si="0"/>
        <v>265362274</v>
      </c>
      <c r="E8" s="11">
        <f>SUM(E9:E12)</f>
        <v>1198546537.5799999</v>
      </c>
      <c r="F8" s="11">
        <f>SUM(F9:F12)</f>
        <v>694023678.84000003</v>
      </c>
      <c r="G8" s="17">
        <f>SUM(G9:G12)</f>
        <v>504522858.74000001</v>
      </c>
      <c r="H8" s="11"/>
      <c r="I8" s="33">
        <f>SUM(I9:I12)</f>
        <v>1260504500.8000002</v>
      </c>
      <c r="J8" s="11">
        <f>SUM(J9:J12)</f>
        <v>725245803.5</v>
      </c>
      <c r="K8" s="17">
        <f>SUM(K9:K12)</f>
        <v>535258697.30000001</v>
      </c>
      <c r="L8" s="11">
        <f>SUM(L9:L11)</f>
        <v>100</v>
      </c>
      <c r="M8" s="11">
        <f>SUM(M9:M12)</f>
        <v>100</v>
      </c>
      <c r="N8" s="11">
        <f>I8/I8*100</f>
        <v>100</v>
      </c>
      <c r="O8" s="61">
        <f>G8/E8*100</f>
        <v>42.094557275905892</v>
      </c>
      <c r="P8" s="67">
        <f>K8/I8*100</f>
        <v>42.463846575739254</v>
      </c>
      <c r="Q8" s="68">
        <f>((I8-E8)/E8)*100</f>
        <v>5.1694249056945552</v>
      </c>
      <c r="R8" s="14" t="s">
        <v>12</v>
      </c>
      <c r="S8" s="14"/>
    </row>
    <row r="9" spans="1:27" ht="26.25" customHeight="1" x14ac:dyDescent="0.55000000000000004">
      <c r="A9" s="2" t="s">
        <v>5</v>
      </c>
      <c r="B9" s="34">
        <v>421204350.24000001</v>
      </c>
      <c r="C9" s="10">
        <v>210436362.22</v>
      </c>
      <c r="D9" s="10">
        <v>210767988.02000001</v>
      </c>
      <c r="E9" s="34">
        <v>431707102.44</v>
      </c>
      <c r="F9" s="10">
        <v>216136958.62</v>
      </c>
      <c r="G9" s="18">
        <v>215570143.81999999</v>
      </c>
      <c r="H9" s="10"/>
      <c r="I9" s="38">
        <f>SUM(J9:K9)</f>
        <v>426999240</v>
      </c>
      <c r="J9" s="10">
        <v>211715913.83000001</v>
      </c>
      <c r="K9" s="18">
        <v>215283326.16999999</v>
      </c>
      <c r="L9" s="10">
        <f>B9/$B$8*100</f>
        <v>60.913762456451522</v>
      </c>
      <c r="M9" s="10">
        <f>E9/$E$8*100</f>
        <v>36.019219021037358</v>
      </c>
      <c r="N9" s="10">
        <f>I9/$I$8*100</f>
        <v>33.875265001354443</v>
      </c>
      <c r="O9" s="46">
        <f>G9/E9*100</f>
        <v>49.934351925553649</v>
      </c>
      <c r="P9" s="65">
        <f>K9/I9*100</f>
        <v>50.417730525703043</v>
      </c>
      <c r="Q9" s="69">
        <f t="shared" ref="Q9:Q12" si="1">((I9-E9)/E9)*100</f>
        <v>-1.0905223503137318</v>
      </c>
      <c r="R9" s="5" t="s">
        <v>10</v>
      </c>
      <c r="S9" s="5"/>
      <c r="T9" s="3"/>
    </row>
    <row r="10" spans="1:27" ht="26.25" customHeight="1" x14ac:dyDescent="0.55000000000000004">
      <c r="A10" s="2" t="s">
        <v>6</v>
      </c>
      <c r="B10" s="34">
        <v>25887906.539999999</v>
      </c>
      <c r="C10" s="10">
        <v>21327068.57</v>
      </c>
      <c r="D10" s="10">
        <v>4560837.97</v>
      </c>
      <c r="E10" s="34">
        <v>35973669.200000003</v>
      </c>
      <c r="F10" s="10">
        <v>30648673.489999998</v>
      </c>
      <c r="G10" s="18">
        <v>5324995.71</v>
      </c>
      <c r="H10" s="10"/>
      <c r="I10" s="38">
        <f>SUM(J10:K10)</f>
        <v>48839669.629999995</v>
      </c>
      <c r="J10" s="10">
        <v>40839450.539999999</v>
      </c>
      <c r="K10" s="18">
        <v>8000219.0899999999</v>
      </c>
      <c r="L10" s="10">
        <f>B10/$B$8*100</f>
        <v>3.7438592183909112</v>
      </c>
      <c r="M10" s="10">
        <f>E10/$E$8*100</f>
        <v>3.0014411682866218</v>
      </c>
      <c r="N10" s="10">
        <f t="shared" ref="N10:N12" si="2">I10/$I$8*100</f>
        <v>3.8746128711958647</v>
      </c>
      <c r="O10" s="46">
        <f>G10/E10*100</f>
        <v>14.802481449404109</v>
      </c>
      <c r="P10" s="65">
        <f>K10/I10*100</f>
        <v>16.38057577090126</v>
      </c>
      <c r="Q10" s="69">
        <f t="shared" si="1"/>
        <v>35.765049037588838</v>
      </c>
      <c r="R10" s="5" t="s">
        <v>11</v>
      </c>
      <c r="S10" s="5"/>
      <c r="T10" s="3"/>
    </row>
    <row r="11" spans="1:27" ht="26.25" customHeight="1" x14ac:dyDescent="0.55000000000000004">
      <c r="A11" s="2" t="s">
        <v>7</v>
      </c>
      <c r="B11" s="34">
        <f>SUM(C11:D11)</f>
        <v>244384239.25999999</v>
      </c>
      <c r="C11" s="10">
        <v>194350791.25</v>
      </c>
      <c r="D11" s="10">
        <v>50033448.009999998</v>
      </c>
      <c r="E11" s="34">
        <v>259554054.59</v>
      </c>
      <c r="F11" s="10">
        <v>206837888.08000001</v>
      </c>
      <c r="G11" s="18">
        <v>52716166.509999998</v>
      </c>
      <c r="H11" s="10"/>
      <c r="I11" s="38">
        <f t="shared" ref="I11:I12" si="3">SUM(J11:K11)</f>
        <v>260118262.71000001</v>
      </c>
      <c r="J11" s="10">
        <v>206665528.78</v>
      </c>
      <c r="K11" s="18">
        <v>53452733.93</v>
      </c>
      <c r="L11" s="10">
        <f>B11/$B$8*100</f>
        <v>35.342378325157568</v>
      </c>
      <c r="M11" s="10">
        <f>E11/$E$8*100</f>
        <v>21.655734379248116</v>
      </c>
      <c r="N11" s="10">
        <f t="shared" si="2"/>
        <v>20.636043944699257</v>
      </c>
      <c r="O11" s="46">
        <f>G11/E11*100</f>
        <v>20.310284342609158</v>
      </c>
      <c r="P11" s="65">
        <f>K11/I11*100</f>
        <v>20.549396790948606</v>
      </c>
      <c r="Q11" s="69">
        <f t="shared" si="1"/>
        <v>0.21737596081527069</v>
      </c>
      <c r="R11" s="5" t="s">
        <v>13</v>
      </c>
      <c r="S11" s="5"/>
      <c r="T11" s="3"/>
    </row>
    <row r="12" spans="1:27" ht="26.25" customHeight="1" x14ac:dyDescent="0.55000000000000004">
      <c r="A12" s="4" t="s">
        <v>30</v>
      </c>
      <c r="B12" s="35">
        <v>0</v>
      </c>
      <c r="C12" s="6">
        <v>0</v>
      </c>
      <c r="D12" s="6">
        <v>0</v>
      </c>
      <c r="E12" s="35">
        <v>471311711.35000002</v>
      </c>
      <c r="F12" s="6">
        <v>240400158.65000001</v>
      </c>
      <c r="G12" s="19">
        <v>230911552.69999999</v>
      </c>
      <c r="H12" s="6"/>
      <c r="I12" s="39">
        <f t="shared" si="3"/>
        <v>524547328.46000004</v>
      </c>
      <c r="J12" s="6">
        <v>266024910.34999999</v>
      </c>
      <c r="K12" s="19">
        <v>258522418.11000001</v>
      </c>
      <c r="L12" s="6">
        <f>B12/$B$8*100</f>
        <v>0</v>
      </c>
      <c r="M12" s="6">
        <f>E12/$E$8*100</f>
        <v>39.323605431427907</v>
      </c>
      <c r="N12" s="6">
        <f t="shared" si="2"/>
        <v>41.614078182750426</v>
      </c>
      <c r="O12" s="62">
        <f>G12/E12*100</f>
        <v>48.993383177046312</v>
      </c>
      <c r="P12" s="66">
        <f>K12/I12*100</f>
        <v>49.284860313555853</v>
      </c>
      <c r="Q12" s="70">
        <f t="shared" si="1"/>
        <v>11.295203541094866</v>
      </c>
      <c r="R12" s="7" t="s">
        <v>29</v>
      </c>
      <c r="S12" s="7"/>
      <c r="T12" s="3"/>
    </row>
    <row r="13" spans="1:27" s="22" customFormat="1" ht="15" customHeight="1" x14ac:dyDescent="0.25">
      <c r="A13" s="22" t="s">
        <v>25</v>
      </c>
      <c r="Q13" s="64"/>
    </row>
    <row r="14" spans="1:27" s="22" customFormat="1" ht="15" customHeight="1" x14ac:dyDescent="0.25">
      <c r="A14" s="42" t="s">
        <v>33</v>
      </c>
      <c r="Q14" s="64"/>
    </row>
    <row r="15" spans="1:27" s="22" customFormat="1" ht="15" customHeight="1" x14ac:dyDescent="0.25">
      <c r="A15" s="22" t="s">
        <v>16</v>
      </c>
      <c r="B15" s="37"/>
      <c r="E15" s="37"/>
      <c r="I15" s="37"/>
      <c r="U15" s="43"/>
      <c r="V15" s="43"/>
      <c r="W15" s="43"/>
      <c r="X15" s="43"/>
      <c r="Y15" s="43"/>
      <c r="Z15" s="43"/>
      <c r="AA15" s="43"/>
    </row>
    <row r="16" spans="1:27" s="22" customFormat="1" ht="15" customHeight="1" x14ac:dyDescent="0.25">
      <c r="R16" s="23" t="s">
        <v>26</v>
      </c>
      <c r="S16" s="23"/>
    </row>
    <row r="17" spans="2:34" s="22" customFormat="1" ht="15" customHeight="1" x14ac:dyDescent="0.25">
      <c r="R17" s="23" t="s">
        <v>31</v>
      </c>
      <c r="S17" s="45" t="s">
        <v>32</v>
      </c>
    </row>
    <row r="18" spans="2:34" s="15" customFormat="1" ht="15" customHeight="1" x14ac:dyDescent="0.25">
      <c r="B18" s="16"/>
      <c r="E18" s="16"/>
      <c r="I18" s="16"/>
      <c r="R18" s="23" t="s">
        <v>20</v>
      </c>
      <c r="S18" s="23"/>
    </row>
    <row r="19" spans="2:34" s="15" customFormat="1" ht="15" customHeight="1" x14ac:dyDescent="0.25">
      <c r="B19" s="16"/>
      <c r="E19" s="16"/>
      <c r="I19" s="16"/>
      <c r="R19" s="23"/>
      <c r="S19" s="23"/>
    </row>
    <row r="20" spans="2:34" s="15" customFormat="1" ht="15" customHeight="1" x14ac:dyDescent="0.25">
      <c r="B20" s="16"/>
      <c r="E20" s="16"/>
      <c r="I20" s="16"/>
      <c r="R20" s="23"/>
      <c r="S20" s="23"/>
    </row>
    <row r="21" spans="2:34" x14ac:dyDescent="0.25">
      <c r="T21" s="22"/>
    </row>
    <row r="22" spans="2:34" ht="45" x14ac:dyDescent="0.25">
      <c r="T22" s="15"/>
      <c r="AB22" s="2">
        <v>2015</v>
      </c>
      <c r="AC22" s="2" t="s">
        <v>19</v>
      </c>
      <c r="AD22" s="2"/>
      <c r="AE22" s="2" t="s">
        <v>18</v>
      </c>
      <c r="AF22" s="2"/>
      <c r="AG22" s="8" t="s">
        <v>3</v>
      </c>
      <c r="AH22" s="20" t="s">
        <v>17</v>
      </c>
    </row>
    <row r="23" spans="2:34" x14ac:dyDescent="0.25">
      <c r="T23" s="44"/>
      <c r="AB23" s="30"/>
      <c r="AC23" s="2" t="s">
        <v>0</v>
      </c>
      <c r="AD23" s="2" t="s">
        <v>1</v>
      </c>
      <c r="AE23" s="2" t="s">
        <v>0</v>
      </c>
      <c r="AF23" s="2" t="s">
        <v>1</v>
      </c>
      <c r="AG23" s="21">
        <v>2015</v>
      </c>
      <c r="AH23" s="21">
        <v>2015</v>
      </c>
    </row>
    <row r="24" spans="2:34" x14ac:dyDescent="0.25">
      <c r="AB24" s="30" t="s">
        <v>5</v>
      </c>
      <c r="AC24" s="71">
        <f>AE24/1000000</f>
        <v>211.71591383000001</v>
      </c>
      <c r="AD24" s="12">
        <f>AF24/1000000</f>
        <v>215.28332616999998</v>
      </c>
      <c r="AE24" s="12">
        <f>J9</f>
        <v>211715913.83000001</v>
      </c>
      <c r="AF24" s="12">
        <f t="shared" ref="AF24:AF27" si="4">K9</f>
        <v>215283326.16999999</v>
      </c>
      <c r="AG24" s="10">
        <f>N9</f>
        <v>33.875265001354443</v>
      </c>
      <c r="AH24" s="11">
        <f>P9</f>
        <v>50.417730525703043</v>
      </c>
    </row>
    <row r="25" spans="2:34" x14ac:dyDescent="0.25">
      <c r="AB25" s="30" t="s">
        <v>6</v>
      </c>
      <c r="AC25" s="12">
        <f t="shared" ref="AC25:AD25" si="5">AE25/1000000</f>
        <v>40.839450540000001</v>
      </c>
      <c r="AD25" s="12">
        <f t="shared" si="5"/>
        <v>8.0002190899999999</v>
      </c>
      <c r="AE25" s="12">
        <f>J10</f>
        <v>40839450.539999999</v>
      </c>
      <c r="AF25" s="12">
        <f t="shared" si="4"/>
        <v>8000219.0899999999</v>
      </c>
      <c r="AG25" s="10">
        <f>N10</f>
        <v>3.8746128711958647</v>
      </c>
      <c r="AH25" s="11">
        <f t="shared" ref="AH25:AH27" si="6">P10</f>
        <v>16.38057577090126</v>
      </c>
    </row>
    <row r="26" spans="2:34" x14ac:dyDescent="0.25">
      <c r="AB26" s="31" t="s">
        <v>7</v>
      </c>
      <c r="AC26" s="12">
        <f>AE26/1000000</f>
        <v>206.66552877999999</v>
      </c>
      <c r="AD26" s="12">
        <f>AF26/1000000</f>
        <v>53.452733930000001</v>
      </c>
      <c r="AE26" s="12">
        <f>J11</f>
        <v>206665528.78</v>
      </c>
      <c r="AF26" s="12">
        <f t="shared" si="4"/>
        <v>53452733.93</v>
      </c>
      <c r="AG26" s="10">
        <f>N11</f>
        <v>20.636043944699257</v>
      </c>
      <c r="AH26" s="11">
        <f t="shared" si="6"/>
        <v>20.549396790948606</v>
      </c>
    </row>
    <row r="27" spans="2:34" x14ac:dyDescent="0.25">
      <c r="AB27" s="30" t="s">
        <v>28</v>
      </c>
      <c r="AC27" s="12">
        <f>AE27/1000000</f>
        <v>266.02491034999997</v>
      </c>
      <c r="AD27" s="12">
        <f>AF27/1000000</f>
        <v>258.52241810999999</v>
      </c>
      <c r="AE27" s="12">
        <f>J12</f>
        <v>266024910.34999999</v>
      </c>
      <c r="AF27" s="12">
        <f t="shared" si="4"/>
        <v>258522418.11000001</v>
      </c>
      <c r="AG27" s="10">
        <f>N12</f>
        <v>41.614078182750426</v>
      </c>
      <c r="AH27" s="11">
        <f t="shared" si="6"/>
        <v>49.284860313555853</v>
      </c>
    </row>
    <row r="28" spans="2:34" x14ac:dyDescent="0.25">
      <c r="AB28" s="56"/>
    </row>
  </sheetData>
  <mergeCells count="14">
    <mergeCell ref="A1:R1"/>
    <mergeCell ref="A2:R2"/>
    <mergeCell ref="R4:R7"/>
    <mergeCell ref="A4:A7"/>
    <mergeCell ref="B5:D5"/>
    <mergeCell ref="E5:G5"/>
    <mergeCell ref="E4:G4"/>
    <mergeCell ref="B4:D4"/>
    <mergeCell ref="I4:K4"/>
    <mergeCell ref="I5:K5"/>
    <mergeCell ref="L4:N4"/>
    <mergeCell ref="L5:N5"/>
    <mergeCell ref="O4:P4"/>
    <mergeCell ref="O5:P5"/>
  </mergeCells>
  <pageMargins left="0.26" right="0.54" top="0.19" bottom="0.18" header="0.13" footer="0.12"/>
  <pageSetup paperSize="9" scale="69" orientation="landscape" r:id="rId1"/>
  <colBreaks count="1" manualBreakCount="1">
    <brk id="19" max="1048575" man="1"/>
  </colBreaks>
  <ignoredErrors>
    <ignoredError sqref="B11 C8:D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Fathmath Shifaza</cp:lastModifiedBy>
  <cp:lastPrinted>2016-09-08T08:29:11Z</cp:lastPrinted>
  <dcterms:created xsi:type="dcterms:W3CDTF">2013-03-14T06:06:17Z</dcterms:created>
  <dcterms:modified xsi:type="dcterms:W3CDTF">2016-09-08T08:29:56Z</dcterms:modified>
</cp:coreProperties>
</file>