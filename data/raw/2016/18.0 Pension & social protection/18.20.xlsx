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225" windowWidth="6975" windowHeight="4110" tabRatio="857"/>
  </bookViews>
  <sheets>
    <sheet name="18.20" sheetId="34" r:id="rId1"/>
  </sheets>
  <externalReferences>
    <externalReference r:id="rId2"/>
  </externalReferences>
  <definedNames>
    <definedName name="_xlnm.Print_Area" localSheetId="0">'18.20'!$A$1:$I$84</definedName>
  </definedNames>
  <calcPr calcId="144525"/>
</workbook>
</file>

<file path=xl/calcChain.xml><?xml version="1.0" encoding="utf-8"?>
<calcChain xmlns="http://schemas.openxmlformats.org/spreadsheetml/2006/main">
  <c r="W45" i="34" l="1"/>
  <c r="X45" i="34"/>
  <c r="U45" i="34"/>
  <c r="T44" i="34"/>
  <c r="Y45" i="34" s="1"/>
  <c r="H6" i="34"/>
  <c r="Z45" i="34" l="1"/>
  <c r="V45" i="34"/>
  <c r="B62" i="34" l="1"/>
  <c r="B61" i="34"/>
  <c r="B60" i="34"/>
  <c r="B59" i="34"/>
  <c r="B58" i="34"/>
  <c r="B57" i="34"/>
  <c r="B56" i="34"/>
  <c r="B55" i="34"/>
  <c r="B54" i="34"/>
  <c r="B53" i="34"/>
  <c r="B52" i="34"/>
  <c r="B51" i="34"/>
  <c r="B50" i="34"/>
  <c r="B49" i="34"/>
  <c r="B48" i="34"/>
  <c r="B47" i="34"/>
  <c r="B46" i="34"/>
  <c r="B45" i="34"/>
  <c r="B44" i="34"/>
  <c r="B43" i="34"/>
  <c r="B42" i="34"/>
  <c r="F41" i="34"/>
  <c r="F39" i="34" s="1"/>
  <c r="E41" i="34"/>
  <c r="E39" i="34" s="1"/>
  <c r="D41" i="34"/>
  <c r="D39" i="34" s="1"/>
  <c r="C41" i="34"/>
  <c r="C39" i="34" s="1"/>
  <c r="B40" i="34"/>
  <c r="G39" i="34"/>
  <c r="B29" i="34"/>
  <c r="B28" i="34"/>
  <c r="B27" i="34"/>
  <c r="B26" i="34"/>
  <c r="B25" i="34"/>
  <c r="B24" i="34"/>
  <c r="B23" i="34"/>
  <c r="B22" i="34"/>
  <c r="B21" i="34"/>
  <c r="B20" i="34"/>
  <c r="B19" i="34"/>
  <c r="B18" i="34"/>
  <c r="B17" i="34"/>
  <c r="B16" i="34"/>
  <c r="B15" i="34"/>
  <c r="B14" i="34"/>
  <c r="B13" i="34"/>
  <c r="B12" i="34"/>
  <c r="B11" i="34"/>
  <c r="B10" i="34"/>
  <c r="B9" i="34"/>
  <c r="G6" i="34"/>
  <c r="F8" i="34"/>
  <c r="F6" i="34" s="1"/>
  <c r="E8" i="34"/>
  <c r="E6" i="34" s="1"/>
  <c r="D8" i="34"/>
  <c r="D6" i="34" s="1"/>
  <c r="C8" i="34"/>
  <c r="B7" i="34"/>
  <c r="C6" i="34"/>
  <c r="B41" i="34" l="1"/>
  <c r="B39" i="34" s="1"/>
  <c r="B8" i="34"/>
  <c r="B6" i="34" s="1"/>
</calcChain>
</file>

<file path=xl/sharedStrings.xml><?xml version="1.0" encoding="utf-8"?>
<sst xmlns="http://schemas.openxmlformats.org/spreadsheetml/2006/main" count="140" uniqueCount="72">
  <si>
    <t>Pharmacies</t>
  </si>
  <si>
    <t>ތަން</t>
  </si>
  <si>
    <t>Locality</t>
  </si>
  <si>
    <t>Republic</t>
  </si>
  <si>
    <t xml:space="preserve">Male' </t>
  </si>
  <si>
    <t>މާލެ</t>
  </si>
  <si>
    <t>Atolls</t>
  </si>
  <si>
    <t>އަތޮޅުތައް</t>
  </si>
  <si>
    <t>North Thiladhunmathi (HA)</t>
  </si>
  <si>
    <t>South Thiladhunmathi (HDh)</t>
  </si>
  <si>
    <t>North Miladhunmadulu (Sh)</t>
  </si>
  <si>
    <t>South Miladhunmadulu (N)</t>
  </si>
  <si>
    <t>North Maalhosmadulu (R)</t>
  </si>
  <si>
    <t>South Maalhosmadulu (B)</t>
  </si>
  <si>
    <t>Faadhippolhu (Lh)</t>
  </si>
  <si>
    <t>North Ari Atoll (AA)</t>
  </si>
  <si>
    <t>South Ari Atoll (ADh)</t>
  </si>
  <si>
    <t>Felidhu Atoll (V)</t>
  </si>
  <si>
    <t>Mulakatholhu (M)</t>
  </si>
  <si>
    <t>North Nilandhe Atoll (F)</t>
  </si>
  <si>
    <t>South Nilandhe Atoll (Dh)</t>
  </si>
  <si>
    <t>Kolhumadulu (Th)</t>
  </si>
  <si>
    <t>N</t>
  </si>
  <si>
    <t>Hadhdhunmathi (L)</t>
  </si>
  <si>
    <t>North Huvadhu Atoll (GA)</t>
  </si>
  <si>
    <t>South Huvadhu Atoll (GDh)</t>
  </si>
  <si>
    <t>Fuvahmulah (Gn)</t>
  </si>
  <si>
    <t>Addu Atoll (S)</t>
  </si>
  <si>
    <t>L</t>
  </si>
  <si>
    <t>S</t>
  </si>
  <si>
    <t>Total Expenditure (MVR)</t>
  </si>
  <si>
    <t>Hospitals</t>
  </si>
  <si>
    <t>Opticals</t>
  </si>
  <si>
    <t>Clinics</t>
  </si>
  <si>
    <t>Airfare Tickets</t>
  </si>
  <si>
    <t>Emergency Evacuation - Sea</t>
  </si>
  <si>
    <t>ޖުމްލަ ޚަރަދު</t>
  </si>
  <si>
    <t>clwTiPcsoh</t>
  </si>
  <si>
    <t>IswmWf</t>
  </si>
  <si>
    <t>ctwmcdiKegulol</t>
  </si>
  <si>
    <t>ckiniluk</t>
  </si>
  <si>
    <t>ޓިކެޓް ޚަރަދު</t>
  </si>
  <si>
    <t>އިމަޖެންސީ އިވަކުއޭޝަން</t>
  </si>
  <si>
    <t>ރާއްޖެ</t>
  </si>
  <si>
    <t xml:space="preserve">      ah </t>
  </si>
  <si>
    <t>dh</t>
  </si>
  <si>
    <t>n</t>
  </si>
  <si>
    <t>r</t>
  </si>
  <si>
    <t>b</t>
  </si>
  <si>
    <t>Male Atoll (K)</t>
  </si>
  <si>
    <t>k</t>
  </si>
  <si>
    <t>އa</t>
  </si>
  <si>
    <t>da</t>
  </si>
  <si>
    <t>v</t>
  </si>
  <si>
    <t>m</t>
  </si>
  <si>
    <t>f</t>
  </si>
  <si>
    <t>d</t>
  </si>
  <si>
    <t>t</t>
  </si>
  <si>
    <t>l</t>
  </si>
  <si>
    <t>ag</t>
  </si>
  <si>
    <t xml:space="preserve"> dg</t>
  </si>
  <si>
    <t>s</t>
  </si>
  <si>
    <t>Overseas hospitals</t>
  </si>
  <si>
    <t>ރާއްޖޭން ބޭރު ހޮސްޕިޓަލުތައް</t>
  </si>
  <si>
    <t>Emergency Evacuation - Sea2_/</t>
  </si>
  <si>
    <r>
      <rPr>
        <i/>
        <vertAlign val="superscript"/>
        <sz val="9"/>
        <color theme="1"/>
        <rFont val="Calibri"/>
        <family val="2"/>
        <scheme val="minor"/>
      </rPr>
      <t>1.</t>
    </r>
    <r>
      <rPr>
        <i/>
        <sz val="9"/>
        <color theme="1"/>
        <rFont val="Calibri"/>
        <family val="2"/>
        <scheme val="minor"/>
      </rPr>
      <t xml:space="preserve"> Type 'Airfare Tickets' is designated for the ticket expenditure on cases referred abroad</t>
    </r>
  </si>
  <si>
    <r>
      <rPr>
        <i/>
        <vertAlign val="superscript"/>
        <sz val="10"/>
        <color theme="1"/>
        <rFont val="Calibri"/>
        <family val="2"/>
        <scheme val="minor"/>
      </rPr>
      <t>2.</t>
    </r>
    <r>
      <rPr>
        <i/>
        <sz val="10"/>
        <color theme="1"/>
        <rFont val="Calibri"/>
        <family val="2"/>
        <scheme val="minor"/>
      </rPr>
      <t>Expenditure aggregated based on Service Provider's geograpical location as specified above</t>
    </r>
  </si>
  <si>
    <r>
      <t>Airfare Tickets</t>
    </r>
    <r>
      <rPr>
        <b/>
        <vertAlign val="superscript"/>
        <sz val="11"/>
        <color theme="1"/>
        <rFont val="Calibri"/>
        <family val="2"/>
        <scheme val="minor"/>
      </rPr>
      <t>1_</t>
    </r>
    <r>
      <rPr>
        <b/>
        <sz val="11"/>
        <color theme="1"/>
        <rFont val="Calibri"/>
        <family val="2"/>
        <scheme val="minor"/>
      </rPr>
      <t>/</t>
    </r>
  </si>
  <si>
    <t>Table 18.20 :  EXPENDITURE ON AASANDHA SERVICES BY TYPE OF INSTITUTION AND ATOLL ,  2014</t>
  </si>
  <si>
    <t>ތާވަލް 18.20: އިޖްތިމާއީ ރައްކާތެރިކަމުގެ ދަށުން އަތޮޅުތަކުން ދެވޭ ޙިދުމަތްތައް ފޯރުކޮށްދޭ ތަންތަނަށް ކުރެވިފައިވާ ޚަރަދު، 2014</t>
  </si>
  <si>
    <t>Table 18.20 :  EXPENDITURE ON AASANDHA SERVICES BY TYPE OF INSTITUTION AND ATOLL ,  2015</t>
  </si>
  <si>
    <t>ތާވަލް 18.20: އިޖްތިމާއީ ރައްކާތެރިކަމުގެ ދަށުން އަތޮޅުތަކުން ދެވޭ ޙިދުމަތްތައް ފޯރުކޮށްދޭ ތަންތަނަށް ކުރެވިފައިވާ ޚަރަދު،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</si>
</sst>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_(* #,##0_);_(* \(#,##0\);_(* &quot;-&quot;??_);_(@_)"/>
    <numFmt numFmtId="165" formatCode="0.0"/>
    <numFmt numFmtId="168" formatCode="General_)"/>
    <numFmt numFmtId="169" formatCode="_-* #,##0.00_-;\-* #,##0.00_-;_-* &quot;-&quot;??_-;_-@_-"/>
    <numFmt numFmtId="170" formatCode="_-* #,##0_-;\-* #,##0_-;_-* &quot;-&quot;??_-;_-@_-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b/>
      <sz val="10"/>
      <color theme="1"/>
      <name val="Faruma"/>
    </font>
    <font>
      <i/>
      <sz val="10"/>
      <color theme="1"/>
      <name val="Calibri"/>
      <family val="2"/>
      <scheme val="minor"/>
    </font>
    <font>
      <sz val="10"/>
      <name val="Arial"/>
      <family val="2"/>
    </font>
    <font>
      <i/>
      <sz val="9"/>
      <color theme="1"/>
      <name val="Calibri"/>
      <family val="2"/>
      <scheme val="minor"/>
    </font>
    <font>
      <sz val="9"/>
      <color theme="1"/>
      <name val="Faruma"/>
    </font>
    <font>
      <sz val="10"/>
      <name val="Courier"/>
      <family val="3"/>
    </font>
    <font>
      <i/>
      <vertAlign val="superscript"/>
      <sz val="10"/>
      <color theme="1"/>
      <name val="Calibri"/>
      <family val="2"/>
      <scheme val="minor"/>
    </font>
    <font>
      <b/>
      <sz val="11"/>
      <color theme="1" tint="0.14999847407452621"/>
      <name val="Faruma"/>
    </font>
    <font>
      <b/>
      <sz val="11"/>
      <color theme="1" tint="0.14999847407452621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Faruma"/>
    </font>
    <font>
      <b/>
      <sz val="11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b/>
      <sz val="10"/>
      <color theme="1" tint="0.14999847407452621"/>
      <name val="Calibri"/>
      <family val="2"/>
      <scheme val="minor"/>
    </font>
    <font>
      <sz val="10"/>
      <color theme="1" tint="0.1499984740745262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vertAlign val="superscript"/>
      <sz val="9"/>
      <color theme="1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b/>
      <sz val="10"/>
      <color theme="1"/>
      <name val="Calibri"/>
      <family val="2"/>
      <charset val="1"/>
      <scheme val="minor"/>
    </font>
    <font>
      <sz val="9"/>
      <color theme="1"/>
      <name val="Calibri"/>
      <family val="2"/>
      <charset val="1"/>
      <scheme val="minor"/>
    </font>
    <font>
      <b/>
      <sz val="10"/>
      <name val="A_Randhoo"/>
    </font>
    <font>
      <sz val="10"/>
      <color theme="1" tint="0.14999847407452621"/>
      <name val="A_Funa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 tint="0.14999847407452621"/>
      <name val="Faruma"/>
    </font>
    <font>
      <b/>
      <vertAlign val="super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6" fillId="0" borderId="0"/>
    <xf numFmtId="164" fontId="9" fillId="0" borderId="0"/>
    <xf numFmtId="0" fontId="6" fillId="0" borderId="0"/>
  </cellStyleXfs>
  <cellXfs count="65">
    <xf numFmtId="0" fontId="0" fillId="0" borderId="0" xfId="0"/>
    <xf numFmtId="0" fontId="0" fillId="2" borderId="0" xfId="0" applyFill="1"/>
    <xf numFmtId="0" fontId="0" fillId="2" borderId="0" xfId="0" applyFill="1" applyBorder="1"/>
    <xf numFmtId="0" fontId="0" fillId="2" borderId="0" xfId="0" applyFill="1" applyAlignment="1">
      <alignment horizontal="center" vertical="center"/>
    </xf>
    <xf numFmtId="165" fontId="0" fillId="2" borderId="0" xfId="0" applyNumberFormat="1" applyFill="1"/>
    <xf numFmtId="0" fontId="8" fillId="2" borderId="0" xfId="0" applyFont="1" applyFill="1" applyAlignment="1">
      <alignment vertical="center"/>
    </xf>
    <xf numFmtId="0" fontId="0" fillId="2" borderId="0" xfId="0" applyFill="1" applyBorder="1" applyAlignment="1">
      <alignment horizontal="center" vertical="center"/>
    </xf>
    <xf numFmtId="168" fontId="14" fillId="2" borderId="1" xfId="3" applyNumberFormat="1" applyFont="1" applyFill="1" applyBorder="1" applyAlignment="1">
      <alignment horizontal="right" vertical="center" wrapText="1"/>
    </xf>
    <xf numFmtId="0" fontId="15" fillId="2" borderId="0" xfId="0" applyFont="1" applyFill="1"/>
    <xf numFmtId="169" fontId="2" fillId="2" borderId="3" xfId="1" applyNumberFormat="1" applyFont="1" applyFill="1" applyBorder="1" applyAlignment="1">
      <alignment horizontal="right" vertical="center" wrapText="1"/>
    </xf>
    <xf numFmtId="168" fontId="20" fillId="2" borderId="3" xfId="3" applyNumberFormat="1" applyFont="1" applyFill="1" applyBorder="1" applyAlignment="1">
      <alignment horizontal="right" vertical="center" wrapText="1"/>
    </xf>
    <xf numFmtId="169" fontId="2" fillId="2" borderId="3" xfId="1" applyNumberFormat="1" applyFont="1" applyFill="1" applyBorder="1" applyAlignment="1">
      <alignment horizontal="right" vertical="center"/>
    </xf>
    <xf numFmtId="169" fontId="16" fillId="2" borderId="3" xfId="1" applyNumberFormat="1" applyFont="1" applyFill="1" applyBorder="1" applyAlignment="1">
      <alignment horizontal="right" vertical="center" wrapText="1"/>
    </xf>
    <xf numFmtId="168" fontId="25" fillId="2" borderId="1" xfId="3" applyNumberFormat="1" applyFont="1" applyFill="1" applyBorder="1" applyAlignment="1">
      <alignment horizontal="right" vertical="center" wrapText="1"/>
    </xf>
    <xf numFmtId="170" fontId="23" fillId="2" borderId="0" xfId="0" applyNumberFormat="1" applyFont="1" applyFill="1" applyAlignment="1">
      <alignment horizontal="left" vertical="center"/>
    </xf>
    <xf numFmtId="0" fontId="15" fillId="2" borderId="0" xfId="0" applyFont="1" applyFill="1" applyAlignment="1">
      <alignment horizontal="center" vertical="center"/>
    </xf>
    <xf numFmtId="164" fontId="22" fillId="2" borderId="0" xfId="1" applyNumberFormat="1" applyFont="1" applyFill="1" applyBorder="1" applyAlignment="1">
      <alignment horizontal="right" vertical="center"/>
    </xf>
    <xf numFmtId="164" fontId="22" fillId="2" borderId="1" xfId="1" applyNumberFormat="1" applyFont="1" applyFill="1" applyBorder="1" applyAlignment="1">
      <alignment horizontal="right" vertical="center"/>
    </xf>
    <xf numFmtId="170" fontId="16" fillId="2" borderId="0" xfId="1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right" vertical="center" indent="3"/>
    </xf>
    <xf numFmtId="170" fontId="17" fillId="2" borderId="0" xfId="1" applyNumberFormat="1" applyFont="1" applyFill="1" applyBorder="1" applyAlignment="1"/>
    <xf numFmtId="170" fontId="23" fillId="2" borderId="0" xfId="1" applyNumberFormat="1" applyFont="1" applyFill="1"/>
    <xf numFmtId="170" fontId="18" fillId="2" borderId="0" xfId="1" applyNumberFormat="1" applyFont="1" applyFill="1" applyBorder="1" applyAlignment="1"/>
    <xf numFmtId="170" fontId="22" fillId="2" borderId="0" xfId="1" applyNumberFormat="1" applyFont="1" applyFill="1"/>
    <xf numFmtId="3" fontId="26" fillId="2" borderId="0" xfId="2" applyNumberFormat="1" applyFont="1" applyFill="1" applyBorder="1" applyAlignment="1" applyProtection="1">
      <alignment horizontal="right" vertical="center" indent="3"/>
    </xf>
    <xf numFmtId="169" fontId="2" fillId="2" borderId="0" xfId="0" applyNumberFormat="1" applyFont="1" applyFill="1" applyBorder="1" applyAlignment="1">
      <alignment horizontal="right"/>
    </xf>
    <xf numFmtId="0" fontId="27" fillId="2" borderId="0" xfId="0" applyFont="1" applyFill="1" applyBorder="1"/>
    <xf numFmtId="170" fontId="22" fillId="2" borderId="0" xfId="1" applyNumberFormat="1" applyFont="1" applyFill="1" applyBorder="1" applyAlignment="1"/>
    <xf numFmtId="169" fontId="28" fillId="2" borderId="0" xfId="1" applyNumberFormat="1" applyFont="1" applyFill="1" applyBorder="1" applyAlignment="1">
      <alignment horizontal="right" vertical="center" wrapText="1"/>
    </xf>
    <xf numFmtId="168" fontId="13" fillId="2" borderId="0" xfId="3" applyNumberFormat="1" applyFont="1" applyFill="1" applyBorder="1" applyAlignment="1">
      <alignment horizontal="right" vertical="center" wrapText="1"/>
    </xf>
    <xf numFmtId="169" fontId="28" fillId="2" borderId="0" xfId="1" applyNumberFormat="1" applyFont="1" applyFill="1" applyBorder="1" applyAlignment="1">
      <alignment horizontal="right" vertical="center"/>
    </xf>
    <xf numFmtId="170" fontId="28" fillId="2" borderId="0" xfId="1" applyNumberFormat="1" applyFont="1" applyFill="1" applyBorder="1" applyAlignment="1">
      <alignment horizontal="center" vertical="center"/>
    </xf>
    <xf numFmtId="170" fontId="28" fillId="2" borderId="0" xfId="1" applyNumberFormat="1" applyFont="1" applyFill="1" applyBorder="1" applyAlignment="1">
      <alignment horizontal="right" vertical="center"/>
    </xf>
    <xf numFmtId="170" fontId="27" fillId="2" borderId="0" xfId="1" applyNumberFormat="1" applyFont="1" applyFill="1" applyBorder="1"/>
    <xf numFmtId="170" fontId="0" fillId="2" borderId="0" xfId="0" applyNumberFormat="1" applyFill="1" applyBorder="1"/>
    <xf numFmtId="170" fontId="18" fillId="2" borderId="1" xfId="1" applyNumberFormat="1" applyFont="1" applyFill="1" applyBorder="1" applyAlignment="1"/>
    <xf numFmtId="3" fontId="29" fillId="2" borderId="1" xfId="2" applyNumberFormat="1" applyFont="1" applyFill="1" applyBorder="1" applyAlignment="1" applyProtection="1">
      <alignment horizontal="right" vertical="center" indent="3"/>
    </xf>
    <xf numFmtId="0" fontId="7" fillId="2" borderId="0" xfId="0" applyNumberFormat="1" applyFont="1" applyFill="1" applyAlignment="1">
      <alignment vertical="center"/>
    </xf>
    <xf numFmtId="0" fontId="24" fillId="2" borderId="0" xfId="0" applyFont="1" applyFill="1" applyAlignment="1">
      <alignment vertical="center"/>
    </xf>
    <xf numFmtId="0" fontId="24" fillId="2" borderId="0" xfId="0" applyFont="1" applyFill="1" applyBorder="1" applyAlignment="1">
      <alignment vertical="center"/>
    </xf>
    <xf numFmtId="0" fontId="15" fillId="2" borderId="0" xfId="0" applyFont="1" applyFill="1" applyBorder="1" applyAlignment="1">
      <alignment horizontal="center" vertical="center"/>
    </xf>
    <xf numFmtId="0" fontId="15" fillId="2" borderId="0" xfId="0" applyFont="1" applyFill="1" applyBorder="1"/>
    <xf numFmtId="170" fontId="22" fillId="2" borderId="0" xfId="1" applyNumberFormat="1" applyFont="1" applyFill="1" applyAlignment="1">
      <alignment horizontal="right"/>
    </xf>
    <xf numFmtId="170" fontId="19" fillId="2" borderId="1" xfId="1" applyNumberFormat="1" applyFont="1" applyFill="1" applyBorder="1"/>
    <xf numFmtId="169" fontId="0" fillId="2" borderId="0" xfId="1" applyNumberFormat="1" applyFont="1" applyFill="1"/>
    <xf numFmtId="169" fontId="0" fillId="2" borderId="0" xfId="1" applyNumberFormat="1" applyFont="1" applyFill="1" applyAlignment="1">
      <alignment horizontal="right"/>
    </xf>
    <xf numFmtId="169" fontId="2" fillId="2" borderId="0" xfId="1" applyNumberFormat="1" applyFont="1" applyFill="1"/>
    <xf numFmtId="170" fontId="22" fillId="2" borderId="1" xfId="1" applyNumberFormat="1" applyFont="1" applyFill="1" applyBorder="1"/>
    <xf numFmtId="3" fontId="11" fillId="2" borderId="0" xfId="2" applyNumberFormat="1" applyFont="1" applyFill="1" applyAlignment="1">
      <alignment wrapText="1" readingOrder="2"/>
    </xf>
    <xf numFmtId="3" fontId="12" fillId="2" borderId="0" xfId="2" applyNumberFormat="1" applyFont="1" applyFill="1" applyBorder="1" applyAlignment="1" applyProtection="1">
      <alignment vertical="top" wrapText="1"/>
    </xf>
    <xf numFmtId="0" fontId="5" fillId="2" borderId="0" xfId="0" applyNumberFormat="1" applyFont="1" applyFill="1" applyAlignment="1">
      <alignment vertical="center"/>
    </xf>
    <xf numFmtId="3" fontId="12" fillId="2" borderId="0" xfId="2" applyNumberFormat="1" applyFont="1" applyFill="1" applyBorder="1" applyAlignment="1" applyProtection="1">
      <alignment horizontal="center" vertical="top" wrapText="1"/>
    </xf>
    <xf numFmtId="168" fontId="20" fillId="2" borderId="3" xfId="3" applyNumberFormat="1" applyFont="1" applyFill="1" applyBorder="1" applyAlignment="1">
      <alignment horizontal="right" vertical="center"/>
    </xf>
    <xf numFmtId="169" fontId="16" fillId="2" borderId="3" xfId="1" applyNumberFormat="1" applyFont="1" applyFill="1" applyBorder="1" applyAlignment="1">
      <alignment horizontal="right" vertical="center"/>
    </xf>
    <xf numFmtId="170" fontId="18" fillId="2" borderId="1" xfId="1" applyNumberFormat="1" applyFont="1" applyFill="1" applyBorder="1" applyAlignment="1">
      <alignment vertical="center"/>
    </xf>
    <xf numFmtId="170" fontId="22" fillId="2" borderId="1" xfId="1" applyNumberFormat="1" applyFont="1" applyFill="1" applyBorder="1" applyAlignment="1">
      <alignment vertical="center"/>
    </xf>
    <xf numFmtId="170" fontId="19" fillId="2" borderId="1" xfId="1" applyNumberFormat="1" applyFont="1" applyFill="1" applyBorder="1" applyAlignment="1">
      <alignment vertical="center"/>
    </xf>
    <xf numFmtId="3" fontId="29" fillId="2" borderId="1" xfId="2" applyNumberFormat="1" applyFont="1" applyFill="1" applyBorder="1" applyAlignment="1" applyProtection="1">
      <alignment horizontal="right" vertical="center"/>
    </xf>
    <xf numFmtId="168" fontId="20" fillId="2" borderId="2" xfId="3" applyNumberFormat="1" applyFont="1" applyFill="1" applyBorder="1" applyAlignment="1">
      <alignment horizontal="left" vertical="center" wrapText="1"/>
    </xf>
    <xf numFmtId="168" fontId="20" fillId="2" borderId="1" xfId="3" applyNumberFormat="1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right" vertical="center" indent="2"/>
    </xf>
    <xf numFmtId="0" fontId="3" fillId="2" borderId="1" xfId="0" applyFont="1" applyFill="1" applyBorder="1" applyAlignment="1">
      <alignment horizontal="right" vertical="center" indent="2"/>
    </xf>
    <xf numFmtId="3" fontId="11" fillId="2" borderId="0" xfId="2" applyNumberFormat="1" applyFont="1" applyFill="1" applyAlignment="1">
      <alignment horizontal="center" wrapText="1" readingOrder="2"/>
    </xf>
    <xf numFmtId="3" fontId="12" fillId="2" borderId="0" xfId="2" applyNumberFormat="1" applyFont="1" applyFill="1" applyBorder="1" applyAlignment="1" applyProtection="1">
      <alignment horizontal="center" vertical="top" wrapText="1"/>
    </xf>
    <xf numFmtId="3" fontId="12" fillId="2" borderId="1" xfId="2" applyNumberFormat="1" applyFont="1" applyFill="1" applyBorder="1" applyAlignment="1" applyProtection="1">
      <alignment horizontal="center" vertical="top" wrapText="1"/>
    </xf>
  </cellXfs>
  <cellStyles count="5">
    <cellStyle name="Comma" xfId="1" builtinId="3"/>
    <cellStyle name="Normal" xfId="0" builtinId="0"/>
    <cellStyle name="Normal 2" xfId="3"/>
    <cellStyle name="Normal 5" xfId="4"/>
    <cellStyle name="Normal_II-15(Population) 2" xfId="2"/>
  </cellStyles>
  <dxfs count="0"/>
  <tableStyles count="0" defaultTableStyle="TableStyleMedium2" defaultPivotStyle="PivotStyleLight16"/>
  <colors>
    <mruColors>
      <color rgb="FF1C706E"/>
      <color rgb="FF28B2AF"/>
      <color rgb="FFD4F5F4"/>
      <color rgb="FF8DE5E3"/>
      <color rgb="FF33CCCC"/>
      <color rgb="FFA7EBE9"/>
      <color rgb="FF9933FF"/>
      <color rgb="FF9900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5"/>
    </mc:Choice>
    <mc:Fallback>
      <c:style val="15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Figure 18.24: Percentage share of expenditure on Aasandha by Institution, 2015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27552427821522402"/>
          <c:y val="0.19962379702537184"/>
          <c:w val="0.4489514435695538"/>
          <c:h val="0.74825240594925557"/>
        </c:manualLayout>
      </c:layout>
      <c:doughnutChart>
        <c:varyColors val="1"/>
        <c:ser>
          <c:idx val="0"/>
          <c:order val="0"/>
          <c:explosion val="6"/>
          <c:dPt>
            <c:idx val="0"/>
            <c:bubble3D val="0"/>
            <c:spPr>
              <a:solidFill>
                <a:srgbClr val="33CCCC"/>
              </a:solidFill>
            </c:spPr>
          </c:dPt>
          <c:dPt>
            <c:idx val="1"/>
            <c:bubble3D val="0"/>
            <c:spPr>
              <a:solidFill>
                <a:srgbClr val="28B2AF"/>
              </a:solidFill>
            </c:spPr>
          </c:dPt>
          <c:dPt>
            <c:idx val="2"/>
            <c:bubble3D val="0"/>
            <c:spPr>
              <a:solidFill>
                <a:srgbClr val="8DE5E3"/>
              </a:solidFill>
            </c:spPr>
          </c:dPt>
          <c:dPt>
            <c:idx val="4"/>
            <c:bubble3D val="0"/>
            <c:spPr>
              <a:solidFill>
                <a:srgbClr val="1C706E"/>
              </a:solidFill>
            </c:spPr>
          </c:dPt>
          <c:dLbls>
            <c:dLbl>
              <c:idx val="0"/>
              <c:layout>
                <c:manualLayout>
                  <c:x val="-6.431013058586268E-3"/>
                  <c:y val="-1.980191338482479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layout>
                <c:manualLayout>
                  <c:x val="-1.4961257450445476E-2"/>
                  <c:y val="-2.9482913085336244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layout>
                <c:manualLayout>
                  <c:x val="8.1031032502677042E-2"/>
                  <c:y val="-7.883150263555707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3"/>
              <c:layout>
                <c:manualLayout>
                  <c:x val="0.13125390004587878"/>
                  <c:y val="2.35078670879719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4"/>
              <c:layout>
                <c:manualLayout>
                  <c:x val="0.1219925915486911"/>
                  <c:y val="4.940434899154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5"/>
              <c:layout>
                <c:manualLayout>
                  <c:x val="0.16225248758947255"/>
                  <c:y val="0.1442711105455323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'18.20'!$U$43:$Z$43</c:f>
              <c:strCache>
                <c:ptCount val="6"/>
                <c:pt idx="0">
                  <c:v>Hospitals</c:v>
                </c:pt>
                <c:pt idx="1">
                  <c:v>Pharmacies</c:v>
                </c:pt>
                <c:pt idx="2">
                  <c:v>Opticals</c:v>
                </c:pt>
                <c:pt idx="3">
                  <c:v>Clinics</c:v>
                </c:pt>
                <c:pt idx="4">
                  <c:v>Airfare Tickets</c:v>
                </c:pt>
                <c:pt idx="5">
                  <c:v>Emergency Evacuation - Sea</c:v>
                </c:pt>
              </c:strCache>
            </c:strRef>
          </c:cat>
          <c:val>
            <c:numRef>
              <c:f>'18.20'!$U$44:$Z$44</c:f>
              <c:numCache>
                <c:formatCode>General</c:formatCode>
                <c:ptCount val="6"/>
                <c:pt idx="0">
                  <c:v>913984781.45029998</c:v>
                </c:pt>
                <c:pt idx="1">
                  <c:v>355615300.89999998</c:v>
                </c:pt>
                <c:pt idx="2">
                  <c:v>22435986.039999999</c:v>
                </c:pt>
                <c:pt idx="3">
                  <c:v>29156242.75</c:v>
                </c:pt>
                <c:pt idx="4">
                  <c:v>77329802.691200003</c:v>
                </c:pt>
                <c:pt idx="5">
                  <c:v>2087728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115"/>
        <c:holeSize val="50"/>
      </c:doughnutChart>
    </c:plotArea>
    <c:plotVisOnly val="1"/>
    <c:dispBlanksAs val="zero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1628774</xdr:colOff>
      <xdr:row>66</xdr:row>
      <xdr:rowOff>55999</xdr:rowOff>
    </xdr:from>
    <xdr:to>
      <xdr:col>6</xdr:col>
      <xdr:colOff>733424</xdr:colOff>
      <xdr:row>82</xdr:row>
      <xdr:rowOff>85724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657225</xdr:colOff>
      <xdr:row>67</xdr:row>
      <xdr:rowOff>180974</xdr:rowOff>
    </xdr:from>
    <xdr:to>
      <xdr:col>5</xdr:col>
      <xdr:colOff>904875</xdr:colOff>
      <xdr:row>67</xdr:row>
      <xdr:rowOff>190499</xdr:rowOff>
    </xdr:to>
    <xdr:sp macro="" textlink="">
      <xdr:nvSpPr>
        <xdr:cNvPr id="3" name="Line 4"/>
        <xdr:cNvSpPr>
          <a:spLocks noChangeShapeType="1"/>
        </xdr:cNvSpPr>
      </xdr:nvSpPr>
      <xdr:spPr bwMode="auto">
        <a:xfrm>
          <a:off x="2571750" y="14868524"/>
          <a:ext cx="4610100" cy="9525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0.67885</cdr:x>
      <cdr:y>0.49069</cdr:y>
    </cdr:from>
    <cdr:to>
      <cdr:x>0.70422</cdr:x>
      <cdr:y>0.53978</cdr:y>
    </cdr:to>
    <cdr:cxnSp macro="">
      <cdr:nvCxnSpPr>
        <cdr:cNvPr id="7" name="Straight Connector 6"/>
        <cdr:cNvCxnSpPr/>
      </cdr:nvCxnSpPr>
      <cdr:spPr>
        <a:xfrm xmlns:a="http://schemas.openxmlformats.org/drawingml/2006/main" flipV="1">
          <a:off x="4363495" y="1499969"/>
          <a:ext cx="163099" cy="150052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bg1">
              <a:lumMod val="85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0.68037</cdr:x>
      <cdr:y>0.56432</cdr:y>
    </cdr:from>
    <cdr:to>
      <cdr:x>0.73974</cdr:x>
      <cdr:y>0.57926</cdr:y>
    </cdr:to>
    <cdr:cxnSp macro="">
      <cdr:nvCxnSpPr>
        <cdr:cNvPr id="10" name="Straight Connector 9"/>
        <cdr:cNvCxnSpPr/>
      </cdr:nvCxnSpPr>
      <cdr:spPr>
        <a:xfrm xmlns:a="http://schemas.openxmlformats.org/drawingml/2006/main" flipV="1">
          <a:off x="4373281" y="1725046"/>
          <a:ext cx="381652" cy="45668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bg1">
              <a:lumMod val="85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0.67682</cdr:x>
      <cdr:y>0.65823</cdr:y>
    </cdr:from>
    <cdr:to>
      <cdr:x>0.69762</cdr:x>
      <cdr:y>0.67103</cdr:y>
    </cdr:to>
    <cdr:cxnSp macro="">
      <cdr:nvCxnSpPr>
        <cdr:cNvPr id="12" name="Straight Connector 11"/>
        <cdr:cNvCxnSpPr/>
      </cdr:nvCxnSpPr>
      <cdr:spPr>
        <a:xfrm xmlns:a="http://schemas.openxmlformats.org/drawingml/2006/main">
          <a:off x="4350447" y="2012101"/>
          <a:ext cx="133741" cy="39143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bg1">
              <a:lumMod val="85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0.66058</cdr:x>
      <cdr:y>0.73613</cdr:y>
    </cdr:from>
    <cdr:to>
      <cdr:x>0.69356</cdr:x>
      <cdr:y>0.79268</cdr:y>
    </cdr:to>
    <cdr:cxnSp macro="">
      <cdr:nvCxnSpPr>
        <cdr:cNvPr id="14" name="Straight Connector 13"/>
        <cdr:cNvCxnSpPr/>
      </cdr:nvCxnSpPr>
      <cdr:spPr>
        <a:xfrm xmlns:a="http://schemas.openxmlformats.org/drawingml/2006/main">
          <a:off x="4246063" y="2250226"/>
          <a:ext cx="212029" cy="172885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bg1">
              <a:lumMod val="85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hifaza\AppData\Local\Microsoft\Windows\INetCache\Content.Outlook\ODPSUPO0\Documents%20and%20Settings\f.shifaza\Application%20Data\Microsoft\Excel\18.%20SOCIAL%20PROTECTION%20_%2029%20July%2020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8.1 "/>
      <sheetName val="18.2 "/>
      <sheetName val="Figures"/>
      <sheetName val="18.3"/>
      <sheetName val="18.4"/>
      <sheetName val="18.5 new"/>
      <sheetName val="18.6"/>
      <sheetName val="18.7"/>
      <sheetName val="18.8"/>
      <sheetName val="18.9"/>
      <sheetName val="18.10"/>
      <sheetName val="Sheet1"/>
      <sheetName val="18.11"/>
      <sheetName val="18.12"/>
      <sheetName val="18.13"/>
      <sheetName val="18.14"/>
      <sheetName val="18.15"/>
      <sheetName val="18.16"/>
      <sheetName val="18.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C5">
            <v>2010</v>
          </cell>
          <cell r="D5">
            <v>2011</v>
          </cell>
          <cell r="E5">
            <v>2012</v>
          </cell>
        </row>
        <row r="7">
          <cell r="A7" t="str">
            <v>January</v>
          </cell>
          <cell r="D7">
            <v>13828</v>
          </cell>
          <cell r="E7">
            <v>18448</v>
          </cell>
        </row>
        <row r="8">
          <cell r="A8" t="str">
            <v>February</v>
          </cell>
          <cell r="D8">
            <v>13973</v>
          </cell>
          <cell r="E8">
            <v>18752</v>
          </cell>
        </row>
        <row r="9">
          <cell r="A9" t="str">
            <v>March</v>
          </cell>
          <cell r="D9">
            <v>14118</v>
          </cell>
          <cell r="E9">
            <v>18955</v>
          </cell>
        </row>
        <row r="10">
          <cell r="A10" t="str">
            <v>April</v>
          </cell>
          <cell r="D10">
            <v>14339</v>
          </cell>
          <cell r="E10">
            <v>19216</v>
          </cell>
        </row>
        <row r="11">
          <cell r="A11" t="str">
            <v>May</v>
          </cell>
          <cell r="D11">
            <v>14703</v>
          </cell>
          <cell r="E11">
            <v>19500</v>
          </cell>
        </row>
        <row r="12">
          <cell r="A12" t="str">
            <v>June</v>
          </cell>
          <cell r="D12">
            <v>15283</v>
          </cell>
          <cell r="E12">
            <v>19773</v>
          </cell>
        </row>
        <row r="13">
          <cell r="A13" t="str">
            <v>July</v>
          </cell>
          <cell r="D13">
            <v>15897</v>
          </cell>
          <cell r="E13">
            <v>19992</v>
          </cell>
        </row>
        <row r="14">
          <cell r="A14" t="str">
            <v>August</v>
          </cell>
          <cell r="D14">
            <v>16459</v>
          </cell>
          <cell r="E14">
            <v>20166</v>
          </cell>
        </row>
        <row r="15">
          <cell r="A15" t="str">
            <v>September</v>
          </cell>
          <cell r="D15">
            <v>16943</v>
          </cell>
          <cell r="E15">
            <v>20369</v>
          </cell>
        </row>
        <row r="16">
          <cell r="A16" t="str">
            <v>October</v>
          </cell>
          <cell r="D16">
            <v>17538</v>
          </cell>
          <cell r="E16">
            <v>20507</v>
          </cell>
        </row>
        <row r="17">
          <cell r="A17" t="str">
            <v>November</v>
          </cell>
          <cell r="D17">
            <v>17804</v>
          </cell>
          <cell r="E17">
            <v>20638</v>
          </cell>
        </row>
        <row r="18">
          <cell r="A18" t="str">
            <v>December</v>
          </cell>
          <cell r="D18">
            <v>18072</v>
          </cell>
          <cell r="E18">
            <v>20719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Z84"/>
  <sheetViews>
    <sheetView tabSelected="1" zoomScale="87" zoomScaleNormal="87" workbookViewId="0">
      <selection activeCell="I49" sqref="I49"/>
    </sheetView>
  </sheetViews>
  <sheetFormatPr defaultColWidth="9.140625" defaultRowHeight="15" x14ac:dyDescent="0.25"/>
  <cols>
    <col min="1" max="1" width="28.7109375" style="1" customWidth="1"/>
    <col min="2" max="2" width="18.28515625" style="1" customWidth="1"/>
    <col min="3" max="6" width="15.7109375" style="1" customWidth="1"/>
    <col min="7" max="8" width="18.28515625" style="1" customWidth="1"/>
    <col min="9" max="9" width="22" style="1" bestFit="1" customWidth="1"/>
    <col min="10" max="12" width="9.140625" style="1"/>
    <col min="13" max="13" width="10.7109375" style="1" customWidth="1"/>
    <col min="14" max="14" width="9.85546875" style="1" customWidth="1"/>
    <col min="15" max="15" width="15.28515625" style="1" customWidth="1"/>
    <col min="16" max="17" width="9.7109375" style="1" customWidth="1"/>
    <col min="18" max="18" width="8.85546875" style="1" customWidth="1"/>
    <col min="19" max="19" width="11.28515625" style="1" bestFit="1" customWidth="1"/>
    <col min="20" max="20" width="11" style="1" bestFit="1" customWidth="1"/>
    <col min="21" max="16384" width="9.140625" style="1"/>
  </cols>
  <sheetData>
    <row r="1" spans="1:19" ht="21" x14ac:dyDescent="0.55000000000000004">
      <c r="A1" s="62" t="s">
        <v>71</v>
      </c>
      <c r="B1" s="62"/>
      <c r="C1" s="62"/>
      <c r="D1" s="62"/>
      <c r="E1" s="62"/>
      <c r="F1" s="62"/>
      <c r="G1" s="62"/>
      <c r="H1" s="62"/>
      <c r="I1" s="62"/>
    </row>
    <row r="2" spans="1:19" s="6" customFormat="1" x14ac:dyDescent="0.25">
      <c r="A2" s="63" t="s">
        <v>70</v>
      </c>
      <c r="B2" s="63"/>
      <c r="C2" s="63"/>
      <c r="D2" s="63"/>
      <c r="E2" s="63"/>
      <c r="F2" s="63"/>
      <c r="G2" s="63"/>
      <c r="H2" s="63"/>
      <c r="I2" s="63"/>
    </row>
    <row r="3" spans="1:19" s="3" customFormat="1" ht="5.25" customHeight="1" x14ac:dyDescent="0.25">
      <c r="A3" s="51"/>
      <c r="B3" s="51"/>
      <c r="C3" s="51"/>
      <c r="D3" s="51"/>
      <c r="E3" s="51"/>
      <c r="F3" s="51"/>
      <c r="G3" s="51"/>
      <c r="H3" s="51"/>
      <c r="I3" s="51"/>
    </row>
    <row r="4" spans="1:19" s="3" customFormat="1" ht="30" x14ac:dyDescent="0.25">
      <c r="A4" s="58" t="s">
        <v>2</v>
      </c>
      <c r="B4" s="9" t="s">
        <v>30</v>
      </c>
      <c r="C4" s="10" t="s">
        <v>31</v>
      </c>
      <c r="D4" s="10" t="s">
        <v>0</v>
      </c>
      <c r="E4" s="10" t="s">
        <v>32</v>
      </c>
      <c r="F4" s="10" t="s">
        <v>33</v>
      </c>
      <c r="G4" s="11" t="s">
        <v>67</v>
      </c>
      <c r="H4" s="12" t="s">
        <v>64</v>
      </c>
      <c r="I4" s="60" t="s">
        <v>1</v>
      </c>
    </row>
    <row r="5" spans="1:19" s="3" customFormat="1" ht="18.75" x14ac:dyDescent="0.25">
      <c r="A5" s="59"/>
      <c r="B5" s="7" t="s">
        <v>36</v>
      </c>
      <c r="C5" s="13" t="s">
        <v>37</v>
      </c>
      <c r="D5" s="13" t="s">
        <v>38</v>
      </c>
      <c r="E5" s="13" t="s">
        <v>39</v>
      </c>
      <c r="F5" s="13" t="s">
        <v>40</v>
      </c>
      <c r="G5" s="7" t="s">
        <v>41</v>
      </c>
      <c r="H5" s="7" t="s">
        <v>42</v>
      </c>
      <c r="I5" s="61"/>
    </row>
    <row r="6" spans="1:19" s="15" customFormat="1" ht="18.75" x14ac:dyDescent="0.25">
      <c r="A6" s="14" t="s">
        <v>3</v>
      </c>
      <c r="B6" s="18">
        <f>SUM(B7:B8)+B29</f>
        <v>1400609841.8315001</v>
      </c>
      <c r="C6" s="18">
        <f>SUM(C7:C8)+C29</f>
        <v>913984781.45029998</v>
      </c>
      <c r="D6" s="18">
        <f>SUM(D7:D8)</f>
        <v>355615300.89999998</v>
      </c>
      <c r="E6" s="18">
        <f>SUM(E7:E8)</f>
        <v>22435986.039999999</v>
      </c>
      <c r="F6" s="18">
        <f>SUM(F7:F8)</f>
        <v>29156242.75</v>
      </c>
      <c r="G6" s="18">
        <f>SUM(G7:G8)</f>
        <v>77329802.691200003</v>
      </c>
      <c r="H6" s="18">
        <f>SUM(H7:H8)</f>
        <v>2087728</v>
      </c>
      <c r="I6" s="19" t="s">
        <v>43</v>
      </c>
    </row>
    <row r="7" spans="1:19" s="8" customFormat="1" ht="18.75" x14ac:dyDescent="0.25">
      <c r="A7" s="20" t="s">
        <v>4</v>
      </c>
      <c r="B7" s="21">
        <f>SUM(C7:H7)</f>
        <v>694778647.7112</v>
      </c>
      <c r="C7" s="21">
        <v>413691030.44999999</v>
      </c>
      <c r="D7" s="21">
        <v>154147532.47999999</v>
      </c>
      <c r="E7" s="21">
        <v>21361177.34</v>
      </c>
      <c r="F7" s="21">
        <v>26161376.75</v>
      </c>
      <c r="G7" s="21">
        <v>77329802.691200003</v>
      </c>
      <c r="H7" s="21">
        <v>2087728</v>
      </c>
      <c r="I7" s="19" t="s">
        <v>5</v>
      </c>
    </row>
    <row r="8" spans="1:19" s="8" customFormat="1" ht="18.75" x14ac:dyDescent="0.25">
      <c r="A8" s="20" t="s">
        <v>6</v>
      </c>
      <c r="B8" s="21">
        <f>SUM(B9:B28)</f>
        <v>483525096.47310001</v>
      </c>
      <c r="C8" s="21">
        <f>SUM(C9:C28)</f>
        <v>277987653.3531</v>
      </c>
      <c r="D8" s="21">
        <f t="shared" ref="D8:F8" si="0">SUM(D9:D28)</f>
        <v>201467768.41999999</v>
      </c>
      <c r="E8" s="21">
        <f t="shared" si="0"/>
        <v>1074808.7</v>
      </c>
      <c r="F8" s="21">
        <f t="shared" si="0"/>
        <v>2994866</v>
      </c>
      <c r="G8" s="16">
        <v>0</v>
      </c>
      <c r="H8" s="16">
        <v>0</v>
      </c>
      <c r="I8" s="19" t="s">
        <v>7</v>
      </c>
    </row>
    <row r="9" spans="1:19" ht="16.5" x14ac:dyDescent="0.25">
      <c r="A9" s="22" t="s">
        <v>8</v>
      </c>
      <c r="B9" s="23">
        <f>SUM(C9:G9)</f>
        <v>28247167.649999999</v>
      </c>
      <c r="C9" s="23">
        <v>15713160.02</v>
      </c>
      <c r="D9" s="23">
        <v>12534007.630000001</v>
      </c>
      <c r="E9" s="16">
        <v>0</v>
      </c>
      <c r="F9" s="16">
        <v>0</v>
      </c>
      <c r="G9" s="16">
        <v>0</v>
      </c>
      <c r="H9" s="16">
        <v>0</v>
      </c>
      <c r="I9" s="24" t="s">
        <v>44</v>
      </c>
    </row>
    <row r="10" spans="1:19" ht="16.5" x14ac:dyDescent="0.25">
      <c r="A10" s="22" t="s">
        <v>9</v>
      </c>
      <c r="B10" s="23">
        <f>SUM(C10:G10)</f>
        <v>55532820.670000002</v>
      </c>
      <c r="C10" s="23">
        <v>33622336.660000004</v>
      </c>
      <c r="D10" s="23">
        <v>21859388.809999995</v>
      </c>
      <c r="E10" s="23">
        <v>51095.199999999997</v>
      </c>
      <c r="F10" s="16">
        <v>0</v>
      </c>
      <c r="G10" s="16">
        <v>0</v>
      </c>
      <c r="H10" s="16">
        <v>0</v>
      </c>
      <c r="I10" s="24" t="s">
        <v>45</v>
      </c>
    </row>
    <row r="11" spans="1:19" ht="16.5" x14ac:dyDescent="0.25">
      <c r="A11" s="22" t="s">
        <v>10</v>
      </c>
      <c r="B11" s="23">
        <f t="shared" ref="B11:B28" si="1">SUM(C11:G11)</f>
        <v>22929493.009999998</v>
      </c>
      <c r="C11" s="23">
        <v>13544291.67</v>
      </c>
      <c r="D11" s="23">
        <v>9385201.339999998</v>
      </c>
      <c r="E11" s="16">
        <v>0</v>
      </c>
      <c r="F11" s="16">
        <v>0</v>
      </c>
      <c r="G11" s="16">
        <v>0</v>
      </c>
      <c r="H11" s="16">
        <v>0</v>
      </c>
      <c r="I11" s="24" t="s">
        <v>29</v>
      </c>
      <c r="J11" s="25"/>
    </row>
    <row r="12" spans="1:19" ht="16.5" x14ac:dyDescent="0.25">
      <c r="A12" s="22" t="s">
        <v>11</v>
      </c>
      <c r="B12" s="23">
        <f t="shared" si="1"/>
        <v>16282824.599999998</v>
      </c>
      <c r="C12" s="23">
        <v>9768059.1199999992</v>
      </c>
      <c r="D12" s="23">
        <v>6514765.4799999995</v>
      </c>
      <c r="E12" s="16">
        <v>0</v>
      </c>
      <c r="F12" s="16">
        <v>0</v>
      </c>
      <c r="G12" s="16">
        <v>0</v>
      </c>
      <c r="H12" s="16">
        <v>0</v>
      </c>
      <c r="I12" s="24" t="s">
        <v>46</v>
      </c>
    </row>
    <row r="13" spans="1:19" ht="16.5" x14ac:dyDescent="0.25">
      <c r="A13" s="22" t="s">
        <v>12</v>
      </c>
      <c r="B13" s="23">
        <f t="shared" si="1"/>
        <v>40394300.45099999</v>
      </c>
      <c r="C13" s="23">
        <v>25073534.640999995</v>
      </c>
      <c r="D13" s="23">
        <v>15320765.809999999</v>
      </c>
      <c r="E13" s="16">
        <v>0</v>
      </c>
      <c r="F13" s="16">
        <v>0</v>
      </c>
      <c r="G13" s="16">
        <v>0</v>
      </c>
      <c r="H13" s="16">
        <v>0</v>
      </c>
      <c r="I13" s="24" t="s">
        <v>47</v>
      </c>
    </row>
    <row r="14" spans="1:19" ht="16.5" x14ac:dyDescent="0.25">
      <c r="A14" s="22" t="s">
        <v>13</v>
      </c>
      <c r="B14" s="23">
        <f t="shared" si="1"/>
        <v>21675172.101</v>
      </c>
      <c r="C14" s="23">
        <v>11835448.811000001</v>
      </c>
      <c r="D14" s="23">
        <v>9839723.2899999991</v>
      </c>
      <c r="E14" s="16">
        <v>0</v>
      </c>
      <c r="F14" s="16">
        <v>0</v>
      </c>
      <c r="G14" s="16">
        <v>0</v>
      </c>
      <c r="H14" s="16">
        <v>0</v>
      </c>
      <c r="I14" s="24" t="s">
        <v>48</v>
      </c>
      <c r="L14" s="2"/>
      <c r="M14" s="2"/>
      <c r="N14" s="2"/>
      <c r="O14" s="2"/>
      <c r="P14" s="2"/>
      <c r="Q14" s="2"/>
      <c r="R14" s="2"/>
      <c r="S14" s="2"/>
    </row>
    <row r="15" spans="1:19" ht="16.5" x14ac:dyDescent="0.25">
      <c r="A15" s="22" t="s">
        <v>14</v>
      </c>
      <c r="B15" s="23">
        <f t="shared" si="1"/>
        <v>27147750.809999999</v>
      </c>
      <c r="C15" s="23">
        <v>11694488.709999999</v>
      </c>
      <c r="D15" s="23">
        <v>15453262.1</v>
      </c>
      <c r="E15" s="16">
        <v>0</v>
      </c>
      <c r="F15" s="16">
        <v>0</v>
      </c>
      <c r="G15" s="16">
        <v>0</v>
      </c>
      <c r="H15" s="16">
        <v>0</v>
      </c>
      <c r="I15" s="24" t="s">
        <v>28</v>
      </c>
      <c r="L15" s="2"/>
      <c r="M15" s="2"/>
      <c r="N15" s="2"/>
      <c r="O15" s="2"/>
      <c r="P15" s="2"/>
      <c r="Q15" s="2"/>
      <c r="R15" s="2"/>
      <c r="S15" s="2"/>
    </row>
    <row r="16" spans="1:19" ht="16.5" x14ac:dyDescent="0.25">
      <c r="A16" s="22" t="s">
        <v>49</v>
      </c>
      <c r="B16" s="23">
        <f t="shared" si="1"/>
        <v>12281541.289999999</v>
      </c>
      <c r="C16" s="23">
        <v>6905520.5899999999</v>
      </c>
      <c r="D16" s="23">
        <v>5376020.7000000002</v>
      </c>
      <c r="E16" s="16">
        <v>0</v>
      </c>
      <c r="F16" s="16">
        <v>0</v>
      </c>
      <c r="G16" s="16">
        <v>0</v>
      </c>
      <c r="H16" s="16">
        <v>0</v>
      </c>
      <c r="I16" s="24" t="s">
        <v>50</v>
      </c>
      <c r="L16" s="2"/>
      <c r="M16" s="26"/>
      <c r="N16" s="26"/>
      <c r="O16" s="26"/>
      <c r="P16" s="26"/>
      <c r="Q16" s="26"/>
      <c r="R16" s="26"/>
      <c r="S16" s="2"/>
    </row>
    <row r="17" spans="1:19" ht="19.149999999999999" customHeight="1" x14ac:dyDescent="0.25">
      <c r="A17" s="27" t="s">
        <v>15</v>
      </c>
      <c r="B17" s="23">
        <f t="shared" si="1"/>
        <v>7471919.1500000004</v>
      </c>
      <c r="C17" s="23">
        <v>4924094.5</v>
      </c>
      <c r="D17" s="23">
        <v>2547824.65</v>
      </c>
      <c r="E17" s="16">
        <v>0</v>
      </c>
      <c r="F17" s="16">
        <v>0</v>
      </c>
      <c r="G17" s="16">
        <v>0</v>
      </c>
      <c r="H17" s="16">
        <v>0</v>
      </c>
      <c r="I17" s="24" t="s">
        <v>51</v>
      </c>
      <c r="L17" s="2"/>
      <c r="M17" s="28"/>
      <c r="N17" s="29"/>
      <c r="O17" s="29"/>
      <c r="P17" s="29"/>
      <c r="Q17" s="29"/>
      <c r="R17" s="30"/>
      <c r="S17" s="30"/>
    </row>
    <row r="18" spans="1:19" ht="16.5" x14ac:dyDescent="0.25">
      <c r="A18" s="22" t="s">
        <v>16</v>
      </c>
      <c r="B18" s="23">
        <f t="shared" si="1"/>
        <v>17498120.030000001</v>
      </c>
      <c r="C18" s="23">
        <v>11172682.66</v>
      </c>
      <c r="D18" s="23">
        <v>6275211.3700000001</v>
      </c>
      <c r="E18" s="16">
        <v>0</v>
      </c>
      <c r="F18" s="42">
        <v>50226</v>
      </c>
      <c r="G18" s="16">
        <v>0</v>
      </c>
      <c r="H18" s="16">
        <v>0</v>
      </c>
      <c r="I18" s="24" t="s">
        <v>52</v>
      </c>
      <c r="L18" s="2"/>
      <c r="M18" s="31"/>
      <c r="N18" s="31"/>
      <c r="O18" s="31"/>
      <c r="P18" s="31"/>
      <c r="Q18" s="32"/>
      <c r="R18" s="33"/>
      <c r="S18" s="34"/>
    </row>
    <row r="19" spans="1:19" ht="16.5" x14ac:dyDescent="0.25">
      <c r="A19" s="22" t="s">
        <v>17</v>
      </c>
      <c r="B19" s="23">
        <f t="shared" si="1"/>
        <v>1773766.73</v>
      </c>
      <c r="C19" s="23">
        <v>884043.57</v>
      </c>
      <c r="D19" s="42">
        <v>889723.15999999992</v>
      </c>
      <c r="E19" s="16">
        <v>0</v>
      </c>
      <c r="F19" s="16">
        <v>0</v>
      </c>
      <c r="G19" s="16">
        <v>0</v>
      </c>
      <c r="H19" s="16">
        <v>0</v>
      </c>
      <c r="I19" s="24" t="s">
        <v>53</v>
      </c>
      <c r="L19" s="2"/>
      <c r="M19" s="26"/>
      <c r="N19" s="26"/>
      <c r="O19" s="26"/>
      <c r="P19" s="26"/>
      <c r="Q19" s="26"/>
      <c r="R19" s="26"/>
      <c r="S19" s="2"/>
    </row>
    <row r="20" spans="1:19" ht="16.5" x14ac:dyDescent="0.25">
      <c r="A20" s="22" t="s">
        <v>18</v>
      </c>
      <c r="B20" s="23">
        <f t="shared" si="1"/>
        <v>12610137.150000002</v>
      </c>
      <c r="C20" s="23">
        <v>6095790.5800000001</v>
      </c>
      <c r="D20" s="23">
        <v>6514346.5700000012</v>
      </c>
      <c r="E20" s="16">
        <v>0</v>
      </c>
      <c r="F20" s="16">
        <v>0</v>
      </c>
      <c r="G20" s="16">
        <v>0</v>
      </c>
      <c r="H20" s="16">
        <v>0</v>
      </c>
      <c r="I20" s="24" t="s">
        <v>54</v>
      </c>
      <c r="L20" s="2"/>
      <c r="M20" s="2"/>
      <c r="N20" s="2"/>
      <c r="O20" s="2"/>
      <c r="P20" s="2"/>
      <c r="Q20" s="2"/>
      <c r="R20" s="2"/>
      <c r="S20" s="2"/>
    </row>
    <row r="21" spans="1:19" ht="16.5" x14ac:dyDescent="0.25">
      <c r="A21" s="22" t="s">
        <v>19</v>
      </c>
      <c r="B21" s="23">
        <f t="shared" si="1"/>
        <v>9723321.2800000012</v>
      </c>
      <c r="C21" s="23">
        <v>5825414.6500000013</v>
      </c>
      <c r="D21" s="23">
        <v>3897906.63</v>
      </c>
      <c r="E21" s="16">
        <v>0</v>
      </c>
      <c r="F21" s="16">
        <v>0</v>
      </c>
      <c r="G21" s="16">
        <v>0</v>
      </c>
      <c r="H21" s="16">
        <v>0</v>
      </c>
      <c r="I21" s="24" t="s">
        <v>55</v>
      </c>
      <c r="L21" s="2"/>
      <c r="M21" s="2"/>
      <c r="N21" s="2"/>
      <c r="O21" s="2"/>
      <c r="P21" s="2"/>
      <c r="Q21" s="2"/>
      <c r="R21" s="2"/>
      <c r="S21" s="2"/>
    </row>
    <row r="22" spans="1:19" ht="16.5" x14ac:dyDescent="0.25">
      <c r="A22" s="22" t="s">
        <v>20</v>
      </c>
      <c r="B22" s="23">
        <f t="shared" si="1"/>
        <v>12434694.65</v>
      </c>
      <c r="C22" s="23">
        <v>8099793.9300000006</v>
      </c>
      <c r="D22" s="23">
        <v>4334900.72</v>
      </c>
      <c r="E22" s="16">
        <v>0</v>
      </c>
      <c r="F22" s="16">
        <v>0</v>
      </c>
      <c r="G22" s="16">
        <v>0</v>
      </c>
      <c r="H22" s="16">
        <v>0</v>
      </c>
      <c r="I22" s="24" t="s">
        <v>56</v>
      </c>
      <c r="L22" s="2"/>
      <c r="M22" s="2"/>
      <c r="N22" s="2"/>
      <c r="O22" s="2"/>
      <c r="P22" s="2"/>
      <c r="Q22" s="2"/>
      <c r="R22" s="2"/>
      <c r="S22" s="2"/>
    </row>
    <row r="23" spans="1:19" ht="16.5" x14ac:dyDescent="0.25">
      <c r="A23" s="22" t="s">
        <v>21</v>
      </c>
      <c r="B23" s="23">
        <f t="shared" si="1"/>
        <v>20505081.600000001</v>
      </c>
      <c r="C23" s="23">
        <v>13377832.940000003</v>
      </c>
      <c r="D23" s="23">
        <v>7127248.6600000001</v>
      </c>
      <c r="E23" s="16">
        <v>0</v>
      </c>
      <c r="F23" s="16">
        <v>0</v>
      </c>
      <c r="G23" s="16">
        <v>0</v>
      </c>
      <c r="H23" s="16">
        <v>0</v>
      </c>
      <c r="I23" s="24" t="s">
        <v>57</v>
      </c>
      <c r="L23" s="2"/>
      <c r="M23" s="2"/>
      <c r="N23" s="2"/>
      <c r="O23" s="2"/>
      <c r="P23" s="2"/>
      <c r="Q23" s="2"/>
      <c r="R23" s="2"/>
      <c r="S23" s="2"/>
    </row>
    <row r="24" spans="1:19" ht="16.5" x14ac:dyDescent="0.25">
      <c r="A24" s="22" t="s">
        <v>23</v>
      </c>
      <c r="B24" s="23">
        <f t="shared" si="1"/>
        <v>27347316.959999997</v>
      </c>
      <c r="C24" s="23">
        <v>17238421.009999998</v>
      </c>
      <c r="D24" s="23">
        <v>10108895.949999999</v>
      </c>
      <c r="E24" s="16">
        <v>0</v>
      </c>
      <c r="F24" s="16">
        <v>0</v>
      </c>
      <c r="G24" s="16">
        <v>0</v>
      </c>
      <c r="H24" s="16">
        <v>0</v>
      </c>
      <c r="I24" s="24" t="s">
        <v>58</v>
      </c>
      <c r="L24" s="2"/>
      <c r="M24" s="2"/>
      <c r="N24" s="2"/>
      <c r="O24" s="2"/>
      <c r="P24" s="2"/>
      <c r="Q24" s="2"/>
      <c r="R24" s="2"/>
      <c r="S24" s="2"/>
    </row>
    <row r="25" spans="1:19" ht="16.5" x14ac:dyDescent="0.25">
      <c r="A25" s="22" t="s">
        <v>24</v>
      </c>
      <c r="B25" s="23">
        <f t="shared" si="1"/>
        <v>21910210.289999999</v>
      </c>
      <c r="C25" s="23">
        <v>11041561.68</v>
      </c>
      <c r="D25" s="23">
        <v>10868648.609999999</v>
      </c>
      <c r="E25" s="16">
        <v>0</v>
      </c>
      <c r="F25" s="16">
        <v>0</v>
      </c>
      <c r="G25" s="16">
        <v>0</v>
      </c>
      <c r="H25" s="16">
        <v>0</v>
      </c>
      <c r="I25" s="24" t="s">
        <v>59</v>
      </c>
      <c r="L25" s="2"/>
      <c r="M25" s="2"/>
      <c r="N25" s="2"/>
      <c r="O25" s="2"/>
      <c r="P25" s="2"/>
      <c r="Q25" s="2"/>
      <c r="R25" s="2"/>
      <c r="S25" s="2"/>
    </row>
    <row r="26" spans="1:19" ht="16.5" x14ac:dyDescent="0.25">
      <c r="A26" s="22" t="s">
        <v>25</v>
      </c>
      <c r="B26" s="23">
        <f t="shared" si="1"/>
        <v>34260241.729999997</v>
      </c>
      <c r="C26" s="23">
        <v>22240725.609999999</v>
      </c>
      <c r="D26" s="23">
        <v>12019516.119999999</v>
      </c>
      <c r="E26" s="16">
        <v>0</v>
      </c>
      <c r="F26" s="16">
        <v>0</v>
      </c>
      <c r="G26" s="16">
        <v>0</v>
      </c>
      <c r="H26" s="16">
        <v>0</v>
      </c>
      <c r="I26" s="24" t="s">
        <v>60</v>
      </c>
      <c r="L26" s="2"/>
      <c r="M26" s="2"/>
      <c r="N26" s="2"/>
      <c r="O26" s="2"/>
      <c r="P26" s="2"/>
      <c r="Q26" s="2"/>
      <c r="R26" s="2"/>
      <c r="S26" s="2"/>
    </row>
    <row r="27" spans="1:19" ht="16.5" x14ac:dyDescent="0.25">
      <c r="A27" s="22" t="s">
        <v>26</v>
      </c>
      <c r="B27" s="23">
        <f t="shared" si="1"/>
        <v>19379941.390000001</v>
      </c>
      <c r="C27" s="23">
        <v>10966450.130000001</v>
      </c>
      <c r="D27" s="23">
        <v>7613545.8600000003</v>
      </c>
      <c r="E27" s="42">
        <v>164305.4</v>
      </c>
      <c r="F27" s="42">
        <v>635640</v>
      </c>
      <c r="G27" s="16">
        <v>0</v>
      </c>
      <c r="H27" s="16">
        <v>0</v>
      </c>
      <c r="I27" s="24" t="s">
        <v>22</v>
      </c>
      <c r="L27" s="2"/>
      <c r="M27" s="2"/>
      <c r="N27" s="2"/>
      <c r="O27" s="2"/>
      <c r="P27" s="2"/>
      <c r="Q27" s="2"/>
      <c r="R27" s="2"/>
      <c r="S27" s="2"/>
    </row>
    <row r="28" spans="1:19" ht="16.5" x14ac:dyDescent="0.25">
      <c r="A28" s="22" t="s">
        <v>27</v>
      </c>
      <c r="B28" s="23">
        <f t="shared" si="1"/>
        <v>74119274.931099996</v>
      </c>
      <c r="C28" s="23">
        <v>37964001.871100001</v>
      </c>
      <c r="D28" s="23">
        <v>32986864.960000001</v>
      </c>
      <c r="E28" s="23">
        <v>859408.1</v>
      </c>
      <c r="F28" s="42">
        <v>2309000</v>
      </c>
      <c r="G28" s="16">
        <v>0</v>
      </c>
      <c r="H28" s="16">
        <v>0</v>
      </c>
      <c r="I28" s="24" t="s">
        <v>61</v>
      </c>
      <c r="L28" s="2"/>
      <c r="M28" s="2"/>
      <c r="N28" s="2"/>
      <c r="O28" s="2"/>
      <c r="P28" s="2"/>
      <c r="Q28" s="2"/>
      <c r="R28" s="2"/>
      <c r="S28" s="2"/>
    </row>
    <row r="29" spans="1:19" ht="18.75" x14ac:dyDescent="0.25">
      <c r="A29" s="54" t="s">
        <v>62</v>
      </c>
      <c r="B29" s="55">
        <f>SUM(C29:G29)</f>
        <v>222306097.64719999</v>
      </c>
      <c r="C29" s="56">
        <v>222306097.64719999</v>
      </c>
      <c r="D29" s="17">
        <v>0</v>
      </c>
      <c r="E29" s="17">
        <v>0</v>
      </c>
      <c r="F29" s="17">
        <v>0</v>
      </c>
      <c r="G29" s="17">
        <v>0</v>
      </c>
      <c r="H29" s="17">
        <v>0</v>
      </c>
      <c r="I29" s="57" t="s">
        <v>63</v>
      </c>
      <c r="L29" s="2"/>
      <c r="M29" s="2"/>
      <c r="N29" s="2"/>
      <c r="O29" s="2"/>
      <c r="P29" s="2"/>
      <c r="Q29" s="2"/>
      <c r="R29" s="2"/>
      <c r="S29" s="2"/>
    </row>
    <row r="30" spans="1:19" s="38" customFormat="1" ht="12.75" customHeight="1" x14ac:dyDescent="0.25">
      <c r="A30" s="37" t="s">
        <v>65</v>
      </c>
      <c r="I30" s="5"/>
      <c r="L30" s="39"/>
      <c r="M30" s="39"/>
      <c r="N30" s="39"/>
      <c r="O30" s="39"/>
      <c r="P30" s="39"/>
      <c r="Q30" s="39"/>
      <c r="R30" s="39"/>
      <c r="S30" s="39"/>
    </row>
    <row r="31" spans="1:19" s="38" customFormat="1" ht="17.25" x14ac:dyDescent="0.25">
      <c r="A31" s="50" t="s">
        <v>66</v>
      </c>
      <c r="I31" s="5"/>
      <c r="L31" s="39"/>
      <c r="M31" s="39"/>
      <c r="N31" s="39"/>
      <c r="O31" s="39"/>
      <c r="P31" s="39"/>
      <c r="Q31" s="39"/>
      <c r="R31" s="39"/>
      <c r="S31" s="39"/>
    </row>
    <row r="32" spans="1:19" s="38" customFormat="1" ht="17.25" x14ac:dyDescent="0.25">
      <c r="A32" s="37"/>
      <c r="I32" s="5"/>
      <c r="L32" s="39"/>
      <c r="M32" s="39"/>
      <c r="N32" s="39"/>
      <c r="O32" s="39"/>
      <c r="P32" s="39"/>
      <c r="Q32" s="39"/>
      <c r="R32" s="39"/>
      <c r="S32" s="39"/>
    </row>
    <row r="33" spans="1:26" s="38" customFormat="1" ht="17.25" x14ac:dyDescent="0.25">
      <c r="A33" s="37"/>
      <c r="I33" s="5"/>
      <c r="L33" s="39"/>
      <c r="M33" s="39"/>
      <c r="N33" s="39"/>
      <c r="O33" s="39"/>
      <c r="P33" s="39"/>
      <c r="Q33" s="39"/>
      <c r="R33" s="39"/>
      <c r="S33" s="39"/>
    </row>
    <row r="34" spans="1:26" s="38" customFormat="1" ht="17.25" x14ac:dyDescent="0.25">
      <c r="A34" s="37"/>
      <c r="I34" s="5"/>
      <c r="L34" s="39"/>
      <c r="M34" s="39"/>
      <c r="N34" s="39"/>
      <c r="O34" s="39"/>
      <c r="P34" s="39"/>
      <c r="Q34" s="39"/>
      <c r="R34" s="39"/>
      <c r="S34" s="39"/>
    </row>
    <row r="35" spans="1:26" ht="21" customHeight="1" x14ac:dyDescent="0.55000000000000004">
      <c r="A35" s="62" t="s">
        <v>69</v>
      </c>
      <c r="B35" s="62"/>
      <c r="C35" s="62"/>
      <c r="D35" s="62"/>
      <c r="E35" s="62"/>
      <c r="F35" s="62"/>
      <c r="G35" s="62"/>
      <c r="H35" s="62"/>
      <c r="I35" s="48"/>
      <c r="L35" s="2"/>
      <c r="M35" s="2"/>
      <c r="N35" s="2"/>
      <c r="O35" s="2"/>
      <c r="P35" s="2"/>
      <c r="Q35" s="2"/>
      <c r="R35" s="2"/>
      <c r="S35" s="2"/>
    </row>
    <row r="36" spans="1:26" s="3" customFormat="1" ht="20.25" customHeight="1" x14ac:dyDescent="0.25">
      <c r="A36" s="64" t="s">
        <v>68</v>
      </c>
      <c r="B36" s="64"/>
      <c r="C36" s="64"/>
      <c r="D36" s="64"/>
      <c r="E36" s="64"/>
      <c r="F36" s="64"/>
      <c r="G36" s="64"/>
      <c r="H36" s="64"/>
      <c r="I36" s="49"/>
      <c r="L36" s="6"/>
      <c r="M36" s="6"/>
      <c r="N36" s="6"/>
      <c r="O36" s="6"/>
      <c r="P36" s="6"/>
      <c r="Q36" s="6"/>
      <c r="R36" s="6"/>
      <c r="S36" s="6"/>
    </row>
    <row r="37" spans="1:26" s="3" customFormat="1" ht="30" x14ac:dyDescent="0.25">
      <c r="A37" s="58" t="s">
        <v>2</v>
      </c>
      <c r="B37" s="9" t="s">
        <v>30</v>
      </c>
      <c r="C37" s="10" t="s">
        <v>31</v>
      </c>
      <c r="D37" s="10" t="s">
        <v>0</v>
      </c>
      <c r="E37" s="10" t="s">
        <v>32</v>
      </c>
      <c r="F37" s="10" t="s">
        <v>33</v>
      </c>
      <c r="G37" s="11" t="s">
        <v>34</v>
      </c>
      <c r="H37" s="60" t="s">
        <v>1</v>
      </c>
      <c r="I37" s="6"/>
      <c r="L37" s="6"/>
      <c r="M37" s="6"/>
      <c r="N37" s="6"/>
      <c r="O37" s="6"/>
      <c r="P37" s="6"/>
      <c r="Q37" s="6"/>
      <c r="R37" s="6"/>
      <c r="S37" s="6"/>
    </row>
    <row r="38" spans="1:26" s="3" customFormat="1" ht="18.75" x14ac:dyDescent="0.25">
      <c r="A38" s="59"/>
      <c r="B38" s="7" t="s">
        <v>36</v>
      </c>
      <c r="C38" s="13" t="s">
        <v>37</v>
      </c>
      <c r="D38" s="13" t="s">
        <v>38</v>
      </c>
      <c r="E38" s="13" t="s">
        <v>39</v>
      </c>
      <c r="F38" s="13" t="s">
        <v>40</v>
      </c>
      <c r="G38" s="7" t="s">
        <v>41</v>
      </c>
      <c r="H38" s="61"/>
      <c r="L38" s="6"/>
      <c r="M38" s="6"/>
      <c r="N38" s="6"/>
      <c r="O38" s="6"/>
      <c r="P38" s="6"/>
      <c r="Q38" s="6"/>
      <c r="R38" s="6"/>
      <c r="S38" s="6"/>
    </row>
    <row r="39" spans="1:26" s="15" customFormat="1" ht="18.75" x14ac:dyDescent="0.25">
      <c r="A39" s="14" t="s">
        <v>3</v>
      </c>
      <c r="B39" s="18">
        <f>SUM(B40:B41)+B62</f>
        <v>1063054680.1289001</v>
      </c>
      <c r="C39" s="18">
        <f>SUM(C40:C41)+C62</f>
        <v>702918952.94270003</v>
      </c>
      <c r="D39" s="18">
        <f>SUM(D40:D41)</f>
        <v>251490148.69999999</v>
      </c>
      <c r="E39" s="18">
        <f>SUM(E40:E41)</f>
        <v>25939088.800000001</v>
      </c>
      <c r="F39" s="18">
        <f>SUM(F40:F41)</f>
        <v>17272151.5</v>
      </c>
      <c r="G39" s="18">
        <f>SUM(G40:G41)</f>
        <v>65434338.1862</v>
      </c>
      <c r="H39" s="19" t="s">
        <v>43</v>
      </c>
      <c r="L39" s="40"/>
      <c r="M39" s="40"/>
      <c r="N39" s="40"/>
      <c r="O39" s="40"/>
      <c r="P39" s="40"/>
      <c r="Q39" s="40"/>
      <c r="R39" s="40"/>
      <c r="S39" s="40"/>
    </row>
    <row r="40" spans="1:26" s="8" customFormat="1" ht="18.75" x14ac:dyDescent="0.25">
      <c r="A40" s="20" t="s">
        <v>4</v>
      </c>
      <c r="B40" s="21">
        <f>SUM(C40:G40)</f>
        <v>529844339.34140003</v>
      </c>
      <c r="C40" s="21">
        <v>310442295.6552</v>
      </c>
      <c r="D40" s="21">
        <v>113615224.23</v>
      </c>
      <c r="E40" s="21">
        <v>24661169.77</v>
      </c>
      <c r="F40" s="21">
        <v>15691311.5</v>
      </c>
      <c r="G40" s="21">
        <v>65434338.1862</v>
      </c>
      <c r="H40" s="19" t="s">
        <v>5</v>
      </c>
      <c r="L40" s="41"/>
      <c r="M40" s="41"/>
      <c r="N40" s="41"/>
      <c r="O40" s="41"/>
      <c r="P40" s="41"/>
      <c r="Q40" s="41"/>
      <c r="R40" s="41"/>
      <c r="S40" s="41"/>
    </row>
    <row r="41" spans="1:26" s="8" customFormat="1" ht="18.75" x14ac:dyDescent="0.25">
      <c r="A41" s="20" t="s">
        <v>6</v>
      </c>
      <c r="B41" s="21">
        <f>SUM(B42:B61)</f>
        <v>364203693.46630001</v>
      </c>
      <c r="C41" s="21">
        <f t="shared" ref="C41:F41" si="2">SUM(C42:C61)</f>
        <v>223470009.96629998</v>
      </c>
      <c r="D41" s="21">
        <f t="shared" si="2"/>
        <v>137874924.47</v>
      </c>
      <c r="E41" s="21">
        <f t="shared" si="2"/>
        <v>1277919.03</v>
      </c>
      <c r="F41" s="21">
        <f t="shared" si="2"/>
        <v>1580840</v>
      </c>
      <c r="G41" s="16">
        <v>0</v>
      </c>
      <c r="H41" s="19" t="s">
        <v>7</v>
      </c>
      <c r="L41" s="41"/>
      <c r="M41" s="41"/>
      <c r="N41" s="41"/>
      <c r="O41" s="41"/>
      <c r="P41" s="41"/>
      <c r="Q41" s="41"/>
      <c r="R41" s="41"/>
      <c r="S41" s="41"/>
    </row>
    <row r="42" spans="1:26" ht="16.5" x14ac:dyDescent="0.25">
      <c r="A42" s="22" t="s">
        <v>8</v>
      </c>
      <c r="B42" s="23">
        <f>SUM(C42:G42)</f>
        <v>21476572.449999999</v>
      </c>
      <c r="C42" s="23">
        <v>12933880.609999999</v>
      </c>
      <c r="D42" s="23">
        <v>8542691.8399999999</v>
      </c>
      <c r="E42" s="16">
        <v>0</v>
      </c>
      <c r="F42" s="16">
        <v>0</v>
      </c>
      <c r="G42" s="16">
        <v>0</v>
      </c>
      <c r="H42" s="24" t="s">
        <v>44</v>
      </c>
      <c r="L42" s="2"/>
      <c r="M42" s="2"/>
      <c r="N42" s="2"/>
      <c r="O42" s="2"/>
      <c r="P42" s="2"/>
      <c r="Q42" s="2"/>
      <c r="R42" s="2"/>
      <c r="S42" s="2"/>
    </row>
    <row r="43" spans="1:26" ht="16.5" x14ac:dyDescent="0.25">
      <c r="A43" s="22" t="s">
        <v>9</v>
      </c>
      <c r="B43" s="23">
        <f>SUM(C43:G43)</f>
        <v>47757008.690000005</v>
      </c>
      <c r="C43" s="23">
        <v>28644297.970000006</v>
      </c>
      <c r="D43" s="23">
        <v>19003784.890000001</v>
      </c>
      <c r="E43" s="23">
        <v>108925.83</v>
      </c>
      <c r="F43" s="16">
        <v>0</v>
      </c>
      <c r="G43" s="16">
        <v>0</v>
      </c>
      <c r="H43" s="24" t="s">
        <v>45</v>
      </c>
      <c r="L43" s="2"/>
      <c r="M43" s="2"/>
      <c r="N43" s="2"/>
      <c r="O43" s="2"/>
      <c r="P43" s="2"/>
      <c r="Q43" s="2"/>
      <c r="R43" s="2"/>
      <c r="S43" s="2"/>
      <c r="U43" s="52" t="s">
        <v>31</v>
      </c>
      <c r="V43" s="52" t="s">
        <v>0</v>
      </c>
      <c r="W43" s="52" t="s">
        <v>32</v>
      </c>
      <c r="X43" s="52" t="s">
        <v>33</v>
      </c>
      <c r="Y43" s="11" t="s">
        <v>34</v>
      </c>
      <c r="Z43" s="53" t="s">
        <v>35</v>
      </c>
    </row>
    <row r="44" spans="1:26" ht="16.5" x14ac:dyDescent="0.25">
      <c r="A44" s="22" t="s">
        <v>10</v>
      </c>
      <c r="B44" s="23">
        <f t="shared" ref="B44:B61" si="3">SUM(C44:G44)</f>
        <v>18573633.77</v>
      </c>
      <c r="C44" s="23">
        <v>11923839.91</v>
      </c>
      <c r="D44" s="23">
        <v>6649793.8599999994</v>
      </c>
      <c r="E44" s="16">
        <v>0</v>
      </c>
      <c r="F44" s="16">
        <v>0</v>
      </c>
      <c r="G44" s="16">
        <v>0</v>
      </c>
      <c r="H44" s="24" t="s">
        <v>29</v>
      </c>
      <c r="J44" s="25"/>
      <c r="L44" s="2"/>
      <c r="M44" s="2"/>
      <c r="N44" s="2"/>
      <c r="O44" s="2"/>
      <c r="P44" s="2"/>
      <c r="Q44" s="2"/>
      <c r="R44" s="2"/>
      <c r="S44" s="2"/>
      <c r="T44" s="1">
        <f>SUM(U44:Z44)</f>
        <v>1400609841.8314998</v>
      </c>
      <c r="U44" s="1">
        <v>913984781.45029998</v>
      </c>
      <c r="V44" s="1">
        <v>355615300.89999998</v>
      </c>
      <c r="W44" s="1">
        <v>22435986.039999999</v>
      </c>
      <c r="X44" s="1">
        <v>29156242.75</v>
      </c>
      <c r="Y44" s="1">
        <v>77329802.691200003</v>
      </c>
      <c r="Z44" s="1">
        <v>2087728</v>
      </c>
    </row>
    <row r="45" spans="1:26" ht="16.5" x14ac:dyDescent="0.25">
      <c r="A45" s="22" t="s">
        <v>11</v>
      </c>
      <c r="B45" s="23">
        <f t="shared" si="3"/>
        <v>11788026.34</v>
      </c>
      <c r="C45" s="23">
        <v>8673606.7200000007</v>
      </c>
      <c r="D45" s="23">
        <v>3114419.62</v>
      </c>
      <c r="E45" s="16">
        <v>0</v>
      </c>
      <c r="F45" s="16">
        <v>0</v>
      </c>
      <c r="G45" s="16">
        <v>0</v>
      </c>
      <c r="H45" s="24" t="s">
        <v>46</v>
      </c>
      <c r="L45" s="2"/>
      <c r="M45" s="2"/>
      <c r="N45" s="2"/>
      <c r="O45" s="2"/>
      <c r="P45" s="2"/>
      <c r="Q45" s="2"/>
      <c r="R45" s="2"/>
      <c r="S45" s="2"/>
      <c r="U45" s="4">
        <f>U44/T44*100</f>
        <v>65.256201559681514</v>
      </c>
      <c r="V45" s="4">
        <f>V44/$T$44*100</f>
        <v>25.390032989842592</v>
      </c>
      <c r="W45" s="4">
        <f>W44/$T$44*100</f>
        <v>1.6018726536050683</v>
      </c>
      <c r="X45" s="4">
        <f t="shared" ref="X45:Z45" si="4">X44/$T$44*100</f>
        <v>2.0816819844614258</v>
      </c>
      <c r="Y45" s="4">
        <f t="shared" si="4"/>
        <v>5.5211523139149232</v>
      </c>
      <c r="Z45" s="4">
        <f t="shared" si="4"/>
        <v>0.14905849849448394</v>
      </c>
    </row>
    <row r="46" spans="1:26" ht="16.5" x14ac:dyDescent="0.25">
      <c r="A46" s="22" t="s">
        <v>12</v>
      </c>
      <c r="B46" s="23">
        <f t="shared" si="3"/>
        <v>29304498.352999996</v>
      </c>
      <c r="C46" s="23">
        <v>18880458.892999995</v>
      </c>
      <c r="D46" s="23">
        <v>10424039.460000001</v>
      </c>
      <c r="E46" s="16">
        <v>0</v>
      </c>
      <c r="F46" s="16">
        <v>0</v>
      </c>
      <c r="G46" s="16">
        <v>0</v>
      </c>
      <c r="H46" s="24" t="s">
        <v>47</v>
      </c>
      <c r="L46" s="2"/>
      <c r="M46" s="2"/>
      <c r="N46" s="2"/>
      <c r="O46" s="2"/>
      <c r="P46" s="2"/>
      <c r="Q46" s="2"/>
      <c r="R46" s="2"/>
      <c r="S46" s="2"/>
    </row>
    <row r="47" spans="1:26" ht="16.5" x14ac:dyDescent="0.25">
      <c r="A47" s="22" t="s">
        <v>13</v>
      </c>
      <c r="B47" s="23">
        <f t="shared" si="3"/>
        <v>15482386.66</v>
      </c>
      <c r="C47" s="23">
        <v>9709301.1600000001</v>
      </c>
      <c r="D47" s="23">
        <v>5773085.5</v>
      </c>
      <c r="E47" s="16">
        <v>0</v>
      </c>
      <c r="F47" s="16">
        <v>0</v>
      </c>
      <c r="G47" s="16">
        <v>0</v>
      </c>
      <c r="H47" s="24" t="s">
        <v>48</v>
      </c>
      <c r="L47" s="2"/>
      <c r="M47" s="2"/>
      <c r="N47" s="2"/>
      <c r="O47" s="2"/>
      <c r="P47" s="2"/>
      <c r="Q47" s="2"/>
      <c r="R47" s="2"/>
      <c r="S47" s="2"/>
    </row>
    <row r="48" spans="1:26" ht="16.5" x14ac:dyDescent="0.25">
      <c r="A48" s="22" t="s">
        <v>14</v>
      </c>
      <c r="B48" s="23">
        <f t="shared" si="3"/>
        <v>23688972.939999998</v>
      </c>
      <c r="C48" s="23">
        <v>10168784.33</v>
      </c>
      <c r="D48" s="23">
        <v>13520188.609999999</v>
      </c>
      <c r="E48" s="16">
        <v>0</v>
      </c>
      <c r="F48" s="16">
        <v>0</v>
      </c>
      <c r="G48" s="16">
        <v>0</v>
      </c>
      <c r="H48" s="24" t="s">
        <v>28</v>
      </c>
      <c r="L48" s="2"/>
      <c r="M48" s="2"/>
      <c r="N48" s="2"/>
      <c r="O48" s="2"/>
      <c r="P48" s="2"/>
      <c r="Q48" s="2"/>
      <c r="R48" s="2"/>
      <c r="S48" s="2"/>
    </row>
    <row r="49" spans="1:19" ht="16.5" x14ac:dyDescent="0.25">
      <c r="A49" s="22" t="s">
        <v>49</v>
      </c>
      <c r="B49" s="23">
        <f t="shared" si="3"/>
        <v>7724957.6299999999</v>
      </c>
      <c r="C49" s="23">
        <v>5498764.8799999999</v>
      </c>
      <c r="D49" s="23">
        <v>2226192.75</v>
      </c>
      <c r="E49" s="16">
        <v>0</v>
      </c>
      <c r="F49" s="16">
        <v>0</v>
      </c>
      <c r="G49" s="16">
        <v>0</v>
      </c>
      <c r="H49" s="24" t="s">
        <v>50</v>
      </c>
      <c r="L49" s="2"/>
      <c r="M49" s="26"/>
      <c r="N49" s="26"/>
      <c r="O49" s="26"/>
      <c r="P49" s="26"/>
      <c r="Q49" s="26"/>
      <c r="R49" s="26"/>
      <c r="S49" s="2"/>
    </row>
    <row r="50" spans="1:19" ht="19.149999999999999" customHeight="1" x14ac:dyDescent="0.25">
      <c r="A50" s="27" t="s">
        <v>15</v>
      </c>
      <c r="B50" s="23">
        <f t="shared" si="3"/>
        <v>3540685.44</v>
      </c>
      <c r="C50" s="23">
        <v>3415097.84</v>
      </c>
      <c r="D50" s="23">
        <v>125587.6</v>
      </c>
      <c r="E50" s="16">
        <v>0</v>
      </c>
      <c r="F50" s="16">
        <v>0</v>
      </c>
      <c r="G50" s="16">
        <v>0</v>
      </c>
      <c r="H50" s="24" t="s">
        <v>51</v>
      </c>
      <c r="L50" s="2"/>
      <c r="M50" s="28"/>
      <c r="N50" s="29"/>
      <c r="O50" s="29"/>
      <c r="P50" s="29"/>
      <c r="Q50" s="29"/>
      <c r="R50" s="30"/>
      <c r="S50" s="30"/>
    </row>
    <row r="51" spans="1:19" ht="16.5" x14ac:dyDescent="0.25">
      <c r="A51" s="22" t="s">
        <v>16</v>
      </c>
      <c r="B51" s="23">
        <f t="shared" si="3"/>
        <v>13156080.83</v>
      </c>
      <c r="C51" s="23">
        <v>8525877.4800000004</v>
      </c>
      <c r="D51" s="23">
        <v>4630203.3499999996</v>
      </c>
      <c r="E51" s="16">
        <v>0</v>
      </c>
      <c r="F51" s="16">
        <v>0</v>
      </c>
      <c r="G51" s="16">
        <v>0</v>
      </c>
      <c r="H51" s="24" t="s">
        <v>52</v>
      </c>
      <c r="L51" s="2"/>
      <c r="M51" s="31"/>
      <c r="N51" s="31"/>
      <c r="O51" s="31"/>
      <c r="P51" s="31"/>
      <c r="Q51" s="32"/>
      <c r="R51" s="33"/>
      <c r="S51" s="34"/>
    </row>
    <row r="52" spans="1:19" ht="16.5" x14ac:dyDescent="0.25">
      <c r="A52" s="22" t="s">
        <v>17</v>
      </c>
      <c r="B52" s="23">
        <f t="shared" si="3"/>
        <v>563786.18999999994</v>
      </c>
      <c r="C52" s="23">
        <v>527498.18999999994</v>
      </c>
      <c r="D52" s="42">
        <v>36288</v>
      </c>
      <c r="E52" s="16">
        <v>0</v>
      </c>
      <c r="F52" s="16">
        <v>0</v>
      </c>
      <c r="G52" s="16">
        <v>0</v>
      </c>
      <c r="H52" s="24" t="s">
        <v>53</v>
      </c>
      <c r="L52" s="2"/>
      <c r="M52" s="26"/>
      <c r="N52" s="26"/>
      <c r="O52" s="26"/>
      <c r="P52" s="26"/>
      <c r="Q52" s="26"/>
      <c r="R52" s="26"/>
      <c r="S52" s="2"/>
    </row>
    <row r="53" spans="1:19" ht="16.5" x14ac:dyDescent="0.25">
      <c r="A53" s="22" t="s">
        <v>18</v>
      </c>
      <c r="B53" s="23">
        <f t="shared" si="3"/>
        <v>9125266.5999999996</v>
      </c>
      <c r="C53" s="23">
        <v>5056702.2399999993</v>
      </c>
      <c r="D53" s="23">
        <v>4068564.36</v>
      </c>
      <c r="E53" s="16">
        <v>0</v>
      </c>
      <c r="F53" s="16">
        <v>0</v>
      </c>
      <c r="G53" s="16">
        <v>0</v>
      </c>
      <c r="H53" s="24" t="s">
        <v>54</v>
      </c>
      <c r="L53" s="2"/>
      <c r="M53" s="2"/>
      <c r="N53" s="2"/>
      <c r="O53" s="2"/>
      <c r="P53" s="2"/>
      <c r="Q53" s="2"/>
      <c r="R53" s="2"/>
      <c r="S53" s="2"/>
    </row>
    <row r="54" spans="1:19" ht="16.5" x14ac:dyDescent="0.25">
      <c r="A54" s="22" t="s">
        <v>19</v>
      </c>
      <c r="B54" s="23">
        <f t="shared" si="3"/>
        <v>6589192.25</v>
      </c>
      <c r="C54" s="23">
        <v>4084293.46</v>
      </c>
      <c r="D54" s="23">
        <v>2504898.79</v>
      </c>
      <c r="E54" s="16">
        <v>0</v>
      </c>
      <c r="F54" s="16">
        <v>0</v>
      </c>
      <c r="G54" s="16">
        <v>0</v>
      </c>
      <c r="H54" s="24" t="s">
        <v>55</v>
      </c>
      <c r="L54" s="2"/>
      <c r="M54" s="2"/>
      <c r="N54" s="2"/>
      <c r="O54" s="2"/>
      <c r="P54" s="2"/>
      <c r="Q54" s="2"/>
      <c r="R54" s="2"/>
      <c r="S54" s="2"/>
    </row>
    <row r="55" spans="1:19" ht="16.5" x14ac:dyDescent="0.25">
      <c r="A55" s="22" t="s">
        <v>20</v>
      </c>
      <c r="B55" s="23">
        <f t="shared" si="3"/>
        <v>9874084.1599999983</v>
      </c>
      <c r="C55" s="23">
        <v>6909047.2599999988</v>
      </c>
      <c r="D55" s="23">
        <v>2965036.9</v>
      </c>
      <c r="E55" s="16">
        <v>0</v>
      </c>
      <c r="F55" s="16">
        <v>0</v>
      </c>
      <c r="G55" s="16">
        <v>0</v>
      </c>
      <c r="H55" s="24" t="s">
        <v>56</v>
      </c>
      <c r="L55" s="2"/>
      <c r="M55" s="2"/>
      <c r="N55" s="2"/>
      <c r="O55" s="2"/>
      <c r="P55" s="2"/>
      <c r="Q55" s="2"/>
      <c r="R55" s="2"/>
      <c r="S55" s="2"/>
    </row>
    <row r="56" spans="1:19" ht="16.5" x14ac:dyDescent="0.25">
      <c r="A56" s="22" t="s">
        <v>21</v>
      </c>
      <c r="B56" s="23">
        <f t="shared" si="3"/>
        <v>15424283.25</v>
      </c>
      <c r="C56" s="23">
        <v>11001181.040000001</v>
      </c>
      <c r="D56" s="23">
        <v>4423102.21</v>
      </c>
      <c r="E56" s="16">
        <v>0</v>
      </c>
      <c r="F56" s="16">
        <v>0</v>
      </c>
      <c r="G56" s="16">
        <v>0</v>
      </c>
      <c r="H56" s="24" t="s">
        <v>57</v>
      </c>
      <c r="L56" s="2"/>
      <c r="M56" s="2"/>
      <c r="N56" s="2"/>
      <c r="O56" s="2"/>
      <c r="P56" s="2"/>
      <c r="Q56" s="2"/>
      <c r="R56" s="2"/>
      <c r="S56" s="2"/>
    </row>
    <row r="57" spans="1:19" ht="16.5" x14ac:dyDescent="0.25">
      <c r="A57" s="22" t="s">
        <v>23</v>
      </c>
      <c r="B57" s="23">
        <f t="shared" si="3"/>
        <v>19121149.300000001</v>
      </c>
      <c r="C57" s="23">
        <v>12087985.25</v>
      </c>
      <c r="D57" s="23">
        <v>7033164.0499999998</v>
      </c>
      <c r="E57" s="16">
        <v>0</v>
      </c>
      <c r="F57" s="16">
        <v>0</v>
      </c>
      <c r="G57" s="16">
        <v>0</v>
      </c>
      <c r="H57" s="24" t="s">
        <v>58</v>
      </c>
      <c r="L57" s="2"/>
      <c r="M57" s="2"/>
      <c r="N57" s="2"/>
      <c r="O57" s="2"/>
      <c r="P57" s="2"/>
      <c r="Q57" s="2"/>
      <c r="R57" s="2"/>
      <c r="S57" s="2"/>
    </row>
    <row r="58" spans="1:19" ht="16.5" x14ac:dyDescent="0.25">
      <c r="A58" s="22" t="s">
        <v>24</v>
      </c>
      <c r="B58" s="23">
        <f t="shared" si="3"/>
        <v>14483951.449999999</v>
      </c>
      <c r="C58" s="23">
        <v>8032216.6099999994</v>
      </c>
      <c r="D58" s="23">
        <v>6451734.8399999989</v>
      </c>
      <c r="E58" s="16">
        <v>0</v>
      </c>
      <c r="F58" s="16">
        <v>0</v>
      </c>
      <c r="G58" s="16">
        <v>0</v>
      </c>
      <c r="H58" s="24" t="s">
        <v>59</v>
      </c>
      <c r="L58" s="2"/>
      <c r="M58" s="2"/>
      <c r="N58" s="2"/>
      <c r="O58" s="2"/>
      <c r="P58" s="2"/>
      <c r="Q58" s="2"/>
      <c r="R58" s="2"/>
      <c r="S58" s="2"/>
    </row>
    <row r="59" spans="1:19" ht="16.5" x14ac:dyDescent="0.25">
      <c r="A59" s="22" t="s">
        <v>25</v>
      </c>
      <c r="B59" s="23">
        <f t="shared" si="3"/>
        <v>27642128.07</v>
      </c>
      <c r="C59" s="23">
        <v>17756560.309999999</v>
      </c>
      <c r="D59" s="23">
        <v>9885567.7599999998</v>
      </c>
      <c r="E59" s="16">
        <v>0</v>
      </c>
      <c r="F59" s="16">
        <v>0</v>
      </c>
      <c r="G59" s="16">
        <v>0</v>
      </c>
      <c r="H59" s="24" t="s">
        <v>60</v>
      </c>
      <c r="L59" s="2"/>
      <c r="M59" s="2"/>
      <c r="N59" s="2"/>
      <c r="O59" s="2"/>
      <c r="P59" s="2"/>
      <c r="Q59" s="2"/>
      <c r="R59" s="2"/>
      <c r="S59" s="2"/>
    </row>
    <row r="60" spans="1:19" ht="16.5" x14ac:dyDescent="0.25">
      <c r="A60" s="22" t="s">
        <v>26</v>
      </c>
      <c r="B60" s="23">
        <f t="shared" si="3"/>
        <v>12905259.859999999</v>
      </c>
      <c r="C60" s="23">
        <v>7370920.1299999999</v>
      </c>
      <c r="D60" s="23">
        <v>5020959.7300000004</v>
      </c>
      <c r="E60" s="16">
        <v>0</v>
      </c>
      <c r="F60" s="42">
        <v>513380</v>
      </c>
      <c r="G60" s="16">
        <v>0</v>
      </c>
      <c r="H60" s="24" t="s">
        <v>22</v>
      </c>
      <c r="L60" s="2"/>
      <c r="M60" s="2"/>
      <c r="N60" s="2"/>
      <c r="O60" s="2"/>
      <c r="P60" s="2"/>
      <c r="Q60" s="2"/>
      <c r="R60" s="2"/>
      <c r="S60" s="2"/>
    </row>
    <row r="61" spans="1:19" ht="16.5" x14ac:dyDescent="0.25">
      <c r="A61" s="22" t="s">
        <v>27</v>
      </c>
      <c r="B61" s="23">
        <f t="shared" si="3"/>
        <v>55981769.2333</v>
      </c>
      <c r="C61" s="23">
        <v>32269695.6833</v>
      </c>
      <c r="D61" s="23">
        <v>21475620.349999998</v>
      </c>
      <c r="E61" s="23">
        <v>1168993.2</v>
      </c>
      <c r="F61" s="42">
        <v>1067460</v>
      </c>
      <c r="G61" s="16">
        <v>0</v>
      </c>
      <c r="H61" s="24" t="s">
        <v>61</v>
      </c>
    </row>
    <row r="62" spans="1:19" ht="18.75" x14ac:dyDescent="0.25">
      <c r="A62" s="35" t="s">
        <v>62</v>
      </c>
      <c r="B62" s="47">
        <f>SUM(C62:G62)</f>
        <v>169006647.32120001</v>
      </c>
      <c r="C62" s="43">
        <v>169006647.32120001</v>
      </c>
      <c r="D62" s="17">
        <v>0</v>
      </c>
      <c r="E62" s="17">
        <v>0</v>
      </c>
      <c r="F62" s="17">
        <v>0</v>
      </c>
      <c r="G62" s="17">
        <v>0</v>
      </c>
      <c r="H62" s="36" t="s">
        <v>63</v>
      </c>
    </row>
    <row r="63" spans="1:19" s="38" customFormat="1" ht="12.75" customHeight="1" x14ac:dyDescent="0.25">
      <c r="A63" s="37" t="s">
        <v>65</v>
      </c>
      <c r="I63" s="5"/>
    </row>
    <row r="64" spans="1:19" s="38" customFormat="1" ht="17.25" x14ac:dyDescent="0.25">
      <c r="A64" s="50" t="s">
        <v>66</v>
      </c>
      <c r="I64" s="5"/>
    </row>
    <row r="65" spans="1:9" s="38" customFormat="1" ht="17.25" x14ac:dyDescent="0.25">
      <c r="A65" s="37"/>
      <c r="I65" s="5"/>
    </row>
    <row r="66" spans="1:9" s="38" customFormat="1" ht="17.25" x14ac:dyDescent="0.25">
      <c r="A66" s="37"/>
      <c r="I66" s="5"/>
    </row>
    <row r="74" spans="1:9" x14ac:dyDescent="0.25">
      <c r="A74" s="44"/>
      <c r="C74" s="45"/>
      <c r="D74" s="45"/>
      <c r="E74" s="45"/>
      <c r="F74" s="45"/>
      <c r="G74" s="45"/>
      <c r="H74" s="45"/>
    </row>
    <row r="75" spans="1:9" x14ac:dyDescent="0.25">
      <c r="A75" s="44"/>
      <c r="B75" s="46"/>
      <c r="C75" s="45"/>
      <c r="D75" s="45"/>
      <c r="E75" s="45"/>
      <c r="F75" s="45"/>
      <c r="G75" s="45"/>
      <c r="H75" s="45"/>
    </row>
    <row r="77" spans="1:9" x14ac:dyDescent="0.25">
      <c r="A77" s="44"/>
      <c r="B77" s="46"/>
      <c r="C77" s="45"/>
      <c r="D77" s="45"/>
      <c r="E77" s="45"/>
      <c r="F77" s="45"/>
      <c r="G77" s="45"/>
      <c r="H77" s="45"/>
    </row>
    <row r="78" spans="1:9" x14ac:dyDescent="0.25">
      <c r="G78" s="45"/>
      <c r="H78" s="45"/>
    </row>
    <row r="79" spans="1:9" x14ac:dyDescent="0.25">
      <c r="G79" s="45"/>
      <c r="H79" s="45"/>
    </row>
    <row r="80" spans="1:9" x14ac:dyDescent="0.25">
      <c r="G80" s="45"/>
      <c r="H80" s="45"/>
    </row>
    <row r="81" spans="7:8" x14ac:dyDescent="0.25">
      <c r="G81" s="45"/>
      <c r="H81" s="45"/>
    </row>
    <row r="82" spans="7:8" x14ac:dyDescent="0.25">
      <c r="G82" s="45"/>
      <c r="H82" s="45"/>
    </row>
    <row r="83" spans="7:8" x14ac:dyDescent="0.25">
      <c r="G83" s="45"/>
      <c r="H83" s="45"/>
    </row>
    <row r="84" spans="7:8" x14ac:dyDescent="0.25">
      <c r="G84" s="45"/>
      <c r="H84" s="45"/>
    </row>
  </sheetData>
  <mergeCells count="8">
    <mergeCell ref="A37:A38"/>
    <mergeCell ref="H37:H38"/>
    <mergeCell ref="A1:I1"/>
    <mergeCell ref="A2:I2"/>
    <mergeCell ref="A4:A5"/>
    <mergeCell ref="I4:I5"/>
    <mergeCell ref="A35:H35"/>
    <mergeCell ref="A36:H36"/>
  </mergeCells>
  <pageMargins left="0.7" right="0.7" top="0.75" bottom="0.75" header="0.3" footer="0.3"/>
  <pageSetup paperSize="9" scale="77" orientation="landscape" r:id="rId1"/>
  <rowBreaks count="2" manualBreakCount="2">
    <brk id="31" max="8" man="1"/>
    <brk id="65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18.20</vt:lpstr>
      <vt:lpstr>'18.20'!Print_Area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Fathmath Shifaza</cp:lastModifiedBy>
  <cp:lastPrinted>2016-09-28T08:42:50Z</cp:lastPrinted>
  <dcterms:created xsi:type="dcterms:W3CDTF">2013-03-14T06:06:17Z</dcterms:created>
  <dcterms:modified xsi:type="dcterms:W3CDTF">2016-09-28T08:42:55Z</dcterms:modified>
</cp:coreProperties>
</file>