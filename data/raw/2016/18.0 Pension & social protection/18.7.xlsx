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857"/>
  </bookViews>
  <sheets>
    <sheet name="18.7" sheetId="28" r:id="rId1"/>
  </sheets>
  <externalReferences>
    <externalReference r:id="rId2"/>
  </externalReferences>
  <definedNames>
    <definedName name="_xlnm.Print_Area" localSheetId="0">'18.7'!$A$1:$H$40</definedName>
  </definedNames>
  <calcPr calcId="144525"/>
</workbook>
</file>

<file path=xl/calcChain.xml><?xml version="1.0" encoding="utf-8"?>
<calcChain xmlns="http://schemas.openxmlformats.org/spreadsheetml/2006/main">
  <c r="B18" i="28" l="1"/>
  <c r="B17" i="28"/>
  <c r="B16" i="28"/>
  <c r="B15" i="28"/>
  <c r="B14" i="28"/>
  <c r="B13" i="28"/>
  <c r="B12" i="28"/>
  <c r="B11" i="28"/>
  <c r="B10" i="28"/>
  <c r="B9" i="28"/>
  <c r="B8" i="28"/>
  <c r="B7" i="28"/>
</calcChain>
</file>

<file path=xl/sharedStrings.xml><?xml version="1.0" encoding="utf-8"?>
<sst xmlns="http://schemas.openxmlformats.org/spreadsheetml/2006/main" count="39" uniqueCount="39">
  <si>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</si>
  <si>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</si>
  <si>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</si>
  <si>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</si>
  <si>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</si>
  <si>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</si>
  <si>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</si>
  <si>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</si>
  <si>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</si>
  <si>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</si>
  <si>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</si>
  <si>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</si>
  <si>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</si>
  <si>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</si>
  <si>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65-69</t>
  </si>
  <si>
    <t>70-74</t>
  </si>
  <si>
    <t>Source: Maldives Pension Administration</t>
  </si>
  <si>
    <t>ޖެނުއަރީ</t>
  </si>
  <si>
    <t>ފެބްރުއަރީ</t>
  </si>
  <si>
    <t>މާޗް</t>
  </si>
  <si>
    <t>އޭޕްރީލް</t>
  </si>
  <si>
    <t>މެއި</t>
  </si>
  <si>
    <t>ޖޫން</t>
  </si>
  <si>
    <t>ޖުލައި</t>
  </si>
  <si>
    <t>އޮގަސްޓް</t>
  </si>
  <si>
    <t>ސެޕްޓެމްބަރ</t>
  </si>
  <si>
    <t>އޮކްޓޫބަރ</t>
  </si>
  <si>
    <t>ޑިސެމްބަރ</t>
  </si>
  <si>
    <t>ނޮވެމްބަރ</t>
  </si>
  <si>
    <r>
      <t xml:space="preserve">Age Groups   </t>
    </r>
    <r>
      <rPr>
        <b/>
        <sz val="11"/>
        <color theme="1"/>
        <rFont val="Faruma"/>
      </rPr>
      <t>ޢުމުރުފުރާ</t>
    </r>
    <r>
      <rPr>
        <b/>
        <sz val="11"/>
        <color theme="1"/>
        <rFont val="Calibri"/>
        <family val="2"/>
        <scheme val="minor"/>
      </rPr>
      <t xml:space="preserve"> </t>
    </r>
  </si>
  <si>
    <t>މަޢުލޫމާތު ދެއްވި ފަރާތް: މޯލްޑިވްސް ޕެންޝަން އެޑްމިނިސްޓްރޭޝަން</t>
  </si>
  <si>
    <t>75 +</t>
  </si>
  <si>
    <t>Senior Citizen Allowance was introduced in February 2014.</t>
  </si>
  <si>
    <t xml:space="preserve">ސީނިއަރ ސިޓިޒަން އެލަވަންސް ސްކީމް ތަޢާރަފުކުރެވިފައިވާ ފެބްރުއަރީ 2014 ގައެވެ. </t>
  </si>
  <si>
    <t>TABLE 18.7: NUMBER OF BENEFICIARIES OF SENIOR CITIZEN ALLOWANCE BY AGE, 2015</t>
  </si>
  <si>
    <t>ތާވަލު  18.7: ސީނިއަރ ސިޓިޒަން އެލަވަންސް ލިބޭ މީހުންގެ އަދަދު އަދި ޢުމުރުފުރާތައް، 2015</t>
  </si>
  <si>
    <t>65-69 yrs</t>
  </si>
  <si>
    <t>70-74 yrs</t>
  </si>
  <si>
    <t xml:space="preserve">75 + yrs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</si>
</sst>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  <font>
      <sz val="8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8" fillId="0" borderId="0"/>
  </cellStyleXfs>
  <cellXfs count="26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2" borderId="1" xfId="0" applyFill="1" applyBorder="1"/>
    <xf numFmtId="164" fontId="0" fillId="2" borderId="0" xfId="1" applyNumberFormat="1" applyFont="1" applyFill="1" applyBorder="1"/>
    <xf numFmtId="164" fontId="0" fillId="2" borderId="1" xfId="1" applyNumberFormat="1" applyFont="1" applyFill="1" applyBorder="1"/>
    <xf numFmtId="0" fontId="0" fillId="2" borderId="0" xfId="0" applyFill="1" applyAlignment="1">
      <alignment vertical="center"/>
    </xf>
    <xf numFmtId="0" fontId="3" fillId="2" borderId="0" xfId="0" applyFont="1" applyFill="1" applyBorder="1" applyAlignment="1">
      <alignment horizontal="right" vertical="center"/>
    </xf>
    <xf numFmtId="0" fontId="4" fillId="2" borderId="0" xfId="0" applyFont="1" applyFill="1" applyAlignment="1"/>
    <xf numFmtId="0" fontId="3" fillId="2" borderId="1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6" fillId="2" borderId="0" xfId="0" applyFont="1" applyFill="1"/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5" fillId="2" borderId="0" xfId="0" applyFont="1" applyFill="1" applyBorder="1"/>
    <xf numFmtId="0" fontId="6" fillId="2" borderId="0" xfId="0" applyFont="1" applyFill="1" applyBorder="1"/>
    <xf numFmtId="0" fontId="7" fillId="2" borderId="0" xfId="0" applyFont="1" applyFill="1" applyBorder="1"/>
    <xf numFmtId="0" fontId="4" fillId="2" borderId="0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1C706E"/>
      <color rgb="FF28B2AF"/>
      <color rgb="FFD4F5F4"/>
      <color rgb="FF8DE5E3"/>
      <color rgb="FF33CCCC"/>
      <color rgb="FFA7EBE9"/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72694867871933"/>
          <c:y val="0.14910981133098888"/>
          <c:w val="0.3727973982906258"/>
          <c:h val="0.84146921359284765"/>
        </c:manualLayout>
      </c:layout>
      <c:doughnutChart>
        <c:varyColors val="1"/>
        <c:ser>
          <c:idx val="0"/>
          <c:order val="0"/>
          <c:spPr>
            <a:solidFill>
              <a:srgbClr val="7030A0"/>
            </a:solidFill>
          </c:spPr>
          <c:explosion val="6"/>
          <c:dPt>
            <c:idx val="0"/>
            <c:bubble3D val="0"/>
            <c:spPr>
              <a:solidFill>
                <a:srgbClr val="1C706E"/>
              </a:solidFill>
            </c:spPr>
          </c:dPt>
          <c:dPt>
            <c:idx val="1"/>
            <c:bubble3D val="0"/>
            <c:spPr>
              <a:solidFill>
                <a:srgbClr val="33CCCC"/>
              </a:solidFill>
            </c:spPr>
          </c:dPt>
          <c:dPt>
            <c:idx val="2"/>
            <c:bubble3D val="0"/>
            <c:spPr>
              <a:solidFill>
                <a:srgbClr val="28B2AF"/>
              </a:solidFill>
            </c:spPr>
          </c:dPt>
          <c:dLbls>
            <c:dLbl>
              <c:idx val="0"/>
              <c:layout>
                <c:manualLayout>
                  <c:x val="-4.5054108826427216E-3"/>
                  <c:y val="-1.50592785808894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4.4403681482846182E-3"/>
                  <c:y val="-7.516800338038240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2.9344584075987638E-3"/>
                  <c:y val="1.463506965475469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4.773592009035493E-3"/>
                  <c:y val="3.926769215767533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'18.7'!$BK$26:$BM$26</c:f>
              <c:strCache>
                <c:ptCount val="3"/>
                <c:pt idx="0">
                  <c:v>65-69 yrs</c:v>
                </c:pt>
                <c:pt idx="1">
                  <c:v>70-74 yrs</c:v>
                </c:pt>
                <c:pt idx="2">
                  <c:v>75 + yrs </c:v>
                </c:pt>
              </c:strCache>
            </c:strRef>
          </c:cat>
          <c:val>
            <c:numRef>
              <c:f>'18.7'!$C$18:$E$18</c:f>
              <c:numCache>
                <c:formatCode>_(* #,##0_);_(* \(#,##0\);_(* "-"??_);_(@_)</c:formatCode>
                <c:ptCount val="3"/>
                <c:pt idx="0">
                  <c:v>4147</c:v>
                </c:pt>
                <c:pt idx="1">
                  <c:v>4656</c:v>
                </c:pt>
                <c:pt idx="2">
                  <c:v>7758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ln>
          <a:noFill/>
        </a:ln>
      </c:spPr>
    </c:plotArea>
    <c:plotVisOnly val="1"/>
    <c:dispBlanksAs val="zero"/>
    <c:showDLblsOverMax val="0"/>
  </c:chart>
  <c:spPr>
    <a:solidFill>
      <a:schemeClr val="bg1"/>
    </a:solidFill>
  </c:spPr>
  <c:printSettings>
    <c:headerFooter/>
    <c:pageMargins b="0.750000000000004" l="0.70000000000000062" r="0.70000000000000062" t="0.750000000000004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24</xdr:row>
      <xdr:rowOff>38100</xdr:rowOff>
    </xdr:from>
    <xdr:to>
      <xdr:col>5</xdr:col>
      <xdr:colOff>914400</xdr:colOff>
      <xdr:row>38</xdr:row>
      <xdr:rowOff>12700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133350</xdr:colOff>
      <xdr:row>26</xdr:row>
      <xdr:rowOff>66675</xdr:rowOff>
    </xdr:from>
    <xdr:to>
      <xdr:col>5</xdr:col>
      <xdr:colOff>628650</xdr:colOff>
      <xdr:row>26</xdr:row>
      <xdr:rowOff>66675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619125" y="5886450"/>
          <a:ext cx="472440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0.07627</cdr:x>
      <cdr:y>0.04312</cdr:y>
    </cdr:from>
    <cdr:to>
      <cdr:x>0.97997</cdr:x>
      <cdr:y>0.18029</cdr:y>
    </cdr:to>
    <cdr:sp macro="" textlink="">
      <cdr:nvSpPr>
        <cdr:cNvPr id="2" name="TextBox 9"/>
        <cdr:cNvSpPr txBox="1"/>
      </cdr:nvSpPr>
      <cdr:spPr>
        <a:xfrm xmlns:a="http://schemas.openxmlformats.org/drawingml/2006/main">
          <a:off x="422551" y="113918"/>
          <a:ext cx="5006837" cy="36233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 rtl="0"/>
          <a:r>
            <a:rPr lang="en-US" sz="1100" b="1" i="0" baseline="0">
              <a:solidFill>
                <a:sysClr val="windowText" lastClr="000000"/>
              </a:solidFill>
              <a:latin typeface="Consolas" pitchFamily="49" charset="0"/>
              <a:ea typeface="+mn-ea"/>
              <a:cs typeface="Consolas" pitchFamily="49" charset="0"/>
            </a:rPr>
            <a:t>Figure 18.9: Percentage of beneficiaries under basic pension scheme by age group, 2015</a:t>
          </a:r>
          <a:endParaRPr lang="en-US">
            <a:latin typeface="Consolas" pitchFamily="49" charset="0"/>
            <a:cs typeface="Consolas" pitchFamily="49" charset="0"/>
          </a:endParaRPr>
        </a:p>
        <a:p xmlns:a="http://schemas.openxmlformats.org/drawingml/2006/main">
          <a:pPr algn="ctr"/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M26"/>
  <sheetViews>
    <sheetView tabSelected="1" zoomScaleNormal="100" workbookViewId="0">
      <selection activeCell="M15" sqref="M15"/>
    </sheetView>
  </sheetViews>
  <sheetFormatPr defaultColWidth="9.140625" defaultRowHeight="15" x14ac:dyDescent="0.25"/>
  <cols>
    <col min="1" max="1" width="7.28515625" style="1" customWidth="1"/>
    <col min="2" max="5" width="15.85546875" style="1" customWidth="1"/>
    <col min="6" max="6" width="15.7109375" style="1" customWidth="1"/>
    <col min="7" max="7" width="1.28515625" style="1" customWidth="1"/>
    <col min="8" max="8" width="8.42578125" style="1" customWidth="1"/>
    <col min="9" max="9" width="10.28515625" style="1" customWidth="1"/>
    <col min="10" max="10" width="9.5703125" style="1" customWidth="1"/>
    <col min="11" max="11" width="9.28515625" style="1" customWidth="1"/>
    <col min="12" max="12" width="10.28515625" style="1" customWidth="1"/>
    <col min="13" max="13" width="10.5703125" style="1" customWidth="1"/>
    <col min="14" max="14" width="8.42578125" style="1" customWidth="1"/>
    <col min="15" max="15" width="10.28515625" style="1" customWidth="1"/>
    <col min="16" max="16" width="9.5703125" style="1" customWidth="1"/>
    <col min="17" max="17" width="9.28515625" style="1" customWidth="1"/>
    <col min="18" max="18" width="10.28515625" style="1" customWidth="1"/>
    <col min="19" max="19" width="14.5703125" style="1" customWidth="1"/>
    <col min="20" max="59" width="2" style="1" customWidth="1"/>
    <col min="60" max="16384" width="9.140625" style="1"/>
  </cols>
  <sheetData>
    <row r="1" spans="1:64" ht="5.25" customHeight="1" x14ac:dyDescent="0.25">
      <c r="A1" s="2"/>
      <c r="C1" s="2"/>
      <c r="D1" s="2"/>
      <c r="E1" s="2"/>
      <c r="F1" s="2"/>
      <c r="I1" s="2"/>
      <c r="J1" s="2"/>
      <c r="K1" s="2"/>
      <c r="L1" s="2"/>
      <c r="O1" s="2"/>
      <c r="P1" s="2"/>
      <c r="Q1" s="2"/>
      <c r="R1" s="2"/>
    </row>
    <row r="2" spans="1:64" ht="21" x14ac:dyDescent="0.55000000000000004">
      <c r="A2" s="21" t="s">
        <v>35</v>
      </c>
      <c r="B2" s="21"/>
      <c r="C2" s="21"/>
      <c r="D2" s="21"/>
      <c r="E2" s="21"/>
      <c r="F2" s="2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</row>
    <row r="3" spans="1:64" x14ac:dyDescent="0.25">
      <c r="A3" s="22" t="s">
        <v>34</v>
      </c>
      <c r="B3" s="22"/>
      <c r="C3" s="22"/>
      <c r="D3" s="22"/>
      <c r="E3" s="22"/>
      <c r="F3" s="22"/>
    </row>
    <row r="4" spans="1:64" x14ac:dyDescent="0.25">
      <c r="B4" s="13"/>
      <c r="C4" s="13"/>
      <c r="D4" s="13"/>
      <c r="E4" s="13"/>
      <c r="F4" s="13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64" ht="21" x14ac:dyDescent="0.55000000000000004">
      <c r="A5" s="14" t="s">
        <v>13</v>
      </c>
      <c r="B5" s="23" t="s">
        <v>29</v>
      </c>
      <c r="C5" s="23"/>
      <c r="D5" s="23"/>
      <c r="E5" s="23"/>
      <c r="F5" s="24"/>
      <c r="G5" s="20"/>
    </row>
    <row r="6" spans="1:64" ht="15" customHeight="1" x14ac:dyDescent="0.25">
      <c r="A6" s="13"/>
      <c r="B6" s="10" t="s">
        <v>0</v>
      </c>
      <c r="C6" s="10" t="s">
        <v>14</v>
      </c>
      <c r="D6" s="10" t="s">
        <v>15</v>
      </c>
      <c r="E6" s="10" t="s">
        <v>31</v>
      </c>
      <c r="F6" s="25"/>
    </row>
    <row r="7" spans="1:64" ht="21" x14ac:dyDescent="0.25">
      <c r="A7" s="1" t="s">
        <v>1</v>
      </c>
      <c r="B7" s="4">
        <f t="shared" ref="B7:B18" si="0">SUM(C7:E7)</f>
        <v>16382</v>
      </c>
      <c r="C7" s="4">
        <v>4140</v>
      </c>
      <c r="D7" s="4">
        <v>4805</v>
      </c>
      <c r="E7" s="4">
        <v>7437</v>
      </c>
      <c r="F7" s="7" t="s">
        <v>17</v>
      </c>
    </row>
    <row r="8" spans="1:64" ht="21" x14ac:dyDescent="0.25">
      <c r="A8" s="1" t="s">
        <v>2</v>
      </c>
      <c r="B8" s="4">
        <f t="shared" si="0"/>
        <v>16379</v>
      </c>
      <c r="C8" s="4">
        <v>4190</v>
      </c>
      <c r="D8" s="4">
        <v>4781</v>
      </c>
      <c r="E8" s="4">
        <v>7408</v>
      </c>
      <c r="F8" s="7" t="s">
        <v>18</v>
      </c>
    </row>
    <row r="9" spans="1:64" ht="21" x14ac:dyDescent="0.25">
      <c r="A9" s="1" t="s">
        <v>3</v>
      </c>
      <c r="B9" s="4">
        <f t="shared" si="0"/>
        <v>16534</v>
      </c>
      <c r="C9" s="4">
        <v>4388</v>
      </c>
      <c r="D9" s="4">
        <v>4779</v>
      </c>
      <c r="E9" s="4">
        <v>7367</v>
      </c>
      <c r="F9" s="7" t="s">
        <v>19</v>
      </c>
    </row>
    <row r="10" spans="1:64" ht="21" x14ac:dyDescent="0.25">
      <c r="A10" s="1" t="s">
        <v>4</v>
      </c>
      <c r="B10" s="4">
        <f t="shared" si="0"/>
        <v>16533</v>
      </c>
      <c r="C10" s="4">
        <v>4393</v>
      </c>
      <c r="D10" s="4">
        <v>4798</v>
      </c>
      <c r="E10" s="4">
        <v>7342</v>
      </c>
      <c r="F10" s="7" t="s">
        <v>20</v>
      </c>
    </row>
    <row r="11" spans="1:64" ht="21" x14ac:dyDescent="0.25">
      <c r="A11" s="1" t="s">
        <v>5</v>
      </c>
      <c r="B11" s="4">
        <f t="shared" si="0"/>
        <v>16558</v>
      </c>
      <c r="C11" s="4">
        <v>4474</v>
      </c>
      <c r="D11" s="4">
        <v>4750</v>
      </c>
      <c r="E11" s="4">
        <v>7334</v>
      </c>
      <c r="F11" s="7" t="s">
        <v>21</v>
      </c>
    </row>
    <row r="12" spans="1:64" ht="21" x14ac:dyDescent="0.25">
      <c r="A12" s="1" t="s">
        <v>6</v>
      </c>
      <c r="B12" s="4">
        <f t="shared" si="0"/>
        <v>16591</v>
      </c>
      <c r="C12" s="4">
        <v>4475</v>
      </c>
      <c r="D12" s="4">
        <v>4788</v>
      </c>
      <c r="E12" s="4">
        <v>7328</v>
      </c>
      <c r="F12" s="7" t="s">
        <v>22</v>
      </c>
    </row>
    <row r="13" spans="1:64" ht="21" x14ac:dyDescent="0.25">
      <c r="A13" s="1" t="s">
        <v>7</v>
      </c>
      <c r="B13" s="4">
        <f t="shared" si="0"/>
        <v>16570</v>
      </c>
      <c r="C13" s="4">
        <v>4514</v>
      </c>
      <c r="D13" s="4">
        <v>4745</v>
      </c>
      <c r="E13" s="4">
        <v>7311</v>
      </c>
      <c r="F13" s="7" t="s">
        <v>23</v>
      </c>
    </row>
    <row r="14" spans="1:64" ht="21" x14ac:dyDescent="0.25">
      <c r="A14" s="1" t="s">
        <v>8</v>
      </c>
      <c r="B14" s="4">
        <f t="shared" si="0"/>
        <v>16610</v>
      </c>
      <c r="C14" s="4">
        <v>4576</v>
      </c>
      <c r="D14" s="4">
        <v>4731</v>
      </c>
      <c r="E14" s="4">
        <v>7303</v>
      </c>
      <c r="F14" s="7" t="s">
        <v>24</v>
      </c>
    </row>
    <row r="15" spans="1:64" ht="21" x14ac:dyDescent="0.25">
      <c r="A15" s="1" t="s">
        <v>9</v>
      </c>
      <c r="B15" s="4">
        <f t="shared" si="0"/>
        <v>16639</v>
      </c>
      <c r="C15" s="4">
        <v>4167</v>
      </c>
      <c r="D15" s="4">
        <v>4680</v>
      </c>
      <c r="E15" s="4">
        <v>7792</v>
      </c>
      <c r="F15" s="7" t="s">
        <v>25</v>
      </c>
    </row>
    <row r="16" spans="1:64" ht="21" x14ac:dyDescent="0.25">
      <c r="A16" s="1" t="s">
        <v>10</v>
      </c>
      <c r="B16" s="4">
        <f t="shared" si="0"/>
        <v>16642</v>
      </c>
      <c r="C16" s="4">
        <v>4174</v>
      </c>
      <c r="D16" s="4">
        <v>4670</v>
      </c>
      <c r="E16" s="4">
        <v>7798</v>
      </c>
      <c r="F16" s="7" t="s">
        <v>26</v>
      </c>
    </row>
    <row r="17" spans="1:65" ht="21" x14ac:dyDescent="0.25">
      <c r="A17" s="1" t="s">
        <v>11</v>
      </c>
      <c r="B17" s="4">
        <f t="shared" si="0"/>
        <v>16638</v>
      </c>
      <c r="C17" s="4">
        <v>4181</v>
      </c>
      <c r="D17" s="4">
        <v>4672</v>
      </c>
      <c r="E17" s="4">
        <v>7785</v>
      </c>
      <c r="F17" s="7" t="s">
        <v>28</v>
      </c>
    </row>
    <row r="18" spans="1:65" ht="21" x14ac:dyDescent="0.25">
      <c r="A18" s="3" t="s">
        <v>12</v>
      </c>
      <c r="B18" s="5">
        <f t="shared" si="0"/>
        <v>16561</v>
      </c>
      <c r="C18" s="5">
        <v>4147</v>
      </c>
      <c r="D18" s="5">
        <v>4656</v>
      </c>
      <c r="E18" s="5">
        <v>7758</v>
      </c>
      <c r="F18" s="9" t="s">
        <v>27</v>
      </c>
    </row>
    <row r="19" spans="1:65" s="6" customFormat="1" ht="16.5" x14ac:dyDescent="0.25">
      <c r="A19" s="15" t="s">
        <v>32</v>
      </c>
      <c r="F19" s="16" t="s">
        <v>33</v>
      </c>
    </row>
    <row r="20" spans="1:65" s="11" customFormat="1" ht="17.25" x14ac:dyDescent="0.45">
      <c r="A20" s="17" t="s">
        <v>16</v>
      </c>
      <c r="B20" s="18"/>
      <c r="C20" s="18"/>
      <c r="D20" s="18"/>
      <c r="E20" s="18"/>
      <c r="F20" s="19" t="s">
        <v>30</v>
      </c>
      <c r="G20" s="18"/>
    </row>
    <row r="21" spans="1:65" x14ac:dyDescent="0.25">
      <c r="A21" s="2"/>
      <c r="B21" s="2"/>
      <c r="C21" s="2"/>
      <c r="D21" s="2"/>
      <c r="E21" s="2"/>
      <c r="F21" s="2"/>
      <c r="G21" s="2"/>
    </row>
    <row r="23" spans="1:65" ht="5.25" customHeight="1" x14ac:dyDescent="0.25">
      <c r="A23" s="2"/>
      <c r="C23" s="2"/>
      <c r="D23" s="2"/>
      <c r="E23" s="2"/>
      <c r="F23" s="2"/>
      <c r="I23" s="2"/>
      <c r="J23" s="2"/>
      <c r="K23" s="2"/>
      <c r="L23" s="2"/>
      <c r="O23" s="2"/>
      <c r="P23" s="2"/>
      <c r="Q23" s="2"/>
      <c r="R23" s="2"/>
    </row>
    <row r="26" spans="1:65" x14ac:dyDescent="0.25">
      <c r="BK26" s="10" t="s">
        <v>36</v>
      </c>
      <c r="BL26" s="10" t="s">
        <v>37</v>
      </c>
      <c r="BM26" s="10" t="s">
        <v>38</v>
      </c>
    </row>
  </sheetData>
  <mergeCells count="4">
    <mergeCell ref="A2:F2"/>
    <mergeCell ref="A3:F3"/>
    <mergeCell ref="B5:E5"/>
    <mergeCell ref="F5:F6"/>
  </mergeCells>
  <pageMargins left="0.7" right="0.7" top="0.75" bottom="0.75" header="0.3" footer="0.3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18.7</vt:lpstr>
      <vt:lpstr>'18.7'!Print_Area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2016-09-08T08:49:46Z</cp:lastPrinted>
  <dcterms:created xsi:type="dcterms:W3CDTF">2013-03-14T06:06:17Z</dcterms:created>
  <dcterms:modified xsi:type="dcterms:W3CDTF">2016-09-08T08:50:02Z</dcterms:modified>
</cp:coreProperties>
</file>