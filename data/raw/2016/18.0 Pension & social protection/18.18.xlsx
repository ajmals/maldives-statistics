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8" sheetId="32" r:id="rId1"/>
  </sheets>
  <externalReferences>
    <externalReference r:id="rId2"/>
  </externalReferences>
  <definedNames>
    <definedName name="_xlnm.Print_Area" localSheetId="0">'18.18'!$A$1:$H$57</definedName>
  </definedNames>
  <calcPr calcId="144525"/>
</workbook>
</file>

<file path=xl/calcChain.xml><?xml version="1.0" encoding="utf-8"?>
<calcChain xmlns="http://schemas.openxmlformats.org/spreadsheetml/2006/main">
  <c r="U36" i="32" l="1"/>
  <c r="V36" i="32"/>
  <c r="W36" i="32"/>
  <c r="X36" i="32"/>
  <c r="Y36" i="32"/>
  <c r="V35" i="32"/>
  <c r="W35" i="32"/>
  <c r="X35" i="32"/>
  <c r="Y35" i="32"/>
  <c r="U35" i="32"/>
  <c r="G26" i="32" l="1"/>
  <c r="F26" i="32"/>
  <c r="E26" i="32"/>
  <c r="D26" i="32"/>
  <c r="B26" i="32"/>
  <c r="G6" i="32"/>
  <c r="F6" i="32"/>
  <c r="E6" i="32"/>
  <c r="D6" i="32"/>
  <c r="C6" i="32"/>
  <c r="B6" i="32"/>
</calcChain>
</file>

<file path=xl/sharedStrings.xml><?xml version="1.0" encoding="utf-8"?>
<sst xmlns="http://schemas.openxmlformats.org/spreadsheetml/2006/main" count="91" uniqueCount="45">
  <si>
    <t>Total</t>
  </si>
  <si>
    <t>May</t>
  </si>
  <si>
    <t>Month</t>
  </si>
  <si>
    <t>ޖުމްލަ</t>
  </si>
  <si>
    <t>މަސް</t>
  </si>
  <si>
    <t>ޖެނުއަރީ</t>
  </si>
  <si>
    <t>ފެބްރުއަރީ</t>
  </si>
  <si>
    <t>މެއި</t>
  </si>
  <si>
    <t>ޖޫން</t>
  </si>
  <si>
    <t>ޖުލައި</t>
  </si>
  <si>
    <t>އޮގަސްޓް</t>
  </si>
  <si>
    <t>ސެޕްޓެމްބަރ</t>
  </si>
  <si>
    <t>އޮކްޓޫބަރ</t>
  </si>
  <si>
    <t>ޑިސެމްބަރ</t>
  </si>
  <si>
    <t>ނޮވެމްބަރ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</si>
  <si>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</si>
  <si>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</si>
  <si>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</si>
  <si>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</si>
  <si>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</si>
  <si>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</si>
  <si>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</si>
  <si>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</si>
  <si>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</si>
  <si>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</si>
  <si>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</si>
  <si>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</si>
  <si>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</si>
  <si>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</si>
  <si>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</si>
  <si>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</si>
  <si>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</si>
  <si>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</si>
  <si>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</si>
  <si>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</si>
  <si>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</si>
  <si>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</si>
  <si>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</si>
  <si>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</si>
  <si>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</si>
  <si>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</si>
  <si>
    <t>Table 18.18 :  GOVERNMENT EXPENDITURE ON  DIFFERENT SOCIAL PROTECTION SCHEMES BY TYPE (in MVR),  2015</t>
  </si>
  <si>
    <t>Table 18.18 :  GOVERNMENT EXPENDITURE ON  DIFFERENT SOCIAL PROTECTION SCHEMES BY TYPE (in MVR),  2014</t>
  </si>
  <si>
    <t>ތާވަލް 18.18: އިޖްތިމާއީ ރައްކާތެރިކަމުގެ ދަށުންދެވޭ ޚިދުމަތްތަކަށް ދައުލަތުންކުރެވުނު ޚަރަދު (ރުފިޔާއިން)، 2014</t>
  </si>
  <si>
    <t>ތާވަލް 18.18: އިޖްތިމާއީ ރައްކާތެރިކަމުގެ ދަށުންދެވޭ ޚިދުމަތްތަކަށް ދައުލަތުންކުރެވުނު ޚަރަދު (ރުފިޔާއިން)،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</si>
</sst>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7" formatCode="#,##0.0"/>
    <numFmt numFmtId="168" formatCode="General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10"/>
      <color theme="1" tint="0.14999847407452621"/>
      <name val="Calibri"/>
      <family val="2"/>
    </font>
    <font>
      <sz val="11"/>
      <color theme="1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4" fontId="6" fillId="0" borderId="0"/>
    <xf numFmtId="0" fontId="6" fillId="0" borderId="0"/>
    <xf numFmtId="0" fontId="5" fillId="0" borderId="0"/>
  </cellStyleXfs>
  <cellXfs count="51">
    <xf numFmtId="0" fontId="0" fillId="0" borderId="0" xfId="0"/>
    <xf numFmtId="164" fontId="0" fillId="2" borderId="0" xfId="0" applyNumberFormat="1" applyFill="1"/>
    <xf numFmtId="168" fontId="12" fillId="2" borderId="0" xfId="3" applyNumberFormat="1" applyFont="1" applyFill="1" applyBorder="1" applyAlignment="1" applyProtection="1">
      <alignment horizontal="left" vertical="center"/>
    </xf>
    <xf numFmtId="168" fontId="13" fillId="2" borderId="0" xfId="4" applyNumberFormat="1" applyFont="1" applyFill="1" applyAlignment="1">
      <alignment horizontal="right" vertical="center"/>
    </xf>
    <xf numFmtId="3" fontId="15" fillId="2" borderId="0" xfId="2" applyNumberFormat="1" applyFont="1" applyFill="1"/>
    <xf numFmtId="168" fontId="17" fillId="2" borderId="0" xfId="0" applyNumberFormat="1" applyFont="1" applyFill="1" applyBorder="1"/>
    <xf numFmtId="168" fontId="18" fillId="2" borderId="0" xfId="3" applyNumberFormat="1" applyFont="1" applyFill="1" applyBorder="1" applyAlignment="1">
      <alignment horizontal="right" vertical="center" wrapText="1"/>
    </xf>
    <xf numFmtId="168" fontId="19" fillId="2" borderId="0" xfId="0" applyNumberFormat="1" applyFont="1" applyFill="1"/>
    <xf numFmtId="3" fontId="20" fillId="2" borderId="0" xfId="2" applyNumberFormat="1" applyFont="1" applyFill="1" applyBorder="1"/>
    <xf numFmtId="3" fontId="9" fillId="2" borderId="0" xfId="2" applyNumberFormat="1" applyFont="1" applyFill="1" applyBorder="1" applyAlignment="1">
      <alignment horizontal="right" vertical="center" wrapText="1"/>
    </xf>
    <xf numFmtId="168" fontId="19" fillId="2" borderId="0" xfId="0" applyNumberFormat="1" applyFont="1" applyFill="1" applyBorder="1"/>
    <xf numFmtId="168" fontId="18" fillId="2" borderId="0" xfId="3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right" vertical="center" wrapText="1"/>
    </xf>
    <xf numFmtId="168" fontId="3" fillId="2" borderId="1" xfId="0" applyNumberFormat="1" applyFont="1" applyFill="1" applyBorder="1" applyAlignment="1">
      <alignment horizontal="right" vertical="center" wrapText="1"/>
    </xf>
    <xf numFmtId="3" fontId="20" fillId="2" borderId="0" xfId="2" applyNumberFormat="1" applyFont="1" applyFill="1" applyBorder="1" applyAlignment="1">
      <alignment horizontal="right" vertical="center" wrapText="1"/>
    </xf>
    <xf numFmtId="168" fontId="21" fillId="2" borderId="0" xfId="0" applyNumberFormat="1" applyFont="1" applyFill="1"/>
    <xf numFmtId="168" fontId="18" fillId="2" borderId="2" xfId="3" applyNumberFormat="1" applyFont="1" applyFill="1" applyBorder="1" applyAlignment="1" applyProtection="1">
      <alignment horizontal="left" vertical="center"/>
    </xf>
    <xf numFmtId="43" fontId="18" fillId="2" borderId="2" xfId="1" applyFont="1" applyFill="1" applyBorder="1" applyAlignment="1">
      <alignment horizontal="center" vertical="center" wrapText="1"/>
    </xf>
    <xf numFmtId="164" fontId="8" fillId="2" borderId="0" xfId="1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168" fontId="4" fillId="2" borderId="2" xfId="0" applyNumberFormat="1" applyFont="1" applyFill="1" applyBorder="1" applyAlignment="1">
      <alignment horizontal="right" vertical="center" wrapText="1"/>
    </xf>
    <xf numFmtId="168" fontId="15" fillId="2" borderId="0" xfId="0" applyNumberFormat="1" applyFont="1" applyFill="1"/>
    <xf numFmtId="168" fontId="17" fillId="2" borderId="0" xfId="3" applyNumberFormat="1" applyFont="1" applyFill="1" applyBorder="1" applyAlignment="1" applyProtection="1">
      <alignment horizontal="left" vertical="center"/>
    </xf>
    <xf numFmtId="43" fontId="17" fillId="2" borderId="0" xfId="1" applyFont="1" applyFill="1" applyBorder="1"/>
    <xf numFmtId="168" fontId="4" fillId="2" borderId="0" xfId="0" applyNumberFormat="1" applyFont="1" applyFill="1" applyBorder="1" applyAlignment="1">
      <alignment horizontal="right" vertical="center" wrapText="1"/>
    </xf>
    <xf numFmtId="168" fontId="17" fillId="2" borderId="1" xfId="3" applyNumberFormat="1" applyFont="1" applyFill="1" applyBorder="1" applyAlignment="1" applyProtection="1">
      <alignment horizontal="left" vertical="center"/>
    </xf>
    <xf numFmtId="43" fontId="17" fillId="2" borderId="1" xfId="1" applyFont="1" applyFill="1" applyBorder="1"/>
    <xf numFmtId="168" fontId="4" fillId="2" borderId="1" xfId="0" applyNumberFormat="1" applyFont="1" applyFill="1" applyBorder="1" applyAlignment="1">
      <alignment horizontal="right" vertical="center" wrapText="1"/>
    </xf>
    <xf numFmtId="168" fontId="21" fillId="2" borderId="0" xfId="0" applyNumberFormat="1" applyFont="1" applyFill="1" applyAlignment="1">
      <alignment horizontal="center" vertical="center"/>
    </xf>
    <xf numFmtId="164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 applyProtection="1">
      <alignment horizontal="right" vertical="center"/>
    </xf>
    <xf numFmtId="164" fontId="10" fillId="2" borderId="0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Alignment="1">
      <alignment vertical="center"/>
    </xf>
    <xf numFmtId="164" fontId="11" fillId="2" borderId="1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8" fontId="21" fillId="2" borderId="0" xfId="0" applyNumberFormat="1" applyFont="1" applyFill="1" applyAlignment="1">
      <alignment horizontal="right"/>
    </xf>
    <xf numFmtId="168" fontId="22" fillId="2" borderId="0" xfId="3" applyNumberFormat="1" applyFont="1" applyFill="1" applyBorder="1" applyAlignment="1">
      <alignment vertical="center"/>
    </xf>
    <xf numFmtId="168" fontId="21" fillId="2" borderId="0" xfId="0" applyNumberFormat="1" applyFont="1" applyFill="1" applyAlignment="1">
      <alignment vertical="top"/>
    </xf>
    <xf numFmtId="168" fontId="18" fillId="2" borderId="2" xfId="3" applyNumberFormat="1" applyFont="1" applyFill="1" applyBorder="1" applyAlignment="1">
      <alignment vertical="center"/>
    </xf>
    <xf numFmtId="168" fontId="18" fillId="2" borderId="0" xfId="3" applyNumberFormat="1" applyFont="1" applyFill="1" applyBorder="1" applyAlignment="1">
      <alignment vertical="center" wrapText="1"/>
    </xf>
    <xf numFmtId="167" fontId="15" fillId="2" borderId="0" xfId="0" applyNumberFormat="1" applyFont="1" applyFill="1"/>
    <xf numFmtId="3" fontId="2" fillId="2" borderId="0" xfId="2" applyNumberFormat="1" applyFont="1" applyFill="1" applyAlignment="1">
      <alignment horizontal="center" vertical="center" readingOrder="2"/>
    </xf>
    <xf numFmtId="3" fontId="16" fillId="2" borderId="1" xfId="2" applyNumberFormat="1" applyFont="1" applyFill="1" applyBorder="1" applyAlignment="1" applyProtection="1">
      <alignment horizontal="center" vertical="center"/>
    </xf>
    <xf numFmtId="168" fontId="18" fillId="2" borderId="0" xfId="3" applyNumberFormat="1" applyFont="1" applyFill="1" applyBorder="1" applyAlignment="1">
      <alignment horizontal="center" vertical="center" wrapText="1"/>
    </xf>
    <xf numFmtId="168" fontId="18" fillId="2" borderId="2" xfId="3" applyNumberFormat="1" applyFont="1" applyFill="1" applyBorder="1" applyAlignment="1">
      <alignment horizontal="right" vertical="center" wrapText="1"/>
    </xf>
    <xf numFmtId="168" fontId="18" fillId="2" borderId="3" xfId="3" applyNumberFormat="1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right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55149606299213"/>
          <c:y val="0.15788203557888597"/>
          <c:w val="0.85625336832895893"/>
          <c:h val="0.6501655001458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'18.18'!$T$35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'18.18'!$U$32:$Y$32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'18.18'!$U$35:$Y$35</c:f>
              <c:numCache>
                <c:formatCode>#,##0.0</c:formatCode>
                <c:ptCount val="5"/>
                <c:pt idx="0">
                  <c:v>1400.6098419113</c:v>
                </c:pt>
                <c:pt idx="1">
                  <c:v>62.871000000000002</c:v>
                </c:pt>
                <c:pt idx="2">
                  <c:v>2.4645000000000001</c:v>
                </c:pt>
                <c:pt idx="3">
                  <c:v>51.002563189999996</c:v>
                </c:pt>
                <c:pt idx="4">
                  <c:v>154.048</c:v>
                </c:pt>
              </c:numCache>
            </c:numRef>
          </c:val>
        </c:ser>
        <c:ser>
          <c:idx val="1"/>
          <c:order val="1"/>
          <c:tx>
            <c:strRef>
              <c:f>'18.18'!$T$36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'18.18'!$U$32:$Y$32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'18.18'!$U$36:$Y$36</c:f>
              <c:numCache>
                <c:formatCode>#,##0.0</c:formatCode>
                <c:ptCount val="5"/>
                <c:pt idx="0">
                  <c:v>1063.0546801289001</c:v>
                </c:pt>
                <c:pt idx="1">
                  <c:v>70.378</c:v>
                </c:pt>
                <c:pt idx="2">
                  <c:v>1.8069999999999999</c:v>
                </c:pt>
                <c:pt idx="3">
                  <c:v>35.665347009999998</c:v>
                </c:pt>
                <c:pt idx="4">
                  <c:v>127.91800000000001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478016"/>
        <c:axId val="61479552"/>
      </c:barChart>
      <c:catAx>
        <c:axId val="61478016"/>
        <c:scaling>
          <c:orientation val="minMax"/>
        </c:scaling>
        <c:delete val="0"/>
        <c:axPos val="b"/>
        <c:majorTickMark val="out"/>
        <c:minorTickMark val="none"/>
        <c:tickLblPos val="nextTo"/>
        <c:crossAx val="61479552"/>
        <c:crosses val="autoZero"/>
        <c:auto val="1"/>
        <c:lblAlgn val="ctr"/>
        <c:lblOffset val="100"/>
        <c:noMultiLvlLbl val="0"/>
      </c:catAx>
      <c:valAx>
        <c:axId val="614795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614780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990565179352586"/>
          <c:y val="0.27739391951006126"/>
          <c:w val="0.1787102012248469"/>
          <c:h val="0.116508457276173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40</xdr:row>
      <xdr:rowOff>0</xdr:rowOff>
    </xdr:from>
    <xdr:to>
      <xdr:col>7</xdr:col>
      <xdr:colOff>666750</xdr:colOff>
      <xdr:row>53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581024</xdr:colOff>
      <xdr:row>41</xdr:row>
      <xdr:rowOff>47625</xdr:rowOff>
    </xdr:from>
    <xdr:to>
      <xdr:col>7</xdr:col>
      <xdr:colOff>504824</xdr:colOff>
      <xdr:row>41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581024" y="10477500"/>
          <a:ext cx="66389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533400</xdr:colOff>
      <xdr:row>40</xdr:row>
      <xdr:rowOff>19050</xdr:rowOff>
    </xdr:from>
    <xdr:to>
      <xdr:col>7</xdr:col>
      <xdr:colOff>657225</xdr:colOff>
      <xdr:row>41</xdr:row>
      <xdr:rowOff>38100</xdr:rowOff>
    </xdr:to>
    <xdr:sp macro="" textlink="">
      <xdr:nvSpPr>
        <xdr:cNvPr id="6" name="TextBox 5"/>
        <xdr:cNvSpPr txBox="1"/>
      </xdr:nvSpPr>
      <xdr:spPr>
        <a:xfrm>
          <a:off x="533400" y="10229850"/>
          <a:ext cx="68389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2014  -  2015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304804</xdr:colOff>
      <xdr:row>42</xdr:row>
      <xdr:rowOff>76200</xdr:rowOff>
    </xdr:from>
    <xdr:to>
      <xdr:col>0</xdr:col>
      <xdr:colOff>523876</xdr:colOff>
      <xdr:row>51</xdr:row>
      <xdr:rowOff>38099</xdr:rowOff>
    </xdr:to>
    <xdr:sp macro="" textlink="">
      <xdr:nvSpPr>
        <xdr:cNvPr id="7" name="TextBox 6"/>
        <xdr:cNvSpPr txBox="1"/>
      </xdr:nvSpPr>
      <xdr:spPr>
        <a:xfrm rot="16200000">
          <a:off x="-438147" y="11468101"/>
          <a:ext cx="1704974" cy="2190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Expenditure (in Million MVR)</a:t>
          </a:r>
          <a:endParaRPr lang="en-US" sz="1000">
            <a:effectLst/>
          </a:endParaRPr>
        </a:p>
        <a:p>
          <a:endParaRPr lang="en-US" sz="1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51"/>
  <sheetViews>
    <sheetView tabSelected="1" zoomScaleNormal="100" zoomScaleSheetLayoutView="73" workbookViewId="0">
      <selection activeCell="L22" sqref="L1:O1048576"/>
    </sheetView>
  </sheetViews>
  <sheetFormatPr defaultColWidth="9.140625" defaultRowHeight="15" x14ac:dyDescent="0.25"/>
  <cols>
    <col min="1" max="1" width="10.85546875" style="15" customWidth="1"/>
    <col min="2" max="2" width="14.42578125" style="15" hidden="1" customWidth="1"/>
    <col min="3" max="3" width="17.140625" style="29" customWidth="1"/>
    <col min="4" max="4" width="16.85546875" style="15" customWidth="1"/>
    <col min="5" max="5" width="17.85546875" style="15" customWidth="1"/>
    <col min="6" max="7" width="19" style="15" customWidth="1"/>
    <col min="8" max="8" width="14.5703125" style="38" customWidth="1"/>
    <col min="9" max="9" width="5.7109375" style="15" customWidth="1"/>
    <col min="10" max="10" width="26.28515625" style="15" bestFit="1" customWidth="1"/>
    <col min="11" max="11" width="13.5703125" style="15" bestFit="1" customWidth="1"/>
    <col min="12" max="15" width="13.5703125" style="15" customWidth="1"/>
    <col min="16" max="16" width="9.42578125" style="15" customWidth="1"/>
    <col min="17" max="20" width="15.28515625" style="15" customWidth="1"/>
    <col min="21" max="25" width="12" style="15" customWidth="1"/>
    <col min="26" max="26" width="10.140625" style="15" customWidth="1"/>
    <col min="27" max="16384" width="9.140625" style="15"/>
  </cols>
  <sheetData>
    <row r="1" spans="1:15" s="4" customFormat="1" ht="21" x14ac:dyDescent="0.2">
      <c r="A1" s="44" t="s">
        <v>44</v>
      </c>
      <c r="B1" s="44"/>
      <c r="C1" s="44"/>
      <c r="D1" s="44"/>
      <c r="E1" s="44"/>
      <c r="F1" s="44"/>
      <c r="G1" s="44"/>
      <c r="H1" s="44"/>
    </row>
    <row r="2" spans="1:15" s="4" customFormat="1" x14ac:dyDescent="0.2">
      <c r="A2" s="45" t="s">
        <v>41</v>
      </c>
      <c r="B2" s="45"/>
      <c r="C2" s="45"/>
      <c r="D2" s="45"/>
      <c r="E2" s="45"/>
      <c r="F2" s="45"/>
      <c r="G2" s="45"/>
      <c r="H2" s="45"/>
    </row>
    <row r="3" spans="1:15" s="7" customFormat="1" ht="12.75" x14ac:dyDescent="0.2">
      <c r="A3" s="5"/>
      <c r="B3" s="46" t="s">
        <v>22</v>
      </c>
      <c r="C3" s="47" t="s">
        <v>23</v>
      </c>
      <c r="D3" s="47" t="s">
        <v>24</v>
      </c>
      <c r="E3" s="47" t="s">
        <v>25</v>
      </c>
      <c r="F3" s="47" t="s">
        <v>26</v>
      </c>
      <c r="G3" s="47" t="s">
        <v>20</v>
      </c>
      <c r="H3" s="6"/>
    </row>
    <row r="4" spans="1:15" s="10" customFormat="1" ht="18.75" x14ac:dyDescent="0.2">
      <c r="A4" s="8" t="s">
        <v>2</v>
      </c>
      <c r="B4" s="46"/>
      <c r="C4" s="48"/>
      <c r="D4" s="48"/>
      <c r="E4" s="48"/>
      <c r="F4" s="49"/>
      <c r="G4" s="50"/>
      <c r="H4" s="9" t="s">
        <v>4</v>
      </c>
    </row>
    <row r="5" spans="1:15" ht="56.25" x14ac:dyDescent="0.25">
      <c r="A5" s="11"/>
      <c r="B5" s="46"/>
      <c r="C5" s="12" t="s">
        <v>21</v>
      </c>
      <c r="D5" s="12" t="s">
        <v>27</v>
      </c>
      <c r="E5" s="12" t="s">
        <v>15</v>
      </c>
      <c r="F5" s="13" t="s">
        <v>16</v>
      </c>
      <c r="G5" s="12" t="s">
        <v>17</v>
      </c>
      <c r="H5" s="14"/>
    </row>
    <row r="6" spans="1:15" s="22" customFormat="1" ht="18.75" x14ac:dyDescent="0.2">
      <c r="A6" s="16" t="s">
        <v>0</v>
      </c>
      <c r="B6" s="17">
        <f t="shared" ref="B6:E6" si="0">SUM(B7:B18)</f>
        <v>0</v>
      </c>
      <c r="C6" s="18">
        <f t="shared" si="0"/>
        <v>1400609841.9112999</v>
      </c>
      <c r="D6" s="18">
        <f t="shared" si="0"/>
        <v>62871000</v>
      </c>
      <c r="E6" s="19">
        <f t="shared" si="0"/>
        <v>2464500</v>
      </c>
      <c r="F6" s="19">
        <f>SUM(F7:F18)</f>
        <v>51002563.189999998</v>
      </c>
      <c r="G6" s="20">
        <f t="shared" ref="G6" si="1">SUM(G7:G18)</f>
        <v>154048000</v>
      </c>
      <c r="H6" s="21" t="s">
        <v>3</v>
      </c>
    </row>
    <row r="7" spans="1:15" s="22" customFormat="1" ht="18.75" x14ac:dyDescent="0.2">
      <c r="A7" s="23" t="s">
        <v>28</v>
      </c>
      <c r="B7" s="24"/>
      <c r="C7" s="30">
        <v>102826759.9895</v>
      </c>
      <c r="D7" s="30">
        <v>5872000</v>
      </c>
      <c r="E7" s="31">
        <v>214000</v>
      </c>
      <c r="F7" s="31">
        <v>1454038.5</v>
      </c>
      <c r="G7" s="32">
        <v>22463000</v>
      </c>
      <c r="H7" s="25" t="s">
        <v>5</v>
      </c>
    </row>
    <row r="8" spans="1:15" s="22" customFormat="1" ht="18.75" customHeight="1" x14ac:dyDescent="0.2">
      <c r="A8" s="23" t="s">
        <v>29</v>
      </c>
      <c r="B8" s="24"/>
      <c r="C8" s="30">
        <v>102375932.3681</v>
      </c>
      <c r="D8" s="30">
        <v>5465000</v>
      </c>
      <c r="E8" s="32">
        <v>200000</v>
      </c>
      <c r="F8" s="31">
        <v>2338731.58</v>
      </c>
      <c r="G8" s="30">
        <v>11456000</v>
      </c>
      <c r="H8" s="25" t="s">
        <v>6</v>
      </c>
      <c r="J8" s="42"/>
      <c r="K8" s="18"/>
      <c r="L8" s="18"/>
      <c r="M8" s="18"/>
      <c r="N8" s="18"/>
      <c r="O8" s="18"/>
    </row>
    <row r="9" spans="1:15" s="22" customFormat="1" ht="18.75" customHeight="1" x14ac:dyDescent="0.2">
      <c r="A9" s="23" t="s">
        <v>30</v>
      </c>
      <c r="B9" s="24"/>
      <c r="C9" s="30">
        <v>116454985.0644</v>
      </c>
      <c r="D9" s="30">
        <v>5311000</v>
      </c>
      <c r="E9" s="32">
        <v>204000</v>
      </c>
      <c r="F9" s="31">
        <v>2068380.29</v>
      </c>
      <c r="G9" s="30">
        <v>11620000</v>
      </c>
      <c r="H9" s="25" t="s">
        <v>31</v>
      </c>
      <c r="J9" s="42"/>
      <c r="K9" s="18"/>
      <c r="L9" s="18"/>
      <c r="M9" s="18"/>
      <c r="N9" s="18"/>
      <c r="O9" s="18"/>
    </row>
    <row r="10" spans="1:15" s="22" customFormat="1" ht="18.75" customHeight="1" x14ac:dyDescent="0.2">
      <c r="A10" s="23" t="s">
        <v>32</v>
      </c>
      <c r="B10" s="24"/>
      <c r="C10" s="30">
        <v>109914720.3662</v>
      </c>
      <c r="D10" s="30">
        <v>5350000</v>
      </c>
      <c r="E10" s="32">
        <v>205000</v>
      </c>
      <c r="F10" s="31">
        <v>3238492.84</v>
      </c>
      <c r="G10" s="30">
        <v>11730000</v>
      </c>
      <c r="H10" s="25" t="s">
        <v>33</v>
      </c>
      <c r="J10" s="42"/>
      <c r="K10" s="19"/>
      <c r="L10" s="19"/>
      <c r="M10" s="19"/>
      <c r="N10" s="19"/>
      <c r="O10" s="19"/>
    </row>
    <row r="11" spans="1:15" s="22" customFormat="1" ht="18.75" customHeight="1" x14ac:dyDescent="0.2">
      <c r="A11" s="23" t="s">
        <v>1</v>
      </c>
      <c r="B11" s="24"/>
      <c r="C11" s="30">
        <v>108293290.7855</v>
      </c>
      <c r="D11" s="30">
        <v>5284000</v>
      </c>
      <c r="E11" s="32">
        <v>207000</v>
      </c>
      <c r="F11" s="31">
        <v>3315489.32</v>
      </c>
      <c r="G11" s="30">
        <v>11782000</v>
      </c>
      <c r="H11" s="25" t="s">
        <v>7</v>
      </c>
      <c r="J11" s="42"/>
      <c r="K11" s="19"/>
      <c r="L11" s="19"/>
      <c r="M11" s="19"/>
      <c r="N11" s="19"/>
      <c r="O11" s="19"/>
    </row>
    <row r="12" spans="1:15" s="22" customFormat="1" ht="18.75" customHeight="1" x14ac:dyDescent="0.2">
      <c r="A12" s="23" t="s">
        <v>34</v>
      </c>
      <c r="B12" s="24"/>
      <c r="C12" s="30">
        <v>105109077.3258</v>
      </c>
      <c r="D12" s="33">
        <v>5182000</v>
      </c>
      <c r="E12" s="32">
        <v>211000</v>
      </c>
      <c r="F12" s="31">
        <v>4320493.41</v>
      </c>
      <c r="G12" s="30">
        <v>11929000</v>
      </c>
      <c r="H12" s="25" t="s">
        <v>8</v>
      </c>
      <c r="J12" s="42"/>
      <c r="K12" s="20"/>
      <c r="L12" s="20"/>
      <c r="M12" s="20"/>
      <c r="N12" s="20"/>
      <c r="O12" s="20"/>
    </row>
    <row r="13" spans="1:15" s="22" customFormat="1" ht="18.75" x14ac:dyDescent="0.2">
      <c r="A13" s="23" t="s">
        <v>35</v>
      </c>
      <c r="B13" s="24"/>
      <c r="C13" s="30">
        <v>97090065.586700007</v>
      </c>
      <c r="D13" s="30">
        <v>5160000</v>
      </c>
      <c r="E13" s="32">
        <v>205500</v>
      </c>
      <c r="F13" s="31">
        <v>2662839.5599999996</v>
      </c>
      <c r="G13" s="30">
        <v>12010000</v>
      </c>
      <c r="H13" s="25" t="s">
        <v>9</v>
      </c>
    </row>
    <row r="14" spans="1:15" s="22" customFormat="1" ht="18.75" x14ac:dyDescent="0.2">
      <c r="A14" s="23" t="s">
        <v>36</v>
      </c>
      <c r="B14" s="24"/>
      <c r="C14" s="30">
        <v>128407590.14380001</v>
      </c>
      <c r="D14" s="30">
        <v>5025000</v>
      </c>
      <c r="E14" s="32">
        <v>207000</v>
      </c>
      <c r="F14" s="31">
        <v>6187943.6500000004</v>
      </c>
      <c r="G14" s="34">
        <v>12090000</v>
      </c>
      <c r="H14" s="25" t="s">
        <v>10</v>
      </c>
    </row>
    <row r="15" spans="1:15" s="22" customFormat="1" ht="18.75" x14ac:dyDescent="0.2">
      <c r="A15" s="23" t="s">
        <v>37</v>
      </c>
      <c r="B15" s="24"/>
      <c r="C15" s="30">
        <v>117586025.8855</v>
      </c>
      <c r="D15" s="30">
        <v>5031000</v>
      </c>
      <c r="E15" s="32">
        <v>204000</v>
      </c>
      <c r="F15" s="31">
        <v>5099561.7600000007</v>
      </c>
      <c r="G15" s="30">
        <v>12169000</v>
      </c>
      <c r="H15" s="25" t="s">
        <v>11</v>
      </c>
    </row>
    <row r="16" spans="1:15" s="22" customFormat="1" ht="18.75" x14ac:dyDescent="0.2">
      <c r="A16" s="23" t="s">
        <v>38</v>
      </c>
      <c r="B16" s="24"/>
      <c r="C16" s="30">
        <v>134194525.45479999</v>
      </c>
      <c r="D16" s="30">
        <v>5064000</v>
      </c>
      <c r="E16" s="32">
        <v>202000</v>
      </c>
      <c r="F16" s="31">
        <v>4697763.7200000007</v>
      </c>
      <c r="G16" s="30">
        <v>12217000</v>
      </c>
      <c r="H16" s="25" t="s">
        <v>12</v>
      </c>
    </row>
    <row r="17" spans="1:25" s="22" customFormat="1" ht="18.75" x14ac:dyDescent="0.2">
      <c r="A17" s="23" t="s">
        <v>39</v>
      </c>
      <c r="B17" s="24"/>
      <c r="C17" s="30">
        <v>132851804.4937</v>
      </c>
      <c r="D17" s="30">
        <v>5049000</v>
      </c>
      <c r="E17" s="32">
        <v>202000</v>
      </c>
      <c r="F17" s="31">
        <v>5816116.1800000006</v>
      </c>
      <c r="G17" s="30">
        <v>12227000</v>
      </c>
      <c r="H17" s="25" t="s">
        <v>14</v>
      </c>
    </row>
    <row r="18" spans="1:25" s="22" customFormat="1" ht="18.75" x14ac:dyDescent="0.2">
      <c r="A18" s="26" t="s">
        <v>40</v>
      </c>
      <c r="B18" s="27"/>
      <c r="C18" s="35">
        <v>145505064.44729999</v>
      </c>
      <c r="D18" s="35">
        <v>5078000</v>
      </c>
      <c r="E18" s="36">
        <v>203000</v>
      </c>
      <c r="F18" s="37">
        <v>9802712.379999999</v>
      </c>
      <c r="G18" s="36">
        <v>12355000</v>
      </c>
      <c r="H18" s="28" t="s">
        <v>13</v>
      </c>
    </row>
    <row r="19" spans="1:25" ht="17.25" x14ac:dyDescent="0.25">
      <c r="A19" s="2" t="s">
        <v>18</v>
      </c>
      <c r="G19" s="3"/>
      <c r="H19" s="3" t="s">
        <v>19</v>
      </c>
    </row>
    <row r="20" spans="1:25" ht="17.25" x14ac:dyDescent="0.25">
      <c r="A20" s="2"/>
      <c r="G20" s="3"/>
      <c r="H20" s="3"/>
    </row>
    <row r="21" spans="1:25" s="4" customFormat="1" ht="21" x14ac:dyDescent="0.2">
      <c r="A21" s="44" t="s">
        <v>43</v>
      </c>
      <c r="B21" s="44"/>
      <c r="C21" s="44"/>
      <c r="D21" s="44"/>
      <c r="E21" s="44"/>
      <c r="F21" s="44"/>
      <c r="G21" s="44"/>
      <c r="H21" s="44"/>
    </row>
    <row r="22" spans="1:25" s="4" customFormat="1" x14ac:dyDescent="0.2">
      <c r="A22" s="45" t="s">
        <v>42</v>
      </c>
      <c r="B22" s="45"/>
      <c r="C22" s="45"/>
      <c r="D22" s="45"/>
      <c r="E22" s="45"/>
      <c r="F22" s="45"/>
      <c r="G22" s="45"/>
      <c r="H22" s="45"/>
    </row>
    <row r="23" spans="1:25" s="7" customFormat="1" ht="12.75" x14ac:dyDescent="0.2">
      <c r="A23" s="5"/>
      <c r="B23" s="46" t="s">
        <v>22</v>
      </c>
      <c r="C23" s="47" t="s">
        <v>23</v>
      </c>
      <c r="D23" s="47" t="s">
        <v>24</v>
      </c>
      <c r="E23" s="47" t="s">
        <v>25</v>
      </c>
      <c r="F23" s="47" t="s">
        <v>26</v>
      </c>
      <c r="G23" s="47" t="s">
        <v>20</v>
      </c>
      <c r="H23" s="6"/>
    </row>
    <row r="24" spans="1:25" s="10" customFormat="1" ht="18.75" customHeight="1" x14ac:dyDescent="0.2">
      <c r="A24" s="8" t="s">
        <v>2</v>
      </c>
      <c r="B24" s="46"/>
      <c r="C24" s="48"/>
      <c r="D24" s="48"/>
      <c r="E24" s="48"/>
      <c r="F24" s="49"/>
      <c r="G24" s="50"/>
      <c r="H24" s="9" t="s">
        <v>4</v>
      </c>
    </row>
    <row r="25" spans="1:25" ht="56.25" x14ac:dyDescent="0.25">
      <c r="A25" s="11"/>
      <c r="B25" s="46"/>
      <c r="C25" s="12" t="s">
        <v>21</v>
      </c>
      <c r="D25" s="12" t="s">
        <v>27</v>
      </c>
      <c r="E25" s="12" t="s">
        <v>15</v>
      </c>
      <c r="F25" s="13" t="s">
        <v>16</v>
      </c>
      <c r="G25" s="12" t="s">
        <v>17</v>
      </c>
      <c r="H25" s="14"/>
    </row>
    <row r="26" spans="1:25" s="22" customFormat="1" ht="18.75" x14ac:dyDescent="0.2">
      <c r="A26" s="16" t="s">
        <v>0</v>
      </c>
      <c r="B26" s="17">
        <f t="shared" ref="B26" si="2">SUM(B27:B38)</f>
        <v>0</v>
      </c>
      <c r="C26" s="18">
        <v>1063054680.1289001</v>
      </c>
      <c r="D26" s="18">
        <f t="shared" ref="D26:G26" si="3">SUM(D27:D38)</f>
        <v>70378000</v>
      </c>
      <c r="E26" s="19">
        <f t="shared" si="3"/>
        <v>1807000</v>
      </c>
      <c r="F26" s="19">
        <f t="shared" si="3"/>
        <v>35665347.009999998</v>
      </c>
      <c r="G26" s="20">
        <f t="shared" si="3"/>
        <v>127918000</v>
      </c>
      <c r="H26" s="21" t="s">
        <v>3</v>
      </c>
    </row>
    <row r="27" spans="1:25" s="22" customFormat="1" ht="18.75" x14ac:dyDescent="0.2">
      <c r="A27" s="23" t="s">
        <v>28</v>
      </c>
      <c r="B27" s="24"/>
      <c r="C27" s="30">
        <v>71507013.916899994</v>
      </c>
      <c r="D27" s="30">
        <v>5732000</v>
      </c>
      <c r="E27" s="31">
        <v>120000</v>
      </c>
      <c r="F27" s="31">
        <v>2788222.01</v>
      </c>
      <c r="G27" s="32">
        <v>10054000</v>
      </c>
      <c r="H27" s="25" t="s">
        <v>5</v>
      </c>
    </row>
    <row r="28" spans="1:25" s="22" customFormat="1" ht="18.75" x14ac:dyDescent="0.2">
      <c r="A28" s="23" t="s">
        <v>29</v>
      </c>
      <c r="B28" s="24"/>
      <c r="C28" s="30">
        <v>68647704.368300006</v>
      </c>
      <c r="D28" s="30">
        <v>5849000</v>
      </c>
      <c r="E28" s="32">
        <v>132000</v>
      </c>
      <c r="F28" s="31">
        <v>3198083.37</v>
      </c>
      <c r="G28" s="30">
        <v>10092000</v>
      </c>
      <c r="H28" s="25" t="s">
        <v>6</v>
      </c>
    </row>
    <row r="29" spans="1:25" s="22" customFormat="1" ht="18.75" x14ac:dyDescent="0.2">
      <c r="A29" s="23" t="s">
        <v>30</v>
      </c>
      <c r="B29" s="24"/>
      <c r="C29" s="30">
        <v>83172173.539399996</v>
      </c>
      <c r="D29" s="30">
        <v>5943000</v>
      </c>
      <c r="E29" s="32">
        <v>133000</v>
      </c>
      <c r="F29" s="31">
        <v>3838894.52</v>
      </c>
      <c r="G29" s="30">
        <v>10190000</v>
      </c>
      <c r="H29" s="25" t="s">
        <v>31</v>
      </c>
    </row>
    <row r="30" spans="1:25" s="22" customFormat="1" ht="18.75" x14ac:dyDescent="0.2">
      <c r="A30" s="23" t="s">
        <v>32</v>
      </c>
      <c r="B30" s="24"/>
      <c r="C30" s="30">
        <v>90838982.835800007</v>
      </c>
      <c r="D30" s="30">
        <v>5952000</v>
      </c>
      <c r="E30" s="32">
        <v>130000</v>
      </c>
      <c r="F30" s="31">
        <v>4605669.63</v>
      </c>
      <c r="G30" s="30">
        <v>10506000</v>
      </c>
      <c r="H30" s="25" t="s">
        <v>33</v>
      </c>
    </row>
    <row r="31" spans="1:25" s="22" customFormat="1" ht="18.75" x14ac:dyDescent="0.2">
      <c r="A31" s="23" t="s">
        <v>1</v>
      </c>
      <c r="B31" s="24"/>
      <c r="C31" s="30">
        <v>88238865.856000006</v>
      </c>
      <c r="D31" s="30">
        <v>6011000</v>
      </c>
      <c r="E31" s="32">
        <v>140500</v>
      </c>
      <c r="F31" s="31">
        <v>4848054.2699999996</v>
      </c>
      <c r="G31" s="30">
        <v>10258000</v>
      </c>
      <c r="H31" s="25" t="s">
        <v>7</v>
      </c>
    </row>
    <row r="32" spans="1:25" s="22" customFormat="1" ht="18.75" x14ac:dyDescent="0.2">
      <c r="A32" s="23" t="s">
        <v>34</v>
      </c>
      <c r="B32" s="24"/>
      <c r="C32" s="30">
        <v>92530173.513099998</v>
      </c>
      <c r="D32" s="33">
        <v>6001000</v>
      </c>
      <c r="E32" s="32">
        <v>144500</v>
      </c>
      <c r="F32" s="31">
        <v>5820339.2000000002</v>
      </c>
      <c r="G32" s="30">
        <v>10644000</v>
      </c>
      <c r="H32" s="25" t="s">
        <v>8</v>
      </c>
      <c r="U32" s="41" t="s">
        <v>23</v>
      </c>
      <c r="V32" s="41" t="s">
        <v>24</v>
      </c>
      <c r="W32" s="41" t="s">
        <v>25</v>
      </c>
      <c r="X32" s="41" t="s">
        <v>26</v>
      </c>
      <c r="Y32" s="41" t="s">
        <v>20</v>
      </c>
    </row>
    <row r="33" spans="1:25" s="22" customFormat="1" ht="18.75" x14ac:dyDescent="0.2">
      <c r="A33" s="23" t="s">
        <v>35</v>
      </c>
      <c r="B33" s="24"/>
      <c r="C33" s="30">
        <v>70204999.621600002</v>
      </c>
      <c r="D33" s="30">
        <v>5995000</v>
      </c>
      <c r="E33" s="32">
        <v>145500</v>
      </c>
      <c r="F33" s="31">
        <v>3077483.2600000002</v>
      </c>
      <c r="G33" s="30">
        <v>10662000</v>
      </c>
      <c r="H33" s="25" t="s">
        <v>9</v>
      </c>
      <c r="T33" s="22">
        <v>2014</v>
      </c>
      <c r="U33" s="22">
        <v>1400609841.9112999</v>
      </c>
      <c r="V33" s="22">
        <v>62871000</v>
      </c>
      <c r="W33" s="22">
        <v>2464500</v>
      </c>
      <c r="X33" s="22">
        <v>51002563.189999998</v>
      </c>
      <c r="Y33" s="22">
        <v>154048000</v>
      </c>
    </row>
    <row r="34" spans="1:25" s="22" customFormat="1" ht="18.75" x14ac:dyDescent="0.2">
      <c r="A34" s="23" t="s">
        <v>36</v>
      </c>
      <c r="B34" s="24"/>
      <c r="C34" s="30">
        <v>90752356.448400006</v>
      </c>
      <c r="D34" s="30">
        <v>6019000</v>
      </c>
      <c r="E34" s="32">
        <v>145500</v>
      </c>
      <c r="F34" s="31">
        <v>2007296.1</v>
      </c>
      <c r="G34" s="34">
        <v>10790000</v>
      </c>
      <c r="H34" s="25" t="s">
        <v>10</v>
      </c>
      <c r="T34" s="22">
        <v>2015</v>
      </c>
      <c r="U34" s="22">
        <v>1063054680.1289001</v>
      </c>
      <c r="V34" s="22">
        <v>70378000</v>
      </c>
      <c r="W34" s="22">
        <v>1807000</v>
      </c>
      <c r="X34" s="22">
        <v>35665347.009999998</v>
      </c>
      <c r="Y34" s="22">
        <v>127918000</v>
      </c>
    </row>
    <row r="35" spans="1:25" s="22" customFormat="1" ht="18.75" x14ac:dyDescent="0.2">
      <c r="A35" s="23" t="s">
        <v>37</v>
      </c>
      <c r="B35" s="24"/>
      <c r="C35" s="30">
        <v>92938203.603499994</v>
      </c>
      <c r="D35" s="30">
        <v>6078000</v>
      </c>
      <c r="E35" s="32">
        <v>161500</v>
      </c>
      <c r="F35" s="31">
        <v>1984220.6300000001</v>
      </c>
      <c r="G35" s="30">
        <v>10950000</v>
      </c>
      <c r="H35" s="25" t="s">
        <v>11</v>
      </c>
      <c r="T35" s="22">
        <v>2014</v>
      </c>
      <c r="U35" s="43">
        <f>U33/1000000</f>
        <v>1400.6098419113</v>
      </c>
      <c r="V35" s="43">
        <f t="shared" ref="V35:Y36" si="4">V33/1000000</f>
        <v>62.871000000000002</v>
      </c>
      <c r="W35" s="43">
        <f t="shared" si="4"/>
        <v>2.4645000000000001</v>
      </c>
      <c r="X35" s="43">
        <f t="shared" si="4"/>
        <v>51.002563189999996</v>
      </c>
      <c r="Y35" s="43">
        <f t="shared" si="4"/>
        <v>154.048</v>
      </c>
    </row>
    <row r="36" spans="1:25" s="22" customFormat="1" ht="18.75" x14ac:dyDescent="0.2">
      <c r="A36" s="23" t="s">
        <v>38</v>
      </c>
      <c r="B36" s="24"/>
      <c r="C36" s="30">
        <v>93421217.438099995</v>
      </c>
      <c r="D36" s="30">
        <v>6211000</v>
      </c>
      <c r="E36" s="32">
        <v>181500</v>
      </c>
      <c r="F36" s="31">
        <v>1444449.87</v>
      </c>
      <c r="G36" s="30">
        <v>11306000</v>
      </c>
      <c r="H36" s="25" t="s">
        <v>12</v>
      </c>
      <c r="T36" s="22">
        <v>2015</v>
      </c>
      <c r="U36" s="43">
        <f>U34/1000000</f>
        <v>1063.0546801289001</v>
      </c>
      <c r="V36" s="43">
        <f t="shared" si="4"/>
        <v>70.378</v>
      </c>
      <c r="W36" s="43">
        <f t="shared" si="4"/>
        <v>1.8069999999999999</v>
      </c>
      <c r="X36" s="43">
        <f t="shared" si="4"/>
        <v>35.665347009999998</v>
      </c>
      <c r="Y36" s="43">
        <f t="shared" si="4"/>
        <v>127.91800000000001</v>
      </c>
    </row>
    <row r="37" spans="1:25" s="22" customFormat="1" ht="18.75" x14ac:dyDescent="0.2">
      <c r="A37" s="23" t="s">
        <v>39</v>
      </c>
      <c r="B37" s="24"/>
      <c r="C37" s="30">
        <v>104077874.45200001</v>
      </c>
      <c r="D37" s="30">
        <v>6024000</v>
      </c>
      <c r="E37" s="32">
        <v>182000</v>
      </c>
      <c r="F37" s="31">
        <v>1108496.32</v>
      </c>
      <c r="G37" s="30">
        <v>11198000</v>
      </c>
      <c r="H37" s="25" t="s">
        <v>14</v>
      </c>
    </row>
    <row r="38" spans="1:25" s="22" customFormat="1" ht="18.75" x14ac:dyDescent="0.2">
      <c r="A38" s="26" t="s">
        <v>40</v>
      </c>
      <c r="B38" s="27"/>
      <c r="C38" s="35">
        <v>116725114.5358</v>
      </c>
      <c r="D38" s="35">
        <v>4563000</v>
      </c>
      <c r="E38" s="36">
        <v>191000</v>
      </c>
      <c r="F38" s="37">
        <v>944137.83</v>
      </c>
      <c r="G38" s="36">
        <v>11268000</v>
      </c>
      <c r="H38" s="28" t="s">
        <v>13</v>
      </c>
    </row>
    <row r="39" spans="1:25" ht="17.25" x14ac:dyDescent="0.25">
      <c r="A39" s="2" t="s">
        <v>18</v>
      </c>
      <c r="G39" s="3"/>
      <c r="H39" s="3" t="s">
        <v>19</v>
      </c>
    </row>
    <row r="40" spans="1:25" ht="17.25" x14ac:dyDescent="0.25">
      <c r="A40" s="2"/>
      <c r="G40" s="3"/>
      <c r="H40" s="3"/>
    </row>
    <row r="41" spans="1:25" ht="17.25" x14ac:dyDescent="0.25">
      <c r="A41" s="2"/>
      <c r="G41" s="3"/>
      <c r="H41" s="3"/>
    </row>
    <row r="42" spans="1:25" ht="17.25" x14ac:dyDescent="0.25">
      <c r="A42" s="2"/>
      <c r="G42" s="3"/>
      <c r="H42" s="3"/>
    </row>
    <row r="43" spans="1:25" ht="17.25" x14ac:dyDescent="0.25">
      <c r="A43" s="2"/>
      <c r="G43" s="3"/>
      <c r="H43" s="3"/>
    </row>
    <row r="47" spans="1:25" x14ac:dyDescent="0.25">
      <c r="R47" s="39"/>
      <c r="S47" s="1"/>
    </row>
    <row r="48" spans="1:25" x14ac:dyDescent="0.25">
      <c r="R48" s="39"/>
      <c r="S48" s="1"/>
    </row>
    <row r="49" spans="10:19" x14ac:dyDescent="0.25">
      <c r="R49" s="39"/>
      <c r="S49" s="1"/>
    </row>
    <row r="50" spans="10:19" x14ac:dyDescent="0.25">
      <c r="R50" s="39"/>
      <c r="S50" s="1"/>
    </row>
    <row r="51" spans="10:19" x14ac:dyDescent="0.25">
      <c r="J51" s="40"/>
      <c r="R51" s="39"/>
      <c r="S51" s="1"/>
    </row>
  </sheetData>
  <mergeCells count="16">
    <mergeCell ref="A21:H21"/>
    <mergeCell ref="A22:H22"/>
    <mergeCell ref="B23:B25"/>
    <mergeCell ref="C23:C24"/>
    <mergeCell ref="D23:D24"/>
    <mergeCell ref="E23:E24"/>
    <mergeCell ref="F23:F24"/>
    <mergeCell ref="G23:G24"/>
    <mergeCell ref="A1:H1"/>
    <mergeCell ref="A2:H2"/>
    <mergeCell ref="B3:B5"/>
    <mergeCell ref="C3:C4"/>
    <mergeCell ref="D3:D4"/>
    <mergeCell ref="E3:E4"/>
    <mergeCell ref="F3:F4"/>
    <mergeCell ref="G3:G4"/>
  </mergeCells>
  <conditionalFormatting sqref="C26">
    <cfRule type="duplicateValues" dxfId="9" priority="9"/>
    <cfRule type="duplicateValues" dxfId="8" priority="10"/>
  </conditionalFormatting>
  <conditionalFormatting sqref="C27:C38">
    <cfRule type="duplicateValues" dxfId="7" priority="7"/>
    <cfRule type="duplicateValues" dxfId="6" priority="8"/>
  </conditionalFormatting>
  <conditionalFormatting sqref="C6">
    <cfRule type="duplicateValues" dxfId="5" priority="5"/>
    <cfRule type="duplicateValues" dxfId="4" priority="6"/>
  </conditionalFormatting>
  <conditionalFormatting sqref="C7:C18">
    <cfRule type="duplicateValues" dxfId="3" priority="3"/>
    <cfRule type="duplicateValues" dxfId="2" priority="4"/>
  </conditionalFormatting>
  <conditionalFormatting sqref="K8:O8">
    <cfRule type="duplicateValues" dxfId="1" priority="1"/>
    <cfRule type="duplicateValues" dxfId="0" priority="2"/>
  </conditionalFormatting>
  <pageMargins left="0.7" right="0.7" top="0.75" bottom="0.75" header="0.3" footer="0.3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2016-09-28T08:41:09Z</cp:lastPrinted>
  <dcterms:created xsi:type="dcterms:W3CDTF">2013-03-14T06:06:17Z</dcterms:created>
  <dcterms:modified xsi:type="dcterms:W3CDTF">2016-09-28T08:41:19Z</dcterms:modified>
</cp:coreProperties>
</file>