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6" sheetId="30" r:id="rId1"/>
  </sheets>
  <externalReferences>
    <externalReference r:id="rId2"/>
  </externalReferences>
  <definedNames>
    <definedName name="_xlnm.Print_Area" localSheetId="0">'18.16'!$A$1:$I$92</definedName>
  </definedNames>
  <calcPr calcId="144525"/>
</workbook>
</file>

<file path=xl/calcChain.xml><?xml version="1.0" encoding="utf-8"?>
<calcChain xmlns="http://schemas.openxmlformats.org/spreadsheetml/2006/main">
  <c r="H11" i="30" l="1"/>
  <c r="H9" i="30" s="1"/>
  <c r="G11" i="30"/>
  <c r="G9" i="30" s="1"/>
  <c r="F11" i="30"/>
  <c r="F9" i="30" s="1"/>
  <c r="E11" i="30"/>
  <c r="E9" i="30" s="1"/>
  <c r="D11" i="30"/>
  <c r="D9" i="30" s="1"/>
  <c r="C11" i="30"/>
  <c r="C9" i="30" s="1"/>
  <c r="G46" i="30"/>
  <c r="G44" i="30" s="1"/>
  <c r="F46" i="30"/>
  <c r="F44" i="30" s="1"/>
  <c r="E46" i="30"/>
  <c r="E44" i="30" s="1"/>
  <c r="D46" i="30"/>
  <c r="D44" i="30" s="1"/>
  <c r="C46" i="30"/>
  <c r="C44" i="30" s="1"/>
  <c r="B46" i="30"/>
  <c r="B44" i="30" s="1"/>
  <c r="B11" i="30"/>
  <c r="B9" i="30" s="1"/>
</calcChain>
</file>

<file path=xl/sharedStrings.xml><?xml version="1.0" encoding="utf-8"?>
<sst xmlns="http://schemas.openxmlformats.org/spreadsheetml/2006/main" count="168" uniqueCount="96">
  <si>
    <t>F</t>
  </si>
  <si>
    <t>M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</si>
  <si>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</si>
  <si>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</si>
  <si>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</si>
  <si>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</si>
  <si>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</si>
  <si>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</si>
  <si>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cnwt</t>
  </si>
  <si>
    <t>HEALTH INSURANCE SCHEMES</t>
  </si>
  <si>
    <t>SINGLE PARENT ALLOWANCE</t>
  </si>
  <si>
    <t>FOSTER PARENT ALLOWANCE ALLOWANCE</t>
  </si>
  <si>
    <t xml:space="preserve">Disability Allowance 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</si>
  <si>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</si>
  <si>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</si>
  <si>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</si>
  <si>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</si>
  <si>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</si>
  <si>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</si>
  <si>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</si>
  <si>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</si>
  <si>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</si>
  <si>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</si>
  <si>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</si>
  <si>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</si>
  <si>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</si>
  <si>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</si>
  <si>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</si>
  <si>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</si>
  <si>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</si>
  <si>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</si>
  <si>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</si>
  <si>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</si>
  <si>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</si>
  <si>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</si>
  <si>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</si>
  <si>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</si>
  <si>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</si>
  <si>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</si>
  <si>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</si>
  <si>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</si>
  <si>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</si>
  <si>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</si>
  <si>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</si>
  <si>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</si>
  <si>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</si>
  <si>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</si>
  <si>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</si>
  <si>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</si>
  <si>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</si>
  <si>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</si>
  <si>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 xml:space="preserve"> HA</t>
  </si>
  <si>
    <t>North Nilandhe Atoll (F)</t>
  </si>
  <si>
    <t>(f) iruburutua uLotwaedcnwlin</t>
  </si>
  <si>
    <t>HDh</t>
  </si>
  <si>
    <t>South Nilandhe Atoll (Dh)</t>
  </si>
  <si>
    <t>(d) irubunuked uLotwaedcnwlin</t>
  </si>
  <si>
    <t>Sh</t>
  </si>
  <si>
    <t>Kolhumadulu (Th)</t>
  </si>
  <si>
    <t>(t) uluDwmuLok</t>
  </si>
  <si>
    <t>N</t>
  </si>
  <si>
    <t>Hadhdhunmathi (L)</t>
  </si>
  <si>
    <t>(l) itwmcnudcawh</t>
  </si>
  <si>
    <t>R</t>
  </si>
  <si>
    <t>North Huvadhu Atoll (GA)</t>
  </si>
  <si>
    <t>(ag) iruburutua uLotwaudwvuh</t>
  </si>
  <si>
    <t>B</t>
  </si>
  <si>
    <t>South Huvadhu Atoll (GDh)</t>
  </si>
  <si>
    <t xml:space="preserve"> (dg) irubunuked uLotwaudwvuh</t>
  </si>
  <si>
    <t xml:space="preserve"> Lh</t>
  </si>
  <si>
    <t>Fuvahmulah (Gn)</t>
  </si>
  <si>
    <t>(N)cawlumcawvuf</t>
  </si>
  <si>
    <t>K</t>
  </si>
  <si>
    <t>Addu Atoll (S)</t>
  </si>
  <si>
    <t>(s) uLotwauDcawa</t>
  </si>
  <si>
    <t>AA</t>
  </si>
  <si>
    <t>Note: Universal Health Insuarance Scheme named "Aasandha" was introduced in January 2012 and replaced the existing schemes "Madhana" and "Madhana Plus".</t>
  </si>
  <si>
    <t>ADh</t>
  </si>
  <si>
    <t>V</t>
  </si>
  <si>
    <t>Source: National Social Protection Agency</t>
  </si>
  <si>
    <t xml:space="preserve">މަޢުލޫމާތު ދެއްވީ: ނެޝަނަލް ސޯޝަލް ޕްރޮޓެކްޝަން އޭޖެންސީ </t>
  </si>
  <si>
    <t>Dh</t>
  </si>
  <si>
    <t>Th</t>
  </si>
  <si>
    <t>L</t>
  </si>
  <si>
    <t>GA</t>
  </si>
  <si>
    <t>GDh</t>
  </si>
  <si>
    <t>Gn</t>
  </si>
  <si>
    <t>S</t>
  </si>
  <si>
    <t>EMERGENCY MEDICAL WELFARE</t>
  </si>
  <si>
    <t>Table 18.16 :  NUMBER OF PERSONS COVERED UNDER DIFFERENT SOCIAL PROTECTION SCHEMES BY ISLAND,  2015</t>
  </si>
  <si>
    <t>ތާވަލް 18.16: އިޖްތިމާއީ ރައްކާތެރިކަމުގެ ދަށުން އަތޮޅުތަކުން ޚިދުމަތްދެވިފައިވާ މީހުންގެ އަދަދު، 2015</t>
  </si>
  <si>
    <t>Table 18.16 :  NUMBER OF PERSONS COVERED UNDER DIFFERENT SOCIAL PROTECTION SCHEMES BY ISLAND,  2014</t>
  </si>
  <si>
    <t>ތާވަލް 18.16: އިޖްތިމާއީ ރައްކާތެރިކަމުގެ ދަށުން އަތޮޅުތަކުން ޚިދުމަތްދެވިފައިވާ މީހުންގެ އަދަދު، 2014</t>
  </si>
  <si>
    <t>އިމަޖެންސީ ވެލްފެއަރ އެހީގެ މައުލޫމާތު އެއްކުރެވިފައި ނުވޭ</t>
  </si>
  <si>
    <t xml:space="preserve">Emergency medical welfare data was not  available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</si>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</sst>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Faruma"/>
    </font>
    <font>
      <sz val="10"/>
      <name val="Arial"/>
      <family val="2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9"/>
      <color theme="1" tint="0.14999847407452621"/>
      <name val="A_Randhoo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2"/>
      <color theme="1" tint="0.14999847407452621"/>
      <name val="Faruma"/>
    </font>
    <font>
      <sz val="12"/>
      <color theme="1" tint="0.14999847407452621"/>
      <name val="Arial"/>
      <family val="2"/>
    </font>
    <font>
      <b/>
      <sz val="12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4" fontId="8" fillId="0" borderId="0"/>
    <xf numFmtId="0" fontId="8" fillId="0" borderId="0"/>
    <xf numFmtId="0" fontId="4" fillId="0" borderId="0"/>
  </cellStyleXfs>
  <cellXfs count="94">
    <xf numFmtId="0" fontId="0" fillId="0" borderId="0" xfId="0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 vertical="center"/>
    </xf>
    <xf numFmtId="3" fontId="10" fillId="2" borderId="0" xfId="2" applyNumberFormat="1" applyFont="1" applyFill="1"/>
    <xf numFmtId="168" fontId="16" fillId="2" borderId="0" xfId="0" applyNumberFormat="1" applyFont="1" applyFill="1" applyAlignment="1">
      <alignment vertical="center"/>
    </xf>
    <xf numFmtId="168" fontId="17" fillId="2" borderId="0" xfId="3" applyNumberFormat="1" applyFont="1" applyFill="1" applyBorder="1" applyAlignment="1">
      <alignment horizontal="right" vertical="center" wrapText="1"/>
    </xf>
    <xf numFmtId="168" fontId="17" fillId="2" borderId="8" xfId="3" applyNumberFormat="1" applyFont="1" applyFill="1" applyBorder="1" applyAlignment="1">
      <alignment horizontal="right" vertical="center" wrapText="1"/>
    </xf>
    <xf numFmtId="168" fontId="17" fillId="2" borderId="3" xfId="3" applyNumberFormat="1" applyFont="1" applyFill="1" applyBorder="1" applyAlignment="1">
      <alignment horizontal="right" vertical="center" wrapText="1"/>
    </xf>
    <xf numFmtId="168" fontId="16" fillId="2" borderId="0" xfId="0" applyNumberFormat="1" applyFont="1" applyFill="1" applyBorder="1"/>
    <xf numFmtId="168" fontId="18" fillId="2" borderId="1" xfId="3" applyNumberFormat="1" applyFont="1" applyFill="1" applyBorder="1" applyAlignment="1">
      <alignment horizontal="right" vertical="center" wrapText="1"/>
    </xf>
    <xf numFmtId="168" fontId="18" fillId="2" borderId="5" xfId="3" applyNumberFormat="1" applyFont="1" applyFill="1" applyBorder="1" applyAlignment="1">
      <alignment horizontal="right" vertical="center" wrapText="1"/>
    </xf>
    <xf numFmtId="168" fontId="18" fillId="2" borderId="4" xfId="3" applyNumberFormat="1" applyFont="1" applyFill="1" applyBorder="1" applyAlignment="1">
      <alignment horizontal="right" vertical="center" wrapText="1"/>
    </xf>
    <xf numFmtId="168" fontId="19" fillId="2" borderId="1" xfId="0" applyNumberFormat="1" applyFont="1" applyFill="1" applyBorder="1"/>
    <xf numFmtId="168" fontId="2" fillId="2" borderId="1" xfId="0" applyNumberFormat="1" applyFont="1" applyFill="1" applyBorder="1" applyAlignment="1">
      <alignment horizontal="center" vertical="center"/>
    </xf>
    <xf numFmtId="168" fontId="0" fillId="2" borderId="0" xfId="0" applyNumberFormat="1" applyFill="1"/>
    <xf numFmtId="168" fontId="17" fillId="2" borderId="0" xfId="3" applyNumberFormat="1" applyFont="1" applyFill="1" applyBorder="1" applyAlignment="1" applyProtection="1">
      <alignment horizontal="left" vertical="center"/>
    </xf>
    <xf numFmtId="37" fontId="17" fillId="2" borderId="0" xfId="1" applyNumberFormat="1" applyFont="1" applyFill="1" applyBorder="1" applyAlignment="1" applyProtection="1">
      <alignment vertical="center"/>
    </xf>
    <xf numFmtId="37" fontId="17" fillId="2" borderId="8" xfId="1" applyNumberFormat="1" applyFont="1" applyFill="1" applyBorder="1" applyAlignment="1" applyProtection="1">
      <alignment horizontal="right" vertical="center"/>
    </xf>
    <xf numFmtId="37" fontId="17" fillId="2" borderId="3" xfId="1" applyNumberFormat="1" applyFont="1" applyFill="1" applyBorder="1" applyAlignment="1" applyProtection="1">
      <alignment horizontal="right" vertical="center"/>
    </xf>
    <xf numFmtId="37" fontId="17" fillId="2" borderId="0" xfId="1" applyNumberFormat="1" applyFont="1" applyFill="1" applyBorder="1" applyAlignment="1" applyProtection="1">
      <alignment horizontal="right" vertical="center"/>
    </xf>
    <xf numFmtId="37" fontId="20" fillId="2" borderId="0" xfId="1" applyNumberFormat="1" applyFont="1" applyFill="1" applyAlignment="1">
      <alignment horizontal="right" vertical="center" indent="3"/>
    </xf>
    <xf numFmtId="3" fontId="21" fillId="2" borderId="0" xfId="2" applyNumberFormat="1" applyFont="1" applyFill="1" applyBorder="1" applyAlignment="1" applyProtection="1">
      <alignment horizontal="right" vertical="center"/>
    </xf>
    <xf numFmtId="168" fontId="22" fillId="2" borderId="0" xfId="0" applyNumberFormat="1" applyFont="1" applyFill="1"/>
    <xf numFmtId="3" fontId="23" fillId="2" borderId="0" xfId="2" applyNumberFormat="1" applyFont="1" applyFill="1"/>
    <xf numFmtId="168" fontId="19" fillId="2" borderId="0" xfId="0" applyNumberFormat="1" applyFont="1" applyFill="1"/>
    <xf numFmtId="37" fontId="20" fillId="2" borderId="0" xfId="1" applyNumberFormat="1" applyFont="1" applyFill="1" applyAlignment="1">
      <alignment horizontal="right" vertical="center"/>
    </xf>
    <xf numFmtId="3" fontId="24" fillId="2" borderId="0" xfId="2" applyNumberFormat="1" applyFont="1" applyFill="1"/>
    <xf numFmtId="3" fontId="27" fillId="2" borderId="0" xfId="2" applyNumberFormat="1" applyFont="1" applyFill="1" applyBorder="1" applyAlignment="1" applyProtection="1">
      <alignment horizontal="right" vertical="center"/>
    </xf>
    <xf numFmtId="3" fontId="28" fillId="2" borderId="0" xfId="1" applyNumberFormat="1" applyFont="1" applyFill="1" applyBorder="1" applyAlignment="1" applyProtection="1">
      <alignment horizontal="right" vertical="center"/>
    </xf>
    <xf numFmtId="3" fontId="11" fillId="2" borderId="0" xfId="2" applyNumberFormat="1" applyFont="1" applyFill="1"/>
    <xf numFmtId="37" fontId="25" fillId="2" borderId="0" xfId="1" applyNumberFormat="1" applyFont="1" applyFill="1" applyBorder="1" applyAlignment="1" applyProtection="1">
      <alignment vertical="center"/>
    </xf>
    <xf numFmtId="3" fontId="24" fillId="2" borderId="0" xfId="2" applyNumberFormat="1" applyFont="1" applyFill="1" applyBorder="1"/>
    <xf numFmtId="168" fontId="22" fillId="2" borderId="0" xfId="0" applyNumberFormat="1" applyFont="1" applyFill="1" applyBorder="1"/>
    <xf numFmtId="0" fontId="22" fillId="2" borderId="0" xfId="0" applyFont="1" applyFill="1"/>
    <xf numFmtId="0" fontId="22" fillId="2" borderId="0" xfId="0" applyFont="1" applyFill="1" applyBorder="1"/>
    <xf numFmtId="3" fontId="24" fillId="2" borderId="1" xfId="2" applyNumberFormat="1" applyFont="1" applyFill="1" applyBorder="1"/>
    <xf numFmtId="3" fontId="27" fillId="2" borderId="1" xfId="2" applyNumberFormat="1" applyFont="1" applyFill="1" applyBorder="1" applyAlignment="1" applyProtection="1">
      <alignment horizontal="right" vertical="center"/>
    </xf>
    <xf numFmtId="0" fontId="26" fillId="2" borderId="0" xfId="0" applyFont="1" applyFill="1"/>
    <xf numFmtId="0" fontId="20" fillId="2" borderId="0" xfId="0" applyFont="1" applyFill="1" applyAlignment="1">
      <alignment horizontal="center" vertical="center"/>
    </xf>
    <xf numFmtId="168" fontId="29" fillId="2" borderId="0" xfId="3" applyNumberFormat="1" applyFont="1" applyFill="1" applyBorder="1" applyAlignment="1" applyProtection="1">
      <alignment horizontal="left" vertical="center"/>
    </xf>
    <xf numFmtId="168" fontId="30" fillId="2" borderId="0" xfId="4" applyNumberFormat="1" applyFont="1" applyFill="1" applyAlignment="1">
      <alignment horizontal="right" vertical="center"/>
    </xf>
    <xf numFmtId="37" fontId="20" fillId="2" borderId="8" xfId="1" applyNumberFormat="1" applyFont="1" applyFill="1" applyBorder="1" applyAlignment="1">
      <alignment horizontal="right" vertical="center"/>
    </xf>
    <xf numFmtId="37" fontId="20" fillId="2" borderId="3" xfId="1" applyNumberFormat="1" applyFont="1" applyFill="1" applyBorder="1" applyAlignment="1">
      <alignment horizontal="right" vertical="center"/>
    </xf>
    <xf numFmtId="37" fontId="25" fillId="2" borderId="8" xfId="1" applyNumberFormat="1" applyFont="1" applyFill="1" applyBorder="1" applyAlignment="1" applyProtection="1">
      <alignment horizontal="right" vertical="center"/>
    </xf>
    <xf numFmtId="37" fontId="25" fillId="2" borderId="3" xfId="1" applyNumberFormat="1" applyFont="1" applyFill="1" applyBorder="1" applyAlignment="1" applyProtection="1">
      <alignment horizontal="right" vertical="center"/>
    </xf>
    <xf numFmtId="37" fontId="26" fillId="2" borderId="0" xfId="1" applyNumberFormat="1" applyFont="1" applyFill="1" applyAlignment="1">
      <alignment horizontal="right" vertical="center"/>
    </xf>
    <xf numFmtId="37" fontId="26" fillId="2" borderId="0" xfId="1" applyNumberFormat="1" applyFont="1" applyFill="1" applyAlignment="1">
      <alignment horizontal="right" vertical="center" indent="3"/>
    </xf>
    <xf numFmtId="37" fontId="26" fillId="2" borderId="8" xfId="1" applyNumberFormat="1" applyFont="1" applyFill="1" applyBorder="1" applyAlignment="1">
      <alignment horizontal="right" vertical="center"/>
    </xf>
    <xf numFmtId="37" fontId="26" fillId="2" borderId="3" xfId="1" applyNumberFormat="1" applyFont="1" applyFill="1" applyBorder="1" applyAlignment="1">
      <alignment horizontal="right" vertical="center"/>
    </xf>
    <xf numFmtId="37" fontId="25" fillId="2" borderId="1" xfId="1" applyNumberFormat="1" applyFont="1" applyFill="1" applyBorder="1" applyAlignment="1" applyProtection="1">
      <alignment vertical="center"/>
    </xf>
    <xf numFmtId="37" fontId="26" fillId="2" borderId="5" xfId="1" applyNumberFormat="1" applyFont="1" applyFill="1" applyBorder="1" applyAlignment="1">
      <alignment horizontal="right" vertical="center"/>
    </xf>
    <xf numFmtId="37" fontId="26" fillId="2" borderId="4" xfId="1" applyNumberFormat="1" applyFont="1" applyFill="1" applyBorder="1" applyAlignment="1">
      <alignment horizontal="right" vertical="center"/>
    </xf>
    <xf numFmtId="37" fontId="26" fillId="2" borderId="1" xfId="1" applyNumberFormat="1" applyFont="1" applyFill="1" applyBorder="1" applyAlignment="1">
      <alignment horizontal="right" vertical="center" indent="3"/>
    </xf>
    <xf numFmtId="3" fontId="11" fillId="2" borderId="0" xfId="2" applyNumberFormat="1" applyFont="1" applyFill="1" applyBorder="1" applyAlignment="1" applyProtection="1">
      <alignment vertical="center"/>
    </xf>
    <xf numFmtId="3" fontId="11" fillId="2" borderId="0" xfId="2" applyNumberFormat="1" applyFont="1" applyFill="1" applyBorder="1" applyAlignment="1" applyProtection="1">
      <alignment horizontal="center" vertical="center"/>
    </xf>
    <xf numFmtId="3" fontId="10" fillId="2" borderId="0" xfId="2" applyNumberFormat="1" applyFont="1" applyFill="1" applyBorder="1"/>
    <xf numFmtId="3" fontId="31" fillId="2" borderId="0" xfId="2" applyNumberFormat="1" applyFont="1" applyFill="1" applyBorder="1" applyAlignment="1">
      <alignment vertical="center" readingOrder="2"/>
    </xf>
    <xf numFmtId="3" fontId="32" fillId="2" borderId="0" xfId="2" applyNumberFormat="1" applyFont="1" applyFill="1"/>
    <xf numFmtId="3" fontId="33" fillId="2" borderId="0" xfId="2" applyNumberFormat="1" applyFont="1" applyFill="1" applyBorder="1" applyAlignment="1" applyProtection="1">
      <alignment vertical="center"/>
    </xf>
    <xf numFmtId="3" fontId="32" fillId="2" borderId="0" xfId="2" applyNumberFormat="1" applyFont="1" applyFill="1" applyBorder="1"/>
    <xf numFmtId="1" fontId="28" fillId="2" borderId="0" xfId="1" applyNumberFormat="1" applyFont="1" applyFill="1" applyBorder="1" applyAlignment="1" applyProtection="1">
      <alignment horizontal="righ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3" fontId="9" fillId="2" borderId="0" xfId="2" applyNumberFormat="1" applyFont="1" applyFill="1" applyAlignment="1">
      <alignment horizontal="center" vertical="center" readingOrder="2"/>
    </xf>
    <xf numFmtId="3" fontId="11" fillId="2" borderId="0" xfId="2" applyNumberFormat="1" applyFont="1" applyFill="1" applyBorder="1" applyAlignment="1" applyProtection="1">
      <alignment horizontal="center" vertical="center"/>
    </xf>
    <xf numFmtId="3" fontId="12" fillId="2" borderId="2" xfId="2" applyNumberFormat="1" applyFont="1" applyFill="1" applyBorder="1" applyAlignment="1">
      <alignment horizontal="left" vertical="center"/>
    </xf>
    <xf numFmtId="3" fontId="12" fillId="2" borderId="0" xfId="2" applyNumberFormat="1" applyFont="1" applyFill="1" applyBorder="1" applyAlignment="1">
      <alignment horizontal="left" vertical="center"/>
    </xf>
    <xf numFmtId="3" fontId="12" fillId="2" borderId="1" xfId="2" applyNumberFormat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3" fontId="13" fillId="2" borderId="2" xfId="2" applyNumberFormat="1" applyFont="1" applyFill="1" applyBorder="1" applyAlignment="1">
      <alignment horizontal="right" vertical="center" wrapText="1"/>
    </xf>
    <xf numFmtId="3" fontId="13" fillId="2" borderId="0" xfId="2" applyNumberFormat="1" applyFont="1" applyFill="1" applyBorder="1" applyAlignment="1">
      <alignment horizontal="right" vertical="center" wrapText="1"/>
    </xf>
    <xf numFmtId="3" fontId="13" fillId="2" borderId="1" xfId="2" applyNumberFormat="1" applyFont="1" applyFill="1" applyBorder="1" applyAlignment="1">
      <alignment horizontal="right" vertical="center" wrapText="1"/>
    </xf>
    <xf numFmtId="168" fontId="14" fillId="2" borderId="5" xfId="3" applyNumberFormat="1" applyFont="1" applyFill="1" applyBorder="1" applyAlignment="1">
      <alignment horizontal="center" vertical="center" wrapText="1"/>
    </xf>
    <xf numFmtId="168" fontId="14" fillId="2" borderId="4" xfId="3" applyNumberFormat="1" applyFont="1" applyFill="1" applyBorder="1" applyAlignment="1">
      <alignment horizontal="center" vertical="center" wrapText="1"/>
    </xf>
    <xf numFmtId="168" fontId="15" fillId="2" borderId="0" xfId="3" applyNumberFormat="1" applyFont="1" applyFill="1" applyBorder="1" applyAlignment="1">
      <alignment horizontal="right" vertical="center" wrapText="1"/>
    </xf>
    <xf numFmtId="168" fontId="14" fillId="2" borderId="0" xfId="3" applyNumberFormat="1" applyFont="1" applyFill="1" applyBorder="1" applyAlignment="1">
      <alignment horizontal="center" vertical="center" wrapText="1"/>
    </xf>
    <xf numFmtId="3" fontId="31" fillId="2" borderId="0" xfId="2" applyNumberFormat="1" applyFont="1" applyFill="1" applyAlignment="1">
      <alignment horizontal="center" vertical="center" readingOrder="2"/>
    </xf>
    <xf numFmtId="3" fontId="33" fillId="2" borderId="0" xfId="2" applyNumberFormat="1" applyFont="1" applyFill="1" applyBorder="1" applyAlignment="1" applyProtection="1">
      <alignment horizontal="center" vertical="center"/>
    </xf>
    <xf numFmtId="168" fontId="14" fillId="2" borderId="1" xfId="3" applyNumberFormat="1" applyFont="1" applyFill="1" applyBorder="1" applyAlignment="1">
      <alignment horizontal="right" vertical="center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PERSONS COVERED UNDER HEALTH INSURANCE SCHEMES BY ATOLL, 2014 - 2015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5929047911832181"/>
          <c:y val="6.7710899928420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'18.16'!$Y$56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8B2AF"/>
            </a:solidFill>
          </c:spPr>
          <c:invertIfNegative val="0"/>
          <c:cat>
            <c:strRef>
              <c:f>'18.16'!$X$57:$X$77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'18.16'!$Y$57:$Y$77</c:f>
              <c:numCache>
                <c:formatCode>#,##0_);\(#,##0\)</c:formatCode>
                <c:ptCount val="21"/>
                <c:pt idx="0">
                  <c:v>49489</c:v>
                </c:pt>
                <c:pt idx="1">
                  <c:v>18659</c:v>
                </c:pt>
                <c:pt idx="2">
                  <c:v>22166</c:v>
                </c:pt>
                <c:pt idx="3">
                  <c:v>14630</c:v>
                </c:pt>
                <c:pt idx="4">
                  <c:v>13115</c:v>
                </c:pt>
                <c:pt idx="5">
                  <c:v>19277</c:v>
                </c:pt>
                <c:pt idx="6">
                  <c:v>11950</c:v>
                </c:pt>
                <c:pt idx="7">
                  <c:v>11097</c:v>
                </c:pt>
                <c:pt idx="8">
                  <c:v>10660</c:v>
                </c:pt>
                <c:pt idx="9">
                  <c:v>6537</c:v>
                </c:pt>
                <c:pt idx="10">
                  <c:v>9570</c:v>
                </c:pt>
                <c:pt idx="11">
                  <c:v>1770</c:v>
                </c:pt>
                <c:pt idx="12">
                  <c:v>6247</c:v>
                </c:pt>
                <c:pt idx="13">
                  <c:v>5176</c:v>
                </c:pt>
                <c:pt idx="14">
                  <c:v>6497</c:v>
                </c:pt>
                <c:pt idx="15">
                  <c:v>13508</c:v>
                </c:pt>
                <c:pt idx="16">
                  <c:v>14567</c:v>
                </c:pt>
                <c:pt idx="17">
                  <c:v>12163</c:v>
                </c:pt>
                <c:pt idx="18">
                  <c:v>17520</c:v>
                </c:pt>
                <c:pt idx="19">
                  <c:v>10203</c:v>
                </c:pt>
                <c:pt idx="20">
                  <c:v>27303</c:v>
                </c:pt>
              </c:numCache>
            </c:numRef>
          </c:val>
        </c:ser>
        <c:ser>
          <c:idx val="1"/>
          <c:order val="1"/>
          <c:tx>
            <c:strRef>
              <c:f>'18.16'!$Z$56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'18.16'!$X$57:$X$77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'18.16'!$Z$57:$Z$77</c:f>
              <c:numCache>
                <c:formatCode>General_)</c:formatCode>
                <c:ptCount val="21"/>
                <c:pt idx="0">
                  <c:v>52253</c:v>
                </c:pt>
                <c:pt idx="1">
                  <c:v>19492</c:v>
                </c:pt>
                <c:pt idx="2">
                  <c:v>23057</c:v>
                </c:pt>
                <c:pt idx="3">
                  <c:v>15572</c:v>
                </c:pt>
                <c:pt idx="4">
                  <c:v>14154</c:v>
                </c:pt>
                <c:pt idx="5">
                  <c:v>20204</c:v>
                </c:pt>
                <c:pt idx="6">
                  <c:v>12455</c:v>
                </c:pt>
                <c:pt idx="7" formatCode="General">
                  <c:v>11405</c:v>
                </c:pt>
                <c:pt idx="8" formatCode="General">
                  <c:v>11458</c:v>
                </c:pt>
                <c:pt idx="9" formatCode="General">
                  <c:v>6994</c:v>
                </c:pt>
                <c:pt idx="10" formatCode="General">
                  <c:v>9969</c:v>
                </c:pt>
                <c:pt idx="11" formatCode="General">
                  <c:v>2099</c:v>
                </c:pt>
                <c:pt idx="12" formatCode="General">
                  <c:v>6489</c:v>
                </c:pt>
                <c:pt idx="13" formatCode="General">
                  <c:v>5469</c:v>
                </c:pt>
                <c:pt idx="14" formatCode="General">
                  <c:v>6822</c:v>
                </c:pt>
                <c:pt idx="15" formatCode="General">
                  <c:v>14052</c:v>
                </c:pt>
                <c:pt idx="16" formatCode="General">
                  <c:v>15563</c:v>
                </c:pt>
                <c:pt idx="17" formatCode="General">
                  <c:v>12673</c:v>
                </c:pt>
                <c:pt idx="18" formatCode="General">
                  <c:v>18440</c:v>
                </c:pt>
                <c:pt idx="19" formatCode="General">
                  <c:v>10673</c:v>
                </c:pt>
                <c:pt idx="20" formatCode="General">
                  <c:v>28252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20672"/>
        <c:axId val="61422208"/>
      </c:barChart>
      <c:catAx>
        <c:axId val="61420672"/>
        <c:scaling>
          <c:orientation val="minMax"/>
        </c:scaling>
        <c:delete val="0"/>
        <c:axPos val="b"/>
        <c:majorTickMark val="none"/>
        <c:minorTickMark val="none"/>
        <c:tickLblPos val="nextTo"/>
        <c:crossAx val="61422208"/>
        <c:crosses val="autoZero"/>
        <c:auto val="1"/>
        <c:lblAlgn val="ctr"/>
        <c:lblOffset val="100"/>
        <c:noMultiLvlLbl val="0"/>
      </c:catAx>
      <c:valAx>
        <c:axId val="61422208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numFmt formatCode="#,##0_);\(#,##0\)" sourceLinked="1"/>
        <c:majorTickMark val="none"/>
        <c:minorTickMark val="none"/>
        <c:tickLblPos val="nextTo"/>
        <c:crossAx val="614206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434174947275164"/>
          <c:y val="0.34555916852210883"/>
          <c:w val="0.12850459813430123"/>
          <c:h val="4.9010201035210831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70</xdr:row>
      <xdr:rowOff>85724</xdr:rowOff>
    </xdr:from>
    <xdr:to>
      <xdr:col>7</xdr:col>
      <xdr:colOff>771525</xdr:colOff>
      <xdr:row>88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1704974</xdr:colOff>
      <xdr:row>72</xdr:row>
      <xdr:rowOff>161925</xdr:rowOff>
    </xdr:from>
    <xdr:to>
      <xdr:col>7</xdr:col>
      <xdr:colOff>85724</xdr:colOff>
      <xdr:row>72</xdr:row>
      <xdr:rowOff>171450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704974" y="15868650"/>
          <a:ext cx="576262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T92"/>
  <sheetViews>
    <sheetView tabSelected="1" zoomScale="96" zoomScaleNormal="96" workbookViewId="0">
      <selection activeCell="B41" sqref="B41"/>
    </sheetView>
  </sheetViews>
  <sheetFormatPr defaultColWidth="9.140625" defaultRowHeight="15" x14ac:dyDescent="0.25"/>
  <cols>
    <col min="1" max="1" width="28.42578125" style="1" customWidth="1"/>
    <col min="2" max="2" width="14.85546875" style="1" customWidth="1"/>
    <col min="3" max="4" width="14.140625" style="1" customWidth="1"/>
    <col min="5" max="5" width="13.42578125" style="1" customWidth="1"/>
    <col min="6" max="6" width="12.7109375" style="1" customWidth="1"/>
    <col min="7" max="7" width="13" style="1" customWidth="1"/>
    <col min="8" max="8" width="19.28515625" style="6" customWidth="1"/>
    <col min="9" max="9" width="27.28515625" style="1" customWidth="1"/>
    <col min="10" max="16384" width="9.140625" style="1"/>
  </cols>
  <sheetData>
    <row r="1" spans="1:11" s="7" customFormat="1" ht="21" x14ac:dyDescent="0.2">
      <c r="A1" s="68" t="s">
        <v>90</v>
      </c>
      <c r="B1" s="68"/>
      <c r="C1" s="68"/>
      <c r="D1" s="68"/>
      <c r="E1" s="68"/>
      <c r="F1" s="68"/>
      <c r="G1" s="68"/>
      <c r="H1" s="68"/>
      <c r="I1" s="68"/>
    </row>
    <row r="2" spans="1:11" s="7" customFormat="1" x14ac:dyDescent="0.2">
      <c r="A2" s="69" t="s">
        <v>89</v>
      </c>
      <c r="B2" s="69"/>
      <c r="C2" s="69"/>
      <c r="D2" s="69"/>
      <c r="E2" s="69"/>
      <c r="F2" s="69"/>
      <c r="G2" s="69"/>
      <c r="H2" s="69"/>
      <c r="I2" s="69"/>
    </row>
    <row r="3" spans="1:11" s="59" customFormat="1" ht="3.75" customHeight="1" x14ac:dyDescent="0.2">
      <c r="A3" s="58"/>
      <c r="B3" s="58"/>
      <c r="C3" s="58"/>
      <c r="D3" s="58"/>
      <c r="E3" s="58"/>
      <c r="F3" s="58"/>
      <c r="G3" s="58"/>
      <c r="H3" s="58"/>
      <c r="I3" s="58"/>
    </row>
    <row r="4" spans="1:11" s="3" customFormat="1" ht="17.25" x14ac:dyDescent="0.45">
      <c r="A4" s="70" t="s">
        <v>2</v>
      </c>
      <c r="B4" s="66" t="s">
        <v>3</v>
      </c>
      <c r="C4" s="65" t="s">
        <v>4</v>
      </c>
      <c r="D4" s="67"/>
      <c r="E4" s="76" t="s">
        <v>5</v>
      </c>
      <c r="F4" s="77"/>
      <c r="G4" s="80" t="s">
        <v>6</v>
      </c>
      <c r="H4" s="82" t="s">
        <v>7</v>
      </c>
      <c r="I4" s="84" t="s">
        <v>8</v>
      </c>
    </row>
    <row r="5" spans="1:11" s="3" customFormat="1" ht="17.25" x14ac:dyDescent="0.45">
      <c r="A5" s="71"/>
      <c r="B5" s="73"/>
      <c r="C5" s="74"/>
      <c r="D5" s="75"/>
      <c r="E5" s="78"/>
      <c r="F5" s="79"/>
      <c r="G5" s="81"/>
      <c r="H5" s="83"/>
      <c r="I5" s="85"/>
    </row>
    <row r="6" spans="1:11" s="8" customFormat="1" ht="36" x14ac:dyDescent="0.25">
      <c r="A6" s="71"/>
      <c r="B6" s="93" t="s">
        <v>9</v>
      </c>
      <c r="C6" s="87" t="s">
        <v>10</v>
      </c>
      <c r="D6" s="88"/>
      <c r="E6" s="87" t="s">
        <v>11</v>
      </c>
      <c r="F6" s="88"/>
      <c r="G6" s="89" t="s">
        <v>88</v>
      </c>
      <c r="H6" s="90" t="s">
        <v>12</v>
      </c>
      <c r="I6" s="85"/>
    </row>
    <row r="7" spans="1:11" s="12" customFormat="1" ht="12.75" x14ac:dyDescent="0.15">
      <c r="A7" s="71"/>
      <c r="B7" s="9" t="s">
        <v>13</v>
      </c>
      <c r="C7" s="10" t="s">
        <v>14</v>
      </c>
      <c r="D7" s="11" t="s">
        <v>15</v>
      </c>
      <c r="E7" s="10" t="s">
        <v>14</v>
      </c>
      <c r="F7" s="11" t="s">
        <v>16</v>
      </c>
      <c r="G7" s="89"/>
      <c r="H7" s="90"/>
      <c r="I7" s="85"/>
    </row>
    <row r="8" spans="1:11" s="18" customFormat="1" ht="18.75" x14ac:dyDescent="0.25">
      <c r="A8" s="72"/>
      <c r="B8" s="13" t="s">
        <v>17</v>
      </c>
      <c r="C8" s="14" t="s">
        <v>18</v>
      </c>
      <c r="D8" s="15" t="s">
        <v>19</v>
      </c>
      <c r="E8" s="14" t="s">
        <v>20</v>
      </c>
      <c r="F8" s="15" t="s">
        <v>19</v>
      </c>
      <c r="G8" s="16"/>
      <c r="H8" s="17"/>
      <c r="I8" s="86"/>
    </row>
    <row r="9" spans="1:11" s="26" customFormat="1" ht="18.75" x14ac:dyDescent="0.25">
      <c r="A9" s="19" t="s">
        <v>21</v>
      </c>
      <c r="B9" s="20">
        <f t="shared" ref="B9:H9" si="0">SUM(B10:B11)</f>
        <v>317545</v>
      </c>
      <c r="C9" s="21">
        <f t="shared" si="0"/>
        <v>3049</v>
      </c>
      <c r="D9" s="22">
        <f t="shared" si="0"/>
        <v>5230</v>
      </c>
      <c r="E9" s="21">
        <f t="shared" si="0"/>
        <v>107</v>
      </c>
      <c r="F9" s="22">
        <f t="shared" si="0"/>
        <v>151</v>
      </c>
      <c r="G9" s="23">
        <f t="shared" si="0"/>
        <v>5682</v>
      </c>
      <c r="H9" s="24">
        <f t="shared" si="0"/>
        <v>6176</v>
      </c>
      <c r="I9" s="25" t="s">
        <v>22</v>
      </c>
      <c r="K9" s="23"/>
    </row>
    <row r="10" spans="1:11" s="28" customFormat="1" ht="18.75" x14ac:dyDescent="0.25">
      <c r="A10" s="27" t="s">
        <v>23</v>
      </c>
      <c r="B10" s="20">
        <v>52253</v>
      </c>
      <c r="C10" s="45">
        <v>931</v>
      </c>
      <c r="D10" s="46">
        <v>1468</v>
      </c>
      <c r="E10" s="45">
        <v>26</v>
      </c>
      <c r="F10" s="46">
        <v>35</v>
      </c>
      <c r="G10" s="29">
        <v>1724</v>
      </c>
      <c r="H10" s="24">
        <v>1625</v>
      </c>
      <c r="I10" s="25" t="s">
        <v>24</v>
      </c>
    </row>
    <row r="11" spans="1:11" s="26" customFormat="1" ht="18.75" x14ac:dyDescent="0.25">
      <c r="A11" s="19" t="s">
        <v>25</v>
      </c>
      <c r="B11" s="23">
        <f t="shared" ref="B11" si="1">SUM(B12:B31)</f>
        <v>265292</v>
      </c>
      <c r="C11" s="21">
        <f t="shared" ref="C11:H11" si="2">SUM(C12:C31)</f>
        <v>2118</v>
      </c>
      <c r="D11" s="22">
        <f t="shared" si="2"/>
        <v>3762</v>
      </c>
      <c r="E11" s="21">
        <f t="shared" si="2"/>
        <v>81</v>
      </c>
      <c r="F11" s="22">
        <f t="shared" si="2"/>
        <v>116</v>
      </c>
      <c r="G11" s="29">
        <f t="shared" si="2"/>
        <v>3958</v>
      </c>
      <c r="H11" s="24">
        <f t="shared" si="2"/>
        <v>4551</v>
      </c>
      <c r="I11" s="25" t="s">
        <v>26</v>
      </c>
    </row>
    <row r="12" spans="1:11" s="26" customFormat="1" ht="15.75" x14ac:dyDescent="0.25">
      <c r="A12" s="30" t="s">
        <v>27</v>
      </c>
      <c r="B12" s="34">
        <v>19492</v>
      </c>
      <c r="C12" s="47">
        <v>119</v>
      </c>
      <c r="D12" s="48">
        <v>187</v>
      </c>
      <c r="E12" s="47">
        <v>3</v>
      </c>
      <c r="F12" s="48">
        <v>3</v>
      </c>
      <c r="G12" s="49">
        <v>334</v>
      </c>
      <c r="H12" s="50">
        <v>352</v>
      </c>
      <c r="I12" s="31" t="s">
        <v>28</v>
      </c>
    </row>
    <row r="13" spans="1:11" s="26" customFormat="1" ht="15.75" x14ac:dyDescent="0.25">
      <c r="A13" s="30" t="s">
        <v>29</v>
      </c>
      <c r="B13" s="34">
        <v>23057</v>
      </c>
      <c r="C13" s="51">
        <v>214</v>
      </c>
      <c r="D13" s="52">
        <v>370</v>
      </c>
      <c r="E13" s="51">
        <v>2</v>
      </c>
      <c r="F13" s="52">
        <v>2</v>
      </c>
      <c r="G13" s="49">
        <v>173</v>
      </c>
      <c r="H13" s="50">
        <v>457</v>
      </c>
      <c r="I13" s="31" t="s">
        <v>30</v>
      </c>
    </row>
    <row r="14" spans="1:11" s="26" customFormat="1" ht="15.75" x14ac:dyDescent="0.25">
      <c r="A14" s="30" t="s">
        <v>31</v>
      </c>
      <c r="B14" s="34">
        <v>15572</v>
      </c>
      <c r="C14" s="51">
        <v>106</v>
      </c>
      <c r="D14" s="52">
        <v>171</v>
      </c>
      <c r="E14" s="51">
        <v>0</v>
      </c>
      <c r="F14" s="52">
        <v>0</v>
      </c>
      <c r="G14" s="49">
        <v>173</v>
      </c>
      <c r="H14" s="50">
        <v>332</v>
      </c>
      <c r="I14" s="31" t="s">
        <v>32</v>
      </c>
    </row>
    <row r="15" spans="1:11" s="26" customFormat="1" ht="15.75" x14ac:dyDescent="0.25">
      <c r="A15" s="30" t="s">
        <v>33</v>
      </c>
      <c r="B15" s="34">
        <v>14154</v>
      </c>
      <c r="C15" s="51">
        <v>119</v>
      </c>
      <c r="D15" s="52">
        <v>225</v>
      </c>
      <c r="E15" s="51">
        <v>5</v>
      </c>
      <c r="F15" s="52">
        <v>7</v>
      </c>
      <c r="G15" s="49">
        <v>125</v>
      </c>
      <c r="H15" s="50">
        <v>185</v>
      </c>
      <c r="I15" s="31" t="s">
        <v>34</v>
      </c>
    </row>
    <row r="16" spans="1:11" s="26" customFormat="1" ht="15.75" x14ac:dyDescent="0.25">
      <c r="A16" s="30" t="s">
        <v>35</v>
      </c>
      <c r="B16" s="34">
        <v>20204</v>
      </c>
      <c r="C16" s="51">
        <v>112</v>
      </c>
      <c r="D16" s="52">
        <v>210</v>
      </c>
      <c r="E16" s="51">
        <v>6</v>
      </c>
      <c r="F16" s="52">
        <v>6</v>
      </c>
      <c r="G16" s="49">
        <v>251</v>
      </c>
      <c r="H16" s="50">
        <v>322</v>
      </c>
      <c r="I16" s="31" t="s">
        <v>36</v>
      </c>
    </row>
    <row r="17" spans="1:254" s="26" customFormat="1" ht="15.75" x14ac:dyDescent="0.25">
      <c r="A17" s="30" t="s">
        <v>37</v>
      </c>
      <c r="B17" s="34">
        <v>12455</v>
      </c>
      <c r="C17" s="51">
        <v>67</v>
      </c>
      <c r="D17" s="52">
        <v>106</v>
      </c>
      <c r="E17" s="51">
        <v>5</v>
      </c>
      <c r="F17" s="52">
        <v>5</v>
      </c>
      <c r="G17" s="49">
        <v>148</v>
      </c>
      <c r="H17" s="50">
        <v>192</v>
      </c>
      <c r="I17" s="31" t="s">
        <v>38</v>
      </c>
    </row>
    <row r="18" spans="1:254" s="26" customFormat="1" ht="18.75" customHeight="1" x14ac:dyDescent="0.25">
      <c r="A18" s="30" t="s">
        <v>39</v>
      </c>
      <c r="B18" s="34">
        <v>11405</v>
      </c>
      <c r="C18" s="51">
        <v>108</v>
      </c>
      <c r="D18" s="52">
        <v>162</v>
      </c>
      <c r="E18" s="51">
        <v>3</v>
      </c>
      <c r="F18" s="52">
        <v>4</v>
      </c>
      <c r="G18" s="49">
        <v>225</v>
      </c>
      <c r="H18" s="50">
        <v>189</v>
      </c>
      <c r="I18" s="31" t="s">
        <v>40</v>
      </c>
    </row>
    <row r="19" spans="1:254" s="26" customFormat="1" ht="18.75" customHeight="1" x14ac:dyDescent="0.25">
      <c r="A19" s="30" t="s">
        <v>41</v>
      </c>
      <c r="B19" s="34">
        <v>11458</v>
      </c>
      <c r="C19" s="51">
        <v>115</v>
      </c>
      <c r="D19" s="52">
        <v>193</v>
      </c>
      <c r="E19" s="51">
        <v>6</v>
      </c>
      <c r="F19" s="52">
        <v>6</v>
      </c>
      <c r="G19" s="49">
        <v>192</v>
      </c>
      <c r="H19" s="50">
        <v>201</v>
      </c>
      <c r="I19" s="31" t="s">
        <v>42</v>
      </c>
    </row>
    <row r="20" spans="1:254" s="26" customFormat="1" ht="18.75" customHeight="1" x14ac:dyDescent="0.25">
      <c r="A20" s="30" t="s">
        <v>43</v>
      </c>
      <c r="B20" s="34">
        <v>6994</v>
      </c>
      <c r="C20" s="51">
        <v>51</v>
      </c>
      <c r="D20" s="52">
        <v>88</v>
      </c>
      <c r="E20" s="51">
        <v>0</v>
      </c>
      <c r="F20" s="52">
        <v>0</v>
      </c>
      <c r="G20" s="49">
        <v>127</v>
      </c>
      <c r="H20" s="50">
        <v>116</v>
      </c>
      <c r="I20" s="31" t="s">
        <v>44</v>
      </c>
      <c r="X20" s="1"/>
      <c r="Y20" s="32"/>
    </row>
    <row r="21" spans="1:254" s="26" customFormat="1" ht="15.75" x14ac:dyDescent="0.25">
      <c r="A21" s="30" t="s">
        <v>45</v>
      </c>
      <c r="B21" s="34">
        <v>9969</v>
      </c>
      <c r="C21" s="51">
        <v>44</v>
      </c>
      <c r="D21" s="52">
        <v>68</v>
      </c>
      <c r="E21" s="51">
        <v>4</v>
      </c>
      <c r="F21" s="52">
        <v>6</v>
      </c>
      <c r="G21" s="49">
        <v>167</v>
      </c>
      <c r="H21" s="50">
        <v>212</v>
      </c>
      <c r="I21" s="31" t="s">
        <v>46</v>
      </c>
      <c r="X21" s="1"/>
      <c r="Y21" s="32"/>
    </row>
    <row r="22" spans="1:254" s="26" customFormat="1" ht="18.75" customHeight="1" x14ac:dyDescent="0.25">
      <c r="A22" s="30" t="s">
        <v>47</v>
      </c>
      <c r="B22" s="34">
        <v>2099</v>
      </c>
      <c r="C22" s="51">
        <v>10</v>
      </c>
      <c r="D22" s="52">
        <v>19</v>
      </c>
      <c r="E22" s="51">
        <v>0</v>
      </c>
      <c r="F22" s="52">
        <v>0</v>
      </c>
      <c r="G22" s="49">
        <v>23</v>
      </c>
      <c r="H22" s="50">
        <v>25</v>
      </c>
      <c r="I22" s="31" t="s">
        <v>48</v>
      </c>
      <c r="X22" s="33"/>
      <c r="Y22" s="20"/>
    </row>
    <row r="23" spans="1:254" s="26" customFormat="1" ht="13.15" customHeight="1" x14ac:dyDescent="0.25">
      <c r="A23" s="30" t="s">
        <v>49</v>
      </c>
      <c r="B23" s="34">
        <v>6489</v>
      </c>
      <c r="C23" s="51">
        <v>36</v>
      </c>
      <c r="D23" s="52">
        <v>66</v>
      </c>
      <c r="E23" s="51">
        <v>1</v>
      </c>
      <c r="F23" s="52">
        <v>2</v>
      </c>
      <c r="G23" s="49">
        <v>72</v>
      </c>
      <c r="H23" s="50">
        <v>88</v>
      </c>
      <c r="I23" s="31" t="s">
        <v>50</v>
      </c>
      <c r="X23" s="30"/>
      <c r="Y23" s="34"/>
    </row>
    <row r="24" spans="1:254" s="26" customFormat="1" ht="18.75" customHeight="1" x14ac:dyDescent="0.25">
      <c r="A24" s="30" t="s">
        <v>52</v>
      </c>
      <c r="B24" s="34">
        <v>5469</v>
      </c>
      <c r="C24" s="51">
        <v>34</v>
      </c>
      <c r="D24" s="52">
        <v>59</v>
      </c>
      <c r="E24" s="51">
        <v>1</v>
      </c>
      <c r="F24" s="52">
        <v>4</v>
      </c>
      <c r="G24" s="49">
        <v>100</v>
      </c>
      <c r="H24" s="50">
        <v>118</v>
      </c>
      <c r="I24" s="31" t="s">
        <v>53</v>
      </c>
      <c r="X24" s="30"/>
      <c r="Y24" s="34"/>
    </row>
    <row r="25" spans="1:254" s="26" customFormat="1" ht="18.75" customHeight="1" x14ac:dyDescent="0.25">
      <c r="A25" s="30" t="s">
        <v>55</v>
      </c>
      <c r="B25" s="34">
        <v>6822</v>
      </c>
      <c r="C25" s="51">
        <v>57</v>
      </c>
      <c r="D25" s="52">
        <v>92</v>
      </c>
      <c r="E25" s="51">
        <v>1</v>
      </c>
      <c r="F25" s="52">
        <v>1</v>
      </c>
      <c r="G25" s="49">
        <v>130</v>
      </c>
      <c r="H25" s="50">
        <v>93</v>
      </c>
      <c r="I25" s="31" t="s">
        <v>56</v>
      </c>
      <c r="X25" s="30"/>
      <c r="Y25" s="34"/>
    </row>
    <row r="26" spans="1:254" s="26" customFormat="1" ht="18.75" customHeight="1" x14ac:dyDescent="0.25">
      <c r="A26" s="30" t="s">
        <v>58</v>
      </c>
      <c r="B26" s="34">
        <v>14052</v>
      </c>
      <c r="C26" s="51">
        <v>78</v>
      </c>
      <c r="D26" s="52">
        <v>135</v>
      </c>
      <c r="E26" s="51">
        <v>4</v>
      </c>
      <c r="F26" s="52">
        <v>5</v>
      </c>
      <c r="G26" s="49">
        <v>256</v>
      </c>
      <c r="H26" s="50">
        <v>169</v>
      </c>
      <c r="I26" s="31" t="s">
        <v>59</v>
      </c>
      <c r="X26" s="30"/>
      <c r="Y26" s="34"/>
    </row>
    <row r="27" spans="1:254" s="36" customFormat="1" ht="18.75" customHeight="1" x14ac:dyDescent="0.25">
      <c r="A27" s="35" t="s">
        <v>61</v>
      </c>
      <c r="B27" s="34">
        <v>15563</v>
      </c>
      <c r="C27" s="51">
        <v>164</v>
      </c>
      <c r="D27" s="52">
        <v>307</v>
      </c>
      <c r="E27" s="51">
        <v>3</v>
      </c>
      <c r="F27" s="52">
        <v>6</v>
      </c>
      <c r="G27" s="49">
        <v>212</v>
      </c>
      <c r="H27" s="50">
        <v>238</v>
      </c>
      <c r="I27" s="31" t="s">
        <v>62</v>
      </c>
      <c r="X27" s="30"/>
      <c r="Y27" s="34"/>
    </row>
    <row r="28" spans="1:254" s="37" customFormat="1" ht="18.75" customHeight="1" x14ac:dyDescent="0.25">
      <c r="A28" s="30" t="s">
        <v>64</v>
      </c>
      <c r="B28" s="34">
        <v>12673</v>
      </c>
      <c r="C28" s="51">
        <v>60</v>
      </c>
      <c r="D28" s="52">
        <v>123</v>
      </c>
      <c r="E28" s="51">
        <v>6</v>
      </c>
      <c r="F28" s="52">
        <v>6</v>
      </c>
      <c r="G28" s="49">
        <v>300</v>
      </c>
      <c r="H28" s="50">
        <v>267</v>
      </c>
      <c r="I28" s="31" t="s">
        <v>65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30"/>
      <c r="Y28" s="34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</row>
    <row r="29" spans="1:254" s="38" customFormat="1" ht="18.75" customHeight="1" x14ac:dyDescent="0.25">
      <c r="A29" s="35" t="s">
        <v>67</v>
      </c>
      <c r="B29" s="34">
        <v>18440</v>
      </c>
      <c r="C29" s="51">
        <v>177</v>
      </c>
      <c r="D29" s="52">
        <v>349</v>
      </c>
      <c r="E29" s="51">
        <v>9</v>
      </c>
      <c r="F29" s="52">
        <v>17</v>
      </c>
      <c r="G29" s="49">
        <v>428</v>
      </c>
      <c r="H29" s="50">
        <v>340</v>
      </c>
      <c r="I29" s="31" t="s">
        <v>68</v>
      </c>
      <c r="X29" s="30"/>
      <c r="Y29" s="34"/>
    </row>
    <row r="30" spans="1:254" s="37" customFormat="1" ht="18.75" customHeight="1" x14ac:dyDescent="0.25">
      <c r="A30" s="35" t="s">
        <v>70</v>
      </c>
      <c r="B30" s="34">
        <v>10673</v>
      </c>
      <c r="C30" s="51">
        <v>147</v>
      </c>
      <c r="D30" s="52">
        <v>281</v>
      </c>
      <c r="E30" s="51">
        <v>13</v>
      </c>
      <c r="F30" s="52">
        <v>23</v>
      </c>
      <c r="G30" s="49">
        <v>147</v>
      </c>
      <c r="H30" s="50">
        <v>229</v>
      </c>
      <c r="I30" s="31" t="s">
        <v>71</v>
      </c>
      <c r="X30" s="30"/>
      <c r="Y30" s="34"/>
    </row>
    <row r="31" spans="1:254" s="37" customFormat="1" ht="18.75" customHeight="1" x14ac:dyDescent="0.25">
      <c r="A31" s="39" t="s">
        <v>73</v>
      </c>
      <c r="B31" s="53">
        <v>28252</v>
      </c>
      <c r="C31" s="54">
        <v>300</v>
      </c>
      <c r="D31" s="55">
        <v>551</v>
      </c>
      <c r="E31" s="54">
        <v>9</v>
      </c>
      <c r="F31" s="55">
        <v>13</v>
      </c>
      <c r="G31" s="54">
        <v>375</v>
      </c>
      <c r="H31" s="56">
        <v>426</v>
      </c>
      <c r="I31" s="40" t="s">
        <v>74</v>
      </c>
      <c r="X31" s="30"/>
      <c r="Y31" s="34"/>
    </row>
    <row r="32" spans="1:254" s="41" customFormat="1" ht="17.25" customHeight="1" x14ac:dyDescent="0.2">
      <c r="A32" s="2" t="s">
        <v>76</v>
      </c>
      <c r="H32" s="42"/>
      <c r="X32" s="30"/>
      <c r="Y32" s="34"/>
    </row>
    <row r="33" spans="1:25" s="41" customFormat="1" ht="17.25" customHeight="1" x14ac:dyDescent="0.2">
      <c r="A33" s="43" t="s">
        <v>79</v>
      </c>
      <c r="F33" s="41" t="s">
        <v>95</v>
      </c>
      <c r="H33" s="42"/>
      <c r="I33" s="44" t="s">
        <v>80</v>
      </c>
      <c r="X33" s="30"/>
      <c r="Y33" s="34"/>
    </row>
    <row r="34" spans="1:25" x14ac:dyDescent="0.25">
      <c r="X34" s="30"/>
      <c r="Y34" s="34"/>
    </row>
    <row r="35" spans="1:25" ht="17.25" x14ac:dyDescent="0.25">
      <c r="A35" s="43"/>
      <c r="I35" s="44"/>
      <c r="X35" s="30"/>
      <c r="Y35" s="34"/>
    </row>
    <row r="36" spans="1:25" s="61" customFormat="1" ht="21.75" x14ac:dyDescent="0.2">
      <c r="A36" s="91" t="s">
        <v>92</v>
      </c>
      <c r="B36" s="91"/>
      <c r="C36" s="91"/>
      <c r="D36" s="91"/>
      <c r="E36" s="91"/>
      <c r="F36" s="91"/>
      <c r="G36" s="91"/>
      <c r="H36" s="91"/>
      <c r="I36" s="60"/>
    </row>
    <row r="37" spans="1:25" s="63" customFormat="1" ht="15.75" x14ac:dyDescent="0.2">
      <c r="A37" s="92" t="s">
        <v>91</v>
      </c>
      <c r="B37" s="92"/>
      <c r="C37" s="92"/>
      <c r="D37" s="92"/>
      <c r="E37" s="92"/>
      <c r="F37" s="92"/>
      <c r="G37" s="92"/>
      <c r="H37" s="92"/>
      <c r="I37" s="62"/>
    </row>
    <row r="38" spans="1:25" s="7" customFormat="1" ht="6.75" customHeight="1" x14ac:dyDescent="0.2">
      <c r="A38" s="58"/>
      <c r="B38" s="58"/>
      <c r="C38" s="58"/>
      <c r="D38" s="58"/>
      <c r="E38" s="58"/>
      <c r="F38" s="58"/>
      <c r="G38" s="58"/>
      <c r="H38" s="58"/>
      <c r="I38" s="57"/>
    </row>
    <row r="39" spans="1:25" s="3" customFormat="1" ht="17.25" x14ac:dyDescent="0.45">
      <c r="A39" s="70" t="s">
        <v>2</v>
      </c>
      <c r="B39" s="66" t="s">
        <v>3</v>
      </c>
      <c r="C39" s="65" t="s">
        <v>4</v>
      </c>
      <c r="D39" s="67"/>
      <c r="E39" s="76" t="s">
        <v>5</v>
      </c>
      <c r="F39" s="77"/>
      <c r="G39" s="82" t="s">
        <v>7</v>
      </c>
      <c r="H39" s="84" t="s">
        <v>8</v>
      </c>
      <c r="I39" s="5"/>
    </row>
    <row r="40" spans="1:25" s="3" customFormat="1" ht="17.25" x14ac:dyDescent="0.45">
      <c r="A40" s="71"/>
      <c r="B40" s="73"/>
      <c r="C40" s="74"/>
      <c r="D40" s="75"/>
      <c r="E40" s="78"/>
      <c r="F40" s="79"/>
      <c r="G40" s="83"/>
      <c r="H40" s="85"/>
      <c r="I40" s="5"/>
    </row>
    <row r="41" spans="1:25" s="8" customFormat="1" ht="36" x14ac:dyDescent="0.25">
      <c r="A41" s="71"/>
      <c r="B41" s="93" t="s">
        <v>9</v>
      </c>
      <c r="C41" s="87" t="s">
        <v>10</v>
      </c>
      <c r="D41" s="88"/>
      <c r="E41" s="87" t="s">
        <v>11</v>
      </c>
      <c r="F41" s="88"/>
      <c r="G41" s="90" t="s">
        <v>12</v>
      </c>
      <c r="H41" s="85"/>
    </row>
    <row r="42" spans="1:25" s="12" customFormat="1" ht="12.75" x14ac:dyDescent="0.15">
      <c r="A42" s="71"/>
      <c r="B42" s="9" t="s">
        <v>13</v>
      </c>
      <c r="C42" s="10" t="s">
        <v>14</v>
      </c>
      <c r="D42" s="11" t="s">
        <v>15</v>
      </c>
      <c r="E42" s="10" t="s">
        <v>14</v>
      </c>
      <c r="F42" s="11" t="s">
        <v>16</v>
      </c>
      <c r="G42" s="90"/>
      <c r="H42" s="85"/>
    </row>
    <row r="43" spans="1:25" s="18" customFormat="1" ht="18.75" x14ac:dyDescent="0.25">
      <c r="A43" s="72"/>
      <c r="B43" s="13" t="s">
        <v>17</v>
      </c>
      <c r="C43" s="14" t="s">
        <v>18</v>
      </c>
      <c r="D43" s="15" t="s">
        <v>19</v>
      </c>
      <c r="E43" s="14" t="s">
        <v>20</v>
      </c>
      <c r="F43" s="15" t="s">
        <v>19</v>
      </c>
      <c r="G43" s="17"/>
      <c r="H43" s="86"/>
    </row>
    <row r="44" spans="1:25" s="26" customFormat="1" ht="18.75" x14ac:dyDescent="0.25">
      <c r="A44" s="19" t="s">
        <v>21</v>
      </c>
      <c r="B44" s="20">
        <f t="shared" ref="B44:F44" si="3">SUM(B45:B46)</f>
        <v>302104</v>
      </c>
      <c r="C44" s="21">
        <f t="shared" si="3"/>
        <v>2707</v>
      </c>
      <c r="D44" s="22">
        <f t="shared" si="3"/>
        <v>4553</v>
      </c>
      <c r="E44" s="21">
        <f t="shared" si="3"/>
        <v>100</v>
      </c>
      <c r="F44" s="22">
        <f t="shared" si="3"/>
        <v>141</v>
      </c>
      <c r="G44" s="24">
        <f>SUM(G45:G46)</f>
        <v>5601</v>
      </c>
      <c r="H44" s="25" t="s">
        <v>22</v>
      </c>
    </row>
    <row r="45" spans="1:25" s="28" customFormat="1" ht="18.75" x14ac:dyDescent="0.25">
      <c r="A45" s="27" t="s">
        <v>23</v>
      </c>
      <c r="B45" s="20">
        <v>49489</v>
      </c>
      <c r="C45" s="45">
        <v>1054</v>
      </c>
      <c r="D45" s="46">
        <v>1688</v>
      </c>
      <c r="E45" s="45">
        <v>26</v>
      </c>
      <c r="F45" s="46">
        <v>36</v>
      </c>
      <c r="G45" s="24">
        <v>1458</v>
      </c>
      <c r="H45" s="25" t="s">
        <v>24</v>
      </c>
    </row>
    <row r="46" spans="1:25" s="26" customFormat="1" ht="18.75" x14ac:dyDescent="0.25">
      <c r="A46" s="19" t="s">
        <v>25</v>
      </c>
      <c r="B46" s="23">
        <f t="shared" ref="B46:F46" si="4">SUM(B47:B66)</f>
        <v>252615</v>
      </c>
      <c r="C46" s="21">
        <f t="shared" si="4"/>
        <v>1653</v>
      </c>
      <c r="D46" s="22">
        <f t="shared" si="4"/>
        <v>2865</v>
      </c>
      <c r="E46" s="21">
        <f t="shared" si="4"/>
        <v>74</v>
      </c>
      <c r="F46" s="22">
        <f t="shared" si="4"/>
        <v>105</v>
      </c>
      <c r="G46" s="24">
        <f>SUM(G47:G66)</f>
        <v>4143</v>
      </c>
      <c r="H46" s="25" t="s">
        <v>26</v>
      </c>
    </row>
    <row r="47" spans="1:25" s="26" customFormat="1" ht="15.75" x14ac:dyDescent="0.25">
      <c r="A47" s="30" t="s">
        <v>27</v>
      </c>
      <c r="B47" s="34">
        <v>18659</v>
      </c>
      <c r="C47" s="47">
        <v>125</v>
      </c>
      <c r="D47" s="48">
        <v>200</v>
      </c>
      <c r="E47" s="47">
        <v>3</v>
      </c>
      <c r="F47" s="48">
        <v>3</v>
      </c>
      <c r="G47" s="50">
        <v>340</v>
      </c>
      <c r="H47" s="31" t="s">
        <v>28</v>
      </c>
    </row>
    <row r="48" spans="1:25" s="26" customFormat="1" ht="15.75" x14ac:dyDescent="0.25">
      <c r="A48" s="30" t="s">
        <v>29</v>
      </c>
      <c r="B48" s="34">
        <v>22166</v>
      </c>
      <c r="C48" s="51">
        <v>224</v>
      </c>
      <c r="D48" s="52">
        <v>374</v>
      </c>
      <c r="E48" s="51">
        <v>2</v>
      </c>
      <c r="F48" s="52">
        <v>2</v>
      </c>
      <c r="G48" s="50">
        <v>374</v>
      </c>
      <c r="H48" s="31" t="s">
        <v>30</v>
      </c>
    </row>
    <row r="49" spans="1:254" s="26" customFormat="1" ht="15.75" x14ac:dyDescent="0.25">
      <c r="A49" s="30" t="s">
        <v>31</v>
      </c>
      <c r="B49" s="34">
        <v>14630</v>
      </c>
      <c r="C49" s="51">
        <v>117</v>
      </c>
      <c r="D49" s="52">
        <v>189</v>
      </c>
      <c r="E49" s="51">
        <v>0</v>
      </c>
      <c r="F49" s="52">
        <v>0</v>
      </c>
      <c r="G49" s="50">
        <v>320</v>
      </c>
      <c r="H49" s="31" t="s">
        <v>32</v>
      </c>
    </row>
    <row r="50" spans="1:254" s="26" customFormat="1" ht="15.75" x14ac:dyDescent="0.25">
      <c r="A50" s="30" t="s">
        <v>33</v>
      </c>
      <c r="B50" s="34">
        <v>13115</v>
      </c>
      <c r="C50" s="51">
        <v>98</v>
      </c>
      <c r="D50" s="52">
        <v>165</v>
      </c>
      <c r="E50" s="51">
        <v>5</v>
      </c>
      <c r="F50" s="52">
        <v>6</v>
      </c>
      <c r="G50" s="50">
        <v>178</v>
      </c>
      <c r="H50" s="31" t="s">
        <v>34</v>
      </c>
    </row>
    <row r="51" spans="1:254" s="26" customFormat="1" ht="15.75" x14ac:dyDescent="0.25">
      <c r="A51" s="30" t="s">
        <v>35</v>
      </c>
      <c r="B51" s="34">
        <v>19277</v>
      </c>
      <c r="C51" s="51">
        <v>118</v>
      </c>
      <c r="D51" s="52">
        <v>210</v>
      </c>
      <c r="E51" s="51">
        <v>6</v>
      </c>
      <c r="F51" s="52">
        <v>6</v>
      </c>
      <c r="G51" s="50">
        <v>296</v>
      </c>
      <c r="H51" s="31" t="s">
        <v>36</v>
      </c>
    </row>
    <row r="52" spans="1:254" s="26" customFormat="1" ht="15.75" x14ac:dyDescent="0.25">
      <c r="A52" s="30" t="s">
        <v>37</v>
      </c>
      <c r="B52" s="34">
        <v>11950</v>
      </c>
      <c r="C52" s="51">
        <v>71</v>
      </c>
      <c r="D52" s="52">
        <v>118</v>
      </c>
      <c r="E52" s="51">
        <v>5</v>
      </c>
      <c r="F52" s="52">
        <v>5</v>
      </c>
      <c r="G52" s="50">
        <v>171</v>
      </c>
      <c r="H52" s="31" t="s">
        <v>38</v>
      </c>
    </row>
    <row r="53" spans="1:254" s="26" customFormat="1" ht="15.75" x14ac:dyDescent="0.25">
      <c r="A53" s="30" t="s">
        <v>39</v>
      </c>
      <c r="B53" s="34">
        <v>11097</v>
      </c>
      <c r="C53" s="51">
        <v>98</v>
      </c>
      <c r="D53" s="52">
        <v>151</v>
      </c>
      <c r="E53" s="51">
        <v>2</v>
      </c>
      <c r="F53" s="52">
        <v>2</v>
      </c>
      <c r="G53" s="50">
        <v>161</v>
      </c>
      <c r="H53" s="31" t="s">
        <v>40</v>
      </c>
    </row>
    <row r="54" spans="1:254" s="26" customFormat="1" ht="15.75" x14ac:dyDescent="0.25">
      <c r="A54" s="30" t="s">
        <v>41</v>
      </c>
      <c r="B54" s="34">
        <v>10660</v>
      </c>
      <c r="C54" s="51">
        <v>101</v>
      </c>
      <c r="D54" s="52">
        <v>185</v>
      </c>
      <c r="E54" s="51">
        <v>6</v>
      </c>
      <c r="F54" s="52">
        <v>6</v>
      </c>
      <c r="G54" s="50">
        <v>171</v>
      </c>
      <c r="H54" s="31" t="s">
        <v>42</v>
      </c>
    </row>
    <row r="55" spans="1:254" s="26" customFormat="1" ht="15.75" x14ac:dyDescent="0.25">
      <c r="A55" s="30" t="s">
        <v>43</v>
      </c>
      <c r="B55" s="34">
        <v>6537</v>
      </c>
      <c r="C55" s="51">
        <v>28</v>
      </c>
      <c r="D55" s="52">
        <v>51</v>
      </c>
      <c r="E55" s="51">
        <v>0</v>
      </c>
      <c r="F55" s="52">
        <v>0</v>
      </c>
      <c r="G55" s="50">
        <v>90</v>
      </c>
      <c r="H55" s="31" t="s">
        <v>44</v>
      </c>
      <c r="X55" s="1"/>
      <c r="Y55" s="32"/>
    </row>
    <row r="56" spans="1:254" s="26" customFormat="1" ht="15.75" x14ac:dyDescent="0.25">
      <c r="A56" s="30" t="s">
        <v>45</v>
      </c>
      <c r="B56" s="34">
        <v>9570</v>
      </c>
      <c r="C56" s="51">
        <v>36</v>
      </c>
      <c r="D56" s="52">
        <v>49</v>
      </c>
      <c r="E56" s="51">
        <v>4</v>
      </c>
      <c r="F56" s="52">
        <v>6</v>
      </c>
      <c r="G56" s="50">
        <v>197</v>
      </c>
      <c r="H56" s="31" t="s">
        <v>46</v>
      </c>
      <c r="X56" s="1"/>
      <c r="Y56" s="64">
        <v>2014</v>
      </c>
      <c r="Z56" s="26">
        <v>2015</v>
      </c>
    </row>
    <row r="57" spans="1:254" s="26" customFormat="1" ht="15.75" x14ac:dyDescent="0.25">
      <c r="A57" s="30" t="s">
        <v>47</v>
      </c>
      <c r="B57" s="34">
        <v>1770</v>
      </c>
      <c r="C57" s="51">
        <v>9</v>
      </c>
      <c r="D57" s="52">
        <v>16</v>
      </c>
      <c r="E57" s="51">
        <v>0</v>
      </c>
      <c r="F57" s="52">
        <v>0</v>
      </c>
      <c r="G57" s="50">
        <v>30</v>
      </c>
      <c r="H57" s="31" t="s">
        <v>48</v>
      </c>
      <c r="X57" s="33" t="s">
        <v>23</v>
      </c>
      <c r="Y57" s="20">
        <v>49489</v>
      </c>
      <c r="Z57" s="26">
        <v>52253</v>
      </c>
    </row>
    <row r="58" spans="1:254" s="26" customFormat="1" ht="15.75" x14ac:dyDescent="0.25">
      <c r="A58" s="30" t="s">
        <v>49</v>
      </c>
      <c r="B58" s="34">
        <v>6247</v>
      </c>
      <c r="C58" s="51">
        <v>32</v>
      </c>
      <c r="D58" s="52">
        <v>53</v>
      </c>
      <c r="E58" s="51">
        <v>2</v>
      </c>
      <c r="F58" s="52">
        <v>3</v>
      </c>
      <c r="G58" s="50">
        <v>72</v>
      </c>
      <c r="H58" s="31" t="s">
        <v>50</v>
      </c>
      <c r="X58" s="30" t="s">
        <v>51</v>
      </c>
      <c r="Y58" s="34">
        <v>18659</v>
      </c>
      <c r="Z58" s="26">
        <v>19492</v>
      </c>
    </row>
    <row r="59" spans="1:254" s="26" customFormat="1" ht="15.75" x14ac:dyDescent="0.25">
      <c r="A59" s="30" t="s">
        <v>52</v>
      </c>
      <c r="B59" s="34">
        <v>5176</v>
      </c>
      <c r="C59" s="51">
        <v>29</v>
      </c>
      <c r="D59" s="52">
        <v>51</v>
      </c>
      <c r="E59" s="51">
        <v>1</v>
      </c>
      <c r="F59" s="52">
        <v>5</v>
      </c>
      <c r="G59" s="50">
        <v>102</v>
      </c>
      <c r="H59" s="31" t="s">
        <v>53</v>
      </c>
      <c r="X59" s="30" t="s">
        <v>54</v>
      </c>
      <c r="Y59" s="34">
        <v>22166</v>
      </c>
      <c r="Z59" s="26">
        <v>23057</v>
      </c>
    </row>
    <row r="60" spans="1:254" s="26" customFormat="1" ht="15.75" x14ac:dyDescent="0.25">
      <c r="A60" s="30" t="s">
        <v>55</v>
      </c>
      <c r="B60" s="34">
        <v>6497</v>
      </c>
      <c r="C60" s="51">
        <v>51</v>
      </c>
      <c r="D60" s="52">
        <v>80</v>
      </c>
      <c r="E60" s="51">
        <v>2</v>
      </c>
      <c r="F60" s="52">
        <v>2</v>
      </c>
      <c r="G60" s="50">
        <v>85</v>
      </c>
      <c r="H60" s="31" t="s">
        <v>56</v>
      </c>
      <c r="X60" s="30" t="s">
        <v>57</v>
      </c>
      <c r="Y60" s="34">
        <v>14630</v>
      </c>
      <c r="Z60" s="26">
        <v>15572</v>
      </c>
    </row>
    <row r="61" spans="1:254" s="26" customFormat="1" ht="15.75" x14ac:dyDescent="0.25">
      <c r="A61" s="30" t="s">
        <v>58</v>
      </c>
      <c r="B61" s="34">
        <v>13508</v>
      </c>
      <c r="C61" s="51">
        <v>50</v>
      </c>
      <c r="D61" s="52">
        <v>83</v>
      </c>
      <c r="E61" s="51">
        <v>4</v>
      </c>
      <c r="F61" s="52">
        <v>5</v>
      </c>
      <c r="G61" s="50">
        <v>165</v>
      </c>
      <c r="H61" s="31" t="s">
        <v>59</v>
      </c>
      <c r="X61" s="30" t="s">
        <v>60</v>
      </c>
      <c r="Y61" s="34">
        <v>13115</v>
      </c>
      <c r="Z61" s="26">
        <v>14154</v>
      </c>
    </row>
    <row r="62" spans="1:254" s="36" customFormat="1" ht="18.75" customHeight="1" x14ac:dyDescent="0.25">
      <c r="A62" s="35" t="s">
        <v>61</v>
      </c>
      <c r="B62" s="34">
        <v>14567</v>
      </c>
      <c r="C62" s="51">
        <v>75</v>
      </c>
      <c r="D62" s="52">
        <v>113</v>
      </c>
      <c r="E62" s="51">
        <v>3</v>
      </c>
      <c r="F62" s="52">
        <v>6</v>
      </c>
      <c r="G62" s="50">
        <v>204</v>
      </c>
      <c r="H62" s="31" t="s">
        <v>62</v>
      </c>
      <c r="X62" s="30" t="s">
        <v>63</v>
      </c>
      <c r="Y62" s="34">
        <v>19277</v>
      </c>
      <c r="Z62" s="36">
        <v>20204</v>
      </c>
    </row>
    <row r="63" spans="1:254" s="37" customFormat="1" ht="18.75" customHeight="1" x14ac:dyDescent="0.25">
      <c r="A63" s="30" t="s">
        <v>64</v>
      </c>
      <c r="B63" s="34">
        <v>12163</v>
      </c>
      <c r="C63" s="51">
        <v>70</v>
      </c>
      <c r="D63" s="52">
        <v>137</v>
      </c>
      <c r="E63" s="51">
        <v>5</v>
      </c>
      <c r="F63" s="52">
        <v>5</v>
      </c>
      <c r="G63" s="50">
        <v>247</v>
      </c>
      <c r="H63" s="31" t="s">
        <v>65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30" t="s">
        <v>66</v>
      </c>
      <c r="Y63" s="34">
        <v>11950</v>
      </c>
      <c r="Z63" s="26">
        <v>12455</v>
      </c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</row>
    <row r="64" spans="1:254" s="38" customFormat="1" ht="18.75" customHeight="1" x14ac:dyDescent="0.25">
      <c r="A64" s="35" t="s">
        <v>67</v>
      </c>
      <c r="B64" s="34">
        <v>17520</v>
      </c>
      <c r="C64" s="51">
        <v>87</v>
      </c>
      <c r="D64" s="52">
        <v>179</v>
      </c>
      <c r="E64" s="51">
        <v>7</v>
      </c>
      <c r="F64" s="52">
        <v>12</v>
      </c>
      <c r="G64" s="50">
        <v>295</v>
      </c>
      <c r="H64" s="31" t="s">
        <v>68</v>
      </c>
      <c r="X64" s="30" t="s">
        <v>69</v>
      </c>
      <c r="Y64" s="34">
        <v>11097</v>
      </c>
      <c r="Z64" s="38">
        <v>11405</v>
      </c>
    </row>
    <row r="65" spans="1:26" s="37" customFormat="1" ht="18.75" customHeight="1" x14ac:dyDescent="0.25">
      <c r="A65" s="35" t="s">
        <v>70</v>
      </c>
      <c r="B65" s="34">
        <v>10203</v>
      </c>
      <c r="C65" s="51">
        <v>60</v>
      </c>
      <c r="D65" s="52">
        <v>127</v>
      </c>
      <c r="E65" s="51">
        <v>10</v>
      </c>
      <c r="F65" s="52">
        <v>21</v>
      </c>
      <c r="G65" s="50">
        <v>228</v>
      </c>
      <c r="H65" s="31" t="s">
        <v>71</v>
      </c>
      <c r="X65" s="30" t="s">
        <v>72</v>
      </c>
      <c r="Y65" s="34">
        <v>10660</v>
      </c>
      <c r="Z65" s="37">
        <v>11458</v>
      </c>
    </row>
    <row r="66" spans="1:26" s="37" customFormat="1" ht="18.75" customHeight="1" x14ac:dyDescent="0.25">
      <c r="A66" s="39" t="s">
        <v>73</v>
      </c>
      <c r="B66" s="53">
        <v>27303</v>
      </c>
      <c r="C66" s="54">
        <v>174</v>
      </c>
      <c r="D66" s="55">
        <v>334</v>
      </c>
      <c r="E66" s="54">
        <v>7</v>
      </c>
      <c r="F66" s="55">
        <v>10</v>
      </c>
      <c r="G66" s="56">
        <v>417</v>
      </c>
      <c r="H66" s="40" t="s">
        <v>74</v>
      </c>
      <c r="X66" s="30" t="s">
        <v>75</v>
      </c>
      <c r="Y66" s="34">
        <v>6537</v>
      </c>
      <c r="Z66" s="37">
        <v>6994</v>
      </c>
    </row>
    <row r="67" spans="1:26" s="41" customFormat="1" ht="17.25" customHeight="1" x14ac:dyDescent="0.2">
      <c r="A67" s="2" t="s">
        <v>76</v>
      </c>
      <c r="H67" s="42"/>
      <c r="X67" s="30" t="s">
        <v>77</v>
      </c>
      <c r="Y67" s="34">
        <v>9570</v>
      </c>
      <c r="Z67" s="41">
        <v>9969</v>
      </c>
    </row>
    <row r="68" spans="1:26" s="41" customFormat="1" ht="17.25" customHeight="1" x14ac:dyDescent="0.45">
      <c r="A68" s="4" t="s">
        <v>94</v>
      </c>
      <c r="H68" s="3" t="s">
        <v>93</v>
      </c>
      <c r="X68" s="30" t="s">
        <v>78</v>
      </c>
      <c r="Y68" s="34">
        <v>1770</v>
      </c>
      <c r="Z68" s="41">
        <v>2099</v>
      </c>
    </row>
    <row r="69" spans="1:26" ht="15" customHeight="1" x14ac:dyDescent="0.25">
      <c r="A69" s="43" t="s">
        <v>79</v>
      </c>
      <c r="H69" s="44" t="s">
        <v>80</v>
      </c>
      <c r="X69" s="30" t="s">
        <v>1</v>
      </c>
      <c r="Y69" s="34">
        <v>6247</v>
      </c>
      <c r="Z69" s="1">
        <v>6489</v>
      </c>
    </row>
    <row r="70" spans="1:26" ht="15" customHeight="1" x14ac:dyDescent="0.25">
      <c r="A70" s="43"/>
      <c r="I70" s="44"/>
      <c r="X70" s="30" t="s">
        <v>0</v>
      </c>
      <c r="Y70" s="34">
        <v>5176</v>
      </c>
      <c r="Z70" s="1">
        <v>5469</v>
      </c>
    </row>
    <row r="71" spans="1:26" ht="15" customHeight="1" x14ac:dyDescent="0.25">
      <c r="A71" s="43"/>
      <c r="I71" s="44"/>
      <c r="X71" s="30" t="s">
        <v>81</v>
      </c>
      <c r="Y71" s="34">
        <v>6497</v>
      </c>
      <c r="Z71" s="1">
        <v>6822</v>
      </c>
    </row>
    <row r="72" spans="1:26" ht="12" customHeight="1" x14ac:dyDescent="0.25">
      <c r="X72" s="30" t="s">
        <v>82</v>
      </c>
      <c r="Y72" s="34">
        <v>13508</v>
      </c>
      <c r="Z72" s="1">
        <v>14052</v>
      </c>
    </row>
    <row r="73" spans="1:26" x14ac:dyDescent="0.25">
      <c r="X73" s="35" t="s">
        <v>83</v>
      </c>
      <c r="Y73" s="34">
        <v>14567</v>
      </c>
      <c r="Z73" s="1">
        <v>15563</v>
      </c>
    </row>
    <row r="74" spans="1:26" x14ac:dyDescent="0.25">
      <c r="X74" s="30" t="s">
        <v>84</v>
      </c>
      <c r="Y74" s="34">
        <v>12163</v>
      </c>
      <c r="Z74" s="1">
        <v>12673</v>
      </c>
    </row>
    <row r="75" spans="1:26" x14ac:dyDescent="0.25">
      <c r="X75" s="30" t="s">
        <v>85</v>
      </c>
      <c r="Y75" s="34">
        <v>17520</v>
      </c>
      <c r="Z75" s="1">
        <v>18440</v>
      </c>
    </row>
    <row r="76" spans="1:26" x14ac:dyDescent="0.25">
      <c r="X76" s="30" t="s">
        <v>86</v>
      </c>
      <c r="Y76" s="34">
        <v>10203</v>
      </c>
      <c r="Z76" s="1">
        <v>10673</v>
      </c>
    </row>
    <row r="77" spans="1:26" x14ac:dyDescent="0.25">
      <c r="X77" s="39" t="s">
        <v>87</v>
      </c>
      <c r="Y77" s="34">
        <v>27303</v>
      </c>
      <c r="Z77" s="1">
        <v>28252</v>
      </c>
    </row>
    <row r="78" spans="1:26" x14ac:dyDescent="0.25">
      <c r="Y78" s="34"/>
    </row>
    <row r="79" spans="1:26" x14ac:dyDescent="0.25">
      <c r="Y79" s="53"/>
    </row>
    <row r="92" spans="8:8" x14ac:dyDescent="0.25">
      <c r="H92" s="1"/>
    </row>
  </sheetData>
  <sortState ref="A2:C25">
    <sortCondition ref="A2:A25"/>
  </sortState>
  <mergeCells count="24">
    <mergeCell ref="A39:A43"/>
    <mergeCell ref="B39:B40"/>
    <mergeCell ref="C39:D40"/>
    <mergeCell ref="E39:F40"/>
    <mergeCell ref="A36:H36"/>
    <mergeCell ref="A37:H37"/>
    <mergeCell ref="G39:G40"/>
    <mergeCell ref="H39:H43"/>
    <mergeCell ref="C41:D41"/>
    <mergeCell ref="E41:F41"/>
    <mergeCell ref="G41:G42"/>
    <mergeCell ref="A1:I1"/>
    <mergeCell ref="A2:I2"/>
    <mergeCell ref="A4:A8"/>
    <mergeCell ref="B4:B5"/>
    <mergeCell ref="C4:D5"/>
    <mergeCell ref="E4:F5"/>
    <mergeCell ref="G4:G5"/>
    <mergeCell ref="H4:H5"/>
    <mergeCell ref="I4:I8"/>
    <mergeCell ref="C6:D6"/>
    <mergeCell ref="E6:F6"/>
    <mergeCell ref="G6:G7"/>
    <mergeCell ref="H6:H7"/>
  </mergeCells>
  <pageMargins left="0.7" right="0.7" top="0.75" bottom="0.75" header="0.3" footer="0.3"/>
  <pageSetup paperSize="9" scale="81" orientation="landscape" horizontalDpi="4294967295" verticalDpi="4294967295" r:id="rId1"/>
  <rowBreaks count="2" manualBreakCount="2">
    <brk id="33" max="8" man="1"/>
    <brk id="6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</vt:lpstr>
      <vt:lpstr>'18.16'!Print_Area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2016-09-28T08:20:17Z</cp:lastPrinted>
  <dcterms:created xsi:type="dcterms:W3CDTF">2013-03-14T06:06:17Z</dcterms:created>
  <dcterms:modified xsi:type="dcterms:W3CDTF">2016-09-28T08:20:19Z</dcterms:modified>
</cp:coreProperties>
</file>