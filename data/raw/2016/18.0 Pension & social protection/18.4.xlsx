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9.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1.xml" ContentType="application/vnd.openxmlformats-officedocument.drawingml.chart+xml"/>
  <Override PartName="/xl/drawings/drawing15.xml" ContentType="application/vnd.openxmlformats-officedocument.drawingml.chartshapes+xml"/>
  <Override PartName="/xl/charts/chart12.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13.xml" ContentType="application/vnd.openxmlformats-officedocument.drawingml.chart+xml"/>
  <Override PartName="/xl/drawings/drawing18.xml" ContentType="application/vnd.openxmlformats-officedocument.drawing+xml"/>
  <Override PartName="/xl/charts/chart14.xml" ContentType="application/vnd.openxmlformats-officedocument.drawingml.chart+xml"/>
  <Override PartName="/xl/drawings/drawing19.xml" ContentType="application/vnd.openxmlformats-officedocument.drawingml.chartshapes+xml"/>
  <Override PartName="/xl/charts/chart15.xml" ContentType="application/vnd.openxmlformats-officedocument.drawingml.chart+xml"/>
  <Override PartName="/xl/drawings/drawing20.xml" ContentType="application/vnd.openxmlformats-officedocument.drawingml.chartshapes+xml"/>
  <Override PartName="/xl/charts/chart16.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23.xml" ContentType="application/vnd.openxmlformats-officedocument.drawing+xml"/>
  <Override PartName="/xl/comments1.xml" ContentType="application/vnd.openxmlformats-officedocument.spreadsheetml.comments+xml"/>
  <Override PartName="/xl/charts/chart19.xml" ContentType="application/vnd.openxmlformats-officedocument.drawingml.chart+xml"/>
  <Override PartName="/xl/drawings/drawing24.xml" ContentType="application/vnd.openxmlformats-officedocument.drawing+xml"/>
  <Override PartName="/xl/charts/chart20.xml" ContentType="application/vnd.openxmlformats-officedocument.drawingml.chart+xml"/>
  <Override PartName="/xl/drawings/drawing25.xml" ContentType="application/vnd.openxmlformats-officedocument.drawingml.chartshapes+xml"/>
  <Override PartName="/xl/charts/chart21.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22.xml" ContentType="application/vnd.openxmlformats-officedocument.drawingml.chart+xml"/>
  <Override PartName="/xl/drawings/drawing28.xml" ContentType="application/vnd.openxmlformats-officedocument.drawing+xml"/>
  <Override PartName="/xl/charts/chart23.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24.xml" ContentType="application/vnd.openxmlformats-officedocument.drawingml.chart+xml"/>
  <Override PartName="/xl/drawings/drawing31.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27.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28.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29.xml" ContentType="application/vnd.openxmlformats-officedocument.drawingml.chart+xml"/>
  <Override PartName="/xl/drawings/drawing38.xml" ContentType="application/vnd.openxmlformats-officedocument.drawingml.chartshapes+xml"/>
  <Override PartName="/xl/charts/chart30.xml" ContentType="application/vnd.openxmlformats-officedocument.drawingml.chart+xml"/>
  <Override PartName="/xl/charts/chart3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25" windowWidth="6975" windowHeight="4110" tabRatio="857" activeTab="16"/>
  </bookViews>
  <sheets>
    <sheet name="18.1" sheetId="6" r:id="rId1"/>
    <sheet name="18.2" sheetId="20" r:id="rId2"/>
    <sheet name="18.3" sheetId="7" r:id="rId3"/>
    <sheet name="18.4" sheetId="18" r:id="rId4"/>
    <sheet name="18.5" sheetId="10" r:id="rId5"/>
    <sheet name="18.6" sheetId="12" r:id="rId6"/>
    <sheet name="18.7" sheetId="28" r:id="rId7"/>
    <sheet name="18.8" sheetId="29" r:id="rId8"/>
    <sheet name="18.9" sheetId="22" r:id="rId9"/>
    <sheet name="18.10" sheetId="14" r:id="rId10"/>
    <sheet name="18.11" sheetId="15" r:id="rId11"/>
    <sheet name="18.12" sheetId="26" r:id="rId12"/>
    <sheet name="18.13" sheetId="25" r:id="rId13"/>
    <sheet name="18.14" sheetId="16" r:id="rId14"/>
    <sheet name="18.15" sheetId="17" r:id="rId15"/>
    <sheet name="18.16" sheetId="30" r:id="rId16"/>
    <sheet name="18.17" sheetId="31" r:id="rId17"/>
    <sheet name="18.18" sheetId="32" r:id="rId18"/>
    <sheet name="18.19" sheetId="33" r:id="rId19"/>
    <sheet name="18.20" sheetId="34" r:id="rId20"/>
    <sheet name="18.21" sheetId="35" r:id="rId21"/>
    <sheet name="18.22" sheetId="36" r:id="rId22"/>
    <sheet name="18.23" sheetId="37" r:id="rId23"/>
    <sheet name="11.24" sheetId="38" r:id="rId24"/>
    <sheet name="11.25" sheetId="39" r:id="rId25"/>
    <sheet name="11.26" sheetId="40" r:id="rId26"/>
    <sheet name="11.27" sheetId="41" r:id="rId27"/>
  </sheets>
  <externalReferences>
    <externalReference r:id="rId28"/>
  </externalReferences>
  <definedNames>
    <definedName name="_xlnm._FilterDatabase" localSheetId="13" hidden="1">'18.14'!#REF!</definedName>
    <definedName name="_xlnm.Print_Area" localSheetId="23">'11.24'!$A$1:$P$53</definedName>
    <definedName name="_xlnm.Print_Area" localSheetId="24">'11.25'!$A$1:$AX$31</definedName>
    <definedName name="_xlnm.Print_Area" localSheetId="25">'11.26'!$A$1:$AQ$33</definedName>
    <definedName name="_xlnm.Print_Area" localSheetId="26">'11.27'!$A$1:$IY$954</definedName>
    <definedName name="_xlnm.Print_Area" localSheetId="0">'18.1'!$A$1:$R$49</definedName>
    <definedName name="_xlnm.Print_Area" localSheetId="10">'18.11'!$A$1:$AR$62</definedName>
    <definedName name="_xlnm.Print_Area" localSheetId="11">'18.12'!$A$1:$I$198</definedName>
    <definedName name="_xlnm.Print_Area" localSheetId="12">'18.13'!$A$1:$J$54</definedName>
    <definedName name="_xlnm.Print_Area" localSheetId="13">'18.14'!$A$1:$F$54</definedName>
    <definedName name="_xlnm.Print_Area" localSheetId="15">'18.16'!$A$1:$I$92</definedName>
    <definedName name="_xlnm.Print_Area" localSheetId="16">'18.17'!$A$1:$J$499</definedName>
    <definedName name="_xlnm.Print_Area" localSheetId="17">'18.18'!$A$1:$H$57</definedName>
    <definedName name="_xlnm.Print_Area" localSheetId="18">'18.19'!$A$1:$I$53</definedName>
    <definedName name="_xlnm.Print_Area" localSheetId="19">'18.20'!$A$1:$I$84</definedName>
    <definedName name="_xlnm.Print_Area" localSheetId="20">'18.21'!$A$1:$G$21</definedName>
    <definedName name="_xlnm.Print_Area" localSheetId="21">'18.22'!$A$1:$F$58</definedName>
    <definedName name="_xlnm.Print_Area" localSheetId="22">'18.23'!$A$1:$N$259</definedName>
    <definedName name="_xlnm.Print_Area" localSheetId="2">'18.3'!$A$1:$U$33</definedName>
    <definedName name="_xlnm.Print_Area" localSheetId="4">'18.5'!$A$1:$O$20</definedName>
    <definedName name="_xlnm.Print_Area" localSheetId="5">'18.6'!$A$1:$U$34</definedName>
    <definedName name="_xlnm.Print_Area" localSheetId="6">'18.7'!$A$1:$H$40</definedName>
    <definedName name="_xlnm.Print_Area" localSheetId="7">'18.8'!$A$1:$I$26</definedName>
    <definedName name="_xlnm.Print_Area" localSheetId="8">'18.9'!$A$1:$H$28</definedName>
    <definedName name="_xlnm.Print_Titles" localSheetId="26">'11.27'!$4:$8</definedName>
    <definedName name="_xlnm.Print_Titles" localSheetId="16">'18.17'!$253:$257</definedName>
    <definedName name="_xlnm.Print_Titles" localSheetId="22">'18.23'!$3:$6</definedName>
  </definedNames>
  <calcPr calcId="145621"/>
</workbook>
</file>

<file path=xl/calcChain.xml><?xml version="1.0" encoding="utf-8"?>
<calcChain xmlns="http://schemas.openxmlformats.org/spreadsheetml/2006/main">
  <c r="L14" i="32" l="1"/>
  <c r="K14" i="32"/>
  <c r="J14" i="32"/>
  <c r="Q36" i="32" l="1"/>
  <c r="R36" i="32"/>
  <c r="S36" i="32"/>
  <c r="T36" i="32"/>
  <c r="U36" i="32"/>
  <c r="R35" i="32"/>
  <c r="S35" i="32"/>
  <c r="T35" i="32"/>
  <c r="U35" i="32"/>
  <c r="Q35" i="32"/>
  <c r="D277" i="31"/>
  <c r="C6" i="25"/>
  <c r="D6" i="25"/>
  <c r="E6" i="25"/>
  <c r="F6" i="25"/>
  <c r="B6" i="25"/>
  <c r="J7" i="15"/>
  <c r="J8" i="15"/>
  <c r="J9" i="15"/>
  <c r="J10" i="15"/>
  <c r="J11" i="15"/>
  <c r="J12" i="15"/>
  <c r="I8" i="15"/>
  <c r="I9" i="15"/>
  <c r="I10" i="15"/>
  <c r="I11" i="15"/>
  <c r="I12" i="15"/>
  <c r="I7" i="15"/>
  <c r="E8" i="15"/>
  <c r="E9" i="15"/>
  <c r="H9" i="15" s="1"/>
  <c r="E10" i="15"/>
  <c r="E11" i="15"/>
  <c r="E12" i="15"/>
  <c r="E7" i="15"/>
  <c r="B8" i="15"/>
  <c r="H8" i="15" s="1"/>
  <c r="B9" i="15"/>
  <c r="B10" i="15"/>
  <c r="H10" i="15" s="1"/>
  <c r="B11" i="15"/>
  <c r="H11" i="15" s="1"/>
  <c r="B12" i="15"/>
  <c r="H12" i="15" s="1"/>
  <c r="B7" i="15"/>
  <c r="H7" i="15" s="1"/>
  <c r="Y20" i="10"/>
  <c r="K19" i="10" l="1"/>
  <c r="G19" i="10"/>
  <c r="B19" i="10"/>
  <c r="K18" i="10"/>
  <c r="G18" i="10"/>
  <c r="B18" i="10"/>
  <c r="K17" i="10"/>
  <c r="G17" i="10"/>
  <c r="B17" i="10"/>
  <c r="K16" i="10"/>
  <c r="G16" i="10"/>
  <c r="B16" i="10"/>
  <c r="K15" i="10"/>
  <c r="G15" i="10"/>
  <c r="B15" i="10"/>
  <c r="K14" i="10"/>
  <c r="G14" i="10"/>
  <c r="B14" i="10"/>
  <c r="K13" i="10"/>
  <c r="G13" i="10"/>
  <c r="B13" i="10"/>
  <c r="K12" i="10"/>
  <c r="G12" i="10"/>
  <c r="B12" i="10"/>
  <c r="K11" i="10"/>
  <c r="G11" i="10"/>
  <c r="B11" i="10"/>
  <c r="K10" i="10"/>
  <c r="G10" i="10"/>
  <c r="B10" i="10"/>
  <c r="K9" i="10"/>
  <c r="G9" i="10"/>
  <c r="B9" i="10"/>
  <c r="K8" i="10"/>
  <c r="G8" i="10"/>
  <c r="B8" i="10"/>
  <c r="AE27" i="6" l="1"/>
  <c r="AE26" i="6"/>
  <c r="AE25" i="6"/>
  <c r="AE24" i="6"/>
  <c r="AC24" i="6"/>
  <c r="P61" i="16" l="1"/>
  <c r="D7" i="16"/>
  <c r="E9" i="16" s="1"/>
  <c r="B7" i="16"/>
  <c r="G90" i="25"/>
  <c r="G89" i="25"/>
  <c r="G88" i="25"/>
  <c r="G87" i="25"/>
  <c r="G86" i="25"/>
  <c r="G85" i="25"/>
  <c r="G84" i="25"/>
  <c r="G83" i="25"/>
  <c r="G82" i="25"/>
  <c r="G81" i="25"/>
  <c r="G80" i="25"/>
  <c r="G79" i="25"/>
  <c r="G78" i="25"/>
  <c r="G77" i="25"/>
  <c r="G76" i="25"/>
  <c r="G75" i="25"/>
  <c r="G74" i="25"/>
  <c r="G73" i="25"/>
  <c r="G72" i="25"/>
  <c r="G71" i="25"/>
  <c r="G70" i="25"/>
  <c r="G69" i="25"/>
  <c r="G68" i="25"/>
  <c r="G67" i="25"/>
  <c r="G66" i="25"/>
  <c r="F65" i="25"/>
  <c r="E65" i="25"/>
  <c r="D65" i="25"/>
  <c r="C65" i="25"/>
  <c r="B65" i="25"/>
  <c r="G29" i="25"/>
  <c r="G28" i="25"/>
  <c r="G27" i="25"/>
  <c r="G26" i="25"/>
  <c r="G25" i="25"/>
  <c r="G24" i="25"/>
  <c r="G23" i="25"/>
  <c r="G22" i="25"/>
  <c r="G21" i="25"/>
  <c r="G30" i="25"/>
  <c r="G20" i="25"/>
  <c r="G19" i="25"/>
  <c r="G18" i="25"/>
  <c r="G17" i="25"/>
  <c r="G16" i="25"/>
  <c r="G15" i="25"/>
  <c r="G14" i="25"/>
  <c r="G13" i="25"/>
  <c r="G12" i="25"/>
  <c r="G11" i="25"/>
  <c r="G10" i="25"/>
  <c r="G9" i="25"/>
  <c r="G8" i="25"/>
  <c r="G7" i="25"/>
  <c r="AN15" i="29"/>
  <c r="AN14" i="29"/>
  <c r="AN13" i="29"/>
  <c r="AM12" i="29"/>
  <c r="AL12" i="29"/>
  <c r="AK12" i="29"/>
  <c r="AN12" i="29" s="1"/>
  <c r="AI12" i="29"/>
  <c r="Y15" i="7"/>
  <c r="Y16" i="7"/>
  <c r="Y17" i="7"/>
  <c r="Y18" i="7"/>
  <c r="X16" i="7"/>
  <c r="X17" i="7"/>
  <c r="X18" i="7"/>
  <c r="X15" i="7"/>
  <c r="Q10" i="7"/>
  <c r="M9" i="7"/>
  <c r="L9" i="7"/>
  <c r="K11" i="7"/>
  <c r="Q11" i="7" s="1"/>
  <c r="K12" i="7"/>
  <c r="Q12" i="7" s="1"/>
  <c r="K13" i="7"/>
  <c r="Q13" i="7" s="1"/>
  <c r="K10" i="7"/>
  <c r="G6" i="25" l="1"/>
  <c r="H6" i="25" s="1"/>
  <c r="H69" i="25"/>
  <c r="H79" i="25"/>
  <c r="E27" i="16"/>
  <c r="E12" i="16"/>
  <c r="E20" i="16"/>
  <c r="E30" i="16"/>
  <c r="E21" i="16"/>
  <c r="E8" i="16"/>
  <c r="E15" i="16"/>
  <c r="E16" i="16"/>
  <c r="E31" i="16"/>
  <c r="E10" i="16"/>
  <c r="E17" i="16"/>
  <c r="E24" i="16"/>
  <c r="E11" i="16"/>
  <c r="E18" i="16"/>
  <c r="E25" i="16"/>
  <c r="E23" i="16"/>
  <c r="E19" i="16"/>
  <c r="E26" i="16"/>
  <c r="E13" i="16"/>
  <c r="E28" i="16"/>
  <c r="E7" i="16"/>
  <c r="E14" i="16"/>
  <c r="E22" i="16"/>
  <c r="E29" i="16"/>
  <c r="H25" i="25"/>
  <c r="H28" i="25"/>
  <c r="H21" i="25"/>
  <c r="G65" i="25"/>
  <c r="H65" i="25" s="1"/>
  <c r="H81" i="25" l="1"/>
  <c r="H30" i="25"/>
  <c r="H83" i="25"/>
  <c r="H18" i="25"/>
  <c r="H12" i="25"/>
  <c r="H76" i="25"/>
  <c r="H9" i="25"/>
  <c r="H16" i="25"/>
  <c r="H82" i="25"/>
  <c r="H23" i="25"/>
  <c r="H68" i="25"/>
  <c r="H15" i="25"/>
  <c r="H22" i="25"/>
  <c r="H27" i="25"/>
  <c r="H73" i="25"/>
  <c r="H71" i="25"/>
  <c r="H77" i="25"/>
  <c r="H90" i="25"/>
  <c r="H14" i="25"/>
  <c r="H26" i="25"/>
  <c r="H20" i="25"/>
  <c r="H19" i="25"/>
  <c r="H86" i="25"/>
  <c r="H11" i="25"/>
  <c r="H78" i="25"/>
  <c r="H70" i="25"/>
  <c r="H75" i="25"/>
  <c r="H10" i="25"/>
  <c r="H13" i="25"/>
  <c r="H74" i="25"/>
  <c r="H80" i="25"/>
  <c r="H7" i="25"/>
  <c r="H88" i="25"/>
  <c r="H67" i="25"/>
  <c r="H24" i="25"/>
  <c r="H17" i="25"/>
  <c r="H66" i="25"/>
  <c r="H72" i="25"/>
  <c r="H85" i="25"/>
  <c r="H84" i="25"/>
  <c r="H29" i="25"/>
  <c r="H8" i="25"/>
  <c r="H89" i="25"/>
  <c r="H87" i="25"/>
  <c r="V230" i="41"/>
  <c r="W230" i="41" s="1"/>
  <c r="X230" i="41" s="1"/>
  <c r="Y230" i="41" s="1"/>
  <c r="D10" i="40"/>
  <c r="D8" i="40" s="1"/>
  <c r="C10" i="40"/>
  <c r="B10" i="40"/>
  <c r="B8" i="40" s="1"/>
  <c r="W45" i="34"/>
  <c r="X45" i="34"/>
  <c r="U45" i="34"/>
  <c r="T44" i="34"/>
  <c r="Y45" i="34" s="1"/>
  <c r="H6" i="34"/>
  <c r="Z45" i="34" l="1"/>
  <c r="V45" i="34"/>
  <c r="E10" i="40"/>
  <c r="Z230" i="41"/>
  <c r="C8" i="40"/>
  <c r="E8" i="40" s="1"/>
  <c r="AA230" i="41" l="1"/>
  <c r="AB230" i="41" s="1"/>
  <c r="AC230" i="41" l="1"/>
  <c r="H11" i="30" l="1"/>
  <c r="H9" i="30" s="1"/>
  <c r="G11" i="30"/>
  <c r="G9" i="30" s="1"/>
  <c r="F11" i="30"/>
  <c r="F9" i="30" s="1"/>
  <c r="E11" i="30"/>
  <c r="E9" i="30" s="1"/>
  <c r="D11" i="30"/>
  <c r="D9" i="30" s="1"/>
  <c r="C11" i="30"/>
  <c r="C9" i="30" s="1"/>
  <c r="V234" i="41"/>
  <c r="R234" i="41"/>
  <c r="O234" i="41"/>
  <c r="K234" i="41"/>
  <c r="H234" i="41"/>
  <c r="D234" i="41"/>
  <c r="AD233" i="41"/>
  <c r="V233" i="41"/>
  <c r="R233" i="41"/>
  <c r="O233" i="41"/>
  <c r="V232" i="41"/>
  <c r="R232" i="41"/>
  <c r="O232" i="41"/>
  <c r="K232" i="41"/>
  <c r="H232" i="41"/>
  <c r="D232" i="41"/>
  <c r="AD231" i="41"/>
  <c r="V231" i="41"/>
  <c r="R231" i="41"/>
  <c r="O231" i="41"/>
  <c r="K231" i="41"/>
  <c r="H231" i="41"/>
  <c r="D231" i="41"/>
  <c r="AD230" i="41"/>
  <c r="R230" i="41"/>
  <c r="O230" i="41"/>
  <c r="K230" i="41"/>
  <c r="H230" i="41"/>
  <c r="D230" i="41"/>
  <c r="V229" i="41"/>
  <c r="R229" i="41"/>
  <c r="O229" i="41"/>
  <c r="K229" i="41"/>
  <c r="H229" i="41"/>
  <c r="D229" i="41"/>
  <c r="AD228" i="41"/>
  <c r="V228" i="41"/>
  <c r="R228" i="41"/>
  <c r="O228" i="41"/>
  <c r="K228" i="41"/>
  <c r="H228" i="41"/>
  <c r="D228" i="41"/>
  <c r="AD227" i="41"/>
  <c r="V227" i="41"/>
  <c r="V226" i="41" s="1"/>
  <c r="R227" i="41"/>
  <c r="O227" i="41"/>
  <c r="K227" i="41"/>
  <c r="H227" i="41"/>
  <c r="D227" i="41"/>
  <c r="U226" i="41"/>
  <c r="T226" i="41"/>
  <c r="S226" i="41"/>
  <c r="Q226" i="41"/>
  <c r="P226" i="41"/>
  <c r="N226" i="41"/>
  <c r="M226" i="41"/>
  <c r="O226" i="41" s="1"/>
  <c r="L226" i="41"/>
  <c r="J226" i="41"/>
  <c r="I226" i="41"/>
  <c r="G226" i="41"/>
  <c r="F226" i="41"/>
  <c r="E226" i="41"/>
  <c r="C226" i="41"/>
  <c r="B226" i="41"/>
  <c r="D226" i="41" s="1"/>
  <c r="AD225" i="41"/>
  <c r="V225" i="41"/>
  <c r="R225" i="41"/>
  <c r="O225" i="41"/>
  <c r="K225" i="41"/>
  <c r="H225" i="41"/>
  <c r="D225" i="41"/>
  <c r="AD224" i="41"/>
  <c r="AC224" i="41"/>
  <c r="AB224" i="41"/>
  <c r="AA224" i="41"/>
  <c r="Z224" i="41"/>
  <c r="Y224" i="41"/>
  <c r="X224" i="41"/>
  <c r="W224" i="41"/>
  <c r="V224" i="41"/>
  <c r="U224" i="41"/>
  <c r="T224" i="41"/>
  <c r="S224" i="41"/>
  <c r="R224" i="41"/>
  <c r="Q224" i="41"/>
  <c r="P224" i="41"/>
  <c r="N224" i="41"/>
  <c r="M224" i="41"/>
  <c r="O224" i="41" s="1"/>
  <c r="L224" i="41"/>
  <c r="J224" i="41"/>
  <c r="I224" i="41"/>
  <c r="G224" i="41"/>
  <c r="F224" i="41"/>
  <c r="E224" i="41"/>
  <c r="C224" i="41"/>
  <c r="B224" i="41"/>
  <c r="D224" i="41" s="1"/>
  <c r="AD223" i="41"/>
  <c r="V223" i="41"/>
  <c r="R223" i="41"/>
  <c r="O223" i="41"/>
  <c r="K223" i="41"/>
  <c r="H223" i="41"/>
  <c r="D223" i="41"/>
  <c r="AD222" i="41"/>
  <c r="V222" i="41"/>
  <c r="R222" i="41"/>
  <c r="O222" i="41"/>
  <c r="K222" i="41"/>
  <c r="H222" i="41"/>
  <c r="D222" i="41"/>
  <c r="AD221" i="41"/>
  <c r="V221" i="41"/>
  <c r="R221" i="41"/>
  <c r="O221" i="41"/>
  <c r="K221" i="41"/>
  <c r="H221" i="41"/>
  <c r="D221" i="41"/>
  <c r="AD220" i="41"/>
  <c r="V220" i="41"/>
  <c r="R220" i="41"/>
  <c r="O220" i="41"/>
  <c r="K220" i="41"/>
  <c r="H220" i="41"/>
  <c r="D220" i="41"/>
  <c r="AD219" i="41"/>
  <c r="V219" i="41"/>
  <c r="R219" i="41"/>
  <c r="O219" i="41"/>
  <c r="K219" i="41"/>
  <c r="H219" i="41"/>
  <c r="D219" i="41"/>
  <c r="AD218" i="41"/>
  <c r="V218" i="41"/>
  <c r="R218" i="41"/>
  <c r="O218" i="41"/>
  <c r="K218" i="41"/>
  <c r="H218" i="41"/>
  <c r="D218" i="41"/>
  <c r="AD217" i="41"/>
  <c r="V217" i="41"/>
  <c r="R217" i="41"/>
  <c r="O217" i="41"/>
  <c r="K217" i="41"/>
  <c r="H217" i="41"/>
  <c r="D217" i="41"/>
  <c r="AD216" i="41"/>
  <c r="V216" i="41"/>
  <c r="R216" i="41"/>
  <c r="O216" i="41"/>
  <c r="K216" i="41"/>
  <c r="H216" i="41"/>
  <c r="D216" i="41"/>
  <c r="AD215" i="41"/>
  <c r="V215" i="41"/>
  <c r="R215" i="41"/>
  <c r="O215" i="41"/>
  <c r="K215" i="41"/>
  <c r="H215" i="41"/>
  <c r="D215" i="41"/>
  <c r="AD214" i="41"/>
  <c r="AC214" i="41"/>
  <c r="AB214" i="41"/>
  <c r="AA214" i="41"/>
  <c r="Z214" i="41"/>
  <c r="Y214" i="41"/>
  <c r="X214" i="41"/>
  <c r="W214" i="41"/>
  <c r="V214" i="41"/>
  <c r="U214" i="41"/>
  <c r="T214" i="41"/>
  <c r="S214" i="41"/>
  <c r="R214" i="41"/>
  <c r="Q214" i="41"/>
  <c r="P214" i="41"/>
  <c r="N214" i="41"/>
  <c r="M214" i="41"/>
  <c r="L214" i="41"/>
  <c r="J214" i="41"/>
  <c r="I214" i="41"/>
  <c r="G214" i="41"/>
  <c r="F214" i="41"/>
  <c r="H214" i="41" s="1"/>
  <c r="E214" i="41"/>
  <c r="C214" i="41"/>
  <c r="B214" i="41"/>
  <c r="AD213" i="41"/>
  <c r="V213" i="41"/>
  <c r="R213" i="41"/>
  <c r="O213" i="41"/>
  <c r="K213" i="41"/>
  <c r="H213" i="41"/>
  <c r="D213" i="41"/>
  <c r="AD212" i="41"/>
  <c r="V212" i="41"/>
  <c r="R212" i="41"/>
  <c r="O212" i="41"/>
  <c r="K212" i="41"/>
  <c r="H212" i="41"/>
  <c r="D212" i="41"/>
  <c r="AD211" i="41"/>
  <c r="V211" i="41"/>
  <c r="R211" i="41"/>
  <c r="O211" i="41"/>
  <c r="K211" i="41"/>
  <c r="H211" i="41"/>
  <c r="D211" i="41"/>
  <c r="AD210" i="41"/>
  <c r="V210" i="41"/>
  <c r="R210" i="41"/>
  <c r="O210" i="41"/>
  <c r="K210" i="41"/>
  <c r="H210" i="41"/>
  <c r="D210" i="41"/>
  <c r="AD209" i="41"/>
  <c r="V209" i="41"/>
  <c r="R209" i="41"/>
  <c r="O209" i="41"/>
  <c r="K209" i="41"/>
  <c r="H209" i="41"/>
  <c r="D209" i="41"/>
  <c r="AD208" i="41"/>
  <c r="V208" i="41"/>
  <c r="R208" i="41"/>
  <c r="O208" i="41"/>
  <c r="K208" i="41"/>
  <c r="H208" i="41"/>
  <c r="D208" i="41"/>
  <c r="AD207" i="41"/>
  <c r="V207" i="41"/>
  <c r="R207" i="41"/>
  <c r="O207" i="41"/>
  <c r="K207" i="41"/>
  <c r="H207" i="41"/>
  <c r="D207" i="41"/>
  <c r="AD206" i="41"/>
  <c r="V206" i="41"/>
  <c r="R206" i="41"/>
  <c r="O206" i="41"/>
  <c r="K206" i="41"/>
  <c r="H206" i="41"/>
  <c r="D206" i="41"/>
  <c r="AD205" i="41"/>
  <c r="V205" i="41"/>
  <c r="R205" i="41"/>
  <c r="O205" i="41"/>
  <c r="K205" i="41"/>
  <c r="H205" i="41"/>
  <c r="D205" i="41"/>
  <c r="AD204" i="41"/>
  <c r="V204" i="41"/>
  <c r="R204" i="41"/>
  <c r="O204" i="41"/>
  <c r="K204" i="41"/>
  <c r="H204" i="41"/>
  <c r="D204" i="41"/>
  <c r="AD203" i="41"/>
  <c r="AC203" i="41"/>
  <c r="AB203" i="41"/>
  <c r="AA203" i="41"/>
  <c r="Z203" i="41"/>
  <c r="Y203" i="41"/>
  <c r="X203" i="41"/>
  <c r="W203" i="41"/>
  <c r="V203" i="41"/>
  <c r="U203" i="41"/>
  <c r="T203" i="41"/>
  <c r="S203" i="41"/>
  <c r="Q203" i="41"/>
  <c r="P203" i="41"/>
  <c r="N203" i="41"/>
  <c r="M203" i="41"/>
  <c r="L203" i="41"/>
  <c r="J203" i="41"/>
  <c r="I203" i="41"/>
  <c r="G203" i="41"/>
  <c r="F203" i="41"/>
  <c r="E203" i="41"/>
  <c r="C203" i="41"/>
  <c r="B203" i="41"/>
  <c r="AD202" i="41"/>
  <c r="V202" i="41"/>
  <c r="R202" i="41"/>
  <c r="O202" i="41"/>
  <c r="K202" i="41"/>
  <c r="H202" i="41"/>
  <c r="D202" i="41"/>
  <c r="AD201" i="41"/>
  <c r="V201" i="41"/>
  <c r="R201" i="41"/>
  <c r="O201" i="41"/>
  <c r="K201" i="41"/>
  <c r="H201" i="41"/>
  <c r="D201" i="41"/>
  <c r="AD200" i="41"/>
  <c r="V200" i="41"/>
  <c r="R200" i="41"/>
  <c r="O200" i="41"/>
  <c r="K200" i="41"/>
  <c r="H200" i="41"/>
  <c r="D200" i="41"/>
  <c r="AD199" i="41"/>
  <c r="V199" i="41"/>
  <c r="R199" i="41"/>
  <c r="O199" i="41"/>
  <c r="K199" i="41"/>
  <c r="H199" i="41"/>
  <c r="D199" i="41"/>
  <c r="AD198" i="41"/>
  <c r="V198" i="41"/>
  <c r="R198" i="41"/>
  <c r="O198" i="41"/>
  <c r="K198" i="41"/>
  <c r="H198" i="41"/>
  <c r="D198" i="41"/>
  <c r="AD197" i="41"/>
  <c r="V197" i="41"/>
  <c r="R197" i="41"/>
  <c r="O197" i="41"/>
  <c r="K197" i="41"/>
  <c r="H197" i="41"/>
  <c r="D197" i="41"/>
  <c r="AD196" i="41"/>
  <c r="V196" i="41"/>
  <c r="R196" i="41"/>
  <c r="O196" i="41"/>
  <c r="K196" i="41"/>
  <c r="H196" i="41"/>
  <c r="D196" i="41"/>
  <c r="AD195" i="41"/>
  <c r="V195" i="41"/>
  <c r="R195" i="41"/>
  <c r="O195" i="41"/>
  <c r="K195" i="41"/>
  <c r="H195" i="41"/>
  <c r="D195" i="41"/>
  <c r="AD194" i="41"/>
  <c r="V194" i="41"/>
  <c r="R194" i="41"/>
  <c r="O194" i="41"/>
  <c r="K194" i="41"/>
  <c r="H194" i="41"/>
  <c r="D194" i="41"/>
  <c r="AD193" i="41"/>
  <c r="V193" i="41"/>
  <c r="R193" i="41"/>
  <c r="O193" i="41"/>
  <c r="K193" i="41"/>
  <c r="H193" i="41"/>
  <c r="D193" i="41"/>
  <c r="AD192" i="41"/>
  <c r="V192" i="41"/>
  <c r="R192" i="41"/>
  <c r="O192" i="41"/>
  <c r="K192" i="41"/>
  <c r="H192" i="41"/>
  <c r="D192" i="41"/>
  <c r="AD191" i="41"/>
  <c r="V191" i="41"/>
  <c r="V190" i="41" s="1"/>
  <c r="R191" i="41"/>
  <c r="O191" i="41"/>
  <c r="K191" i="41"/>
  <c r="H191" i="41"/>
  <c r="D191" i="41"/>
  <c r="AC190" i="41"/>
  <c r="AB190" i="41"/>
  <c r="AA190" i="41"/>
  <c r="Z190" i="41"/>
  <c r="Y190" i="41"/>
  <c r="X190" i="41"/>
  <c r="W190" i="41"/>
  <c r="U190" i="41"/>
  <c r="T190" i="41"/>
  <c r="S190" i="41"/>
  <c r="Q190" i="41"/>
  <c r="P190" i="41"/>
  <c r="N190" i="41"/>
  <c r="M190" i="41"/>
  <c r="L190" i="41"/>
  <c r="J190" i="41"/>
  <c r="I190" i="41"/>
  <c r="K190" i="41" s="1"/>
  <c r="G190" i="41"/>
  <c r="F190" i="41"/>
  <c r="H190" i="41" s="1"/>
  <c r="E190" i="41"/>
  <c r="C190" i="41"/>
  <c r="B190" i="41"/>
  <c r="AD189" i="41"/>
  <c r="V189" i="41"/>
  <c r="R189" i="41"/>
  <c r="O189" i="41"/>
  <c r="K189" i="41"/>
  <c r="H189" i="41"/>
  <c r="D189" i="41"/>
  <c r="AD188" i="41"/>
  <c r="V188" i="41"/>
  <c r="R188" i="41"/>
  <c r="O188" i="41"/>
  <c r="K188" i="41"/>
  <c r="H188" i="41"/>
  <c r="D188" i="41"/>
  <c r="AD187" i="41"/>
  <c r="V187" i="41"/>
  <c r="R187" i="41"/>
  <c r="O187" i="41"/>
  <c r="K187" i="41"/>
  <c r="H187" i="41"/>
  <c r="D187" i="41"/>
  <c r="AD186" i="41"/>
  <c r="V186" i="41"/>
  <c r="R186" i="41"/>
  <c r="O186" i="41"/>
  <c r="K186" i="41"/>
  <c r="H186" i="41"/>
  <c r="D186" i="41"/>
  <c r="AD185" i="41"/>
  <c r="V185" i="41"/>
  <c r="R185" i="41"/>
  <c r="O185" i="41"/>
  <c r="K185" i="41"/>
  <c r="H185" i="41"/>
  <c r="D185" i="41"/>
  <c r="AD184" i="41"/>
  <c r="V184" i="41"/>
  <c r="R184" i="41"/>
  <c r="O184" i="41"/>
  <c r="K184" i="41"/>
  <c r="H184" i="41"/>
  <c r="D184" i="41"/>
  <c r="AD183" i="41"/>
  <c r="V183" i="41"/>
  <c r="R183" i="41"/>
  <c r="O183" i="41"/>
  <c r="K183" i="41"/>
  <c r="H183" i="41"/>
  <c r="D183" i="41"/>
  <c r="AD182" i="41"/>
  <c r="V182" i="41"/>
  <c r="R182" i="41"/>
  <c r="O182" i="41"/>
  <c r="K182" i="41"/>
  <c r="H182" i="41"/>
  <c r="D182" i="41"/>
  <c r="AD181" i="41"/>
  <c r="V181" i="41"/>
  <c r="R181" i="41"/>
  <c r="O181" i="41"/>
  <c r="K181" i="41"/>
  <c r="H181" i="41"/>
  <c r="D181" i="41"/>
  <c r="AD180" i="41"/>
  <c r="V180" i="41"/>
  <c r="R180" i="41"/>
  <c r="O180" i="41"/>
  <c r="K180" i="41"/>
  <c r="H180" i="41"/>
  <c r="D180" i="41"/>
  <c r="AD179" i="41"/>
  <c r="V179" i="41"/>
  <c r="R179" i="41"/>
  <c r="O179" i="41"/>
  <c r="K179" i="41"/>
  <c r="H179" i="41"/>
  <c r="D179" i="41"/>
  <c r="AD178" i="41"/>
  <c r="V178" i="41"/>
  <c r="V176" i="41" s="1"/>
  <c r="R178" i="41"/>
  <c r="O178" i="41"/>
  <c r="K178" i="41"/>
  <c r="H178" i="41"/>
  <c r="D178" i="41"/>
  <c r="AD177" i="41"/>
  <c r="AD176" i="41" s="1"/>
  <c r="V177" i="41"/>
  <c r="R177" i="41"/>
  <c r="O177" i="41"/>
  <c r="K177" i="41"/>
  <c r="H177" i="41"/>
  <c r="D177" i="41"/>
  <c r="AC176" i="41"/>
  <c r="AB176" i="41"/>
  <c r="AA176" i="41"/>
  <c r="Z176" i="41"/>
  <c r="Y176" i="41"/>
  <c r="X176" i="41"/>
  <c r="W176" i="41"/>
  <c r="U176" i="41"/>
  <c r="T176" i="41"/>
  <c r="S176" i="41"/>
  <c r="Q176" i="41"/>
  <c r="P176" i="41"/>
  <c r="O176" i="41"/>
  <c r="N176" i="41"/>
  <c r="M176" i="41"/>
  <c r="L176" i="41"/>
  <c r="J176" i="41"/>
  <c r="K176" i="41" s="1"/>
  <c r="I176" i="41"/>
  <c r="G176" i="41"/>
  <c r="F176" i="41"/>
  <c r="E176" i="41"/>
  <c r="C176" i="41"/>
  <c r="B176" i="41"/>
  <c r="AD175" i="41"/>
  <c r="V175" i="41"/>
  <c r="R175" i="41"/>
  <c r="O175" i="41"/>
  <c r="K175" i="41"/>
  <c r="H175" i="41"/>
  <c r="D175" i="41"/>
  <c r="AD174" i="41"/>
  <c r="V174" i="41"/>
  <c r="R174" i="41"/>
  <c r="O174" i="41"/>
  <c r="K174" i="41"/>
  <c r="H174" i="41"/>
  <c r="D174" i="41"/>
  <c r="AD173" i="41"/>
  <c r="V173" i="41"/>
  <c r="R173" i="41"/>
  <c r="O173" i="41"/>
  <c r="K173" i="41"/>
  <c r="H173" i="41"/>
  <c r="D173" i="41"/>
  <c r="AD172" i="41"/>
  <c r="V172" i="41"/>
  <c r="R172" i="41"/>
  <c r="O172" i="41"/>
  <c r="K172" i="41"/>
  <c r="H172" i="41"/>
  <c r="D172" i="41"/>
  <c r="AD171" i="41"/>
  <c r="V171" i="41"/>
  <c r="R171" i="41"/>
  <c r="O171" i="41"/>
  <c r="K171" i="41"/>
  <c r="H171" i="41"/>
  <c r="D171" i="41"/>
  <c r="AD170" i="41"/>
  <c r="V170" i="41"/>
  <c r="R170" i="41"/>
  <c r="O170" i="41"/>
  <c r="K170" i="41"/>
  <c r="H170" i="41"/>
  <c r="D170" i="41"/>
  <c r="AD169" i="41"/>
  <c r="V169" i="41"/>
  <c r="R169" i="41"/>
  <c r="O169" i="41"/>
  <c r="K169" i="41"/>
  <c r="H169" i="41"/>
  <c r="D169" i="41"/>
  <c r="AD168" i="41"/>
  <c r="V168" i="41"/>
  <c r="R168" i="41"/>
  <c r="O168" i="41"/>
  <c r="K168" i="41"/>
  <c r="H168" i="41"/>
  <c r="D168" i="41"/>
  <c r="AC167" i="41"/>
  <c r="AB167" i="41"/>
  <c r="AA167" i="41"/>
  <c r="Z167" i="41"/>
  <c r="Y167" i="41"/>
  <c r="X167" i="41"/>
  <c r="W167" i="41"/>
  <c r="U167" i="41"/>
  <c r="T167" i="41"/>
  <c r="S167" i="41"/>
  <c r="Q167" i="41"/>
  <c r="P167" i="41"/>
  <c r="N167" i="41"/>
  <c r="M167" i="41"/>
  <c r="L167" i="41"/>
  <c r="J167" i="41"/>
  <c r="I167" i="41"/>
  <c r="K167" i="41" s="1"/>
  <c r="G167" i="41"/>
  <c r="F167" i="41"/>
  <c r="E167" i="41"/>
  <c r="C167" i="41"/>
  <c r="B167" i="41"/>
  <c r="AD166" i="41"/>
  <c r="V166" i="41"/>
  <c r="R166" i="41"/>
  <c r="O166" i="41"/>
  <c r="K166" i="41"/>
  <c r="H166" i="41"/>
  <c r="D166" i="41"/>
  <c r="AD165" i="41"/>
  <c r="V165" i="41"/>
  <c r="R165" i="41"/>
  <c r="O165" i="41"/>
  <c r="K165" i="41"/>
  <c r="H165" i="41"/>
  <c r="D165" i="41"/>
  <c r="AD164" i="41"/>
  <c r="V164" i="41"/>
  <c r="R164" i="41"/>
  <c r="O164" i="41"/>
  <c r="K164" i="41"/>
  <c r="H164" i="41"/>
  <c r="D164" i="41"/>
  <c r="AD163" i="41"/>
  <c r="V163" i="41"/>
  <c r="R163" i="41"/>
  <c r="O163" i="41"/>
  <c r="K163" i="41"/>
  <c r="H163" i="41"/>
  <c r="D163" i="41"/>
  <c r="AD162" i="41"/>
  <c r="V162" i="41"/>
  <c r="R162" i="41"/>
  <c r="O162" i="41"/>
  <c r="K162" i="41"/>
  <c r="H162" i="41"/>
  <c r="D162" i="41"/>
  <c r="AC161" i="41"/>
  <c r="AB161" i="41"/>
  <c r="AA161" i="41"/>
  <c r="Z161" i="41"/>
  <c r="Y161" i="41"/>
  <c r="X161" i="41"/>
  <c r="W161" i="41"/>
  <c r="U161" i="41"/>
  <c r="T161" i="41"/>
  <c r="S161" i="41"/>
  <c r="Q161" i="41"/>
  <c r="P161" i="41"/>
  <c r="N161" i="41"/>
  <c r="M161" i="41"/>
  <c r="L161" i="41"/>
  <c r="J161" i="41"/>
  <c r="I161" i="41"/>
  <c r="K161" i="41" s="1"/>
  <c r="G161" i="41"/>
  <c r="F161" i="41"/>
  <c r="H161" i="41" s="1"/>
  <c r="E161" i="41"/>
  <c r="C161" i="41"/>
  <c r="B161" i="41"/>
  <c r="AD160" i="41"/>
  <c r="V160" i="41"/>
  <c r="R160" i="41"/>
  <c r="O160" i="41"/>
  <c r="K160" i="41"/>
  <c r="H160" i="41"/>
  <c r="D160" i="41"/>
  <c r="AD159" i="41"/>
  <c r="V159" i="41"/>
  <c r="R159" i="41"/>
  <c r="O159" i="41"/>
  <c r="K159" i="41"/>
  <c r="H159" i="41"/>
  <c r="D159" i="41"/>
  <c r="AD158" i="41"/>
  <c r="V158" i="41"/>
  <c r="R158" i="41"/>
  <c r="O158" i="41"/>
  <c r="K158" i="41"/>
  <c r="H158" i="41"/>
  <c r="D158" i="41"/>
  <c r="AD157" i="41"/>
  <c r="V157" i="41"/>
  <c r="R157" i="41"/>
  <c r="O157" i="41"/>
  <c r="K157" i="41"/>
  <c r="H157" i="41"/>
  <c r="D157" i="41"/>
  <c r="AD156" i="41"/>
  <c r="V156" i="41"/>
  <c r="R156" i="41"/>
  <c r="O156" i="41"/>
  <c r="K156" i="41"/>
  <c r="H156" i="41"/>
  <c r="D156" i="41"/>
  <c r="AD155" i="41"/>
  <c r="V155" i="41"/>
  <c r="R155" i="41"/>
  <c r="O155" i="41"/>
  <c r="K155" i="41"/>
  <c r="H155" i="41"/>
  <c r="D155" i="41"/>
  <c r="AD154" i="41"/>
  <c r="V154" i="41"/>
  <c r="R154" i="41"/>
  <c r="O154" i="41"/>
  <c r="K154" i="41"/>
  <c r="H154" i="41"/>
  <c r="D154" i="41"/>
  <c r="AD153" i="41"/>
  <c r="V153" i="41"/>
  <c r="R153" i="41"/>
  <c r="O153" i="41"/>
  <c r="K153" i="41"/>
  <c r="H153" i="41"/>
  <c r="D153" i="41"/>
  <c r="AD152" i="41"/>
  <c r="V152" i="41"/>
  <c r="R152" i="41"/>
  <c r="O152" i="41"/>
  <c r="K152" i="41"/>
  <c r="H152" i="41"/>
  <c r="D152" i="41"/>
  <c r="AC151" i="41"/>
  <c r="AB151" i="41"/>
  <c r="AA151" i="41"/>
  <c r="Z151" i="41"/>
  <c r="Y151" i="41"/>
  <c r="X151" i="41"/>
  <c r="W151" i="41"/>
  <c r="U151" i="41"/>
  <c r="T151" i="41"/>
  <c r="S151" i="41"/>
  <c r="Q151" i="41"/>
  <c r="P151" i="41"/>
  <c r="N151" i="41"/>
  <c r="M151" i="41"/>
  <c r="L151" i="41"/>
  <c r="O151" i="41" s="1"/>
  <c r="J151" i="41"/>
  <c r="I151" i="41"/>
  <c r="K151" i="41" s="1"/>
  <c r="G151" i="41"/>
  <c r="F151" i="41"/>
  <c r="E151" i="41"/>
  <c r="C151" i="41"/>
  <c r="B151" i="41"/>
  <c r="AD150" i="41"/>
  <c r="V150" i="41"/>
  <c r="R150" i="41"/>
  <c r="O150" i="41"/>
  <c r="K150" i="41"/>
  <c r="H150" i="41"/>
  <c r="D150" i="41"/>
  <c r="AD149" i="41"/>
  <c r="V149" i="41"/>
  <c r="R149" i="41"/>
  <c r="O149" i="41"/>
  <c r="K149" i="41"/>
  <c r="H149" i="41"/>
  <c r="D149" i="41"/>
  <c r="AD148" i="41"/>
  <c r="V148" i="41"/>
  <c r="R148" i="41"/>
  <c r="O148" i="41"/>
  <c r="K148" i="41"/>
  <c r="H148" i="41"/>
  <c r="D148" i="41"/>
  <c r="AD147" i="41"/>
  <c r="V147" i="41"/>
  <c r="R147" i="41"/>
  <c r="O147" i="41"/>
  <c r="K147" i="41"/>
  <c r="H147" i="41"/>
  <c r="D147" i="41"/>
  <c r="AD146" i="41"/>
  <c r="V146" i="41"/>
  <c r="R146" i="41"/>
  <c r="O146" i="41"/>
  <c r="K146" i="41"/>
  <c r="H146" i="41"/>
  <c r="D146" i="41"/>
  <c r="AC145" i="41"/>
  <c r="AB145" i="41"/>
  <c r="AA145" i="41"/>
  <c r="Z145" i="41"/>
  <c r="Y145" i="41"/>
  <c r="X145" i="41"/>
  <c r="W145" i="41"/>
  <c r="U145" i="41"/>
  <c r="T145" i="41"/>
  <c r="S145" i="41"/>
  <c r="Q145" i="41"/>
  <c r="P145" i="41"/>
  <c r="R145" i="41" s="1"/>
  <c r="N145" i="41"/>
  <c r="M145" i="41"/>
  <c r="L145" i="41"/>
  <c r="J145" i="41"/>
  <c r="I145" i="41"/>
  <c r="G145" i="41"/>
  <c r="F145" i="41"/>
  <c r="H145" i="41" s="1"/>
  <c r="E145" i="41"/>
  <c r="C145" i="41"/>
  <c r="B145" i="41"/>
  <c r="D145" i="41" s="1"/>
  <c r="AD144" i="41"/>
  <c r="V144" i="41"/>
  <c r="R144" i="41"/>
  <c r="O144" i="41"/>
  <c r="K144" i="41"/>
  <c r="H144" i="41"/>
  <c r="D144" i="41"/>
  <c r="AD143" i="41"/>
  <c r="V143" i="41"/>
  <c r="R143" i="41"/>
  <c r="O143" i="41"/>
  <c r="K143" i="41"/>
  <c r="H143" i="41"/>
  <c r="D143" i="41"/>
  <c r="AD142" i="41"/>
  <c r="V142" i="41"/>
  <c r="R142" i="41"/>
  <c r="O142" i="41"/>
  <c r="K142" i="41"/>
  <c r="H142" i="41"/>
  <c r="D142" i="41"/>
  <c r="AD141" i="41"/>
  <c r="V141" i="41"/>
  <c r="R141" i="41"/>
  <c r="O141" i="41"/>
  <c r="K141" i="41"/>
  <c r="H141" i="41"/>
  <c r="D141" i="41"/>
  <c r="AD140" i="41"/>
  <c r="V140" i="41"/>
  <c r="R140" i="41"/>
  <c r="O140" i="41"/>
  <c r="K140" i="41"/>
  <c r="H140" i="41"/>
  <c r="D140" i="41"/>
  <c r="AD139" i="41"/>
  <c r="V139" i="41"/>
  <c r="R139" i="41"/>
  <c r="O139" i="41"/>
  <c r="K139" i="41"/>
  <c r="H139" i="41"/>
  <c r="D139" i="41"/>
  <c r="AD138" i="41"/>
  <c r="V138" i="41"/>
  <c r="R138" i="41"/>
  <c r="O138" i="41"/>
  <c r="K138" i="41"/>
  <c r="H138" i="41"/>
  <c r="D138" i="41"/>
  <c r="AD137" i="41"/>
  <c r="V137" i="41"/>
  <c r="R137" i="41"/>
  <c r="O137" i="41"/>
  <c r="K137" i="41"/>
  <c r="H137" i="41"/>
  <c r="D137" i="41"/>
  <c r="AD136" i="41"/>
  <c r="V136" i="41"/>
  <c r="V134" i="41" s="1"/>
  <c r="R136" i="41"/>
  <c r="O136" i="41"/>
  <c r="K136" i="41"/>
  <c r="H136" i="41"/>
  <c r="D136" i="41"/>
  <c r="AD135" i="41"/>
  <c r="V135" i="41"/>
  <c r="R135" i="41"/>
  <c r="O135" i="41"/>
  <c r="K135" i="41"/>
  <c r="H135" i="41"/>
  <c r="D135" i="41"/>
  <c r="AC134" i="41"/>
  <c r="AB134" i="41"/>
  <c r="AA134" i="41"/>
  <c r="Z134" i="41"/>
  <c r="Y134" i="41"/>
  <c r="X134" i="41"/>
  <c r="W134" i="41"/>
  <c r="U134" i="41"/>
  <c r="T134" i="41"/>
  <c r="S134" i="41"/>
  <c r="Q134" i="41"/>
  <c r="P134" i="41"/>
  <c r="R134" i="41" s="1"/>
  <c r="N134" i="41"/>
  <c r="M134" i="41"/>
  <c r="O134" i="41" s="1"/>
  <c r="L134" i="41"/>
  <c r="J134" i="41"/>
  <c r="I134" i="41"/>
  <c r="K134" i="41" s="1"/>
  <c r="G134" i="41"/>
  <c r="F134" i="41"/>
  <c r="E134" i="41"/>
  <c r="C134" i="41"/>
  <c r="B134" i="41"/>
  <c r="AD133" i="41"/>
  <c r="V133" i="41"/>
  <c r="R133" i="41"/>
  <c r="O133" i="41"/>
  <c r="K133" i="41"/>
  <c r="H133" i="41"/>
  <c r="D133" i="41"/>
  <c r="AD132" i="41"/>
  <c r="V132" i="41"/>
  <c r="R132" i="41"/>
  <c r="O132" i="41"/>
  <c r="K132" i="41"/>
  <c r="H132" i="41"/>
  <c r="D132" i="41"/>
  <c r="AD131" i="41"/>
  <c r="V131" i="41"/>
  <c r="R131" i="41"/>
  <c r="O131" i="41"/>
  <c r="K131" i="41"/>
  <c r="H131" i="41"/>
  <c r="D131" i="41"/>
  <c r="AD130" i="41"/>
  <c r="V130" i="41"/>
  <c r="R130" i="41"/>
  <c r="O130" i="41"/>
  <c r="K130" i="41"/>
  <c r="H130" i="41"/>
  <c r="D130" i="41"/>
  <c r="AD129" i="41"/>
  <c r="V129" i="41"/>
  <c r="R129" i="41"/>
  <c r="O129" i="41"/>
  <c r="K129" i="41"/>
  <c r="H129" i="41"/>
  <c r="D129" i="41"/>
  <c r="AD128" i="41"/>
  <c r="V128" i="41"/>
  <c r="R128" i="41"/>
  <c r="O128" i="41"/>
  <c r="K128" i="41"/>
  <c r="H128" i="41"/>
  <c r="D128" i="41"/>
  <c r="AD127" i="41"/>
  <c r="V127" i="41"/>
  <c r="R127" i="41"/>
  <c r="O127" i="41"/>
  <c r="K127" i="41"/>
  <c r="H127" i="41"/>
  <c r="D127" i="41"/>
  <c r="AD126" i="41"/>
  <c r="V126" i="41"/>
  <c r="R126" i="41"/>
  <c r="O126" i="41"/>
  <c r="K126" i="41"/>
  <c r="H126" i="41"/>
  <c r="D126" i="41"/>
  <c r="AC125" i="41"/>
  <c r="AB125" i="41"/>
  <c r="AA125" i="41"/>
  <c r="Z125" i="41"/>
  <c r="Y125" i="41"/>
  <c r="X125" i="41"/>
  <c r="W125" i="41"/>
  <c r="U125" i="41"/>
  <c r="T125" i="41"/>
  <c r="S125" i="41"/>
  <c r="Q125" i="41"/>
  <c r="P125" i="41"/>
  <c r="N125" i="41"/>
  <c r="M125" i="41"/>
  <c r="L125" i="41"/>
  <c r="O125" i="41" s="1"/>
  <c r="J125" i="41"/>
  <c r="I125" i="41"/>
  <c r="G125" i="41"/>
  <c r="F125" i="41"/>
  <c r="E125" i="41"/>
  <c r="H125" i="41" s="1"/>
  <c r="C125" i="41"/>
  <c r="D125" i="41" s="1"/>
  <c r="B125" i="41"/>
  <c r="AD124" i="41"/>
  <c r="V124" i="41"/>
  <c r="R124" i="41"/>
  <c r="O124" i="41"/>
  <c r="K124" i="41"/>
  <c r="H124" i="41"/>
  <c r="D124" i="41"/>
  <c r="AD123" i="41"/>
  <c r="V123" i="41"/>
  <c r="R123" i="41"/>
  <c r="O123" i="41"/>
  <c r="K123" i="41"/>
  <c r="H123" i="41"/>
  <c r="D123" i="41"/>
  <c r="AD122" i="41"/>
  <c r="V122" i="41"/>
  <c r="R122" i="41"/>
  <c r="O122" i="41"/>
  <c r="K122" i="41"/>
  <c r="H122" i="41"/>
  <c r="D122" i="41"/>
  <c r="AD121" i="41"/>
  <c r="V121" i="41"/>
  <c r="R121" i="41"/>
  <c r="O121" i="41"/>
  <c r="K121" i="41"/>
  <c r="H121" i="41"/>
  <c r="D121" i="41"/>
  <c r="AD120" i="41"/>
  <c r="V120" i="41"/>
  <c r="R120" i="41"/>
  <c r="O120" i="41"/>
  <c r="K120" i="41"/>
  <c r="H120" i="41"/>
  <c r="D120" i="41"/>
  <c r="AD119" i="41"/>
  <c r="V119" i="41"/>
  <c r="R119" i="41"/>
  <c r="O119" i="41"/>
  <c r="K119" i="41"/>
  <c r="H119" i="41"/>
  <c r="D119" i="41"/>
  <c r="AD118" i="41"/>
  <c r="V118" i="41"/>
  <c r="R118" i="41"/>
  <c r="O118" i="41"/>
  <c r="K118" i="41"/>
  <c r="H118" i="41"/>
  <c r="D118" i="41"/>
  <c r="AD117" i="41"/>
  <c r="V117" i="41"/>
  <c r="R117" i="41"/>
  <c r="O117" i="41"/>
  <c r="K117" i="41"/>
  <c r="H117" i="41"/>
  <c r="D117" i="41"/>
  <c r="AD116" i="41"/>
  <c r="V116" i="41"/>
  <c r="R116" i="41"/>
  <c r="O116" i="41"/>
  <c r="K116" i="41"/>
  <c r="H116" i="41"/>
  <c r="D116" i="41"/>
  <c r="AD115" i="41"/>
  <c r="V115" i="41"/>
  <c r="R115" i="41"/>
  <c r="O115" i="41"/>
  <c r="K115" i="41"/>
  <c r="H115" i="41"/>
  <c r="D115" i="41"/>
  <c r="AC114" i="41"/>
  <c r="AB114" i="41"/>
  <c r="AA114" i="41"/>
  <c r="Z114" i="41"/>
  <c r="Y114" i="41"/>
  <c r="X114" i="41"/>
  <c r="W114" i="41"/>
  <c r="U114" i="41"/>
  <c r="T114" i="41"/>
  <c r="S114" i="41"/>
  <c r="Q114" i="41"/>
  <c r="P114" i="41"/>
  <c r="N114" i="41"/>
  <c r="M114" i="41"/>
  <c r="L114" i="41"/>
  <c r="J114" i="41"/>
  <c r="I114" i="41"/>
  <c r="K114" i="41" s="1"/>
  <c r="G114" i="41"/>
  <c r="F114" i="41"/>
  <c r="E114" i="41"/>
  <c r="C114" i="41"/>
  <c r="B114" i="41"/>
  <c r="D114" i="41" s="1"/>
  <c r="AD113" i="41"/>
  <c r="V113" i="41"/>
  <c r="R113" i="41"/>
  <c r="O113" i="41"/>
  <c r="K113" i="41"/>
  <c r="H113" i="41"/>
  <c r="D113" i="41"/>
  <c r="AD112" i="41"/>
  <c r="V112" i="41"/>
  <c r="R112" i="41"/>
  <c r="O112" i="41"/>
  <c r="K112" i="41"/>
  <c r="H112" i="41"/>
  <c r="D112" i="41"/>
  <c r="AD111" i="41"/>
  <c r="V111" i="41"/>
  <c r="R111" i="41"/>
  <c r="O111" i="41"/>
  <c r="K111" i="41"/>
  <c r="H111" i="41"/>
  <c r="D111" i="41"/>
  <c r="AD110" i="41"/>
  <c r="V110" i="41"/>
  <c r="R110" i="41"/>
  <c r="O110" i="41"/>
  <c r="K110" i="41"/>
  <c r="H110" i="41"/>
  <c r="D110" i="41"/>
  <c r="AD109" i="41"/>
  <c r="V109" i="41"/>
  <c r="R109" i="41"/>
  <c r="O109" i="41"/>
  <c r="K109" i="41"/>
  <c r="H109" i="41"/>
  <c r="D109" i="41"/>
  <c r="AC108" i="41"/>
  <c r="AB108" i="41"/>
  <c r="AA108" i="41"/>
  <c r="Z108" i="41"/>
  <c r="Y108" i="41"/>
  <c r="X108" i="41"/>
  <c r="W108" i="41"/>
  <c r="U108" i="41"/>
  <c r="T108" i="41"/>
  <c r="S108" i="41"/>
  <c r="R108" i="41"/>
  <c r="Q108" i="41"/>
  <c r="P108" i="41"/>
  <c r="N108" i="41"/>
  <c r="M108" i="41"/>
  <c r="L108" i="41"/>
  <c r="O108" i="41" s="1"/>
  <c r="J108" i="41"/>
  <c r="I108" i="41"/>
  <c r="K108" i="41" s="1"/>
  <c r="G108" i="41"/>
  <c r="F108" i="41"/>
  <c r="E108" i="41"/>
  <c r="C108" i="41"/>
  <c r="B108" i="41"/>
  <c r="D108" i="41" s="1"/>
  <c r="AD107" i="41"/>
  <c r="V107" i="41"/>
  <c r="R107" i="41"/>
  <c r="O107" i="41"/>
  <c r="K107" i="41"/>
  <c r="H107" i="41"/>
  <c r="D107" i="41"/>
  <c r="AD106" i="41"/>
  <c r="V106" i="41"/>
  <c r="R106" i="41"/>
  <c r="O106" i="41"/>
  <c r="K106" i="41"/>
  <c r="H106" i="41"/>
  <c r="D106" i="41"/>
  <c r="AD105" i="41"/>
  <c r="V105" i="41"/>
  <c r="R105" i="41"/>
  <c r="O105" i="41"/>
  <c r="K105" i="41"/>
  <c r="H105" i="41"/>
  <c r="D105" i="41"/>
  <c r="AD104" i="41"/>
  <c r="V104" i="41"/>
  <c r="R104" i="41"/>
  <c r="O104" i="41"/>
  <c r="K104" i="41"/>
  <c r="H104" i="41"/>
  <c r="D104" i="41"/>
  <c r="AD103" i="41"/>
  <c r="V103" i="41"/>
  <c r="R103" i="41"/>
  <c r="O103" i="41"/>
  <c r="K103" i="41"/>
  <c r="H103" i="41"/>
  <c r="D103" i="41"/>
  <c r="AD102" i="41"/>
  <c r="V102" i="41"/>
  <c r="R102" i="41"/>
  <c r="O102" i="41"/>
  <c r="K102" i="41"/>
  <c r="H102" i="41"/>
  <c r="D102" i="41"/>
  <c r="AD101" i="41"/>
  <c r="V101" i="41"/>
  <c r="R101" i="41"/>
  <c r="O101" i="41"/>
  <c r="K101" i="41"/>
  <c r="H101" i="41"/>
  <c r="D101" i="41"/>
  <c r="AD100" i="41"/>
  <c r="V100" i="41"/>
  <c r="R100" i="41"/>
  <c r="O100" i="41"/>
  <c r="K100" i="41"/>
  <c r="H100" i="41"/>
  <c r="D100" i="41"/>
  <c r="AD99" i="41"/>
  <c r="V99" i="41"/>
  <c r="R99" i="41"/>
  <c r="O99" i="41"/>
  <c r="K99" i="41"/>
  <c r="H99" i="41"/>
  <c r="D99" i="41"/>
  <c r="AD98" i="41"/>
  <c r="V98" i="41"/>
  <c r="R98" i="41"/>
  <c r="O98" i="41"/>
  <c r="K98" i="41"/>
  <c r="H98" i="41"/>
  <c r="D98" i="41"/>
  <c r="AD97" i="41"/>
  <c r="V97" i="41"/>
  <c r="R97" i="41"/>
  <c r="O97" i="41"/>
  <c r="K97" i="41"/>
  <c r="H97" i="41"/>
  <c r="D97" i="41"/>
  <c r="AD96" i="41"/>
  <c r="V96" i="41"/>
  <c r="R96" i="41"/>
  <c r="O96" i="41"/>
  <c r="K96" i="41"/>
  <c r="H96" i="41"/>
  <c r="D96" i="41"/>
  <c r="AD95" i="41"/>
  <c r="V95" i="41"/>
  <c r="R95" i="41"/>
  <c r="O95" i="41"/>
  <c r="K95" i="41"/>
  <c r="H95" i="41"/>
  <c r="D95" i="41"/>
  <c r="AC94" i="41"/>
  <c r="AB94" i="41"/>
  <c r="AA94" i="41"/>
  <c r="Z94" i="41"/>
  <c r="Y94" i="41"/>
  <c r="X94" i="41"/>
  <c r="W94" i="41"/>
  <c r="U94" i="41"/>
  <c r="T94" i="41"/>
  <c r="S94" i="41"/>
  <c r="Q94" i="41"/>
  <c r="P94" i="41"/>
  <c r="R94" i="41" s="1"/>
  <c r="N94" i="41"/>
  <c r="M94" i="41"/>
  <c r="L94" i="41"/>
  <c r="J94" i="41"/>
  <c r="I94" i="41"/>
  <c r="G94" i="41"/>
  <c r="F94" i="41"/>
  <c r="E94" i="41"/>
  <c r="C94" i="41"/>
  <c r="B94" i="41"/>
  <c r="D94" i="41" s="1"/>
  <c r="AD93" i="41"/>
  <c r="V93" i="41"/>
  <c r="R93" i="41"/>
  <c r="O93" i="41"/>
  <c r="K93" i="41"/>
  <c r="H93" i="41"/>
  <c r="D93" i="41"/>
  <c r="AD92" i="41"/>
  <c r="V92" i="41"/>
  <c r="R92" i="41"/>
  <c r="O92" i="41"/>
  <c r="K92" i="41"/>
  <c r="H92" i="41"/>
  <c r="D92" i="41"/>
  <c r="AD91" i="41"/>
  <c r="V91" i="41"/>
  <c r="R91" i="41"/>
  <c r="O91" i="41"/>
  <c r="K91" i="41"/>
  <c r="H91" i="41"/>
  <c r="D91" i="41"/>
  <c r="AD90" i="41"/>
  <c r="V90" i="41"/>
  <c r="R90" i="41"/>
  <c r="O90" i="41"/>
  <c r="K90" i="41"/>
  <c r="H90" i="41"/>
  <c r="D90" i="41"/>
  <c r="AD89" i="41"/>
  <c r="V89" i="41"/>
  <c r="R89" i="41"/>
  <c r="O89" i="41"/>
  <c r="K89" i="41"/>
  <c r="H89" i="41"/>
  <c r="D89" i="41"/>
  <c r="AD88" i="41"/>
  <c r="V88" i="41"/>
  <c r="R88" i="41"/>
  <c r="O88" i="41"/>
  <c r="K88" i="41"/>
  <c r="H88" i="41"/>
  <c r="D88" i="41"/>
  <c r="AD87" i="41"/>
  <c r="V87" i="41"/>
  <c r="R87" i="41"/>
  <c r="O87" i="41"/>
  <c r="K87" i="41"/>
  <c r="H87" i="41"/>
  <c r="D87" i="41"/>
  <c r="AD86" i="41"/>
  <c r="V86" i="41"/>
  <c r="R86" i="41"/>
  <c r="O86" i="41"/>
  <c r="K86" i="41"/>
  <c r="H86" i="41"/>
  <c r="D86" i="41"/>
  <c r="AD85" i="41"/>
  <c r="V85" i="41"/>
  <c r="R85" i="41"/>
  <c r="O85" i="41"/>
  <c r="K85" i="41"/>
  <c r="H85" i="41"/>
  <c r="D85" i="41"/>
  <c r="AD84" i="41"/>
  <c r="V84" i="41"/>
  <c r="R84" i="41"/>
  <c r="O84" i="41"/>
  <c r="K84" i="41"/>
  <c r="H84" i="41"/>
  <c r="D84" i="41"/>
  <c r="AD83" i="41"/>
  <c r="V83" i="41"/>
  <c r="R83" i="41"/>
  <c r="O83" i="41"/>
  <c r="K83" i="41"/>
  <c r="H83" i="41"/>
  <c r="D83" i="41"/>
  <c r="AD82" i="41"/>
  <c r="V82" i="41"/>
  <c r="R82" i="41"/>
  <c r="O82" i="41"/>
  <c r="K82" i="41"/>
  <c r="H82" i="41"/>
  <c r="D82" i="41"/>
  <c r="AD81" i="41"/>
  <c r="V81" i="41"/>
  <c r="R81" i="41"/>
  <c r="O81" i="41"/>
  <c r="K81" i="41"/>
  <c r="H81" i="41"/>
  <c r="D81" i="41"/>
  <c r="AD80" i="41"/>
  <c r="V80" i="41"/>
  <c r="R80" i="41"/>
  <c r="O80" i="41"/>
  <c r="K80" i="41"/>
  <c r="H80" i="41"/>
  <c r="D80" i="41"/>
  <c r="AD79" i="41"/>
  <c r="V79" i="41"/>
  <c r="R79" i="41"/>
  <c r="O79" i="41"/>
  <c r="K79" i="41"/>
  <c r="H79" i="41"/>
  <c r="D79" i="41"/>
  <c r="AD78" i="41"/>
  <c r="V78" i="41"/>
  <c r="R78" i="41"/>
  <c r="O78" i="41"/>
  <c r="K78" i="41"/>
  <c r="H78" i="41"/>
  <c r="D78" i="41"/>
  <c r="AC77" i="41"/>
  <c r="AB77" i="41"/>
  <c r="AA77" i="41"/>
  <c r="Z77" i="41"/>
  <c r="Y77" i="41"/>
  <c r="X77" i="41"/>
  <c r="W77" i="41"/>
  <c r="U77" i="41"/>
  <c r="T77" i="41"/>
  <c r="S77" i="41"/>
  <c r="Q77" i="41"/>
  <c r="P77" i="41"/>
  <c r="N77" i="41"/>
  <c r="M77" i="41"/>
  <c r="L77" i="41"/>
  <c r="O77" i="41" s="1"/>
  <c r="J77" i="41"/>
  <c r="I77" i="41"/>
  <c r="H77" i="41"/>
  <c r="G77" i="41"/>
  <c r="F77" i="41"/>
  <c r="E77" i="41"/>
  <c r="C77" i="41"/>
  <c r="B77" i="41"/>
  <c r="D77" i="41" s="1"/>
  <c r="AD76" i="41"/>
  <c r="V76" i="41"/>
  <c r="R76" i="41"/>
  <c r="O76" i="41"/>
  <c r="K76" i="41"/>
  <c r="H76" i="41"/>
  <c r="D76" i="41"/>
  <c r="AD75" i="41"/>
  <c r="V75" i="41"/>
  <c r="R75" i="41"/>
  <c r="O75" i="41"/>
  <c r="K75" i="41"/>
  <c r="H75" i="41"/>
  <c r="D75" i="41"/>
  <c r="AD74" i="41"/>
  <c r="V74" i="41"/>
  <c r="R74" i="41"/>
  <c r="O74" i="41"/>
  <c r="K74" i="41"/>
  <c r="H74" i="41"/>
  <c r="D74" i="41"/>
  <c r="AD73" i="41"/>
  <c r="V73" i="41"/>
  <c r="R73" i="41"/>
  <c r="O73" i="41"/>
  <c r="K73" i="41"/>
  <c r="H73" i="41"/>
  <c r="D73" i="41"/>
  <c r="AD72" i="41"/>
  <c r="V72" i="41"/>
  <c r="R72" i="41"/>
  <c r="O72" i="41"/>
  <c r="K72" i="41"/>
  <c r="H72" i="41"/>
  <c r="D72" i="41"/>
  <c r="AD71" i="41"/>
  <c r="V71" i="41"/>
  <c r="R71" i="41"/>
  <c r="O71" i="41"/>
  <c r="K71" i="41"/>
  <c r="H71" i="41"/>
  <c r="D71" i="41"/>
  <c r="AD70" i="41"/>
  <c r="V70" i="41"/>
  <c r="R70" i="41"/>
  <c r="O70" i="41"/>
  <c r="K70" i="41"/>
  <c r="H70" i="41"/>
  <c r="D70" i="41"/>
  <c r="AD69" i="41"/>
  <c r="V69" i="41"/>
  <c r="R69" i="41"/>
  <c r="O69" i="41"/>
  <c r="K69" i="41"/>
  <c r="H69" i="41"/>
  <c r="D69" i="41"/>
  <c r="AD68" i="41"/>
  <c r="V68" i="41"/>
  <c r="R68" i="41"/>
  <c r="O68" i="41"/>
  <c r="K68" i="41"/>
  <c r="H68" i="41"/>
  <c r="D68" i="41"/>
  <c r="AD67" i="41"/>
  <c r="V67" i="41"/>
  <c r="R67" i="41"/>
  <c r="O67" i="41"/>
  <c r="K67" i="41"/>
  <c r="H67" i="41"/>
  <c r="D67" i="41"/>
  <c r="AD66" i="41"/>
  <c r="V66" i="41"/>
  <c r="R66" i="41"/>
  <c r="O66" i="41"/>
  <c r="K66" i="41"/>
  <c r="H66" i="41"/>
  <c r="D66" i="41"/>
  <c r="AD65" i="41"/>
  <c r="V65" i="41"/>
  <c r="R65" i="41"/>
  <c r="O65" i="41"/>
  <c r="K65" i="41"/>
  <c r="H65" i="41"/>
  <c r="D65" i="41"/>
  <c r="AD64" i="41"/>
  <c r="V64" i="41"/>
  <c r="R64" i="41"/>
  <c r="O64" i="41"/>
  <c r="K64" i="41"/>
  <c r="H64" i="41"/>
  <c r="D64" i="41"/>
  <c r="AC63" i="41"/>
  <c r="AB63" i="41"/>
  <c r="AA63" i="41"/>
  <c r="Z63" i="41"/>
  <c r="Y63" i="41"/>
  <c r="X63" i="41"/>
  <c r="W63" i="41"/>
  <c r="U63" i="41"/>
  <c r="T63" i="41"/>
  <c r="S63" i="41"/>
  <c r="Q63" i="41"/>
  <c r="P63" i="41"/>
  <c r="N63" i="41"/>
  <c r="M63" i="41"/>
  <c r="O63" i="41" s="1"/>
  <c r="L63" i="41"/>
  <c r="K63" i="41"/>
  <c r="J63" i="41"/>
  <c r="I63" i="41"/>
  <c r="G63" i="41"/>
  <c r="F63" i="41"/>
  <c r="E63" i="41"/>
  <c r="H63" i="41" s="1"/>
  <c r="C63" i="41"/>
  <c r="B63" i="41"/>
  <c r="AD62" i="41"/>
  <c r="V62" i="41"/>
  <c r="R62" i="41"/>
  <c r="O62" i="41"/>
  <c r="K62" i="41"/>
  <c r="H62" i="41"/>
  <c r="D62" i="41"/>
  <c r="AD61" i="41"/>
  <c r="V61" i="41"/>
  <c r="R61" i="41"/>
  <c r="O61" i="41"/>
  <c r="K61" i="41"/>
  <c r="H61" i="41"/>
  <c r="D61" i="41"/>
  <c r="AD60" i="41"/>
  <c r="V60" i="41"/>
  <c r="R60" i="41"/>
  <c r="O60" i="41"/>
  <c r="K60" i="41"/>
  <c r="H60" i="41"/>
  <c r="D60" i="41"/>
  <c r="AD59" i="41"/>
  <c r="V59" i="41"/>
  <c r="R59" i="41"/>
  <c r="O59" i="41"/>
  <c r="K59" i="41"/>
  <c r="H59" i="41"/>
  <c r="D59" i="41"/>
  <c r="AD58" i="41"/>
  <c r="V58" i="41"/>
  <c r="R58" i="41"/>
  <c r="O58" i="41"/>
  <c r="K58" i="41"/>
  <c r="H58" i="41"/>
  <c r="D58" i="41"/>
  <c r="AD57" i="41"/>
  <c r="V57" i="41"/>
  <c r="R57" i="41"/>
  <c r="O57" i="41"/>
  <c r="K57" i="41"/>
  <c r="H57" i="41"/>
  <c r="D57" i="41"/>
  <c r="AD56" i="41"/>
  <c r="V56" i="41"/>
  <c r="R56" i="41"/>
  <c r="O56" i="41"/>
  <c r="K56" i="41"/>
  <c r="H56" i="41"/>
  <c r="D56" i="41"/>
  <c r="AD55" i="41"/>
  <c r="V55" i="41"/>
  <c r="R55" i="41"/>
  <c r="O55" i="41"/>
  <c r="K55" i="41"/>
  <c r="H55" i="41"/>
  <c r="D55" i="41"/>
  <c r="AD54" i="41"/>
  <c r="V54" i="41"/>
  <c r="R54" i="41"/>
  <c r="O54" i="41"/>
  <c r="K54" i="41"/>
  <c r="H54" i="41"/>
  <c r="D54" i="41"/>
  <c r="AD53" i="41"/>
  <c r="V53" i="41"/>
  <c r="R53" i="41"/>
  <c r="O53" i="41"/>
  <c r="K53" i="41"/>
  <c r="H53" i="41"/>
  <c r="D53" i="41"/>
  <c r="AD52" i="41"/>
  <c r="V52" i="41"/>
  <c r="R52" i="41"/>
  <c r="O52" i="41"/>
  <c r="K52" i="41"/>
  <c r="H52" i="41"/>
  <c r="D52" i="41"/>
  <c r="AD51" i="41"/>
  <c r="V51" i="41"/>
  <c r="R51" i="41"/>
  <c r="O51" i="41"/>
  <c r="K51" i="41"/>
  <c r="H51" i="41"/>
  <c r="D51" i="41"/>
  <c r="AD50" i="41"/>
  <c r="V50" i="41"/>
  <c r="R50" i="41"/>
  <c r="O50" i="41"/>
  <c r="K50" i="41"/>
  <c r="H50" i="41"/>
  <c r="D50" i="41"/>
  <c r="AD49" i="41"/>
  <c r="V49" i="41"/>
  <c r="R49" i="41"/>
  <c r="O49" i="41"/>
  <c r="K49" i="41"/>
  <c r="H49" i="41"/>
  <c r="D49" i="41"/>
  <c r="AD48" i="41"/>
  <c r="V48" i="41"/>
  <c r="R48" i="41"/>
  <c r="O48" i="41"/>
  <c r="K48" i="41"/>
  <c r="H48" i="41"/>
  <c r="D48" i="41"/>
  <c r="AD47" i="41"/>
  <c r="V47" i="41"/>
  <c r="R47" i="41"/>
  <c r="O47" i="41"/>
  <c r="K47" i="41"/>
  <c r="H47" i="41"/>
  <c r="D47" i="41"/>
  <c r="AC46" i="41"/>
  <c r="AB46" i="41"/>
  <c r="AA46" i="41"/>
  <c r="Z46" i="41"/>
  <c r="Y46" i="41"/>
  <c r="X46" i="41"/>
  <c r="W46" i="41"/>
  <c r="U46" i="41"/>
  <c r="T46" i="41"/>
  <c r="S46" i="41"/>
  <c r="Q46" i="41"/>
  <c r="P46" i="41"/>
  <c r="N46" i="41"/>
  <c r="M46" i="41"/>
  <c r="L46" i="41"/>
  <c r="J46" i="41"/>
  <c r="I46" i="41"/>
  <c r="K46" i="41" s="1"/>
  <c r="G46" i="41"/>
  <c r="F46" i="41"/>
  <c r="E46" i="41"/>
  <c r="C46" i="41"/>
  <c r="B46" i="41"/>
  <c r="D46" i="41" s="1"/>
  <c r="AD45" i="41"/>
  <c r="V45" i="41"/>
  <c r="R45" i="41"/>
  <c r="O45" i="41"/>
  <c r="K45" i="41"/>
  <c r="H45" i="41"/>
  <c r="D45" i="41"/>
  <c r="AD44" i="41"/>
  <c r="V44" i="41"/>
  <c r="R44" i="41"/>
  <c r="O44" i="41"/>
  <c r="K44" i="41"/>
  <c r="H44" i="41"/>
  <c r="D44" i="41"/>
  <c r="AD43" i="41"/>
  <c r="V43" i="41"/>
  <c r="R43" i="41"/>
  <c r="O43" i="41"/>
  <c r="K43" i="41"/>
  <c r="H43" i="41"/>
  <c r="D43" i="41"/>
  <c r="AD42" i="41"/>
  <c r="V42" i="41"/>
  <c r="R42" i="41"/>
  <c r="O42" i="41"/>
  <c r="K42" i="41"/>
  <c r="H42" i="41"/>
  <c r="D42" i="41"/>
  <c r="AD41" i="41"/>
  <c r="V41" i="41"/>
  <c r="R41" i="41"/>
  <c r="O41" i="41"/>
  <c r="K41" i="41"/>
  <c r="H41" i="41"/>
  <c r="D41" i="41"/>
  <c r="AD40" i="41"/>
  <c r="V40" i="41"/>
  <c r="R40" i="41"/>
  <c r="O40" i="41"/>
  <c r="K40" i="41"/>
  <c r="H40" i="41"/>
  <c r="D40" i="41"/>
  <c r="AD39" i="41"/>
  <c r="V39" i="41"/>
  <c r="R39" i="41"/>
  <c r="O39" i="41"/>
  <c r="K39" i="41"/>
  <c r="H39" i="41"/>
  <c r="D39" i="41"/>
  <c r="AD38" i="41"/>
  <c r="V38" i="41"/>
  <c r="R38" i="41"/>
  <c r="O38" i="41"/>
  <c r="K38" i="41"/>
  <c r="H38" i="41"/>
  <c r="D38" i="41"/>
  <c r="AD37" i="41"/>
  <c r="V37" i="41"/>
  <c r="R37" i="41"/>
  <c r="O37" i="41"/>
  <c r="K37" i="41"/>
  <c r="H37" i="41"/>
  <c r="D37" i="41"/>
  <c r="AD36" i="41"/>
  <c r="V36" i="41"/>
  <c r="R36" i="41"/>
  <c r="O36" i="41"/>
  <c r="K36" i="41"/>
  <c r="H36" i="41"/>
  <c r="D36" i="41"/>
  <c r="AD35" i="41"/>
  <c r="V35" i="41"/>
  <c r="R35" i="41"/>
  <c r="O35" i="41"/>
  <c r="K35" i="41"/>
  <c r="H35" i="41"/>
  <c r="D35" i="41"/>
  <c r="AD34" i="41"/>
  <c r="V34" i="41"/>
  <c r="R34" i="41"/>
  <c r="O34" i="41"/>
  <c r="K34" i="41"/>
  <c r="H34" i="41"/>
  <c r="D34" i="41"/>
  <c r="AD33" i="41"/>
  <c r="V33" i="41"/>
  <c r="R33" i="41"/>
  <c r="O33" i="41"/>
  <c r="K33" i="41"/>
  <c r="H33" i="41"/>
  <c r="D33" i="41"/>
  <c r="AD32" i="41"/>
  <c r="V32" i="41"/>
  <c r="R32" i="41"/>
  <c r="O32" i="41"/>
  <c r="K32" i="41"/>
  <c r="H32" i="41"/>
  <c r="D32" i="41"/>
  <c r="AD31" i="41"/>
  <c r="V31" i="41"/>
  <c r="R31" i="41"/>
  <c r="O31" i="41"/>
  <c r="K31" i="41"/>
  <c r="H31" i="41"/>
  <c r="D31" i="41"/>
  <c r="AD30" i="41"/>
  <c r="V30" i="41"/>
  <c r="R30" i="41"/>
  <c r="O30" i="41"/>
  <c r="K30" i="41"/>
  <c r="H30" i="41"/>
  <c r="D30" i="41"/>
  <c r="AC29" i="41"/>
  <c r="AB29" i="41"/>
  <c r="AA29" i="41"/>
  <c r="Z29" i="41"/>
  <c r="Y29" i="41"/>
  <c r="X29" i="41"/>
  <c r="W29" i="41"/>
  <c r="U29" i="41"/>
  <c r="T29" i="41"/>
  <c r="S29" i="41"/>
  <c r="Q29" i="41"/>
  <c r="P29" i="41"/>
  <c r="R29" i="41" s="1"/>
  <c r="N29" i="41"/>
  <c r="M29" i="41"/>
  <c r="L29" i="41"/>
  <c r="J29" i="41"/>
  <c r="I29" i="41"/>
  <c r="G29" i="41"/>
  <c r="F29" i="41"/>
  <c r="E29" i="41"/>
  <c r="C29" i="41"/>
  <c r="B29" i="41"/>
  <c r="AD28" i="41"/>
  <c r="V28" i="41"/>
  <c r="R28" i="41"/>
  <c r="O28" i="41"/>
  <c r="K28" i="41"/>
  <c r="H28" i="41"/>
  <c r="D28" i="41"/>
  <c r="AD27" i="41"/>
  <c r="V27" i="41"/>
  <c r="R27" i="41"/>
  <c r="O27" i="41"/>
  <c r="K27" i="41"/>
  <c r="H27" i="41"/>
  <c r="D27" i="41"/>
  <c r="AD26" i="41"/>
  <c r="V26" i="41"/>
  <c r="R26" i="41"/>
  <c r="O26" i="41"/>
  <c r="K26" i="41"/>
  <c r="H26" i="41"/>
  <c r="D26" i="41"/>
  <c r="AD25" i="41"/>
  <c r="V25" i="41"/>
  <c r="R25" i="41"/>
  <c r="O25" i="41"/>
  <c r="K25" i="41"/>
  <c r="H25" i="41"/>
  <c r="D25" i="41"/>
  <c r="AD24" i="41"/>
  <c r="V24" i="41"/>
  <c r="R24" i="41"/>
  <c r="O24" i="41"/>
  <c r="K24" i="41"/>
  <c r="H24" i="41"/>
  <c r="D24" i="41"/>
  <c r="AD23" i="41"/>
  <c r="V23" i="41"/>
  <c r="R23" i="41"/>
  <c r="O23" i="41"/>
  <c r="K23" i="41"/>
  <c r="H23" i="41"/>
  <c r="D23" i="41"/>
  <c r="AD22" i="41"/>
  <c r="V22" i="41"/>
  <c r="R22" i="41"/>
  <c r="O22" i="41"/>
  <c r="K22" i="41"/>
  <c r="H22" i="41"/>
  <c r="D22" i="41"/>
  <c r="AD21" i="41"/>
  <c r="V21" i="41"/>
  <c r="R21" i="41"/>
  <c r="O21" i="41"/>
  <c r="K21" i="41"/>
  <c r="H21" i="41"/>
  <c r="D21" i="41"/>
  <c r="AD20" i="41"/>
  <c r="V20" i="41"/>
  <c r="R20" i="41"/>
  <c r="O20" i="41"/>
  <c r="K20" i="41"/>
  <c r="H20" i="41"/>
  <c r="D20" i="41"/>
  <c r="AD19" i="41"/>
  <c r="V19" i="41"/>
  <c r="R19" i="41"/>
  <c r="O19" i="41"/>
  <c r="K19" i="41"/>
  <c r="H19" i="41"/>
  <c r="D19" i="41"/>
  <c r="AD18" i="41"/>
  <c r="V18" i="41"/>
  <c r="R18" i="41"/>
  <c r="O18" i="41"/>
  <c r="K18" i="41"/>
  <c r="H18" i="41"/>
  <c r="D18" i="41"/>
  <c r="AD17" i="41"/>
  <c r="V17" i="41"/>
  <c r="R17" i="41"/>
  <c r="O17" i="41"/>
  <c r="K17" i="41"/>
  <c r="H17" i="41"/>
  <c r="D17" i="41"/>
  <c r="AD16" i="41"/>
  <c r="V16" i="41"/>
  <c r="R16" i="41"/>
  <c r="O16" i="41"/>
  <c r="K16" i="41"/>
  <c r="H16" i="41"/>
  <c r="D16" i="41"/>
  <c r="AD15" i="41"/>
  <c r="V15" i="41"/>
  <c r="R15" i="41"/>
  <c r="O15" i="41"/>
  <c r="K15" i="41"/>
  <c r="H15" i="41"/>
  <c r="D15" i="41"/>
  <c r="AD14" i="41"/>
  <c r="V14" i="41"/>
  <c r="R14" i="41"/>
  <c r="O14" i="41"/>
  <c r="K14" i="41"/>
  <c r="H14" i="41"/>
  <c r="D14" i="41"/>
  <c r="AD13" i="41"/>
  <c r="V13" i="41"/>
  <c r="R13" i="41"/>
  <c r="O13" i="41"/>
  <c r="K13" i="41"/>
  <c r="H13" i="41"/>
  <c r="D13" i="41"/>
  <c r="AD12" i="41"/>
  <c r="AC12" i="41"/>
  <c r="AB12" i="41"/>
  <c r="AA12" i="41"/>
  <c r="Z12" i="41"/>
  <c r="Y12" i="41"/>
  <c r="X12" i="41"/>
  <c r="W12" i="41"/>
  <c r="V12" i="41"/>
  <c r="U12" i="41"/>
  <c r="T12" i="41"/>
  <c r="S12" i="41"/>
  <c r="Q12" i="41"/>
  <c r="P12" i="41"/>
  <c r="R12" i="41" s="1"/>
  <c r="N12" i="41"/>
  <c r="N11" i="41" s="1"/>
  <c r="N9" i="41" s="1"/>
  <c r="M12" i="41"/>
  <c r="L12" i="41"/>
  <c r="O12" i="41" s="1"/>
  <c r="J12" i="41"/>
  <c r="J11" i="41" s="1"/>
  <c r="J9" i="41" s="1"/>
  <c r="I12" i="41"/>
  <c r="K12" i="41" s="1"/>
  <c r="G12" i="41"/>
  <c r="G11" i="41" s="1"/>
  <c r="G9" i="41" s="1"/>
  <c r="F12" i="41"/>
  <c r="E12" i="41"/>
  <c r="E11" i="41" s="1"/>
  <c r="E9" i="41" s="1"/>
  <c r="C12" i="41"/>
  <c r="C11" i="41" s="1"/>
  <c r="C9" i="41" s="1"/>
  <c r="B12" i="41"/>
  <c r="B11" i="41" s="1"/>
  <c r="T11" i="41"/>
  <c r="T9" i="41" s="1"/>
  <c r="S11" i="41"/>
  <c r="S9" i="41" s="1"/>
  <c r="P11" i="41"/>
  <c r="P9" i="41" s="1"/>
  <c r="AD10" i="41"/>
  <c r="V10" i="41"/>
  <c r="R10" i="41"/>
  <c r="O10" i="41"/>
  <c r="K10" i="41"/>
  <c r="H10" i="41"/>
  <c r="D10" i="41"/>
  <c r="I30" i="40"/>
  <c r="I29" i="40"/>
  <c r="I28" i="40"/>
  <c r="I27" i="40"/>
  <c r="I26" i="40"/>
  <c r="I25" i="40"/>
  <c r="I24" i="40"/>
  <c r="I23" i="40"/>
  <c r="I22" i="40"/>
  <c r="I21" i="40"/>
  <c r="I20" i="40"/>
  <c r="I19" i="40"/>
  <c r="I18" i="40"/>
  <c r="I17" i="40"/>
  <c r="I16" i="40"/>
  <c r="I15" i="40"/>
  <c r="I14" i="40"/>
  <c r="I13" i="40"/>
  <c r="I12" i="40"/>
  <c r="I11" i="40"/>
  <c r="H10" i="40"/>
  <c r="H8" i="40" s="1"/>
  <c r="G10" i="40"/>
  <c r="G8" i="40" s="1"/>
  <c r="F10" i="40"/>
  <c r="F8" i="40" s="1"/>
  <c r="I9" i="40"/>
  <c r="P30" i="39"/>
  <c r="M30" i="39"/>
  <c r="J30" i="39"/>
  <c r="G30" i="39"/>
  <c r="D30" i="39"/>
  <c r="P29" i="39"/>
  <c r="M29" i="39"/>
  <c r="J29" i="39"/>
  <c r="G29" i="39"/>
  <c r="D29" i="39"/>
  <c r="P28" i="39"/>
  <c r="M28" i="39"/>
  <c r="J28" i="39"/>
  <c r="G28" i="39"/>
  <c r="D28" i="39"/>
  <c r="P27" i="39"/>
  <c r="M27" i="39"/>
  <c r="J27" i="39"/>
  <c r="G27" i="39"/>
  <c r="D27" i="39"/>
  <c r="P26" i="39"/>
  <c r="M26" i="39"/>
  <c r="J26" i="39"/>
  <c r="G26" i="39"/>
  <c r="D26" i="39"/>
  <c r="P25" i="39"/>
  <c r="M25" i="39"/>
  <c r="J25" i="39"/>
  <c r="G25" i="39"/>
  <c r="D25" i="39"/>
  <c r="P24" i="39"/>
  <c r="M24" i="39"/>
  <c r="J24" i="39"/>
  <c r="G24" i="39"/>
  <c r="D24" i="39"/>
  <c r="P23" i="39"/>
  <c r="M23" i="39"/>
  <c r="J23" i="39"/>
  <c r="G23" i="39"/>
  <c r="D23" i="39"/>
  <c r="P22" i="39"/>
  <c r="M22" i="39"/>
  <c r="J22" i="39"/>
  <c r="G22" i="39"/>
  <c r="D22" i="39"/>
  <c r="P21" i="39"/>
  <c r="M21" i="39"/>
  <c r="J21" i="39"/>
  <c r="G21" i="39"/>
  <c r="D21" i="39"/>
  <c r="P20" i="39"/>
  <c r="M20" i="39"/>
  <c r="J20" i="39"/>
  <c r="G20" i="39"/>
  <c r="D20" i="39"/>
  <c r="P19" i="39"/>
  <c r="M19" i="39"/>
  <c r="J19" i="39"/>
  <c r="G19" i="39"/>
  <c r="D19" i="39"/>
  <c r="P18" i="39"/>
  <c r="M18" i="39"/>
  <c r="J18" i="39"/>
  <c r="G18" i="39"/>
  <c r="D18" i="39"/>
  <c r="P17" i="39"/>
  <c r="M17" i="39"/>
  <c r="J17" i="39"/>
  <c r="G17" i="39"/>
  <c r="D17" i="39"/>
  <c r="P16" i="39"/>
  <c r="M16" i="39"/>
  <c r="J16" i="39"/>
  <c r="G16" i="39"/>
  <c r="D16" i="39"/>
  <c r="P15" i="39"/>
  <c r="M15" i="39"/>
  <c r="J15" i="39"/>
  <c r="G15" i="39"/>
  <c r="D15" i="39"/>
  <c r="P14" i="39"/>
  <c r="M14" i="39"/>
  <c r="J14" i="39"/>
  <c r="G14" i="39"/>
  <c r="D14" i="39"/>
  <c r="P13" i="39"/>
  <c r="M13" i="39"/>
  <c r="J13" i="39"/>
  <c r="G13" i="39"/>
  <c r="D13" i="39"/>
  <c r="P12" i="39"/>
  <c r="M12" i="39"/>
  <c r="J12" i="39"/>
  <c r="G12" i="39"/>
  <c r="D12" i="39"/>
  <c r="P11" i="39"/>
  <c r="M11" i="39"/>
  <c r="J11" i="39"/>
  <c r="G11" i="39"/>
  <c r="D11" i="39"/>
  <c r="O10" i="39"/>
  <c r="O8" i="39" s="1"/>
  <c r="N10" i="39"/>
  <c r="N8" i="39" s="1"/>
  <c r="L10" i="39"/>
  <c r="L8" i="39" s="1"/>
  <c r="K10" i="39"/>
  <c r="K8" i="39" s="1"/>
  <c r="I10" i="39"/>
  <c r="I8" i="39" s="1"/>
  <c r="H10" i="39"/>
  <c r="H8" i="39" s="1"/>
  <c r="G10" i="39"/>
  <c r="C10" i="39"/>
  <c r="C8" i="39" s="1"/>
  <c r="B10" i="39"/>
  <c r="D10" i="39" s="1"/>
  <c r="P9" i="39"/>
  <c r="M9" i="39"/>
  <c r="J9" i="39"/>
  <c r="G9" i="39"/>
  <c r="D9" i="39"/>
  <c r="G8" i="39"/>
  <c r="B8" i="39"/>
  <c r="O6" i="38"/>
  <c r="N6" i="38"/>
  <c r="M6" i="38"/>
  <c r="L6" i="38"/>
  <c r="K6" i="38"/>
  <c r="J6" i="38"/>
  <c r="I6" i="38"/>
  <c r="F254" i="37"/>
  <c r="B254" i="37"/>
  <c r="M253" i="37"/>
  <c r="L253" i="37"/>
  <c r="H253" i="37"/>
  <c r="G253" i="37"/>
  <c r="F253" i="37" s="1"/>
  <c r="B253" i="37"/>
  <c r="F252" i="37"/>
  <c r="F251" i="37"/>
  <c r="B251" i="37"/>
  <c r="F250" i="37"/>
  <c r="B250" i="37"/>
  <c r="F249" i="37"/>
  <c r="B249" i="37"/>
  <c r="F248" i="37"/>
  <c r="B248" i="37"/>
  <c r="F247" i="37"/>
  <c r="B247" i="37"/>
  <c r="F246" i="37"/>
  <c r="B246" i="37"/>
  <c r="M245" i="37"/>
  <c r="L245" i="37"/>
  <c r="K245" i="37"/>
  <c r="J245" i="37"/>
  <c r="H245" i="37"/>
  <c r="G245" i="37"/>
  <c r="D245" i="37"/>
  <c r="C245" i="37"/>
  <c r="F243" i="37"/>
  <c r="B243" i="37"/>
  <c r="M242" i="37"/>
  <c r="L242" i="37"/>
  <c r="K242" i="37"/>
  <c r="J242" i="37"/>
  <c r="H242" i="37"/>
  <c r="G242" i="37"/>
  <c r="B242" i="37"/>
  <c r="F240" i="37"/>
  <c r="B240" i="37"/>
  <c r="F239" i="37"/>
  <c r="F238" i="37"/>
  <c r="B238" i="37"/>
  <c r="F237" i="37"/>
  <c r="B237" i="37"/>
  <c r="F236" i="37"/>
  <c r="B236" i="37"/>
  <c r="F235" i="37"/>
  <c r="B235" i="37"/>
  <c r="F234" i="37"/>
  <c r="B234" i="37"/>
  <c r="F233" i="37"/>
  <c r="B233" i="37"/>
  <c r="F232" i="37"/>
  <c r="B232" i="37"/>
  <c r="F231" i="37"/>
  <c r="B231" i="37"/>
  <c r="F230" i="37"/>
  <c r="B230" i="37"/>
  <c r="M229" i="37"/>
  <c r="L229" i="37"/>
  <c r="K229" i="37"/>
  <c r="J229" i="37"/>
  <c r="H229" i="37"/>
  <c r="G229" i="37"/>
  <c r="D229" i="37"/>
  <c r="C229" i="37"/>
  <c r="F227" i="37"/>
  <c r="B227" i="37"/>
  <c r="F226" i="37"/>
  <c r="B226" i="37"/>
  <c r="F225" i="37"/>
  <c r="B225" i="37"/>
  <c r="F224" i="37"/>
  <c r="B224" i="37"/>
  <c r="F223" i="37"/>
  <c r="B223" i="37"/>
  <c r="F222" i="37"/>
  <c r="B222" i="37"/>
  <c r="F221" i="37"/>
  <c r="B221" i="37"/>
  <c r="F220" i="37"/>
  <c r="B220" i="37"/>
  <c r="F219" i="37"/>
  <c r="B219" i="37"/>
  <c r="F218" i="37"/>
  <c r="B218" i="37"/>
  <c r="M217" i="37"/>
  <c r="L217" i="37"/>
  <c r="K217" i="37"/>
  <c r="J217" i="37"/>
  <c r="H217" i="37"/>
  <c r="G217" i="37"/>
  <c r="D217" i="37"/>
  <c r="C217" i="37"/>
  <c r="B217" i="37"/>
  <c r="F215" i="37"/>
  <c r="B215" i="37"/>
  <c r="F214" i="37"/>
  <c r="B214" i="37"/>
  <c r="F213" i="37"/>
  <c r="B213" i="37"/>
  <c r="F212" i="37"/>
  <c r="B212" i="37"/>
  <c r="F211" i="37"/>
  <c r="B211" i="37"/>
  <c r="F210" i="37"/>
  <c r="B210" i="37"/>
  <c r="F209" i="37"/>
  <c r="B209" i="37"/>
  <c r="F208" i="37"/>
  <c r="B208" i="37"/>
  <c r="F207" i="37"/>
  <c r="B207" i="37"/>
  <c r="F206" i="37"/>
  <c r="B206" i="37"/>
  <c r="F205" i="37"/>
  <c r="B205" i="37"/>
  <c r="F204" i="37"/>
  <c r="B204" i="37"/>
  <c r="M203" i="37"/>
  <c r="L203" i="37"/>
  <c r="K203" i="37"/>
  <c r="J203" i="37"/>
  <c r="H203" i="37"/>
  <c r="G203" i="37"/>
  <c r="D203" i="37"/>
  <c r="C203" i="37"/>
  <c r="B203" i="37" s="1"/>
  <c r="F201" i="37"/>
  <c r="B201" i="37"/>
  <c r="F200" i="37"/>
  <c r="B200" i="37"/>
  <c r="F199" i="37"/>
  <c r="B199" i="37"/>
  <c r="F198" i="37"/>
  <c r="B198" i="37"/>
  <c r="F197" i="37"/>
  <c r="B197" i="37"/>
  <c r="F196" i="37"/>
  <c r="B196" i="37"/>
  <c r="F195" i="37"/>
  <c r="B195" i="37"/>
  <c r="F194" i="37"/>
  <c r="B194" i="37"/>
  <c r="F193" i="37"/>
  <c r="B193" i="37"/>
  <c r="F192" i="37"/>
  <c r="B192" i="37"/>
  <c r="F191" i="37"/>
  <c r="B191" i="37"/>
  <c r="F190" i="37"/>
  <c r="B190" i="37"/>
  <c r="F189" i="37"/>
  <c r="B189" i="37"/>
  <c r="M188" i="37"/>
  <c r="L188" i="37"/>
  <c r="K188" i="37"/>
  <c r="J188" i="37"/>
  <c r="H188" i="37"/>
  <c r="G188" i="37"/>
  <c r="D188" i="37"/>
  <c r="C188" i="37"/>
  <c r="F186" i="37"/>
  <c r="B186" i="37"/>
  <c r="F185" i="37"/>
  <c r="B185" i="37"/>
  <c r="F184" i="37"/>
  <c r="B184" i="37"/>
  <c r="F183" i="37"/>
  <c r="B183" i="37"/>
  <c r="F182" i="37"/>
  <c r="B182" i="37"/>
  <c r="F181" i="37"/>
  <c r="B181" i="37"/>
  <c r="F180" i="37"/>
  <c r="B180" i="37"/>
  <c r="F179" i="37"/>
  <c r="B179" i="37"/>
  <c r="M178" i="37"/>
  <c r="L178" i="37"/>
  <c r="K178" i="37"/>
  <c r="J178" i="37"/>
  <c r="H178" i="37"/>
  <c r="G178" i="37"/>
  <c r="F178" i="37" s="1"/>
  <c r="D178" i="37"/>
  <c r="C178" i="37"/>
  <c r="F176" i="37"/>
  <c r="B176" i="37"/>
  <c r="F175" i="37"/>
  <c r="B175" i="37"/>
  <c r="F174" i="37"/>
  <c r="B174" i="37"/>
  <c r="F173" i="37"/>
  <c r="B173" i="37"/>
  <c r="F172" i="37"/>
  <c r="B172" i="37"/>
  <c r="M171" i="37"/>
  <c r="L171" i="37"/>
  <c r="K171" i="37"/>
  <c r="J171" i="37"/>
  <c r="H171" i="37"/>
  <c r="G171" i="37"/>
  <c r="D171" i="37"/>
  <c r="C171" i="37"/>
  <c r="B171" i="37" s="1"/>
  <c r="F169" i="37"/>
  <c r="B169" i="37"/>
  <c r="F168" i="37"/>
  <c r="B168" i="37"/>
  <c r="F167" i="37"/>
  <c r="B167" i="37"/>
  <c r="F166" i="37"/>
  <c r="B166" i="37"/>
  <c r="F165" i="37"/>
  <c r="B165" i="37"/>
  <c r="F164" i="37"/>
  <c r="B164" i="37"/>
  <c r="F163" i="37"/>
  <c r="B163" i="37"/>
  <c r="F162" i="37"/>
  <c r="B162" i="37"/>
  <c r="F161" i="37"/>
  <c r="B161" i="37"/>
  <c r="M160" i="37"/>
  <c r="L160" i="37"/>
  <c r="K160" i="37"/>
  <c r="J160" i="37"/>
  <c r="H160" i="37"/>
  <c r="G160" i="37"/>
  <c r="D160" i="37"/>
  <c r="C160" i="37"/>
  <c r="F158" i="37"/>
  <c r="B158" i="37"/>
  <c r="F157" i="37"/>
  <c r="B157" i="37"/>
  <c r="F156" i="37"/>
  <c r="B156" i="37"/>
  <c r="F155" i="37"/>
  <c r="B155" i="37"/>
  <c r="F154" i="37"/>
  <c r="B154" i="37"/>
  <c r="M153" i="37"/>
  <c r="L153" i="37"/>
  <c r="K153" i="37"/>
  <c r="J153" i="37"/>
  <c r="H153" i="37"/>
  <c r="G153" i="37"/>
  <c r="C153" i="37"/>
  <c r="B153" i="37" s="1"/>
  <c r="F151" i="37"/>
  <c r="B151" i="37"/>
  <c r="F150" i="37"/>
  <c r="B150" i="37"/>
  <c r="F149" i="37"/>
  <c r="B149" i="37"/>
  <c r="F148" i="37"/>
  <c r="B148" i="37"/>
  <c r="F147" i="37"/>
  <c r="B147" i="37"/>
  <c r="F146" i="37"/>
  <c r="B146" i="37"/>
  <c r="F145" i="37"/>
  <c r="B145" i="37"/>
  <c r="F144" i="37"/>
  <c r="B144" i="37"/>
  <c r="F143" i="37"/>
  <c r="B143" i="37"/>
  <c r="F142" i="37"/>
  <c r="B142" i="37"/>
  <c r="M141" i="37"/>
  <c r="L141" i="37"/>
  <c r="K141" i="37"/>
  <c r="J141" i="37"/>
  <c r="H141" i="37"/>
  <c r="G141" i="37"/>
  <c r="D141" i="37"/>
  <c r="C141" i="37"/>
  <c r="F139" i="37"/>
  <c r="B139" i="37"/>
  <c r="F138" i="37"/>
  <c r="B138" i="37"/>
  <c r="F137" i="37"/>
  <c r="B137" i="37"/>
  <c r="F136" i="37"/>
  <c r="B136" i="37"/>
  <c r="F135" i="37"/>
  <c r="B135" i="37"/>
  <c r="F134" i="37"/>
  <c r="B134" i="37"/>
  <c r="F133" i="37"/>
  <c r="B133" i="37"/>
  <c r="F132" i="37"/>
  <c r="B132" i="37"/>
  <c r="M131" i="37"/>
  <c r="L131" i="37"/>
  <c r="K131" i="37"/>
  <c r="J131" i="37"/>
  <c r="H131" i="37"/>
  <c r="F131" i="37" s="1"/>
  <c r="G131" i="37"/>
  <c r="D131" i="37"/>
  <c r="C131" i="37"/>
  <c r="F129" i="37"/>
  <c r="B129" i="37"/>
  <c r="F128" i="37"/>
  <c r="B128" i="37"/>
  <c r="F127" i="37"/>
  <c r="B127" i="37"/>
  <c r="F126" i="37"/>
  <c r="B126" i="37"/>
  <c r="F125" i="37"/>
  <c r="B125" i="37"/>
  <c r="F124" i="37"/>
  <c r="B124" i="37"/>
  <c r="F123" i="37"/>
  <c r="B123" i="37"/>
  <c r="F122" i="37"/>
  <c r="B122" i="37"/>
  <c r="F121" i="37"/>
  <c r="B121" i="37"/>
  <c r="M120" i="37"/>
  <c r="L120" i="37"/>
  <c r="K120" i="37"/>
  <c r="J120" i="37"/>
  <c r="H120" i="37"/>
  <c r="G120" i="37"/>
  <c r="F120" i="37" s="1"/>
  <c r="D120" i="37"/>
  <c r="C120" i="37"/>
  <c r="F118" i="37"/>
  <c r="F117" i="37"/>
  <c r="B117" i="37"/>
  <c r="F116" i="37"/>
  <c r="B116" i="37"/>
  <c r="F115" i="37"/>
  <c r="B115" i="37"/>
  <c r="F114" i="37"/>
  <c r="B114" i="37"/>
  <c r="M113" i="37"/>
  <c r="L113" i="37"/>
  <c r="K113" i="37"/>
  <c r="J113" i="37"/>
  <c r="H113" i="37"/>
  <c r="F113" i="37" s="1"/>
  <c r="G113" i="37"/>
  <c r="D113" i="37"/>
  <c r="C113" i="37"/>
  <c r="F111" i="37"/>
  <c r="B111" i="37"/>
  <c r="F110" i="37"/>
  <c r="B110" i="37"/>
  <c r="F109" i="37"/>
  <c r="B109" i="37"/>
  <c r="F108" i="37"/>
  <c r="B108" i="37"/>
  <c r="F107" i="37"/>
  <c r="B107" i="37"/>
  <c r="F106" i="37"/>
  <c r="B106" i="37"/>
  <c r="F105" i="37"/>
  <c r="B105" i="37"/>
  <c r="F104" i="37"/>
  <c r="B104" i="37"/>
  <c r="F103" i="37"/>
  <c r="B103" i="37"/>
  <c r="F102" i="37"/>
  <c r="B102" i="37"/>
  <c r="F101" i="37"/>
  <c r="B101" i="37"/>
  <c r="F100" i="37"/>
  <c r="B100" i="37"/>
  <c r="F99" i="37"/>
  <c r="B99" i="37"/>
  <c r="M98" i="37"/>
  <c r="L98" i="37"/>
  <c r="K98" i="37"/>
  <c r="J98" i="37"/>
  <c r="H98" i="37"/>
  <c r="F98" i="37" s="1"/>
  <c r="G98" i="37"/>
  <c r="D98" i="37"/>
  <c r="C98" i="37"/>
  <c r="F96" i="37"/>
  <c r="B96" i="37"/>
  <c r="F95" i="37"/>
  <c r="B95" i="37"/>
  <c r="F94" i="37"/>
  <c r="B94" i="37"/>
  <c r="F93" i="37"/>
  <c r="B93" i="37"/>
  <c r="F92" i="37"/>
  <c r="B92" i="37"/>
  <c r="F91" i="37"/>
  <c r="B91" i="37"/>
  <c r="F90" i="37"/>
  <c r="B90" i="37"/>
  <c r="F89" i="37"/>
  <c r="B89" i="37"/>
  <c r="F88" i="37"/>
  <c r="B88" i="37"/>
  <c r="F87" i="37"/>
  <c r="B87" i="37"/>
  <c r="F86" i="37"/>
  <c r="F85" i="37"/>
  <c r="B85" i="37"/>
  <c r="F84" i="37"/>
  <c r="B84" i="37"/>
  <c r="F83" i="37"/>
  <c r="B83" i="37"/>
  <c r="F82" i="37"/>
  <c r="B82" i="37"/>
  <c r="F81" i="37"/>
  <c r="B81" i="37"/>
  <c r="F80" i="37"/>
  <c r="B80" i="37"/>
  <c r="M79" i="37"/>
  <c r="L79" i="37"/>
  <c r="K79" i="37"/>
  <c r="J79" i="37"/>
  <c r="H79" i="37"/>
  <c r="G79" i="37"/>
  <c r="F79" i="37" s="1"/>
  <c r="D79" i="37"/>
  <c r="C79" i="37"/>
  <c r="F77" i="37"/>
  <c r="B77" i="37"/>
  <c r="F76" i="37"/>
  <c r="B76" i="37"/>
  <c r="F75" i="37"/>
  <c r="B75" i="37"/>
  <c r="F74" i="37"/>
  <c r="B74" i="37"/>
  <c r="F73" i="37"/>
  <c r="B73" i="37"/>
  <c r="F72" i="37"/>
  <c r="B72" i="37"/>
  <c r="F71" i="37"/>
  <c r="B71" i="37"/>
  <c r="F70" i="37"/>
  <c r="B70" i="37"/>
  <c r="F69" i="37"/>
  <c r="B69" i="37"/>
  <c r="F68" i="37"/>
  <c r="B68" i="37"/>
  <c r="F67" i="37"/>
  <c r="B67" i="37"/>
  <c r="F66" i="37"/>
  <c r="B66" i="37"/>
  <c r="F65" i="37"/>
  <c r="B65" i="37"/>
  <c r="M64" i="37"/>
  <c r="L64" i="37"/>
  <c r="K64" i="37"/>
  <c r="J64" i="37"/>
  <c r="H64" i="37"/>
  <c r="G64" i="37"/>
  <c r="D64" i="37"/>
  <c r="C64" i="37"/>
  <c r="B64" i="37" s="1"/>
  <c r="F62" i="37"/>
  <c r="B62" i="37"/>
  <c r="F61" i="37"/>
  <c r="B61" i="37"/>
  <c r="F60" i="37"/>
  <c r="B60" i="37"/>
  <c r="F59" i="37"/>
  <c r="B59" i="37"/>
  <c r="F58" i="37"/>
  <c r="B58" i="37"/>
  <c r="F57" i="37"/>
  <c r="B57" i="37"/>
  <c r="F56" i="37"/>
  <c r="B56" i="37"/>
  <c r="F55" i="37"/>
  <c r="B55" i="37"/>
  <c r="F54" i="37"/>
  <c r="B54" i="37"/>
  <c r="F53" i="37"/>
  <c r="B53" i="37"/>
  <c r="F52" i="37"/>
  <c r="B52" i="37"/>
  <c r="F51" i="37"/>
  <c r="B51" i="37"/>
  <c r="F50" i="37"/>
  <c r="B50" i="37"/>
  <c r="F49" i="37"/>
  <c r="B49" i="37"/>
  <c r="F48" i="37"/>
  <c r="B48" i="37"/>
  <c r="F47" i="37"/>
  <c r="B47" i="37"/>
  <c r="M46" i="37"/>
  <c r="L46" i="37"/>
  <c r="K46" i="37"/>
  <c r="J46" i="37"/>
  <c r="H46" i="37"/>
  <c r="G46" i="37"/>
  <c r="D46" i="37"/>
  <c r="C46" i="37"/>
  <c r="F44" i="37"/>
  <c r="B44" i="37"/>
  <c r="F43" i="37"/>
  <c r="B43" i="37"/>
  <c r="F42" i="37"/>
  <c r="B42" i="37"/>
  <c r="F41" i="37"/>
  <c r="B41" i="37"/>
  <c r="F40" i="37"/>
  <c r="B40" i="37"/>
  <c r="F39" i="37"/>
  <c r="B39" i="37"/>
  <c r="F38" i="37"/>
  <c r="B38" i="37"/>
  <c r="F37" i="37"/>
  <c r="B37" i="37"/>
  <c r="F36" i="37"/>
  <c r="B36" i="37"/>
  <c r="F35" i="37"/>
  <c r="B35" i="37"/>
  <c r="F34" i="37"/>
  <c r="B34" i="37"/>
  <c r="F33" i="37"/>
  <c r="B33" i="37"/>
  <c r="F32" i="37"/>
  <c r="B32" i="37"/>
  <c r="F31" i="37"/>
  <c r="B31" i="37"/>
  <c r="F30" i="37"/>
  <c r="B30" i="37"/>
  <c r="F29" i="37"/>
  <c r="B29" i="37"/>
  <c r="M28" i="37"/>
  <c r="L28" i="37"/>
  <c r="K28" i="37"/>
  <c r="J28" i="37"/>
  <c r="H28" i="37"/>
  <c r="G28" i="37"/>
  <c r="D28" i="37"/>
  <c r="C28" i="37"/>
  <c r="F26" i="37"/>
  <c r="B26" i="37"/>
  <c r="F25" i="37"/>
  <c r="B25" i="37"/>
  <c r="F24" i="37"/>
  <c r="B24" i="37"/>
  <c r="F23" i="37"/>
  <c r="B23" i="37"/>
  <c r="F22" i="37"/>
  <c r="B22" i="37"/>
  <c r="F21" i="37"/>
  <c r="B21" i="37"/>
  <c r="F20" i="37"/>
  <c r="B20" i="37"/>
  <c r="F19" i="37"/>
  <c r="B19" i="37"/>
  <c r="F18" i="37"/>
  <c r="B18" i="37"/>
  <c r="F17" i="37"/>
  <c r="B17" i="37"/>
  <c r="F16" i="37"/>
  <c r="B16" i="37"/>
  <c r="F15" i="37"/>
  <c r="B15" i="37"/>
  <c r="F14" i="37"/>
  <c r="B14" i="37"/>
  <c r="F13" i="37"/>
  <c r="B13" i="37"/>
  <c r="F12" i="37"/>
  <c r="B12" i="37"/>
  <c r="F11" i="37"/>
  <c r="B11" i="37"/>
  <c r="M10" i="37"/>
  <c r="M9" i="37" s="1"/>
  <c r="M7" i="37" s="1"/>
  <c r="L10" i="37"/>
  <c r="K10" i="37"/>
  <c r="K9" i="37" s="1"/>
  <c r="K7" i="37" s="1"/>
  <c r="J10" i="37"/>
  <c r="H10" i="37"/>
  <c r="G10" i="37"/>
  <c r="F10" i="37" s="1"/>
  <c r="D10" i="37"/>
  <c r="C10" i="37"/>
  <c r="C9" i="37" s="1"/>
  <c r="L9" i="37"/>
  <c r="L7" i="37" s="1"/>
  <c r="I9" i="37"/>
  <c r="H9" i="37"/>
  <c r="H7" i="37" s="1"/>
  <c r="F8" i="37"/>
  <c r="B8" i="37"/>
  <c r="E8" i="36"/>
  <c r="E6" i="36" s="1"/>
  <c r="D8" i="36"/>
  <c r="D6" i="36" s="1"/>
  <c r="C8" i="36"/>
  <c r="C6" i="36" s="1"/>
  <c r="B8" i="36"/>
  <c r="B6" i="36" s="1"/>
  <c r="B10" i="35"/>
  <c r="B5" i="35" s="1"/>
  <c r="F5" i="35"/>
  <c r="E5" i="35"/>
  <c r="D5" i="35"/>
  <c r="C5" i="35"/>
  <c r="B62" i="34"/>
  <c r="B61" i="34"/>
  <c r="B60" i="34"/>
  <c r="B59" i="34"/>
  <c r="B58" i="34"/>
  <c r="B57" i="34"/>
  <c r="B56" i="34"/>
  <c r="B55" i="34"/>
  <c r="B54" i="34"/>
  <c r="B53" i="34"/>
  <c r="B52" i="34"/>
  <c r="B51" i="34"/>
  <c r="B50" i="34"/>
  <c r="B49" i="34"/>
  <c r="B48" i="34"/>
  <c r="B47" i="34"/>
  <c r="B46" i="34"/>
  <c r="B45" i="34"/>
  <c r="B44" i="34"/>
  <c r="B43" i="34"/>
  <c r="B42" i="34"/>
  <c r="F41" i="34"/>
  <c r="F39" i="34" s="1"/>
  <c r="E41" i="34"/>
  <c r="E39" i="34" s="1"/>
  <c r="D41" i="34"/>
  <c r="D39" i="34" s="1"/>
  <c r="C41" i="34"/>
  <c r="C39" i="34" s="1"/>
  <c r="B40" i="34"/>
  <c r="G39" i="34"/>
  <c r="B29" i="34"/>
  <c r="B28" i="34"/>
  <c r="B27" i="34"/>
  <c r="B26" i="34"/>
  <c r="B25" i="34"/>
  <c r="B24" i="34"/>
  <c r="B23" i="34"/>
  <c r="B22" i="34"/>
  <c r="B21" i="34"/>
  <c r="B20" i="34"/>
  <c r="B19" i="34"/>
  <c r="B18" i="34"/>
  <c r="B17" i="34"/>
  <c r="B16" i="34"/>
  <c r="B15" i="34"/>
  <c r="B14" i="34"/>
  <c r="B13" i="34"/>
  <c r="B12" i="34"/>
  <c r="B11" i="34"/>
  <c r="B10" i="34"/>
  <c r="B9" i="34"/>
  <c r="G6" i="34"/>
  <c r="F8" i="34"/>
  <c r="F6" i="34" s="1"/>
  <c r="E8" i="34"/>
  <c r="E6" i="34" s="1"/>
  <c r="D8" i="34"/>
  <c r="D6" i="34" s="1"/>
  <c r="C8" i="34"/>
  <c r="B7" i="34"/>
  <c r="C6" i="34"/>
  <c r="B22" i="33"/>
  <c r="B21" i="33"/>
  <c r="B20" i="33"/>
  <c r="G19" i="33"/>
  <c r="F19" i="33"/>
  <c r="E19" i="33"/>
  <c r="D19" i="33"/>
  <c r="C19" i="33"/>
  <c r="B9" i="33"/>
  <c r="B8" i="33"/>
  <c r="B7" i="33"/>
  <c r="H6" i="33"/>
  <c r="G6" i="33"/>
  <c r="F6" i="33"/>
  <c r="E6" i="33"/>
  <c r="D6" i="33"/>
  <c r="C6" i="33"/>
  <c r="G26" i="32"/>
  <c r="F26" i="32"/>
  <c r="E26" i="32"/>
  <c r="D26" i="32"/>
  <c r="B26" i="32"/>
  <c r="G6" i="32"/>
  <c r="F6" i="32"/>
  <c r="E6" i="32"/>
  <c r="D6" i="32"/>
  <c r="C6" i="32"/>
  <c r="B6" i="32"/>
  <c r="B493" i="31"/>
  <c r="B492" i="31"/>
  <c r="B491" i="31"/>
  <c r="B490" i="31"/>
  <c r="B489" i="31"/>
  <c r="B488" i="31"/>
  <c r="H487" i="31"/>
  <c r="G487" i="31"/>
  <c r="F487" i="31"/>
  <c r="E487" i="31"/>
  <c r="D487" i="31"/>
  <c r="C487" i="31"/>
  <c r="B485" i="31"/>
  <c r="H484" i="31"/>
  <c r="G484" i="31"/>
  <c r="F484" i="31"/>
  <c r="E484" i="31"/>
  <c r="D484" i="31"/>
  <c r="C484" i="31"/>
  <c r="B482" i="31"/>
  <c r="B481" i="31"/>
  <c r="B480" i="31"/>
  <c r="B479" i="31"/>
  <c r="B478" i="31"/>
  <c r="B477" i="31"/>
  <c r="B476" i="31"/>
  <c r="B475" i="31"/>
  <c r="B474" i="31"/>
  <c r="H473" i="31"/>
  <c r="G473" i="31"/>
  <c r="F473" i="31"/>
  <c r="E473" i="31"/>
  <c r="D473" i="31"/>
  <c r="C473" i="31"/>
  <c r="B471" i="31"/>
  <c r="B470" i="31"/>
  <c r="B469" i="31"/>
  <c r="B468" i="31"/>
  <c r="B467" i="31"/>
  <c r="B466" i="31"/>
  <c r="B465" i="31"/>
  <c r="B464" i="31"/>
  <c r="B463" i="31"/>
  <c r="B462" i="31"/>
  <c r="H461" i="31"/>
  <c r="G461" i="31"/>
  <c r="F461" i="31"/>
  <c r="E461" i="31"/>
  <c r="D461" i="31"/>
  <c r="C461" i="31"/>
  <c r="B459" i="31"/>
  <c r="B458" i="31"/>
  <c r="B457" i="31"/>
  <c r="B456" i="31"/>
  <c r="B455" i="31"/>
  <c r="B454" i="31"/>
  <c r="B453" i="31"/>
  <c r="B452" i="31"/>
  <c r="B451" i="31"/>
  <c r="B450" i="31"/>
  <c r="B449" i="31"/>
  <c r="B448" i="31"/>
  <c r="H447" i="31"/>
  <c r="G447" i="31"/>
  <c r="F447" i="31"/>
  <c r="E447" i="31"/>
  <c r="D447" i="31"/>
  <c r="C447" i="31"/>
  <c r="B445" i="31"/>
  <c r="B444" i="31"/>
  <c r="B443" i="31"/>
  <c r="B442" i="31"/>
  <c r="B441" i="31"/>
  <c r="B440" i="31"/>
  <c r="B439" i="31"/>
  <c r="B438" i="31"/>
  <c r="B437" i="31"/>
  <c r="B436" i="31"/>
  <c r="B435" i="31"/>
  <c r="B434" i="31"/>
  <c r="B433" i="31"/>
  <c r="H432" i="31"/>
  <c r="G432" i="31"/>
  <c r="F432" i="31"/>
  <c r="E432" i="31"/>
  <c r="D432" i="31"/>
  <c r="C432" i="31"/>
  <c r="B430" i="31"/>
  <c r="B429" i="31"/>
  <c r="B428" i="31"/>
  <c r="B427" i="31"/>
  <c r="B426" i="31"/>
  <c r="B425" i="31"/>
  <c r="B424" i="31"/>
  <c r="B423" i="31"/>
  <c r="H422" i="31"/>
  <c r="G422" i="31"/>
  <c r="F422" i="31"/>
  <c r="E422" i="31"/>
  <c r="D422" i="31"/>
  <c r="C422" i="31"/>
  <c r="B420" i="31"/>
  <c r="B419" i="31"/>
  <c r="B418" i="31"/>
  <c r="B417" i="31"/>
  <c r="B416" i="31"/>
  <c r="H415" i="31"/>
  <c r="G415" i="31"/>
  <c r="F415" i="31"/>
  <c r="E415" i="31"/>
  <c r="D415" i="31"/>
  <c r="C415" i="31"/>
  <c r="B413" i="31"/>
  <c r="B412" i="31"/>
  <c r="B411" i="31"/>
  <c r="B410" i="31"/>
  <c r="B409" i="31"/>
  <c r="B408" i="31"/>
  <c r="B407" i="31"/>
  <c r="B406" i="31"/>
  <c r="H405" i="31"/>
  <c r="G405" i="31"/>
  <c r="F405" i="31"/>
  <c r="E405" i="31"/>
  <c r="D405" i="31"/>
  <c r="C405" i="31"/>
  <c r="B403" i="31"/>
  <c r="B402" i="31"/>
  <c r="B401" i="31"/>
  <c r="B400" i="31"/>
  <c r="B399" i="31"/>
  <c r="H398" i="31"/>
  <c r="G398" i="31"/>
  <c r="F398" i="31"/>
  <c r="E398" i="31"/>
  <c r="D398" i="31"/>
  <c r="C398" i="31"/>
  <c r="B396" i="31"/>
  <c r="B395" i="31"/>
  <c r="B394" i="31"/>
  <c r="B393" i="31"/>
  <c r="B392" i="31"/>
  <c r="B391" i="31"/>
  <c r="B390" i="31"/>
  <c r="B389" i="31"/>
  <c r="B388" i="31"/>
  <c r="B387" i="31"/>
  <c r="H386" i="31"/>
  <c r="G386" i="31"/>
  <c r="F386" i="31"/>
  <c r="E386" i="31"/>
  <c r="D386" i="31"/>
  <c r="C386" i="31"/>
  <c r="B384" i="31"/>
  <c r="B383" i="31"/>
  <c r="B382" i="31"/>
  <c r="B381" i="31"/>
  <c r="B380" i="31"/>
  <c r="B379" i="31"/>
  <c r="B378" i="31"/>
  <c r="B377" i="31"/>
  <c r="H376" i="31"/>
  <c r="G376" i="31"/>
  <c r="F376" i="31"/>
  <c r="E376" i="31"/>
  <c r="D376" i="31"/>
  <c r="C376" i="31"/>
  <c r="B374" i="31"/>
  <c r="B373" i="31"/>
  <c r="B372" i="31"/>
  <c r="B371" i="31"/>
  <c r="B370" i="31"/>
  <c r="B369" i="31"/>
  <c r="B368" i="31"/>
  <c r="B367" i="31"/>
  <c r="B366" i="31"/>
  <c r="H365" i="31"/>
  <c r="G365" i="31"/>
  <c r="F365" i="31"/>
  <c r="E365" i="31"/>
  <c r="D365" i="31"/>
  <c r="C365" i="31"/>
  <c r="B363" i="31"/>
  <c r="B362" i="31"/>
  <c r="B361" i="31"/>
  <c r="B360" i="31"/>
  <c r="B359" i="31"/>
  <c r="H358" i="31"/>
  <c r="G358" i="31"/>
  <c r="F358" i="31"/>
  <c r="E358" i="31"/>
  <c r="D358" i="31"/>
  <c r="C358" i="31"/>
  <c r="B356" i="31"/>
  <c r="B355" i="31"/>
  <c r="B354" i="31"/>
  <c r="B353" i="31"/>
  <c r="B352" i="31"/>
  <c r="B351" i="31"/>
  <c r="B350" i="31"/>
  <c r="B349" i="31"/>
  <c r="B348" i="31"/>
  <c r="B347" i="31"/>
  <c r="B346" i="31"/>
  <c r="B345" i="31"/>
  <c r="B344" i="31"/>
  <c r="H343" i="31"/>
  <c r="G343" i="31"/>
  <c r="F343" i="31"/>
  <c r="E343" i="31"/>
  <c r="D343" i="31"/>
  <c r="C343" i="31"/>
  <c r="B341" i="31"/>
  <c r="B340" i="31"/>
  <c r="B339" i="31"/>
  <c r="B338" i="31"/>
  <c r="B337" i="31"/>
  <c r="B336" i="31"/>
  <c r="B335" i="31"/>
  <c r="B334" i="31"/>
  <c r="B333" i="31"/>
  <c r="B332" i="31"/>
  <c r="B331" i="31"/>
  <c r="B330" i="31"/>
  <c r="B329" i="31"/>
  <c r="B328" i="31"/>
  <c r="B327" i="31"/>
  <c r="B326" i="31"/>
  <c r="H325" i="31"/>
  <c r="G325" i="31"/>
  <c r="F325" i="31"/>
  <c r="E325" i="31"/>
  <c r="D325" i="31"/>
  <c r="C325" i="31"/>
  <c r="B323" i="31"/>
  <c r="B322" i="31"/>
  <c r="B321" i="31"/>
  <c r="B320" i="31"/>
  <c r="B319" i="31"/>
  <c r="B318" i="31"/>
  <c r="B317" i="31"/>
  <c r="B316" i="31"/>
  <c r="B315" i="31"/>
  <c r="B314" i="31"/>
  <c r="B313" i="31"/>
  <c r="B312" i="31"/>
  <c r="B311" i="31"/>
  <c r="H310" i="31"/>
  <c r="G310" i="31"/>
  <c r="F310" i="31"/>
  <c r="E310" i="31"/>
  <c r="D310" i="31"/>
  <c r="C310" i="31"/>
  <c r="B308" i="31"/>
  <c r="B307" i="31"/>
  <c r="B306" i="31"/>
  <c r="B305" i="31"/>
  <c r="B304" i="31"/>
  <c r="B303" i="31"/>
  <c r="B302" i="31"/>
  <c r="B301" i="31"/>
  <c r="B300" i="31"/>
  <c r="B299" i="31"/>
  <c r="B298" i="31"/>
  <c r="B297" i="31"/>
  <c r="B296" i="31"/>
  <c r="B295" i="31"/>
  <c r="H294" i="31"/>
  <c r="G294" i="31"/>
  <c r="F294" i="31"/>
  <c r="E294" i="31"/>
  <c r="D294" i="31"/>
  <c r="C294" i="31"/>
  <c r="B292" i="31"/>
  <c r="B291" i="31"/>
  <c r="B290" i="31"/>
  <c r="B289" i="31"/>
  <c r="B288" i="31"/>
  <c r="B287" i="31"/>
  <c r="B286" i="31"/>
  <c r="B285" i="31"/>
  <c r="B284" i="31"/>
  <c r="B283" i="31"/>
  <c r="B282" i="31"/>
  <c r="B281" i="31"/>
  <c r="B280" i="31"/>
  <c r="B279" i="31"/>
  <c r="B278" i="31"/>
  <c r="H277" i="31"/>
  <c r="G277" i="31"/>
  <c r="F277" i="31"/>
  <c r="E277" i="31"/>
  <c r="C277" i="31"/>
  <c r="B275" i="31"/>
  <c r="B274" i="31"/>
  <c r="B273" i="31"/>
  <c r="B272" i="31"/>
  <c r="B271" i="31"/>
  <c r="B270" i="31"/>
  <c r="B269" i="31"/>
  <c r="B268" i="31"/>
  <c r="B267" i="31"/>
  <c r="B266" i="31"/>
  <c r="B265" i="31"/>
  <c r="B264" i="31"/>
  <c r="B263" i="31"/>
  <c r="B262" i="31"/>
  <c r="H261" i="31"/>
  <c r="G261" i="31"/>
  <c r="F261" i="31"/>
  <c r="E261" i="31"/>
  <c r="D261" i="31"/>
  <c r="C261" i="31"/>
  <c r="B259" i="31"/>
  <c r="B244" i="31"/>
  <c r="B243" i="31"/>
  <c r="B242" i="31"/>
  <c r="B241" i="31"/>
  <c r="B240" i="31"/>
  <c r="B239" i="31"/>
  <c r="I238" i="31"/>
  <c r="H238" i="31"/>
  <c r="G238" i="31"/>
  <c r="F238" i="31"/>
  <c r="E238" i="31"/>
  <c r="D238" i="31"/>
  <c r="C238" i="31"/>
  <c r="B236" i="31"/>
  <c r="I235" i="31"/>
  <c r="H235" i="31"/>
  <c r="G235" i="31"/>
  <c r="F235" i="31"/>
  <c r="E235" i="31"/>
  <c r="D235" i="31"/>
  <c r="C235" i="31"/>
  <c r="B233" i="31"/>
  <c r="B232" i="31"/>
  <c r="B231" i="31"/>
  <c r="B230" i="31"/>
  <c r="B229" i="31"/>
  <c r="B228" i="31"/>
  <c r="B227" i="31"/>
  <c r="B226" i="31"/>
  <c r="B225" i="31"/>
  <c r="I224" i="31"/>
  <c r="H224" i="31"/>
  <c r="G224" i="31"/>
  <c r="F224" i="31"/>
  <c r="E224" i="31"/>
  <c r="D224" i="31"/>
  <c r="C224" i="31"/>
  <c r="B222" i="31"/>
  <c r="B221" i="31"/>
  <c r="B220" i="31"/>
  <c r="B219" i="31"/>
  <c r="B218" i="31"/>
  <c r="B217" i="31"/>
  <c r="B216" i="31"/>
  <c r="B215" i="31"/>
  <c r="B214" i="31"/>
  <c r="B213" i="31"/>
  <c r="I212" i="31"/>
  <c r="H212" i="31"/>
  <c r="G212" i="31"/>
  <c r="F212" i="31"/>
  <c r="E212" i="31"/>
  <c r="D212" i="31"/>
  <c r="C212" i="31"/>
  <c r="B210" i="31"/>
  <c r="B209" i="31"/>
  <c r="B208" i="31"/>
  <c r="B207" i="31"/>
  <c r="B206" i="31"/>
  <c r="B205" i="31"/>
  <c r="B204" i="31"/>
  <c r="B203" i="31"/>
  <c r="B202" i="31"/>
  <c r="B201" i="31"/>
  <c r="B200" i="31"/>
  <c r="B199" i="31"/>
  <c r="I198" i="31"/>
  <c r="H198" i="31"/>
  <c r="G198" i="31"/>
  <c r="F198" i="31"/>
  <c r="E198" i="31"/>
  <c r="D198" i="31"/>
  <c r="C198" i="31"/>
  <c r="B196" i="31"/>
  <c r="B195" i="31"/>
  <c r="B194" i="31"/>
  <c r="B193" i="31"/>
  <c r="B192" i="31"/>
  <c r="B191" i="31"/>
  <c r="B190" i="31"/>
  <c r="B189" i="31"/>
  <c r="B188" i="31"/>
  <c r="B187" i="31"/>
  <c r="B186" i="31"/>
  <c r="B185" i="31"/>
  <c r="B184" i="31"/>
  <c r="I183" i="31"/>
  <c r="H183" i="31"/>
  <c r="G183" i="31"/>
  <c r="F183" i="31"/>
  <c r="E183" i="31"/>
  <c r="D183" i="31"/>
  <c r="C183" i="31"/>
  <c r="B181" i="31"/>
  <c r="B180" i="31"/>
  <c r="B179" i="31"/>
  <c r="B178" i="31"/>
  <c r="B177" i="31"/>
  <c r="B176" i="31"/>
  <c r="B175" i="31"/>
  <c r="B174" i="31"/>
  <c r="I173" i="31"/>
  <c r="H173" i="31"/>
  <c r="G173" i="31"/>
  <c r="F173" i="31"/>
  <c r="E173" i="31"/>
  <c r="D173" i="31"/>
  <c r="C173" i="31"/>
  <c r="B171" i="31"/>
  <c r="B170" i="31"/>
  <c r="B169" i="31"/>
  <c r="B168" i="31"/>
  <c r="B167" i="31"/>
  <c r="I166" i="31"/>
  <c r="H166" i="31"/>
  <c r="G166" i="31"/>
  <c r="F166" i="31"/>
  <c r="E166" i="31"/>
  <c r="D166" i="31"/>
  <c r="C166" i="31"/>
  <c r="B164" i="31"/>
  <c r="B163" i="31"/>
  <c r="B162" i="31"/>
  <c r="B161" i="31"/>
  <c r="B160" i="31"/>
  <c r="B159" i="31"/>
  <c r="B158" i="31"/>
  <c r="B157" i="31"/>
  <c r="I156" i="31"/>
  <c r="H156" i="31"/>
  <c r="G156" i="31"/>
  <c r="F156" i="31"/>
  <c r="E156" i="31"/>
  <c r="D156" i="31"/>
  <c r="C156" i="31"/>
  <c r="B154" i="31"/>
  <c r="B153" i="31"/>
  <c r="B152" i="31"/>
  <c r="B151" i="31"/>
  <c r="B150" i="31"/>
  <c r="I149" i="31"/>
  <c r="H149" i="31"/>
  <c r="G149" i="31"/>
  <c r="F149" i="31"/>
  <c r="E149" i="31"/>
  <c r="D149" i="31"/>
  <c r="C149" i="31"/>
  <c r="B147" i="31"/>
  <c r="B146" i="31"/>
  <c r="B145" i="31"/>
  <c r="B144" i="31"/>
  <c r="B143" i="31"/>
  <c r="B142" i="31"/>
  <c r="B141" i="31"/>
  <c r="B140" i="31"/>
  <c r="B139" i="31"/>
  <c r="B138" i="31"/>
  <c r="I137" i="31"/>
  <c r="H137" i="31"/>
  <c r="G137" i="31"/>
  <c r="F137" i="31"/>
  <c r="E137" i="31"/>
  <c r="D137" i="31"/>
  <c r="C137" i="31"/>
  <c r="B135" i="31"/>
  <c r="B134" i="31"/>
  <c r="B133" i="31"/>
  <c r="B132" i="31"/>
  <c r="B131" i="31"/>
  <c r="B130" i="31"/>
  <c r="B129" i="31"/>
  <c r="B128" i="31"/>
  <c r="I127" i="31"/>
  <c r="H127" i="31"/>
  <c r="G127" i="31"/>
  <c r="F127" i="31"/>
  <c r="E127" i="31"/>
  <c r="D127" i="31"/>
  <c r="C127" i="31"/>
  <c r="B125" i="31"/>
  <c r="B124" i="31"/>
  <c r="B123" i="31"/>
  <c r="B122" i="31"/>
  <c r="B121" i="31"/>
  <c r="B120" i="31"/>
  <c r="B119" i="31"/>
  <c r="B118" i="31"/>
  <c r="B117" i="31"/>
  <c r="I116" i="31"/>
  <c r="H116" i="31"/>
  <c r="G116" i="31"/>
  <c r="F116" i="31"/>
  <c r="E116" i="31"/>
  <c r="D116" i="31"/>
  <c r="C116" i="31"/>
  <c r="B114" i="31"/>
  <c r="B113" i="31"/>
  <c r="B112" i="31"/>
  <c r="B111" i="31"/>
  <c r="B110" i="31"/>
  <c r="I109" i="31"/>
  <c r="H109" i="31"/>
  <c r="G109" i="31"/>
  <c r="F109" i="31"/>
  <c r="E109" i="31"/>
  <c r="D109" i="31"/>
  <c r="C109" i="31"/>
  <c r="B107" i="31"/>
  <c r="B106" i="31"/>
  <c r="B105" i="31"/>
  <c r="B104" i="31"/>
  <c r="B103" i="31"/>
  <c r="B102" i="31"/>
  <c r="B101" i="31"/>
  <c r="B100" i="31"/>
  <c r="B99" i="31"/>
  <c r="B98" i="31"/>
  <c r="B97" i="31"/>
  <c r="B96" i="31"/>
  <c r="B95" i="31"/>
  <c r="I94" i="31"/>
  <c r="H94" i="31"/>
  <c r="G94" i="31"/>
  <c r="F94" i="31"/>
  <c r="E94" i="31"/>
  <c r="D94" i="31"/>
  <c r="C94" i="31"/>
  <c r="B92" i="31"/>
  <c r="B91" i="31"/>
  <c r="B90" i="31"/>
  <c r="B89" i="31"/>
  <c r="B88" i="31"/>
  <c r="B87" i="31"/>
  <c r="B86" i="31"/>
  <c r="B85" i="31"/>
  <c r="B84" i="31"/>
  <c r="B83" i="31"/>
  <c r="B82" i="31"/>
  <c r="B81" i="31"/>
  <c r="B80" i="31"/>
  <c r="B79" i="31"/>
  <c r="B78" i="31"/>
  <c r="B77" i="31"/>
  <c r="I76" i="31"/>
  <c r="H76" i="31"/>
  <c r="G76" i="31"/>
  <c r="F76" i="31"/>
  <c r="E76" i="31"/>
  <c r="D76" i="31"/>
  <c r="C76" i="31"/>
  <c r="B74" i="31"/>
  <c r="B73" i="31"/>
  <c r="B72" i="31"/>
  <c r="B71" i="31"/>
  <c r="B70" i="31"/>
  <c r="B69" i="31"/>
  <c r="B68" i="31"/>
  <c r="B67" i="31"/>
  <c r="B66" i="31"/>
  <c r="B65" i="31"/>
  <c r="B64" i="31"/>
  <c r="B63" i="31"/>
  <c r="B62" i="31"/>
  <c r="I61" i="31"/>
  <c r="H61" i="31"/>
  <c r="G61" i="31"/>
  <c r="F61" i="31"/>
  <c r="E61" i="31"/>
  <c r="D61" i="31"/>
  <c r="B59" i="31"/>
  <c r="B58" i="31"/>
  <c r="B57" i="31"/>
  <c r="B56" i="31"/>
  <c r="B55" i="31"/>
  <c r="B54" i="31"/>
  <c r="B53" i="31"/>
  <c r="B52" i="31"/>
  <c r="B51" i="31"/>
  <c r="B50" i="31"/>
  <c r="B49" i="31"/>
  <c r="B48" i="31"/>
  <c r="B47" i="31"/>
  <c r="B46" i="31"/>
  <c r="I45" i="31"/>
  <c r="H45" i="31"/>
  <c r="G45" i="31"/>
  <c r="F45" i="31"/>
  <c r="E45" i="31"/>
  <c r="D45" i="31"/>
  <c r="C45" i="31"/>
  <c r="B43" i="31"/>
  <c r="B42" i="31"/>
  <c r="B41" i="31"/>
  <c r="B40" i="31"/>
  <c r="B39" i="31"/>
  <c r="B38" i="31"/>
  <c r="B37" i="31"/>
  <c r="B36" i="31"/>
  <c r="B35" i="31"/>
  <c r="B34" i="31"/>
  <c r="B33" i="31"/>
  <c r="B32" i="31"/>
  <c r="B31" i="31"/>
  <c r="B30" i="31"/>
  <c r="B29" i="31"/>
  <c r="I28" i="31"/>
  <c r="H28" i="31"/>
  <c r="G28" i="31"/>
  <c r="F28" i="31"/>
  <c r="E28" i="31"/>
  <c r="D28" i="31"/>
  <c r="C28" i="31"/>
  <c r="B26" i="31"/>
  <c r="B25" i="31"/>
  <c r="B24" i="31"/>
  <c r="B23" i="31"/>
  <c r="B22" i="31"/>
  <c r="B21" i="31"/>
  <c r="B20" i="31"/>
  <c r="B19" i="31"/>
  <c r="B18" i="31"/>
  <c r="B17" i="31"/>
  <c r="B16" i="31"/>
  <c r="B15" i="31"/>
  <c r="B14" i="31"/>
  <c r="B13" i="31"/>
  <c r="I12" i="31"/>
  <c r="H12" i="31"/>
  <c r="G12" i="31"/>
  <c r="F12" i="31"/>
  <c r="E12" i="31"/>
  <c r="D12" i="31"/>
  <c r="C12" i="31"/>
  <c r="B10" i="31"/>
  <c r="G46" i="30"/>
  <c r="G44" i="30" s="1"/>
  <c r="F46" i="30"/>
  <c r="F44" i="30" s="1"/>
  <c r="E46" i="30"/>
  <c r="E44" i="30" s="1"/>
  <c r="D46" i="30"/>
  <c r="D44" i="30" s="1"/>
  <c r="C46" i="30"/>
  <c r="C44" i="30" s="1"/>
  <c r="B46" i="30"/>
  <c r="B44" i="30" s="1"/>
  <c r="B11" i="30"/>
  <c r="B9" i="30" s="1"/>
  <c r="F229" i="37" l="1"/>
  <c r="V125" i="41"/>
  <c r="O145" i="41"/>
  <c r="D161" i="41"/>
  <c r="B160" i="37"/>
  <c r="R77" i="41"/>
  <c r="K125" i="41"/>
  <c r="D167" i="41"/>
  <c r="K203" i="41"/>
  <c r="K94" i="41"/>
  <c r="R114" i="41"/>
  <c r="D151" i="41"/>
  <c r="H176" i="41"/>
  <c r="O190" i="41"/>
  <c r="F160" i="37"/>
  <c r="B245" i="37"/>
  <c r="K29" i="41"/>
  <c r="D63" i="41"/>
  <c r="K77" i="41"/>
  <c r="O94" i="41"/>
  <c r="H151" i="41"/>
  <c r="H167" i="41"/>
  <c r="R176" i="41"/>
  <c r="R190" i="41"/>
  <c r="R226" i="41"/>
  <c r="B46" i="37"/>
  <c r="F245" i="37"/>
  <c r="U11" i="41"/>
  <c r="U9" i="41" s="1"/>
  <c r="AD134" i="41"/>
  <c r="F46" i="37"/>
  <c r="F64" i="37"/>
  <c r="B79" i="37"/>
  <c r="B178" i="37"/>
  <c r="B188" i="37"/>
  <c r="P8" i="39"/>
  <c r="H134" i="41"/>
  <c r="V151" i="41"/>
  <c r="O114" i="41"/>
  <c r="K145" i="41"/>
  <c r="R203" i="41"/>
  <c r="K214" i="41"/>
  <c r="B113" i="37"/>
  <c r="F171" i="37"/>
  <c r="B229" i="37"/>
  <c r="AD46" i="41"/>
  <c r="R63" i="41"/>
  <c r="H108" i="41"/>
  <c r="AD125" i="41"/>
  <c r="V145" i="41"/>
  <c r="R167" i="41"/>
  <c r="AD190" i="41"/>
  <c r="D203" i="41"/>
  <c r="O203" i="41"/>
  <c r="O214" i="41"/>
  <c r="TY223" i="41"/>
  <c r="W234" i="41"/>
  <c r="I10" i="40"/>
  <c r="V63" i="41"/>
  <c r="AD145" i="41"/>
  <c r="O161" i="41"/>
  <c r="V167" i="41"/>
  <c r="H224" i="41"/>
  <c r="H226" i="41"/>
  <c r="W229" i="41"/>
  <c r="B10" i="37"/>
  <c r="B28" i="37"/>
  <c r="B120" i="37"/>
  <c r="F153" i="37"/>
  <c r="L11" i="41"/>
  <c r="L9" i="41" s="1"/>
  <c r="AD63" i="41"/>
  <c r="V108" i="41"/>
  <c r="AD108" i="41"/>
  <c r="D134" i="41"/>
  <c r="AD167" i="41"/>
  <c r="D190" i="41"/>
  <c r="H203" i="41"/>
  <c r="B9" i="37"/>
  <c r="D8" i="39"/>
  <c r="O46" i="41"/>
  <c r="I11" i="31"/>
  <c r="I9" i="31" s="1"/>
  <c r="D9" i="37"/>
  <c r="D7" i="37" s="1"/>
  <c r="G9" i="37"/>
  <c r="F28" i="37"/>
  <c r="B131" i="37"/>
  <c r="B141" i="37"/>
  <c r="F188" i="37"/>
  <c r="J10" i="39"/>
  <c r="H12" i="41"/>
  <c r="D29" i="41"/>
  <c r="M11" i="41"/>
  <c r="M9" i="41" s="1"/>
  <c r="H94" i="41"/>
  <c r="H114" i="41"/>
  <c r="R151" i="41"/>
  <c r="R161" i="41"/>
  <c r="D176" i="41"/>
  <c r="K224" i="41"/>
  <c r="K226" i="41"/>
  <c r="M8" i="39"/>
  <c r="V161" i="41"/>
  <c r="O167" i="41"/>
  <c r="W232" i="41"/>
  <c r="X232" i="41" s="1"/>
  <c r="B116" i="31"/>
  <c r="J9" i="37"/>
  <c r="J7" i="37" s="1"/>
  <c r="B98" i="37"/>
  <c r="F141" i="37"/>
  <c r="F203" i="37"/>
  <c r="F217" i="37"/>
  <c r="F242" i="37"/>
  <c r="J8" i="39"/>
  <c r="H29" i="41"/>
  <c r="V29" i="41"/>
  <c r="V11" i="41" s="1"/>
  <c r="V9" i="41" s="1"/>
  <c r="AD29" i="41"/>
  <c r="H46" i="41"/>
  <c r="R46" i="41"/>
  <c r="V77" i="41"/>
  <c r="V94" i="41"/>
  <c r="AD94" i="41"/>
  <c r="V114" i="41"/>
  <c r="AD114" i="41"/>
  <c r="R125" i="41"/>
  <c r="AD151" i="41"/>
  <c r="AD161" i="41"/>
  <c r="D214" i="41"/>
  <c r="Q11" i="41"/>
  <c r="Q9" i="41" s="1"/>
  <c r="V46" i="41"/>
  <c r="AD77" i="41"/>
  <c r="B12" i="31"/>
  <c r="B76" i="31"/>
  <c r="H11" i="31"/>
  <c r="H9" i="31" s="1"/>
  <c r="D11" i="31"/>
  <c r="D9" i="31" s="1"/>
  <c r="B61" i="31"/>
  <c r="B398" i="31"/>
  <c r="B94" i="31"/>
  <c r="B149" i="31"/>
  <c r="B212" i="31"/>
  <c r="G260" i="31"/>
  <c r="G258" i="31" s="1"/>
  <c r="B487" i="31"/>
  <c r="B28" i="31"/>
  <c r="B261" i="31"/>
  <c r="B473" i="31"/>
  <c r="B183" i="31"/>
  <c r="B358" i="31"/>
  <c r="R11" i="41"/>
  <c r="R9" i="41" s="1"/>
  <c r="I8" i="40"/>
  <c r="B41" i="34"/>
  <c r="B39" i="34" s="1"/>
  <c r="B8" i="34"/>
  <c r="B6" i="34" s="1"/>
  <c r="B19" i="33"/>
  <c r="B6" i="33"/>
  <c r="B447" i="31"/>
  <c r="B294" i="31"/>
  <c r="E11" i="31"/>
  <c r="E9" i="31" s="1"/>
  <c r="B166" i="31"/>
  <c r="B238" i="31"/>
  <c r="H260" i="31"/>
  <c r="H258" i="31" s="1"/>
  <c r="B156" i="31"/>
  <c r="F260" i="31"/>
  <c r="F258" i="31" s="1"/>
  <c r="G11" i="31"/>
  <c r="G9" i="31" s="1"/>
  <c r="B127" i="31"/>
  <c r="B277" i="31"/>
  <c r="D260" i="31"/>
  <c r="D258" i="31" s="1"/>
  <c r="B365" i="31"/>
  <c r="B386" i="31"/>
  <c r="B461" i="31"/>
  <c r="B484" i="31"/>
  <c r="B198" i="31"/>
  <c r="B325" i="31"/>
  <c r="B343" i="31"/>
  <c r="B376" i="31"/>
  <c r="B109" i="31"/>
  <c r="B224" i="31"/>
  <c r="E260" i="31"/>
  <c r="E258" i="31" s="1"/>
  <c r="B432" i="31"/>
  <c r="F11" i="31"/>
  <c r="F9" i="31" s="1"/>
  <c r="C11" i="31"/>
  <c r="B415" i="31"/>
  <c r="B137" i="31"/>
  <c r="B173" i="31"/>
  <c r="B235" i="31"/>
  <c r="B310" i="31"/>
  <c r="B405" i="31"/>
  <c r="B422" i="31"/>
  <c r="D11" i="41"/>
  <c r="B9" i="41"/>
  <c r="D9" i="41" s="1"/>
  <c r="O9" i="41"/>
  <c r="F11" i="41"/>
  <c r="O11" i="41"/>
  <c r="I11" i="41"/>
  <c r="D12" i="41"/>
  <c r="O29" i="41"/>
  <c r="M10" i="39"/>
  <c r="P10" i="39"/>
  <c r="F9" i="37"/>
  <c r="G7" i="37"/>
  <c r="F7" i="37" s="1"/>
  <c r="C7" i="37"/>
  <c r="B7" i="37" s="1"/>
  <c r="C260" i="31"/>
  <c r="B45" i="31"/>
  <c r="X229" i="41" l="1"/>
  <c r="Y229" i="41" s="1"/>
  <c r="X234" i="41"/>
  <c r="Y234" i="41" s="1"/>
  <c r="Y232" i="41"/>
  <c r="Z232" i="41" s="1"/>
  <c r="X226" i="41"/>
  <c r="X11" i="41" s="1"/>
  <c r="X9" i="41" s="1"/>
  <c r="W226" i="41"/>
  <c r="W11" i="41" s="1"/>
  <c r="W9" i="41" s="1"/>
  <c r="B11" i="31"/>
  <c r="C9" i="31"/>
  <c r="B9" i="31" s="1"/>
  <c r="F9" i="41"/>
  <c r="H9" i="41" s="1"/>
  <c r="H11" i="41"/>
  <c r="I9" i="41"/>
  <c r="K11" i="41"/>
  <c r="K9" i="41" s="1"/>
  <c r="B260" i="31"/>
  <c r="C258" i="31"/>
  <c r="B258" i="31" s="1"/>
  <c r="AL20" i="15"/>
  <c r="AQ19" i="15" s="1"/>
  <c r="AJ20" i="15"/>
  <c r="AJ21" i="15" s="1"/>
  <c r="AH24" i="15" s="1"/>
  <c r="AH20" i="15"/>
  <c r="AH21" i="15" s="1"/>
  <c r="AH23" i="15" s="1"/>
  <c r="Z234" i="41" l="1"/>
  <c r="Z229" i="41"/>
  <c r="AA229" i="41" s="1"/>
  <c r="AA226" i="41" s="1"/>
  <c r="AA11" i="41" s="1"/>
  <c r="AA9" i="41" s="1"/>
  <c r="AR19" i="15"/>
  <c r="AA234" i="41"/>
  <c r="AA232" i="41"/>
  <c r="AB232" i="41" s="1"/>
  <c r="AC232" i="41" s="1"/>
  <c r="Y226" i="41"/>
  <c r="Y11" i="41" s="1"/>
  <c r="Y9" i="41" s="1"/>
  <c r="Z226" i="41"/>
  <c r="Z11" i="41" s="1"/>
  <c r="Z9" i="41" s="1"/>
  <c r="AL21" i="15"/>
  <c r="AH25" i="15" s="1"/>
  <c r="AF26" i="6"/>
  <c r="AF25" i="6"/>
  <c r="AF24" i="6"/>
  <c r="AF27" i="6"/>
  <c r="C8" i="6"/>
  <c r="D8" i="6"/>
  <c r="B11" i="6"/>
  <c r="AB229" i="41" l="1"/>
  <c r="AC229" i="41"/>
  <c r="AB226" i="41"/>
  <c r="AB11" i="41" s="1"/>
  <c r="AB9" i="41" s="1"/>
  <c r="AD232" i="41"/>
  <c r="AB234" i="41"/>
  <c r="AC234" i="41" s="1"/>
  <c r="B8" i="6"/>
  <c r="H10" i="17"/>
  <c r="H11" i="17"/>
  <c r="G21" i="26"/>
  <c r="AD234" i="41" l="1"/>
  <c r="AC226" i="41"/>
  <c r="AC11" i="41" s="1"/>
  <c r="AC9" i="41" s="1"/>
  <c r="AD229" i="41"/>
  <c r="AD226" i="41" s="1"/>
  <c r="AD11" i="41" s="1"/>
  <c r="AD9" i="41" s="1"/>
  <c r="P11" i="17"/>
  <c r="P10" i="17"/>
  <c r="D12" i="14"/>
  <c r="I11" i="6"/>
  <c r="I12" i="6"/>
  <c r="Q12" i="6" s="1"/>
  <c r="I10" i="6"/>
  <c r="I9" i="6"/>
  <c r="P11" i="6" l="1"/>
  <c r="Q11" i="6"/>
  <c r="P9" i="6"/>
  <c r="AH24" i="6" s="1"/>
  <c r="Q9" i="6"/>
  <c r="Q10" i="6"/>
  <c r="P10" i="6"/>
  <c r="H19" i="17"/>
  <c r="P19" i="17" s="1"/>
  <c r="H18" i="17"/>
  <c r="P18" i="17" s="1"/>
  <c r="H17" i="17"/>
  <c r="P17" i="17" s="1"/>
  <c r="H16" i="17"/>
  <c r="P16" i="17" s="1"/>
  <c r="H15" i="17"/>
  <c r="P15" i="17" s="1"/>
  <c r="H14" i="17"/>
  <c r="P14" i="17" s="1"/>
  <c r="H13" i="17"/>
  <c r="P13" i="17" s="1"/>
  <c r="H12" i="17"/>
  <c r="P12" i="17" s="1"/>
  <c r="H9" i="17"/>
  <c r="H8" i="17"/>
  <c r="P8" i="17" s="1"/>
  <c r="J7" i="17"/>
  <c r="I7" i="17"/>
  <c r="G7" i="26"/>
  <c r="G8" i="26"/>
  <c r="G9" i="26"/>
  <c r="G10" i="26"/>
  <c r="G11" i="26"/>
  <c r="G12" i="26"/>
  <c r="G13" i="26"/>
  <c r="G14" i="26"/>
  <c r="G15" i="26"/>
  <c r="G16" i="26"/>
  <c r="G17" i="26"/>
  <c r="G18" i="26"/>
  <c r="G19" i="26"/>
  <c r="G20" i="26"/>
  <c r="G31" i="26"/>
  <c r="G22" i="26"/>
  <c r="G23" i="26"/>
  <c r="G24" i="26"/>
  <c r="G25" i="26"/>
  <c r="G26" i="26"/>
  <c r="G27" i="26"/>
  <c r="G28" i="26"/>
  <c r="G29" i="26"/>
  <c r="G30" i="26"/>
  <c r="F12" i="14"/>
  <c r="G12" i="14"/>
  <c r="B18" i="28"/>
  <c r="B17" i="28"/>
  <c r="B16" i="28"/>
  <c r="B15" i="28"/>
  <c r="B14" i="28"/>
  <c r="B13" i="28"/>
  <c r="B12" i="28"/>
  <c r="B11" i="28"/>
  <c r="B10" i="28"/>
  <c r="B9" i="28"/>
  <c r="B8" i="28"/>
  <c r="B7" i="28"/>
  <c r="N18" i="12"/>
  <c r="N17" i="12"/>
  <c r="N16" i="12"/>
  <c r="N15" i="12"/>
  <c r="N14" i="12"/>
  <c r="N13" i="12"/>
  <c r="N12" i="12"/>
  <c r="N11" i="12"/>
  <c r="N10" i="12"/>
  <c r="N9" i="12"/>
  <c r="N8" i="12"/>
  <c r="N7" i="12"/>
  <c r="O19" i="18"/>
  <c r="O18" i="18"/>
  <c r="O17" i="18"/>
  <c r="O16" i="18"/>
  <c r="O15" i="18"/>
  <c r="O14" i="18"/>
  <c r="O13" i="18"/>
  <c r="O12" i="18"/>
  <c r="O11" i="18"/>
  <c r="O10" i="18"/>
  <c r="O9" i="18"/>
  <c r="O8" i="18"/>
  <c r="R10" i="7"/>
  <c r="O8" i="20"/>
  <c r="AB27" i="20" s="1"/>
  <c r="W27" i="20" s="1"/>
  <c r="M8" i="20"/>
  <c r="AB25" i="20" s="1"/>
  <c r="W25" i="20" s="1"/>
  <c r="I8" i="20"/>
  <c r="AB26" i="20" s="1"/>
  <c r="W26" i="20" s="1"/>
  <c r="E8" i="20"/>
  <c r="AB24" i="20" s="1"/>
  <c r="W24" i="20" s="1"/>
  <c r="N8" i="20"/>
  <c r="P9" i="17" l="1"/>
  <c r="R13" i="7"/>
  <c r="R12" i="7"/>
  <c r="R11" i="7"/>
  <c r="K9" i="7"/>
  <c r="H7" i="17"/>
  <c r="M9" i="17" s="1"/>
  <c r="AH25" i="6"/>
  <c r="AH26" i="6"/>
  <c r="P12" i="6"/>
  <c r="AH27" i="6" s="1"/>
  <c r="K8" i="6"/>
  <c r="J8" i="6"/>
  <c r="I8" i="6"/>
  <c r="N9" i="6" l="1"/>
  <c r="AG24" i="6" s="1"/>
  <c r="P12" i="7"/>
  <c r="P9" i="7"/>
  <c r="Q9" i="7"/>
  <c r="P11" i="7"/>
  <c r="P10" i="7"/>
  <c r="M8" i="17"/>
  <c r="M10" i="17"/>
  <c r="M11" i="17"/>
  <c r="P7" i="17"/>
  <c r="M12" i="17"/>
  <c r="M15" i="17"/>
  <c r="M14" i="17"/>
  <c r="M18" i="17"/>
  <c r="M7" i="17"/>
  <c r="M13" i="17"/>
  <c r="M17" i="17"/>
  <c r="M16" i="17"/>
  <c r="M19" i="17"/>
  <c r="P13" i="7"/>
  <c r="N10" i="6"/>
  <c r="AG25" i="6" s="1"/>
  <c r="P8" i="6"/>
  <c r="N11" i="6"/>
  <c r="AG26" i="6" s="1"/>
  <c r="N8" i="6"/>
  <c r="N12" i="6"/>
  <c r="AG27" i="6" s="1"/>
  <c r="AH38" i="18"/>
  <c r="AC37" i="18" s="1"/>
  <c r="F11" i="14"/>
  <c r="AF37" i="18" l="1"/>
  <c r="AD37" i="18"/>
  <c r="AE37" i="18"/>
  <c r="AG37" i="18"/>
  <c r="K8" i="18" l="1"/>
  <c r="J9" i="7"/>
  <c r="I9" i="7"/>
  <c r="U27" i="20"/>
  <c r="T27" i="20"/>
  <c r="S27" i="20"/>
  <c r="D8" i="20"/>
  <c r="AA24" i="20" s="1"/>
  <c r="V24" i="20" s="1"/>
  <c r="AC27" i="6"/>
  <c r="AD27" i="6"/>
  <c r="E8" i="6"/>
  <c r="G8" i="6"/>
  <c r="O8" i="6" s="1"/>
  <c r="F8" i="6"/>
  <c r="O12" i="6"/>
  <c r="O11" i="6"/>
  <c r="O10" i="6"/>
  <c r="O9" i="6"/>
  <c r="M9" i="6" l="1"/>
  <c r="Q8" i="6"/>
  <c r="M12" i="6"/>
  <c r="M11" i="6"/>
  <c r="M10" i="6"/>
  <c r="F7" i="17"/>
  <c r="G7" i="17"/>
  <c r="M8" i="6" l="1"/>
  <c r="N13" i="7"/>
  <c r="AA27" i="20"/>
  <c r="V27" i="20" s="1"/>
  <c r="E19" i="17"/>
  <c r="O19" i="17" s="1"/>
  <c r="E18" i="17"/>
  <c r="O18" i="17" s="1"/>
  <c r="E17" i="17"/>
  <c r="O17" i="17" s="1"/>
  <c r="E16" i="17"/>
  <c r="O16" i="17" s="1"/>
  <c r="E15" i="17"/>
  <c r="O15" i="17" s="1"/>
  <c r="E14" i="17"/>
  <c r="O14" i="17" s="1"/>
  <c r="E13" i="17"/>
  <c r="O13" i="17" s="1"/>
  <c r="E12" i="17"/>
  <c r="O12" i="17" s="1"/>
  <c r="E9" i="17"/>
  <c r="O9" i="17" s="1"/>
  <c r="E8" i="17"/>
  <c r="O8" i="17" s="1"/>
  <c r="G11" i="14"/>
  <c r="H18" i="12"/>
  <c r="H17" i="12"/>
  <c r="H16" i="12"/>
  <c r="H15" i="12"/>
  <c r="H14" i="12"/>
  <c r="H13" i="12"/>
  <c r="H12" i="12"/>
  <c r="H11" i="12"/>
  <c r="H10" i="12"/>
  <c r="H9" i="12"/>
  <c r="H8" i="12"/>
  <c r="H7" i="12"/>
  <c r="K19" i="18"/>
  <c r="K18" i="18"/>
  <c r="K17" i="18"/>
  <c r="K16" i="18"/>
  <c r="K15" i="18"/>
  <c r="K14" i="18"/>
  <c r="K13" i="18"/>
  <c r="K12" i="18"/>
  <c r="K11" i="18"/>
  <c r="K10" i="18"/>
  <c r="K9" i="18"/>
  <c r="L8" i="20"/>
  <c r="AA25" i="20" s="1"/>
  <c r="V25" i="20" s="1"/>
  <c r="H8" i="20"/>
  <c r="AA26" i="20" s="1"/>
  <c r="V26" i="20" s="1"/>
  <c r="H9" i="7" l="1"/>
  <c r="R9" i="7" s="1"/>
  <c r="E7" i="17"/>
  <c r="O7" i="17" s="1"/>
  <c r="O10" i="7" l="1"/>
  <c r="L19" i="17"/>
  <c r="O12" i="7"/>
  <c r="O13" i="7"/>
  <c r="O11" i="7"/>
  <c r="L17" i="17"/>
  <c r="L8" i="17"/>
  <c r="L14" i="17"/>
  <c r="L16" i="17"/>
  <c r="O9" i="7"/>
  <c r="L9" i="17"/>
  <c r="L15" i="17"/>
  <c r="L7" i="17"/>
  <c r="L18" i="17"/>
  <c r="L12" i="17"/>
  <c r="L13" i="17"/>
  <c r="S24" i="20"/>
  <c r="G10" i="14" l="1"/>
  <c r="F10" i="14"/>
  <c r="F9" i="14"/>
  <c r="F8" i="14"/>
  <c r="F7" i="14"/>
  <c r="G9" i="14"/>
  <c r="AC26" i="6"/>
  <c r="AD26" i="6"/>
  <c r="AD24" i="6"/>
  <c r="G8" i="20" l="1"/>
  <c r="Z26" i="20" s="1"/>
  <c r="U26" i="20" s="1"/>
  <c r="L12" i="6" l="1"/>
  <c r="L11" i="6"/>
  <c r="B9" i="17" l="1"/>
  <c r="N9" i="17" s="1"/>
  <c r="B12" i="17"/>
  <c r="N12" i="17" s="1"/>
  <c r="B13" i="17"/>
  <c r="N13" i="17" s="1"/>
  <c r="B14" i="17"/>
  <c r="B15" i="17"/>
  <c r="N15" i="17" s="1"/>
  <c r="B16" i="17"/>
  <c r="N16" i="17" s="1"/>
  <c r="B17" i="17"/>
  <c r="N17" i="17" s="1"/>
  <c r="B18" i="17"/>
  <c r="B19" i="17"/>
  <c r="N19" i="17" s="1"/>
  <c r="B8" i="17"/>
  <c r="D7" i="17"/>
  <c r="C7" i="17"/>
  <c r="B18" i="12"/>
  <c r="B17" i="12"/>
  <c r="B16" i="12"/>
  <c r="B15" i="12"/>
  <c r="B14" i="12"/>
  <c r="B13" i="12"/>
  <c r="B12" i="12"/>
  <c r="B11" i="12"/>
  <c r="B10" i="12"/>
  <c r="B9" i="12"/>
  <c r="B8" i="12"/>
  <c r="B7" i="12"/>
  <c r="G19" i="18"/>
  <c r="G18" i="18"/>
  <c r="G17" i="18"/>
  <c r="G16" i="18"/>
  <c r="G15" i="18"/>
  <c r="G14" i="18"/>
  <c r="G13" i="18"/>
  <c r="G12" i="18"/>
  <c r="G11" i="18"/>
  <c r="G10" i="18"/>
  <c r="G9" i="18"/>
  <c r="G8" i="18"/>
  <c r="G9" i="7"/>
  <c r="F9" i="7"/>
  <c r="K8" i="20"/>
  <c r="Z25" i="20" s="1"/>
  <c r="U25" i="20" s="1"/>
  <c r="B8" i="20"/>
  <c r="Y24" i="20" s="1"/>
  <c r="E9" i="7" l="1"/>
  <c r="L10" i="6"/>
  <c r="N18" i="17"/>
  <c r="N14" i="17"/>
  <c r="N8" i="17"/>
  <c r="B7" i="17"/>
  <c r="K8" i="17" s="1"/>
  <c r="L9" i="6"/>
  <c r="N9" i="7" l="1"/>
  <c r="N11" i="7"/>
  <c r="N12" i="7"/>
  <c r="N10" i="7"/>
  <c r="K15" i="17"/>
  <c r="K7" i="17"/>
  <c r="L8" i="6"/>
  <c r="N7" i="17"/>
  <c r="K18" i="17"/>
  <c r="K12" i="17"/>
  <c r="K16" i="17"/>
  <c r="K19" i="17"/>
  <c r="K13" i="17"/>
  <c r="K17" i="17"/>
  <c r="K14" i="17"/>
  <c r="K9" i="17"/>
  <c r="G8" i="14" l="1"/>
  <c r="B19" i="18" l="1"/>
  <c r="B18" i="18" l="1"/>
  <c r="B17" i="18"/>
  <c r="B16" i="18"/>
  <c r="B15" i="18"/>
  <c r="B14" i="18"/>
  <c r="B13" i="18"/>
  <c r="B12" i="18"/>
  <c r="B11" i="18"/>
  <c r="B10" i="18"/>
  <c r="B9" i="18"/>
  <c r="B8" i="18"/>
  <c r="Y14" i="7"/>
  <c r="X14" i="7"/>
  <c r="B12" i="7"/>
  <c r="B10" i="7" l="1"/>
  <c r="D9" i="7"/>
  <c r="C9" i="7"/>
  <c r="S26" i="20"/>
  <c r="S25" i="20"/>
  <c r="J8" i="20"/>
  <c r="Y25" i="20" s="1"/>
  <c r="T25" i="20" s="1"/>
  <c r="F8" i="20"/>
  <c r="Y26" i="20" s="1"/>
  <c r="T26" i="20" s="1"/>
  <c r="C8" i="20"/>
  <c r="Z24" i="20" s="1"/>
  <c r="T24" i="20"/>
  <c r="AD25" i="6"/>
  <c r="AC25" i="6"/>
  <c r="B9" i="7" l="1"/>
  <c r="U24" i="20"/>
  <c r="B6" i="26" l="1"/>
  <c r="AB37" i="26" s="1"/>
  <c r="F6" i="26"/>
  <c r="AF37" i="26" s="1"/>
  <c r="C6" i="26"/>
  <c r="AC37" i="26" s="1"/>
  <c r="E6" i="26"/>
  <c r="AE37" i="26" s="1"/>
  <c r="D6" i="26"/>
  <c r="AD37" i="26" s="1"/>
  <c r="AG37" i="26" l="1"/>
  <c r="G6" i="26"/>
  <c r="H21" i="26" s="1"/>
  <c r="H6" i="26" l="1"/>
  <c r="H7" i="26"/>
  <c r="H8" i="26"/>
  <c r="H27" i="26"/>
  <c r="H18" i="26"/>
  <c r="H16" i="26"/>
  <c r="H25" i="26"/>
  <c r="H14" i="26"/>
  <c r="H17" i="26"/>
  <c r="H24" i="26"/>
  <c r="H31" i="26"/>
  <c r="H13" i="26"/>
  <c r="H19" i="26"/>
  <c r="H29" i="26"/>
  <c r="H9" i="26"/>
  <c r="H10" i="26"/>
  <c r="H22" i="26"/>
  <c r="H30" i="26"/>
  <c r="H23" i="26"/>
  <c r="H28" i="26"/>
  <c r="H26" i="26"/>
  <c r="H11" i="26"/>
  <c r="H15" i="26"/>
  <c r="H20" i="26"/>
  <c r="H12" i="26"/>
</calcChain>
</file>

<file path=xl/comments1.xml><?xml version="1.0" encoding="utf-8"?>
<comments xmlns="http://schemas.openxmlformats.org/spreadsheetml/2006/main">
  <authors>
    <author>user</author>
  </authors>
  <commentList>
    <comment ref="G65" authorId="0">
      <text>
        <r>
          <rPr>
            <b/>
            <sz val="9"/>
            <color indexed="81"/>
            <rFont val="Tahoma"/>
            <family val="2"/>
          </rPr>
          <t>Dhunya:</t>
        </r>
        <r>
          <rPr>
            <sz val="9"/>
            <color indexed="81"/>
            <rFont val="Tahoma"/>
            <family val="2"/>
          </rPr>
          <t xml:space="preserve">
Difference between values in 1.7 accounts for members who has multiple contracts with moore than one employer</t>
        </r>
      </text>
    </comment>
  </commentList>
</comments>
</file>

<file path=xl/sharedStrings.xml><?xml version="1.0" encoding="utf-8"?>
<sst xmlns="http://schemas.openxmlformats.org/spreadsheetml/2006/main" count="3739" uniqueCount="1126">
  <si>
    <t>Male</t>
  </si>
  <si>
    <t>Female</t>
  </si>
  <si>
    <t>Total</t>
  </si>
  <si>
    <t>% share</t>
  </si>
  <si>
    <t>% change</t>
  </si>
  <si>
    <t>Basic Pension</t>
  </si>
  <si>
    <t>Retirement Pension</t>
  </si>
  <si>
    <t>Other Pension</t>
  </si>
  <si>
    <t>Employees (end year)</t>
  </si>
  <si>
    <t>Employers (end year)</t>
  </si>
  <si>
    <t>Jan</t>
  </si>
  <si>
    <t>Feb</t>
  </si>
  <si>
    <t>Mar</t>
  </si>
  <si>
    <t>Apr</t>
  </si>
  <si>
    <t>May</t>
  </si>
  <si>
    <t>Jun</t>
  </si>
  <si>
    <t>Jul</t>
  </si>
  <si>
    <t>Aug</t>
  </si>
  <si>
    <t>Sep</t>
  </si>
  <si>
    <t>Oct</t>
  </si>
  <si>
    <t>Nov</t>
  </si>
  <si>
    <t>Dec</t>
  </si>
  <si>
    <t>Month</t>
  </si>
  <si>
    <t>55-64</t>
  </si>
  <si>
    <t>65-69</t>
  </si>
  <si>
    <t>70-74</t>
  </si>
  <si>
    <t>Year</t>
  </si>
  <si>
    <t>Public sector</t>
  </si>
  <si>
    <t>Private Sector</t>
  </si>
  <si>
    <t>Private sector</t>
  </si>
  <si>
    <t>Sector</t>
  </si>
  <si>
    <t>Employment size</t>
  </si>
  <si>
    <t>0-9</t>
  </si>
  <si>
    <t>Establishments</t>
  </si>
  <si>
    <t>Employment</t>
  </si>
  <si>
    <t>10-49</t>
  </si>
  <si>
    <t>50-99</t>
  </si>
  <si>
    <t>100-299</t>
  </si>
  <si>
    <t>&gt;300</t>
  </si>
  <si>
    <t>Agriculture</t>
  </si>
  <si>
    <t>Air Transportation</t>
  </si>
  <si>
    <t>Construction</t>
  </si>
  <si>
    <t>Electricity</t>
  </si>
  <si>
    <t>Clothing industry</t>
  </si>
  <si>
    <t>Coffee, tea shops</t>
  </si>
  <si>
    <t>Financial sector, Banks, Investment Funds, Insurance companies Investment</t>
  </si>
  <si>
    <t>Fishing Industry</t>
  </si>
  <si>
    <t>Garbage, and Recycling industry</t>
  </si>
  <si>
    <t>Health Sector, hospitals, clinics</t>
  </si>
  <si>
    <t>Hotels, Tourist resorts, travel agencies</t>
  </si>
  <si>
    <t xml:space="preserve">Housing Development </t>
  </si>
  <si>
    <t>Land Transportation, taxis, buses etc</t>
  </si>
  <si>
    <t>Others</t>
  </si>
  <si>
    <t>Passenger Ferries</t>
  </si>
  <si>
    <t>Pharmacies</t>
  </si>
  <si>
    <t>Restaurants</t>
  </si>
  <si>
    <t>Sales of Motor Vehicles</t>
  </si>
  <si>
    <t>Schools and educational centers</t>
  </si>
  <si>
    <t>Sea Transportation, shipping</t>
  </si>
  <si>
    <t>Shops, small and medium commercial retail</t>
  </si>
  <si>
    <t>Telecommunications</t>
  </si>
  <si>
    <t>Water processing</t>
  </si>
  <si>
    <t>Wholesale retailers</t>
  </si>
  <si>
    <t>Government Offices</t>
  </si>
  <si>
    <t>Atoll councils</t>
  </si>
  <si>
    <t>Hospitals/health Care facilities</t>
  </si>
  <si>
    <t>Schools/universitiy</t>
  </si>
  <si>
    <t>State owned enterprises</t>
  </si>
  <si>
    <t>Government agencies, public institutions</t>
  </si>
  <si>
    <t>Island councils</t>
  </si>
  <si>
    <t>Other Private Sector</t>
  </si>
  <si>
    <t>ފިރިހެން</t>
  </si>
  <si>
    <t>އަންހެން</t>
  </si>
  <si>
    <t>އަސާސީ ޕެންޝަން</t>
  </si>
  <si>
    <t>ރިޓަޔަރމަންޓް ޕެންޝަން</t>
  </si>
  <si>
    <t>ޖުމްލަ</t>
  </si>
  <si>
    <t>އެހެނިހެން ޕެންޝަން</t>
  </si>
  <si>
    <t>Type of pension</t>
  </si>
  <si>
    <t>ޕެންޝަންގެ ބާވަތް</t>
  </si>
  <si>
    <t>Source: Maldives Pension Administration</t>
  </si>
  <si>
    <t>ވަޒީފާ ދޭ ފަރާތް</t>
  </si>
  <si>
    <t>މުވައްޒަފުންގެ އަދަދު</t>
  </si>
  <si>
    <t>މަސް</t>
  </si>
  <si>
    <t>ޖެނުއަރީ</t>
  </si>
  <si>
    <t>ފެބްރުއަރީ</t>
  </si>
  <si>
    <t>މާޗް</t>
  </si>
  <si>
    <t>އޭޕްރީލް</t>
  </si>
  <si>
    <t>މެއި</t>
  </si>
  <si>
    <t>ޖޫން</t>
  </si>
  <si>
    <t>ޖުލައި</t>
  </si>
  <si>
    <t>އޮގަސްޓް</t>
  </si>
  <si>
    <t>ސެޕްޓެމްބަރ</t>
  </si>
  <si>
    <t>އޮކްޓޫބަރ</t>
  </si>
  <si>
    <t>ޑިސެމްބަރ</t>
  </si>
  <si>
    <r>
      <t xml:space="preserve">Age Groups </t>
    </r>
    <r>
      <rPr>
        <b/>
        <sz val="11"/>
        <color theme="1"/>
        <rFont val="Faruma"/>
      </rPr>
      <t xml:space="preserve">  ޢުމުރުފުރާ   </t>
    </r>
  </si>
  <si>
    <t>ނޮވެމްބަރ</t>
  </si>
  <si>
    <r>
      <t xml:space="preserve">Age Groups   </t>
    </r>
    <r>
      <rPr>
        <b/>
        <sz val="11"/>
        <color theme="1"/>
        <rFont val="Faruma"/>
      </rPr>
      <t>ޢުމުރުފުރާ</t>
    </r>
    <r>
      <rPr>
        <b/>
        <sz val="11"/>
        <color theme="1"/>
        <rFont val="Calibri"/>
        <family val="2"/>
        <scheme val="minor"/>
      </rPr>
      <t xml:space="preserve"> </t>
    </r>
  </si>
  <si>
    <t>Public</t>
  </si>
  <si>
    <t>އަހަރު</t>
  </si>
  <si>
    <t xml:space="preserve">Male     </t>
  </si>
  <si>
    <t xml:space="preserve">Female        </t>
  </si>
  <si>
    <t>އިން ސައްތަ</t>
  </si>
  <si>
    <t>ސަރުކާރު އޮފީސްތައް</t>
  </si>
  <si>
    <t>މިނިވަން މުޢައްސަސާތައް</t>
  </si>
  <si>
    <t>އަތޮޅު ކައުންސިލްތައް</t>
  </si>
  <si>
    <t>ރަށު ކައުންސިލްތައް</t>
  </si>
  <si>
    <t>ހޮސްޕިޓަލް / ސިއްޙި ޚިދުމަތްދޭ ފަރާތްތައް</t>
  </si>
  <si>
    <t>ސްކޫލް / ޔުނިވަރސިޓީ</t>
  </si>
  <si>
    <t>ފުލުހުން /  ސިފައިން</t>
  </si>
  <si>
    <t>އެހެނިހެން</t>
  </si>
  <si>
    <t>އެހެނިހެން ޕްރައިވެޓް ސެކްޓަރ</t>
  </si>
  <si>
    <t>Place</t>
  </si>
  <si>
    <t>ތަން</t>
  </si>
  <si>
    <t>75 &amp; over</t>
  </si>
  <si>
    <t>Basic pension</t>
  </si>
  <si>
    <t>Retirement  pension</t>
  </si>
  <si>
    <t>Other  pension</t>
  </si>
  <si>
    <t>beneficiaries</t>
  </si>
  <si>
    <t>% share of females</t>
  </si>
  <si>
    <t xml:space="preserve">Payout Rf </t>
  </si>
  <si>
    <t>Payout Rf (million Rf)</t>
  </si>
  <si>
    <t>މަޢުލޫމާތު ދެއްވި ފަރާތް: މޯލްޑިވްސް ޕެންޝަން އެޑްމިނިސްޓްރޭޝަން</t>
  </si>
  <si>
    <t>age-group</t>
  </si>
  <si>
    <t>In million Rf</t>
  </si>
  <si>
    <t>In Rf</t>
  </si>
  <si>
    <t>Retirement pension</t>
  </si>
  <si>
    <t>Other pension</t>
  </si>
  <si>
    <t>under 55</t>
  </si>
  <si>
    <t>establishments</t>
  </si>
  <si>
    <t>%  share</t>
  </si>
  <si>
    <t>total</t>
  </si>
  <si>
    <t>% sahre of females</t>
  </si>
  <si>
    <t>75 +</t>
  </si>
  <si>
    <t>&lt; 55</t>
  </si>
  <si>
    <t>އިތުރުވި މިންވަރު</t>
  </si>
  <si>
    <t xml:space="preserve">% share of females </t>
  </si>
  <si>
    <t>Govt. agencies, public institutions</t>
  </si>
  <si>
    <t xml:space="preserve">ދެވުނު މިންވަރު (ރުފިޔާއިން)  </t>
  </si>
  <si>
    <t>ދަނޑުވެރިކަން</t>
  </si>
  <si>
    <t>ވައިގެ ދަތުރުފަތުރު</t>
  </si>
  <si>
    <t>އިމާރާތްކުރުން</t>
  </si>
  <si>
    <t>ކަރަންޓް</t>
  </si>
  <si>
    <t>މަސްވެރިކަމުގެ ދާއިރާ</t>
  </si>
  <si>
    <t>ޞިއްޚީ ޙިދުމަތް، ހޮސްޕިޓަލް އަދި ކްލިނިކްތައް</t>
  </si>
  <si>
    <t>އެއްގަމު ދަތުރުފަތުރު، ޓެކްސީ، ބަސް ފަދަ</t>
  </si>
  <si>
    <t>ޕަސިންޖަރުން އުފުލާ ފެރީ</t>
  </si>
  <si>
    <t>ބޭސް ފިހާރަތައް</t>
  </si>
  <si>
    <t>ރެސްޓޯރަންޓްތައް</t>
  </si>
  <si>
    <t>ހޮޓާ، ރިސޯޓް، ޓްރެވަލް އޭޖެންސީ</t>
  </si>
  <si>
    <t>ސްކޫލްތަކާއި ތަޢުލީމްދޭ މަރުކަޒުތައް</t>
  </si>
  <si>
    <t>ފެން އުފެއްދުން</t>
  </si>
  <si>
    <t>ކުދި އަދި މެދުފަންތީގެ ވިޔަފާރި</t>
  </si>
  <si>
    <t xml:space="preserve">ސަރުކާރުގެ އޮފީސްތަކާއި ކުންފުނިތައް </t>
  </si>
  <si>
    <t>ކުނި އަދި ރީސައިކަލްކުރުން</t>
  </si>
  <si>
    <t>ސްޕެއަރޕާޓް ވިއްކުން</t>
  </si>
  <si>
    <t xml:space="preserve">އަންނައުނު </t>
  </si>
  <si>
    <t>ކޮފީ ޝޮޕް، ސައި ހޮޓާ</t>
  </si>
  <si>
    <t xml:space="preserve">ކަނޑުދަތުރުފަތުރު، ޝިޕިންގ </t>
  </si>
  <si>
    <t>އިންސައްތަ</t>
  </si>
  <si>
    <t>އަންހެނުންގެ އިން ސައްތަ</t>
  </si>
  <si>
    <t>Note: Other pension includes Pension payable to state employees, who have completed 20 or 40 years’ service in state employment.  Moreover this also includes various benefits paid by the state on monthly basis.</t>
  </si>
  <si>
    <t xml:space="preserve">ނޯޓް: އެހެނިހެން ޕެންޝަންގެ ގޮތުގައި ހިމެނެނީ ދަޢުލަތަށް ގިނަ ދުވަހު، 20 ނުވަތަ 40 އަހަރަށް ޚިދުމަތްކުރެވި ބޭފުޅުންނަށް ދެވޭ ޕެންޝަނެވެ.  އަދި މިނޫނަސް ދެވޭ އެކިއެކި މަހުންމަހުން ދެވޭ އެކއެކި އިނާޔަތްތަކެވެ. </t>
  </si>
  <si>
    <r>
      <t xml:space="preserve">  </t>
    </r>
    <r>
      <rPr>
        <b/>
        <sz val="11"/>
        <color theme="1"/>
        <rFont val="Calibri"/>
        <family val="2"/>
        <scheme val="minor"/>
      </rPr>
      <t>Amount Paid (in MVR)</t>
    </r>
    <r>
      <rPr>
        <b/>
        <sz val="11"/>
        <color theme="1"/>
        <rFont val="Faruma"/>
      </rPr>
      <t xml:space="preserve">  </t>
    </r>
  </si>
  <si>
    <t>(In MVR)</t>
  </si>
  <si>
    <t>(ރުފިޔާއިން)</t>
  </si>
  <si>
    <t>ތަފްސީލު</t>
  </si>
  <si>
    <t>Detail</t>
  </si>
  <si>
    <t>ފައިސާގެ ޚިދުމަތް، ބެންކް، އިންވެސްޓްމަންޓް ފަންޑް، އިންޝުއަރެންސް ކުންފުނިތަކުގެ އިންވެސްޓްމަންޓް</t>
  </si>
  <si>
    <t>ހައުސިންގ ޑިވެލޮޕްމަންޓް</t>
  </si>
  <si>
    <t>މުވާސަލާތީ ޚިދުމަތް</t>
  </si>
  <si>
    <t>ހޯލްސޭލް ރީޓެއިލާރސް</t>
  </si>
  <si>
    <t>ސްޓޭޓް އޯންޑް އެންޓަރޕްރައިސަސް</t>
  </si>
  <si>
    <t>ޕަބްލިކް ސެކްޓަރ</t>
  </si>
  <si>
    <t>ޕްރައިވެޓް ސެކްޓަރ</t>
  </si>
  <si>
    <t>ޢަދަދު</t>
  </si>
  <si>
    <t xml:space="preserve">މަސައްކަތްކުރާ ތަންތަނުގެ </t>
  </si>
  <si>
    <t xml:space="preserve">މަސައްކަތްކުރާ ތަނުގެ ދާއިރާ </t>
  </si>
  <si>
    <t xml:space="preserve">މުވައްޒަފުންގެ </t>
  </si>
  <si>
    <t>companies Investment</t>
  </si>
  <si>
    <t xml:space="preserve">Financial sector, Banks, Investment Funds, Insurance </t>
  </si>
  <si>
    <t xml:space="preserve">ފައިސާގެ ޚިދުމަތް، ބެންކް، އިންވެސްޓްމަންޓް ފަންޑް، އިންޝުއަރެންސް </t>
  </si>
  <si>
    <r>
      <t xml:space="preserve">Benficiaries (end year)           </t>
    </r>
    <r>
      <rPr>
        <b/>
        <sz val="11"/>
        <color theme="1"/>
        <rFont val="Faruma"/>
      </rPr>
      <t>ޕެންޝަން ލިބޭ މީހުންގެ އަދަދު</t>
    </r>
  </si>
  <si>
    <t>ކޮންޓްރިބިއުޝަންސް (ރުފިޔާ)</t>
  </si>
  <si>
    <t>_</t>
  </si>
  <si>
    <t xml:space="preserve">Establishments by Employment size </t>
  </si>
  <si>
    <t>Senior Citizen Allowance</t>
  </si>
  <si>
    <t>ސީނިއަރ ސިޓިޒަން އެލަވަންސް</t>
  </si>
  <si>
    <t>ސީނިއަ ސިޓިޒަން އެލަވަންސް</t>
  </si>
  <si>
    <t>&lt; 65</t>
  </si>
  <si>
    <t>Senior Citizen Allowance was introduced in February 2014.</t>
  </si>
  <si>
    <t xml:space="preserve">ސީނިއަރ ސިޓިޒަން އެލަވަންސް ސްކީމް ތަޢާރަފުކުރެވިފައިވާ ފެބްރުއަރީ 2014 ގައެވެ. </t>
  </si>
  <si>
    <t xml:space="preserve"> Senior Citizen Allowance</t>
  </si>
  <si>
    <t>Note: 2013 figure is  revised</t>
  </si>
  <si>
    <t>2014ގެ މައުލޫމާތު އިސްލާޙުކުރެވިފައި.</t>
  </si>
  <si>
    <r>
      <t>Senior Citizen Allowance</t>
    </r>
    <r>
      <rPr>
        <vertAlign val="superscript"/>
        <sz val="11"/>
        <color theme="1"/>
        <rFont val="Calibri"/>
        <family val="2"/>
        <scheme val="minor"/>
      </rPr>
      <t>1_/</t>
    </r>
  </si>
  <si>
    <t xml:space="preserve">ދައުލަތުން ޕެންޝަންލިބޭ ފަރާޓްތަކުގެ ތެރެއިން މަހަކު 000،5ރ އަށްވުރެ މަދުން ޕެންޝަން ފައިސާ ލިބޭ ފަރާޓްތަކަށް 000،5ރ ހަމަކޮށްދިނުމަށްޓަކާ ހެދި ސްކީމެއް.  ސީނިއަރ ސިޓިޒަން އެލަވަންސް ސްކީމް ތަޢާރަފުކުރެވިފައިވާ ފެބްރުއަރީ 2014 ގައެވެ. </t>
  </si>
  <si>
    <t>1_/</t>
  </si>
  <si>
    <r>
      <rPr>
        <i/>
        <vertAlign val="superscript"/>
        <sz val="10"/>
        <color theme="1"/>
        <rFont val="Calibri"/>
        <family val="2"/>
        <scheme val="minor"/>
      </rPr>
      <t>1_/</t>
    </r>
    <r>
      <rPr>
        <i/>
        <sz val="10"/>
        <color theme="1"/>
        <rFont val="Calibri"/>
        <family val="2"/>
        <scheme val="minor"/>
      </rPr>
      <t xml:space="preserve"> Those pensioners receiving less than 5,000 mvr is given the balance amount to reach 5,000 mvr under this scheme. Senior Citizen Allowance was introduced in February 2014.</t>
    </r>
  </si>
  <si>
    <t>All ages</t>
  </si>
  <si>
    <t>-</t>
  </si>
  <si>
    <t xml:space="preserve">Total </t>
  </si>
  <si>
    <t>TABLE   18.13: EMPLOYEES  REGISTERED IN THE RETIREMENT PENSION SCHEME, BY EMPLOYMENT SIZE, END  2014</t>
  </si>
  <si>
    <t>ތާވަލު  18.13 : އެކި ދާއިރާތަކުން ރިޓާޔަމަންޓް ޕެންޝަން ސްކީމްގައި ރެޖިސްޓަރކޮށްފައިވާ މުވައްޒަފުންގެ ޢަދަދު، ތަނުގެމުވައްޒަފުންގެ ގިންތިން، 2014</t>
  </si>
  <si>
    <t>2014-2015</t>
  </si>
  <si>
    <t>TABLE   18.2: MONTHLY PENSION PAYOUTS BY SCHEME , 2012 - 2015</t>
  </si>
  <si>
    <t>ތާވަލު 18.2: އެކި މަސްމަހު ޕެންޝަންގެ ގޮތުގައި ސްކީމްތަކުން ދެވުނު މިންވަރު، 2012 - 2015</t>
  </si>
  <si>
    <t>ތާވަލު 18.3: އެކި ޕެންޝަން ސްކީމްތަކުން ޕެންޝަން ލިބޭ މީހުންގެ އަދަދު، 2013 - 2015</t>
  </si>
  <si>
    <t>TABLE   18.3:  NUMBER OF BENFICIARIES BY PENSION SCHEME AND SEX, 2013 - 2015</t>
  </si>
  <si>
    <t>TABLE   18.6: NUMBER OF BENEFICIARIES OF OTHER PENSION SCHEMES BY AGE, 2013 - 2015</t>
  </si>
  <si>
    <t>ތާވަލު  18.6 :އެހެނިހެން ޕެންޝަން ލިބޭ މީހުންގެ އަދަދު އަދި ޢުމުރުފުރާތައް، 2013 - 2015</t>
  </si>
  <si>
    <t>TABLE 18.7: NUMBER OF BENEFICIARIES OF SENIOR CITIZEN ALLOWANCE BY AGE, 2015</t>
  </si>
  <si>
    <t>ތާވަލު  18.7: ސީނިއަރ ސިޓިޒަން އެލަވަންސް ލިބޭ މީހުންގެ އަދަދު އަދި ޢުމުރުފުރާތައް، 2015</t>
  </si>
  <si>
    <t>ތާވަލު 18.8:  އެކި ޕެންޝަން ސްކީމްތަކުން ޕެންޝަން ލިބޭ މީހުންގެ އަދަދު އަދި އުމުރުފުރާ، 2015</t>
  </si>
  <si>
    <t>TABLE 18.8: NUMBER OF BEFEFICIARIES BY AGE GROUP FOR  DIFFERENT  PENSION SCHEMES, 2015</t>
  </si>
  <si>
    <t>TABLE   18.9:  PERSONS CONTRIBUTING  TO THE RETIREMENT PENSION SCHEME AND CONTRIBUTIONS , 2011 - 2015</t>
  </si>
  <si>
    <t xml:space="preserve">ތާވަލު  18.9 : ރިޓަރޔަމަންޓް ޕެންޝަން ސްކީމްއަށް ފައިސާ ދައްކާ މީހުންގެ އަދަދު އަދި ދެއްކި ފައިސާގެ ޖުމްލަ، 2011 - 2015 </t>
  </si>
  <si>
    <t>TABLE   18.10:  AMOUNT OF CONTRIBUTION TO RETIREMENT PENSION SCHEME BY SECTOR, 2010 - 2015</t>
  </si>
  <si>
    <t>ތާވަލު 18.10 :ރިޓާޔަމަންޓް ޕެންޝަން ސްކީމްއަށް ޕަބްލިކް އަދި ޕްރައިވެޓް ސެކްޓަރއިން ފައިސާދެއްކި މިންވަރު، 2010 - 2015</t>
  </si>
  <si>
    <t>ތާވަލު  18.11 :ރިޓާޔަމަންޓް ޕެންޝަން ސްކީމްއަށް ޕަބްލިކް އަދި ޕްރައިވެޓް ސެކްޓަރއިން ފައިސާދެއްކި މީހުންގެ ޢަދަދު ، 2010 - 2015</t>
  </si>
  <si>
    <t>TABLE   18.11:  NUMBER OF MEMBERS CONTRIBUTING TO RETIREMENT PENSION SCHEME BY SECTOR AND SEX, 2010 - 2015</t>
  </si>
  <si>
    <t>TABLE   18.12:   ESTABLISHMENTS REGISTERED IN THE RETIREMENT PENSION SCHEME, BY EMPLOYMENT SIZE, END 2015</t>
  </si>
  <si>
    <t>ތާވަލު  18.12 : އެކި ދާއިރާތަކުން ރިޓާޔަމަންޓް ޕެންޝަން ސްކީމްގައި ރެޖިސްޓްރީކޮށްފައިވާ ތަންތަނުގެ ޢަދަދު، ތަނުގެމުވައްޒަފުންގެ ގިންތިން ، 2015</t>
  </si>
  <si>
    <t>ތާވަލު  18.13 : އެކި ދާއިރާތަކުން ރިޓާޔަމަންޓް ޕެންޝަން ސްކީމްގައި ރެޖިސްޓަރކޮށްފައިވާ މުވައްޒަފުންގެ ޢަދަދު، ތަނުގެމުވައްޒަފުންގެ ގިންތިން، 2015</t>
  </si>
  <si>
    <t>TABLE   18.13: EMPLOYEES  REGISTERED IN THE RETIREMENT PENSION SCHEME, BY EMPLOYMENT SIZE, END  2015</t>
  </si>
  <si>
    <t xml:space="preserve">ތާވަލު  18.14 : އެކި ދާއިރާތަކުން ރިޓާޔަމަންޓް ޕެންޝަން ސްކީމްގައި ރެޖިސްޓްރީކޮށްފައިވާ ތަންތަނުގެ ޢަދަދާއި މުވައްޒަފުންގެ އަދަދު، 2015 </t>
  </si>
  <si>
    <t>TABLE   18.14: EMPLOYEES AND ESTABLISHMENTS REGISTERED IN THE RETIREMENT PENSION SCHEME, END OF 2015</t>
  </si>
  <si>
    <t>TABLE   18.15: EMPLOYEES REGISTERED IN THE RETIREMENT PENSION SCHEME, BY TYPE OF EMPLOYER, END OF 2015</t>
  </si>
  <si>
    <t>ތާވަލު  18.15 : ތަނުގެ ބާވަތުން، ރިޓާޔަމަންޓް ޕެންޝަން ސްކީމްގައި ރެޖިސްޓަރކޮށްފައިވާ މުވައްޒަފުންގެ ޢަދަދު ، 2015</t>
  </si>
  <si>
    <t>Mining Industry</t>
  </si>
  <si>
    <t>Independent Agencies</t>
  </si>
  <si>
    <t>Judiciary</t>
  </si>
  <si>
    <t>F</t>
  </si>
  <si>
    <t>M</t>
  </si>
  <si>
    <t>City councils</t>
  </si>
  <si>
    <t>TABLE:    18.1   AMOUNT OF PENSION PAID OUT UNDER DIFFERENT SCHEMES, 2014 - 2015</t>
  </si>
  <si>
    <t>ތާވަލު 18.1:  ޕެންޝަންގެ ގޮތުގައި އެކި ސްކީމްތަކުން ދެވުނު މިންވަރު، 2014 - 2015</t>
  </si>
  <si>
    <t>2015 end</t>
  </si>
  <si>
    <t>ގަލާއި ވެލިނެގުން</t>
  </si>
  <si>
    <t xml:space="preserve">ސިޓީ ކައުންސިލްތައް </t>
  </si>
  <si>
    <t xml:space="preserve">ޖުޑީޝަރީ </t>
  </si>
  <si>
    <t>Schools / universitiy</t>
  </si>
  <si>
    <t>Hospitals / Health Care facilities</t>
  </si>
  <si>
    <t>Police / NSS</t>
  </si>
  <si>
    <t>Police/ NSS</t>
  </si>
  <si>
    <t>Locality</t>
  </si>
  <si>
    <t>ހެލްތް އިންޝުއަރަންސް</t>
  </si>
  <si>
    <t xml:space="preserve">އެކަނިވެރި މައިންނާއި ކުދިންނަށް ދެވޭ އެހީ </t>
  </si>
  <si>
    <t xml:space="preserve">އަޅާލާނެ މީހަކުނެތިފައިވާ ކުދިން ބަލަމުންދާ މީހުންނަށް ދެވޭ އެހީ </t>
  </si>
  <si>
    <t>ވެލްފެއާ އެހީ</t>
  </si>
  <si>
    <t xml:space="preserve">ނުކުޅެދުންތެރިކަން ހުންނަ ފަރާތްތަކަށް ދެވޭ އެހީ </t>
  </si>
  <si>
    <t>cnwt</t>
  </si>
  <si>
    <t>HEALTH INSURANCE SCHEMES</t>
  </si>
  <si>
    <t>SINGLE PARENT ALLOWANCE</t>
  </si>
  <si>
    <t>FOSTER PARENT ALLOWANCE ALLOWANCE</t>
  </si>
  <si>
    <t xml:space="preserve">Disability Allowance </t>
  </si>
  <si>
    <t>Aasandha</t>
  </si>
  <si>
    <t xml:space="preserve">Parent </t>
  </si>
  <si>
    <t>Children</t>
  </si>
  <si>
    <t xml:space="preserve">Children </t>
  </si>
  <si>
    <t xml:space="preserve">އާސަންދަ </t>
  </si>
  <si>
    <t>މައިން</t>
  </si>
  <si>
    <t xml:space="preserve">ކުދިން </t>
  </si>
  <si>
    <t>ބެލެނިވެރިން</t>
  </si>
  <si>
    <t>Republic</t>
  </si>
  <si>
    <t>މުޅި ރާއްޖެ</t>
  </si>
  <si>
    <t xml:space="preserve">Male' </t>
  </si>
  <si>
    <t>މާލެ</t>
  </si>
  <si>
    <t>Atolls</t>
  </si>
  <si>
    <t>އަތޮޅުތައް</t>
  </si>
  <si>
    <t>North Thiladhunmathi (HA)</t>
  </si>
  <si>
    <t xml:space="preserve">       (ah)  iruburutua Itwmcnudwlit</t>
  </si>
  <si>
    <t>South Thiladhunmathi (HDh)</t>
  </si>
  <si>
    <t>(dh) irubunuked Itwmcnudwlit</t>
  </si>
  <si>
    <t>North Miladhunmadulu (Sh)</t>
  </si>
  <si>
    <t>(S) iruburutua uluDwmcnudwlim</t>
  </si>
  <si>
    <t>South Miladhunmadulu (N)</t>
  </si>
  <si>
    <t>(n) irubunuked uluDwmcnudwlim</t>
  </si>
  <si>
    <t>North Maalhosmadulu (R)</t>
  </si>
  <si>
    <t>(r) iruburutuauluDwmcsoLWm</t>
  </si>
  <si>
    <t>South Maalhosmadulu (B)</t>
  </si>
  <si>
    <t>(b) irubunukeduluDwcsoLWm</t>
  </si>
  <si>
    <t>Faadhippolhu (Lh)</t>
  </si>
  <si>
    <t>(L) uLopcaidWf</t>
  </si>
  <si>
    <t>Male' Atoll (K)</t>
  </si>
  <si>
    <t>(k) uLotwa elWm</t>
  </si>
  <si>
    <t>North Ari Atoll (AA)</t>
  </si>
  <si>
    <t>(aa) iruburutuauLotwairwa</t>
  </si>
  <si>
    <t>South Ari Atoll (ADh)</t>
  </si>
  <si>
    <t>(da) iruburutuauLotwairwa</t>
  </si>
  <si>
    <t>Felidhu Atoll (V)</t>
  </si>
  <si>
    <t>(v) uLotwa udilef</t>
  </si>
  <si>
    <t>Mulakatholhu (M)</t>
  </si>
  <si>
    <t>(m) uLotwkwlum</t>
  </si>
  <si>
    <t xml:space="preserve"> HA</t>
  </si>
  <si>
    <t>North Nilandhe Atoll (F)</t>
  </si>
  <si>
    <t>(f) iruburutua uLotwaedcnwlin</t>
  </si>
  <si>
    <t>HDh</t>
  </si>
  <si>
    <t>South Nilandhe Atoll (Dh)</t>
  </si>
  <si>
    <t>(d) irubunuked uLotwaedcnwlin</t>
  </si>
  <si>
    <t>Sh</t>
  </si>
  <si>
    <t>Kolhumadulu (Th)</t>
  </si>
  <si>
    <t>(t) uluDwmuLok</t>
  </si>
  <si>
    <t>N</t>
  </si>
  <si>
    <t>Hadhdhunmathi (L)</t>
  </si>
  <si>
    <t>(l) itwmcnudcawh</t>
  </si>
  <si>
    <t>R</t>
  </si>
  <si>
    <t>North Huvadhu Atoll (GA)</t>
  </si>
  <si>
    <t>(ag) iruburutua uLotwaudwvuh</t>
  </si>
  <si>
    <t>B</t>
  </si>
  <si>
    <t>South Huvadhu Atoll (GDh)</t>
  </si>
  <si>
    <t xml:space="preserve"> (dg) irubunuked uLotwaudwvuh</t>
  </si>
  <si>
    <t xml:space="preserve"> Lh</t>
  </si>
  <si>
    <t>Fuvahmulah (Gn)</t>
  </si>
  <si>
    <t>(N)cawlumcawvuf</t>
  </si>
  <si>
    <t>K</t>
  </si>
  <si>
    <t>Addu Atoll (S)</t>
  </si>
  <si>
    <t>(s) uLotwauDcawa</t>
  </si>
  <si>
    <t>AA</t>
  </si>
  <si>
    <t>Note: Universal Health Insuarance Scheme named "Aasandha" was introduced in January 2012 and replaced the existing schemes "Madhana" and "Madhana Plus".</t>
  </si>
  <si>
    <t>ADh</t>
  </si>
  <si>
    <t>V</t>
  </si>
  <si>
    <t>Source: National Social Protection Agency</t>
  </si>
  <si>
    <t xml:space="preserve">މަޢުލޫމާތު ދެއްވީ: ނެޝަނަލް ސޯޝަލް ޕްރޮޓެކްޝަން އޭޖެންސީ </t>
  </si>
  <si>
    <t>Dh</t>
  </si>
  <si>
    <t>Th</t>
  </si>
  <si>
    <t>L</t>
  </si>
  <si>
    <t>GA</t>
  </si>
  <si>
    <t>GDh</t>
  </si>
  <si>
    <t>Gn</t>
  </si>
  <si>
    <t>S</t>
  </si>
  <si>
    <t>EMERGENCY MEDICAL WELFARE</t>
  </si>
  <si>
    <t>DISABILITY ALLOWANCE</t>
  </si>
  <si>
    <t>އާސަންދަ</t>
  </si>
  <si>
    <t>Thuraakunu</t>
  </si>
  <si>
    <t>unukWrut</t>
  </si>
  <si>
    <t>Uligamu</t>
  </si>
  <si>
    <t>umwgilua</t>
  </si>
  <si>
    <t>Mulhadhoo</t>
  </si>
  <si>
    <t>UdwLum</t>
  </si>
  <si>
    <t>Hoarafushi</t>
  </si>
  <si>
    <t>iSufwrOh</t>
  </si>
  <si>
    <t>Ihavandhoo</t>
  </si>
  <si>
    <t>eUdcnwvwhia</t>
  </si>
  <si>
    <t>Kelaa</t>
  </si>
  <si>
    <t>Wlek</t>
  </si>
  <si>
    <t>Vashafaru</t>
  </si>
  <si>
    <t>urwfwSwv</t>
  </si>
  <si>
    <t>Dhidhdhoo</t>
  </si>
  <si>
    <t>Udcaid</t>
  </si>
  <si>
    <t>Filladhoo</t>
  </si>
  <si>
    <t>Udwlcaif</t>
  </si>
  <si>
    <t>Maarandhoo</t>
  </si>
  <si>
    <t>UdcnwrWm</t>
  </si>
  <si>
    <t>Thakandhoo</t>
  </si>
  <si>
    <t>Udcnwkwt</t>
  </si>
  <si>
    <t>Utheemu</t>
  </si>
  <si>
    <t>umItua</t>
  </si>
  <si>
    <t>Muraidhoo</t>
  </si>
  <si>
    <t>Udiawrum</t>
  </si>
  <si>
    <t>Baarah</t>
  </si>
  <si>
    <t>cSwrWb</t>
  </si>
  <si>
    <t>Hanimaadhoo</t>
  </si>
  <si>
    <t>UdWminwh</t>
  </si>
  <si>
    <t>Finey</t>
  </si>
  <si>
    <t>Enif</t>
  </si>
  <si>
    <t>Naivaadhoo</t>
  </si>
  <si>
    <t>UdiawvWn</t>
  </si>
  <si>
    <t>Hirimaradhoo</t>
  </si>
  <si>
    <t>Udwrwmirih</t>
  </si>
  <si>
    <t>Nolhivaranfaru</t>
  </si>
  <si>
    <t>urwfcnwrwviLon</t>
  </si>
  <si>
    <t>Nellaidhoo</t>
  </si>
  <si>
    <t>Udiawlcaen</t>
  </si>
  <si>
    <t>Nolhivaramu</t>
  </si>
  <si>
    <t>umwrwviLon</t>
  </si>
  <si>
    <t>Kurnibi</t>
  </si>
  <si>
    <t>ibniruk</t>
  </si>
  <si>
    <t>Kunburudhoo</t>
  </si>
  <si>
    <t>Udurubnuk</t>
  </si>
  <si>
    <t>Kulhudhuffushi</t>
  </si>
  <si>
    <t>iSufcauduLuk</t>
  </si>
  <si>
    <t>Kumundhoo</t>
  </si>
  <si>
    <t>Udcnumuk</t>
  </si>
  <si>
    <t>Neykurendhoo</t>
  </si>
  <si>
    <t>UdcnerukEn</t>
  </si>
  <si>
    <t>Vaikaradhoo</t>
  </si>
  <si>
    <t>Udwrwkiiawv</t>
  </si>
  <si>
    <t>Maavaidhoo</t>
  </si>
  <si>
    <t>UdiawvWm</t>
  </si>
  <si>
    <t>Makunudhoo</t>
  </si>
  <si>
    <t>Udunukwm</t>
  </si>
  <si>
    <t>Kanditheemu</t>
  </si>
  <si>
    <t>umItiDnwk</t>
  </si>
  <si>
    <t>Noomaraa</t>
  </si>
  <si>
    <t>WrwmUn</t>
  </si>
  <si>
    <t>Goidhoo</t>
  </si>
  <si>
    <t>Udiaog</t>
  </si>
  <si>
    <t>Feydhoo</t>
  </si>
  <si>
    <t>UdEf</t>
  </si>
  <si>
    <t>Feevah</t>
  </si>
  <si>
    <t>cawvIf</t>
  </si>
  <si>
    <t>Billeffahi</t>
  </si>
  <si>
    <t>ihwfcaelib</t>
  </si>
  <si>
    <t>Foakaidhoo</t>
  </si>
  <si>
    <t>UdiawkOf</t>
  </si>
  <si>
    <t>Narudhoo</t>
  </si>
  <si>
    <t>Udurwn</t>
  </si>
  <si>
    <t>Maroshi</t>
  </si>
  <si>
    <t>iSorwm</t>
  </si>
  <si>
    <t>Lhaimagu</t>
  </si>
  <si>
    <t>ugwmiawL</t>
  </si>
  <si>
    <t>Komandhoo</t>
  </si>
  <si>
    <t>UDcnwmok</t>
  </si>
  <si>
    <t>Maaun'goodhoo</t>
  </si>
  <si>
    <t>UdUgnuaWm</t>
  </si>
  <si>
    <t>Funadhoo</t>
  </si>
  <si>
    <t>Udwnuf</t>
  </si>
  <si>
    <r>
      <t xml:space="preserve">Milandhoo </t>
    </r>
    <r>
      <rPr>
        <vertAlign val="superscript"/>
        <sz val="10"/>
        <color indexed="63"/>
        <rFont val="Calibri"/>
        <family val="2"/>
        <scheme val="minor"/>
      </rPr>
      <t>3_/</t>
    </r>
  </si>
  <si>
    <r>
      <t>3_/</t>
    </r>
    <r>
      <rPr>
        <sz val="10"/>
        <color indexed="63"/>
        <rFont val="A_Randhoo"/>
      </rPr>
      <t xml:space="preserve"> Udcnwlim</t>
    </r>
  </si>
  <si>
    <t>Hen'badhoo</t>
  </si>
  <si>
    <t>Udwbneh</t>
  </si>
  <si>
    <t>Ken'dhikulhudhoo</t>
  </si>
  <si>
    <t>UduLukidnek</t>
  </si>
  <si>
    <t>Maalhendhoo</t>
  </si>
  <si>
    <t>UdcneLWm</t>
  </si>
  <si>
    <t>Kudafari</t>
  </si>
  <si>
    <t>irwfwDuk</t>
  </si>
  <si>
    <t>Landhoo</t>
  </si>
  <si>
    <t>Udcnwl</t>
  </si>
  <si>
    <t>Maafaru</t>
  </si>
  <si>
    <t>urwfWm</t>
  </si>
  <si>
    <t>Lhohi</t>
  </si>
  <si>
    <t>ihoL</t>
  </si>
  <si>
    <t>Miladhoo</t>
  </si>
  <si>
    <t>Udwlim</t>
  </si>
  <si>
    <t>Magoodhoo</t>
  </si>
  <si>
    <t>UdUgwm</t>
  </si>
  <si>
    <t>Manadhoo</t>
  </si>
  <si>
    <t>Udwnwm</t>
  </si>
  <si>
    <t>Holhudhoo</t>
  </si>
  <si>
    <t>UduLoh</t>
  </si>
  <si>
    <t>Fodhdhoo</t>
  </si>
  <si>
    <t>Udcaof</t>
  </si>
  <si>
    <t>Velidhoo</t>
  </si>
  <si>
    <t>Udilev</t>
  </si>
  <si>
    <t>Alifushi</t>
  </si>
  <si>
    <t>iSufilwa</t>
  </si>
  <si>
    <t>Vaadhoo</t>
  </si>
  <si>
    <t>UdWv</t>
  </si>
  <si>
    <t>Rasgetheemu</t>
  </si>
  <si>
    <t>umItegcswr</t>
  </si>
  <si>
    <t>An'golhitheemu</t>
  </si>
  <si>
    <t>umItiLognwa</t>
  </si>
  <si>
    <t>Un'goofaaru</t>
  </si>
  <si>
    <t>urWfUgnua</t>
  </si>
  <si>
    <r>
      <t xml:space="preserve">Kandolhudhoo </t>
    </r>
    <r>
      <rPr>
        <vertAlign val="superscript"/>
        <sz val="10"/>
        <color indexed="63"/>
        <rFont val="Calibri"/>
        <family val="2"/>
        <scheme val="minor"/>
      </rPr>
      <t xml:space="preserve"> 2_/</t>
    </r>
  </si>
  <si>
    <r>
      <t>2_/</t>
    </r>
    <r>
      <rPr>
        <sz val="10"/>
        <color indexed="63"/>
        <rFont val="A_Randhoo"/>
      </rPr>
      <t xml:space="preserve"> UduLodnwk</t>
    </r>
  </si>
  <si>
    <r>
      <t xml:space="preserve">Dhuvaafaru  </t>
    </r>
    <r>
      <rPr>
        <sz val="10"/>
        <color indexed="63"/>
        <rFont val="Calibri"/>
        <family val="2"/>
        <scheme val="minor"/>
      </rPr>
      <t>3_/</t>
    </r>
  </si>
  <si>
    <t>3_/ urwfWvud</t>
  </si>
  <si>
    <t>Maakurathu</t>
  </si>
  <si>
    <t>utwrukWm</t>
  </si>
  <si>
    <t>Rasmaadhoo</t>
  </si>
  <si>
    <t>UdWmcswr</t>
  </si>
  <si>
    <t>Innamaadhoo</t>
  </si>
  <si>
    <t>UdWmwncnia</t>
  </si>
  <si>
    <t>Maduvvari</t>
  </si>
  <si>
    <t>irwvcauDwm</t>
  </si>
  <si>
    <t>In'guraidhoo</t>
  </si>
  <si>
    <t>Udiawrugnia</t>
  </si>
  <si>
    <t>Fainu</t>
  </si>
  <si>
    <t>uniawf</t>
  </si>
  <si>
    <t>Meedhoo</t>
  </si>
  <si>
    <t>UdIm</t>
  </si>
  <si>
    <t>Kinolhas</t>
  </si>
  <si>
    <t>cswLonik</t>
  </si>
  <si>
    <t>Hulhudhuffaaru</t>
  </si>
  <si>
    <t>urWfcauduLuh</t>
  </si>
  <si>
    <t>Kudarikilu</t>
  </si>
  <si>
    <t>ulikirwDuk</t>
  </si>
  <si>
    <t>Kamadhoo</t>
  </si>
  <si>
    <t>Udwmwk</t>
  </si>
  <si>
    <t>Kendhoo</t>
  </si>
  <si>
    <t>Udcnek</t>
  </si>
  <si>
    <t>Kihaadhoo</t>
  </si>
  <si>
    <t>UdWhik</t>
  </si>
  <si>
    <t>Dhonfanu</t>
  </si>
  <si>
    <t>unwfcnod</t>
  </si>
  <si>
    <t>Daravandhoo</t>
  </si>
  <si>
    <t>Udcnwvwrwd</t>
  </si>
  <si>
    <t>Maalhos</t>
  </si>
  <si>
    <t>csoLWm</t>
  </si>
  <si>
    <t>Eydhafushi</t>
  </si>
  <si>
    <t>iSufwdEa</t>
  </si>
  <si>
    <t>Thulhaadhoo</t>
  </si>
  <si>
    <t>UdWLut</t>
  </si>
  <si>
    <t>Hithaadhoo</t>
  </si>
  <si>
    <t>UdWtih</t>
  </si>
  <si>
    <t>Fulhadhoo</t>
  </si>
  <si>
    <t>UdwLuf</t>
  </si>
  <si>
    <t>Fehendhoo</t>
  </si>
  <si>
    <t>Udcnehef</t>
  </si>
  <si>
    <t>Hinnavaru</t>
  </si>
  <si>
    <t>urwvwncnih</t>
  </si>
  <si>
    <t>Naifaru</t>
  </si>
  <si>
    <t>urwfiawn</t>
  </si>
  <si>
    <t>Kurendhoo</t>
  </si>
  <si>
    <t>Udcneruk</t>
  </si>
  <si>
    <t>Olhuvelifushi</t>
  </si>
  <si>
    <t>iSufilevuLoa</t>
  </si>
  <si>
    <t>Maafilaafushi</t>
  </si>
  <si>
    <t>iSufWlifWm</t>
  </si>
  <si>
    <t>Kaashidhoo</t>
  </si>
  <si>
    <t>UdiSWk</t>
  </si>
  <si>
    <t>Gaafaru</t>
  </si>
  <si>
    <t>urwfWg</t>
  </si>
  <si>
    <t>Dhiffushi</t>
  </si>
  <si>
    <t>iSufcaid</t>
  </si>
  <si>
    <t>Thulusdhoo</t>
  </si>
  <si>
    <t>Udcsulut</t>
  </si>
  <si>
    <t>Huraa</t>
  </si>
  <si>
    <t>Wruh</t>
  </si>
  <si>
    <t>Himmafushi</t>
  </si>
  <si>
    <t>iSufwmcnih</t>
  </si>
  <si>
    <t>Gulhi</t>
  </si>
  <si>
    <t>iLug</t>
  </si>
  <si>
    <t>Maafushi</t>
  </si>
  <si>
    <t>iSufWm</t>
  </si>
  <si>
    <t>Guraidhoo</t>
  </si>
  <si>
    <t>Udiawrug</t>
  </si>
  <si>
    <t>Thoddoo</t>
  </si>
  <si>
    <t>UDcaot</t>
  </si>
  <si>
    <t>Rasdhoo</t>
  </si>
  <si>
    <t>Udcswr</t>
  </si>
  <si>
    <t>Ukulhas</t>
  </si>
  <si>
    <t>cswLukua</t>
  </si>
  <si>
    <t>Mathiveri</t>
  </si>
  <si>
    <t>irevitwm</t>
  </si>
  <si>
    <t>Bodufolhudhoo</t>
  </si>
  <si>
    <t>UduLofuDob</t>
  </si>
  <si>
    <t>Feridhoo</t>
  </si>
  <si>
    <t>Udiref</t>
  </si>
  <si>
    <t>Himandhoo</t>
  </si>
  <si>
    <t xml:space="preserve"> Udcnwmih</t>
  </si>
  <si>
    <t>Hangn'aameedhoo</t>
  </si>
  <si>
    <t>UdImWNcnwh</t>
  </si>
  <si>
    <t>Omadhoo</t>
  </si>
  <si>
    <t>Udwmoa</t>
  </si>
  <si>
    <t>Kun'burudhoo</t>
  </si>
  <si>
    <t>Mahibadhoo</t>
  </si>
  <si>
    <t>Udwbihwm</t>
  </si>
  <si>
    <t>Mandhoo</t>
  </si>
  <si>
    <t>Dhn'agethi</t>
  </si>
  <si>
    <t>itegnwd</t>
  </si>
  <si>
    <t>Dhigurah</t>
  </si>
  <si>
    <t>cSwrugid</t>
  </si>
  <si>
    <t>Fenfushi</t>
  </si>
  <si>
    <t>iSufcnef</t>
  </si>
  <si>
    <t>Maamigili</t>
  </si>
  <si>
    <t>iligimWm</t>
  </si>
  <si>
    <t>Fulidhoo</t>
  </si>
  <si>
    <t>Udiluf</t>
  </si>
  <si>
    <t>Thinadhoo</t>
  </si>
  <si>
    <t>Udwnit</t>
  </si>
  <si>
    <t>Felidhoo</t>
  </si>
  <si>
    <t>Udilef</t>
  </si>
  <si>
    <t>Keyodhoo</t>
  </si>
  <si>
    <t>Udoyek</t>
  </si>
  <si>
    <t>Rakeedhoo</t>
  </si>
  <si>
    <t>UdIkwr</t>
  </si>
  <si>
    <t>Raiymandhoo</t>
  </si>
  <si>
    <t>Udcnwmctwr</t>
  </si>
  <si>
    <t>Veyvah</t>
  </si>
  <si>
    <t>cawvEv</t>
  </si>
  <si>
    <t>Mulah</t>
  </si>
  <si>
    <t>cawlum</t>
  </si>
  <si>
    <t>Muli</t>
  </si>
  <si>
    <t>ilum</t>
  </si>
  <si>
    <t>Naalaafushi</t>
  </si>
  <si>
    <t>iSufWlWn</t>
  </si>
  <si>
    <t>Kolhufushi</t>
  </si>
  <si>
    <t>iSufuLok</t>
  </si>
  <si>
    <t>Dhiggaru</t>
  </si>
  <si>
    <t>urwgcaid</t>
  </si>
  <si>
    <t>Feeali</t>
  </si>
  <si>
    <t>ilwaIf</t>
  </si>
  <si>
    <t>Biledhhdhoo</t>
  </si>
  <si>
    <t>Udcaelib</t>
  </si>
  <si>
    <t>Dharan'boodhoo</t>
  </si>
  <si>
    <t>UdUbwrwd</t>
  </si>
  <si>
    <t>Nilandhoo</t>
  </si>
  <si>
    <t>Udcnwlin</t>
  </si>
  <si>
    <t>Ban'didhoo</t>
  </si>
  <si>
    <t>UdiDnwb</t>
  </si>
  <si>
    <t>Rin'budhoo</t>
  </si>
  <si>
    <t>Udubnir</t>
  </si>
  <si>
    <t>Hulhudeli</t>
  </si>
  <si>
    <t>ileduLuh</t>
  </si>
  <si>
    <r>
      <t>Gemendhoo</t>
    </r>
    <r>
      <rPr>
        <vertAlign val="superscript"/>
        <sz val="10"/>
        <color indexed="63"/>
        <rFont val="Calibri"/>
        <family val="2"/>
        <scheme val="minor"/>
      </rPr>
      <t xml:space="preserve"> 2_/</t>
    </r>
  </si>
  <si>
    <r>
      <t>2_/</t>
    </r>
    <r>
      <rPr>
        <sz val="10"/>
        <color indexed="63"/>
        <rFont val="A_Randhoo"/>
      </rPr>
      <t xml:space="preserve"> Udcnemeg</t>
    </r>
  </si>
  <si>
    <t>Vaani</t>
  </si>
  <si>
    <t>inWv</t>
  </si>
  <si>
    <t>Maaen'boodhoo</t>
  </si>
  <si>
    <t>UdUbneaWm</t>
  </si>
  <si>
    <t>Kudahuvadhoo</t>
  </si>
  <si>
    <t>UdwvuhwDuk</t>
  </si>
  <si>
    <t>Buruni</t>
  </si>
  <si>
    <t>inurub</t>
  </si>
  <si>
    <r>
      <t xml:space="preserve">Vilufushi </t>
    </r>
    <r>
      <rPr>
        <vertAlign val="superscript"/>
        <sz val="10"/>
        <color indexed="63"/>
        <rFont val="Calibri"/>
        <family val="2"/>
        <scheme val="minor"/>
      </rPr>
      <t>2_/</t>
    </r>
  </si>
  <si>
    <r>
      <t>2_/</t>
    </r>
    <r>
      <rPr>
        <sz val="10"/>
        <color indexed="63"/>
        <rFont val="A_Randhoo"/>
      </rPr>
      <t xml:space="preserve"> iSufuliv</t>
    </r>
  </si>
  <si>
    <t>Madifushi</t>
  </si>
  <si>
    <t>iSufiDwm</t>
  </si>
  <si>
    <t>Dhiyamigili</t>
  </si>
  <si>
    <t>iligimwyid</t>
  </si>
  <si>
    <t>Kan'doodhoo</t>
  </si>
  <si>
    <t>UdUDnwk</t>
  </si>
  <si>
    <t>Vandhoo</t>
  </si>
  <si>
    <t>Udcnwv</t>
  </si>
  <si>
    <t>Hirilandhoo</t>
  </si>
  <si>
    <t>Udcnwlirih</t>
  </si>
  <si>
    <t>Gaadhiffushi</t>
  </si>
  <si>
    <t>iSufcaidWg</t>
  </si>
  <si>
    <t>Thimarafushi</t>
  </si>
  <si>
    <t>iSufwrwmit</t>
  </si>
  <si>
    <t>Veymandoo</t>
  </si>
  <si>
    <t>UDcnwmEv</t>
  </si>
  <si>
    <t>Kinbidhoo</t>
  </si>
  <si>
    <t>Udibnik</t>
  </si>
  <si>
    <t>Ishdhoo</t>
  </si>
  <si>
    <t>Udcsia</t>
  </si>
  <si>
    <t>Dhan'bidhoo</t>
  </si>
  <si>
    <t>Udibnwd</t>
  </si>
  <si>
    <t>Maabaidhoo</t>
  </si>
  <si>
    <t>UdiawbWm</t>
  </si>
  <si>
    <t>Mundoo</t>
  </si>
  <si>
    <t>UDcnum</t>
  </si>
  <si>
    <t>Kalhaidhoo</t>
  </si>
  <si>
    <t>UdiawLwk</t>
  </si>
  <si>
    <t>Gamu</t>
  </si>
  <si>
    <t>umwg</t>
  </si>
  <si>
    <t>Maavah</t>
  </si>
  <si>
    <t>cawvWm</t>
  </si>
  <si>
    <t>Fonadhoo</t>
  </si>
  <si>
    <t>Udwnof</t>
  </si>
  <si>
    <t>Gaadhoo</t>
  </si>
  <si>
    <t>UdWg</t>
  </si>
  <si>
    <t>Maamendhoo</t>
  </si>
  <si>
    <t>UdcnemWm</t>
  </si>
  <si>
    <t>Hithadhoo</t>
  </si>
  <si>
    <t>Udwtih</t>
  </si>
  <si>
    <t>Kunahandhoo</t>
  </si>
  <si>
    <t>Udcnwhwnuk</t>
  </si>
  <si>
    <t>Kolamaafushi</t>
  </si>
  <si>
    <t>iSufWmwlok</t>
  </si>
  <si>
    <t>Viligili</t>
  </si>
  <si>
    <t>iligiliv</t>
  </si>
  <si>
    <t>Dhaandhoo</t>
  </si>
  <si>
    <t>UdcnWd</t>
  </si>
  <si>
    <t>Devvadhoo</t>
  </si>
  <si>
    <t>Udwvcaed</t>
  </si>
  <si>
    <t>Kodey</t>
  </si>
  <si>
    <t>EDnok</t>
  </si>
  <si>
    <t xml:space="preserve">Dhiyadhoo 2_/  </t>
  </si>
  <si>
    <t xml:space="preserve"> 1_/ Udwyid</t>
  </si>
  <si>
    <t>Gemanafushi</t>
  </si>
  <si>
    <t>iSufwnwmeg</t>
  </si>
  <si>
    <t>Kandhuhulhudhoo</t>
  </si>
  <si>
    <t>UduLuhuDnwk</t>
  </si>
  <si>
    <t>Madaveli</t>
  </si>
  <si>
    <t>ilevwDwm</t>
  </si>
  <si>
    <t>Hoadhedhdhoo</t>
  </si>
  <si>
    <t>UdcaeDOh</t>
  </si>
  <si>
    <t>Nadallaa</t>
  </si>
  <si>
    <t>WlcawDwn</t>
  </si>
  <si>
    <t>Gadhdhoo</t>
  </si>
  <si>
    <t>Udcawg</t>
  </si>
  <si>
    <t>Rathafandhoo</t>
  </si>
  <si>
    <t>Udcnwfwtwr</t>
  </si>
  <si>
    <t>Fiyoari</t>
  </si>
  <si>
    <t>IrOyif</t>
  </si>
  <si>
    <t>Faresmaathoda</t>
  </si>
  <si>
    <t>WDotWmcserwf</t>
  </si>
  <si>
    <t>Fuvahmulah</t>
  </si>
  <si>
    <t>cawlumcawvuf</t>
  </si>
  <si>
    <t>Maradhoo</t>
  </si>
  <si>
    <t>Udwrwm</t>
  </si>
  <si>
    <t>Maradhoofeydhoo</t>
  </si>
  <si>
    <t>UdEfUdwrwm</t>
  </si>
  <si>
    <t>Hulhudhoo</t>
  </si>
  <si>
    <t>UduLuh</t>
  </si>
  <si>
    <r>
      <rPr>
        <i/>
        <vertAlign val="superscript"/>
        <sz val="9"/>
        <color theme="1" tint="0.14996795556505021"/>
        <rFont val="Calibri"/>
        <family val="2"/>
        <scheme val="minor"/>
      </rPr>
      <t>1_/</t>
    </r>
    <r>
      <rPr>
        <i/>
        <sz val="9"/>
        <color theme="1" tint="0.14999847407452621"/>
        <rFont val="Calibri"/>
        <family val="2"/>
        <scheme val="minor"/>
      </rPr>
      <t xml:space="preserve"> Population relocated to other islands under population consolidation programme</t>
    </r>
  </si>
  <si>
    <r>
      <t xml:space="preserve">iawfevulwdwb cSwSwrcSwrcnehea cnuhIm cnuSwd egcmWrcgorcp egumurukcswfcaea IdWbWa </t>
    </r>
    <r>
      <rPr>
        <vertAlign val="superscript"/>
        <sz val="9"/>
        <color theme="1" tint="0.14996795556505021"/>
        <rFont val="A_Randhoo"/>
      </rPr>
      <t>1_/</t>
    </r>
  </si>
  <si>
    <r>
      <rPr>
        <i/>
        <vertAlign val="superscript"/>
        <sz val="9"/>
        <color theme="1" tint="0.14996795556505021"/>
        <rFont val="Calibri"/>
        <family val="2"/>
        <scheme val="minor"/>
      </rPr>
      <t>2_/</t>
    </r>
    <r>
      <rPr>
        <i/>
        <sz val="9"/>
        <color theme="1" tint="0.14999847407452621"/>
        <rFont val="Calibri"/>
        <family val="2"/>
        <scheme val="minor"/>
      </rPr>
      <t xml:space="preserve"> Population displaced to other islands due to tsunami </t>
    </r>
  </si>
  <si>
    <r>
      <t xml:space="preserve">iawfevulwdwb cSwSwrcSwrcnehea cnuhIm cnegiLugiaWaImWnus </t>
    </r>
    <r>
      <rPr>
        <vertAlign val="superscript"/>
        <sz val="9"/>
        <color theme="1" tint="0.14996795556505021"/>
        <rFont val="A_Randhoo"/>
      </rPr>
      <t>2_/</t>
    </r>
  </si>
  <si>
    <r>
      <rPr>
        <i/>
        <vertAlign val="superscript"/>
        <sz val="9"/>
        <color theme="1" tint="0.14996795556505021"/>
        <rFont val="Calibri"/>
        <family val="2"/>
        <scheme val="minor"/>
      </rPr>
      <t>3_/</t>
    </r>
    <r>
      <rPr>
        <i/>
        <sz val="9"/>
        <color theme="1" tint="0.14999847407452621"/>
        <rFont val="Calibri"/>
        <family val="2"/>
        <scheme val="minor"/>
      </rPr>
      <t xml:space="preserve"> Newly inhabited under population consolidation programme</t>
    </r>
  </si>
  <si>
    <r>
      <t xml:space="preserve">iawfiverukudWbWa cSwlwa cnuSwd egcmWrcgorcp egumurukcswfcaea IdWbWa </t>
    </r>
    <r>
      <rPr>
        <vertAlign val="superscript"/>
        <sz val="9"/>
        <color theme="1" tint="0.14996795556505021"/>
        <rFont val="A_Randhoo"/>
      </rPr>
      <t>3_/</t>
    </r>
  </si>
  <si>
    <t>ތާވަލް 18.15: އިޖްތިމާއީ ރައްކާތެރިކަމުގެ ދަށުން ރަށްރަށުން ޙިދުމަތްދެވިފައިވާ މީހުންގެ އަދަދު، 2014</t>
  </si>
  <si>
    <t>Table 18.15 :  NUMBER OF PERSONS COVERED UNDER DIFFERENT SOCIAL PROTECTION SCHEMES BY ISLAND,  2014</t>
  </si>
  <si>
    <t>TOTAL</t>
  </si>
  <si>
    <t>AASANDHA</t>
  </si>
  <si>
    <t xml:space="preserve"> SINGLE PARENT ALLOWANCE</t>
  </si>
  <si>
    <t>FOSTER PARENT ALLOWANCE</t>
  </si>
  <si>
    <t xml:space="preserve">EMERGENCY MEDICAL WELFARE </t>
  </si>
  <si>
    <t>އެކަނިވެރި މައިނަށް ދެވޭ އެހީ</t>
  </si>
  <si>
    <t>January</t>
  </si>
  <si>
    <t>February</t>
  </si>
  <si>
    <t>March</t>
  </si>
  <si>
    <t>މާރޗް</t>
  </si>
  <si>
    <t>April</t>
  </si>
  <si>
    <t>އޭޕްރިލް</t>
  </si>
  <si>
    <t>June</t>
  </si>
  <si>
    <t>July</t>
  </si>
  <si>
    <t>August</t>
  </si>
  <si>
    <t>September</t>
  </si>
  <si>
    <t>October</t>
  </si>
  <si>
    <t>November</t>
  </si>
  <si>
    <t>December</t>
  </si>
  <si>
    <t>Total Expenditure (MVR)</t>
  </si>
  <si>
    <t>Hospitals</t>
  </si>
  <si>
    <t>Opticals</t>
  </si>
  <si>
    <t>Clinics</t>
  </si>
  <si>
    <t>Airfare Tickets</t>
  </si>
  <si>
    <t>Emergency Evacuation - Sea</t>
  </si>
  <si>
    <t>ޖުމްލަ ޚަރަދު</t>
  </si>
  <si>
    <t>clwTiPcsoh</t>
  </si>
  <si>
    <t>IswmWf</t>
  </si>
  <si>
    <t>ctwmcdiKegulol</t>
  </si>
  <si>
    <t>ckiniluk</t>
  </si>
  <si>
    <t>ޓިކެޓް ޚަރަދު</t>
  </si>
  <si>
    <t>އިމަޖެންސީ އިވަކުއޭޝަން</t>
  </si>
  <si>
    <t>ރާއްޖެ</t>
  </si>
  <si>
    <t>Overseas</t>
  </si>
  <si>
    <t>ރާއްޖެއިން ބޭރު</t>
  </si>
  <si>
    <t>National Social Protection Agency</t>
  </si>
  <si>
    <t xml:space="preserve">Note: These expenditures are based on the blocked amount </t>
  </si>
  <si>
    <t xml:space="preserve">ޚަރަދު ބަޔާންކުރެވިފައިވަނީ ބްލޮކްކުރެވިފައިވާ ޖުމްލަ ޚަރަދުގެ މަށްޗަށެވެ.  </t>
  </si>
  <si>
    <t xml:space="preserve">      ah </t>
  </si>
  <si>
    <t>dh</t>
  </si>
  <si>
    <t>n</t>
  </si>
  <si>
    <t>r</t>
  </si>
  <si>
    <t>b</t>
  </si>
  <si>
    <t>Male Atoll (K)</t>
  </si>
  <si>
    <t>k</t>
  </si>
  <si>
    <t>އa</t>
  </si>
  <si>
    <t>da</t>
  </si>
  <si>
    <t>v</t>
  </si>
  <si>
    <t>m</t>
  </si>
  <si>
    <t>f</t>
  </si>
  <si>
    <t>d</t>
  </si>
  <si>
    <t>t</t>
  </si>
  <si>
    <t>l</t>
  </si>
  <si>
    <t>ag</t>
  </si>
  <si>
    <t xml:space="preserve"> dg</t>
  </si>
  <si>
    <t>s</t>
  </si>
  <si>
    <t>Overseas hospitals</t>
  </si>
  <si>
    <t>ރާއްޖޭން ބޭރު ހޮސްޕިޓަލުތައް</t>
  </si>
  <si>
    <t>Type of Service</t>
  </si>
  <si>
    <r>
      <t xml:space="preserve">Total Expenditure ( in MVR)  
</t>
    </r>
    <r>
      <rPr>
        <b/>
        <sz val="9"/>
        <color theme="1"/>
        <rFont val="Faruma"/>
      </rPr>
      <t>ޚަރަދު ރުފިޔާއިން</t>
    </r>
  </si>
  <si>
    <t>ޚިދުމަތުގެ ބާވަތް</t>
  </si>
  <si>
    <t>Out-patient care</t>
  </si>
  <si>
    <t>ބެލުނު މީހުން</t>
  </si>
  <si>
    <t>In-patient care</t>
  </si>
  <si>
    <t>އެނދުމަތިކުރެވުނު މީހުން</t>
  </si>
  <si>
    <t xml:space="preserve">   In ICU</t>
  </si>
  <si>
    <t>އައިސީޔޫގައި</t>
  </si>
  <si>
    <t xml:space="preserve">   Admitted in ward</t>
  </si>
  <si>
    <t>ވޯރޑުގައި</t>
  </si>
  <si>
    <t xml:space="preserve">Out patient medicine </t>
  </si>
  <si>
    <t xml:space="preserve">އެޑްމިޓްނުކޮށް ޑޮކްޓަރަށް ދައްކާ ބޭސް ނަގާފައިވާ މީހުން </t>
  </si>
  <si>
    <t xml:space="preserve">In patient medicine </t>
  </si>
  <si>
    <t>އެނދުމަތިކުރެވިގެން ބޭސް ނަގާފައިވާ މީހުން</t>
  </si>
  <si>
    <t>Circumcision</t>
  </si>
  <si>
    <t>ހިތާނުކުރުމަށް</t>
  </si>
  <si>
    <t>Inter-atoll transport for critical patients</t>
  </si>
  <si>
    <t>ހާއްސަހާލަތްތަކުގައި އަތޮޅުތެރޭގައި ކުރެވޭ ދަތުރު</t>
  </si>
  <si>
    <t>Dialysis</t>
  </si>
  <si>
    <t>ޑައިލިސިސް</t>
  </si>
  <si>
    <t>Medical check-up</t>
  </si>
  <si>
    <t>މެޑިކަލް ޗެކްއަޕް</t>
  </si>
  <si>
    <t>Glasses/lense</t>
  </si>
  <si>
    <t>އައިނު/ލެންސް</t>
  </si>
  <si>
    <t>Accidental Dental Treatment</t>
  </si>
  <si>
    <t>އެކްސިޑެންޓަލް ޑެންޓަލް ޓްރީޓްމެންޓް</t>
  </si>
  <si>
    <t>Overseas Airfare</t>
  </si>
  <si>
    <t>ރާއްޖެއިން ބޭރަށް ދަތުރު ކުރުމުގެ ޚަރަދު (އޯވަސީސް އެއަފެއަރ)</t>
  </si>
  <si>
    <t>Joint/ligament  related</t>
  </si>
  <si>
    <t>ޖޮއިންޓް/ލިގަމަންޓް އާއި ގުޅޭ</t>
  </si>
  <si>
    <t xml:space="preserve">ނޯޓް: ޚަރަދު ބަޔާންކުރެވިފައިވަނީ ބްލޮކްކުރެވިފައިވާ ޖުމްލަ ޚަރަދުގެ މަށްޗަށެވެ.  </t>
  </si>
  <si>
    <t xml:space="preserve">އާސަންދަ  Aasandha   </t>
  </si>
  <si>
    <t>Male'</t>
  </si>
  <si>
    <t>Overseas expenditure</t>
  </si>
  <si>
    <t xml:space="preserve">ރާއްޖެއިން ބޭރު ހޮސްޕިޓަލް </t>
  </si>
  <si>
    <t>Expenditure is based on the claims approved.</t>
  </si>
  <si>
    <t xml:space="preserve">ޚަރަދުގައި ހިމެނެނީ ހުއްދަ ދެވިފައިވާ ޚާރަދުތަކެވެ. </t>
  </si>
  <si>
    <t>މަދަނަ</t>
  </si>
  <si>
    <t>މަދަނަ ޕްލަސް</t>
  </si>
  <si>
    <t xml:space="preserve">MADHANA </t>
  </si>
  <si>
    <t>MADHANA PLUS</t>
  </si>
  <si>
    <r>
      <t>1_/</t>
    </r>
    <r>
      <rPr>
        <sz val="9"/>
        <color indexed="63"/>
        <rFont val="A_Randhoo"/>
      </rPr>
      <t xml:space="preserve"> Udwmcnireb</t>
    </r>
  </si>
  <si>
    <t>Hathifushi</t>
  </si>
  <si>
    <t>iSufitwh</t>
  </si>
  <si>
    <t>Faridhoo</t>
  </si>
  <si>
    <t>Udirwf</t>
  </si>
  <si>
    <t>Maakan'doodhoo</t>
  </si>
  <si>
    <t>1_/ UdUDnwkWm</t>
  </si>
  <si>
    <t>1_/  Udiawburif</t>
  </si>
  <si>
    <r>
      <t>3_/</t>
    </r>
    <r>
      <rPr>
        <sz val="9"/>
        <color indexed="63"/>
        <rFont val="A_Randhoo"/>
      </rPr>
      <t xml:space="preserve"> Udcnwlim</t>
    </r>
  </si>
  <si>
    <r>
      <t>2_/</t>
    </r>
    <r>
      <rPr>
        <sz val="9"/>
        <color indexed="63"/>
        <rFont val="A_Randhoo"/>
      </rPr>
      <t xml:space="preserve"> UduLodnwk</t>
    </r>
  </si>
  <si>
    <t xml:space="preserve">Ungulu </t>
  </si>
  <si>
    <t>އުނގުލު</t>
  </si>
  <si>
    <t>Udcnwm</t>
  </si>
  <si>
    <t xml:space="preserve"> 2_/ iSufiDwm</t>
  </si>
  <si>
    <r>
      <t>2_/</t>
    </r>
    <r>
      <rPr>
        <sz val="9"/>
        <color indexed="63"/>
        <rFont val="A_Randhoo"/>
      </rPr>
      <t xml:space="preserve"> Udcnemeg</t>
    </r>
  </si>
  <si>
    <r>
      <t>2_/</t>
    </r>
    <r>
      <rPr>
        <sz val="9"/>
        <color indexed="63"/>
        <rFont val="A_Randhoo"/>
      </rPr>
      <t xml:space="preserve"> iSufuliv</t>
    </r>
  </si>
  <si>
    <t>Maathodaa</t>
  </si>
  <si>
    <t>WDotWm</t>
  </si>
  <si>
    <t>Fares</t>
  </si>
  <si>
    <t>cserwf</t>
  </si>
  <si>
    <t>Overseas Hospital</t>
  </si>
  <si>
    <t>1_/ Population relocated to other islands under population consolidation programme</t>
  </si>
  <si>
    <t>iawfevulwdwb cSwSwrcSwrcnehea cnuhIm cnuSwd egcmWrcgorcp egumurukcswfcaea IdWbWa 1_/</t>
  </si>
  <si>
    <t xml:space="preserve">2_/ Population displaced to other islands due to tsunami </t>
  </si>
  <si>
    <t>iawfevulwdwb cSwSwrcSwrcnehea cnuhIm cnegiLugiaWaImWnus 2_/</t>
  </si>
  <si>
    <t>3_/ Newly inhabited under population consolidation programme</t>
  </si>
  <si>
    <t>iawfiverukudWbWa cSwlwa cnuSwd egcmWrcgorcp egumurukcswfcaea IdWbWa 3_/</t>
  </si>
  <si>
    <r>
      <t xml:space="preserve">No of Households
</t>
    </r>
    <r>
      <rPr>
        <b/>
        <sz val="9"/>
        <color theme="1"/>
        <rFont val="Faruma"/>
      </rPr>
      <t>ގޭބިސީގެ އަދަދު</t>
    </r>
  </si>
  <si>
    <r>
      <t xml:space="preserve">Total Expenditure (MVR) * 
</t>
    </r>
    <r>
      <rPr>
        <b/>
        <sz val="9"/>
        <color theme="1"/>
        <rFont val="Faruma"/>
      </rPr>
      <t>ޚަރަދު ރުފިޔާއިން *</t>
    </r>
  </si>
  <si>
    <t>cswm</t>
  </si>
  <si>
    <t xml:space="preserve">Note: * The  expenditure  include expenditure spend on fuel surcharge </t>
  </si>
  <si>
    <t xml:space="preserve">ނޯޓް: ޖުމްލަ ޚަރަދުގެ ތެރޭގައި ފިއުލު ސަރ ޗާޖް ހިމެނިފައިވާނެއެވެ. </t>
  </si>
  <si>
    <t xml:space="preserve">Total Expenditure (MVR) * </t>
  </si>
  <si>
    <r>
      <t xml:space="preserve">Number of meters                 </t>
    </r>
    <r>
      <rPr>
        <b/>
        <sz val="11"/>
        <color theme="1"/>
        <rFont val="Faruma"/>
      </rPr>
      <t xml:space="preserve">   މީޓަރުގެ އަދަދު</t>
    </r>
  </si>
  <si>
    <t xml:space="preserve"> Domestic Meter </t>
  </si>
  <si>
    <t xml:space="preserve">Business Meter </t>
  </si>
  <si>
    <t>Total No of Meters</t>
  </si>
  <si>
    <t xml:space="preserve"> Domestic</t>
  </si>
  <si>
    <t xml:space="preserve">Business </t>
  </si>
  <si>
    <t>ޑޮމެސްޓިކް މީޓަރ</t>
  </si>
  <si>
    <t xml:space="preserve">ވިޔަފާރި </t>
  </si>
  <si>
    <t xml:space="preserve">ޖުމްލަ </t>
  </si>
  <si>
    <t>South Maalhosamadulu (B)</t>
  </si>
  <si>
    <t>Faadhhippolhu (Lh)</t>
  </si>
  <si>
    <t>Kaafu Atoll (K)</t>
  </si>
  <si>
    <t xml:space="preserve">North Nilandhe Atoll (F) </t>
  </si>
  <si>
    <t>Fuel surcharge</t>
  </si>
  <si>
    <t>Domestic Meter Subsidies</t>
  </si>
  <si>
    <t>Business Meter Subsidies</t>
  </si>
  <si>
    <t>Total Expenditure</t>
  </si>
  <si>
    <t>ފިއުލް ސަރޗާޖް</t>
  </si>
  <si>
    <t>ޑޮމެސްޓިކް މީޓަރސަބްސިޑީ</t>
  </si>
  <si>
    <t>ބިޒްނަސް މީޓަރ ސަބްސިޑީ</t>
  </si>
  <si>
    <t xml:space="preserve">Note: *The  expenditure  includes expenditure spend on fuel sur charge </t>
  </si>
  <si>
    <t xml:space="preserve">Atoll / Island </t>
  </si>
  <si>
    <t>End year (Dec 2011)</t>
  </si>
  <si>
    <t>End year (Dec 2012)</t>
  </si>
  <si>
    <t>End year (Dec 2013)</t>
  </si>
  <si>
    <r>
      <t xml:space="preserve"> މީޓަރުގެ ޢަދަދު </t>
    </r>
    <r>
      <rPr>
        <b/>
        <sz val="11"/>
        <color theme="1"/>
        <rFont val="Calibri"/>
        <family val="2"/>
        <scheme val="minor"/>
      </rPr>
      <t>Number of Meters</t>
    </r>
  </si>
  <si>
    <r>
      <t xml:space="preserve"> Expenditure (in MVR)        </t>
    </r>
    <r>
      <rPr>
        <b/>
        <sz val="11"/>
        <color theme="1"/>
        <rFont val="Faruma"/>
      </rPr>
      <t xml:space="preserve">(ރުފިޔާއިން) ޚަރަދު  </t>
    </r>
  </si>
  <si>
    <r>
      <t xml:space="preserve"> Expenditure (in MVR)         </t>
    </r>
    <r>
      <rPr>
        <b/>
        <sz val="11"/>
        <color theme="1"/>
        <rFont val="Faruma"/>
      </rPr>
      <t xml:space="preserve"> (ރުފިޔާއިން) ޚަރަދު  </t>
    </r>
  </si>
  <si>
    <t xml:space="preserve">ޑޮމެސްޓިކް </t>
  </si>
  <si>
    <t>ވިޔަފާރި</t>
  </si>
  <si>
    <t xml:space="preserve">Domestic </t>
  </si>
  <si>
    <t>Fuel Sur Charge</t>
  </si>
  <si>
    <t xml:space="preserve"> Domestic Meter Expenditure</t>
  </si>
  <si>
    <t>Business Meter Expenditure</t>
  </si>
  <si>
    <t>In numbers</t>
  </si>
  <si>
    <t>Values (MVR)</t>
  </si>
  <si>
    <t xml:space="preserve">Thuraakunu </t>
  </si>
  <si>
    <t xml:space="preserve">Uligamu </t>
  </si>
  <si>
    <t xml:space="preserve">Berinmadhoo </t>
  </si>
  <si>
    <t xml:space="preserve">Hathifushi </t>
  </si>
  <si>
    <t xml:space="preserve">Mulhadhoo </t>
  </si>
  <si>
    <t xml:space="preserve">Hoarafushi </t>
  </si>
  <si>
    <t xml:space="preserve">Ihavandhoo </t>
  </si>
  <si>
    <t xml:space="preserve">Kelaa </t>
  </si>
  <si>
    <t xml:space="preserve">Vashafaru </t>
  </si>
  <si>
    <t xml:space="preserve">Dhidhdhoo </t>
  </si>
  <si>
    <t xml:space="preserve">Filladhoo </t>
  </si>
  <si>
    <t xml:space="preserve">Maarandhoo </t>
  </si>
  <si>
    <t xml:space="preserve">Thakandhoo </t>
  </si>
  <si>
    <t xml:space="preserve">Utheemu </t>
  </si>
  <si>
    <t xml:space="preserve">Muraidhoo </t>
  </si>
  <si>
    <t xml:space="preserve">Baarah </t>
  </si>
  <si>
    <t xml:space="preserve">Hanimaadhoo </t>
  </si>
  <si>
    <t xml:space="preserve">Finey </t>
  </si>
  <si>
    <t xml:space="preserve">Naivaadhoo </t>
  </si>
  <si>
    <t xml:space="preserve">Hirimaradhoo </t>
  </si>
  <si>
    <t xml:space="preserve">Nolhivaranfaru </t>
  </si>
  <si>
    <t xml:space="preserve">Nellaidhoo </t>
  </si>
  <si>
    <t>Nolhivaram</t>
  </si>
  <si>
    <t xml:space="preserve">Kurinbi </t>
  </si>
  <si>
    <t xml:space="preserve">Kunburudhoo </t>
  </si>
  <si>
    <t xml:space="preserve">Kulhudhuffushi </t>
  </si>
  <si>
    <t xml:space="preserve">Kumundhoo </t>
  </si>
  <si>
    <t xml:space="preserve">Neykurendhoo </t>
  </si>
  <si>
    <t xml:space="preserve">Vaikaradhoo </t>
  </si>
  <si>
    <t xml:space="preserve">Maavaidhoo </t>
  </si>
  <si>
    <t xml:space="preserve">Faridhoo </t>
  </si>
  <si>
    <t>Kanditheem</t>
  </si>
  <si>
    <t xml:space="preserve">Noomaraa </t>
  </si>
  <si>
    <t xml:space="preserve">Goidhoo </t>
  </si>
  <si>
    <t xml:space="preserve">Feydhoo </t>
  </si>
  <si>
    <t xml:space="preserve">Feevah </t>
  </si>
  <si>
    <t xml:space="preserve">Billeffahi </t>
  </si>
  <si>
    <t xml:space="preserve">Foakaidhoo </t>
  </si>
  <si>
    <t xml:space="preserve">Narudhoo </t>
  </si>
  <si>
    <t>Maakandoodhoo</t>
  </si>
  <si>
    <t xml:space="preserve">Maroshi </t>
  </si>
  <si>
    <t xml:space="preserve">Lhaimagu </t>
  </si>
  <si>
    <t xml:space="preserve">Firunbaidhoo </t>
  </si>
  <si>
    <t xml:space="preserve">Komandhoo </t>
  </si>
  <si>
    <t xml:space="preserve">Maaungoodhoo </t>
  </si>
  <si>
    <t xml:space="preserve">Fonadhoo </t>
  </si>
  <si>
    <t xml:space="preserve">Milandhoo </t>
  </si>
  <si>
    <t xml:space="preserve">Henbadhoo </t>
  </si>
  <si>
    <t xml:space="preserve">Kendhikulhuhdoo </t>
  </si>
  <si>
    <t xml:space="preserve">Maalhendhoo </t>
  </si>
  <si>
    <t xml:space="preserve">Kudafari </t>
  </si>
  <si>
    <t xml:space="preserve">Landhoo </t>
  </si>
  <si>
    <t xml:space="preserve">Maafaru </t>
  </si>
  <si>
    <t xml:space="preserve">Lhohi </t>
  </si>
  <si>
    <t xml:space="preserve">Miladhoo </t>
  </si>
  <si>
    <t xml:space="preserve">Magoodhoo </t>
  </si>
  <si>
    <t xml:space="preserve">Manadhoo </t>
  </si>
  <si>
    <t xml:space="preserve">Holhudhoo </t>
  </si>
  <si>
    <t xml:space="preserve">Fodhdhoo </t>
  </si>
  <si>
    <t xml:space="preserve">Velidhoo </t>
  </si>
  <si>
    <t xml:space="preserve">Alifushi </t>
  </si>
  <si>
    <t xml:space="preserve">Vaadhoo </t>
  </si>
  <si>
    <t xml:space="preserve">Rasgetheemu </t>
  </si>
  <si>
    <t xml:space="preserve">Angolhitheemu </t>
  </si>
  <si>
    <t xml:space="preserve">Ungoofaaru </t>
  </si>
  <si>
    <t xml:space="preserve">Kandolhudhoo </t>
  </si>
  <si>
    <t xml:space="preserve">Dhuvaafaru </t>
  </si>
  <si>
    <t xml:space="preserve">Maakurathu </t>
  </si>
  <si>
    <t xml:space="preserve">Rasmaadhoo </t>
  </si>
  <si>
    <t xml:space="preserve">Innamaadhoo </t>
  </si>
  <si>
    <t xml:space="preserve">Maduwari </t>
  </si>
  <si>
    <t xml:space="preserve">Inguraidhoo </t>
  </si>
  <si>
    <t xml:space="preserve">Fainu </t>
  </si>
  <si>
    <t xml:space="preserve">Meedhoo </t>
  </si>
  <si>
    <t xml:space="preserve">Kinolhas </t>
  </si>
  <si>
    <t xml:space="preserve">Hulhudhuffaaru </t>
  </si>
  <si>
    <t xml:space="preserve">Kudarikilu </t>
  </si>
  <si>
    <t xml:space="preserve">Kamadhoo </t>
  </si>
  <si>
    <t xml:space="preserve">Kendhoo </t>
  </si>
  <si>
    <t xml:space="preserve">Kihaadhoo </t>
  </si>
  <si>
    <t xml:space="preserve">Dhonfanu </t>
  </si>
  <si>
    <t xml:space="preserve">Dharavandhoo </t>
  </si>
  <si>
    <t xml:space="preserve">Eydhafushi </t>
  </si>
  <si>
    <t xml:space="preserve">Thulhaadhoo </t>
  </si>
  <si>
    <t xml:space="preserve">Hithaadhoo </t>
  </si>
  <si>
    <t xml:space="preserve">Fulhadhoo </t>
  </si>
  <si>
    <t xml:space="preserve">Fehendhoo </t>
  </si>
  <si>
    <t xml:space="preserve">Hinnavaru </t>
  </si>
  <si>
    <t xml:space="preserve">Naifaru </t>
  </si>
  <si>
    <t xml:space="preserve">Kurendhoo </t>
  </si>
  <si>
    <t xml:space="preserve">Olhuvelifushi </t>
  </si>
  <si>
    <t xml:space="preserve">Maafilaafushi </t>
  </si>
  <si>
    <t xml:space="preserve">Kaashidhoo </t>
  </si>
  <si>
    <t xml:space="preserve">Gaafaru </t>
  </si>
  <si>
    <t xml:space="preserve">Dhiffushi </t>
  </si>
  <si>
    <t xml:space="preserve">Thulusdhoo </t>
  </si>
  <si>
    <t xml:space="preserve">Huraa </t>
  </si>
  <si>
    <t xml:space="preserve">Himmafushi </t>
  </si>
  <si>
    <t xml:space="preserve">Gulhi </t>
  </si>
  <si>
    <t xml:space="preserve">Maafushi </t>
  </si>
  <si>
    <t xml:space="preserve">Guraidhoo </t>
  </si>
  <si>
    <t xml:space="preserve">Thilafushi </t>
  </si>
  <si>
    <t xml:space="preserve">Thoddoo </t>
  </si>
  <si>
    <t xml:space="preserve">Rasdhoo </t>
  </si>
  <si>
    <t xml:space="preserve">Ukulhas </t>
  </si>
  <si>
    <t xml:space="preserve">Mathiveri </t>
  </si>
  <si>
    <t xml:space="preserve">Bodufolhudhoo </t>
  </si>
  <si>
    <t xml:space="preserve">Feridhoo </t>
  </si>
  <si>
    <t xml:space="preserve">Himandhoo </t>
  </si>
  <si>
    <t xml:space="preserve">Hangnaameedhoo </t>
  </si>
  <si>
    <t xml:space="preserve">Omadhoo </t>
  </si>
  <si>
    <t xml:space="preserve">Mahibadhoo </t>
  </si>
  <si>
    <t xml:space="preserve">Mandhoo </t>
  </si>
  <si>
    <t xml:space="preserve">Dhangethi </t>
  </si>
  <si>
    <t xml:space="preserve">Dhigurah </t>
  </si>
  <si>
    <t xml:space="preserve">Fenfushi </t>
  </si>
  <si>
    <t xml:space="preserve">Maamigili </t>
  </si>
  <si>
    <t xml:space="preserve">Fulidhoo </t>
  </si>
  <si>
    <t xml:space="preserve">Thinadhoo </t>
  </si>
  <si>
    <t xml:space="preserve">Felidhoo </t>
  </si>
  <si>
    <t xml:space="preserve">Keyodhoo </t>
  </si>
  <si>
    <t xml:space="preserve">Rakeedhoo </t>
  </si>
  <si>
    <t xml:space="preserve">Raiymandhoo </t>
  </si>
  <si>
    <t xml:space="preserve">Madifushi </t>
  </si>
  <si>
    <t xml:space="preserve">Veyvah </t>
  </si>
  <si>
    <t xml:space="preserve">Mulah </t>
  </si>
  <si>
    <t xml:space="preserve">Muli </t>
  </si>
  <si>
    <t xml:space="preserve">Naalaafushi </t>
  </si>
  <si>
    <t xml:space="preserve">Kolhufushi </t>
  </si>
  <si>
    <t xml:space="preserve">Dhiggaru </t>
  </si>
  <si>
    <t xml:space="preserve">Feeali </t>
  </si>
  <si>
    <t xml:space="preserve">Biledhhdhoo </t>
  </si>
  <si>
    <t xml:space="preserve">Dharanboodhoo </t>
  </si>
  <si>
    <t xml:space="preserve">Nilandhoo </t>
  </si>
  <si>
    <t xml:space="preserve">Bandidhoo </t>
  </si>
  <si>
    <t xml:space="preserve">Rinbudhoo </t>
  </si>
  <si>
    <t xml:space="preserve">Hulhudheli </t>
  </si>
  <si>
    <t xml:space="preserve">Gemendhoo </t>
  </si>
  <si>
    <t xml:space="preserve">Vaani </t>
  </si>
  <si>
    <t xml:space="preserve">Maaenboodhoo </t>
  </si>
  <si>
    <t xml:space="preserve">Kudahuvadhoo </t>
  </si>
  <si>
    <t xml:space="preserve">Buruni </t>
  </si>
  <si>
    <t xml:space="preserve">Vilufushi </t>
  </si>
  <si>
    <t xml:space="preserve">Dhiyamigili </t>
  </si>
  <si>
    <t xml:space="preserve">Kandoodhoo </t>
  </si>
  <si>
    <t xml:space="preserve">Vandhoo </t>
  </si>
  <si>
    <t xml:space="preserve">Hirilandhoo </t>
  </si>
  <si>
    <t xml:space="preserve">Gaadhiffushi </t>
  </si>
  <si>
    <t xml:space="preserve">Thimarafushi </t>
  </si>
  <si>
    <t xml:space="preserve">Veymandhoo </t>
  </si>
  <si>
    <t xml:space="preserve">Kinbidhoo </t>
  </si>
  <si>
    <t xml:space="preserve">Ishdhoo </t>
  </si>
  <si>
    <t xml:space="preserve">Dhanbidhoo </t>
  </si>
  <si>
    <t xml:space="preserve">Maabaidhoo </t>
  </si>
  <si>
    <t xml:space="preserve">Mundoo </t>
  </si>
  <si>
    <t xml:space="preserve">Kalhaidhoo </t>
  </si>
  <si>
    <t xml:space="preserve">Gan </t>
  </si>
  <si>
    <t xml:space="preserve">Maavah </t>
  </si>
  <si>
    <t xml:space="preserve">Gaadhoo </t>
  </si>
  <si>
    <t xml:space="preserve">Hithadhoo </t>
  </si>
  <si>
    <t xml:space="preserve">Kunahandhoo </t>
  </si>
  <si>
    <t xml:space="preserve">Kolamafushi </t>
  </si>
  <si>
    <t xml:space="preserve">Viligili </t>
  </si>
  <si>
    <t xml:space="preserve">Maamendhoo </t>
  </si>
  <si>
    <t xml:space="preserve">Dhaandhoo </t>
  </si>
  <si>
    <t xml:space="preserve">Dewadhoo </t>
  </si>
  <si>
    <t xml:space="preserve">Kodey </t>
  </si>
  <si>
    <t xml:space="preserve">Dhiyadhoo </t>
  </si>
  <si>
    <t xml:space="preserve">Gemanafushi </t>
  </si>
  <si>
    <t xml:space="preserve">Kandhuhulhudhoo </t>
  </si>
  <si>
    <t xml:space="preserve">Madaveli </t>
  </si>
  <si>
    <t xml:space="preserve">Hoadhdhdhoo </t>
  </si>
  <si>
    <t xml:space="preserve">Gadhdhoo </t>
  </si>
  <si>
    <t xml:space="preserve">Rathafandhoo </t>
  </si>
  <si>
    <t xml:space="preserve">Fiyoaree </t>
  </si>
  <si>
    <t xml:space="preserve">Faresmaathoda </t>
  </si>
  <si>
    <t xml:space="preserve">Fuvahmulah </t>
  </si>
  <si>
    <t xml:space="preserve">Maradhoo </t>
  </si>
  <si>
    <t xml:space="preserve">Maradhoofeydhoo </t>
  </si>
  <si>
    <t xml:space="preserve">Hulhudhoo </t>
  </si>
  <si>
    <t>HulhuMeedhoo</t>
  </si>
  <si>
    <t>ގަން</t>
  </si>
  <si>
    <r>
      <t>EMERGENCY MEDICAL WELFARE</t>
    </r>
    <r>
      <rPr>
        <i/>
        <vertAlign val="superscript"/>
        <sz val="9"/>
        <color theme="1"/>
        <rFont val="Calibri"/>
        <family val="2"/>
        <scheme val="minor"/>
      </rPr>
      <t xml:space="preserve"> </t>
    </r>
    <r>
      <rPr>
        <i/>
        <sz val="9"/>
        <color theme="1"/>
        <rFont val="Calibri"/>
        <family val="2"/>
        <scheme val="minor"/>
      </rPr>
      <t xml:space="preserve"> Data not available </t>
    </r>
  </si>
  <si>
    <t>Source: Aasandha Pvt Ltd</t>
  </si>
  <si>
    <t>މަޢުލޫމާތު ދެއްވީ: އާސަންދަ ޕްރައިވެޓް ލިމިޓެޑް</t>
  </si>
  <si>
    <t>Emergency Evacuation - Sea2_/</t>
  </si>
  <si>
    <r>
      <rPr>
        <i/>
        <vertAlign val="superscript"/>
        <sz val="9"/>
        <color theme="1"/>
        <rFont val="Calibri"/>
        <family val="2"/>
        <scheme val="minor"/>
      </rPr>
      <t>1.</t>
    </r>
    <r>
      <rPr>
        <i/>
        <sz val="9"/>
        <color theme="1"/>
        <rFont val="Calibri"/>
        <family val="2"/>
        <scheme val="minor"/>
      </rPr>
      <t xml:space="preserve"> Type 'Airfare Tickets' is designated for the ticket expenditure on cases referred abroad</t>
    </r>
  </si>
  <si>
    <r>
      <rPr>
        <i/>
        <vertAlign val="superscript"/>
        <sz val="10"/>
        <color theme="1"/>
        <rFont val="Calibri"/>
        <family val="2"/>
        <scheme val="minor"/>
      </rPr>
      <t>2.</t>
    </r>
    <r>
      <rPr>
        <i/>
        <sz val="10"/>
        <color theme="1"/>
        <rFont val="Calibri"/>
        <family val="2"/>
        <scheme val="minor"/>
      </rPr>
      <t>Expenditure aggregated based on Service Provider's geograpical location as specified above</t>
    </r>
  </si>
  <si>
    <r>
      <t>Airfare Tickets</t>
    </r>
    <r>
      <rPr>
        <b/>
        <vertAlign val="superscript"/>
        <sz val="11"/>
        <color theme="1"/>
        <rFont val="Calibri"/>
        <family val="2"/>
        <scheme val="minor"/>
      </rPr>
      <t>1_</t>
    </r>
    <r>
      <rPr>
        <b/>
        <sz val="11"/>
        <color theme="1"/>
        <rFont val="Calibri"/>
        <family val="2"/>
        <scheme val="minor"/>
      </rPr>
      <t>/</t>
    </r>
  </si>
  <si>
    <r>
      <t xml:space="preserve">Berinmadhoo </t>
    </r>
    <r>
      <rPr>
        <vertAlign val="superscript"/>
        <sz val="10"/>
        <color theme="1"/>
        <rFont val="Arial"/>
        <family val="2"/>
      </rPr>
      <t>1_/</t>
    </r>
  </si>
  <si>
    <r>
      <t>1_/</t>
    </r>
    <r>
      <rPr>
        <sz val="9"/>
        <color theme="1"/>
        <rFont val="A_Randhoo"/>
      </rPr>
      <t xml:space="preserve"> Udwmcnireb</t>
    </r>
  </si>
  <si>
    <r>
      <t xml:space="preserve">Firun'baidhoo </t>
    </r>
    <r>
      <rPr>
        <vertAlign val="superscript"/>
        <sz val="10"/>
        <color theme="1"/>
        <rFont val="Arial"/>
        <family val="2"/>
      </rPr>
      <t>1_/</t>
    </r>
  </si>
  <si>
    <r>
      <t xml:space="preserve">Milandhoo </t>
    </r>
    <r>
      <rPr>
        <vertAlign val="superscript"/>
        <sz val="10"/>
        <color theme="1"/>
        <rFont val="Arial"/>
        <family val="2"/>
      </rPr>
      <t>3_/</t>
    </r>
  </si>
  <si>
    <r>
      <t>3_/</t>
    </r>
    <r>
      <rPr>
        <sz val="9"/>
        <color theme="1"/>
        <rFont val="A_Randhoo"/>
      </rPr>
      <t xml:space="preserve"> Udcnwlim</t>
    </r>
  </si>
  <si>
    <r>
      <t xml:space="preserve">Kandolhudhoo </t>
    </r>
    <r>
      <rPr>
        <vertAlign val="superscript"/>
        <sz val="10"/>
        <color theme="1"/>
        <rFont val="Arial"/>
        <family val="2"/>
      </rPr>
      <t xml:space="preserve"> 2_/</t>
    </r>
  </si>
  <si>
    <r>
      <t>2_/</t>
    </r>
    <r>
      <rPr>
        <sz val="9"/>
        <color theme="1"/>
        <rFont val="A_Randhoo"/>
      </rPr>
      <t xml:space="preserve"> UduLodnwk</t>
    </r>
  </si>
  <si>
    <r>
      <t xml:space="preserve">Dhuvaafaru  </t>
    </r>
    <r>
      <rPr>
        <vertAlign val="superscript"/>
        <sz val="10"/>
        <color theme="1"/>
        <rFont val="Arial"/>
        <family val="2"/>
      </rPr>
      <t>3_/</t>
    </r>
  </si>
  <si>
    <r>
      <t xml:space="preserve">Madifushi </t>
    </r>
    <r>
      <rPr>
        <vertAlign val="superscript"/>
        <sz val="10"/>
        <color theme="1"/>
        <rFont val="Arial"/>
        <family val="2"/>
      </rPr>
      <t>2_/</t>
    </r>
  </si>
  <si>
    <r>
      <t>Gemendhoo</t>
    </r>
    <r>
      <rPr>
        <vertAlign val="superscript"/>
        <sz val="10"/>
        <color theme="1"/>
        <rFont val="Arial"/>
        <family val="2"/>
      </rPr>
      <t xml:space="preserve"> 2_/</t>
    </r>
  </si>
  <si>
    <r>
      <t>2_/</t>
    </r>
    <r>
      <rPr>
        <sz val="9"/>
        <color theme="1"/>
        <rFont val="A_Randhoo"/>
      </rPr>
      <t xml:space="preserve"> Udcnemeg</t>
    </r>
  </si>
  <si>
    <r>
      <t xml:space="preserve">Vilufushi </t>
    </r>
    <r>
      <rPr>
        <vertAlign val="superscript"/>
        <sz val="10"/>
        <color theme="1"/>
        <rFont val="Arial"/>
        <family val="2"/>
      </rPr>
      <t>2_/</t>
    </r>
  </si>
  <si>
    <r>
      <t>2_/</t>
    </r>
    <r>
      <rPr>
        <sz val="9"/>
        <color theme="1"/>
        <rFont val="A_Randhoo"/>
      </rPr>
      <t xml:space="preserve"> iSufuliv</t>
    </r>
  </si>
  <si>
    <r>
      <t>Dhiyadhoo</t>
    </r>
    <r>
      <rPr>
        <vertAlign val="superscript"/>
        <sz val="10"/>
        <color theme="1"/>
        <rFont val="Calibri"/>
        <family val="2"/>
        <scheme val="minor"/>
      </rPr>
      <t xml:space="preserve"> 2_/  </t>
    </r>
  </si>
  <si>
    <t>Table 18.16 :  NUMBER OF PERSONS COVERED UNDER DIFFERENT SOCIAL PROTECTION SCHEMES BY ISLAND,  2015</t>
  </si>
  <si>
    <t>ތާވަލް 18.16: އިޖްތިމާއީ ރައްކާތެރިކަމުގެ ދަށުން އަތޮޅުތަކުން ޚިދުމަތްދެވިފައިވާ މީހުންގެ އަދަދު، 2015</t>
  </si>
  <si>
    <t>Table 18.16 :  NUMBER OF PERSONS COVERED UNDER DIFFERENT SOCIAL PROTECTION SCHEMES BY ISLAND,  2014</t>
  </si>
  <si>
    <t>ތާވަލް 18.16: އިޖްތިމާއީ ރައްކާތެރިކަމުގެ ދަށުން އަތޮޅުތަކުން ޚިދުމަތްދެވިފައިވާ މީހުންގެ އަދަދު، 2014</t>
  </si>
  <si>
    <t>Table 18.17 :  NUMBER OF PERSONS COVERED UNDER DIFFERENT SOCIAL PROTECTION SCHEMES BY ISLAND,  2015</t>
  </si>
  <si>
    <t>ތާވަލް 18.17: އިޖްތިމާއީ ރައްކާތެރިކަމުގެ ދަށުން ރަށްރަށުން ޙިދުމަތްދެވިފައިވާ މީހުންގެ އަދަދު، 2015</t>
  </si>
  <si>
    <t>Table 18.19 :  EXPENDITURE ON AASANDHA SERVICES BY TYPE OF INSTITUTION ,  2014</t>
  </si>
  <si>
    <t>ތާވަލް 18.19: އިޖްތިމާއީ ރައްކާތެރިކަމުގެ ދަށުން ދެވޭ ޙިދުމަތްތައް ފޯރުކޮށްދޭ ތަންތަނަށް ކުރެވިފައިވާ ޚަރަދު، 2014</t>
  </si>
  <si>
    <t>ތާވަލް 18.19: އިޖްތިމާއީ ރައްކާތެރިކަމުގެ ދަށުން ދެވޭ ޙިދުމަތްތައް ފޯރުކޮށްދޭ ތަންތަނަށް ކުރެވިފައިވާ ޚަރަދު، 2015</t>
  </si>
  <si>
    <t>Table 18.19 :  EXPENDITURE ON AASANDHA SERVICES BY TYPE OF INSTITUTION ,  2015</t>
  </si>
  <si>
    <t>Table 18.20 :  EXPENDITURE ON AASANDHA SERVICES BY TYPE OF INSTITUTION AND ATOLL ,  2014</t>
  </si>
  <si>
    <t>ތާވަލް 18.20: އިޖްތިމާއީ ރައްކާތެރިކަމުގެ ދަށުން އަތޮޅުތަކުން ދެވޭ ޙިދުމަތްތައް ފޯރުކޮށްދޭ ތަންތަނަށް ކުރެވިފައިވާ ޚަރަދު، 2014</t>
  </si>
  <si>
    <t>Table 18.20 :  EXPENDITURE ON AASANDHA SERVICES BY TYPE OF INSTITUTION AND ATOLL ,  2015</t>
  </si>
  <si>
    <t>ތާވަލް 18.20: އިޖްތިމާއީ ރައްކާތެރިކަމުގެ ދަށުން އަތޮޅުތަކުން ދެވޭ ޙިދުމަތްތައް ފޯރުކޮށްދޭ ތަންތަނަށް ކުރެވިފައިވާ ޚަރަދު، 2015</t>
  </si>
  <si>
    <t>Table 18.21 :  EXPENDITURE ON PERSONS COVERED UNDER AASANDHA POLICIES BY TYPE OF SERVICE, 2011 -   2015</t>
  </si>
  <si>
    <t>ތާވަލް 18.21: ޚިދުމަތުގެ ބާވަތުން އާސަންދައިގެ ދަށުން ކުރެވިފައިވާ ޚަރަދު 2011 - 2015</t>
  </si>
  <si>
    <t>Table 18.22 :  EXPENDITURE UNDER HEALTH INSURANCE SCHEMES BY ATOLLS,  2012  - 2015</t>
  </si>
  <si>
    <t xml:space="preserve">ތާވަލް 18.22: އާސަންދައިގެ ދަށުން އަތޮޅުތަކުން ހިނގި ޚަރަދު، 2012 - 2015  </t>
  </si>
  <si>
    <t>Table 18.23 :  EXPENDITURE UNDER HEALTH INSURANCE SCHEMES BY ISLAND,  2011 - 2015</t>
  </si>
  <si>
    <t>ތާވަލް 18.23: އިޖްތިމާއީ ރައްކާތެރިކަމުގެ ދަށުން ހިނގިޚަރަދު 2011 - 2015</t>
  </si>
  <si>
    <t>Table 18.24 :  EXPENDITURE ON ELECTRICITY SUBSIDY MALE'',  2009-2015</t>
  </si>
  <si>
    <t>Table 18.25: Number of meteres provided with electricity subsidies by Atoll,  2012 - 2015</t>
  </si>
  <si>
    <t>ތާވަލް 18.25: އަތޮޅުތަކަށް ކަރަންޓު ސަބްސިޑީ ދެވިފައިވާ މީޓަރތަކުގެ ޢަދަދު 2012 - 2015</t>
  </si>
  <si>
    <t>Table 18.26: Expenditure on electricity subsidies by Atoll , 2014 - 2015</t>
  </si>
  <si>
    <t>ތާވަލް 18.26: އަތޮޅުތަކުން ކަރަންޓު ސަބްސިޑީ ދެވިފައިވާ މީޓަރތަކުގެ އަދަދާއި ހިނގި ޚަރަދު، 2014 - 2015</t>
  </si>
  <si>
    <t>Table 18.27:  Number of meteres and electricity subsidies given by island, 2014 - 2015</t>
  </si>
  <si>
    <t>ތާވަލް 18.27: އަތޮޅުތަކުން ކަރަންޓު ސަބްސިޑީ ދެވިފައިވާ މާލޭގެ މީޓަރތަކުގެ އަދަދާއި ހިނގި ޚަރަދު، 2014 - 2015</t>
  </si>
  <si>
    <t>UdImuLuh</t>
  </si>
  <si>
    <t>ތާވަލް 18.24: ކަރަންޓު ސަބްސިޑީ ދެވިފައިވާ މާލޭގެ ގޭބިސީގެ އަދަދާއި ހިނގި ޚަރަދު 2009 - 2015</t>
  </si>
  <si>
    <t>ތާވަލު  18.4 : އަސާސީ ޕެންޝަން ލިބޭ މީހުންގެ އަދަދު އަދި ޢުމުރުފުރާތައް، 2013 - 2015</t>
  </si>
  <si>
    <t>TABLE   18.4: NUMBER OF BENEFICIARIES OF BASIC PENSION SCHEME BY AGE, 2013 - 2015</t>
  </si>
  <si>
    <t>ތާވަލު  18.5 :ރިޓާޔަމަންޓް ޕެންޝަން ލިބޭ މީހުންގެ އަދަދު އަދި ޢުމުރުފުރާތައް، 2013 - 2015</t>
  </si>
  <si>
    <t>TABLE   18.5: NUMBER OF BENEFICIARIES OF RETIREMENT PENSION SCHEME BY AGE, 2013 - 2015</t>
  </si>
  <si>
    <t>65-69 yrs</t>
  </si>
  <si>
    <t xml:space="preserve">70-74 yrs </t>
  </si>
  <si>
    <t>75  yrs &amp; over</t>
  </si>
  <si>
    <t>&lt; 65  yrs</t>
  </si>
  <si>
    <t>70-74 yrs</t>
  </si>
  <si>
    <t>&lt; 55 yrs</t>
  </si>
  <si>
    <t>55-64 yrs</t>
  </si>
  <si>
    <t>75 yrs and over</t>
  </si>
  <si>
    <t xml:space="preserve">75 + yrs </t>
  </si>
  <si>
    <t>Age groups, 2015 ( as of end year)</t>
  </si>
  <si>
    <t>Contributions (MVR)</t>
  </si>
  <si>
    <t xml:space="preserve">އަންހެން  </t>
  </si>
  <si>
    <t>އިމަޖެންސީ ވެލްފެއަރ އެހީގެ މައުލޫމާތު އެއްކުރެވިފައި ނުވޭ</t>
  </si>
  <si>
    <t xml:space="preserve">Emergency medical welfare data was not  available </t>
  </si>
  <si>
    <t>Table 18.18 :  GOVERNMENT EXPENDITURE ON  DIFFERENT SOCIAL PROTECTION SCHEMES BY TYPE (in MVR),  2015</t>
  </si>
  <si>
    <t>Table 18.18 :  GOVERNMENT EXPENDITURE ON  DIFFERENT SOCIAL PROTECTION SCHEMES BY TYPE (in MVR),  2014</t>
  </si>
  <si>
    <t>ތާވަލް 18.18: އިޖްތިމާއީ ރައްކާތެރިކަމުގެ ދަށުންދެވޭ ޚިދުމަތްތަކަށް ދައުލަތުންކުރެވުނު ޚަރަދު (ރުފިޔާއިން)، 2014</t>
  </si>
  <si>
    <t>ތާވަލް 18.18: އިޖްތިމާއީ ރައްކާތެރިކަމުގެ ދަށުންދެވޭ ޚިދުމަތްތަކަށް ދައުލަތުންކުރެވުނު ޚަރަދު (ރުފިޔާއިން)، 2015</t>
  </si>
  <si>
    <t>Industry</t>
  </si>
  <si>
    <r>
      <t xml:space="preserve">Expenditure (in MVR)                  </t>
    </r>
    <r>
      <rPr>
        <b/>
        <sz val="11"/>
        <color theme="1"/>
        <rFont val="Faruma"/>
      </rPr>
      <t xml:space="preserve"> </t>
    </r>
  </si>
  <si>
    <r>
      <t xml:space="preserve">              </t>
    </r>
    <r>
      <rPr>
        <b/>
        <sz val="11"/>
        <color theme="1"/>
        <rFont val="Faruma"/>
      </rPr>
      <t xml:space="preserve">   (ޚަރަދު (ރުފިޔާއިން</t>
    </r>
  </si>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</sst>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1" formatCode="_(* #,##0_);_(* \(#,##0\);_(* &quot;-&quot;_);_(@_)"/>
    <numFmt numFmtId="43" formatCode="_(* #,##0.00_);_(* \(#,##0.00\);_(* &quot;-&quot;??_);_(@_)"/>
    <numFmt numFmtId="164" formatCode="_(* #,##0_);_(* \(#,##0\);_(* &quot;-&quot;??_);_(@_)"/>
    <numFmt numFmtId="165" formatCode="0.0"/>
    <numFmt numFmtId="166" formatCode="_(* #,##0.0_);_(* \(#,##0.0\);_(* &quot;-&quot;??_);_(@_)"/>
    <numFmt numFmtId="167" formatCode="#,##0.0"/>
    <numFmt numFmtId="168" formatCode="General_)"/>
    <numFmt numFmtId="169" formatCode="_-* #,##0.00_-;\-* #,##0.00_-;_-* &quot;-&quot;??_-;_-@_-"/>
    <numFmt numFmtId="170" formatCode="_-* #,##0_-;\-* #,##0_-;_-* &quot;-&quot;??_-;_-@_-"/>
    <numFmt numFmtId="171" formatCode="0_);\(0\)"/>
  </numFmts>
  <fonts count="12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Faruma"/>
    </font>
    <font>
      <b/>
      <sz val="11"/>
      <color theme="1"/>
      <name val="Faruma"/>
    </font>
    <font>
      <b/>
      <sz val="10"/>
      <color theme="1"/>
      <name val="Faruma"/>
    </font>
    <font>
      <i/>
      <sz val="10"/>
      <color theme="1"/>
      <name val="Calibri"/>
      <family val="2"/>
      <scheme val="minor"/>
    </font>
    <font>
      <sz val="10"/>
      <color theme="1"/>
      <name val="Faruma"/>
    </font>
    <font>
      <sz val="9"/>
      <color rgb="FF000000"/>
      <name val="Calibri"/>
      <family val="2"/>
      <scheme val="minor"/>
    </font>
    <font>
      <sz val="8"/>
      <color rgb="FF000000"/>
      <name val="Calibri"/>
      <family val="2"/>
      <scheme val="minor"/>
    </font>
    <font>
      <sz val="10"/>
      <name val="Arial"/>
      <family val="2"/>
    </font>
    <font>
      <b/>
      <sz val="9"/>
      <color theme="1" tint="0.14999847407452621"/>
      <name val="Faruma"/>
    </font>
    <font>
      <b/>
      <sz val="9"/>
      <color theme="1" tint="0.14999847407452621"/>
      <name val="Calibri"/>
      <family val="2"/>
      <scheme val="minor"/>
    </font>
    <font>
      <b/>
      <sz val="9"/>
      <color theme="1"/>
      <name val="Faruma"/>
    </font>
    <font>
      <b/>
      <sz val="10.5"/>
      <color rgb="FF000000"/>
      <name val="Calibri"/>
      <family val="2"/>
      <scheme val="minor"/>
    </font>
    <font>
      <i/>
      <sz val="9"/>
      <color theme="1"/>
      <name val="Calibri"/>
      <family val="2"/>
      <scheme val="minor"/>
    </font>
    <font>
      <sz val="9"/>
      <color theme="1"/>
      <name val="Calibri"/>
      <family val="2"/>
      <scheme val="minor"/>
    </font>
    <font>
      <sz val="9"/>
      <color theme="1"/>
      <name val="Faruma"/>
    </font>
    <font>
      <sz val="10"/>
      <name val="Courier"/>
      <family val="3"/>
    </font>
    <font>
      <i/>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b/>
      <i/>
      <sz val="12"/>
      <color rgb="FFFF0000"/>
      <name val="Calibri"/>
      <family val="2"/>
      <scheme val="minor"/>
    </font>
    <font>
      <u/>
      <sz val="9.35"/>
      <color theme="10"/>
      <name val="Calibri"/>
      <family val="2"/>
    </font>
    <font>
      <sz val="8"/>
      <color theme="1"/>
      <name val="Faruma"/>
    </font>
    <font>
      <b/>
      <sz val="9"/>
      <color theme="1"/>
      <name val="Calibri"/>
      <family val="2"/>
      <scheme val="minor"/>
    </font>
    <font>
      <i/>
      <vertAlign val="superscript"/>
      <sz val="10"/>
      <color theme="1"/>
      <name val="Calibri"/>
      <family val="2"/>
      <scheme val="minor"/>
    </font>
    <font>
      <vertAlign val="superscript"/>
      <sz val="11"/>
      <color theme="1"/>
      <name val="Calibri"/>
      <family val="2"/>
      <scheme val="minor"/>
    </font>
    <font>
      <vertAlign val="superscript"/>
      <sz val="10"/>
      <color theme="1"/>
      <name val="Faruma"/>
    </font>
    <font>
      <b/>
      <sz val="12"/>
      <color theme="1"/>
      <name val="Calibri"/>
      <family val="2"/>
      <scheme val="minor"/>
    </font>
    <font>
      <b/>
      <sz val="12"/>
      <color theme="1"/>
      <name val="Faruma"/>
    </font>
    <font>
      <b/>
      <sz val="9"/>
      <color rgb="FF000000"/>
      <name val="Calibri"/>
      <family val="2"/>
      <scheme val="minor"/>
    </font>
    <font>
      <b/>
      <sz val="9"/>
      <color rgb="FFFF0000"/>
      <name val="Calibri"/>
      <family val="2"/>
      <scheme val="minor"/>
    </font>
    <font>
      <b/>
      <sz val="11"/>
      <color theme="1" tint="0.14999847407452621"/>
      <name val="Faruma"/>
    </font>
    <font>
      <sz val="10"/>
      <color theme="1" tint="0.14999847407452621"/>
      <name val="Arial"/>
      <family val="2"/>
    </font>
    <font>
      <b/>
      <sz val="11"/>
      <color theme="1" tint="0.14999847407452621"/>
      <name val="Calibri"/>
      <family val="2"/>
      <scheme val="minor"/>
    </font>
    <font>
      <b/>
      <sz val="9"/>
      <color theme="1" tint="0.14999847407452621"/>
      <name val="Arial"/>
      <family val="2"/>
    </font>
    <font>
      <b/>
      <sz val="9"/>
      <color theme="1" tint="0.14999847407452621"/>
      <name val="A_Randhoo"/>
    </font>
    <font>
      <b/>
      <sz val="9"/>
      <name val="Calibri"/>
      <family val="2"/>
      <scheme val="minor"/>
    </font>
    <font>
      <b/>
      <sz val="8"/>
      <name val="Calibri"/>
      <family val="2"/>
      <scheme val="minor"/>
    </font>
    <font>
      <sz val="9"/>
      <name val="Courier"/>
      <family val="3"/>
    </font>
    <font>
      <b/>
      <sz val="10"/>
      <name val="Calibri"/>
      <family val="2"/>
      <scheme val="minor"/>
    </font>
    <font>
      <b/>
      <sz val="10"/>
      <name val="Faruma"/>
    </font>
    <font>
      <b/>
      <sz val="11"/>
      <color theme="1"/>
      <name val="Calibri"/>
      <family val="2"/>
      <charset val="1"/>
      <scheme val="minor"/>
    </font>
    <font>
      <b/>
      <sz val="10"/>
      <color theme="1"/>
      <name val="Calibri"/>
      <family val="2"/>
      <scheme val="minor"/>
    </font>
    <font>
      <b/>
      <sz val="10"/>
      <color theme="1" tint="0.14999847407452621"/>
      <name val="Faruma"/>
    </font>
    <font>
      <sz val="11"/>
      <color theme="1"/>
      <name val="Calibri"/>
      <family val="2"/>
      <charset val="1"/>
      <scheme val="minor"/>
    </font>
    <font>
      <b/>
      <sz val="10"/>
      <color theme="1" tint="0.14999847407452621"/>
      <name val="Calibri"/>
      <family val="2"/>
      <scheme val="minor"/>
    </font>
    <font>
      <sz val="10"/>
      <color theme="1" tint="0.14999847407452621"/>
      <name val="Calibri"/>
      <family val="2"/>
      <scheme val="minor"/>
    </font>
    <font>
      <sz val="10"/>
      <name val="Calibri"/>
      <family val="2"/>
      <scheme val="minor"/>
    </font>
    <font>
      <sz val="10"/>
      <color theme="1"/>
      <name val="Calibri"/>
      <family val="2"/>
      <scheme val="minor"/>
    </font>
    <font>
      <sz val="10"/>
      <color theme="1" tint="0.14999847407452621"/>
      <name val="A_Randhoo"/>
    </font>
    <font>
      <b/>
      <sz val="11"/>
      <name val="Calibri"/>
      <family val="2"/>
      <scheme val="minor"/>
    </font>
    <font>
      <i/>
      <vertAlign val="superscript"/>
      <sz val="9"/>
      <color theme="1"/>
      <name val="Calibri"/>
      <family val="2"/>
      <scheme val="minor"/>
    </font>
    <font>
      <i/>
      <sz val="9"/>
      <name val="Calibri"/>
      <family val="2"/>
      <scheme val="minor"/>
    </font>
    <font>
      <sz val="9"/>
      <color theme="1" tint="0.14999847407452621"/>
      <name val="Faruma"/>
    </font>
    <font>
      <sz val="10"/>
      <color theme="1"/>
      <name val="Calibri"/>
      <family val="2"/>
      <charset val="1"/>
      <scheme val="minor"/>
    </font>
    <font>
      <b/>
      <sz val="10"/>
      <color theme="1"/>
      <name val="Calibri"/>
      <family val="2"/>
      <charset val="1"/>
      <scheme val="minor"/>
    </font>
    <font>
      <sz val="8"/>
      <name val="Calibri"/>
      <family val="2"/>
      <scheme val="minor"/>
    </font>
    <font>
      <b/>
      <sz val="8"/>
      <color theme="1" tint="0.14999847407452621"/>
      <name val="Calibri"/>
      <family val="2"/>
      <scheme val="minor"/>
    </font>
    <font>
      <b/>
      <sz val="10"/>
      <name val="Arial"/>
      <family val="2"/>
    </font>
    <font>
      <b/>
      <sz val="10"/>
      <color theme="1" tint="0.14999847407452621"/>
      <name val="A_Randhoo"/>
    </font>
    <font>
      <sz val="10"/>
      <color rgb="FFFF0000"/>
      <name val="Calibri"/>
      <family val="2"/>
      <scheme val="minor"/>
    </font>
    <font>
      <vertAlign val="superscript"/>
      <sz val="10"/>
      <color indexed="63"/>
      <name val="Calibri"/>
      <family val="2"/>
      <scheme val="minor"/>
    </font>
    <font>
      <vertAlign val="superscript"/>
      <sz val="10"/>
      <color theme="1" tint="0.14999847407452621"/>
      <name val="Arial"/>
      <family val="2"/>
    </font>
    <font>
      <sz val="10"/>
      <color indexed="63"/>
      <name val="A_Randhoo"/>
    </font>
    <font>
      <sz val="10"/>
      <color indexed="63"/>
      <name val="Calibri"/>
      <family val="2"/>
      <scheme val="minor"/>
    </font>
    <font>
      <i/>
      <sz val="10"/>
      <color theme="1" tint="0.14999847407452621"/>
      <name val="Calibri"/>
      <family val="2"/>
      <scheme val="minor"/>
    </font>
    <font>
      <b/>
      <i/>
      <sz val="10"/>
      <color theme="1" tint="0.14999847407452621"/>
      <name val="Calibri"/>
      <family val="2"/>
      <scheme val="minor"/>
    </font>
    <font>
      <i/>
      <sz val="9"/>
      <color theme="1" tint="0.14999847407452621"/>
      <name val="Calibri"/>
      <family val="2"/>
      <scheme val="minor"/>
    </font>
    <font>
      <i/>
      <vertAlign val="superscript"/>
      <sz val="9"/>
      <color theme="1" tint="0.14996795556505021"/>
      <name val="Calibri"/>
      <family val="2"/>
      <scheme val="minor"/>
    </font>
    <font>
      <sz val="9"/>
      <color theme="1" tint="0.14999847407452621"/>
      <name val="A_Randhoo"/>
    </font>
    <font>
      <vertAlign val="superscript"/>
      <sz val="9"/>
      <color theme="1" tint="0.14996795556505021"/>
      <name val="A_Randhoo"/>
    </font>
    <font>
      <sz val="9"/>
      <color theme="1"/>
      <name val="Calibri"/>
      <family val="2"/>
      <charset val="1"/>
      <scheme val="minor"/>
    </font>
    <font>
      <sz val="10"/>
      <color theme="1"/>
      <name val="Calibri"/>
      <family val="2"/>
    </font>
    <font>
      <b/>
      <sz val="11"/>
      <color theme="1"/>
      <name val="Calibri"/>
      <family val="2"/>
    </font>
    <font>
      <sz val="10"/>
      <name val="Calibri"/>
      <family val="2"/>
    </font>
    <font>
      <b/>
      <sz val="10"/>
      <name val="Calibri"/>
      <family val="2"/>
    </font>
    <font>
      <sz val="9"/>
      <name val="Calibri"/>
      <family val="2"/>
    </font>
    <font>
      <b/>
      <sz val="10"/>
      <color theme="1" tint="0.14999847407452621"/>
      <name val="Calibri"/>
      <family val="2"/>
    </font>
    <font>
      <sz val="11"/>
      <color theme="1"/>
      <name val="Calibri"/>
      <family val="2"/>
    </font>
    <font>
      <b/>
      <sz val="9"/>
      <name val="Calibri"/>
      <family val="2"/>
    </font>
    <font>
      <b/>
      <sz val="10"/>
      <name val="A_Randhoo"/>
    </font>
    <font>
      <sz val="10"/>
      <color theme="1" tint="0.14999847407452621"/>
      <name val="A_Funa"/>
    </font>
    <font>
      <sz val="8"/>
      <color theme="1"/>
      <name val="Calibri"/>
      <family val="2"/>
      <scheme val="minor"/>
    </font>
    <font>
      <b/>
      <sz val="8"/>
      <color theme="1"/>
      <name val="Calibri"/>
      <family val="2"/>
      <scheme val="minor"/>
    </font>
    <font>
      <sz val="10"/>
      <color theme="1" tint="0.14999847407452621"/>
      <name val="Faruma"/>
    </font>
    <font>
      <b/>
      <sz val="9"/>
      <color theme="1"/>
      <name val="Calibri"/>
      <family val="2"/>
    </font>
    <font>
      <b/>
      <sz val="9"/>
      <color theme="1"/>
      <name val="Calibri"/>
      <family val="2"/>
      <charset val="1"/>
      <scheme val="minor"/>
    </font>
    <font>
      <b/>
      <sz val="10"/>
      <color theme="1"/>
      <name val="Calibri"/>
      <family val="2"/>
    </font>
    <font>
      <b/>
      <sz val="10.5"/>
      <color theme="1"/>
      <name val="Faruma"/>
    </font>
    <font>
      <sz val="10.5"/>
      <color theme="1"/>
      <name val="Faruma"/>
    </font>
    <font>
      <sz val="9"/>
      <color theme="1"/>
      <name val="Calibri"/>
      <family val="2"/>
    </font>
    <font>
      <b/>
      <sz val="10.5"/>
      <name val="Calibri"/>
      <family val="2"/>
      <scheme val="minor"/>
    </font>
    <font>
      <b/>
      <sz val="10.5"/>
      <color theme="1" tint="0.14999847407452621"/>
      <name val="Faruma"/>
    </font>
    <font>
      <b/>
      <sz val="10.5"/>
      <color theme="1"/>
      <name val="Calibri"/>
      <family val="2"/>
      <charset val="1"/>
      <scheme val="minor"/>
    </font>
    <font>
      <sz val="10.5"/>
      <color theme="1" tint="0.14999847407452621"/>
      <name val="Calibri"/>
      <family val="2"/>
      <scheme val="minor"/>
    </font>
    <font>
      <sz val="10.5"/>
      <color theme="1"/>
      <name val="Calibri"/>
      <family val="2"/>
      <scheme val="minor"/>
    </font>
    <font>
      <sz val="10.5"/>
      <color theme="1" tint="0.14999847407452621"/>
      <name val="A_Randhoo"/>
    </font>
    <font>
      <sz val="10.5"/>
      <color theme="1"/>
      <name val="Calibri"/>
      <family val="2"/>
      <charset val="1"/>
      <scheme val="minor"/>
    </font>
    <font>
      <sz val="10.5"/>
      <color theme="1" tint="0.14999847407452621"/>
      <name val="Faruma"/>
    </font>
    <font>
      <i/>
      <sz val="8"/>
      <color theme="1" tint="0.14999847407452621"/>
      <name val="Arial"/>
      <family val="2"/>
    </font>
    <font>
      <vertAlign val="superscript"/>
      <sz val="9"/>
      <color theme="1" tint="0.14999847407452621"/>
      <name val="Arial"/>
      <family val="2"/>
    </font>
    <font>
      <sz val="9"/>
      <color indexed="63"/>
      <name val="A_Randhoo"/>
    </font>
    <font>
      <sz val="9"/>
      <color theme="1" tint="0.14999847407452621"/>
      <name val="A_Reethi"/>
    </font>
    <font>
      <sz val="12"/>
      <color theme="1"/>
      <name val="Calibri"/>
      <family val="2"/>
      <scheme val="minor"/>
    </font>
    <font>
      <b/>
      <sz val="8"/>
      <color theme="1"/>
      <name val="Faruma"/>
    </font>
    <font>
      <sz val="11"/>
      <color theme="1" tint="0.14999847407452621"/>
      <name val="A_Randhoo"/>
    </font>
    <font>
      <sz val="14"/>
      <color theme="1"/>
      <name val="Calibri"/>
      <family val="2"/>
      <scheme val="minor"/>
    </font>
    <font>
      <sz val="18"/>
      <color theme="1"/>
      <name val="Calibri"/>
      <family val="2"/>
      <scheme val="minor"/>
    </font>
    <font>
      <b/>
      <sz val="12"/>
      <color theme="1" tint="0.14999847407452621"/>
      <name val="Faruma"/>
    </font>
    <font>
      <sz val="12"/>
      <color theme="1" tint="0.14999847407452621"/>
      <name val="Arial"/>
      <family val="2"/>
    </font>
    <font>
      <b/>
      <sz val="12"/>
      <color theme="1" tint="0.14999847407452621"/>
      <name val="Calibri"/>
      <family val="2"/>
      <scheme val="minor"/>
    </font>
    <font>
      <b/>
      <vertAlign val="superscript"/>
      <sz val="11"/>
      <color theme="1"/>
      <name val="Calibri"/>
      <family val="2"/>
      <scheme val="minor"/>
    </font>
    <font>
      <b/>
      <sz val="10.5"/>
      <color theme="1"/>
      <name val="Calibri"/>
      <family val="2"/>
    </font>
    <font>
      <sz val="10"/>
      <color theme="1"/>
      <name val="Arial"/>
      <family val="2"/>
    </font>
    <font>
      <b/>
      <sz val="9"/>
      <color theme="1"/>
      <name val="Arial"/>
      <family val="2"/>
    </font>
    <font>
      <b/>
      <sz val="9"/>
      <color theme="1"/>
      <name val="A_Randhoo"/>
    </font>
    <font>
      <sz val="9"/>
      <color theme="1"/>
      <name val="Courier"/>
      <family val="3"/>
    </font>
    <font>
      <sz val="9"/>
      <color theme="1"/>
      <name val="A_Randhoo"/>
    </font>
    <font>
      <vertAlign val="superscript"/>
      <sz val="10"/>
      <color theme="1"/>
      <name val="Arial"/>
      <family val="2"/>
    </font>
    <font>
      <vertAlign val="superscript"/>
      <sz val="9"/>
      <color theme="1"/>
      <name val="Arial"/>
      <family val="2"/>
    </font>
    <font>
      <sz val="9"/>
      <color theme="1"/>
      <name val="A_Reethi"/>
    </font>
    <font>
      <vertAlign val="superscript"/>
      <sz val="10"/>
      <color theme="1"/>
      <name val="Calibri"/>
      <family val="2"/>
      <scheme val="minor"/>
    </font>
    <font>
      <i/>
      <sz val="8"/>
      <color theme="1"/>
      <name val="Arial"/>
      <family val="2"/>
    </font>
    <font>
      <i/>
      <sz val="8"/>
      <name val="Calibri"/>
      <family val="2"/>
      <scheme val="minor"/>
    </font>
    <font>
      <sz val="8"/>
      <color theme="1"/>
      <name val="Calibri"/>
      <family val="2"/>
      <charset val="1"/>
      <scheme val="minor"/>
    </font>
    <font>
      <sz val="8"/>
      <color theme="1" tint="0.14999847407452621"/>
      <name val="Faruma"/>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0">
    <border>
      <left/>
      <right/>
      <top/>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hair">
        <color indexed="64"/>
      </right>
      <top/>
      <bottom style="hair">
        <color indexed="64"/>
      </bottom>
      <diagonal/>
    </border>
    <border>
      <left/>
      <right/>
      <top style="thin">
        <color indexed="64"/>
      </top>
      <bottom/>
      <diagonal/>
    </border>
    <border>
      <left/>
      <right style="hair">
        <color auto="1"/>
      </right>
      <top/>
      <bottom/>
      <diagonal/>
    </border>
    <border>
      <left/>
      <right style="hair">
        <color auto="1"/>
      </right>
      <top/>
      <bottom style="thin">
        <color indexed="64"/>
      </bottom>
      <diagonal/>
    </border>
    <border>
      <left/>
      <right/>
      <top/>
      <bottom style="hair">
        <color auto="1"/>
      </bottom>
      <diagonal/>
    </border>
    <border>
      <left style="hair">
        <color auto="1"/>
      </left>
      <right/>
      <top/>
      <bottom style="thin">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top style="hair">
        <color indexed="64"/>
      </top>
      <bottom/>
      <diagonal/>
    </border>
    <border>
      <left/>
      <right/>
      <top style="hair">
        <color indexed="64"/>
      </top>
      <bottom/>
      <diagonal/>
    </border>
    <border>
      <left/>
      <right style="hair">
        <color indexed="64"/>
      </right>
      <top style="hair">
        <color indexed="64"/>
      </top>
      <bottom style="thin">
        <color indexed="64"/>
      </bottom>
      <diagonal/>
    </border>
    <border>
      <left/>
      <right style="hair">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hair">
        <color indexed="64"/>
      </top>
      <bottom style="thin">
        <color indexed="64"/>
      </bottom>
      <diagonal/>
    </border>
    <border>
      <left style="hair">
        <color indexed="64"/>
      </left>
      <right/>
      <top style="thin">
        <color indexed="64"/>
      </top>
      <bottom/>
      <diagonal/>
    </border>
    <border>
      <left style="hair">
        <color indexed="64"/>
      </left>
      <right/>
      <top/>
      <bottom style="hair">
        <color indexed="64"/>
      </bottom>
      <diagonal/>
    </border>
    <border>
      <left style="hair">
        <color indexed="64"/>
      </left>
      <right/>
      <top/>
      <bottom/>
      <diagonal/>
    </border>
    <border>
      <left style="hair">
        <color indexed="64"/>
      </left>
      <right/>
      <top style="thin">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right style="hair">
        <color auto="1"/>
      </right>
      <top style="thin">
        <color indexed="64"/>
      </top>
      <bottom style="thin">
        <color indexed="64"/>
      </bottom>
      <diagonal/>
    </border>
    <border>
      <left/>
      <right style="hair">
        <color indexed="64"/>
      </right>
      <top style="hair">
        <color indexed="64"/>
      </top>
      <bottom/>
      <diagonal/>
    </border>
    <border>
      <left style="thin">
        <color indexed="64"/>
      </left>
      <right/>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right/>
      <top/>
      <bottom style="dotted">
        <color indexed="64"/>
      </bottom>
      <diagonal/>
    </border>
    <border>
      <left style="hair">
        <color indexed="64"/>
      </left>
      <right/>
      <top/>
      <bottom style="dotted">
        <color indexed="64"/>
      </bottom>
      <diagonal/>
    </border>
    <border>
      <left/>
      <right style="hair">
        <color indexed="64"/>
      </right>
      <top/>
      <bottom style="dotted">
        <color indexed="64"/>
      </bottom>
      <diagonal/>
    </border>
    <border>
      <left style="hair">
        <color indexed="64"/>
      </left>
      <right style="hair">
        <color indexed="64"/>
      </right>
      <top/>
      <bottom style="dotted">
        <color indexed="64"/>
      </bottom>
      <diagonal/>
    </border>
    <border>
      <left style="hair">
        <color indexed="64"/>
      </left>
      <right style="hair">
        <color indexed="64"/>
      </right>
      <top/>
      <bottom style="thin">
        <color indexed="64"/>
      </bottom>
      <diagonal/>
    </border>
    <border>
      <left style="hair">
        <color indexed="64"/>
      </left>
      <right/>
      <top style="dotted">
        <color indexed="64"/>
      </top>
      <bottom style="thin">
        <color indexed="64"/>
      </bottom>
      <diagonal/>
    </border>
    <border>
      <left/>
      <right style="hair">
        <color indexed="64"/>
      </right>
      <top style="dotted">
        <color indexed="64"/>
      </top>
      <bottom style="thin">
        <color indexed="64"/>
      </bottom>
      <diagonal/>
    </border>
    <border>
      <left/>
      <right/>
      <top style="dotted">
        <color indexed="64"/>
      </top>
      <bottom/>
      <diagonal/>
    </border>
    <border>
      <left/>
      <right/>
      <top style="thin">
        <color indexed="64"/>
      </top>
      <bottom style="dotted">
        <color indexed="64"/>
      </bottom>
      <diagonal/>
    </border>
    <border>
      <left/>
      <right/>
      <top style="thin">
        <color indexed="64"/>
      </top>
      <bottom style="hair">
        <color theme="1"/>
      </bottom>
      <diagonal/>
    </border>
    <border>
      <left style="thin">
        <color indexed="64"/>
      </left>
      <right/>
      <top style="thin">
        <color indexed="64"/>
      </top>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dotted">
        <color indexed="64"/>
      </top>
      <bottom/>
      <diagonal/>
    </border>
  </borders>
  <cellStyleXfs count="7">
    <xf numFmtId="0" fontId="0" fillId="0" borderId="0"/>
    <xf numFmtId="43" fontId="1" fillId="0" borderId="0" applyFont="0" applyFill="0" applyBorder="0" applyAlignment="0" applyProtection="0"/>
    <xf numFmtId="0" fontId="10" fillId="0" borderId="0"/>
    <xf numFmtId="164" fontId="18" fillId="0" borderId="0"/>
    <xf numFmtId="0" fontId="24" fillId="0" borderId="0" applyNumberFormat="0" applyFill="0" applyBorder="0" applyAlignment="0" applyProtection="0">
      <alignment vertical="top"/>
      <protection locked="0"/>
    </xf>
    <xf numFmtId="41" fontId="1" fillId="0" borderId="0" applyFont="0" applyFill="0" applyBorder="0" applyAlignment="0" applyProtection="0"/>
    <xf numFmtId="0" fontId="18" fillId="0" borderId="0"/>
  </cellStyleXfs>
  <cellXfs count="992">
    <xf numFmtId="0" fontId="0" fillId="0" borderId="0" xfId="0"/>
    <xf numFmtId="0" fontId="0" fillId="2" borderId="0" xfId="0" applyFill="1"/>
    <xf numFmtId="0" fontId="0" fillId="2" borderId="0" xfId="0" applyFill="1" applyBorder="1"/>
    <xf numFmtId="0" fontId="2" fillId="2" borderId="0" xfId="0" applyFont="1" applyFill="1"/>
    <xf numFmtId="0" fontId="0" fillId="2" borderId="3" xfId="0" applyFill="1" applyBorder="1"/>
    <xf numFmtId="0" fontId="2" fillId="2" borderId="1" xfId="0" applyFont="1" applyFill="1" applyBorder="1" applyAlignment="1">
      <alignment horizontal="right" vertical="center"/>
    </xf>
    <xf numFmtId="164" fontId="0" fillId="2" borderId="0" xfId="1" applyNumberFormat="1" applyFont="1" applyFill="1" applyAlignment="1">
      <alignment horizontal="right" vertical="center"/>
    </xf>
    <xf numFmtId="164" fontId="0" fillId="2" borderId="3" xfId="1" applyNumberFormat="1" applyFont="1" applyFill="1" applyBorder="1" applyAlignment="1">
      <alignment horizontal="right" vertical="center"/>
    </xf>
    <xf numFmtId="0" fontId="3" fillId="2" borderId="0" xfId="0" applyFont="1" applyFill="1" applyBorder="1"/>
    <xf numFmtId="164" fontId="0" fillId="2" borderId="3" xfId="1" applyNumberFormat="1" applyFont="1" applyFill="1" applyBorder="1" applyAlignment="1">
      <alignment horizontal="center" vertical="center"/>
    </xf>
    <xf numFmtId="0" fontId="3" fillId="2" borderId="3" xfId="0" applyFont="1" applyFill="1" applyBorder="1"/>
    <xf numFmtId="0" fontId="2" fillId="2" borderId="7" xfId="0" applyFont="1" applyFill="1" applyBorder="1"/>
    <xf numFmtId="0" fontId="2" fillId="2" borderId="0" xfId="0" applyFont="1" applyFill="1" applyBorder="1"/>
    <xf numFmtId="164" fontId="0" fillId="2" borderId="0" xfId="1" applyNumberFormat="1" applyFont="1" applyFill="1" applyBorder="1" applyAlignment="1">
      <alignment horizontal="center" vertical="center"/>
    </xf>
    <xf numFmtId="164" fontId="2" fillId="2" borderId="0" xfId="1" applyNumberFormat="1" applyFont="1" applyFill="1" applyBorder="1" applyAlignment="1">
      <alignment horizontal="center" vertical="center"/>
    </xf>
    <xf numFmtId="164" fontId="0" fillId="2" borderId="0" xfId="1" applyNumberFormat="1" applyFont="1" applyFill="1" applyBorder="1"/>
    <xf numFmtId="164" fontId="0" fillId="2" borderId="3" xfId="1" applyNumberFormat="1" applyFont="1" applyFill="1" applyBorder="1"/>
    <xf numFmtId="0" fontId="2" fillId="2" borderId="9" xfId="0" applyFont="1" applyFill="1" applyBorder="1" applyAlignment="1">
      <alignment horizontal="right" vertical="center"/>
    </xf>
    <xf numFmtId="164" fontId="2" fillId="2" borderId="0" xfId="1" applyNumberFormat="1" applyFont="1" applyFill="1" applyBorder="1" applyAlignment="1">
      <alignment horizontal="right" vertical="center"/>
    </xf>
    <xf numFmtId="164" fontId="0" fillId="2" borderId="0" xfId="1" applyNumberFormat="1" applyFont="1" applyFill="1" applyBorder="1" applyAlignment="1">
      <alignment horizontal="right" vertical="center"/>
    </xf>
    <xf numFmtId="0" fontId="4" fillId="2" borderId="0" xfId="0" applyFont="1" applyFill="1" applyBorder="1"/>
    <xf numFmtId="0" fontId="6" fillId="2" borderId="0" xfId="0" applyFont="1" applyFill="1"/>
    <xf numFmtId="0" fontId="7" fillId="2" borderId="0" xfId="0" applyFont="1" applyFill="1"/>
    <xf numFmtId="0" fontId="2" fillId="2" borderId="0" xfId="0" applyFont="1" applyFill="1" applyAlignment="1"/>
    <xf numFmtId="0" fontId="3" fillId="2" borderId="0" xfId="0" applyFont="1" applyFill="1" applyBorder="1" applyAlignment="1">
      <alignment vertical="center"/>
    </xf>
    <xf numFmtId="0" fontId="0" fillId="2" borderId="0" xfId="0" applyFill="1" applyAlignment="1">
      <alignment vertical="center"/>
    </xf>
    <xf numFmtId="0" fontId="3" fillId="2" borderId="0" xfId="0" applyFont="1" applyFill="1" applyBorder="1" applyAlignment="1">
      <alignment horizontal="right" vertical="center"/>
    </xf>
    <xf numFmtId="0" fontId="0" fillId="2" borderId="3" xfId="0" applyFill="1" applyBorder="1" applyAlignment="1">
      <alignment vertical="center"/>
    </xf>
    <xf numFmtId="0" fontId="3" fillId="2" borderId="3" xfId="0" applyFont="1" applyFill="1" applyBorder="1" applyAlignment="1">
      <alignment vertical="center"/>
    </xf>
    <xf numFmtId="0" fontId="4" fillId="2" borderId="0" xfId="0" applyFont="1" applyFill="1" applyAlignment="1"/>
    <xf numFmtId="14" fontId="0" fillId="2" borderId="0" xfId="0" applyNumberFormat="1" applyFill="1"/>
    <xf numFmtId="0" fontId="0" fillId="2" borderId="0" xfId="0" applyFill="1" applyBorder="1" applyAlignment="1">
      <alignment vertical="center"/>
    </xf>
    <xf numFmtId="3" fontId="2" fillId="2" borderId="0" xfId="1" applyNumberFormat="1" applyFont="1" applyFill="1" applyBorder="1" applyAlignment="1">
      <alignment vertical="center"/>
    </xf>
    <xf numFmtId="3" fontId="0" fillId="2" borderId="0" xfId="1" applyNumberFormat="1" applyFont="1" applyFill="1" applyAlignment="1">
      <alignment vertical="center"/>
    </xf>
    <xf numFmtId="3" fontId="0" fillId="2" borderId="0" xfId="1" applyNumberFormat="1" applyFont="1" applyFill="1" applyBorder="1" applyAlignment="1">
      <alignment vertical="center"/>
    </xf>
    <xf numFmtId="3" fontId="0" fillId="2" borderId="3" xfId="1" applyNumberFormat="1" applyFont="1" applyFill="1" applyBorder="1" applyAlignment="1">
      <alignment vertical="center"/>
    </xf>
    <xf numFmtId="3" fontId="0" fillId="2" borderId="8" xfId="1" applyNumberFormat="1" applyFont="1" applyFill="1" applyBorder="1" applyAlignment="1">
      <alignment vertical="center"/>
    </xf>
    <xf numFmtId="3" fontId="0" fillId="2" borderId="9" xfId="1" applyNumberFormat="1" applyFont="1" applyFill="1" applyBorder="1" applyAlignment="1">
      <alignment vertical="center"/>
    </xf>
    <xf numFmtId="0" fontId="0" fillId="2" borderId="0" xfId="0" applyFill="1" applyAlignment="1">
      <alignment horizontal="center" vertical="center"/>
    </xf>
    <xf numFmtId="164" fontId="0" fillId="2" borderId="8" xfId="1" applyNumberFormat="1" applyFont="1" applyFill="1" applyBorder="1"/>
    <xf numFmtId="164" fontId="0" fillId="2" borderId="9" xfId="1" applyNumberFormat="1" applyFont="1" applyFill="1" applyBorder="1"/>
    <xf numFmtId="164" fontId="0" fillId="2" borderId="2" xfId="1" applyNumberFormat="1" applyFont="1" applyFill="1" applyBorder="1" applyAlignment="1">
      <alignment horizontal="center" vertical="center"/>
    </xf>
    <xf numFmtId="164" fontId="0" fillId="2" borderId="4" xfId="1" applyNumberFormat="1" applyFont="1" applyFill="1" applyBorder="1" applyAlignment="1">
      <alignment horizontal="center" vertical="center"/>
    </xf>
    <xf numFmtId="0" fontId="4" fillId="2" borderId="3" xfId="0" applyFont="1" applyFill="1" applyBorder="1"/>
    <xf numFmtId="1" fontId="0" fillId="2" borderId="0" xfId="0" applyNumberFormat="1" applyFill="1" applyAlignment="1">
      <alignment horizontal="right" vertical="center"/>
    </xf>
    <xf numFmtId="0" fontId="2" fillId="2" borderId="12" xfId="0" applyFont="1" applyFill="1" applyBorder="1" applyAlignment="1">
      <alignment horizontal="right" vertical="center"/>
    </xf>
    <xf numFmtId="0" fontId="2" fillId="2" borderId="20" xfId="0" applyFont="1" applyFill="1" applyBorder="1" applyAlignment="1">
      <alignment horizontal="right"/>
    </xf>
    <xf numFmtId="3" fontId="0" fillId="2" borderId="0" xfId="1" applyNumberFormat="1" applyFont="1" applyFill="1" applyBorder="1" applyAlignment="1">
      <alignment horizontal="right" vertical="center"/>
    </xf>
    <xf numFmtId="3" fontId="2" fillId="2" borderId="0" xfId="1" applyNumberFormat="1" applyFont="1" applyFill="1" applyBorder="1" applyAlignment="1">
      <alignment horizontal="right" vertical="center"/>
    </xf>
    <xf numFmtId="3" fontId="0" fillId="2" borderId="3" xfId="1" applyNumberFormat="1" applyFont="1" applyFill="1" applyBorder="1" applyAlignment="1">
      <alignment horizontal="right" vertical="center"/>
    </xf>
    <xf numFmtId="0" fontId="2" fillId="2" borderId="3" xfId="0" applyFont="1" applyFill="1" applyBorder="1" applyAlignment="1">
      <alignment horizontal="right"/>
    </xf>
    <xf numFmtId="0" fontId="2" fillId="2" borderId="15" xfId="0" applyFont="1" applyFill="1" applyBorder="1" applyAlignment="1">
      <alignment horizontal="right" vertical="center"/>
    </xf>
    <xf numFmtId="0" fontId="5" fillId="2" borderId="3" xfId="0" applyFont="1" applyFill="1" applyBorder="1" applyAlignment="1">
      <alignment horizontal="center" vertical="center"/>
    </xf>
    <xf numFmtId="0" fontId="5" fillId="2" borderId="3" xfId="0" applyFont="1" applyFill="1" applyBorder="1" applyAlignment="1">
      <alignment horizontal="right" vertical="center"/>
    </xf>
    <xf numFmtId="0" fontId="5" fillId="2" borderId="9" xfId="0" applyFont="1" applyFill="1" applyBorder="1" applyAlignment="1">
      <alignment horizontal="right" vertical="center"/>
    </xf>
    <xf numFmtId="0" fontId="5" fillId="2" borderId="3" xfId="0" applyFont="1" applyFill="1" applyBorder="1" applyAlignment="1">
      <alignment horizontal="right"/>
    </xf>
    <xf numFmtId="0" fontId="5" fillId="2" borderId="0" xfId="0" applyFont="1" applyFill="1" applyAlignment="1">
      <alignment horizontal="center"/>
    </xf>
    <xf numFmtId="0" fontId="2" fillId="2" borderId="12" xfId="0" applyFont="1" applyFill="1" applyBorder="1" applyAlignment="1">
      <alignment horizontal="right"/>
    </xf>
    <xf numFmtId="3" fontId="2" fillId="2" borderId="0" xfId="0" applyNumberFormat="1" applyFont="1" applyFill="1" applyBorder="1" applyAlignment="1">
      <alignment horizontal="right" vertical="center"/>
    </xf>
    <xf numFmtId="164" fontId="2" fillId="2" borderId="8" xfId="1" applyNumberFormat="1" applyFont="1" applyFill="1" applyBorder="1" applyAlignment="1">
      <alignment horizontal="center" vertical="center"/>
    </xf>
    <xf numFmtId="164" fontId="0" fillId="2" borderId="8" xfId="1" applyNumberFormat="1" applyFont="1" applyFill="1" applyBorder="1" applyAlignment="1">
      <alignment horizontal="center" vertical="center"/>
    </xf>
    <xf numFmtId="164" fontId="0" fillId="2" borderId="9" xfId="1" applyNumberFormat="1" applyFont="1" applyFill="1" applyBorder="1" applyAlignment="1">
      <alignment horizontal="center" vertical="center"/>
    </xf>
    <xf numFmtId="3" fontId="0" fillId="2" borderId="0" xfId="0" applyNumberFormat="1" applyFill="1" applyAlignment="1">
      <alignment horizontal="right" vertical="center"/>
    </xf>
    <xf numFmtId="0" fontId="2" fillId="2" borderId="7" xfId="0" applyFont="1" applyFill="1" applyBorder="1" applyAlignment="1">
      <alignment wrapText="1"/>
    </xf>
    <xf numFmtId="3" fontId="11" fillId="2" borderId="0" xfId="2" applyNumberFormat="1" applyFont="1" applyFill="1" applyBorder="1" applyAlignment="1" applyProtection="1">
      <alignment horizontal="right"/>
    </xf>
    <xf numFmtId="0" fontId="3" fillId="2" borderId="3" xfId="0" applyFont="1" applyFill="1" applyBorder="1" applyAlignment="1">
      <alignment horizontal="right" vertical="center"/>
    </xf>
    <xf numFmtId="49" fontId="0" fillId="2" borderId="0" xfId="0" applyNumberFormat="1" applyFill="1"/>
    <xf numFmtId="165" fontId="0" fillId="2" borderId="0" xfId="0" applyNumberFormat="1" applyFill="1"/>
    <xf numFmtId="1" fontId="0" fillId="2" borderId="0" xfId="0" applyNumberFormat="1" applyFill="1"/>
    <xf numFmtId="3" fontId="0" fillId="2" borderId="0" xfId="0" applyNumberFormat="1" applyFill="1"/>
    <xf numFmtId="166" fontId="0" fillId="2" borderId="0" xfId="0" applyNumberFormat="1" applyFill="1"/>
    <xf numFmtId="0" fontId="0" fillId="2" borderId="0" xfId="0" applyFill="1" applyAlignment="1">
      <alignment horizontal="center"/>
    </xf>
    <xf numFmtId="0" fontId="0" fillId="2" borderId="0" xfId="0" applyFill="1" applyBorder="1" applyAlignment="1">
      <alignment horizontal="left" vertical="center" wrapText="1"/>
    </xf>
    <xf numFmtId="0" fontId="2" fillId="2" borderId="0" xfId="0" applyFont="1" applyFill="1" applyBorder="1"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8" fillId="2" borderId="0" xfId="0" applyFont="1" applyFill="1" applyAlignment="1">
      <alignment horizontal="center"/>
    </xf>
    <xf numFmtId="0" fontId="9" fillId="2" borderId="0" xfId="0" applyFont="1" applyFill="1" applyAlignment="1">
      <alignment horizontal="center"/>
    </xf>
    <xf numFmtId="0" fontId="9" fillId="2" borderId="0" xfId="0" applyFont="1" applyFill="1"/>
    <xf numFmtId="0" fontId="2" fillId="2" borderId="24" xfId="0" applyFont="1" applyFill="1" applyBorder="1" applyAlignment="1">
      <alignment horizontal="right" vertical="center"/>
    </xf>
    <xf numFmtId="3" fontId="2" fillId="2" borderId="7" xfId="1" applyNumberFormat="1" applyFont="1" applyFill="1" applyBorder="1" applyAlignment="1">
      <alignment horizontal="right" vertical="center"/>
    </xf>
    <xf numFmtId="49" fontId="2" fillId="2" borderId="3" xfId="0" applyNumberFormat="1" applyFont="1" applyFill="1" applyBorder="1" applyAlignment="1">
      <alignment horizontal="right" vertical="center"/>
    </xf>
    <xf numFmtId="49" fontId="2" fillId="2" borderId="24" xfId="0" applyNumberFormat="1" applyFont="1" applyFill="1" applyBorder="1" applyAlignment="1">
      <alignment horizontal="right" vertical="center"/>
    </xf>
    <xf numFmtId="0" fontId="5" fillId="2" borderId="0" xfId="0" applyFont="1" applyFill="1" applyBorder="1" applyAlignment="1">
      <alignment horizontal="center" vertical="center"/>
    </xf>
    <xf numFmtId="0" fontId="5" fillId="2" borderId="15" xfId="0" applyFont="1" applyFill="1" applyBorder="1" applyAlignment="1">
      <alignment horizontal="center" vertical="center"/>
    </xf>
    <xf numFmtId="0" fontId="2" fillId="2" borderId="11" xfId="0" applyFont="1" applyFill="1" applyBorder="1" applyAlignment="1">
      <alignment horizontal="right" vertical="center"/>
    </xf>
    <xf numFmtId="3" fontId="2" fillId="2" borderId="27" xfId="0" applyNumberFormat="1" applyFont="1" applyFill="1" applyBorder="1" applyAlignment="1">
      <alignment horizontal="right" vertical="center"/>
    </xf>
    <xf numFmtId="3" fontId="0" fillId="2" borderId="27" xfId="1" applyNumberFormat="1" applyFont="1" applyFill="1" applyBorder="1" applyAlignment="1">
      <alignment vertical="center"/>
    </xf>
    <xf numFmtId="3" fontId="0" fillId="2" borderId="11" xfId="1" applyNumberFormat="1" applyFont="1" applyFill="1" applyBorder="1" applyAlignment="1">
      <alignment vertical="center"/>
    </xf>
    <xf numFmtId="3" fontId="12" fillId="2" borderId="0" xfId="2" applyNumberFormat="1" applyFont="1" applyFill="1" applyBorder="1" applyAlignment="1" applyProtection="1">
      <alignment horizontal="right" vertical="center"/>
    </xf>
    <xf numFmtId="0" fontId="5" fillId="2" borderId="0" xfId="0" applyFont="1" applyFill="1" applyBorder="1" applyAlignment="1">
      <alignment horizontal="right" vertical="center"/>
    </xf>
    <xf numFmtId="0" fontId="5" fillId="2" borderId="15" xfId="0" applyFont="1" applyFill="1" applyBorder="1" applyAlignment="1">
      <alignment horizontal="right" vertical="center"/>
    </xf>
    <xf numFmtId="0" fontId="2" fillId="2" borderId="17" xfId="0" applyFont="1" applyFill="1" applyBorder="1" applyAlignment="1">
      <alignment horizontal="right" vertical="center"/>
    </xf>
    <xf numFmtId="0" fontId="2" fillId="2" borderId="6" xfId="0" applyFont="1" applyFill="1" applyBorder="1" applyAlignment="1">
      <alignment horizontal="right" vertical="center"/>
    </xf>
    <xf numFmtId="0" fontId="13" fillId="2" borderId="0" xfId="0" applyFont="1" applyFill="1" applyAlignment="1">
      <alignment horizontal="left" vertical="center"/>
    </xf>
    <xf numFmtId="0" fontId="0" fillId="2" borderId="0" xfId="0" applyFill="1" applyAlignment="1">
      <alignment horizontal="left" vertical="center" indent="1"/>
    </xf>
    <xf numFmtId="0" fontId="0" fillId="2" borderId="3" xfId="0" applyFill="1" applyBorder="1" applyAlignment="1">
      <alignment horizontal="left" vertical="center" indent="1"/>
    </xf>
    <xf numFmtId="0" fontId="3" fillId="2" borderId="0" xfId="0" applyFont="1" applyFill="1" applyBorder="1" applyAlignment="1">
      <alignment horizontal="right" vertical="center" indent="1"/>
    </xf>
    <xf numFmtId="0" fontId="3" fillId="2" borderId="0" xfId="0" applyFont="1" applyFill="1" applyBorder="1" applyAlignment="1">
      <alignment horizontal="right" indent="1"/>
    </xf>
    <xf numFmtId="0" fontId="3" fillId="2" borderId="3" xfId="0" applyFont="1" applyFill="1" applyBorder="1" applyAlignment="1">
      <alignment horizontal="right" vertical="center" indent="1"/>
    </xf>
    <xf numFmtId="0" fontId="0" fillId="2" borderId="0" xfId="0" applyFill="1" applyBorder="1" applyAlignment="1">
      <alignment horizontal="left" vertical="center"/>
    </xf>
    <xf numFmtId="0" fontId="0" fillId="2" borderId="3" xfId="0" applyFill="1" applyBorder="1" applyAlignment="1">
      <alignment horizontal="left" vertical="center"/>
    </xf>
    <xf numFmtId="0" fontId="2" fillId="2" borderId="1" xfId="0" applyFont="1" applyFill="1" applyBorder="1" applyAlignment="1">
      <alignment vertical="center"/>
    </xf>
    <xf numFmtId="3" fontId="0" fillId="2" borderId="0" xfId="0" applyNumberFormat="1" applyFill="1" applyBorder="1" applyAlignment="1">
      <alignment horizontal="right" vertical="center"/>
    </xf>
    <xf numFmtId="3" fontId="0" fillId="2" borderId="0" xfId="1" applyNumberFormat="1" applyFont="1" applyFill="1" applyBorder="1" applyAlignment="1">
      <alignment horizontal="right" vertical="center" wrapText="1"/>
    </xf>
    <xf numFmtId="0" fontId="3" fillId="2" borderId="0" xfId="0" applyFont="1" applyFill="1" applyBorder="1" applyAlignment="1">
      <alignment horizontal="right" vertical="center" wrapText="1"/>
    </xf>
    <xf numFmtId="0" fontId="0" fillId="2" borderId="0" xfId="0" applyFill="1" applyAlignment="1">
      <alignment horizontal="right" vertical="center" wrapText="1"/>
    </xf>
    <xf numFmtId="0" fontId="15" fillId="2" borderId="0" xfId="0" applyFont="1" applyFill="1"/>
    <xf numFmtId="0" fontId="16" fillId="2" borderId="0" xfId="0" applyFont="1" applyFill="1"/>
    <xf numFmtId="0" fontId="17" fillId="2" borderId="0" xfId="0" applyFont="1" applyFill="1"/>
    <xf numFmtId="165" fontId="0" fillId="2" borderId="0" xfId="0" applyNumberFormat="1" applyFont="1" applyFill="1" applyBorder="1" applyAlignment="1">
      <alignment horizontal="right" vertical="center"/>
    </xf>
    <xf numFmtId="0" fontId="4" fillId="2" borderId="3" xfId="0" applyFont="1" applyFill="1" applyBorder="1" applyAlignment="1">
      <alignment vertical="center"/>
    </xf>
    <xf numFmtId="3" fontId="2" fillId="2" borderId="0" xfId="0" applyNumberFormat="1" applyFont="1" applyFill="1" applyBorder="1" applyAlignment="1">
      <alignment horizontal="right" vertical="center" wrapText="1"/>
    </xf>
    <xf numFmtId="167" fontId="0" fillId="2" borderId="0" xfId="0" applyNumberFormat="1" applyFont="1" applyFill="1" applyBorder="1" applyAlignment="1">
      <alignment horizontal="right" vertical="center" wrapText="1"/>
    </xf>
    <xf numFmtId="167" fontId="0" fillId="2" borderId="3" xfId="0" applyNumberFormat="1" applyFont="1" applyFill="1" applyBorder="1" applyAlignment="1">
      <alignment horizontal="right" vertical="center" wrapText="1"/>
    </xf>
    <xf numFmtId="0" fontId="4" fillId="2" borderId="0" xfId="0" applyFont="1" applyFill="1" applyAlignment="1">
      <alignment vertical="center"/>
    </xf>
    <xf numFmtId="0" fontId="4" fillId="2" borderId="15" xfId="0" applyFont="1" applyFill="1" applyBorder="1" applyAlignment="1">
      <alignment horizontal="right" vertical="center"/>
    </xf>
    <xf numFmtId="0" fontId="8" fillId="2" borderId="0" xfId="0" applyFont="1" applyFill="1"/>
    <xf numFmtId="0" fontId="0" fillId="2" borderId="0" xfId="0" applyFont="1" applyFill="1" applyBorder="1"/>
    <xf numFmtId="0" fontId="0" fillId="2" borderId="3" xfId="0" applyFont="1" applyFill="1" applyBorder="1"/>
    <xf numFmtId="164" fontId="0" fillId="2" borderId="27" xfId="1" applyNumberFormat="1" applyFont="1" applyFill="1" applyBorder="1"/>
    <xf numFmtId="164" fontId="0" fillId="2" borderId="11" xfId="1" applyNumberFormat="1" applyFont="1" applyFill="1" applyBorder="1"/>
    <xf numFmtId="0" fontId="2" fillId="2" borderId="30" xfId="0" applyFont="1" applyFill="1" applyBorder="1" applyAlignment="1">
      <alignment horizontal="right" vertical="center"/>
    </xf>
    <xf numFmtId="1" fontId="0" fillId="2" borderId="0" xfId="0" applyNumberFormat="1" applyFill="1" applyBorder="1" applyAlignment="1">
      <alignment horizontal="right" vertical="center"/>
    </xf>
    <xf numFmtId="1" fontId="0" fillId="2" borderId="27" xfId="0" applyNumberFormat="1" applyFill="1" applyBorder="1" applyAlignment="1">
      <alignment horizontal="right" vertical="center"/>
    </xf>
    <xf numFmtId="0" fontId="2" fillId="2" borderId="14" xfId="0" applyFont="1" applyFill="1" applyBorder="1" applyAlignment="1">
      <alignment horizontal="right" vertical="center"/>
    </xf>
    <xf numFmtId="0" fontId="4" fillId="2" borderId="11" xfId="0" applyFont="1" applyFill="1" applyBorder="1"/>
    <xf numFmtId="3" fontId="2" fillId="2" borderId="27" xfId="1" applyNumberFormat="1" applyFont="1" applyFill="1" applyBorder="1" applyAlignment="1">
      <alignment vertical="center"/>
    </xf>
    <xf numFmtId="0" fontId="2" fillId="2" borderId="11" xfId="0" applyFont="1" applyFill="1" applyBorder="1" applyAlignment="1">
      <alignment horizontal="center"/>
    </xf>
    <xf numFmtId="164" fontId="2" fillId="2" borderId="27" xfId="1" applyNumberFormat="1" applyFont="1" applyFill="1" applyBorder="1" applyAlignment="1">
      <alignment horizontal="center" vertical="center"/>
    </xf>
    <xf numFmtId="3" fontId="2" fillId="2" borderId="0" xfId="1" applyNumberFormat="1" applyFont="1" applyFill="1" applyAlignment="1">
      <alignment vertical="center"/>
    </xf>
    <xf numFmtId="164" fontId="1" fillId="2" borderId="0" xfId="1" applyNumberFormat="1" applyFont="1" applyFill="1" applyBorder="1" applyAlignment="1">
      <alignment horizontal="center" vertical="center"/>
    </xf>
    <xf numFmtId="164" fontId="1" fillId="2" borderId="3" xfId="1" applyNumberFormat="1" applyFont="1" applyFill="1" applyBorder="1" applyAlignment="1">
      <alignment horizontal="center" vertical="center"/>
    </xf>
    <xf numFmtId="0" fontId="2" fillId="2" borderId="11" xfId="0" applyFont="1" applyFill="1" applyBorder="1" applyAlignment="1">
      <alignment horizontal="right"/>
    </xf>
    <xf numFmtId="164" fontId="2" fillId="2" borderId="27" xfId="1" applyNumberFormat="1" applyFont="1" applyFill="1" applyBorder="1"/>
    <xf numFmtId="0" fontId="19" fillId="2" borderId="0" xfId="0" applyFont="1" applyFill="1" applyBorder="1" applyAlignment="1">
      <alignment horizontal="left" vertical="center" indent="2"/>
    </xf>
    <xf numFmtId="0" fontId="19" fillId="2" borderId="3" xfId="0" applyFont="1" applyFill="1" applyBorder="1" applyAlignment="1">
      <alignment horizontal="left" vertical="center" indent="2"/>
    </xf>
    <xf numFmtId="0" fontId="3" fillId="2" borderId="0" xfId="0" applyFont="1" applyFill="1" applyBorder="1" applyAlignment="1">
      <alignment horizontal="right" vertical="center" indent="3"/>
    </xf>
    <xf numFmtId="0" fontId="3" fillId="2" borderId="3" xfId="0" applyFont="1" applyFill="1" applyBorder="1" applyAlignment="1">
      <alignment horizontal="right" vertical="center" indent="3"/>
    </xf>
    <xf numFmtId="164" fontId="0" fillId="2" borderId="0" xfId="0" applyNumberFormat="1" applyFill="1"/>
    <xf numFmtId="1" fontId="2" fillId="2" borderId="7" xfId="0" applyNumberFormat="1" applyFont="1" applyFill="1" applyBorder="1" applyAlignment="1">
      <alignment horizontal="right" vertical="center"/>
    </xf>
    <xf numFmtId="165" fontId="0" fillId="2" borderId="3" xfId="0" applyNumberFormat="1" applyFont="1" applyFill="1" applyBorder="1" applyAlignment="1">
      <alignment horizontal="right" vertical="center"/>
    </xf>
    <xf numFmtId="165" fontId="0" fillId="2" borderId="0" xfId="0" applyNumberFormat="1" applyFill="1" applyAlignment="1">
      <alignment horizontal="right" vertical="center"/>
    </xf>
    <xf numFmtId="0" fontId="0" fillId="2" borderId="0" xfId="0" applyFill="1" applyAlignment="1">
      <alignment horizontal="left" vertical="center"/>
    </xf>
    <xf numFmtId="0" fontId="14" fillId="2" borderId="0" xfId="0" applyFont="1" applyFill="1" applyAlignment="1">
      <alignment horizontal="center" readingOrder="1"/>
    </xf>
    <xf numFmtId="0" fontId="2" fillId="2" borderId="3" xfId="0" applyFont="1" applyFill="1" applyBorder="1"/>
    <xf numFmtId="3" fontId="1" fillId="2" borderId="0" xfId="1" applyNumberFormat="1" applyFont="1" applyFill="1" applyBorder="1" applyAlignment="1">
      <alignment horizontal="right" vertical="center"/>
    </xf>
    <xf numFmtId="3" fontId="1" fillId="2" borderId="3" xfId="1" applyNumberFormat="1" applyFont="1" applyFill="1" applyBorder="1" applyAlignment="1">
      <alignment horizontal="right" vertical="center"/>
    </xf>
    <xf numFmtId="0" fontId="2" fillId="2" borderId="30" xfId="0" applyFont="1" applyFill="1" applyBorder="1"/>
    <xf numFmtId="3" fontId="2" fillId="2" borderId="25" xfId="1" applyNumberFormat="1" applyFont="1" applyFill="1" applyBorder="1" applyAlignment="1">
      <alignment horizontal="right" vertical="center"/>
    </xf>
    <xf numFmtId="3" fontId="1" fillId="2" borderId="27" xfId="1" applyNumberFormat="1" applyFont="1" applyFill="1" applyBorder="1" applyAlignment="1">
      <alignment horizontal="right" vertical="center"/>
    </xf>
    <xf numFmtId="3" fontId="1" fillId="2" borderId="11" xfId="1" applyNumberFormat="1" applyFont="1" applyFill="1" applyBorder="1" applyAlignment="1">
      <alignment horizontal="right"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vertical="center"/>
    </xf>
    <xf numFmtId="0" fontId="2" fillId="2" borderId="10" xfId="0" applyFont="1" applyFill="1" applyBorder="1" applyAlignment="1">
      <alignment vertical="center"/>
    </xf>
    <xf numFmtId="0" fontId="0" fillId="2" borderId="0" xfId="0" applyFill="1" applyAlignment="1">
      <alignment wrapText="1"/>
    </xf>
    <xf numFmtId="0" fontId="0" fillId="2" borderId="0" xfId="0" applyFill="1" applyBorder="1" applyAlignment="1">
      <alignment wrapText="1"/>
    </xf>
    <xf numFmtId="0" fontId="2" fillId="2" borderId="3" xfId="0" applyFont="1" applyFill="1" applyBorder="1" applyAlignment="1">
      <alignment horizontal="right" vertical="center" wrapText="1"/>
    </xf>
    <xf numFmtId="0" fontId="2" fillId="2" borderId="11" xfId="0" applyFont="1" applyFill="1" applyBorder="1" applyAlignment="1">
      <alignment horizontal="right" vertical="center" wrapText="1"/>
    </xf>
    <xf numFmtId="3" fontId="0" fillId="2" borderId="0" xfId="1" applyNumberFormat="1" applyFont="1" applyFill="1" applyBorder="1" applyAlignment="1">
      <alignment vertical="center" wrapText="1"/>
    </xf>
    <xf numFmtId="3" fontId="0" fillId="2" borderId="27" xfId="1" applyNumberFormat="1" applyFont="1" applyFill="1" applyBorder="1" applyAlignment="1">
      <alignment vertical="center" wrapText="1"/>
    </xf>
    <xf numFmtId="3" fontId="0" fillId="2" borderId="3" xfId="1" applyNumberFormat="1" applyFont="1" applyFill="1" applyBorder="1" applyAlignment="1">
      <alignment vertical="center" wrapText="1"/>
    </xf>
    <xf numFmtId="3" fontId="0" fillId="2" borderId="11" xfId="1" applyNumberFormat="1" applyFont="1" applyFill="1" applyBorder="1" applyAlignment="1">
      <alignment vertical="center" wrapText="1"/>
    </xf>
    <xf numFmtId="0" fontId="16" fillId="2" borderId="0" xfId="0" applyFont="1" applyFill="1" applyAlignment="1">
      <alignment wrapText="1"/>
    </xf>
    <xf numFmtId="164" fontId="6" fillId="2" borderId="0" xfId="0" applyNumberFormat="1" applyFont="1" applyFill="1" applyAlignment="1">
      <alignment vertical="center"/>
    </xf>
    <xf numFmtId="0" fontId="15" fillId="2" borderId="0" xfId="0" applyFont="1" applyFill="1" applyAlignment="1">
      <alignment vertical="center"/>
    </xf>
    <xf numFmtId="164" fontId="1" fillId="2" borderId="27" xfId="1" applyNumberFormat="1" applyFont="1" applyFill="1" applyBorder="1" applyAlignment="1">
      <alignment horizontal="center" vertical="center"/>
    </xf>
    <xf numFmtId="164" fontId="1" fillId="2" borderId="11" xfId="1" applyNumberFormat="1" applyFont="1" applyFill="1" applyBorder="1" applyAlignment="1">
      <alignment horizontal="center" vertical="center"/>
    </xf>
    <xf numFmtId="3" fontId="0" fillId="2" borderId="0" xfId="0" applyNumberFormat="1" applyFill="1" applyBorder="1"/>
    <xf numFmtId="3" fontId="8" fillId="2" borderId="0" xfId="0" applyNumberFormat="1" applyFont="1" applyFill="1" applyAlignment="1">
      <alignment horizontal="center"/>
    </xf>
    <xf numFmtId="0" fontId="2" fillId="2" borderId="0" xfId="0" applyFont="1" applyFill="1" applyAlignment="1">
      <alignment vertical="center"/>
    </xf>
    <xf numFmtId="0" fontId="2" fillId="2" borderId="3" xfId="0" applyFont="1" applyFill="1" applyBorder="1" applyAlignment="1">
      <alignment vertical="center"/>
    </xf>
    <xf numFmtId="0" fontId="0" fillId="2" borderId="7" xfId="0" applyFill="1" applyBorder="1"/>
    <xf numFmtId="3" fontId="0" fillId="2" borderId="0" xfId="0" applyNumberFormat="1" applyFill="1" applyAlignment="1">
      <alignment vertical="center"/>
    </xf>
    <xf numFmtId="0" fontId="2" fillId="2" borderId="16" xfId="0" applyFont="1" applyFill="1" applyBorder="1" applyAlignment="1">
      <alignment horizontal="right" vertical="center"/>
    </xf>
    <xf numFmtId="0" fontId="5" fillId="2" borderId="4" xfId="0" applyFont="1" applyFill="1" applyBorder="1" applyAlignment="1">
      <alignment horizontal="right" vertical="center"/>
    </xf>
    <xf numFmtId="0" fontId="5" fillId="2" borderId="32" xfId="0" applyFont="1" applyFill="1" applyBorder="1" applyAlignment="1">
      <alignment horizontal="right" vertical="center"/>
    </xf>
    <xf numFmtId="164" fontId="2" fillId="2" borderId="4" xfId="1" applyNumberFormat="1" applyFont="1" applyFill="1" applyBorder="1" applyAlignment="1">
      <alignment horizontal="right" vertical="center"/>
    </xf>
    <xf numFmtId="164" fontId="2" fillId="2" borderId="8" xfId="1" applyNumberFormat="1" applyFont="1" applyFill="1" applyBorder="1" applyAlignment="1">
      <alignment horizontal="right" vertical="center"/>
    </xf>
    <xf numFmtId="164" fontId="0" fillId="2" borderId="4" xfId="1" applyNumberFormat="1" applyFont="1" applyFill="1" applyBorder="1" applyAlignment="1">
      <alignment horizontal="right" vertical="center"/>
    </xf>
    <xf numFmtId="164" fontId="1" fillId="2" borderId="8" xfId="1" applyNumberFormat="1" applyFont="1" applyFill="1" applyBorder="1"/>
    <xf numFmtId="164" fontId="0" fillId="2" borderId="21" xfId="1" applyNumberFormat="1" applyFont="1" applyFill="1" applyBorder="1" applyAlignment="1">
      <alignment horizontal="right" vertical="center"/>
    </xf>
    <xf numFmtId="0" fontId="2" fillId="2" borderId="7" xfId="0" applyFont="1" applyFill="1" applyBorder="1" applyAlignment="1">
      <alignment vertical="center"/>
    </xf>
    <xf numFmtId="3" fontId="2" fillId="2" borderId="27" xfId="1" applyNumberFormat="1" applyFont="1" applyFill="1" applyBorder="1" applyAlignment="1">
      <alignment horizontal="right" vertical="center" indent="2"/>
    </xf>
    <xf numFmtId="43" fontId="0" fillId="2" borderId="27" xfId="1" applyFont="1" applyFill="1" applyBorder="1" applyAlignment="1">
      <alignment horizontal="right" vertical="center" indent="2"/>
    </xf>
    <xf numFmtId="3" fontId="0" fillId="2" borderId="27" xfId="1" applyNumberFormat="1" applyFont="1" applyFill="1" applyBorder="1" applyAlignment="1">
      <alignment horizontal="right" vertical="center" indent="2"/>
    </xf>
    <xf numFmtId="3" fontId="0" fillId="2" borderId="11" xfId="1" applyNumberFormat="1" applyFont="1" applyFill="1" applyBorder="1" applyAlignment="1">
      <alignment horizontal="right" vertical="center" indent="2"/>
    </xf>
    <xf numFmtId="0" fontId="2" fillId="2" borderId="11" xfId="0" applyFont="1" applyFill="1" applyBorder="1" applyAlignment="1">
      <alignment horizontal="right" vertical="center" indent="2"/>
    </xf>
    <xf numFmtId="0" fontId="6" fillId="2" borderId="0" xfId="0" applyFont="1" applyFill="1" applyBorder="1" applyAlignment="1">
      <alignment vertical="center"/>
    </xf>
    <xf numFmtId="0" fontId="23" fillId="2" borderId="0" xfId="0" applyFont="1" applyFill="1" applyAlignment="1">
      <alignment vertical="center"/>
    </xf>
    <xf numFmtId="0" fontId="24" fillId="2" borderId="0" xfId="4" applyFill="1" applyAlignment="1" applyProtection="1"/>
    <xf numFmtId="0" fontId="15" fillId="2" borderId="0" xfId="0" applyFont="1" applyFill="1" applyBorder="1" applyAlignment="1">
      <alignment vertical="center"/>
    </xf>
    <xf numFmtId="0" fontId="17" fillId="2" borderId="0" xfId="0" applyFont="1" applyFill="1" applyAlignment="1">
      <alignment vertical="center"/>
    </xf>
    <xf numFmtId="0" fontId="25" fillId="2" borderId="0" xfId="0" applyFont="1" applyFill="1" applyAlignment="1">
      <alignment vertical="center"/>
    </xf>
    <xf numFmtId="0" fontId="15" fillId="2" borderId="0" xfId="0" applyFont="1" applyFill="1" applyBorder="1"/>
    <xf numFmtId="0" fontId="16" fillId="2" borderId="0" xfId="0" applyFont="1" applyFill="1" applyBorder="1"/>
    <xf numFmtId="0" fontId="17" fillId="2" borderId="0" xfId="0" applyFont="1" applyFill="1" applyBorder="1"/>
    <xf numFmtId="3" fontId="0" fillId="2" borderId="3" xfId="0" applyNumberFormat="1" applyFill="1" applyBorder="1" applyAlignment="1">
      <alignment horizontal="right" vertical="center"/>
    </xf>
    <xf numFmtId="1" fontId="0" fillId="2" borderId="11" xfId="0" applyNumberFormat="1" applyFill="1" applyBorder="1" applyAlignment="1">
      <alignment horizontal="right" vertical="center"/>
    </xf>
    <xf numFmtId="1" fontId="0" fillId="2" borderId="3" xfId="0" applyNumberFormat="1" applyFill="1" applyBorder="1" applyAlignment="1">
      <alignment horizontal="right" vertical="center"/>
    </xf>
    <xf numFmtId="0" fontId="15" fillId="2" borderId="0" xfId="0" applyFont="1" applyFill="1" applyBorder="1" applyAlignment="1">
      <alignment horizontal="left" vertical="center"/>
    </xf>
    <xf numFmtId="167" fontId="0" fillId="2" borderId="0" xfId="0" applyNumberFormat="1" applyFill="1"/>
    <xf numFmtId="0" fontId="4" fillId="2" borderId="0" xfId="0" applyFont="1" applyFill="1" applyBorder="1" applyAlignment="1">
      <alignment vertical="center"/>
    </xf>
    <xf numFmtId="164" fontId="2" fillId="2" borderId="17" xfId="1" applyNumberFormat="1" applyFont="1" applyFill="1" applyBorder="1"/>
    <xf numFmtId="165" fontId="2" fillId="2" borderId="7" xfId="0" applyNumberFormat="1" applyFont="1" applyFill="1" applyBorder="1" applyAlignment="1">
      <alignment horizontal="right" vertical="center"/>
    </xf>
    <xf numFmtId="0" fontId="29" fillId="2" borderId="0" xfId="0" applyFont="1" applyFill="1" applyAlignment="1">
      <alignment horizontal="left" vertical="center"/>
    </xf>
    <xf numFmtId="37" fontId="0" fillId="2" borderId="0" xfId="1" applyNumberFormat="1" applyFont="1" applyFill="1" applyBorder="1" applyAlignment="1">
      <alignment horizontal="right" vertical="center"/>
    </xf>
    <xf numFmtId="37" fontId="2" fillId="2" borderId="0" xfId="1" applyNumberFormat="1" applyFont="1" applyFill="1" applyBorder="1" applyAlignment="1">
      <alignment horizontal="right" vertical="center"/>
    </xf>
    <xf numFmtId="37" fontId="2" fillId="2" borderId="3" xfId="1" applyNumberFormat="1" applyFont="1" applyFill="1" applyBorder="1" applyAlignment="1">
      <alignment horizontal="right" vertical="center"/>
    </xf>
    <xf numFmtId="0" fontId="0" fillId="2" borderId="0" xfId="0" applyFont="1" applyFill="1" applyBorder="1" applyAlignment="1">
      <alignment vertical="center"/>
    </xf>
    <xf numFmtId="0" fontId="0" fillId="2" borderId="3" xfId="0" applyFont="1" applyFill="1" applyBorder="1" applyAlignment="1">
      <alignment vertical="center"/>
    </xf>
    <xf numFmtId="164" fontId="2" fillId="2" borderId="0" xfId="1" applyNumberFormat="1" applyFont="1" applyFill="1" applyBorder="1" applyAlignment="1">
      <alignment horizontal="right"/>
    </xf>
    <xf numFmtId="37" fontId="2" fillId="2" borderId="0" xfId="0" applyNumberFormat="1" applyFont="1" applyFill="1" applyBorder="1" applyAlignment="1">
      <alignment horizontal="right" vertical="center"/>
    </xf>
    <xf numFmtId="3" fontId="20" fillId="2" borderId="0" xfId="1" applyNumberFormat="1" applyFont="1" applyFill="1" applyBorder="1" applyAlignment="1">
      <alignment horizontal="right" vertical="center"/>
    </xf>
    <xf numFmtId="164" fontId="2" fillId="2" borderId="3" xfId="1" applyNumberFormat="1" applyFont="1" applyFill="1" applyBorder="1" applyAlignment="1">
      <alignment horizontal="right" vertical="center"/>
    </xf>
    <xf numFmtId="164" fontId="1" fillId="2" borderId="27" xfId="1" applyNumberFormat="1" applyFont="1" applyFill="1" applyBorder="1" applyAlignment="1">
      <alignment horizontal="right" vertical="center"/>
    </xf>
    <xf numFmtId="3" fontId="2" fillId="2" borderId="0" xfId="1" applyNumberFormat="1" applyFont="1" applyFill="1" applyBorder="1" applyAlignment="1">
      <alignment horizontal="right" vertical="center" indent="2"/>
    </xf>
    <xf numFmtId="0" fontId="32" fillId="2" borderId="0" xfId="0" applyFont="1" applyFill="1" applyAlignment="1">
      <alignment horizontal="center"/>
    </xf>
    <xf numFmtId="164" fontId="2" fillId="2" borderId="7" xfId="1" applyNumberFormat="1" applyFont="1" applyFill="1" applyBorder="1"/>
    <xf numFmtId="164" fontId="1" fillId="2" borderId="0" xfId="1" applyNumberFormat="1" applyFont="1" applyFill="1" applyBorder="1"/>
    <xf numFmtId="0" fontId="2" fillId="2" borderId="24" xfId="0" applyFont="1" applyFill="1" applyBorder="1" applyAlignment="1">
      <alignment horizontal="right"/>
    </xf>
    <xf numFmtId="164" fontId="1" fillId="2" borderId="9" xfId="1" applyNumberFormat="1" applyFont="1" applyFill="1" applyBorder="1"/>
    <xf numFmtId="0" fontId="2" fillId="2" borderId="7" xfId="0" applyFont="1" applyFill="1" applyBorder="1" applyAlignment="1">
      <alignment horizontal="center"/>
    </xf>
    <xf numFmtId="1" fontId="0" fillId="2" borderId="25" xfId="0" applyNumberFormat="1" applyFill="1" applyBorder="1" applyAlignment="1">
      <alignment horizontal="right" vertical="center"/>
    </xf>
    <xf numFmtId="0" fontId="2" fillId="2" borderId="24" xfId="0" applyFont="1" applyFill="1" applyBorder="1"/>
    <xf numFmtId="2" fontId="0" fillId="2" borderId="0" xfId="0" applyNumberFormat="1" applyFill="1" applyAlignment="1">
      <alignment wrapText="1"/>
    </xf>
    <xf numFmtId="0" fontId="0" fillId="2" borderId="0" xfId="0" applyFill="1" applyAlignment="1">
      <alignment horizontal="left"/>
    </xf>
    <xf numFmtId="43" fontId="0" fillId="2" borderId="0" xfId="1" applyFont="1" applyFill="1"/>
    <xf numFmtId="0" fontId="4" fillId="2" borderId="0" xfId="0" applyFont="1" applyFill="1" applyAlignment="1">
      <alignment horizontal="center"/>
    </xf>
    <xf numFmtId="0" fontId="2" fillId="2" borderId="0" xfId="0" applyFont="1" applyFill="1" applyAlignment="1">
      <alignment horizontal="center"/>
    </xf>
    <xf numFmtId="0" fontId="4" fillId="2" borderId="7" xfId="0" applyFont="1" applyFill="1" applyBorder="1" applyAlignment="1">
      <alignment horizontal="right" vertical="center"/>
    </xf>
    <xf numFmtId="0" fontId="4" fillId="2" borderId="0" xfId="0" applyFont="1" applyFill="1" applyBorder="1" applyAlignment="1">
      <alignment horizontal="right" vertical="center"/>
    </xf>
    <xf numFmtId="0" fontId="4" fillId="2" borderId="3" xfId="0" applyFont="1" applyFill="1" applyBorder="1" applyAlignment="1">
      <alignment horizontal="right" vertical="center"/>
    </xf>
    <xf numFmtId="0" fontId="2" fillId="2" borderId="0" xfId="0" applyFont="1" applyFill="1" applyBorder="1" applyAlignment="1">
      <alignment horizontal="left" vertical="center"/>
    </xf>
    <xf numFmtId="0" fontId="2" fillId="2" borderId="27" xfId="0" applyFont="1" applyFill="1" applyBorder="1" applyAlignment="1">
      <alignment horizontal="center" vertical="center"/>
    </xf>
    <xf numFmtId="0" fontId="2" fillId="2" borderId="0" xfId="0" applyFont="1" applyFill="1" applyBorder="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4" fillId="2" borderId="7" xfId="0" applyFont="1" applyFill="1" applyBorder="1" applyAlignment="1">
      <alignment horizontal="center" vertical="center"/>
    </xf>
    <xf numFmtId="0" fontId="26" fillId="2" borderId="26"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2" fillId="2" borderId="3" xfId="0" applyFont="1" applyFill="1" applyBorder="1" applyAlignment="1">
      <alignment horizontal="center"/>
    </xf>
    <xf numFmtId="0" fontId="2" fillId="2" borderId="3" xfId="0" applyFont="1" applyFill="1" applyBorder="1" applyAlignment="1">
      <alignment horizontal="right" vertical="center"/>
    </xf>
    <xf numFmtId="0" fontId="4" fillId="2" borderId="0" xfId="0" applyFont="1" applyFill="1" applyBorder="1" applyAlignment="1">
      <alignment horizontal="right" vertical="center"/>
    </xf>
    <xf numFmtId="0" fontId="4" fillId="2" borderId="1" xfId="0" applyFont="1" applyFill="1" applyBorder="1" applyAlignment="1">
      <alignment horizontal="right" vertical="center"/>
    </xf>
    <xf numFmtId="0" fontId="2" fillId="2" borderId="10" xfId="0" applyFont="1" applyFill="1" applyBorder="1" applyAlignment="1">
      <alignment horizontal="right" vertical="center"/>
    </xf>
    <xf numFmtId="0" fontId="0" fillId="2" borderId="0" xfId="0" applyFill="1" applyBorder="1" applyAlignment="1">
      <alignment horizontal="center" vertical="center"/>
    </xf>
    <xf numFmtId="0" fontId="0" fillId="2" borderId="3" xfId="0" applyFill="1" applyBorder="1" applyAlignment="1">
      <alignment horizontal="center" vertical="center"/>
    </xf>
    <xf numFmtId="0" fontId="2" fillId="2" borderId="16" xfId="0" applyFont="1" applyFill="1" applyBorder="1"/>
    <xf numFmtId="3" fontId="2" fillId="2" borderId="17" xfId="1" applyNumberFormat="1" applyFont="1" applyFill="1" applyBorder="1" applyAlignment="1">
      <alignment horizontal="right" vertical="center"/>
    </xf>
    <xf numFmtId="3" fontId="1" fillId="2" borderId="8" xfId="1" applyNumberFormat="1" applyFont="1" applyFill="1" applyBorder="1" applyAlignment="1">
      <alignment horizontal="right" vertical="center"/>
    </xf>
    <xf numFmtId="3" fontId="1" fillId="2" borderId="9" xfId="1" applyNumberFormat="1" applyFont="1" applyFill="1" applyBorder="1" applyAlignment="1">
      <alignment horizontal="right" vertical="center"/>
    </xf>
    <xf numFmtId="37" fontId="2" fillId="2" borderId="7" xfId="1" applyNumberFormat="1" applyFont="1" applyFill="1" applyBorder="1" applyAlignment="1">
      <alignment horizontal="right" vertical="center"/>
    </xf>
    <xf numFmtId="37" fontId="1" fillId="2" borderId="0" xfId="1" applyNumberFormat="1" applyFont="1" applyFill="1" applyBorder="1" applyAlignment="1">
      <alignment horizontal="right" vertical="center"/>
    </xf>
    <xf numFmtId="0" fontId="2" fillId="2" borderId="3" xfId="0" applyFont="1" applyFill="1" applyBorder="1" applyAlignment="1">
      <alignment horizontal="right" vertical="center" indent="2"/>
    </xf>
    <xf numFmtId="3" fontId="0" fillId="2" borderId="0" xfId="1" applyNumberFormat="1" applyFont="1" applyFill="1" applyBorder="1" applyAlignment="1">
      <alignment horizontal="right" vertical="center" indent="2"/>
    </xf>
    <xf numFmtId="3" fontId="0" fillId="2" borderId="3" xfId="1" applyNumberFormat="1" applyFont="1" applyFill="1" applyBorder="1" applyAlignment="1">
      <alignment horizontal="right" vertical="center" indent="2"/>
    </xf>
    <xf numFmtId="164" fontId="0" fillId="2" borderId="0" xfId="1" applyNumberFormat="1" applyFont="1" applyFill="1"/>
    <xf numFmtId="0" fontId="2" fillId="2" borderId="16" xfId="0" applyFont="1" applyFill="1" applyBorder="1" applyAlignment="1">
      <alignment horizontal="right"/>
    </xf>
    <xf numFmtId="0" fontId="2" fillId="2" borderId="7" xfId="0" applyFont="1" applyFill="1" applyBorder="1" applyAlignment="1">
      <alignment horizontal="left" vertical="center"/>
    </xf>
    <xf numFmtId="0" fontId="2" fillId="2" borderId="0" xfId="0" applyFont="1" applyFill="1" applyAlignment="1">
      <alignment horizontal="center" vertical="center"/>
    </xf>
    <xf numFmtId="164" fontId="0" fillId="2" borderId="19" xfId="1" applyNumberFormat="1" applyFont="1" applyFill="1" applyBorder="1" applyAlignment="1">
      <alignment horizontal="center" vertical="center"/>
    </xf>
    <xf numFmtId="164" fontId="0" fillId="2" borderId="21" xfId="1" applyNumberFormat="1" applyFont="1" applyFill="1" applyBorder="1" applyAlignment="1">
      <alignment horizontal="center" vertical="center"/>
    </xf>
    <xf numFmtId="1" fontId="1" fillId="2" borderId="0" xfId="1" applyNumberFormat="1" applyFont="1" applyFill="1" applyBorder="1" applyAlignment="1">
      <alignment horizontal="right" vertical="center"/>
    </xf>
    <xf numFmtId="1" fontId="1" fillId="2" borderId="3" xfId="1" applyNumberFormat="1" applyFont="1" applyFill="1" applyBorder="1" applyAlignment="1">
      <alignment horizontal="right" vertical="center"/>
    </xf>
    <xf numFmtId="0" fontId="2" fillId="2" borderId="0" xfId="0" applyFont="1" applyFill="1" applyAlignment="1">
      <alignment horizontal="center" vertical="center"/>
    </xf>
    <xf numFmtId="0" fontId="0" fillId="2" borderId="0" xfId="0" applyFill="1" applyBorder="1" applyAlignment="1">
      <alignment horizontal="center" vertical="center"/>
    </xf>
    <xf numFmtId="3" fontId="35" fillId="2" borderId="0" xfId="2" applyNumberFormat="1" applyFont="1" applyFill="1"/>
    <xf numFmtId="168" fontId="39" fillId="2" borderId="3" xfId="3" applyNumberFormat="1" applyFont="1" applyFill="1" applyBorder="1" applyAlignment="1">
      <alignment horizontal="center" vertical="center" wrapText="1"/>
    </xf>
    <xf numFmtId="168" fontId="41" fillId="2" borderId="0" xfId="0" applyNumberFormat="1" applyFont="1" applyFill="1" applyAlignment="1">
      <alignment vertical="center"/>
    </xf>
    <xf numFmtId="168" fontId="42" fillId="2" borderId="0" xfId="3" applyNumberFormat="1" applyFont="1" applyFill="1" applyBorder="1" applyAlignment="1">
      <alignment horizontal="right" vertical="center" wrapText="1"/>
    </xf>
    <xf numFmtId="168" fontId="42" fillId="2" borderId="27" xfId="3" applyNumberFormat="1" applyFont="1" applyFill="1" applyBorder="1" applyAlignment="1">
      <alignment horizontal="right" vertical="center" wrapText="1"/>
    </xf>
    <xf numFmtId="168" fontId="42" fillId="2" borderId="8" xfId="3" applyNumberFormat="1" applyFont="1" applyFill="1" applyBorder="1" applyAlignment="1">
      <alignment horizontal="right" vertical="center" wrapText="1"/>
    </xf>
    <xf numFmtId="168" fontId="41" fillId="2" borderId="0" xfId="0" applyNumberFormat="1" applyFont="1" applyFill="1" applyBorder="1"/>
    <xf numFmtId="168" fontId="43" fillId="2" borderId="3" xfId="3" applyNumberFormat="1" applyFont="1" applyFill="1" applyBorder="1" applyAlignment="1">
      <alignment horizontal="right" vertical="center" wrapText="1"/>
    </xf>
    <xf numFmtId="168" fontId="43" fillId="2" borderId="11" xfId="3" applyNumberFormat="1" applyFont="1" applyFill="1" applyBorder="1" applyAlignment="1">
      <alignment horizontal="right" vertical="center" wrapText="1"/>
    </xf>
    <xf numFmtId="168" fontId="43" fillId="2" borderId="9" xfId="3" applyNumberFormat="1" applyFont="1" applyFill="1" applyBorder="1" applyAlignment="1">
      <alignment horizontal="right" vertical="center" wrapText="1"/>
    </xf>
    <xf numFmtId="168" fontId="44" fillId="2" borderId="3" xfId="0" applyNumberFormat="1" applyFont="1" applyFill="1" applyBorder="1"/>
    <xf numFmtId="168" fontId="2" fillId="2" borderId="3" xfId="0" applyNumberFormat="1" applyFont="1" applyFill="1" applyBorder="1" applyAlignment="1">
      <alignment horizontal="center" vertical="center"/>
    </xf>
    <xf numFmtId="168" fontId="0" fillId="2" borderId="0" xfId="0" applyNumberFormat="1" applyFill="1"/>
    <xf numFmtId="168" fontId="42" fillId="2" borderId="0" xfId="3" applyNumberFormat="1" applyFont="1" applyFill="1" applyBorder="1" applyAlignment="1" applyProtection="1">
      <alignment horizontal="left" vertical="center"/>
    </xf>
    <xf numFmtId="37" fontId="42" fillId="2" borderId="0" xfId="1" applyNumberFormat="1" applyFont="1" applyFill="1" applyBorder="1" applyAlignment="1" applyProtection="1">
      <alignment vertical="center"/>
    </xf>
    <xf numFmtId="37" fontId="42" fillId="2" borderId="27" xfId="1" applyNumberFormat="1" applyFont="1" applyFill="1" applyBorder="1" applyAlignment="1" applyProtection="1">
      <alignment horizontal="right" vertical="center"/>
    </xf>
    <xf numFmtId="37" fontId="42" fillId="2" borderId="8" xfId="1" applyNumberFormat="1" applyFont="1" applyFill="1" applyBorder="1" applyAlignment="1" applyProtection="1">
      <alignment horizontal="right" vertical="center"/>
    </xf>
    <xf numFmtId="37" fontId="42" fillId="2" borderId="0" xfId="1" applyNumberFormat="1" applyFont="1" applyFill="1" applyBorder="1" applyAlignment="1" applyProtection="1">
      <alignment horizontal="right" vertical="center"/>
    </xf>
    <xf numFmtId="37" fontId="45" fillId="2" borderId="0" xfId="1" applyNumberFormat="1" applyFont="1" applyFill="1" applyAlignment="1">
      <alignment horizontal="right" vertical="center" indent="3"/>
    </xf>
    <xf numFmtId="3" fontId="46" fillId="2" borderId="0" xfId="2" applyNumberFormat="1" applyFont="1" applyFill="1" applyBorder="1" applyAlignment="1" applyProtection="1">
      <alignment horizontal="right" vertical="center"/>
    </xf>
    <xf numFmtId="168" fontId="47" fillId="2" borderId="0" xfId="0" applyNumberFormat="1" applyFont="1" applyFill="1"/>
    <xf numFmtId="3" fontId="48" fillId="2" borderId="0" xfId="2" applyNumberFormat="1" applyFont="1" applyFill="1"/>
    <xf numFmtId="168" fontId="44" fillId="2" borderId="0" xfId="0" applyNumberFormat="1" applyFont="1" applyFill="1"/>
    <xf numFmtId="37" fontId="45" fillId="2" borderId="0" xfId="1" applyNumberFormat="1" applyFont="1" applyFill="1" applyAlignment="1">
      <alignment horizontal="right" vertical="center"/>
    </xf>
    <xf numFmtId="3" fontId="49" fillId="2" borderId="0" xfId="2" applyNumberFormat="1" applyFont="1" applyFill="1"/>
    <xf numFmtId="3" fontId="52" fillId="2" borderId="0" xfId="2" applyNumberFormat="1" applyFont="1" applyFill="1" applyBorder="1" applyAlignment="1" applyProtection="1">
      <alignment horizontal="right" vertical="center"/>
    </xf>
    <xf numFmtId="3" fontId="53" fillId="2" borderId="0" xfId="1" applyNumberFormat="1" applyFont="1" applyFill="1" applyBorder="1" applyAlignment="1" applyProtection="1">
      <alignment horizontal="right" vertical="center"/>
    </xf>
    <xf numFmtId="3" fontId="36" fillId="2" borderId="0" xfId="2" applyNumberFormat="1" applyFont="1" applyFill="1"/>
    <xf numFmtId="37" fontId="50" fillId="2" borderId="0" xfId="1" applyNumberFormat="1" applyFont="1" applyFill="1" applyBorder="1" applyAlignment="1" applyProtection="1">
      <alignment vertical="center"/>
    </xf>
    <xf numFmtId="3" fontId="49" fillId="2" borderId="0" xfId="2" applyNumberFormat="1" applyFont="1" applyFill="1" applyBorder="1"/>
    <xf numFmtId="168" fontId="47" fillId="2" borderId="0" xfId="0" applyNumberFormat="1" applyFont="1" applyFill="1" applyBorder="1"/>
    <xf numFmtId="0" fontId="47" fillId="2" borderId="0" xfId="0" applyFont="1" applyFill="1"/>
    <xf numFmtId="0" fontId="47" fillId="2" borderId="0" xfId="0" applyFont="1" applyFill="1" applyBorder="1"/>
    <xf numFmtId="3" fontId="49" fillId="2" borderId="3" xfId="2" applyNumberFormat="1" applyFont="1" applyFill="1" applyBorder="1"/>
    <xf numFmtId="3" fontId="52" fillId="2" borderId="3" xfId="2" applyNumberFormat="1" applyFont="1" applyFill="1" applyBorder="1" applyAlignment="1" applyProtection="1">
      <alignment horizontal="right" vertical="center"/>
    </xf>
    <xf numFmtId="0" fontId="51" fillId="2" borderId="0" xfId="0" applyFont="1" applyFill="1"/>
    <xf numFmtId="0" fontId="45" fillId="2" borderId="0" xfId="0" applyFont="1" applyFill="1" applyAlignment="1">
      <alignment horizontal="center" vertical="center"/>
    </xf>
    <xf numFmtId="168" fontId="55" fillId="2" borderId="0" xfId="3" applyNumberFormat="1" applyFont="1" applyFill="1" applyBorder="1" applyAlignment="1" applyProtection="1">
      <alignment horizontal="left" vertical="center"/>
    </xf>
    <xf numFmtId="168" fontId="56" fillId="2" borderId="0" xfId="6" applyNumberFormat="1" applyFont="1" applyFill="1" applyAlignment="1">
      <alignment horizontal="right" vertical="center"/>
    </xf>
    <xf numFmtId="37" fontId="45" fillId="2" borderId="27" xfId="1" applyNumberFormat="1" applyFont="1" applyFill="1" applyBorder="1" applyAlignment="1">
      <alignment horizontal="right" vertical="center"/>
    </xf>
    <xf numFmtId="37" fontId="45" fillId="2" borderId="8" xfId="1" applyNumberFormat="1" applyFont="1" applyFill="1" applyBorder="1" applyAlignment="1">
      <alignment horizontal="right" vertical="center"/>
    </xf>
    <xf numFmtId="37" fontId="50" fillId="2" borderId="27" xfId="1" applyNumberFormat="1" applyFont="1" applyFill="1" applyBorder="1" applyAlignment="1" applyProtection="1">
      <alignment horizontal="right" vertical="center"/>
    </xf>
    <xf numFmtId="37" fontId="50" fillId="2" borderId="8" xfId="1" applyNumberFormat="1" applyFont="1" applyFill="1" applyBorder="1" applyAlignment="1" applyProtection="1">
      <alignment horizontal="right" vertical="center"/>
    </xf>
    <xf numFmtId="37" fontId="51" fillId="2" borderId="0" xfId="1" applyNumberFormat="1" applyFont="1" applyFill="1" applyAlignment="1">
      <alignment horizontal="right" vertical="center"/>
    </xf>
    <xf numFmtId="37" fontId="51" fillId="2" borderId="0" xfId="1" applyNumberFormat="1" applyFont="1" applyFill="1" applyAlignment="1">
      <alignment horizontal="right" vertical="center" indent="3"/>
    </xf>
    <xf numFmtId="37" fontId="51" fillId="2" borderId="27" xfId="1" applyNumberFormat="1" applyFont="1" applyFill="1" applyBorder="1" applyAlignment="1">
      <alignment horizontal="right" vertical="center"/>
    </xf>
    <xf numFmtId="37" fontId="51" fillId="2" borderId="8" xfId="1" applyNumberFormat="1" applyFont="1" applyFill="1" applyBorder="1" applyAlignment="1">
      <alignment horizontal="right" vertical="center"/>
    </xf>
    <xf numFmtId="37" fontId="50" fillId="2" borderId="3" xfId="1" applyNumberFormat="1" applyFont="1" applyFill="1" applyBorder="1" applyAlignment="1" applyProtection="1">
      <alignment vertical="center"/>
    </xf>
    <xf numFmtId="37" fontId="51" fillId="2" borderId="11" xfId="1" applyNumberFormat="1" applyFont="1" applyFill="1" applyBorder="1" applyAlignment="1">
      <alignment horizontal="right" vertical="center"/>
    </xf>
    <xf numFmtId="37" fontId="51" fillId="2" borderId="9" xfId="1" applyNumberFormat="1" applyFont="1" applyFill="1" applyBorder="1" applyAlignment="1">
      <alignment horizontal="right" vertical="center"/>
    </xf>
    <xf numFmtId="37" fontId="51" fillId="2" borderId="3" xfId="1" applyNumberFormat="1" applyFont="1" applyFill="1" applyBorder="1" applyAlignment="1">
      <alignment horizontal="right" vertical="center" indent="3"/>
    </xf>
    <xf numFmtId="0" fontId="57" fillId="2" borderId="0" xfId="0" applyFont="1" applyFill="1"/>
    <xf numFmtId="0" fontId="58" fillId="2" borderId="0" xfId="0" applyFont="1" applyFill="1"/>
    <xf numFmtId="0" fontId="57" fillId="2" borderId="0" xfId="0" applyFont="1" applyFill="1" applyAlignment="1">
      <alignment horizontal="right"/>
    </xf>
    <xf numFmtId="0" fontId="45" fillId="2" borderId="0" xfId="0" applyFont="1" applyFill="1" applyAlignment="1">
      <alignment horizontal="right" vertical="center"/>
    </xf>
    <xf numFmtId="0" fontId="13" fillId="2" borderId="7" xfId="0" applyFont="1" applyFill="1" applyBorder="1"/>
    <xf numFmtId="0" fontId="13" fillId="2" borderId="0" xfId="0" applyFont="1" applyFill="1" applyBorder="1"/>
    <xf numFmtId="168" fontId="40" fillId="2" borderId="0" xfId="0" applyNumberFormat="1" applyFont="1" applyFill="1" applyBorder="1"/>
    <xf numFmtId="168" fontId="42" fillId="2" borderId="3" xfId="3" applyNumberFormat="1" applyFont="1" applyFill="1" applyBorder="1" applyAlignment="1">
      <alignment horizontal="right" vertical="center" wrapText="1"/>
    </xf>
    <xf numFmtId="168" fontId="59" fillId="2" borderId="0" xfId="0" applyNumberFormat="1" applyFont="1" applyFill="1"/>
    <xf numFmtId="3" fontId="60" fillId="2" borderId="0" xfId="2" applyNumberFormat="1" applyFont="1" applyFill="1" applyBorder="1"/>
    <xf numFmtId="168" fontId="59" fillId="2" borderId="0" xfId="0" applyNumberFormat="1" applyFont="1" applyFill="1" applyBorder="1"/>
    <xf numFmtId="168" fontId="61" fillId="2" borderId="3" xfId="3" applyNumberFormat="1" applyFont="1" applyFill="1" applyBorder="1" applyAlignment="1" applyProtection="1">
      <alignment horizontal="left" vertical="center"/>
    </xf>
    <xf numFmtId="168" fontId="43" fillId="2" borderId="3" xfId="3" applyNumberFormat="1" applyFont="1" applyFill="1" applyBorder="1" applyAlignment="1">
      <alignment horizontal="right" vertical="top" wrapText="1"/>
    </xf>
    <xf numFmtId="168" fontId="43" fillId="2" borderId="11" xfId="3" applyNumberFormat="1" applyFont="1" applyFill="1" applyBorder="1" applyAlignment="1">
      <alignment horizontal="right" vertical="top" wrapText="1"/>
    </xf>
    <xf numFmtId="168" fontId="43" fillId="2" borderId="9" xfId="3" applyNumberFormat="1" applyFont="1" applyFill="1" applyBorder="1" applyAlignment="1">
      <alignment horizontal="right" vertical="top" wrapText="1"/>
    </xf>
    <xf numFmtId="37" fontId="42" fillId="2" borderId="35" xfId="1" applyNumberFormat="1" applyFont="1" applyFill="1" applyBorder="1" applyAlignment="1" applyProtection="1">
      <alignment horizontal="right" vertical="center"/>
    </xf>
    <xf numFmtId="37" fontId="42" fillId="2" borderId="34" xfId="1" applyNumberFormat="1" applyFont="1" applyFill="1" applyBorder="1" applyAlignment="1" applyProtection="1">
      <alignment horizontal="right" vertical="center"/>
    </xf>
    <xf numFmtId="168" fontId="58" fillId="2" borderId="0" xfId="0" applyNumberFormat="1" applyFont="1" applyFill="1"/>
    <xf numFmtId="3" fontId="62" fillId="2" borderId="0" xfId="2" applyNumberFormat="1" applyFont="1" applyFill="1" applyBorder="1" applyAlignment="1" applyProtection="1">
      <alignment horizontal="right" vertical="center"/>
    </xf>
    <xf numFmtId="168" fontId="57" fillId="2" borderId="0" xfId="0" applyNumberFormat="1" applyFont="1" applyFill="1"/>
    <xf numFmtId="37" fontId="48" fillId="2" borderId="0" xfId="1" applyNumberFormat="1" applyFont="1" applyFill="1" applyAlignment="1">
      <alignment horizontal="right"/>
    </xf>
    <xf numFmtId="37" fontId="51" fillId="2" borderId="35" xfId="1" applyNumberFormat="1" applyFont="1" applyFill="1" applyBorder="1" applyAlignment="1">
      <alignment horizontal="right" vertical="center"/>
    </xf>
    <xf numFmtId="168" fontId="57" fillId="2" borderId="0" xfId="0" applyNumberFormat="1" applyFont="1" applyFill="1" applyAlignment="1">
      <alignment horizontal="right"/>
    </xf>
    <xf numFmtId="37" fontId="45" fillId="2" borderId="35" xfId="1" applyNumberFormat="1" applyFont="1" applyFill="1" applyBorder="1" applyAlignment="1">
      <alignment horizontal="right" vertical="center"/>
    </xf>
    <xf numFmtId="37" fontId="48" fillId="2" borderId="0" xfId="1" applyNumberFormat="1" applyFont="1" applyFill="1" applyBorder="1" applyAlignment="1">
      <alignment horizontal="right"/>
    </xf>
    <xf numFmtId="37" fontId="63" fillId="2" borderId="0" xfId="1" applyNumberFormat="1" applyFont="1" applyFill="1" applyAlignment="1">
      <alignment horizontal="right" vertical="center"/>
    </xf>
    <xf numFmtId="3" fontId="65" fillId="2" borderId="0" xfId="2" applyNumberFormat="1" applyFont="1" applyFill="1" applyBorder="1" applyAlignment="1" applyProtection="1">
      <alignment horizontal="right" vertical="center"/>
    </xf>
    <xf numFmtId="37" fontId="50" fillId="2" borderId="35" xfId="1" applyNumberFormat="1" applyFont="1" applyFill="1" applyBorder="1" applyAlignment="1">
      <alignment horizontal="right" vertical="center"/>
    </xf>
    <xf numFmtId="168" fontId="57" fillId="2" borderId="0" xfId="0" applyNumberFormat="1" applyFont="1" applyFill="1" applyBorder="1"/>
    <xf numFmtId="37" fontId="51" fillId="2" borderId="0" xfId="1" applyNumberFormat="1" applyFont="1" applyFill="1" applyBorder="1" applyAlignment="1">
      <alignment horizontal="right" vertical="center"/>
    </xf>
    <xf numFmtId="3" fontId="49" fillId="2" borderId="0" xfId="2" applyNumberFormat="1" applyFont="1" applyFill="1" applyAlignment="1">
      <alignment vertical="center"/>
    </xf>
    <xf numFmtId="3" fontId="52" fillId="2" borderId="0" xfId="2" applyNumberFormat="1" applyFont="1" applyFill="1" applyAlignment="1">
      <alignment horizontal="right" vertical="center"/>
    </xf>
    <xf numFmtId="168" fontId="57" fillId="2" borderId="0" xfId="0" applyNumberFormat="1" applyFont="1" applyFill="1" applyBorder="1" applyAlignment="1">
      <alignment horizontal="right"/>
    </xf>
    <xf numFmtId="3" fontId="48" fillId="2" borderId="0" xfId="2" applyNumberFormat="1" applyFont="1" applyFill="1" applyBorder="1"/>
    <xf numFmtId="3" fontId="68" fillId="2" borderId="0" xfId="2" applyNumberFormat="1" applyFont="1" applyFill="1" applyAlignment="1">
      <alignment vertical="center"/>
    </xf>
    <xf numFmtId="37" fontId="69" fillId="2" borderId="0" xfId="1" applyNumberFormat="1" applyFont="1" applyFill="1" applyAlignment="1">
      <alignment horizontal="right" vertical="center"/>
    </xf>
    <xf numFmtId="0" fontId="57" fillId="2" borderId="0" xfId="0" applyFont="1" applyFill="1" applyBorder="1"/>
    <xf numFmtId="37" fontId="42" fillId="2" borderId="3" xfId="1" applyNumberFormat="1" applyFont="1" applyFill="1" applyBorder="1" applyAlignment="1" applyProtection="1">
      <alignment horizontal="right" vertical="center"/>
    </xf>
    <xf numFmtId="3" fontId="70" fillId="2" borderId="0" xfId="2" applyNumberFormat="1" applyFont="1" applyFill="1" applyAlignment="1">
      <alignment vertical="center"/>
    </xf>
    <xf numFmtId="3" fontId="12" fillId="2" borderId="0" xfId="2" applyNumberFormat="1" applyFont="1" applyFill="1"/>
    <xf numFmtId="168" fontId="16" fillId="2" borderId="0" xfId="0" applyNumberFormat="1" applyFont="1" applyFill="1" applyAlignment="1">
      <alignment horizontal="center" vertical="center"/>
    </xf>
    <xf numFmtId="168" fontId="16" fillId="2" borderId="0" xfId="0" applyNumberFormat="1" applyFont="1" applyFill="1" applyAlignment="1">
      <alignment horizontal="right" vertical="center"/>
    </xf>
    <xf numFmtId="168" fontId="26" fillId="2" borderId="0" xfId="0" applyNumberFormat="1" applyFont="1" applyFill="1" applyAlignment="1">
      <alignment horizontal="right" vertical="center"/>
    </xf>
    <xf numFmtId="0" fontId="72" fillId="2" borderId="0" xfId="2" applyFont="1" applyFill="1" applyAlignment="1">
      <alignment horizontal="right" vertical="center"/>
    </xf>
    <xf numFmtId="0" fontId="74" fillId="2" borderId="0" xfId="0" applyFont="1" applyFill="1"/>
    <xf numFmtId="0" fontId="74" fillId="2" borderId="0" xfId="0" applyFont="1" applyFill="1" applyAlignment="1">
      <alignment horizontal="right"/>
    </xf>
    <xf numFmtId="0" fontId="26" fillId="2" borderId="0" xfId="0" applyFont="1" applyFill="1" applyAlignment="1">
      <alignment horizontal="right" vertical="center"/>
    </xf>
    <xf numFmtId="37" fontId="50" fillId="2" borderId="8" xfId="1" applyNumberFormat="1" applyFont="1" applyFill="1" applyBorder="1" applyAlignment="1">
      <alignment horizontal="right" vertical="center"/>
    </xf>
    <xf numFmtId="0" fontId="51" fillId="2" borderId="35" xfId="0" applyFont="1" applyFill="1" applyBorder="1" applyAlignment="1">
      <alignment horizontal="right"/>
    </xf>
    <xf numFmtId="37" fontId="50" fillId="2" borderId="35" xfId="1" applyNumberFormat="1" applyFont="1" applyFill="1" applyBorder="1" applyAlignment="1" applyProtection="1">
      <alignment horizontal="right" vertical="center"/>
    </xf>
    <xf numFmtId="37" fontId="50" fillId="2" borderId="40" xfId="1" applyNumberFormat="1" applyFont="1" applyFill="1" applyBorder="1" applyAlignment="1">
      <alignment horizontal="right" vertical="center"/>
    </xf>
    <xf numFmtId="0" fontId="44" fillId="2" borderId="0" xfId="0" applyFont="1" applyFill="1"/>
    <xf numFmtId="0" fontId="0" fillId="2" borderId="0" xfId="0" applyFill="1" applyAlignment="1">
      <alignment horizontal="right"/>
    </xf>
    <xf numFmtId="0" fontId="2" fillId="2" borderId="0" xfId="0" applyFont="1" applyFill="1" applyAlignment="1">
      <alignment horizontal="right" vertical="center"/>
    </xf>
    <xf numFmtId="3" fontId="75" fillId="2" borderId="0" xfId="2" applyNumberFormat="1" applyFont="1" applyFill="1"/>
    <xf numFmtId="168" fontId="77" fillId="2" borderId="0" xfId="0" applyNumberFormat="1" applyFont="1" applyFill="1" applyBorder="1"/>
    <xf numFmtId="168" fontId="78" fillId="2" borderId="0" xfId="3" applyNumberFormat="1" applyFont="1" applyFill="1" applyBorder="1" applyAlignment="1">
      <alignment horizontal="right" vertical="center" wrapText="1"/>
    </xf>
    <xf numFmtId="168" fontId="79" fillId="2" borderId="0" xfId="0" applyNumberFormat="1" applyFont="1" applyFill="1"/>
    <xf numFmtId="3" fontId="80" fillId="2" borderId="0" xfId="2" applyNumberFormat="1" applyFont="1" applyFill="1" applyBorder="1"/>
    <xf numFmtId="3" fontId="46" fillId="2" borderId="0" xfId="2" applyNumberFormat="1" applyFont="1" applyFill="1" applyBorder="1" applyAlignment="1">
      <alignment horizontal="right" vertical="center" wrapText="1"/>
    </xf>
    <xf numFmtId="168" fontId="79" fillId="2" borderId="0" xfId="0" applyNumberFormat="1" applyFont="1" applyFill="1" applyBorder="1"/>
    <xf numFmtId="168" fontId="78" fillId="2" borderId="0" xfId="3" applyNumberFormat="1" applyFont="1" applyFill="1" applyBorder="1" applyAlignment="1" applyProtection="1">
      <alignment horizontal="left" vertical="center"/>
    </xf>
    <xf numFmtId="0" fontId="5" fillId="2" borderId="3" xfId="0" applyFont="1" applyFill="1" applyBorder="1" applyAlignment="1">
      <alignment horizontal="right" vertical="center" wrapText="1"/>
    </xf>
    <xf numFmtId="168" fontId="5" fillId="2" borderId="3" xfId="0" applyNumberFormat="1" applyFont="1" applyFill="1" applyBorder="1" applyAlignment="1">
      <alignment horizontal="right" vertical="center" wrapText="1"/>
    </xf>
    <xf numFmtId="3" fontId="80" fillId="2" borderId="0" xfId="2" applyNumberFormat="1" applyFont="1" applyFill="1" applyBorder="1" applyAlignment="1">
      <alignment horizontal="right" vertical="center" wrapText="1"/>
    </xf>
    <xf numFmtId="168" fontId="81" fillId="2" borderId="0" xfId="0" applyNumberFormat="1" applyFont="1" applyFill="1"/>
    <xf numFmtId="168" fontId="78" fillId="2" borderId="7" xfId="3" applyNumberFormat="1" applyFont="1" applyFill="1" applyBorder="1" applyAlignment="1" applyProtection="1">
      <alignment horizontal="left" vertical="center"/>
    </xf>
    <xf numFmtId="43" fontId="78" fillId="2" borderId="7" xfId="1" applyFont="1" applyFill="1" applyBorder="1" applyAlignment="1">
      <alignment horizontal="center" vertical="center" wrapText="1"/>
    </xf>
    <xf numFmtId="164" fontId="45" fillId="2" borderId="0" xfId="1" applyNumberFormat="1" applyFont="1" applyFill="1" applyBorder="1" applyAlignment="1">
      <alignment horizontal="right" vertical="center"/>
    </xf>
    <xf numFmtId="164" fontId="45" fillId="2" borderId="0" xfId="0" applyNumberFormat="1" applyFont="1" applyFill="1" applyBorder="1" applyAlignment="1">
      <alignment horizontal="right" vertical="center"/>
    </xf>
    <xf numFmtId="164" fontId="42" fillId="2" borderId="0" xfId="1" applyNumberFormat="1" applyFont="1" applyFill="1" applyBorder="1" applyAlignment="1" applyProtection="1">
      <alignment horizontal="right" vertical="center"/>
    </xf>
    <xf numFmtId="168" fontId="7" fillId="2" borderId="7" xfId="0" applyNumberFormat="1" applyFont="1" applyFill="1" applyBorder="1" applyAlignment="1">
      <alignment horizontal="right" vertical="center" wrapText="1"/>
    </xf>
    <xf numFmtId="168" fontId="75" fillId="2" borderId="0" xfId="0" applyNumberFormat="1" applyFont="1" applyFill="1"/>
    <xf numFmtId="168" fontId="77" fillId="2" borderId="0" xfId="3" applyNumberFormat="1" applyFont="1" applyFill="1" applyBorder="1" applyAlignment="1" applyProtection="1">
      <alignment horizontal="left" vertical="center"/>
    </xf>
    <xf numFmtId="43" fontId="77" fillId="2" borderId="0" xfId="1" applyFont="1" applyFill="1" applyBorder="1"/>
    <xf numFmtId="168" fontId="7" fillId="2" borderId="0" xfId="0" applyNumberFormat="1" applyFont="1" applyFill="1" applyBorder="1" applyAlignment="1">
      <alignment horizontal="right" vertical="center" wrapText="1"/>
    </xf>
    <xf numFmtId="168" fontId="77" fillId="2" borderId="3" xfId="3" applyNumberFormat="1" applyFont="1" applyFill="1" applyBorder="1" applyAlignment="1" applyProtection="1">
      <alignment horizontal="left" vertical="center"/>
    </xf>
    <xf numFmtId="43" fontId="77" fillId="2" borderId="3" xfId="1" applyFont="1" applyFill="1" applyBorder="1"/>
    <xf numFmtId="168" fontId="7" fillId="2" borderId="3" xfId="0" applyNumberFormat="1" applyFont="1" applyFill="1" applyBorder="1" applyAlignment="1">
      <alignment horizontal="right" vertical="center" wrapText="1"/>
    </xf>
    <xf numFmtId="168" fontId="81" fillId="2" borderId="0" xfId="0" applyNumberFormat="1" applyFont="1" applyFill="1" applyAlignment="1">
      <alignment horizontal="center" vertical="center"/>
    </xf>
    <xf numFmtId="164" fontId="51" fillId="2" borderId="0" xfId="1" applyNumberFormat="1" applyFont="1" applyFill="1" applyBorder="1" applyAlignment="1">
      <alignment horizontal="right" vertical="center"/>
    </xf>
    <xf numFmtId="164" fontId="51" fillId="2" borderId="0" xfId="0" applyNumberFormat="1" applyFont="1" applyFill="1" applyBorder="1" applyAlignment="1">
      <alignment horizontal="right" vertical="center"/>
    </xf>
    <xf numFmtId="164" fontId="50" fillId="2" borderId="0" xfId="1" applyNumberFormat="1" applyFont="1" applyFill="1" applyBorder="1" applyAlignment="1" applyProtection="1">
      <alignment horizontal="right" vertical="center"/>
    </xf>
    <xf numFmtId="164" fontId="50" fillId="2" borderId="0" xfId="1" applyNumberFormat="1" applyFont="1" applyFill="1" applyBorder="1" applyAlignment="1">
      <alignment horizontal="right" vertical="center"/>
    </xf>
    <xf numFmtId="164" fontId="51" fillId="2" borderId="0" xfId="1" applyNumberFormat="1" applyFont="1" applyFill="1" applyAlignment="1">
      <alignment vertical="center"/>
    </xf>
    <xf numFmtId="164" fontId="51" fillId="2" borderId="3" xfId="1" applyNumberFormat="1" applyFont="1" applyFill="1" applyBorder="1" applyAlignment="1">
      <alignment horizontal="right" vertical="center"/>
    </xf>
    <xf numFmtId="164" fontId="50" fillId="2" borderId="3" xfId="1" applyNumberFormat="1" applyFont="1" applyFill="1" applyBorder="1" applyAlignment="1">
      <alignment horizontal="right" vertical="center"/>
    </xf>
    <xf numFmtId="164" fontId="51" fillId="2" borderId="3" xfId="0" applyNumberFormat="1" applyFont="1" applyFill="1" applyBorder="1" applyAlignment="1">
      <alignment horizontal="right" vertical="center"/>
    </xf>
    <xf numFmtId="168" fontId="81" fillId="2" borderId="0" xfId="0" applyNumberFormat="1" applyFont="1" applyFill="1" applyAlignment="1">
      <alignment horizontal="right"/>
    </xf>
    <xf numFmtId="168" fontId="82" fillId="2" borderId="0" xfId="3" applyNumberFormat="1" applyFont="1" applyFill="1" applyBorder="1" applyAlignment="1">
      <alignment vertical="center"/>
    </xf>
    <xf numFmtId="168" fontId="81" fillId="2" borderId="0" xfId="0" applyNumberFormat="1" applyFont="1" applyFill="1" applyAlignment="1">
      <alignment vertical="top"/>
    </xf>
    <xf numFmtId="169" fontId="2" fillId="2" borderId="44" xfId="1" applyNumberFormat="1" applyFont="1" applyFill="1" applyBorder="1" applyAlignment="1">
      <alignment horizontal="right" vertical="center" wrapText="1"/>
    </xf>
    <xf numFmtId="168" fontId="53" fillId="2" borderId="44" xfId="3" applyNumberFormat="1" applyFont="1" applyFill="1" applyBorder="1" applyAlignment="1">
      <alignment horizontal="right" vertical="center" wrapText="1"/>
    </xf>
    <xf numFmtId="169" fontId="2" fillId="2" borderId="44" xfId="1" applyNumberFormat="1" applyFont="1" applyFill="1" applyBorder="1" applyAlignment="1">
      <alignment horizontal="right" vertical="center"/>
    </xf>
    <xf numFmtId="169" fontId="45" fillId="2" borderId="44" xfId="1" applyNumberFormat="1" applyFont="1" applyFill="1" applyBorder="1" applyAlignment="1">
      <alignment horizontal="right" vertical="center" wrapText="1"/>
    </xf>
    <xf numFmtId="168" fontId="83" fillId="2" borderId="3" xfId="3" applyNumberFormat="1" applyFont="1" applyFill="1" applyBorder="1" applyAlignment="1">
      <alignment horizontal="right" vertical="center" wrapText="1"/>
    </xf>
    <xf numFmtId="170" fontId="58" fillId="2" borderId="0" xfId="0" applyNumberFormat="1" applyFont="1" applyFill="1" applyAlignment="1">
      <alignment horizontal="left" vertical="center"/>
    </xf>
    <xf numFmtId="164" fontId="45" fillId="2" borderId="0" xfId="1" applyNumberFormat="1" applyFont="1" applyFill="1" applyAlignment="1">
      <alignment horizontal="right" vertical="center"/>
    </xf>
    <xf numFmtId="0" fontId="5" fillId="2" borderId="0" xfId="0" applyFont="1" applyFill="1" applyAlignment="1">
      <alignment horizontal="right" vertical="center"/>
    </xf>
    <xf numFmtId="0" fontId="44" fillId="2" borderId="0" xfId="0" applyFont="1" applyFill="1" applyAlignment="1">
      <alignment horizontal="center" vertical="center"/>
    </xf>
    <xf numFmtId="170" fontId="48" fillId="2" borderId="0" xfId="1" applyNumberFormat="1" applyFont="1" applyFill="1" applyBorder="1" applyAlignment="1">
      <alignment vertical="center"/>
    </xf>
    <xf numFmtId="0" fontId="5" fillId="2" borderId="0" xfId="0" applyFont="1" applyFill="1" applyAlignment="1">
      <alignment vertical="center"/>
    </xf>
    <xf numFmtId="0" fontId="44" fillId="2" borderId="0" xfId="0" applyFont="1" applyFill="1" applyAlignment="1">
      <alignment vertical="center"/>
    </xf>
    <xf numFmtId="0" fontId="5" fillId="2" borderId="0" xfId="0" applyFont="1" applyFill="1" applyBorder="1" applyAlignment="1">
      <alignment vertical="center"/>
    </xf>
    <xf numFmtId="170" fontId="48" fillId="2" borderId="3" xfId="1" applyNumberFormat="1" applyFont="1" applyFill="1" applyBorder="1" applyAlignment="1">
      <alignment vertical="center"/>
    </xf>
    <xf numFmtId="164" fontId="45" fillId="2" borderId="3" xfId="1" applyNumberFormat="1" applyFont="1" applyFill="1" applyBorder="1" applyAlignment="1">
      <alignment horizontal="right" vertical="center"/>
    </xf>
    <xf numFmtId="0" fontId="5" fillId="2" borderId="3" xfId="0" applyFont="1" applyFill="1" applyBorder="1" applyAlignment="1">
      <alignment vertical="center"/>
    </xf>
    <xf numFmtId="0" fontId="15" fillId="2" borderId="0" xfId="0" applyNumberFormat="1" applyFont="1" applyFill="1"/>
    <xf numFmtId="3" fontId="70" fillId="2" borderId="0" xfId="2" applyNumberFormat="1" applyFont="1" applyFill="1" applyBorder="1" applyAlignment="1">
      <alignment vertical="center"/>
    </xf>
    <xf numFmtId="164" fontId="16" fillId="2" borderId="0" xfId="1" applyNumberFormat="1" applyFont="1" applyFill="1" applyBorder="1" applyAlignment="1">
      <alignment horizontal="center" vertical="center"/>
    </xf>
    <xf numFmtId="4" fontId="16" fillId="2" borderId="0" xfId="1" applyNumberFormat="1" applyFont="1" applyFill="1" applyBorder="1" applyAlignment="1">
      <alignment horizontal="center" vertical="center"/>
    </xf>
    <xf numFmtId="164" fontId="16" fillId="2" borderId="0" xfId="1" applyNumberFormat="1" applyFont="1" applyFill="1" applyBorder="1" applyAlignment="1">
      <alignment horizontal="right" vertical="center"/>
    </xf>
    <xf numFmtId="0" fontId="0" fillId="2" borderId="0" xfId="0" applyFont="1" applyFill="1" applyAlignment="1">
      <alignment vertical="center"/>
    </xf>
    <xf numFmtId="164" fontId="57" fillId="2" borderId="0" xfId="1" applyNumberFormat="1" applyFont="1" applyFill="1" applyAlignment="1">
      <alignment horizontal="right" vertical="center"/>
    </xf>
    <xf numFmtId="164" fontId="57" fillId="2" borderId="0" xfId="1" applyNumberFormat="1" applyFont="1" applyFill="1" applyBorder="1" applyAlignment="1">
      <alignment horizontal="right" vertical="center"/>
    </xf>
    <xf numFmtId="164" fontId="57" fillId="2" borderId="3" xfId="1" applyNumberFormat="1" applyFont="1" applyFill="1" applyBorder="1" applyAlignment="1">
      <alignment horizontal="right" vertical="center"/>
    </xf>
    <xf numFmtId="170" fontId="45" fillId="2" borderId="0" xfId="1" applyNumberFormat="1" applyFont="1" applyFill="1" applyAlignment="1">
      <alignment horizontal="center" vertical="center"/>
    </xf>
    <xf numFmtId="0" fontId="5" fillId="2" borderId="0" xfId="0" applyFont="1" applyFill="1" applyAlignment="1">
      <alignment horizontal="right" vertical="center" indent="3"/>
    </xf>
    <xf numFmtId="170" fontId="48" fillId="2" borderId="0" xfId="1" applyNumberFormat="1" applyFont="1" applyFill="1" applyBorder="1" applyAlignment="1"/>
    <xf numFmtId="170" fontId="58" fillId="2" borderId="0" xfId="1" applyNumberFormat="1" applyFont="1" applyFill="1"/>
    <xf numFmtId="170" fontId="49" fillId="2" borderId="0" xfId="1" applyNumberFormat="1" applyFont="1" applyFill="1" applyBorder="1" applyAlignment="1"/>
    <xf numFmtId="170" fontId="57" fillId="2" borderId="0" xfId="1" applyNumberFormat="1" applyFont="1" applyFill="1"/>
    <xf numFmtId="3" fontId="84" fillId="2" borderId="0" xfId="2" applyNumberFormat="1" applyFont="1" applyFill="1" applyBorder="1" applyAlignment="1" applyProtection="1">
      <alignment horizontal="right" vertical="center" indent="3"/>
    </xf>
    <xf numFmtId="169" fontId="2" fillId="2" borderId="0" xfId="0" applyNumberFormat="1" applyFont="1" applyFill="1" applyBorder="1" applyAlignment="1">
      <alignment horizontal="right"/>
    </xf>
    <xf numFmtId="0" fontId="85" fillId="2" borderId="0" xfId="0" applyFont="1" applyFill="1" applyBorder="1"/>
    <xf numFmtId="170" fontId="57" fillId="2" borderId="0" xfId="1" applyNumberFormat="1" applyFont="1" applyFill="1" applyBorder="1" applyAlignment="1"/>
    <xf numFmtId="169" fontId="86" fillId="2" borderId="0" xfId="1" applyNumberFormat="1" applyFont="1" applyFill="1" applyBorder="1" applyAlignment="1">
      <alignment horizontal="right" vertical="center" wrapText="1"/>
    </xf>
    <xf numFmtId="168" fontId="40" fillId="2" borderId="0" xfId="3" applyNumberFormat="1" applyFont="1" applyFill="1" applyBorder="1" applyAlignment="1">
      <alignment horizontal="right" vertical="center" wrapText="1"/>
    </xf>
    <xf numFmtId="169" fontId="86" fillId="2" borderId="0" xfId="1" applyNumberFormat="1" applyFont="1" applyFill="1" applyBorder="1" applyAlignment="1">
      <alignment horizontal="right" vertical="center"/>
    </xf>
    <xf numFmtId="170" fontId="86" fillId="2" borderId="0" xfId="1" applyNumberFormat="1" applyFont="1" applyFill="1" applyBorder="1" applyAlignment="1">
      <alignment horizontal="center" vertical="center"/>
    </xf>
    <xf numFmtId="170" fontId="86" fillId="2" borderId="0" xfId="1" applyNumberFormat="1" applyFont="1" applyFill="1" applyBorder="1" applyAlignment="1">
      <alignment horizontal="right" vertical="center"/>
    </xf>
    <xf numFmtId="170" fontId="85" fillId="2" borderId="0" xfId="1" applyNumberFormat="1" applyFont="1" applyFill="1" applyBorder="1"/>
    <xf numFmtId="170" fontId="0" fillId="2" borderId="0" xfId="0" applyNumberFormat="1" applyFill="1" applyBorder="1"/>
    <xf numFmtId="170" fontId="49" fillId="2" borderId="3" xfId="1" applyNumberFormat="1" applyFont="1" applyFill="1" applyBorder="1" applyAlignment="1"/>
    <xf numFmtId="3" fontId="87" fillId="2" borderId="3" xfId="2" applyNumberFormat="1" applyFont="1" applyFill="1" applyBorder="1" applyAlignment="1" applyProtection="1">
      <alignment horizontal="right" vertical="center" indent="3"/>
    </xf>
    <xf numFmtId="0" fontId="15" fillId="2" borderId="0" xfId="0" applyNumberFormat="1" applyFont="1" applyFill="1" applyAlignment="1">
      <alignment vertical="center"/>
    </xf>
    <xf numFmtId="0" fontId="74" fillId="2" borderId="0" xfId="0" applyFont="1" applyFill="1" applyAlignment="1">
      <alignment vertical="center"/>
    </xf>
    <xf numFmtId="0" fontId="74" fillId="2" borderId="0" xfId="0" applyFont="1" applyFill="1" applyBorder="1" applyAlignment="1">
      <alignment vertical="center"/>
    </xf>
    <xf numFmtId="0" fontId="44" fillId="2" borderId="0" xfId="0" applyFont="1" applyFill="1" applyBorder="1" applyAlignment="1">
      <alignment horizontal="center" vertical="center"/>
    </xf>
    <xf numFmtId="0" fontId="44" fillId="2" borderId="0" xfId="0" applyFont="1" applyFill="1" applyBorder="1"/>
    <xf numFmtId="170" fontId="57" fillId="2" borderId="0" xfId="1" applyNumberFormat="1" applyFont="1" applyFill="1" applyAlignment="1">
      <alignment horizontal="right"/>
    </xf>
    <xf numFmtId="170" fontId="51" fillId="2" borderId="3" xfId="1" applyNumberFormat="1" applyFont="1" applyFill="1" applyBorder="1"/>
    <xf numFmtId="169" fontId="0" fillId="2" borderId="0" xfId="1" applyNumberFormat="1" applyFont="1" applyFill="1"/>
    <xf numFmtId="169" fontId="0" fillId="2" borderId="0" xfId="1" applyNumberFormat="1" applyFont="1" applyFill="1" applyAlignment="1">
      <alignment horizontal="right"/>
    </xf>
    <xf numFmtId="169" fontId="2" fillId="2" borderId="0" xfId="1" applyNumberFormat="1" applyFont="1" applyFill="1"/>
    <xf numFmtId="0" fontId="90" fillId="2" borderId="3" xfId="0" applyFont="1" applyFill="1" applyBorder="1" applyAlignment="1">
      <alignment vertical="center"/>
    </xf>
    <xf numFmtId="0" fontId="45" fillId="2" borderId="0" xfId="0" applyFont="1" applyFill="1" applyBorder="1" applyAlignment="1">
      <alignment vertical="center"/>
    </xf>
    <xf numFmtId="0" fontId="91" fillId="2" borderId="0" xfId="0" applyFont="1" applyFill="1" applyBorder="1" applyAlignment="1">
      <alignment horizontal="right" vertical="center"/>
    </xf>
    <xf numFmtId="0" fontId="51" fillId="2" borderId="0" xfId="0" applyFont="1" applyFill="1" applyBorder="1" applyAlignment="1">
      <alignment vertical="center"/>
    </xf>
    <xf numFmtId="164" fontId="51" fillId="2" borderId="0" xfId="1" applyNumberFormat="1" applyFont="1" applyFill="1" applyAlignment="1">
      <alignment horizontal="right" vertical="center"/>
    </xf>
    <xf numFmtId="0" fontId="92" fillId="2" borderId="0" xfId="0" applyFont="1" applyFill="1" applyBorder="1" applyAlignment="1">
      <alignment horizontal="right" vertical="center"/>
    </xf>
    <xf numFmtId="0" fontId="51" fillId="2" borderId="0" xfId="0" applyFont="1" applyFill="1" applyBorder="1" applyAlignment="1">
      <alignment horizontal="left" vertical="center"/>
    </xf>
    <xf numFmtId="0" fontId="51" fillId="2" borderId="0" xfId="0" applyFont="1" applyFill="1" applyAlignment="1">
      <alignment vertical="center"/>
    </xf>
    <xf numFmtId="0" fontId="51" fillId="2" borderId="3" xfId="0" applyFont="1" applyFill="1" applyBorder="1" applyAlignment="1">
      <alignment vertical="center"/>
    </xf>
    <xf numFmtId="0" fontId="92" fillId="2" borderId="3" xfId="0" applyFont="1" applyFill="1" applyBorder="1" applyAlignment="1">
      <alignment horizontal="right" vertical="center"/>
    </xf>
    <xf numFmtId="0" fontId="81"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horizontal="center" vertical="center"/>
    </xf>
    <xf numFmtId="4" fontId="93" fillId="2" borderId="0" xfId="0" applyNumberFormat="1" applyFont="1" applyFill="1" applyAlignment="1">
      <alignment vertical="top"/>
    </xf>
    <xf numFmtId="0" fontId="81" fillId="2" borderId="0" xfId="0" applyFont="1" applyFill="1"/>
    <xf numFmtId="0" fontId="3" fillId="2" borderId="0" xfId="0" applyFont="1" applyFill="1"/>
    <xf numFmtId="0" fontId="3" fillId="2" borderId="0" xfId="0" applyFont="1" applyFill="1" applyAlignment="1">
      <alignment horizontal="center"/>
    </xf>
    <xf numFmtId="0" fontId="93" fillId="2" borderId="0" xfId="0" applyFont="1" applyFill="1"/>
    <xf numFmtId="4" fontId="93" fillId="2" borderId="0" xfId="0" applyNumberFormat="1" applyFont="1" applyFill="1"/>
    <xf numFmtId="168" fontId="41" fillId="2" borderId="0" xfId="0" applyNumberFormat="1" applyFont="1" applyFill="1"/>
    <xf numFmtId="168" fontId="94" fillId="2" borderId="0" xfId="3" applyNumberFormat="1" applyFont="1" applyFill="1" applyBorder="1" applyAlignment="1" applyProtection="1">
      <alignment horizontal="left" vertical="center"/>
    </xf>
    <xf numFmtId="164" fontId="94" fillId="2" borderId="0" xfId="1" applyNumberFormat="1" applyFont="1" applyFill="1" applyBorder="1" applyAlignment="1" applyProtection="1">
      <alignment horizontal="right" vertical="center"/>
    </xf>
    <xf numFmtId="3" fontId="95" fillId="2" borderId="0" xfId="2" applyNumberFormat="1" applyFont="1" applyFill="1" applyBorder="1" applyAlignment="1" applyProtection="1">
      <alignment horizontal="right" vertical="center" indent="2"/>
    </xf>
    <xf numFmtId="168" fontId="96" fillId="2" borderId="0" xfId="0" applyNumberFormat="1" applyFont="1" applyFill="1"/>
    <xf numFmtId="0" fontId="96" fillId="2" borderId="0" xfId="0" applyFont="1" applyFill="1" applyBorder="1"/>
    <xf numFmtId="43" fontId="96" fillId="2" borderId="0" xfId="1" applyFont="1" applyFill="1" applyBorder="1"/>
    <xf numFmtId="168" fontId="96" fillId="2" borderId="0" xfId="0" applyNumberFormat="1" applyFont="1" applyFill="1" applyBorder="1"/>
    <xf numFmtId="4" fontId="96" fillId="2" borderId="0" xfId="1" applyNumberFormat="1" applyFont="1" applyFill="1" applyBorder="1" applyAlignment="1">
      <alignment horizontal="center" vertical="center"/>
    </xf>
    <xf numFmtId="3" fontId="97" fillId="2" borderId="0" xfId="2" applyNumberFormat="1" applyFont="1" applyFill="1" applyBorder="1"/>
    <xf numFmtId="164" fontId="98" fillId="2" borderId="0" xfId="1" applyNumberFormat="1" applyFont="1" applyFill="1" applyBorder="1" applyAlignment="1">
      <alignment horizontal="right" vertical="center"/>
    </xf>
    <xf numFmtId="3" fontId="99" fillId="2" borderId="0" xfId="2" applyNumberFormat="1" applyFont="1" applyFill="1" applyBorder="1" applyAlignment="1" applyProtection="1">
      <alignment horizontal="right" vertical="center" indent="2"/>
    </xf>
    <xf numFmtId="4" fontId="100" fillId="2" borderId="0" xfId="1" applyNumberFormat="1" applyFont="1" applyFill="1" applyBorder="1" applyAlignment="1">
      <alignment horizontal="center" vertical="center"/>
    </xf>
    <xf numFmtId="43" fontId="100" fillId="2" borderId="0" xfId="1" applyFont="1" applyFill="1" applyBorder="1"/>
    <xf numFmtId="168" fontId="100" fillId="2" borderId="0" xfId="0" applyNumberFormat="1" applyFont="1" applyFill="1" applyBorder="1"/>
    <xf numFmtId="0" fontId="100" fillId="2" borderId="0" xfId="0" applyFont="1" applyFill="1" applyBorder="1"/>
    <xf numFmtId="3" fontId="97" fillId="2" borderId="3" xfId="2" applyNumberFormat="1" applyFont="1" applyFill="1" applyBorder="1"/>
    <xf numFmtId="164" fontId="98" fillId="2" borderId="3" xfId="1" applyNumberFormat="1" applyFont="1" applyFill="1" applyBorder="1" applyAlignment="1">
      <alignment horizontal="right" vertical="center"/>
    </xf>
    <xf numFmtId="3" fontId="101" fillId="2" borderId="3" xfId="2" applyNumberFormat="1" applyFont="1" applyFill="1" applyBorder="1" applyAlignment="1" applyProtection="1">
      <alignment horizontal="right" vertical="center" indent="2"/>
    </xf>
    <xf numFmtId="3" fontId="102" fillId="2" borderId="0" xfId="2" applyNumberFormat="1" applyFont="1" applyFill="1" applyAlignment="1">
      <alignment vertical="center"/>
    </xf>
    <xf numFmtId="168" fontId="0" fillId="2" borderId="0" xfId="0" applyNumberFormat="1" applyFill="1" applyAlignment="1">
      <alignment horizontal="right"/>
    </xf>
    <xf numFmtId="0" fontId="56" fillId="2" borderId="0" xfId="2" applyFont="1" applyFill="1" applyAlignment="1">
      <alignment horizontal="right" vertical="center"/>
    </xf>
    <xf numFmtId="168" fontId="41" fillId="2" borderId="0" xfId="3" applyNumberFormat="1" applyFont="1" applyFill="1" applyBorder="1"/>
    <xf numFmtId="171" fontId="0" fillId="2" borderId="0" xfId="1" applyNumberFormat="1" applyFont="1" applyFill="1"/>
    <xf numFmtId="0" fontId="5" fillId="2" borderId="0" xfId="0" applyFont="1" applyFill="1" applyBorder="1" applyAlignment="1">
      <alignment horizontal="right" vertical="center" wrapText="1"/>
    </xf>
    <xf numFmtId="0" fontId="5" fillId="2" borderId="0" xfId="0" applyFont="1" applyFill="1" applyBorder="1" applyAlignment="1">
      <alignment horizontal="right" wrapText="1"/>
    </xf>
    <xf numFmtId="4" fontId="5" fillId="2" borderId="0" xfId="0" applyNumberFormat="1" applyFont="1" applyFill="1" applyBorder="1" applyAlignment="1">
      <alignment horizontal="right" wrapText="1"/>
    </xf>
    <xf numFmtId="164" fontId="45" fillId="2" borderId="0" xfId="1" applyNumberFormat="1" applyFont="1" applyFill="1" applyBorder="1" applyAlignment="1" applyProtection="1">
      <alignment horizontal="right" vertical="center"/>
    </xf>
    <xf numFmtId="3" fontId="11" fillId="2" borderId="0" xfId="2" applyNumberFormat="1" applyFont="1" applyFill="1" applyBorder="1" applyAlignment="1" applyProtection="1">
      <alignment horizontal="right" vertical="center" indent="2"/>
    </xf>
    <xf numFmtId="3" fontId="38" fillId="2" borderId="0" xfId="2" applyNumberFormat="1" applyFont="1" applyFill="1" applyBorder="1" applyAlignment="1" applyProtection="1">
      <alignment horizontal="right" vertical="center" indent="2"/>
    </xf>
    <xf numFmtId="3" fontId="72" fillId="2" borderId="0" xfId="2" applyNumberFormat="1" applyFont="1" applyFill="1" applyBorder="1" applyAlignment="1" applyProtection="1">
      <alignment horizontal="right" vertical="center" indent="2"/>
    </xf>
    <xf numFmtId="3" fontId="103" fillId="2" borderId="0" xfId="2" applyNumberFormat="1" applyFont="1" applyFill="1" applyBorder="1" applyAlignment="1" applyProtection="1">
      <alignment horizontal="right" vertical="center" indent="2"/>
    </xf>
    <xf numFmtId="3" fontId="72" fillId="2" borderId="0" xfId="2" applyNumberFormat="1" applyFont="1" applyFill="1" applyBorder="1" applyAlignment="1">
      <alignment horizontal="right" vertical="center" indent="2"/>
    </xf>
    <xf numFmtId="0" fontId="44" fillId="2" borderId="0" xfId="0" applyFont="1" applyFill="1" applyBorder="1" applyAlignment="1">
      <alignment horizontal="center" vertical="center" wrapText="1"/>
    </xf>
    <xf numFmtId="0" fontId="44" fillId="2" borderId="1" xfId="0" applyFont="1" applyFill="1" applyBorder="1" applyAlignment="1">
      <alignment horizontal="right" vertical="center" wrapText="1"/>
    </xf>
    <xf numFmtId="0" fontId="44" fillId="2" borderId="31" xfId="0" applyFont="1" applyFill="1" applyBorder="1" applyAlignment="1">
      <alignment horizontal="right" vertical="center" wrapText="1"/>
    </xf>
    <xf numFmtId="168" fontId="3" fillId="2" borderId="7" xfId="0" applyNumberFormat="1" applyFont="1" applyFill="1" applyBorder="1" applyAlignment="1">
      <alignment horizontal="right" vertical="center" wrapText="1"/>
    </xf>
    <xf numFmtId="168" fontId="3" fillId="2" borderId="0" xfId="0" applyNumberFormat="1" applyFont="1" applyFill="1" applyBorder="1" applyAlignment="1">
      <alignment horizontal="right" vertical="center" wrapText="1"/>
    </xf>
    <xf numFmtId="168" fontId="3" fillId="2" borderId="3" xfId="0" applyNumberFormat="1" applyFont="1" applyFill="1" applyBorder="1" applyAlignment="1">
      <alignment horizontal="right" vertical="center" wrapText="1"/>
    </xf>
    <xf numFmtId="49" fontId="6" fillId="2" borderId="0" xfId="0" applyNumberFormat="1" applyFont="1" applyFill="1"/>
    <xf numFmtId="4" fontId="1" fillId="2" borderId="0" xfId="0" applyNumberFormat="1" applyFont="1" applyFill="1" applyAlignment="1">
      <alignment horizontal="center"/>
    </xf>
    <xf numFmtId="0" fontId="44" fillId="2" borderId="0" xfId="0" applyFont="1" applyFill="1" applyBorder="1" applyAlignment="1">
      <alignment horizontal="right" vertical="center" wrapText="1"/>
    </xf>
    <xf numFmtId="3" fontId="34" fillId="2" borderId="0" xfId="2" applyNumberFormat="1" applyFont="1" applyFill="1" applyAlignment="1">
      <alignment vertical="center" readingOrder="2"/>
    </xf>
    <xf numFmtId="0" fontId="2" fillId="2" borderId="0" xfId="0" applyFont="1" applyFill="1" applyBorder="1" applyAlignment="1">
      <alignment vertical="top"/>
    </xf>
    <xf numFmtId="0" fontId="106" fillId="2" borderId="0" xfId="0" applyFont="1" applyFill="1" applyAlignment="1">
      <alignment vertical="center"/>
    </xf>
    <xf numFmtId="4" fontId="2" fillId="2" borderId="7" xfId="0" applyNumberFormat="1" applyFont="1" applyFill="1" applyBorder="1" applyAlignment="1">
      <alignment horizontal="center" vertical="center" wrapText="1"/>
    </xf>
    <xf numFmtId="4" fontId="2" fillId="2" borderId="17" xfId="0" applyNumberFormat="1" applyFont="1" applyFill="1" applyBorder="1" applyAlignment="1">
      <alignment horizontal="center" vertical="center" wrapText="1"/>
    </xf>
    <xf numFmtId="4" fontId="2" fillId="2" borderId="25" xfId="0" applyNumberFormat="1" applyFont="1" applyFill="1" applyBorder="1" applyAlignment="1">
      <alignment horizontal="center" vertical="center" wrapText="1"/>
    </xf>
    <xf numFmtId="0" fontId="0" fillId="2" borderId="0" xfId="0" applyFont="1" applyFill="1"/>
    <xf numFmtId="4" fontId="4" fillId="2" borderId="10" xfId="0" applyNumberFormat="1" applyFont="1" applyFill="1" applyBorder="1" applyAlignment="1">
      <alignment horizontal="center" vertical="center" wrapText="1"/>
    </xf>
    <xf numFmtId="4" fontId="4" fillId="2" borderId="6" xfId="0" applyNumberFormat="1" applyFont="1" applyFill="1" applyBorder="1" applyAlignment="1">
      <alignment horizontal="center" vertical="center" wrapText="1"/>
    </xf>
    <xf numFmtId="4" fontId="107" fillId="2" borderId="10" xfId="0" applyNumberFormat="1" applyFont="1" applyFill="1" applyBorder="1" applyAlignment="1">
      <alignment horizontal="center" vertical="center" wrapText="1"/>
    </xf>
    <xf numFmtId="4" fontId="107" fillId="2" borderId="26" xfId="0" applyNumberFormat="1" applyFont="1" applyFill="1" applyBorder="1" applyAlignment="1">
      <alignment horizontal="center" vertical="center" wrapText="1"/>
    </xf>
    <xf numFmtId="4" fontId="107" fillId="2" borderId="6" xfId="0" applyNumberFormat="1" applyFont="1" applyFill="1" applyBorder="1" applyAlignment="1">
      <alignment horizontal="center" vertical="center" wrapText="1"/>
    </xf>
    <xf numFmtId="49" fontId="2" fillId="2" borderId="7" xfId="0" applyNumberFormat="1" applyFont="1" applyFill="1" applyBorder="1" applyAlignment="1">
      <alignment horizontal="left" vertical="center"/>
    </xf>
    <xf numFmtId="37" fontId="2" fillId="2" borderId="8" xfId="1" applyNumberFormat="1" applyFont="1" applyFill="1" applyBorder="1" applyAlignment="1">
      <alignment horizontal="right" vertical="center"/>
    </xf>
    <xf numFmtId="37" fontId="2" fillId="2" borderId="27" xfId="1" applyNumberFormat="1" applyFont="1" applyFill="1" applyBorder="1" applyAlignment="1">
      <alignment horizontal="right" vertical="center"/>
    </xf>
    <xf numFmtId="3" fontId="34" fillId="2" borderId="7" xfId="2" applyNumberFormat="1" applyFont="1" applyFill="1" applyBorder="1" applyAlignment="1" applyProtection="1">
      <alignment horizontal="right" vertical="center" indent="2"/>
    </xf>
    <xf numFmtId="49" fontId="2" fillId="2" borderId="0" xfId="0" applyNumberFormat="1" applyFont="1" applyFill="1" applyBorder="1" applyAlignment="1">
      <alignment horizontal="left" vertical="center"/>
    </xf>
    <xf numFmtId="37" fontId="2" fillId="2" borderId="0" xfId="1" applyNumberFormat="1" applyFont="1" applyFill="1" applyAlignment="1">
      <alignment horizontal="right" vertical="center"/>
    </xf>
    <xf numFmtId="3" fontId="34" fillId="2" borderId="0" xfId="2" applyNumberFormat="1" applyFont="1" applyFill="1" applyBorder="1" applyAlignment="1" applyProtection="1">
      <alignment horizontal="right" vertical="center" indent="2"/>
    </xf>
    <xf numFmtId="49" fontId="1" fillId="2" borderId="0" xfId="0" applyNumberFormat="1" applyFont="1" applyFill="1" applyBorder="1" applyAlignment="1">
      <alignment horizontal="left" vertical="center"/>
    </xf>
    <xf numFmtId="37" fontId="1" fillId="2" borderId="0" xfId="1" applyNumberFormat="1" applyFont="1" applyFill="1" applyAlignment="1">
      <alignment horizontal="right" vertical="center"/>
    </xf>
    <xf numFmtId="37" fontId="1" fillId="2" borderId="27" xfId="1" applyNumberFormat="1" applyFont="1" applyFill="1" applyBorder="1" applyAlignment="1">
      <alignment horizontal="right" vertical="center"/>
    </xf>
    <xf numFmtId="3" fontId="108" fillId="2" borderId="0" xfId="2" applyNumberFormat="1" applyFont="1" applyFill="1" applyBorder="1" applyAlignment="1" applyProtection="1">
      <alignment horizontal="right" vertical="center" indent="2"/>
    </xf>
    <xf numFmtId="0" fontId="1" fillId="2" borderId="0" xfId="0" applyFont="1" applyFill="1"/>
    <xf numFmtId="49" fontId="1" fillId="2" borderId="3" xfId="0" applyNumberFormat="1" applyFont="1" applyFill="1" applyBorder="1" applyAlignment="1">
      <alignment horizontal="left" vertical="center"/>
    </xf>
    <xf numFmtId="37" fontId="1" fillId="2" borderId="3" xfId="1" applyNumberFormat="1" applyFont="1" applyFill="1" applyBorder="1" applyAlignment="1">
      <alignment horizontal="right" vertical="center"/>
    </xf>
    <xf numFmtId="37" fontId="2" fillId="2" borderId="9" xfId="1" applyNumberFormat="1" applyFont="1" applyFill="1" applyBorder="1" applyAlignment="1">
      <alignment horizontal="right" vertical="center"/>
    </xf>
    <xf numFmtId="37" fontId="1" fillId="2" borderId="11" xfId="1" applyNumberFormat="1" applyFont="1" applyFill="1" applyBorder="1" applyAlignment="1">
      <alignment horizontal="right" vertical="center"/>
    </xf>
    <xf numFmtId="3" fontId="52" fillId="2" borderId="3" xfId="2" applyNumberFormat="1" applyFont="1" applyFill="1" applyBorder="1" applyAlignment="1" applyProtection="1">
      <alignment horizontal="right" vertical="center" indent="2"/>
    </xf>
    <xf numFmtId="49" fontId="15" fillId="2" borderId="0" xfId="0" applyNumberFormat="1" applyFont="1" applyFill="1" applyAlignment="1">
      <alignment vertical="center"/>
    </xf>
    <xf numFmtId="4" fontId="1" fillId="2" borderId="0" xfId="0" applyNumberFormat="1" applyFont="1" applyFill="1" applyAlignment="1">
      <alignment horizontal="center" vertical="center"/>
    </xf>
    <xf numFmtId="0" fontId="1" fillId="2" borderId="0" xfId="0" applyFont="1" applyFill="1" applyAlignment="1">
      <alignment horizontal="center" vertical="center"/>
    </xf>
    <xf numFmtId="4" fontId="1" fillId="2" borderId="0" xfId="0" applyNumberFormat="1" applyFont="1" applyFill="1"/>
    <xf numFmtId="0" fontId="109" fillId="2" borderId="0" xfId="0" applyFont="1" applyFill="1"/>
    <xf numFmtId="49" fontId="0" fillId="2" borderId="0" xfId="0" applyNumberFormat="1" applyFont="1" applyFill="1"/>
    <xf numFmtId="0" fontId="30" fillId="2" borderId="0" xfId="0" applyFont="1" applyFill="1" applyAlignment="1"/>
    <xf numFmtId="49" fontId="106" fillId="2" borderId="0" xfId="0" applyNumberFormat="1" applyFont="1" applyFill="1"/>
    <xf numFmtId="4" fontId="109" fillId="2" borderId="0" xfId="0" applyNumberFormat="1" applyFont="1" applyFill="1"/>
    <xf numFmtId="0" fontId="106" fillId="2" borderId="0" xfId="0" applyFont="1" applyFill="1"/>
    <xf numFmtId="37" fontId="1" fillId="2" borderId="0" xfId="0" applyNumberFormat="1" applyFont="1" applyFill="1"/>
    <xf numFmtId="0" fontId="110" fillId="2" borderId="0" xfId="0" applyFont="1" applyFill="1"/>
    <xf numFmtId="49" fontId="6" fillId="2" borderId="0" xfId="0" applyNumberFormat="1" applyFont="1" applyFill="1" applyAlignment="1">
      <alignment vertical="center"/>
    </xf>
    <xf numFmtId="4" fontId="0" fillId="2" borderId="0" xfId="0" applyNumberFormat="1" applyFill="1" applyAlignment="1">
      <alignment horizontal="center" vertical="center"/>
    </xf>
    <xf numFmtId="0" fontId="1" fillId="2" borderId="0" xfId="0" applyFont="1" applyFill="1" applyAlignment="1">
      <alignment vertical="center"/>
    </xf>
    <xf numFmtId="49" fontId="1" fillId="2" borderId="0" xfId="0" applyNumberFormat="1" applyFont="1" applyFill="1"/>
    <xf numFmtId="37" fontId="1" fillId="2" borderId="9" xfId="1" applyNumberFormat="1" applyFont="1" applyFill="1" applyBorder="1" applyAlignment="1">
      <alignment horizontal="right" vertical="center"/>
    </xf>
    <xf numFmtId="4" fontId="0" fillId="2" borderId="0" xfId="0" applyNumberFormat="1" applyFill="1" applyAlignment="1">
      <alignment horizontal="center"/>
    </xf>
    <xf numFmtId="4" fontId="4" fillId="2" borderId="7" xfId="0" applyNumberFormat="1" applyFont="1" applyFill="1" applyBorder="1" applyAlignment="1">
      <alignment horizontal="center" vertical="center" wrapText="1"/>
    </xf>
    <xf numFmtId="4" fontId="4" fillId="2" borderId="17" xfId="0" applyNumberFormat="1" applyFont="1" applyFill="1" applyBorder="1" applyAlignment="1">
      <alignment horizontal="center" vertical="center" wrapText="1"/>
    </xf>
    <xf numFmtId="4" fontId="4" fillId="2" borderId="25" xfId="0" applyNumberFormat="1" applyFont="1" applyFill="1" applyBorder="1" applyAlignment="1">
      <alignment horizontal="center" vertical="center" wrapText="1"/>
    </xf>
    <xf numFmtId="4" fontId="4" fillId="2" borderId="46" xfId="0" applyNumberFormat="1" applyFont="1" applyFill="1" applyBorder="1" applyAlignment="1">
      <alignment horizontal="center" vertical="center" wrapText="1"/>
    </xf>
    <xf numFmtId="1" fontId="2" fillId="2" borderId="10" xfId="0" applyNumberFormat="1" applyFont="1" applyFill="1" applyBorder="1" applyAlignment="1">
      <alignment horizontal="center" vertical="center" wrapText="1"/>
    </xf>
    <xf numFmtId="1" fontId="2" fillId="2" borderId="6" xfId="0" applyNumberFormat="1" applyFont="1" applyFill="1" applyBorder="1" applyAlignment="1">
      <alignment horizontal="center" vertical="center" wrapText="1"/>
    </xf>
    <xf numFmtId="4" fontId="2" fillId="2" borderId="26" xfId="0" applyNumberFormat="1" applyFont="1" applyFill="1" applyBorder="1" applyAlignment="1">
      <alignment horizontal="center" vertical="center" wrapText="1"/>
    </xf>
    <xf numFmtId="4" fontId="2" fillId="2" borderId="10" xfId="0" applyNumberFormat="1" applyFont="1" applyFill="1" applyBorder="1" applyAlignment="1">
      <alignment horizontal="center" vertical="center" wrapText="1"/>
    </xf>
    <xf numFmtId="1" fontId="2" fillId="2" borderId="33" xfId="0" applyNumberFormat="1" applyFont="1" applyFill="1" applyBorder="1" applyAlignment="1">
      <alignment horizontal="center" vertical="center" wrapText="1"/>
    </xf>
    <xf numFmtId="49" fontId="2" fillId="2" borderId="0" xfId="0" applyNumberFormat="1" applyFont="1" applyFill="1" applyBorder="1"/>
    <xf numFmtId="37" fontId="2" fillId="2" borderId="0" xfId="1" applyNumberFormat="1" applyFont="1" applyFill="1" applyBorder="1"/>
    <xf numFmtId="37" fontId="2" fillId="2" borderId="8" xfId="1" applyNumberFormat="1" applyFont="1" applyFill="1" applyBorder="1"/>
    <xf numFmtId="3" fontId="2" fillId="2" borderId="0" xfId="1" applyNumberFormat="1" applyFont="1" applyFill="1"/>
    <xf numFmtId="3" fontId="2" fillId="2" borderId="0" xfId="1" applyNumberFormat="1" applyFont="1" applyFill="1" applyBorder="1"/>
    <xf numFmtId="37" fontId="2" fillId="2" borderId="4" xfId="1" applyNumberFormat="1" applyFont="1" applyFill="1" applyBorder="1"/>
    <xf numFmtId="3" fontId="2" fillId="2" borderId="27" xfId="1" applyNumberFormat="1" applyFont="1" applyFill="1" applyBorder="1"/>
    <xf numFmtId="49" fontId="0" fillId="2" borderId="0" xfId="0" applyNumberFormat="1" applyFont="1" applyFill="1" applyBorder="1"/>
    <xf numFmtId="37" fontId="0" fillId="2" borderId="0" xfId="1" applyNumberFormat="1" applyFont="1" applyFill="1" applyBorder="1"/>
    <xf numFmtId="37" fontId="1" fillId="2" borderId="0" xfId="1" applyNumberFormat="1" applyFont="1" applyFill="1" applyBorder="1"/>
    <xf numFmtId="37" fontId="0" fillId="2" borderId="8" xfId="1" applyNumberFormat="1" applyFont="1" applyFill="1" applyBorder="1"/>
    <xf numFmtId="3" fontId="1" fillId="2" borderId="0" xfId="1" applyNumberFormat="1" applyFont="1" applyFill="1"/>
    <xf numFmtId="3" fontId="1" fillId="2" borderId="0" xfId="1" applyNumberFormat="1" applyFont="1" applyFill="1" applyBorder="1"/>
    <xf numFmtId="37" fontId="0" fillId="2" borderId="4" xfId="1" applyNumberFormat="1" applyFont="1" applyFill="1" applyBorder="1"/>
    <xf numFmtId="37" fontId="1" fillId="2" borderId="4" xfId="1" applyNumberFormat="1" applyFont="1" applyFill="1" applyBorder="1"/>
    <xf numFmtId="37" fontId="1" fillId="2" borderId="8" xfId="1" applyNumberFormat="1" applyFont="1" applyFill="1" applyBorder="1"/>
    <xf numFmtId="49" fontId="0" fillId="2" borderId="0" xfId="0" applyNumberFormat="1" applyFill="1" applyBorder="1"/>
    <xf numFmtId="49" fontId="0" fillId="2" borderId="3" xfId="0" applyNumberFormat="1" applyFont="1" applyFill="1" applyBorder="1"/>
    <xf numFmtId="37" fontId="0" fillId="2" borderId="3" xfId="1" applyNumberFormat="1" applyFont="1" applyFill="1" applyBorder="1"/>
    <xf numFmtId="37" fontId="2" fillId="2" borderId="9" xfId="1" applyNumberFormat="1" applyFont="1" applyFill="1" applyBorder="1"/>
    <xf numFmtId="37" fontId="1" fillId="2" borderId="3" xfId="1" applyNumberFormat="1" applyFont="1" applyFill="1" applyBorder="1"/>
    <xf numFmtId="37" fontId="0" fillId="2" borderId="9" xfId="1" applyNumberFormat="1" applyFont="1" applyFill="1" applyBorder="1"/>
    <xf numFmtId="3" fontId="1" fillId="2" borderId="3" xfId="1" applyNumberFormat="1" applyFont="1" applyFill="1" applyBorder="1"/>
    <xf numFmtId="37" fontId="0" fillId="2" borderId="21" xfId="1" applyNumberFormat="1" applyFont="1" applyFill="1" applyBorder="1"/>
    <xf numFmtId="37" fontId="1" fillId="2" borderId="9" xfId="1" applyNumberFormat="1" applyFont="1" applyFill="1" applyBorder="1"/>
    <xf numFmtId="3" fontId="105" fillId="2" borderId="3" xfId="2" applyNumberFormat="1" applyFont="1" applyFill="1" applyBorder="1" applyAlignment="1" applyProtection="1">
      <alignment horizontal="right" vertical="center" indent="2"/>
    </xf>
    <xf numFmtId="49" fontId="15" fillId="2" borderId="0" xfId="0" applyNumberFormat="1" applyFont="1" applyFill="1" applyBorder="1" applyAlignment="1">
      <alignment horizontal="left" vertical="center"/>
    </xf>
    <xf numFmtId="0" fontId="74" fillId="2" borderId="0" xfId="0" applyFont="1" applyFill="1" applyAlignment="1">
      <alignment horizontal="left" vertical="center"/>
    </xf>
    <xf numFmtId="4" fontId="16" fillId="2" borderId="0" xfId="0" applyNumberFormat="1" applyFont="1" applyFill="1" applyAlignment="1">
      <alignment horizontal="left" vertical="center"/>
    </xf>
    <xf numFmtId="4" fontId="74" fillId="2" borderId="0" xfId="0" applyNumberFormat="1" applyFont="1" applyFill="1" applyAlignment="1">
      <alignment horizontal="left" vertical="center"/>
    </xf>
    <xf numFmtId="168" fontId="56" fillId="2" borderId="0" xfId="6" applyNumberFormat="1" applyFont="1" applyFill="1" applyBorder="1" applyAlignment="1">
      <alignment horizontal="right" vertical="center"/>
    </xf>
    <xf numFmtId="3" fontId="36" fillId="2" borderId="0" xfId="2" applyNumberFormat="1" applyFont="1" applyFill="1" applyBorder="1" applyAlignment="1" applyProtection="1">
      <alignment vertical="center"/>
    </xf>
    <xf numFmtId="3" fontId="36" fillId="2" borderId="0" xfId="2" applyNumberFormat="1" applyFont="1" applyFill="1" applyBorder="1" applyAlignment="1" applyProtection="1">
      <alignment horizontal="center" vertical="center"/>
    </xf>
    <xf numFmtId="3" fontId="35" fillId="2" borderId="0" xfId="2" applyNumberFormat="1" applyFont="1" applyFill="1" applyBorder="1"/>
    <xf numFmtId="3" fontId="111" fillId="2" borderId="0" xfId="2" applyNumberFormat="1" applyFont="1" applyFill="1" applyBorder="1" applyAlignment="1">
      <alignment vertical="center" readingOrder="2"/>
    </xf>
    <xf numFmtId="3" fontId="112" fillId="2" borderId="0" xfId="2" applyNumberFormat="1" applyFont="1" applyFill="1"/>
    <xf numFmtId="3" fontId="113" fillId="2" borderId="0" xfId="2" applyNumberFormat="1" applyFont="1" applyFill="1" applyBorder="1" applyAlignment="1" applyProtection="1">
      <alignment vertical="center"/>
    </xf>
    <xf numFmtId="3" fontId="112" fillId="2" borderId="0" xfId="2" applyNumberFormat="1" applyFont="1" applyFill="1" applyBorder="1"/>
    <xf numFmtId="1" fontId="53" fillId="2" borderId="0" xfId="1" applyNumberFormat="1" applyFont="1" applyFill="1" applyBorder="1" applyAlignment="1" applyProtection="1">
      <alignment horizontal="right" vertical="center"/>
    </xf>
    <xf numFmtId="37" fontId="51" fillId="2" borderId="40" xfId="1" applyNumberFormat="1" applyFont="1" applyFill="1" applyBorder="1" applyAlignment="1">
      <alignment horizontal="right" vertical="center"/>
    </xf>
    <xf numFmtId="37" fontId="63" fillId="2" borderId="0" xfId="1" applyNumberFormat="1" applyFont="1" applyFill="1" applyBorder="1" applyAlignment="1">
      <alignment horizontal="right" vertical="center"/>
    </xf>
    <xf numFmtId="37" fontId="50" fillId="2" borderId="9" xfId="1" applyNumberFormat="1" applyFont="1" applyFill="1" applyBorder="1" applyAlignment="1">
      <alignment horizontal="right" vertical="center"/>
    </xf>
    <xf numFmtId="168" fontId="78" fillId="2" borderId="7" xfId="3" applyNumberFormat="1" applyFont="1" applyFill="1" applyBorder="1" applyAlignment="1">
      <alignment vertical="center"/>
    </xf>
    <xf numFmtId="170" fontId="57" fillId="2" borderId="3" xfId="1" applyNumberFormat="1" applyFont="1" applyFill="1" applyBorder="1"/>
    <xf numFmtId="3" fontId="34" fillId="2" borderId="0" xfId="2" applyNumberFormat="1" applyFont="1" applyFill="1" applyAlignment="1">
      <alignment wrapText="1" readingOrder="2"/>
    </xf>
    <xf numFmtId="3" fontId="36" fillId="2" borderId="0" xfId="2" applyNumberFormat="1" applyFont="1" applyFill="1" applyBorder="1" applyAlignment="1" applyProtection="1">
      <alignment vertical="top" wrapText="1"/>
    </xf>
    <xf numFmtId="0" fontId="6" fillId="2" borderId="0" xfId="0" applyNumberFormat="1" applyFont="1" applyFill="1" applyAlignment="1">
      <alignment vertical="center"/>
    </xf>
    <xf numFmtId="3" fontId="36" fillId="2" borderId="0" xfId="2" applyNumberFormat="1" applyFont="1" applyFill="1" applyBorder="1" applyAlignment="1" applyProtection="1">
      <alignment horizontal="center" vertical="top" wrapText="1"/>
    </xf>
    <xf numFmtId="168" fontId="53" fillId="2" borderId="44" xfId="3" applyNumberFormat="1" applyFont="1" applyFill="1" applyBorder="1" applyAlignment="1">
      <alignment horizontal="right" vertical="center"/>
    </xf>
    <xf numFmtId="169" fontId="45" fillId="2" borderId="44" xfId="1" applyNumberFormat="1" applyFont="1" applyFill="1" applyBorder="1" applyAlignment="1">
      <alignment horizontal="right" vertical="center"/>
    </xf>
    <xf numFmtId="3" fontId="15" fillId="2" borderId="0" xfId="2" applyNumberFormat="1" applyFont="1" applyFill="1" applyBorder="1" applyAlignment="1">
      <alignment vertical="center"/>
    </xf>
    <xf numFmtId="4" fontId="1" fillId="2" borderId="0" xfId="0" applyNumberFormat="1" applyFont="1" applyFill="1" applyAlignment="1">
      <alignment vertical="center"/>
    </xf>
    <xf numFmtId="168" fontId="17" fillId="2" borderId="0" xfId="6" applyNumberFormat="1" applyFont="1" applyFill="1" applyAlignment="1">
      <alignment horizontal="right" vertical="center"/>
    </xf>
    <xf numFmtId="168" fontId="15" fillId="2" borderId="0" xfId="3" applyNumberFormat="1" applyFont="1" applyFill="1" applyBorder="1" applyAlignment="1" applyProtection="1">
      <alignment horizontal="left" vertical="top"/>
    </xf>
    <xf numFmtId="3" fontId="116" fillId="2" borderId="0" xfId="2" applyNumberFormat="1" applyFont="1" applyFill="1"/>
    <xf numFmtId="0" fontId="2" fillId="2" borderId="7" xfId="2" applyNumberFormat="1" applyFont="1" applyFill="1" applyBorder="1" applyAlignment="1" applyProtection="1">
      <alignment horizontal="center"/>
    </xf>
    <xf numFmtId="0" fontId="2" fillId="2" borderId="12" xfId="2" applyNumberFormat="1" applyFont="1" applyFill="1" applyBorder="1" applyAlignment="1" applyProtection="1">
      <alignment horizontal="center"/>
    </xf>
    <xf numFmtId="0" fontId="2" fillId="2" borderId="45" xfId="2" applyNumberFormat="1" applyFont="1" applyFill="1" applyBorder="1" applyAlignment="1" applyProtection="1">
      <alignment horizontal="right" vertical="center"/>
    </xf>
    <xf numFmtId="3" fontId="117" fillId="2" borderId="0" xfId="2" applyNumberFormat="1" applyFont="1" applyFill="1" applyBorder="1" applyAlignment="1">
      <alignment horizontal="right" vertical="center"/>
    </xf>
    <xf numFmtId="168" fontId="45" fillId="2" borderId="0" xfId="3" applyNumberFormat="1" applyFont="1" applyFill="1" applyBorder="1" applyAlignment="1">
      <alignment horizontal="right" vertical="center" wrapText="1"/>
    </xf>
    <xf numFmtId="168" fontId="119" fillId="2" borderId="0" xfId="0" applyNumberFormat="1" applyFont="1" applyFill="1"/>
    <xf numFmtId="3" fontId="117" fillId="2" borderId="3" xfId="2" applyNumberFormat="1" applyFont="1" applyFill="1" applyBorder="1" applyAlignment="1">
      <alignment horizontal="right" vertical="center"/>
    </xf>
    <xf numFmtId="168" fontId="45" fillId="2" borderId="3" xfId="3" applyNumberFormat="1" applyFont="1" applyFill="1" applyBorder="1" applyAlignment="1">
      <alignment horizontal="right" vertical="center" wrapText="1"/>
    </xf>
    <xf numFmtId="168" fontId="119" fillId="2" borderId="0" xfId="0" applyNumberFormat="1" applyFont="1" applyFill="1" applyBorder="1"/>
    <xf numFmtId="168" fontId="45" fillId="2" borderId="0" xfId="3" applyNumberFormat="1" applyFont="1" applyFill="1" applyBorder="1" applyAlignment="1" applyProtection="1">
      <alignment horizontal="left" vertical="center"/>
    </xf>
    <xf numFmtId="3" fontId="45" fillId="2" borderId="0" xfId="3" applyNumberFormat="1" applyFont="1" applyFill="1" applyBorder="1" applyAlignment="1" applyProtection="1">
      <alignment horizontal="right" vertical="center"/>
    </xf>
    <xf numFmtId="164" fontId="45" fillId="2" borderId="0" xfId="1" applyNumberFormat="1" applyFont="1" applyFill="1" applyBorder="1" applyAlignment="1" applyProtection="1">
      <alignment horizontal="center" vertical="center"/>
    </xf>
    <xf numFmtId="3" fontId="13" fillId="2" borderId="0" xfId="2" applyNumberFormat="1" applyFont="1" applyFill="1" applyBorder="1" applyAlignment="1" applyProtection="1">
      <alignment horizontal="right" vertical="center" indent="2"/>
    </xf>
    <xf numFmtId="168" fontId="1" fillId="2" borderId="0" xfId="0" applyNumberFormat="1" applyFont="1" applyFill="1"/>
    <xf numFmtId="0" fontId="1" fillId="2" borderId="0" xfId="0" applyFont="1" applyFill="1" applyBorder="1"/>
    <xf numFmtId="43" fontId="1" fillId="2" borderId="0" xfId="1" applyFont="1" applyFill="1" applyBorder="1"/>
    <xf numFmtId="168" fontId="1" fillId="2" borderId="0" xfId="0" applyNumberFormat="1" applyFont="1" applyFill="1" applyBorder="1"/>
    <xf numFmtId="4" fontId="1" fillId="2" borderId="0" xfId="1" applyNumberFormat="1" applyFont="1" applyFill="1" applyBorder="1" applyAlignment="1">
      <alignment horizontal="center" vertical="center"/>
    </xf>
    <xf numFmtId="3" fontId="45" fillId="2" borderId="0" xfId="2" applyNumberFormat="1" applyFont="1" applyFill="1" applyBorder="1"/>
    <xf numFmtId="3" fontId="118" fillId="2" borderId="0" xfId="2" applyNumberFormat="1" applyFont="1" applyFill="1" applyBorder="1" applyAlignment="1" applyProtection="1">
      <alignment horizontal="right" vertical="center" indent="2"/>
    </xf>
    <xf numFmtId="3" fontId="51" fillId="2" borderId="0" xfId="2" applyNumberFormat="1" applyFont="1" applyFill="1" applyBorder="1"/>
    <xf numFmtId="3" fontId="120" fillId="2" borderId="0" xfId="2" applyNumberFormat="1" applyFont="1" applyFill="1" applyBorder="1" applyAlignment="1" applyProtection="1">
      <alignment horizontal="right" vertical="center" indent="2"/>
    </xf>
    <xf numFmtId="3" fontId="122" fillId="2" borderId="0" xfId="2" applyNumberFormat="1" applyFont="1" applyFill="1" applyBorder="1" applyAlignment="1" applyProtection="1">
      <alignment horizontal="right" vertical="center" indent="2"/>
    </xf>
    <xf numFmtId="3" fontId="123" fillId="2" borderId="0" xfId="2" applyNumberFormat="1" applyFont="1" applyFill="1" applyBorder="1" applyAlignment="1" applyProtection="1">
      <alignment horizontal="right" vertical="center" indent="2"/>
    </xf>
    <xf numFmtId="168" fontId="1" fillId="2" borderId="0" xfId="0" applyNumberFormat="1" applyFont="1" applyFill="1" applyBorder="1" applyAlignment="1">
      <alignment horizontal="right" indent="2"/>
    </xf>
    <xf numFmtId="3" fontId="120" fillId="2" borderId="0" xfId="2" applyNumberFormat="1" applyFont="1" applyFill="1" applyBorder="1" applyAlignment="1">
      <alignment horizontal="right" vertical="center" indent="2"/>
    </xf>
    <xf numFmtId="3" fontId="51" fillId="2" borderId="0" xfId="2" applyNumberFormat="1" applyFont="1" applyFill="1"/>
    <xf numFmtId="43" fontId="1" fillId="2" borderId="0" xfId="1" applyFont="1" applyFill="1"/>
    <xf numFmtId="3" fontId="51" fillId="2" borderId="3" xfId="2" applyNumberFormat="1" applyFont="1" applyFill="1" applyBorder="1"/>
    <xf numFmtId="3" fontId="45" fillId="2" borderId="3" xfId="3" applyNumberFormat="1" applyFont="1" applyFill="1" applyBorder="1" applyAlignment="1" applyProtection="1">
      <alignment horizontal="right" vertical="center"/>
    </xf>
    <xf numFmtId="164" fontId="45" fillId="2" borderId="3" xfId="1" applyNumberFormat="1" applyFont="1" applyFill="1" applyBorder="1" applyAlignment="1" applyProtection="1">
      <alignment horizontal="center" vertical="center"/>
    </xf>
    <xf numFmtId="3" fontId="17" fillId="2" borderId="3" xfId="2" applyNumberFormat="1" applyFont="1" applyFill="1" applyBorder="1" applyAlignment="1" applyProtection="1">
      <alignment horizontal="right" vertical="center" indent="2"/>
    </xf>
    <xf numFmtId="3" fontId="125" fillId="2" borderId="0" xfId="2" applyNumberFormat="1" applyFont="1" applyFill="1" applyAlignment="1">
      <alignment vertical="center"/>
    </xf>
    <xf numFmtId="3" fontId="125" fillId="2" borderId="0" xfId="2" applyNumberFormat="1" applyFont="1" applyFill="1" applyAlignment="1">
      <alignment horizontal="right" vertical="center"/>
    </xf>
    <xf numFmtId="168" fontId="1" fillId="2" borderId="0" xfId="0" applyNumberFormat="1" applyFont="1" applyFill="1" applyAlignment="1">
      <alignment horizontal="right"/>
    </xf>
    <xf numFmtId="0" fontId="120" fillId="2" borderId="0" xfId="2" applyFont="1" applyFill="1" applyAlignment="1">
      <alignment horizontal="right" vertical="center"/>
    </xf>
    <xf numFmtId="0" fontId="17" fillId="2" borderId="0" xfId="2" applyFont="1" applyFill="1" applyAlignment="1">
      <alignment horizontal="right" vertical="center"/>
    </xf>
    <xf numFmtId="168" fontId="15" fillId="2" borderId="0" xfId="3" applyNumberFormat="1" applyFont="1" applyFill="1" applyBorder="1" applyAlignment="1" applyProtection="1">
      <alignment horizontal="left" vertical="center"/>
    </xf>
    <xf numFmtId="168" fontId="15" fillId="2" borderId="0" xfId="3" applyNumberFormat="1" applyFont="1" applyFill="1" applyBorder="1" applyAlignment="1" applyProtection="1">
      <alignment horizontal="right" vertical="center"/>
    </xf>
    <xf numFmtId="168" fontId="119" fillId="2" borderId="0" xfId="3" applyNumberFormat="1" applyFont="1" applyFill="1" applyBorder="1"/>
    <xf numFmtId="168" fontId="119" fillId="2" borderId="0" xfId="3" applyNumberFormat="1" applyFont="1" applyFill="1" applyBorder="1" applyAlignment="1">
      <alignment horizontal="right"/>
    </xf>
    <xf numFmtId="168" fontId="93" fillId="2" borderId="0" xfId="0" applyNumberFormat="1" applyFont="1" applyFill="1" applyBorder="1"/>
    <xf numFmtId="168" fontId="88" fillId="2" borderId="0" xfId="3" applyNumberFormat="1" applyFont="1" applyFill="1" applyBorder="1" applyAlignment="1">
      <alignment horizontal="right" vertical="center" wrapText="1"/>
    </xf>
    <xf numFmtId="3" fontId="88" fillId="2" borderId="0" xfId="2" applyNumberFormat="1" applyFont="1" applyFill="1" applyBorder="1"/>
    <xf numFmtId="3" fontId="118" fillId="2" borderId="0" xfId="2" applyNumberFormat="1" applyFont="1" applyFill="1" applyBorder="1" applyAlignment="1">
      <alignment horizontal="right" vertical="center" wrapText="1"/>
    </xf>
    <xf numFmtId="168" fontId="90" fillId="2" borderId="3" xfId="3" applyNumberFormat="1" applyFont="1" applyFill="1" applyBorder="1" applyAlignment="1" applyProtection="1">
      <alignment horizontal="left" vertical="center"/>
    </xf>
    <xf numFmtId="3" fontId="88" fillId="2" borderId="3" xfId="2" applyNumberFormat="1" applyFont="1" applyFill="1" applyBorder="1" applyAlignment="1">
      <alignment horizontal="right" vertical="center" wrapText="1"/>
    </xf>
    <xf numFmtId="168" fontId="2" fillId="2" borderId="7" xfId="3" applyNumberFormat="1" applyFont="1" applyFill="1" applyBorder="1" applyAlignment="1" applyProtection="1">
      <alignment horizontal="left" vertical="center"/>
    </xf>
    <xf numFmtId="37" fontId="1" fillId="2" borderId="0" xfId="1" applyNumberFormat="1" applyFont="1" applyFill="1" applyBorder="1" applyAlignment="1">
      <alignment horizontal="center" vertical="center"/>
    </xf>
    <xf numFmtId="37" fontId="2" fillId="2" borderId="7" xfId="1" applyNumberFormat="1" applyFont="1" applyFill="1" applyBorder="1" applyAlignment="1" applyProtection="1">
      <alignment horizontal="right" vertical="center"/>
    </xf>
    <xf numFmtId="168" fontId="1" fillId="2" borderId="0" xfId="3" applyNumberFormat="1" applyFont="1" applyFill="1" applyBorder="1" applyAlignment="1" applyProtection="1">
      <alignment horizontal="left" vertical="center"/>
    </xf>
    <xf numFmtId="37" fontId="1" fillId="2" borderId="0" xfId="1" applyNumberFormat="1" applyFont="1" applyFill="1" applyBorder="1" applyAlignment="1" applyProtection="1">
      <alignment horizontal="right" vertical="center"/>
    </xf>
    <xf numFmtId="37" fontId="81" fillId="2" borderId="0" xfId="1" applyNumberFormat="1" applyFont="1" applyFill="1" applyBorder="1" applyAlignment="1" applyProtection="1">
      <alignment horizontal="right" vertical="center"/>
    </xf>
    <xf numFmtId="168" fontId="1" fillId="2" borderId="3" xfId="3" applyNumberFormat="1" applyFont="1" applyFill="1" applyBorder="1" applyAlignment="1" applyProtection="1">
      <alignment horizontal="left" vertical="center"/>
    </xf>
    <xf numFmtId="37" fontId="1" fillId="2" borderId="3" xfId="1" applyNumberFormat="1" applyFont="1" applyFill="1" applyBorder="1" applyAlignment="1">
      <alignment horizontal="center" vertical="center"/>
    </xf>
    <xf numFmtId="0" fontId="1" fillId="2" borderId="0" xfId="0" applyFont="1" applyFill="1" applyAlignment="1">
      <alignment horizontal="center"/>
    </xf>
    <xf numFmtId="164" fontId="1" fillId="2" borderId="0" xfId="1" applyNumberFormat="1" applyFont="1" applyFill="1"/>
    <xf numFmtId="37" fontId="2" fillId="2" borderId="0" xfId="1" applyNumberFormat="1" applyFont="1" applyFill="1" applyBorder="1" applyAlignment="1" applyProtection="1">
      <alignment horizontal="right" vertical="center"/>
    </xf>
    <xf numFmtId="37" fontId="2" fillId="2" borderId="17" xfId="1" applyNumberFormat="1" applyFont="1" applyFill="1" applyBorder="1" applyAlignment="1" applyProtection="1">
      <alignment horizontal="right" vertical="center"/>
    </xf>
    <xf numFmtId="37" fontId="81" fillId="2" borderId="8" xfId="1" applyNumberFormat="1" applyFont="1" applyFill="1" applyBorder="1" applyAlignment="1" applyProtection="1">
      <alignment horizontal="right" vertical="center"/>
    </xf>
    <xf numFmtId="37" fontId="1" fillId="2" borderId="8" xfId="1" applyNumberFormat="1" applyFont="1" applyFill="1" applyBorder="1" applyAlignment="1" applyProtection="1">
      <alignment horizontal="right" vertical="center"/>
    </xf>
    <xf numFmtId="4" fontId="2" fillId="2" borderId="7" xfId="0" applyNumberFormat="1" applyFont="1" applyFill="1" applyBorder="1" applyAlignment="1">
      <alignment horizontal="right" vertical="center" wrapText="1"/>
    </xf>
    <xf numFmtId="4" fontId="4" fillId="2" borderId="10" xfId="0" applyNumberFormat="1" applyFont="1" applyFill="1" applyBorder="1" applyAlignment="1">
      <alignment horizontal="right" vertical="center" wrapText="1"/>
    </xf>
    <xf numFmtId="4" fontId="4" fillId="2" borderId="25" xfId="0" applyNumberFormat="1" applyFont="1" applyFill="1" applyBorder="1" applyAlignment="1">
      <alignment horizontal="right" vertical="center" wrapText="1"/>
    </xf>
    <xf numFmtId="4" fontId="4" fillId="2" borderId="7" xfId="0" applyNumberFormat="1" applyFont="1" applyFill="1" applyBorder="1" applyAlignment="1">
      <alignment horizontal="right" vertical="center" wrapText="1"/>
    </xf>
    <xf numFmtId="4" fontId="2" fillId="2" borderId="26" xfId="0" applyNumberFormat="1" applyFont="1" applyFill="1" applyBorder="1" applyAlignment="1">
      <alignment horizontal="right" vertical="center" wrapText="1"/>
    </xf>
    <xf numFmtId="4" fontId="2" fillId="2" borderId="10" xfId="0" applyNumberFormat="1" applyFont="1" applyFill="1" applyBorder="1" applyAlignment="1">
      <alignment horizontal="right" vertical="center" wrapText="1"/>
    </xf>
    <xf numFmtId="3" fontId="1" fillId="2" borderId="27" xfId="1" applyNumberFormat="1" applyFont="1" applyFill="1" applyBorder="1"/>
    <xf numFmtId="37" fontId="2" fillId="2" borderId="27" xfId="1" applyNumberFormat="1" applyFont="1" applyFill="1" applyBorder="1"/>
    <xf numFmtId="3" fontId="1" fillId="2" borderId="11" xfId="1" applyNumberFormat="1" applyFont="1" applyFill="1" applyBorder="1"/>
    <xf numFmtId="4" fontId="1" fillId="2" borderId="0" xfId="0" applyNumberFormat="1" applyFont="1" applyFill="1" applyBorder="1"/>
    <xf numFmtId="4" fontId="16" fillId="2" borderId="0" xfId="0" applyNumberFormat="1" applyFont="1" applyFill="1" applyBorder="1" applyAlignment="1">
      <alignment horizontal="left" vertical="center"/>
    </xf>
    <xf numFmtId="0" fontId="74" fillId="2" borderId="0" xfId="0" applyFont="1" applyFill="1" applyBorder="1" applyAlignment="1">
      <alignment horizontal="left" vertical="center"/>
    </xf>
    <xf numFmtId="4" fontId="1" fillId="2" borderId="0" xfId="0" applyNumberFormat="1" applyFont="1" applyFill="1" applyBorder="1" applyAlignment="1">
      <alignment horizontal="center"/>
    </xf>
    <xf numFmtId="4" fontId="4" fillId="2" borderId="17" xfId="0" applyNumberFormat="1" applyFont="1" applyFill="1" applyBorder="1" applyAlignment="1">
      <alignment horizontal="right" vertical="center" wrapText="1"/>
    </xf>
    <xf numFmtId="4" fontId="2" fillId="2" borderId="6" xfId="0" applyNumberFormat="1" applyFont="1" applyFill="1" applyBorder="1" applyAlignment="1">
      <alignment horizontal="right" vertical="center" wrapText="1"/>
    </xf>
    <xf numFmtId="168" fontId="57" fillId="2" borderId="35" xfId="0" applyNumberFormat="1" applyFont="1" applyFill="1" applyBorder="1" applyAlignment="1">
      <alignment horizontal="right"/>
    </xf>
    <xf numFmtId="41" fontId="2" fillId="2" borderId="35" xfId="5" applyFont="1" applyFill="1" applyBorder="1" applyAlignment="1">
      <alignment horizontal="right"/>
    </xf>
    <xf numFmtId="0" fontId="2" fillId="2" borderId="8" xfId="0" applyFont="1" applyFill="1" applyBorder="1" applyAlignment="1">
      <alignment horizontal="center" vertical="center" wrapText="1"/>
    </xf>
    <xf numFmtId="0" fontId="4" fillId="2" borderId="0" xfId="0" applyFont="1" applyFill="1" applyBorder="1" applyAlignment="1">
      <alignment horizontal="right" vertical="center"/>
    </xf>
    <xf numFmtId="0" fontId="2" fillId="2" borderId="7" xfId="0" applyFont="1" applyFill="1" applyBorder="1" applyAlignment="1">
      <alignment horizontal="left" vertical="center"/>
    </xf>
    <xf numFmtId="0" fontId="2" fillId="2" borderId="0" xfId="0" applyFont="1" applyFill="1" applyBorder="1" applyAlignment="1">
      <alignment horizontal="left" vertical="center"/>
    </xf>
    <xf numFmtId="0" fontId="2" fillId="2" borderId="0" xfId="0" applyFont="1" applyFill="1" applyAlignment="1">
      <alignment horizontal="center" vertical="center"/>
    </xf>
    <xf numFmtId="0" fontId="2" fillId="2" borderId="3" xfId="0" applyFont="1" applyFill="1" applyBorder="1" applyAlignment="1">
      <alignment horizontal="center" vertical="center"/>
    </xf>
    <xf numFmtId="0" fontId="2" fillId="2" borderId="13" xfId="0" applyFont="1" applyFill="1" applyBorder="1" applyAlignment="1">
      <alignment horizontal="center"/>
    </xf>
    <xf numFmtId="0" fontId="2" fillId="2" borderId="3" xfId="0" applyFont="1" applyFill="1" applyBorder="1" applyAlignment="1">
      <alignment horizontal="right" vertical="center"/>
    </xf>
    <xf numFmtId="0" fontId="4" fillId="2" borderId="15" xfId="0" applyFont="1" applyFill="1" applyBorder="1" applyAlignment="1">
      <alignment horizontal="right" vertical="center" wrapText="1"/>
    </xf>
    <xf numFmtId="0" fontId="4" fillId="2" borderId="3" xfId="0" applyFont="1" applyFill="1" applyBorder="1" applyAlignment="1">
      <alignment horizontal="right" vertical="center" wrapText="1"/>
    </xf>
    <xf numFmtId="1" fontId="2" fillId="2" borderId="24" xfId="0" applyNumberFormat="1" applyFont="1" applyFill="1" applyBorder="1" applyAlignment="1">
      <alignment horizontal="center" vertical="center"/>
    </xf>
    <xf numFmtId="1" fontId="2" fillId="2" borderId="7" xfId="1" applyNumberFormat="1" applyFont="1" applyFill="1" applyBorder="1" applyAlignment="1">
      <alignment horizontal="center" vertical="center"/>
    </xf>
    <xf numFmtId="1" fontId="2" fillId="2" borderId="25" xfId="1" applyNumberFormat="1" applyFont="1" applyFill="1" applyBorder="1" applyAlignment="1">
      <alignment horizontal="right" vertical="center" indent="4"/>
    </xf>
    <xf numFmtId="1" fontId="2" fillId="2" borderId="27" xfId="1" applyNumberFormat="1" applyFont="1" applyFill="1" applyBorder="1" applyAlignment="1">
      <alignment horizontal="right" vertical="center" indent="4"/>
    </xf>
    <xf numFmtId="1" fontId="2" fillId="2" borderId="11" xfId="1" applyNumberFormat="1" applyFont="1" applyFill="1" applyBorder="1" applyAlignment="1">
      <alignment horizontal="right" vertical="center" indent="4"/>
    </xf>
    <xf numFmtId="0" fontId="2" fillId="2" borderId="21" xfId="0" applyFont="1" applyFill="1" applyBorder="1" applyAlignment="1">
      <alignment horizontal="right"/>
    </xf>
    <xf numFmtId="0" fontId="2" fillId="2" borderId="9" xfId="0" applyFont="1" applyFill="1" applyBorder="1" applyAlignment="1">
      <alignment horizontal="right"/>
    </xf>
    <xf numFmtId="3" fontId="0" fillId="2" borderId="3" xfId="0" applyNumberFormat="1" applyFill="1" applyBorder="1"/>
    <xf numFmtId="1" fontId="1" fillId="2" borderId="35" xfId="1" applyNumberFormat="1" applyFont="1" applyFill="1" applyBorder="1" applyAlignment="1">
      <alignment horizontal="center" vertical="center"/>
    </xf>
    <xf numFmtId="1" fontId="1" fillId="2" borderId="40" xfId="1" applyNumberFormat="1" applyFont="1" applyFill="1" applyBorder="1" applyAlignment="1">
      <alignment horizontal="center" vertical="center"/>
    </xf>
    <xf numFmtId="0" fontId="2" fillId="2" borderId="0" xfId="0" applyFont="1" applyFill="1" applyBorder="1" applyAlignment="1">
      <alignment horizontal="right" vertical="center"/>
    </xf>
    <xf numFmtId="0" fontId="2" fillId="2" borderId="48" xfId="0" applyFont="1" applyFill="1" applyBorder="1" applyAlignment="1">
      <alignment horizontal="center" vertical="center"/>
    </xf>
    <xf numFmtId="0" fontId="2" fillId="2" borderId="48" xfId="0" applyFont="1" applyFill="1" applyBorder="1" applyAlignment="1">
      <alignment horizontal="center"/>
    </xf>
    <xf numFmtId="1" fontId="0" fillId="2" borderId="0" xfId="0" applyNumberFormat="1" applyFill="1" applyBorder="1"/>
    <xf numFmtId="165" fontId="0" fillId="2" borderId="0" xfId="0" applyNumberFormat="1" applyFill="1" applyBorder="1"/>
    <xf numFmtId="0" fontId="0" fillId="2" borderId="0" xfId="0" applyFill="1" applyBorder="1" applyAlignment="1">
      <alignment horizontal="right" vertical="center"/>
    </xf>
    <xf numFmtId="3" fontId="2" fillId="2" borderId="7" xfId="0" applyNumberFormat="1" applyFont="1" applyFill="1" applyBorder="1" applyAlignment="1">
      <alignment horizontal="right" vertical="center"/>
    </xf>
    <xf numFmtId="3" fontId="2" fillId="2" borderId="3" xfId="1" applyNumberFormat="1" applyFont="1" applyFill="1" applyBorder="1" applyAlignment="1">
      <alignment horizontal="right" vertical="center"/>
    </xf>
    <xf numFmtId="3" fontId="0" fillId="2" borderId="0" xfId="0" applyNumberFormat="1" applyFill="1" applyAlignment="1">
      <alignment horizontal="right"/>
    </xf>
    <xf numFmtId="3" fontId="0" fillId="2" borderId="3" xfId="0" applyNumberFormat="1" applyFill="1" applyBorder="1" applyAlignment="1">
      <alignment horizontal="right"/>
    </xf>
    <xf numFmtId="49" fontId="0" fillId="2" borderId="0" xfId="0" applyNumberFormat="1" applyFill="1" applyAlignment="1">
      <alignment horizontal="right" vertical="center"/>
    </xf>
    <xf numFmtId="165" fontId="0" fillId="2" borderId="0" xfId="0" applyNumberFormat="1" applyFill="1" applyAlignment="1">
      <alignment vertical="center"/>
    </xf>
    <xf numFmtId="0" fontId="2" fillId="2" borderId="26" xfId="0" applyFont="1" applyFill="1" applyBorder="1" applyAlignment="1">
      <alignment horizontal="center" vertical="center" wrapText="1"/>
    </xf>
    <xf numFmtId="164" fontId="2" fillId="2" borderId="25" xfId="1" applyNumberFormat="1" applyFont="1" applyFill="1" applyBorder="1" applyAlignment="1">
      <alignment horizontal="right" vertical="center"/>
    </xf>
    <xf numFmtId="164" fontId="1" fillId="2" borderId="11" xfId="1" applyNumberFormat="1" applyFont="1" applyFill="1" applyBorder="1" applyAlignment="1">
      <alignment horizontal="right" vertical="center"/>
    </xf>
    <xf numFmtId="0" fontId="5" fillId="2" borderId="14" xfId="0" applyFont="1" applyFill="1" applyBorder="1" applyAlignment="1">
      <alignment horizontal="right" vertical="center"/>
    </xf>
    <xf numFmtId="0" fontId="2" fillId="2" borderId="9" xfId="0" applyFont="1" applyFill="1" applyBorder="1" applyAlignment="1">
      <alignment horizontal="right" vertical="center" wrapText="1"/>
    </xf>
    <xf numFmtId="3" fontId="0" fillId="2" borderId="8" xfId="1" applyNumberFormat="1" applyFont="1" applyFill="1" applyBorder="1" applyAlignment="1">
      <alignment vertical="center" wrapText="1"/>
    </xf>
    <xf numFmtId="3" fontId="0" fillId="2" borderId="9" xfId="1" applyNumberFormat="1" applyFont="1" applyFill="1" applyBorder="1" applyAlignment="1">
      <alignment vertical="center" wrapText="1"/>
    </xf>
    <xf numFmtId="0" fontId="2" fillId="2" borderId="32" xfId="0" applyFont="1" applyFill="1" applyBorder="1" applyAlignment="1">
      <alignment horizontal="right" vertical="center"/>
    </xf>
    <xf numFmtId="0" fontId="4" fillId="2" borderId="9" xfId="0" applyFont="1" applyFill="1" applyBorder="1"/>
    <xf numFmtId="3" fontId="2" fillId="2" borderId="8" xfId="1" applyNumberFormat="1" applyFont="1" applyFill="1" applyBorder="1" applyAlignment="1">
      <alignment vertical="center"/>
    </xf>
    <xf numFmtId="0" fontId="2" fillId="2" borderId="3" xfId="0" applyFont="1" applyFill="1" applyBorder="1" applyAlignment="1">
      <alignment horizontal="right" vertical="center"/>
    </xf>
    <xf numFmtId="164" fontId="6" fillId="2" borderId="0" xfId="0" applyNumberFormat="1" applyFont="1" applyFill="1" applyAlignment="1">
      <alignment horizontal="right" vertical="center" indent="2"/>
    </xf>
    <xf numFmtId="168" fontId="78" fillId="2" borderId="0" xfId="3" applyNumberFormat="1" applyFont="1" applyFill="1" applyBorder="1" applyAlignment="1">
      <alignment vertical="center" wrapText="1"/>
    </xf>
    <xf numFmtId="0" fontId="4" fillId="2" borderId="3" xfId="0" applyFont="1" applyFill="1" applyBorder="1" applyAlignment="1">
      <alignment horizontal="right" vertical="center"/>
    </xf>
    <xf numFmtId="0" fontId="2" fillId="2" borderId="7" xfId="0" applyFont="1" applyFill="1" applyBorder="1" applyAlignment="1">
      <alignment horizontal="center" vertical="center"/>
    </xf>
    <xf numFmtId="0" fontId="2" fillId="2" borderId="1" xfId="0" applyFont="1" applyFill="1" applyBorder="1" applyAlignment="1">
      <alignment horizontal="center"/>
    </xf>
    <xf numFmtId="164" fontId="1" fillId="2" borderId="0" xfId="1" applyNumberFormat="1" applyFont="1" applyFill="1" applyBorder="1" applyAlignment="1">
      <alignment horizontal="right" vertical="center"/>
    </xf>
    <xf numFmtId="164" fontId="1" fillId="2" borderId="3" xfId="1" applyNumberFormat="1" applyFont="1" applyFill="1" applyBorder="1" applyAlignment="1">
      <alignment horizontal="right" vertical="center"/>
    </xf>
    <xf numFmtId="164" fontId="2" fillId="2" borderId="7" xfId="1" applyNumberFormat="1" applyFont="1" applyFill="1" applyBorder="1" applyAlignment="1">
      <alignment horizontal="right" vertical="center"/>
    </xf>
    <xf numFmtId="1" fontId="2" fillId="2" borderId="25" xfId="1" applyNumberFormat="1" applyFont="1" applyFill="1" applyBorder="1" applyAlignment="1">
      <alignment horizontal="center" vertical="center"/>
    </xf>
    <xf numFmtId="1" fontId="1" fillId="2" borderId="27" xfId="1" applyNumberFormat="1" applyFont="1" applyFill="1" applyBorder="1" applyAlignment="1">
      <alignment horizontal="center" vertical="center"/>
    </xf>
    <xf numFmtId="1" fontId="1" fillId="2" borderId="11" xfId="1" applyNumberFormat="1" applyFont="1" applyFill="1" applyBorder="1" applyAlignment="1">
      <alignment horizontal="center" vertical="center"/>
    </xf>
    <xf numFmtId="43" fontId="0" fillId="2" borderId="0" xfId="1" applyNumberFormat="1" applyFont="1" applyFill="1" applyBorder="1"/>
    <xf numFmtId="164" fontId="0" fillId="2" borderId="0" xfId="1" applyNumberFormat="1" applyFont="1" applyFill="1" applyBorder="1" applyAlignment="1">
      <alignment vertical="center" wrapText="1"/>
    </xf>
    <xf numFmtId="164" fontId="0" fillId="2" borderId="3" xfId="1" applyNumberFormat="1" applyFont="1" applyFill="1" applyBorder="1" applyAlignment="1">
      <alignment vertical="center" wrapText="1"/>
    </xf>
    <xf numFmtId="164" fontId="16" fillId="2" borderId="0" xfId="0" applyNumberFormat="1" applyFont="1" applyFill="1"/>
    <xf numFmtId="0" fontId="2" fillId="2" borderId="5" xfId="0" applyFont="1" applyFill="1" applyBorder="1" applyAlignment="1">
      <alignment vertical="center"/>
    </xf>
    <xf numFmtId="0" fontId="2" fillId="2" borderId="1" xfId="0" applyFont="1" applyFill="1" applyBorder="1" applyAlignment="1"/>
    <xf numFmtId="164" fontId="0" fillId="2" borderId="0" xfId="0" applyNumberFormat="1" applyFill="1" applyAlignment="1">
      <alignment horizontal="center" vertical="center"/>
    </xf>
    <xf numFmtId="164" fontId="0" fillId="2" borderId="3" xfId="0" applyNumberFormat="1" applyFill="1" applyBorder="1" applyAlignment="1">
      <alignment horizontal="center" vertical="center"/>
    </xf>
    <xf numFmtId="164" fontId="0" fillId="2" borderId="46" xfId="1" applyNumberFormat="1" applyFont="1" applyFill="1" applyBorder="1" applyAlignment="1">
      <alignment horizontal="center" vertical="center"/>
    </xf>
    <xf numFmtId="164" fontId="0" fillId="2" borderId="7" xfId="1" applyNumberFormat="1" applyFont="1" applyFill="1" applyBorder="1" applyAlignment="1">
      <alignment horizontal="center" vertical="center"/>
    </xf>
    <xf numFmtId="0" fontId="4" fillId="2" borderId="19" xfId="0" applyFont="1" applyFill="1" applyBorder="1" applyAlignment="1">
      <alignment horizontal="right"/>
    </xf>
    <xf numFmtId="0" fontId="2" fillId="2" borderId="20" xfId="0" applyFont="1" applyFill="1" applyBorder="1" applyAlignment="1">
      <alignment horizontal="right" vertical="center"/>
    </xf>
    <xf numFmtId="0" fontId="4" fillId="2" borderId="3" xfId="0" applyFont="1" applyFill="1" applyBorder="1" applyAlignment="1">
      <alignment horizontal="right"/>
    </xf>
    <xf numFmtId="3" fontId="2" fillId="3" borderId="7" xfId="1" applyNumberFormat="1" applyFont="1" applyFill="1" applyBorder="1" applyAlignment="1">
      <alignment horizontal="right" vertical="center"/>
    </xf>
    <xf numFmtId="164" fontId="0" fillId="3" borderId="0" xfId="1" applyNumberFormat="1" applyFont="1" applyFill="1" applyBorder="1" applyAlignment="1">
      <alignment horizontal="right" vertical="center"/>
    </xf>
    <xf numFmtId="168" fontId="126" fillId="2" borderId="0" xfId="3" applyNumberFormat="1" applyFont="1" applyFill="1" applyBorder="1" applyAlignment="1" applyProtection="1">
      <alignment horizontal="left" vertical="center"/>
    </xf>
    <xf numFmtId="3" fontId="60" fillId="2" borderId="0" xfId="2" applyNumberFormat="1" applyFont="1" applyFill="1"/>
    <xf numFmtId="0" fontId="127" fillId="2" borderId="0" xfId="0" applyFont="1" applyFill="1"/>
    <xf numFmtId="0" fontId="127" fillId="2" borderId="0" xfId="0" applyFont="1" applyFill="1" applyAlignment="1">
      <alignment horizontal="right"/>
    </xf>
    <xf numFmtId="0" fontId="86" fillId="2" borderId="0" xfId="0" applyFont="1" applyFill="1" applyAlignment="1">
      <alignment horizontal="right" vertical="center"/>
    </xf>
    <xf numFmtId="168" fontId="128" fillId="2" borderId="0" xfId="6" applyNumberFormat="1" applyFont="1" applyFill="1" applyAlignment="1">
      <alignment horizontal="right" vertical="center"/>
    </xf>
    <xf numFmtId="167" fontId="75" fillId="2" borderId="0" xfId="0" applyNumberFormat="1" applyFont="1" applyFill="1"/>
    <xf numFmtId="164" fontId="45" fillId="3" borderId="0" xfId="1" applyNumberFormat="1" applyFont="1" applyFill="1" applyAlignment="1">
      <alignment horizontal="right" vertical="center"/>
    </xf>
    <xf numFmtId="164" fontId="94" fillId="3" borderId="0" xfId="1" applyNumberFormat="1" applyFont="1" applyFill="1" applyBorder="1" applyAlignment="1" applyProtection="1">
      <alignment horizontal="right" vertical="center"/>
    </xf>
    <xf numFmtId="4" fontId="2" fillId="2" borderId="25" xfId="0" applyNumberFormat="1" applyFont="1" applyFill="1" applyBorder="1" applyAlignment="1">
      <alignment horizontal="right" vertical="center" wrapText="1"/>
    </xf>
    <xf numFmtId="4" fontId="4" fillId="2" borderId="26" xfId="0" applyNumberFormat="1" applyFont="1" applyFill="1" applyBorder="1" applyAlignment="1">
      <alignment horizontal="right" vertical="center" wrapText="1"/>
    </xf>
    <xf numFmtId="3" fontId="2" fillId="2" borderId="27" xfId="1" applyNumberFormat="1" applyFont="1" applyFill="1" applyBorder="1" applyAlignment="1">
      <alignment horizontal="right" vertical="center"/>
    </xf>
    <xf numFmtId="3" fontId="0" fillId="2" borderId="27" xfId="1" applyNumberFormat="1" applyFont="1" applyFill="1" applyBorder="1" applyAlignment="1">
      <alignment horizontal="right" vertical="center"/>
    </xf>
    <xf numFmtId="3" fontId="0" fillId="2" borderId="11" xfId="1" applyNumberFormat="1" applyFont="1" applyFill="1" applyBorder="1" applyAlignment="1">
      <alignment horizontal="right" vertical="center"/>
    </xf>
    <xf numFmtId="0" fontId="4" fillId="2" borderId="0" xfId="0" applyFont="1" applyFill="1" applyAlignment="1">
      <alignment horizontal="center"/>
    </xf>
    <xf numFmtId="0" fontId="2" fillId="2" borderId="0" xfId="0" applyFont="1" applyFill="1" applyAlignment="1">
      <alignment horizontal="center"/>
    </xf>
    <xf numFmtId="0" fontId="4" fillId="2" borderId="7" xfId="0" applyFont="1" applyFill="1" applyBorder="1" applyAlignment="1">
      <alignment horizontal="right" vertical="center"/>
    </xf>
    <xf numFmtId="0" fontId="4" fillId="2" borderId="0" xfId="0" applyFont="1" applyFill="1" applyBorder="1" applyAlignment="1">
      <alignment horizontal="right" vertical="center"/>
    </xf>
    <xf numFmtId="0" fontId="4" fillId="2" borderId="3" xfId="0" applyFont="1" applyFill="1" applyBorder="1" applyAlignment="1">
      <alignment horizontal="right" vertical="center"/>
    </xf>
    <xf numFmtId="0" fontId="2" fillId="2" borderId="7" xfId="0" applyFont="1" applyFill="1" applyBorder="1" applyAlignment="1">
      <alignment horizontal="left" vertical="center"/>
    </xf>
    <xf numFmtId="0" fontId="2" fillId="2" borderId="0" xfId="0" applyFont="1" applyFill="1" applyBorder="1" applyAlignment="1">
      <alignment horizontal="left" vertical="center"/>
    </xf>
    <xf numFmtId="0" fontId="2" fillId="2" borderId="3" xfId="0" applyFont="1" applyFill="1" applyBorder="1" applyAlignment="1">
      <alignment horizontal="left"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4" fillId="2" borderId="1" xfId="0" applyFont="1" applyFill="1" applyBorder="1" applyAlignment="1">
      <alignment horizontal="right" vertical="center"/>
    </xf>
    <xf numFmtId="0" fontId="4" fillId="2" borderId="1" xfId="0" applyFont="1" applyFill="1" applyBorder="1" applyAlignment="1">
      <alignment horizontal="left" vertical="center"/>
    </xf>
    <xf numFmtId="0" fontId="4" fillId="2" borderId="31" xfId="0" applyFont="1" applyFill="1" applyBorder="1" applyAlignment="1">
      <alignment horizontal="left" vertical="center"/>
    </xf>
    <xf numFmtId="0" fontId="2" fillId="2" borderId="29" xfId="0" applyFont="1" applyFill="1" applyBorder="1" applyAlignment="1">
      <alignment horizontal="center" vertical="center"/>
    </xf>
    <xf numFmtId="0" fontId="4" fillId="2" borderId="2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2" borderId="27" xfId="0" applyFont="1" applyFill="1" applyBorder="1" applyAlignment="1">
      <alignment horizontal="center" vertical="center"/>
    </xf>
    <xf numFmtId="0" fontId="2" fillId="2" borderId="0" xfId="0" applyFont="1" applyFill="1" applyBorder="1" applyAlignment="1">
      <alignment horizontal="center" vertical="center"/>
    </xf>
    <xf numFmtId="0" fontId="4" fillId="2" borderId="17"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3" fillId="2" borderId="0" xfId="0" applyFont="1" applyFill="1" applyAlignment="1">
      <alignment horizont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7" xfId="0" applyFont="1" applyFill="1" applyBorder="1" applyAlignment="1">
      <alignment horizontal="center" vertical="center"/>
    </xf>
    <xf numFmtId="0" fontId="2" fillId="2" borderId="10" xfId="0" applyFont="1" applyFill="1" applyBorder="1" applyAlignment="1">
      <alignment horizontal="center"/>
    </xf>
    <xf numFmtId="0" fontId="2" fillId="2" borderId="6" xfId="0" applyFont="1" applyFill="1" applyBorder="1" applyAlignment="1">
      <alignment horizontal="center"/>
    </xf>
    <xf numFmtId="0" fontId="4" fillId="2" borderId="25" xfId="0" applyFont="1" applyFill="1" applyBorder="1" applyAlignment="1">
      <alignment horizontal="center" vertical="center"/>
    </xf>
    <xf numFmtId="0" fontId="2" fillId="2" borderId="26" xfId="0" applyFont="1" applyFill="1" applyBorder="1" applyAlignment="1">
      <alignment horizontal="center"/>
    </xf>
    <xf numFmtId="0" fontId="2" fillId="2" borderId="26" xfId="0" applyFont="1" applyFill="1" applyBorder="1" applyAlignment="1">
      <alignment horizontal="center" vertical="center"/>
    </xf>
    <xf numFmtId="0" fontId="2" fillId="2" borderId="10" xfId="0" applyFont="1" applyFill="1" applyBorder="1" applyAlignment="1">
      <alignment horizontal="center" vertical="center"/>
    </xf>
    <xf numFmtId="0" fontId="30" fillId="2" borderId="0" xfId="0" applyFont="1" applyFill="1" applyBorder="1" applyAlignment="1">
      <alignment horizontal="center" vertical="center"/>
    </xf>
    <xf numFmtId="0" fontId="2" fillId="2" borderId="33" xfId="0" applyFont="1" applyFill="1" applyBorder="1" applyAlignment="1">
      <alignment horizontal="center"/>
    </xf>
    <xf numFmtId="0" fontId="2" fillId="2" borderId="1" xfId="0" applyFont="1" applyFill="1" applyBorder="1" applyAlignment="1">
      <alignment horizontal="center" vertical="center"/>
    </xf>
    <xf numFmtId="0" fontId="2" fillId="2" borderId="31" xfId="0" applyFont="1" applyFill="1" applyBorder="1" applyAlignment="1">
      <alignment horizontal="center" vertical="center"/>
    </xf>
    <xf numFmtId="0" fontId="5" fillId="2" borderId="2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6" xfId="0" applyFont="1" applyFill="1" applyBorder="1" applyAlignment="1">
      <alignment horizontal="center" vertical="center"/>
    </xf>
    <xf numFmtId="0" fontId="5" fillId="2" borderId="34"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2" fillId="2" borderId="12" xfId="0" applyFont="1" applyFill="1" applyBorder="1" applyAlignment="1">
      <alignment horizontal="center"/>
    </xf>
    <xf numFmtId="0" fontId="2" fillId="2" borderId="29" xfId="0" applyFont="1" applyFill="1" applyBorder="1" applyAlignment="1">
      <alignment horizontal="center"/>
    </xf>
    <xf numFmtId="0" fontId="2" fillId="2" borderId="1" xfId="0" applyFont="1" applyFill="1" applyBorder="1" applyAlignment="1">
      <alignment horizontal="center"/>
    </xf>
    <xf numFmtId="0" fontId="30" fillId="2" borderId="0" xfId="0" applyFont="1" applyFill="1" applyAlignment="1">
      <alignment horizontal="center" vertical="center"/>
    </xf>
    <xf numFmtId="0" fontId="2" fillId="2" borderId="12" xfId="0" applyFont="1" applyFill="1" applyBorder="1" applyAlignment="1">
      <alignment horizontal="center" wrapText="1"/>
    </xf>
    <xf numFmtId="0" fontId="2" fillId="2" borderId="13" xfId="0" applyFont="1" applyFill="1" applyBorder="1" applyAlignment="1">
      <alignment horizontal="center" wrapText="1"/>
    </xf>
    <xf numFmtId="0" fontId="2" fillId="2" borderId="29" xfId="0" applyFont="1" applyFill="1" applyBorder="1" applyAlignment="1">
      <alignment horizontal="center" wrapText="1"/>
    </xf>
    <xf numFmtId="0" fontId="2" fillId="2" borderId="31" xfId="0" applyFont="1" applyFill="1" applyBorder="1" applyAlignment="1">
      <alignment horizontal="center"/>
    </xf>
    <xf numFmtId="0" fontId="2" fillId="2" borderId="13" xfId="0" applyFont="1" applyFill="1" applyBorder="1" applyAlignment="1">
      <alignment horizontal="center"/>
    </xf>
    <xf numFmtId="0" fontId="2" fillId="2" borderId="28" xfId="0" applyFont="1" applyFill="1" applyBorder="1" applyAlignment="1">
      <alignment horizontal="center"/>
    </xf>
    <xf numFmtId="0" fontId="4" fillId="2" borderId="0" xfId="0" applyFont="1" applyFill="1" applyBorder="1" applyAlignment="1">
      <alignment horizontal="center" vertical="center"/>
    </xf>
    <xf numFmtId="0" fontId="4" fillId="2" borderId="3" xfId="0" applyFont="1" applyFill="1" applyBorder="1" applyAlignment="1">
      <alignment horizontal="center" vertical="center"/>
    </xf>
    <xf numFmtId="0" fontId="31" fillId="2" borderId="0" xfId="0" applyFont="1" applyFill="1" applyBorder="1" applyAlignment="1">
      <alignment horizontal="center"/>
    </xf>
    <xf numFmtId="0" fontId="31" fillId="2" borderId="0" xfId="0" applyFont="1" applyFill="1" applyAlignment="1">
      <alignment horizontal="center"/>
    </xf>
    <xf numFmtId="0" fontId="2" fillId="2" borderId="3" xfId="0" applyFont="1" applyFill="1" applyBorder="1" applyAlignment="1">
      <alignment horizontal="center"/>
    </xf>
    <xf numFmtId="0" fontId="2" fillId="2" borderId="7" xfId="0" applyFont="1" applyFill="1" applyBorder="1" applyAlignment="1">
      <alignment horizontal="right" vertical="center"/>
    </xf>
    <xf numFmtId="0" fontId="2" fillId="2" borderId="10" xfId="0" applyFont="1" applyFill="1" applyBorder="1" applyAlignment="1">
      <alignment horizontal="right" vertical="center"/>
    </xf>
    <xf numFmtId="0" fontId="2" fillId="2" borderId="5" xfId="0" applyFont="1" applyFill="1" applyBorder="1" applyAlignment="1">
      <alignment horizontal="center" vertical="center"/>
    </xf>
    <xf numFmtId="0" fontId="2" fillId="2" borderId="18" xfId="0" applyFont="1" applyFill="1" applyBorder="1" applyAlignment="1">
      <alignment horizontal="center"/>
    </xf>
    <xf numFmtId="0" fontId="2" fillId="2" borderId="5" xfId="0" applyFont="1" applyFill="1" applyBorder="1" applyAlignment="1">
      <alignment horizontal="center"/>
    </xf>
    <xf numFmtId="0" fontId="2" fillId="2" borderId="20"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3" xfId="0" applyFont="1" applyFill="1" applyBorder="1" applyAlignment="1">
      <alignment horizontal="right" vertical="center"/>
    </xf>
    <xf numFmtId="0" fontId="4" fillId="2" borderId="15" xfId="0" applyFont="1" applyFill="1" applyBorder="1" applyAlignment="1">
      <alignment horizontal="right" vertical="center" wrapText="1"/>
    </xf>
    <xf numFmtId="0" fontId="4" fillId="2" borderId="3" xfId="0" applyFont="1" applyFill="1" applyBorder="1" applyAlignment="1">
      <alignment horizontal="right" vertical="center" wrapText="1"/>
    </xf>
    <xf numFmtId="0" fontId="2" fillId="2" borderId="25"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3" fontId="34" fillId="2" borderId="0" xfId="2" applyNumberFormat="1" applyFont="1" applyFill="1" applyAlignment="1">
      <alignment horizontal="center" vertical="center" readingOrder="2"/>
    </xf>
    <xf numFmtId="3" fontId="36" fillId="2" borderId="0" xfId="2" applyNumberFormat="1" applyFont="1" applyFill="1" applyBorder="1" applyAlignment="1" applyProtection="1">
      <alignment horizontal="center" vertical="center"/>
    </xf>
    <xf numFmtId="3" fontId="37" fillId="2" borderId="7" xfId="2" applyNumberFormat="1" applyFont="1" applyFill="1" applyBorder="1" applyAlignment="1">
      <alignment horizontal="left" vertical="center"/>
    </xf>
    <xf numFmtId="3" fontId="37" fillId="2" borderId="0" xfId="2" applyNumberFormat="1" applyFont="1" applyFill="1" applyBorder="1" applyAlignment="1">
      <alignment horizontal="left" vertical="center"/>
    </xf>
    <xf numFmtId="3" fontId="37" fillId="2" borderId="3" xfId="2" applyNumberFormat="1" applyFont="1" applyFill="1" applyBorder="1" applyAlignment="1">
      <alignment horizontal="left" vertical="center"/>
    </xf>
    <xf numFmtId="0" fontId="5" fillId="2" borderId="36"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5" fillId="2" borderId="25" xfId="0" applyFont="1" applyFill="1" applyBorder="1" applyAlignment="1">
      <alignment horizontal="center" wrapText="1"/>
    </xf>
    <xf numFmtId="0" fontId="5" fillId="2" borderId="17" xfId="0" applyFont="1" applyFill="1" applyBorder="1" applyAlignment="1">
      <alignment horizontal="center" wrapText="1"/>
    </xf>
    <xf numFmtId="0" fontId="5" fillId="2" borderId="37" xfId="0" applyFont="1" applyFill="1" applyBorder="1" applyAlignment="1">
      <alignment horizontal="center" wrapText="1"/>
    </xf>
    <xf numFmtId="0" fontId="5" fillId="2" borderId="38" xfId="0" applyFont="1" applyFill="1" applyBorder="1" applyAlignment="1">
      <alignment horizontal="center" wrapText="1"/>
    </xf>
    <xf numFmtId="0" fontId="13" fillId="2" borderId="7" xfId="0" applyFont="1" applyFill="1" applyBorder="1" applyAlignment="1">
      <alignment horizontal="right" vertical="center" wrapText="1"/>
    </xf>
    <xf numFmtId="0" fontId="13" fillId="2" borderId="0" xfId="0" applyFont="1" applyFill="1" applyBorder="1" applyAlignment="1">
      <alignment horizontal="right" vertical="center" wrapText="1"/>
    </xf>
    <xf numFmtId="0" fontId="13" fillId="2" borderId="7" xfId="0" applyFont="1" applyFill="1" applyBorder="1" applyAlignment="1">
      <alignment horizontal="center" vertical="center" wrapText="1"/>
    </xf>
    <xf numFmtId="0" fontId="13" fillId="2" borderId="0" xfId="0" applyFont="1" applyFill="1" applyBorder="1" applyAlignment="1">
      <alignment horizontal="center" vertical="center" wrapText="1"/>
    </xf>
    <xf numFmtId="3" fontId="38" fillId="2" borderId="7" xfId="2" applyNumberFormat="1" applyFont="1" applyFill="1" applyBorder="1" applyAlignment="1">
      <alignment horizontal="right" vertical="center" wrapText="1"/>
    </xf>
    <xf numFmtId="3" fontId="38" fillId="2" borderId="0" xfId="2" applyNumberFormat="1" applyFont="1" applyFill="1" applyBorder="1" applyAlignment="1">
      <alignment horizontal="right" vertical="center" wrapText="1"/>
    </xf>
    <xf numFmtId="3" fontId="38" fillId="2" borderId="3" xfId="2" applyNumberFormat="1" applyFont="1" applyFill="1" applyBorder="1" applyAlignment="1">
      <alignment horizontal="right" vertical="center" wrapText="1"/>
    </xf>
    <xf numFmtId="168" fontId="39" fillId="2" borderId="11" xfId="3" applyNumberFormat="1" applyFont="1" applyFill="1" applyBorder="1" applyAlignment="1">
      <alignment horizontal="center" vertical="center" wrapText="1"/>
    </xf>
    <xf numFmtId="168" fontId="39" fillId="2" borderId="9" xfId="3" applyNumberFormat="1" applyFont="1" applyFill="1" applyBorder="1" applyAlignment="1">
      <alignment horizontal="center" vertical="center" wrapText="1"/>
    </xf>
    <xf numFmtId="168" fontId="40" fillId="2" borderId="0" xfId="3" applyNumberFormat="1" applyFont="1" applyFill="1" applyBorder="1" applyAlignment="1">
      <alignment horizontal="right" vertical="center" wrapText="1"/>
    </xf>
    <xf numFmtId="168" fontId="39" fillId="2" borderId="0" xfId="3" applyNumberFormat="1" applyFont="1" applyFill="1" applyBorder="1" applyAlignment="1">
      <alignment horizontal="center" vertical="center" wrapText="1"/>
    </xf>
    <xf numFmtId="3" fontId="111" fillId="2" borderId="0" xfId="2" applyNumberFormat="1" applyFont="1" applyFill="1" applyAlignment="1">
      <alignment horizontal="center" vertical="center" readingOrder="2"/>
    </xf>
    <xf numFmtId="3" fontId="113" fillId="2" borderId="0" xfId="2" applyNumberFormat="1" applyFont="1" applyFill="1" applyBorder="1" applyAlignment="1" applyProtection="1">
      <alignment horizontal="center" vertical="center"/>
    </xf>
    <xf numFmtId="3" fontId="36" fillId="2" borderId="3" xfId="2" applyNumberFormat="1" applyFont="1" applyFill="1" applyBorder="1" applyAlignment="1" applyProtection="1">
      <alignment horizontal="center" vertical="center"/>
    </xf>
    <xf numFmtId="168" fontId="42" fillId="2" borderId="7" xfId="3" applyNumberFormat="1" applyFont="1" applyFill="1" applyBorder="1" applyAlignment="1">
      <alignment horizontal="center" vertical="center" wrapText="1"/>
    </xf>
    <xf numFmtId="168" fontId="42" fillId="2" borderId="0" xfId="3" applyNumberFormat="1" applyFont="1" applyFill="1" applyBorder="1" applyAlignment="1">
      <alignment horizontal="center" vertical="center" wrapText="1"/>
    </xf>
    <xf numFmtId="168" fontId="42" fillId="2" borderId="3" xfId="3" applyNumberFormat="1" applyFont="1" applyFill="1" applyBorder="1" applyAlignment="1">
      <alignment horizontal="center" vertical="center" wrapText="1"/>
    </xf>
    <xf numFmtId="0" fontId="5" fillId="2" borderId="34" xfId="0" applyFont="1" applyFill="1" applyBorder="1" applyAlignment="1">
      <alignment horizontal="right" vertical="center" wrapText="1"/>
    </xf>
    <xf numFmtId="0" fontId="5" fillId="2" borderId="39" xfId="0" applyFont="1" applyFill="1" applyBorder="1" applyAlignment="1">
      <alignment horizontal="right" vertical="center" wrapText="1"/>
    </xf>
    <xf numFmtId="0" fontId="5" fillId="2" borderId="34" xfId="0" applyFont="1" applyFill="1" applyBorder="1" applyAlignment="1">
      <alignment horizontal="center" wrapText="1"/>
    </xf>
    <xf numFmtId="0" fontId="5" fillId="2" borderId="39" xfId="0" applyFont="1" applyFill="1" applyBorder="1" applyAlignment="1">
      <alignment horizontal="center" wrapText="1"/>
    </xf>
    <xf numFmtId="0" fontId="5" fillId="2" borderId="25" xfId="0" applyFont="1" applyFill="1" applyBorder="1" applyAlignment="1">
      <alignment horizontal="right" vertical="center" wrapText="1"/>
    </xf>
    <xf numFmtId="0" fontId="5" fillId="2" borderId="37" xfId="0" applyFont="1" applyFill="1" applyBorder="1" applyAlignment="1">
      <alignment horizontal="right" vertical="center" wrapText="1"/>
    </xf>
    <xf numFmtId="0" fontId="5" fillId="2" borderId="7" xfId="0" applyFont="1" applyFill="1" applyBorder="1" applyAlignment="1">
      <alignment horizontal="right" vertical="center" wrapText="1"/>
    </xf>
    <xf numFmtId="0" fontId="5" fillId="2" borderId="36" xfId="0" applyFont="1" applyFill="1" applyBorder="1" applyAlignment="1">
      <alignment horizontal="right" vertical="center" wrapText="1"/>
    </xf>
    <xf numFmtId="168" fontId="42" fillId="2" borderId="40" xfId="3" applyNumberFormat="1" applyFont="1" applyFill="1" applyBorder="1" applyAlignment="1">
      <alignment horizontal="right" vertical="center" wrapText="1"/>
    </xf>
    <xf numFmtId="168" fontId="42" fillId="2" borderId="41" xfId="3" applyNumberFormat="1" applyFont="1" applyFill="1" applyBorder="1" applyAlignment="1">
      <alignment horizontal="right" vertical="center" wrapText="1"/>
    </xf>
    <xf numFmtId="168" fontId="42" fillId="2" borderId="42" xfId="3" applyNumberFormat="1" applyFont="1" applyFill="1" applyBorder="1" applyAlignment="1">
      <alignment horizontal="right" vertical="center" wrapText="1"/>
    </xf>
    <xf numFmtId="168" fontId="39" fillId="2" borderId="27" xfId="3" applyNumberFormat="1" applyFont="1" applyFill="1" applyBorder="1" applyAlignment="1">
      <alignment horizontal="right" vertical="center" wrapText="1"/>
    </xf>
    <xf numFmtId="168" fontId="39" fillId="2" borderId="11" xfId="3" applyNumberFormat="1" applyFont="1" applyFill="1" applyBorder="1" applyAlignment="1">
      <alignment horizontal="right" vertical="center" wrapText="1"/>
    </xf>
    <xf numFmtId="168" fontId="42" fillId="2" borderId="43" xfId="3" applyNumberFormat="1" applyFont="1" applyFill="1" applyBorder="1" applyAlignment="1">
      <alignment horizontal="right" vertical="center" wrapText="1"/>
    </xf>
    <xf numFmtId="168" fontId="42" fillId="2" borderId="0" xfId="3" applyNumberFormat="1" applyFont="1" applyFill="1" applyBorder="1" applyAlignment="1">
      <alignment horizontal="right" vertical="center" wrapText="1"/>
    </xf>
    <xf numFmtId="168" fontId="42" fillId="2" borderId="3" xfId="3" applyNumberFormat="1" applyFont="1" applyFill="1" applyBorder="1" applyAlignment="1">
      <alignment horizontal="right" vertical="center" wrapText="1"/>
    </xf>
    <xf numFmtId="168" fontId="42" fillId="2" borderId="49" xfId="3" applyNumberFormat="1" applyFont="1" applyFill="1" applyBorder="1" applyAlignment="1">
      <alignment horizontal="right" vertical="center" wrapText="1"/>
    </xf>
    <xf numFmtId="0" fontId="5" fillId="2" borderId="35" xfId="0" applyFont="1" applyFill="1" applyBorder="1" applyAlignment="1">
      <alignment horizontal="right" vertical="center" wrapText="1"/>
    </xf>
    <xf numFmtId="3" fontId="4" fillId="2" borderId="0" xfId="2" applyNumberFormat="1" applyFont="1" applyFill="1" applyAlignment="1">
      <alignment horizontal="center" vertical="center" readingOrder="2"/>
    </xf>
    <xf numFmtId="3" fontId="76" fillId="2" borderId="3" xfId="2" applyNumberFormat="1" applyFont="1" applyFill="1" applyBorder="1" applyAlignment="1" applyProtection="1">
      <alignment horizontal="center" vertical="center"/>
    </xf>
    <xf numFmtId="168" fontId="78" fillId="2" borderId="0" xfId="3" applyNumberFormat="1" applyFont="1" applyFill="1" applyBorder="1" applyAlignment="1">
      <alignment horizontal="center" vertical="center" wrapText="1"/>
    </xf>
    <xf numFmtId="168" fontId="78" fillId="2" borderId="7" xfId="3" applyNumberFormat="1" applyFont="1" applyFill="1" applyBorder="1" applyAlignment="1">
      <alignment horizontal="right" vertical="center" wrapText="1"/>
    </xf>
    <xf numFmtId="168" fontId="78" fillId="2" borderId="36" xfId="3" applyNumberFormat="1" applyFont="1" applyFill="1" applyBorder="1" applyAlignment="1">
      <alignment horizontal="right" vertical="center" wrapText="1"/>
    </xf>
    <xf numFmtId="0" fontId="57" fillId="2" borderId="36" xfId="0" applyFont="1" applyFill="1" applyBorder="1" applyAlignment="1">
      <alignment horizontal="right"/>
    </xf>
    <xf numFmtId="0" fontId="57" fillId="2" borderId="36" xfId="0" applyFont="1" applyFill="1" applyBorder="1" applyAlignment="1">
      <alignment horizontal="right" wrapText="1"/>
    </xf>
    <xf numFmtId="168" fontId="53" fillId="2" borderId="7" xfId="3" applyNumberFormat="1" applyFont="1" applyFill="1" applyBorder="1" applyAlignment="1">
      <alignment horizontal="left" vertical="center" wrapText="1"/>
    </xf>
    <xf numFmtId="168" fontId="53" fillId="2" borderId="3" xfId="3" applyNumberFormat="1" applyFont="1" applyFill="1" applyBorder="1" applyAlignment="1">
      <alignment horizontal="left" vertical="center" wrapText="1"/>
    </xf>
    <xf numFmtId="0" fontId="4" fillId="2" borderId="7" xfId="0" applyFont="1" applyFill="1" applyBorder="1" applyAlignment="1">
      <alignment horizontal="right" vertical="center" indent="2"/>
    </xf>
    <xf numFmtId="0" fontId="4" fillId="2" borderId="3" xfId="0" applyFont="1" applyFill="1" applyBorder="1" applyAlignment="1">
      <alignment horizontal="right" vertical="center" indent="2"/>
    </xf>
    <xf numFmtId="3" fontId="34" fillId="2" borderId="0" xfId="2" applyNumberFormat="1" applyFont="1" applyFill="1" applyAlignment="1">
      <alignment horizontal="center" wrapText="1" readingOrder="2"/>
    </xf>
    <xf numFmtId="3" fontId="36" fillId="2" borderId="0" xfId="2" applyNumberFormat="1" applyFont="1" applyFill="1" applyBorder="1" applyAlignment="1" applyProtection="1">
      <alignment horizontal="center" vertical="top" wrapText="1"/>
    </xf>
    <xf numFmtId="3" fontId="36" fillId="2" borderId="3" xfId="2" applyNumberFormat="1" applyFont="1" applyFill="1" applyBorder="1" applyAlignment="1" applyProtection="1">
      <alignment horizontal="center" vertical="top" wrapText="1"/>
    </xf>
    <xf numFmtId="3" fontId="4" fillId="2" borderId="0" xfId="2" applyNumberFormat="1" applyFont="1" applyFill="1" applyAlignment="1">
      <alignment horizontal="center" vertical="center" wrapText="1" readingOrder="2"/>
    </xf>
    <xf numFmtId="3" fontId="115" fillId="2" borderId="3" xfId="2" applyNumberFormat="1" applyFont="1" applyFill="1" applyBorder="1" applyAlignment="1" applyProtection="1">
      <alignment horizontal="center" vertical="top" wrapText="1"/>
    </xf>
    <xf numFmtId="0" fontId="88" fillId="2" borderId="7" xfId="0" applyFont="1" applyFill="1" applyBorder="1" applyAlignment="1">
      <alignment horizontal="left" vertical="center"/>
    </xf>
    <xf numFmtId="0" fontId="88" fillId="2" borderId="3" xfId="0" applyFont="1" applyFill="1" applyBorder="1" applyAlignment="1">
      <alignment horizontal="left" vertical="center"/>
    </xf>
    <xf numFmtId="4" fontId="89" fillId="2" borderId="1" xfId="0" applyNumberFormat="1" applyFont="1" applyFill="1" applyBorder="1" applyAlignment="1">
      <alignment horizontal="center" vertical="center" wrapText="1"/>
    </xf>
    <xf numFmtId="0" fontId="4" fillId="2" borderId="7" xfId="0" applyFont="1" applyFill="1" applyBorder="1" applyAlignment="1">
      <alignment horizontal="right" vertical="center" wrapText="1"/>
    </xf>
    <xf numFmtId="0" fontId="5" fillId="2" borderId="44" xfId="0" applyFont="1" applyFill="1" applyBorder="1" applyAlignment="1">
      <alignment horizontal="center" vertical="center" wrapText="1"/>
    </xf>
    <xf numFmtId="3" fontId="38" fillId="2" borderId="0" xfId="2" applyNumberFormat="1" applyFont="1" applyFill="1" applyBorder="1" applyAlignment="1">
      <alignment horizontal="right" vertical="center" wrapText="1" indent="2"/>
    </xf>
    <xf numFmtId="3" fontId="38" fillId="2" borderId="3" xfId="2" applyNumberFormat="1" applyFont="1" applyFill="1" applyBorder="1" applyAlignment="1">
      <alignment horizontal="right" vertical="center" wrapText="1" indent="2"/>
    </xf>
    <xf numFmtId="168" fontId="45" fillId="2" borderId="0" xfId="3" applyNumberFormat="1" applyFont="1" applyFill="1" applyBorder="1" applyAlignment="1">
      <alignment horizontal="right" vertical="center" wrapText="1"/>
    </xf>
    <xf numFmtId="168" fontId="45" fillId="2" borderId="3" xfId="3" applyNumberFormat="1" applyFont="1" applyFill="1" applyBorder="1" applyAlignment="1">
      <alignment horizontal="right" vertical="center" wrapText="1"/>
    </xf>
    <xf numFmtId="3" fontId="2" fillId="2" borderId="3" xfId="2" applyNumberFormat="1" applyFont="1" applyFill="1" applyBorder="1" applyAlignment="1" applyProtection="1">
      <alignment horizontal="center"/>
    </xf>
    <xf numFmtId="3" fontId="117" fillId="2" borderId="7" xfId="2" applyNumberFormat="1" applyFont="1" applyFill="1" applyBorder="1" applyAlignment="1">
      <alignment horizontal="left" vertical="center"/>
    </xf>
    <xf numFmtId="3" fontId="117" fillId="2" borderId="0" xfId="2" applyNumberFormat="1" applyFont="1" applyFill="1" applyBorder="1" applyAlignment="1">
      <alignment horizontal="left" vertical="center"/>
    </xf>
    <xf numFmtId="3" fontId="117" fillId="2" borderId="3" xfId="2" applyNumberFormat="1" applyFont="1" applyFill="1" applyBorder="1" applyAlignment="1">
      <alignment horizontal="left" vertical="center"/>
    </xf>
    <xf numFmtId="0" fontId="2" fillId="2" borderId="12" xfId="2" applyNumberFormat="1" applyFont="1" applyFill="1" applyBorder="1" applyAlignment="1" applyProtection="1">
      <alignment horizontal="center"/>
    </xf>
    <xf numFmtId="0" fontId="2" fillId="2" borderId="12" xfId="2" applyNumberFormat="1" applyFont="1" applyFill="1" applyBorder="1" applyAlignment="1" applyProtection="1">
      <alignment horizontal="center" vertical="center"/>
    </xf>
    <xf numFmtId="3" fontId="118" fillId="2" borderId="7" xfId="2" applyNumberFormat="1" applyFont="1" applyFill="1" applyBorder="1" applyAlignment="1">
      <alignment horizontal="right" vertical="center" wrapText="1" indent="2"/>
    </xf>
    <xf numFmtId="3" fontId="118" fillId="2" borderId="0" xfId="2" applyNumberFormat="1" applyFont="1" applyFill="1" applyBorder="1" applyAlignment="1">
      <alignment horizontal="right" vertical="center" wrapText="1" indent="2"/>
    </xf>
    <xf numFmtId="3" fontId="118" fillId="2" borderId="3" xfId="2" applyNumberFormat="1" applyFont="1" applyFill="1" applyBorder="1" applyAlignment="1">
      <alignment horizontal="right" vertical="center" wrapText="1" indent="2"/>
    </xf>
    <xf numFmtId="4" fontId="45" fillId="2" borderId="0" xfId="3" applyNumberFormat="1" applyFont="1" applyFill="1" applyBorder="1" applyAlignment="1">
      <alignment horizontal="right" vertical="center" wrapText="1"/>
    </xf>
    <xf numFmtId="4" fontId="45" fillId="2" borderId="3" xfId="3" applyNumberFormat="1" applyFont="1" applyFill="1" applyBorder="1" applyAlignment="1">
      <alignment horizontal="right" vertical="center" wrapText="1"/>
    </xf>
    <xf numFmtId="0" fontId="44" fillId="2" borderId="7" xfId="0" applyFont="1" applyFill="1" applyBorder="1" applyAlignment="1">
      <alignment horizontal="center" vertical="center" wrapText="1"/>
    </xf>
    <xf numFmtId="0" fontId="44" fillId="2" borderId="17" xfId="0" applyFont="1" applyFill="1" applyBorder="1" applyAlignment="1">
      <alignment horizontal="center" vertical="center" wrapText="1"/>
    </xf>
    <xf numFmtId="0" fontId="44" fillId="2" borderId="3" xfId="0" applyFont="1" applyFill="1" applyBorder="1" applyAlignment="1">
      <alignment horizontal="center" vertical="center" wrapText="1"/>
    </xf>
    <xf numFmtId="0" fontId="44" fillId="2" borderId="9" xfId="0" applyFont="1" applyFill="1" applyBorder="1" applyAlignment="1">
      <alignment horizontal="center" vertical="center" wrapText="1"/>
    </xf>
    <xf numFmtId="49" fontId="2" fillId="2" borderId="7"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2" fillId="2" borderId="3" xfId="0" applyNumberFormat="1" applyFont="1" applyFill="1" applyBorder="1" applyAlignment="1">
      <alignment horizontal="left" vertical="center"/>
    </xf>
    <xf numFmtId="1" fontId="2" fillId="2" borderId="1" xfId="1" applyNumberFormat="1" applyFont="1" applyFill="1" applyBorder="1" applyAlignment="1">
      <alignment horizontal="center" vertical="center"/>
    </xf>
    <xf numFmtId="0" fontId="31" fillId="2" borderId="7" xfId="0" applyFont="1" applyFill="1" applyBorder="1" applyAlignment="1">
      <alignment horizontal="right" vertical="center" indent="2"/>
    </xf>
    <xf numFmtId="0" fontId="31" fillId="2" borderId="0" xfId="0" applyFont="1" applyFill="1" applyBorder="1" applyAlignment="1">
      <alignment horizontal="right" vertical="center" indent="2"/>
    </xf>
    <xf numFmtId="0" fontId="31" fillId="2" borderId="3" xfId="0" applyFont="1" applyFill="1" applyBorder="1" applyAlignment="1">
      <alignment horizontal="right" vertical="center" indent="2"/>
    </xf>
    <xf numFmtId="1" fontId="2" fillId="2" borderId="3" xfId="0" applyNumberFormat="1" applyFont="1" applyFill="1" applyBorder="1" applyAlignment="1">
      <alignment horizontal="center" vertical="center"/>
    </xf>
    <xf numFmtId="1" fontId="2" fillId="2" borderId="24" xfId="0" applyNumberFormat="1" applyFont="1" applyFill="1" applyBorder="1" applyAlignment="1">
      <alignment horizontal="center" vertical="center"/>
    </xf>
    <xf numFmtId="1" fontId="2" fillId="2" borderId="16" xfId="0" applyNumberFormat="1" applyFont="1" applyFill="1" applyBorder="1" applyAlignment="1">
      <alignment horizontal="center" vertical="center"/>
    </xf>
    <xf numFmtId="1" fontId="2" fillId="2" borderId="11" xfId="0" applyNumberFormat="1" applyFont="1" applyFill="1" applyBorder="1" applyAlignment="1">
      <alignment horizontal="center" vertical="center"/>
    </xf>
    <xf numFmtId="1" fontId="2" fillId="2" borderId="30" xfId="0" applyNumberFormat="1" applyFont="1" applyFill="1" applyBorder="1" applyAlignment="1">
      <alignment horizontal="center" vertical="center"/>
    </xf>
    <xf numFmtId="4" fontId="2" fillId="2" borderId="1" xfId="1" applyNumberFormat="1" applyFont="1" applyFill="1" applyBorder="1" applyAlignment="1">
      <alignment horizontal="right" vertical="center"/>
    </xf>
    <xf numFmtId="4" fontId="2" fillId="2" borderId="1" xfId="1" applyNumberFormat="1" applyFont="1" applyFill="1" applyBorder="1" applyAlignment="1">
      <alignment vertical="center"/>
    </xf>
    <xf numFmtId="4" fontId="2" fillId="2" borderId="31" xfId="1" applyNumberFormat="1" applyFont="1" applyFill="1" applyBorder="1" applyAlignment="1">
      <alignment vertical="center"/>
    </xf>
    <xf numFmtId="49" fontId="30" fillId="2" borderId="7" xfId="0" applyNumberFormat="1" applyFont="1" applyFill="1" applyBorder="1" applyAlignment="1">
      <alignment horizontal="left" vertical="center"/>
    </xf>
    <xf numFmtId="49" fontId="30" fillId="2" borderId="0" xfId="0" applyNumberFormat="1" applyFont="1" applyFill="1" applyBorder="1" applyAlignment="1">
      <alignment horizontal="left" vertical="center"/>
    </xf>
    <xf numFmtId="49" fontId="30" fillId="2" borderId="3" xfId="0" applyNumberFormat="1" applyFont="1" applyFill="1" applyBorder="1" applyAlignment="1">
      <alignment horizontal="left" vertical="center"/>
    </xf>
    <xf numFmtId="1" fontId="2" fillId="2" borderId="28" xfId="1" applyNumberFormat="1" applyFont="1" applyFill="1" applyBorder="1" applyAlignment="1">
      <alignment horizontal="center" vertical="center"/>
    </xf>
    <xf numFmtId="0" fontId="2" fillId="2" borderId="18" xfId="0" applyFont="1" applyFill="1" applyBorder="1" applyAlignment="1">
      <alignment horizontal="center" vertical="center"/>
    </xf>
    <xf numFmtId="1" fontId="2" fillId="2" borderId="31" xfId="1" applyNumberFormat="1" applyFont="1" applyFill="1" applyBorder="1" applyAlignment="1">
      <alignment horizontal="center" vertical="center"/>
    </xf>
    <xf numFmtId="4" fontId="4" fillId="2" borderId="1" xfId="0" applyNumberFormat="1" applyFont="1" applyFill="1" applyBorder="1" applyAlignment="1">
      <alignment horizontal="center" vertical="center" wrapText="1"/>
    </xf>
    <xf numFmtId="4" fontId="4" fillId="2" borderId="31" xfId="0" applyNumberFormat="1" applyFont="1" applyFill="1" applyBorder="1" applyAlignment="1">
      <alignment horizontal="center" vertical="center" wrapText="1"/>
    </xf>
    <xf numFmtId="4" fontId="2" fillId="2" borderId="28" xfId="1" applyNumberFormat="1" applyFont="1" applyFill="1" applyBorder="1" applyAlignment="1">
      <alignment horizontal="center" vertical="center"/>
    </xf>
    <xf numFmtId="4" fontId="2" fillId="2" borderId="1" xfId="1" applyNumberFormat="1" applyFont="1" applyFill="1" applyBorder="1" applyAlignment="1">
      <alignment horizontal="center" vertical="center"/>
    </xf>
    <xf numFmtId="4" fontId="2" fillId="2" borderId="7" xfId="1" applyNumberFormat="1" applyFont="1" applyFill="1" applyBorder="1" applyAlignment="1">
      <alignment horizontal="center" vertical="center"/>
    </xf>
    <xf numFmtId="4" fontId="4" fillId="2" borderId="18" xfId="0" applyNumberFormat="1" applyFont="1" applyFill="1" applyBorder="1" applyAlignment="1">
      <alignment horizontal="center" vertical="center" wrapText="1"/>
    </xf>
    <xf numFmtId="4" fontId="2" fillId="2" borderId="31" xfId="1" applyNumberFormat="1" applyFont="1" applyFill="1" applyBorder="1" applyAlignment="1">
      <alignment horizontal="center" vertical="center"/>
    </xf>
    <xf numFmtId="4" fontId="2" fillId="2" borderId="3" xfId="0" applyNumberFormat="1" applyFont="1" applyFill="1" applyBorder="1" applyAlignment="1">
      <alignment horizontal="center" vertical="center"/>
    </xf>
    <xf numFmtId="4" fontId="2" fillId="2" borderId="9" xfId="0" applyNumberFormat="1" applyFont="1" applyFill="1" applyBorder="1" applyAlignment="1">
      <alignment horizontal="center" vertical="center"/>
    </xf>
    <xf numFmtId="4" fontId="2" fillId="2" borderId="11" xfId="0" applyNumberFormat="1" applyFont="1" applyFill="1" applyBorder="1" applyAlignment="1">
      <alignment horizontal="center" vertical="center"/>
    </xf>
    <xf numFmtId="1" fontId="2" fillId="2" borderId="9" xfId="0" applyNumberFormat="1" applyFont="1" applyFill="1" applyBorder="1" applyAlignment="1">
      <alignment horizontal="center" vertical="center"/>
    </xf>
    <xf numFmtId="1" fontId="2" fillId="2" borderId="47" xfId="0" applyNumberFormat="1" applyFont="1" applyFill="1" applyBorder="1" applyAlignment="1">
      <alignment horizontal="center" vertical="center"/>
    </xf>
  </cellXfs>
  <cellStyles count="7">
    <cellStyle name="Comma" xfId="1" builtinId="3"/>
    <cellStyle name="Comma [0]" xfId="5" builtinId="6"/>
    <cellStyle name="Hyperlink" xfId="4" builtinId="8"/>
    <cellStyle name="Normal" xfId="0" builtinId="0"/>
    <cellStyle name="Normal 2" xfId="3"/>
    <cellStyle name="Normal_3 Population." xfId="6"/>
    <cellStyle name="Normal_II-15(Population) 2" xfId="2"/>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C706E"/>
      <color rgb="FF28B2AF"/>
      <color rgb="FFD4F5F4"/>
      <color rgb="FF8DE5E3"/>
      <color rgb="FF33CCCC"/>
      <color rgb="FFA7EBE9"/>
      <color rgb="FF9933FF"/>
      <color rgb="FF9900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title>
      <c:tx>
        <c:rich>
          <a:bodyPr/>
          <a:lstStyle/>
          <a:p>
            <a:pPr>
              <a:defRPr sz="1050">
                <a:latin typeface="Consolas" pitchFamily="49" charset="0"/>
                <a:cs typeface="Consolas" pitchFamily="49" charset="0"/>
              </a:defRPr>
            </a:pPr>
            <a:r>
              <a:rPr lang="en-US" sz="1050">
                <a:latin typeface="Consolas" pitchFamily="49" charset="0"/>
                <a:cs typeface="Consolas" pitchFamily="49" charset="0"/>
              </a:rPr>
              <a:t>Figure 18.3: Percentage shares of different pension schemes in the payments , 2015</a:t>
            </a:r>
          </a:p>
        </c:rich>
      </c:tx>
      <c:layout/>
      <c:overlay val="0"/>
    </c:title>
    <c:autoTitleDeleted val="0"/>
    <c:plotArea>
      <c:layout>
        <c:manualLayout>
          <c:layoutTarget val="inner"/>
          <c:xMode val="edge"/>
          <c:yMode val="edge"/>
          <c:x val="0.29486180692624853"/>
          <c:y val="0.18498100050926619"/>
          <c:w val="0.39921878353960566"/>
          <c:h val="0.76864496415560379"/>
        </c:manualLayout>
      </c:layout>
      <c:doughnutChart>
        <c:varyColors val="1"/>
        <c:ser>
          <c:idx val="0"/>
          <c:order val="0"/>
          <c:dPt>
            <c:idx val="0"/>
            <c:bubble3D val="0"/>
            <c:spPr>
              <a:solidFill>
                <a:srgbClr val="33CCCC"/>
              </a:solidFill>
            </c:spPr>
          </c:dPt>
          <c:dPt>
            <c:idx val="1"/>
            <c:bubble3D val="0"/>
            <c:spPr>
              <a:solidFill>
                <a:srgbClr val="8DE5E3"/>
              </a:solidFill>
            </c:spPr>
          </c:dPt>
          <c:dPt>
            <c:idx val="2"/>
            <c:bubble3D val="0"/>
            <c:spPr>
              <a:solidFill>
                <a:srgbClr val="D4F5F4"/>
              </a:solidFill>
            </c:spPr>
          </c:dPt>
          <c:dPt>
            <c:idx val="3"/>
            <c:bubble3D val="0"/>
            <c:spPr>
              <a:solidFill>
                <a:srgbClr val="1C706E"/>
              </a:solidFill>
            </c:spPr>
          </c:dPt>
          <c:dLbls>
            <c:dLbl>
              <c:idx val="0"/>
              <c:layout>
                <c:manualLayout>
                  <c:x val="9.1661990383441541E-2"/>
                  <c:y val="-0.13059396401157697"/>
                </c:manualLayout>
              </c:layout>
              <c:showLegendKey val="0"/>
              <c:showVal val="0"/>
              <c:showCatName val="1"/>
              <c:showSerName val="0"/>
              <c:showPercent val="1"/>
              <c:showBubbleSize val="0"/>
            </c:dLbl>
            <c:dLbl>
              <c:idx val="1"/>
              <c:layout>
                <c:manualLayout>
                  <c:x val="0.13705168806130361"/>
                  <c:y val="9.4674021560588947E-2"/>
                </c:manualLayout>
              </c:layout>
              <c:showLegendKey val="0"/>
              <c:showVal val="0"/>
              <c:showCatName val="1"/>
              <c:showSerName val="0"/>
              <c:showPercent val="1"/>
              <c:showBubbleSize val="0"/>
            </c:dLbl>
            <c:dLbl>
              <c:idx val="2"/>
              <c:layout>
                <c:manualLayout>
                  <c:x val="4.5448001611308707E-3"/>
                  <c:y val="2.074135885036401E-2"/>
                </c:manualLayout>
              </c:layout>
              <c:showLegendKey val="0"/>
              <c:showVal val="0"/>
              <c:showCatName val="1"/>
              <c:showSerName val="0"/>
              <c:showPercent val="1"/>
              <c:showBubbleSize val="0"/>
            </c:dLbl>
            <c:dLbl>
              <c:idx val="3"/>
              <c:layout>
                <c:manualLayout>
                  <c:x val="-0.11296156283266155"/>
                  <c:y val="-0.12013736687907257"/>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'18.1'!$AB$24:$AB$27</c:f>
              <c:strCache>
                <c:ptCount val="4"/>
                <c:pt idx="0">
                  <c:v>Basic Pension</c:v>
                </c:pt>
                <c:pt idx="1">
                  <c:v>Retirement Pension</c:v>
                </c:pt>
                <c:pt idx="2">
                  <c:v>Other Pension</c:v>
                </c:pt>
                <c:pt idx="3">
                  <c:v>Senior Citizen Allowance</c:v>
                </c:pt>
              </c:strCache>
            </c:strRef>
          </c:cat>
          <c:val>
            <c:numRef>
              <c:f>'18.1'!$AG$24:$AG$27</c:f>
              <c:numCache>
                <c:formatCode>_(* #,##0_);_(* \(#,##0\);_(* "-"??_);_(@_)</c:formatCode>
                <c:ptCount val="4"/>
                <c:pt idx="0">
                  <c:v>33.875265001354443</c:v>
                </c:pt>
                <c:pt idx="1">
                  <c:v>3.8746128711958647</c:v>
                </c:pt>
                <c:pt idx="2">
                  <c:v>20.636043944699257</c:v>
                </c:pt>
                <c:pt idx="3">
                  <c:v>41.614078182750426</c:v>
                </c:pt>
              </c:numCache>
            </c:numRef>
          </c:val>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printSettings>
    <c:headerFooter/>
    <c:pageMargins b="0.75000000000000389" l="0.70000000000000062" r="0.70000000000000062" t="0.750000000000003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10799299020752E-2"/>
          <c:y val="0.20690000491045771"/>
          <c:w val="0.87373066236507901"/>
          <c:h val="0.64272554369785506"/>
        </c:manualLayout>
      </c:layout>
      <c:barChart>
        <c:barDir val="col"/>
        <c:grouping val="clustered"/>
        <c:varyColors val="0"/>
        <c:ser>
          <c:idx val="0"/>
          <c:order val="0"/>
          <c:spPr>
            <a:solidFill>
              <a:srgbClr val="1C706E"/>
            </a:solidFill>
          </c:spPr>
          <c:invertIfNegative val="0"/>
          <c:cat>
            <c:strRef>
              <c:f>'18.1'!$AB$24:$AB$27</c:f>
              <c:strCache>
                <c:ptCount val="4"/>
                <c:pt idx="0">
                  <c:v>Basic Pension</c:v>
                </c:pt>
                <c:pt idx="1">
                  <c:v>Retirement Pension</c:v>
                </c:pt>
                <c:pt idx="2">
                  <c:v>Other Pension</c:v>
                </c:pt>
                <c:pt idx="3">
                  <c:v>Senior Citizen Allowance</c:v>
                </c:pt>
              </c:strCache>
            </c:strRef>
          </c:cat>
          <c:val>
            <c:numRef>
              <c:f>'18.1'!$AH$24:$AH$27</c:f>
              <c:numCache>
                <c:formatCode>_(* #,##0_);_(* \(#,##0\);_(* "-"??_);_(@_)</c:formatCode>
                <c:ptCount val="4"/>
                <c:pt idx="0">
                  <c:v>50.417730525703043</c:v>
                </c:pt>
                <c:pt idx="1">
                  <c:v>16.38057577090126</c:v>
                </c:pt>
                <c:pt idx="2">
                  <c:v>20.549396790948606</c:v>
                </c:pt>
                <c:pt idx="3">
                  <c:v>49.284860313555853</c:v>
                </c:pt>
              </c:numCache>
            </c:numRef>
          </c:val>
        </c:ser>
        <c:dLbls>
          <c:showLegendKey val="0"/>
          <c:showVal val="0"/>
          <c:showCatName val="0"/>
          <c:showSerName val="0"/>
          <c:showPercent val="0"/>
          <c:showBubbleSize val="0"/>
        </c:dLbls>
        <c:gapWidth val="150"/>
        <c:axId val="106905600"/>
        <c:axId val="106907136"/>
      </c:barChart>
      <c:catAx>
        <c:axId val="106905600"/>
        <c:scaling>
          <c:orientation val="minMax"/>
        </c:scaling>
        <c:delete val="0"/>
        <c:axPos val="b"/>
        <c:majorTickMark val="out"/>
        <c:minorTickMark val="none"/>
        <c:tickLblPos val="nextTo"/>
        <c:crossAx val="106907136"/>
        <c:crosses val="autoZero"/>
        <c:auto val="1"/>
        <c:lblAlgn val="ctr"/>
        <c:lblOffset val="100"/>
        <c:noMultiLvlLbl val="0"/>
      </c:catAx>
      <c:valAx>
        <c:axId val="106907136"/>
        <c:scaling>
          <c:orientation val="minMax"/>
        </c:scaling>
        <c:delete val="0"/>
        <c:axPos val="l"/>
        <c:majorGridlines>
          <c:spPr>
            <a:ln>
              <a:solidFill>
                <a:srgbClr val="33CCCC"/>
              </a:solidFill>
            </a:ln>
          </c:spPr>
        </c:majorGridlines>
        <c:title>
          <c:tx>
            <c:rich>
              <a:bodyPr rot="-5400000" vert="horz"/>
              <a:lstStyle/>
              <a:p>
                <a:pPr>
                  <a:defRPr/>
                </a:pPr>
                <a:r>
                  <a:rPr lang="en-US"/>
                  <a:t>Percentage</a:t>
                </a:r>
              </a:p>
            </c:rich>
          </c:tx>
          <c:layout>
            <c:manualLayout>
              <c:xMode val="edge"/>
              <c:yMode val="edge"/>
              <c:x val="1.0197511353822065E-2"/>
              <c:y val="0.33289734616506428"/>
            </c:manualLayout>
          </c:layout>
          <c:overlay val="0"/>
        </c:title>
        <c:numFmt formatCode="_(* #,##0_);_(* \(#,##0\);_(* &quot;-&quot;??_);_(@_)" sourceLinked="1"/>
        <c:majorTickMark val="out"/>
        <c:minorTickMark val="none"/>
        <c:tickLblPos val="nextTo"/>
        <c:crossAx val="106905600"/>
        <c:crosses val="autoZero"/>
        <c:crossBetween val="between"/>
      </c:valAx>
      <c:spPr>
        <a:solidFill>
          <a:srgbClr val="D4F5F4"/>
        </a:solidFill>
        <a:ln>
          <a:solidFill>
            <a:sysClr val="window" lastClr="FFFFFF">
              <a:lumMod val="65000"/>
            </a:sysClr>
          </a:solidFill>
        </a:ln>
      </c:spPr>
    </c:plotArea>
    <c:plotVisOnly val="1"/>
    <c:dispBlanksAs val="gap"/>
    <c:showDLblsOverMax val="0"/>
  </c:chart>
  <c:spPr>
    <a:solidFill>
      <a:schemeClr val="bg1"/>
    </a:solidFill>
  </c:spPr>
  <c:printSettings>
    <c:headerFooter/>
    <c:pageMargins b="0.75000000000000389" l="0.70000000000000062" r="0.70000000000000062" t="0.75000000000000389"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69744434962666"/>
          <c:y val="0.19401629473145998"/>
          <c:w val="0.84351215125762224"/>
          <c:h val="0.61760156922195997"/>
        </c:manualLayout>
      </c:layout>
      <c:barChart>
        <c:barDir val="col"/>
        <c:grouping val="clustered"/>
        <c:varyColors val="0"/>
        <c:ser>
          <c:idx val="0"/>
          <c:order val="0"/>
          <c:tx>
            <c:strRef>
              <c:f>'18.1'!$AC$23</c:f>
              <c:strCache>
                <c:ptCount val="1"/>
                <c:pt idx="0">
                  <c:v>Male</c:v>
                </c:pt>
              </c:strCache>
            </c:strRef>
          </c:tx>
          <c:spPr>
            <a:solidFill>
              <a:srgbClr val="33CCCC"/>
            </a:solidFill>
          </c:spPr>
          <c:invertIfNegative val="0"/>
          <c:cat>
            <c:strRef>
              <c:f>'18.1'!$AB$24:$AB$27</c:f>
              <c:strCache>
                <c:ptCount val="4"/>
                <c:pt idx="0">
                  <c:v>Basic Pension</c:v>
                </c:pt>
                <c:pt idx="1">
                  <c:v>Retirement Pension</c:v>
                </c:pt>
                <c:pt idx="2">
                  <c:v>Other Pension</c:v>
                </c:pt>
                <c:pt idx="3">
                  <c:v>Senior Citizen Allowance</c:v>
                </c:pt>
              </c:strCache>
            </c:strRef>
          </c:cat>
          <c:val>
            <c:numRef>
              <c:f>'18.1'!$AC$24:$AC$27</c:f>
              <c:numCache>
                <c:formatCode>_(* #,##0_);_(* \(#,##0\);_(* "-"??_);_(@_)</c:formatCode>
                <c:ptCount val="4"/>
                <c:pt idx="0" formatCode="_(* #,##0.00_);_(* \(#,##0.00\);_(* &quot;-&quot;??_);_(@_)">
                  <c:v>211.71591383000001</c:v>
                </c:pt>
                <c:pt idx="1">
                  <c:v>40.839450540000001</c:v>
                </c:pt>
                <c:pt idx="2">
                  <c:v>206.66552877999999</c:v>
                </c:pt>
                <c:pt idx="3">
                  <c:v>266.02491034999997</c:v>
                </c:pt>
              </c:numCache>
            </c:numRef>
          </c:val>
        </c:ser>
        <c:ser>
          <c:idx val="1"/>
          <c:order val="1"/>
          <c:tx>
            <c:strRef>
              <c:f>'18.1'!$AD$23</c:f>
              <c:strCache>
                <c:ptCount val="1"/>
                <c:pt idx="0">
                  <c:v>Female</c:v>
                </c:pt>
              </c:strCache>
            </c:strRef>
          </c:tx>
          <c:spPr>
            <a:solidFill>
              <a:srgbClr val="1C706E"/>
            </a:solidFill>
          </c:spPr>
          <c:invertIfNegative val="0"/>
          <c:cat>
            <c:strRef>
              <c:f>'18.1'!$AB$24:$AB$27</c:f>
              <c:strCache>
                <c:ptCount val="4"/>
                <c:pt idx="0">
                  <c:v>Basic Pension</c:v>
                </c:pt>
                <c:pt idx="1">
                  <c:v>Retirement Pension</c:v>
                </c:pt>
                <c:pt idx="2">
                  <c:v>Other Pension</c:v>
                </c:pt>
                <c:pt idx="3">
                  <c:v>Senior Citizen Allowance</c:v>
                </c:pt>
              </c:strCache>
            </c:strRef>
          </c:cat>
          <c:val>
            <c:numRef>
              <c:f>'18.1'!$AD$24:$AD$27</c:f>
              <c:numCache>
                <c:formatCode>_(* #,##0_);_(* \(#,##0\);_(* "-"??_);_(@_)</c:formatCode>
                <c:ptCount val="4"/>
                <c:pt idx="0">
                  <c:v>215.28332616999998</c:v>
                </c:pt>
                <c:pt idx="1">
                  <c:v>8.0002190899999999</c:v>
                </c:pt>
                <c:pt idx="2">
                  <c:v>53.452733930000001</c:v>
                </c:pt>
                <c:pt idx="3">
                  <c:v>258.52241810999999</c:v>
                </c:pt>
              </c:numCache>
            </c:numRef>
          </c:val>
        </c:ser>
        <c:dLbls>
          <c:showLegendKey val="0"/>
          <c:showVal val="0"/>
          <c:showCatName val="0"/>
          <c:showSerName val="0"/>
          <c:showPercent val="0"/>
          <c:showBubbleSize val="0"/>
        </c:dLbls>
        <c:gapWidth val="150"/>
        <c:axId val="106949248"/>
        <c:axId val="106951040"/>
      </c:barChart>
      <c:catAx>
        <c:axId val="106949248"/>
        <c:scaling>
          <c:orientation val="minMax"/>
        </c:scaling>
        <c:delete val="0"/>
        <c:axPos val="b"/>
        <c:majorTickMark val="out"/>
        <c:minorTickMark val="none"/>
        <c:tickLblPos val="nextTo"/>
        <c:crossAx val="106951040"/>
        <c:crosses val="autoZero"/>
        <c:auto val="1"/>
        <c:lblAlgn val="ctr"/>
        <c:lblOffset val="100"/>
        <c:noMultiLvlLbl val="0"/>
      </c:catAx>
      <c:valAx>
        <c:axId val="106951040"/>
        <c:scaling>
          <c:orientation val="minMax"/>
        </c:scaling>
        <c:delete val="0"/>
        <c:axPos val="l"/>
        <c:majorGridlines>
          <c:spPr>
            <a:ln>
              <a:solidFill>
                <a:srgbClr val="33CCCC"/>
              </a:solidFill>
            </a:ln>
          </c:spPr>
        </c:majorGridlines>
        <c:title>
          <c:tx>
            <c:rich>
              <a:bodyPr rot="-5400000" vert="horz"/>
              <a:lstStyle/>
              <a:p>
                <a:pPr>
                  <a:defRPr/>
                </a:pPr>
                <a:r>
                  <a:rPr lang="en-US"/>
                  <a:t>Value (In million</a:t>
                </a:r>
                <a:r>
                  <a:rPr lang="en-US" baseline="0"/>
                  <a:t> MVR)</a:t>
                </a:r>
                <a:endParaRPr lang="en-US"/>
              </a:p>
            </c:rich>
          </c:tx>
          <c:layout>
            <c:manualLayout>
              <c:xMode val="edge"/>
              <c:yMode val="edge"/>
              <c:x val="1.4787345917580607E-2"/>
              <c:y val="0.24334864391951005"/>
            </c:manualLayout>
          </c:layout>
          <c:overlay val="0"/>
        </c:title>
        <c:numFmt formatCode="_(* #,##0.00_);_(* \(#,##0.00\);_(* &quot;-&quot;??_);_(@_)" sourceLinked="1"/>
        <c:majorTickMark val="out"/>
        <c:minorTickMark val="none"/>
        <c:tickLblPos val="nextTo"/>
        <c:crossAx val="106949248"/>
        <c:crosses val="autoZero"/>
        <c:crossBetween val="between"/>
      </c:valAx>
      <c:spPr>
        <a:solidFill>
          <a:srgbClr val="D4F5F4"/>
        </a:solidFill>
        <a:ln>
          <a:solidFill>
            <a:schemeClr val="bg1">
              <a:lumMod val="65000"/>
            </a:schemeClr>
          </a:solidFill>
        </a:ln>
      </c:spPr>
    </c:plotArea>
    <c:legend>
      <c:legendPos val="r"/>
      <c:layout>
        <c:manualLayout>
          <c:xMode val="edge"/>
          <c:yMode val="edge"/>
          <c:x val="0.33793557388813206"/>
          <c:y val="0.30970013956480325"/>
          <c:w val="0.21001246719160252"/>
          <c:h val="7.4841790609507131E-2"/>
        </c:manualLayout>
      </c:layout>
      <c:overlay val="0"/>
    </c:legend>
    <c:plotVisOnly val="1"/>
    <c:dispBlanksAs val="gap"/>
    <c:showDLblsOverMax val="0"/>
  </c:chart>
  <c:spPr>
    <a:solidFill>
      <a:schemeClr val="bg1"/>
    </a:solidFill>
  </c:spPr>
  <c:printSettings>
    <c:headerFooter/>
    <c:pageMargins b="0.75000000000000411" l="0.70000000000000062" r="0.70000000000000062" t="0.75000000000000411"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9.3648122135306738E-2"/>
          <c:y val="0.18783775582965423"/>
          <c:w val="0.86117281166368687"/>
          <c:h val="0.67472767132432221"/>
        </c:manualLayout>
      </c:layout>
      <c:barChart>
        <c:barDir val="col"/>
        <c:grouping val="clustered"/>
        <c:varyColors val="0"/>
        <c:ser>
          <c:idx val="0"/>
          <c:order val="0"/>
          <c:tx>
            <c:strRef>
              <c:f>'18.2'!$U$23</c:f>
              <c:strCache>
                <c:ptCount val="1"/>
                <c:pt idx="0">
                  <c:v>2013</c:v>
                </c:pt>
              </c:strCache>
            </c:strRef>
          </c:tx>
          <c:spPr>
            <a:solidFill>
              <a:srgbClr val="1C706E"/>
            </a:solidFill>
          </c:spPr>
          <c:invertIfNegative val="0"/>
          <c:dLbls>
            <c:dLbl>
              <c:idx val="0"/>
              <c:layout>
                <c:manualLayout>
                  <c:x val="1.9624407565348976E-17"/>
                  <c:y val="1.4450867052023119E-2"/>
                </c:manualLayout>
              </c:layout>
              <c:showLegendKey val="0"/>
              <c:showVal val="1"/>
              <c:showCatName val="0"/>
              <c:showSerName val="0"/>
              <c:showPercent val="0"/>
              <c:showBubbleSize val="0"/>
            </c:dLbl>
            <c:showLegendKey val="0"/>
            <c:showVal val="1"/>
            <c:showCatName val="0"/>
            <c:showSerName val="0"/>
            <c:showPercent val="0"/>
            <c:showBubbleSize val="0"/>
            <c:showLeaderLines val="0"/>
          </c:dLbls>
          <c:cat>
            <c:strRef>
              <c:f>'18.2'!$S$24:$S$27</c:f>
              <c:strCache>
                <c:ptCount val="4"/>
                <c:pt idx="0">
                  <c:v>Basic pension</c:v>
                </c:pt>
                <c:pt idx="1">
                  <c:v>Other  pension</c:v>
                </c:pt>
                <c:pt idx="2">
                  <c:v>Retirement  pension</c:v>
                </c:pt>
                <c:pt idx="3">
                  <c:v> Senior Citizen Allowance</c:v>
                </c:pt>
              </c:strCache>
            </c:strRef>
          </c:cat>
          <c:val>
            <c:numRef>
              <c:f>'18.2'!$U$24:$U$27</c:f>
              <c:numCache>
                <c:formatCode>_(* #,##0_);_(* \(#,##0\);_(* "-"??_);_(@_)</c:formatCode>
                <c:ptCount val="4"/>
                <c:pt idx="0">
                  <c:v>421.20435024000005</c:v>
                </c:pt>
                <c:pt idx="1">
                  <c:v>244.38423925999996</c:v>
                </c:pt>
                <c:pt idx="2">
                  <c:v>25.887906539999999</c:v>
                </c:pt>
                <c:pt idx="3">
                  <c:v>0</c:v>
                </c:pt>
              </c:numCache>
            </c:numRef>
          </c:val>
        </c:ser>
        <c:ser>
          <c:idx val="1"/>
          <c:order val="1"/>
          <c:tx>
            <c:strRef>
              <c:f>'18.2'!$V$23</c:f>
              <c:strCache>
                <c:ptCount val="1"/>
                <c:pt idx="0">
                  <c:v>2014</c:v>
                </c:pt>
              </c:strCache>
            </c:strRef>
          </c:tx>
          <c:spPr>
            <a:solidFill>
              <a:srgbClr val="33CCCC"/>
            </a:solidFill>
          </c:spPr>
          <c:invertIfNegative val="0"/>
          <c:dLbls>
            <c:dLbl>
              <c:idx val="0"/>
              <c:layout>
                <c:manualLayout>
                  <c:x val="0"/>
                  <c:y val="1.3888888888889018E-2"/>
                </c:manualLayout>
              </c:layout>
              <c:dLblPos val="outEnd"/>
              <c:showLegendKey val="0"/>
              <c:showVal val="1"/>
              <c:showCatName val="0"/>
              <c:showSerName val="0"/>
              <c:showPercent val="0"/>
              <c:showBubbleSize val="0"/>
            </c:dLbl>
            <c:dLbl>
              <c:idx val="3"/>
              <c:layout>
                <c:manualLayout>
                  <c:x val="2.101723413198823E-3"/>
                  <c:y val="0.10597302504816963"/>
                </c:manualLayout>
              </c:layout>
              <c:dLblPos val="outEnd"/>
              <c:showLegendKey val="0"/>
              <c:showVal val="1"/>
              <c:showCatName val="0"/>
              <c:showSerName val="0"/>
              <c:showPercent val="0"/>
              <c:showBubbleSize val="0"/>
            </c:dLbl>
            <c:dLblPos val="outEnd"/>
            <c:showLegendKey val="0"/>
            <c:showVal val="1"/>
            <c:showCatName val="0"/>
            <c:showSerName val="0"/>
            <c:showPercent val="0"/>
            <c:showBubbleSize val="0"/>
            <c:showLeaderLines val="0"/>
          </c:dLbls>
          <c:cat>
            <c:strRef>
              <c:f>'18.2'!$S$24:$S$27</c:f>
              <c:strCache>
                <c:ptCount val="4"/>
                <c:pt idx="0">
                  <c:v>Basic pension</c:v>
                </c:pt>
                <c:pt idx="1">
                  <c:v>Other  pension</c:v>
                </c:pt>
                <c:pt idx="2">
                  <c:v>Retirement  pension</c:v>
                </c:pt>
                <c:pt idx="3">
                  <c:v> Senior Citizen Allowance</c:v>
                </c:pt>
              </c:strCache>
            </c:strRef>
          </c:cat>
          <c:val>
            <c:numRef>
              <c:f>'18.2'!$V$24:$V$27</c:f>
              <c:numCache>
                <c:formatCode>_(* #,##0_);_(* \(#,##0\);_(* "-"??_);_(@_)</c:formatCode>
                <c:ptCount val="4"/>
                <c:pt idx="0">
                  <c:v>431.70710244000009</c:v>
                </c:pt>
                <c:pt idx="1">
                  <c:v>259.55405459000002</c:v>
                </c:pt>
                <c:pt idx="2">
                  <c:v>35.973669200000003</c:v>
                </c:pt>
                <c:pt idx="3">
                  <c:v>471.31171134999994</c:v>
                </c:pt>
              </c:numCache>
            </c:numRef>
          </c:val>
        </c:ser>
        <c:ser>
          <c:idx val="2"/>
          <c:order val="2"/>
          <c:tx>
            <c:strRef>
              <c:f>'18.2'!$W$23</c:f>
              <c:strCache>
                <c:ptCount val="1"/>
                <c:pt idx="0">
                  <c:v>2015</c:v>
                </c:pt>
              </c:strCache>
            </c:strRef>
          </c:tx>
          <c:spPr>
            <a:solidFill>
              <a:srgbClr val="28B2AF"/>
            </a:solidFill>
          </c:spPr>
          <c:invertIfNegative val="0"/>
          <c:cat>
            <c:strRef>
              <c:f>'18.2'!$S$24:$S$27</c:f>
              <c:strCache>
                <c:ptCount val="4"/>
                <c:pt idx="0">
                  <c:v>Basic pension</c:v>
                </c:pt>
                <c:pt idx="1">
                  <c:v>Other  pension</c:v>
                </c:pt>
                <c:pt idx="2">
                  <c:v>Retirement  pension</c:v>
                </c:pt>
                <c:pt idx="3">
                  <c:v> Senior Citizen Allowance</c:v>
                </c:pt>
              </c:strCache>
            </c:strRef>
          </c:cat>
          <c:val>
            <c:numRef>
              <c:f>'18.2'!$W$24:$W$27</c:f>
              <c:numCache>
                <c:formatCode>_(* #,##0_);_(* \(#,##0\);_(* "-"??_);_(@_)</c:formatCode>
                <c:ptCount val="4"/>
                <c:pt idx="0">
                  <c:v>426.99923999999999</c:v>
                </c:pt>
                <c:pt idx="1">
                  <c:v>260.11826270999995</c:v>
                </c:pt>
                <c:pt idx="2">
                  <c:v>48.839669629999996</c:v>
                </c:pt>
                <c:pt idx="3">
                  <c:v>524.5473284599999</c:v>
                </c:pt>
              </c:numCache>
            </c:numRef>
          </c:val>
        </c:ser>
        <c:dLbls>
          <c:showLegendKey val="0"/>
          <c:showVal val="1"/>
          <c:showCatName val="0"/>
          <c:showSerName val="0"/>
          <c:showPercent val="0"/>
          <c:showBubbleSize val="0"/>
        </c:dLbls>
        <c:gapWidth val="150"/>
        <c:axId val="106790912"/>
        <c:axId val="106792448"/>
      </c:barChart>
      <c:catAx>
        <c:axId val="106790912"/>
        <c:scaling>
          <c:orientation val="minMax"/>
        </c:scaling>
        <c:delete val="0"/>
        <c:axPos val="b"/>
        <c:numFmt formatCode="General" sourceLinked="1"/>
        <c:majorTickMark val="out"/>
        <c:minorTickMark val="none"/>
        <c:tickLblPos val="nextTo"/>
        <c:crossAx val="106792448"/>
        <c:crosses val="autoZero"/>
        <c:auto val="1"/>
        <c:lblAlgn val="ctr"/>
        <c:lblOffset val="100"/>
        <c:noMultiLvlLbl val="0"/>
      </c:catAx>
      <c:valAx>
        <c:axId val="106792448"/>
        <c:scaling>
          <c:orientation val="minMax"/>
        </c:scaling>
        <c:delete val="0"/>
        <c:axPos val="l"/>
        <c:title>
          <c:tx>
            <c:rich>
              <a:bodyPr rot="0" vert="horz"/>
              <a:lstStyle/>
              <a:p>
                <a:pPr>
                  <a:defRPr sz="800"/>
                </a:pPr>
                <a:r>
                  <a:rPr lang="en-US" sz="800"/>
                  <a:t>In million MVR</a:t>
                </a:r>
              </a:p>
            </c:rich>
          </c:tx>
          <c:layout>
            <c:manualLayout>
              <c:xMode val="edge"/>
              <c:yMode val="edge"/>
              <c:x val="5.6749841957018932E-3"/>
              <c:y val="0.11647929846919421"/>
            </c:manualLayout>
          </c:layout>
          <c:overlay val="0"/>
        </c:title>
        <c:numFmt formatCode="_(* #,##0_);_(* \(#,##0\);_(* &quot;-&quot;??_);_(@_)" sourceLinked="1"/>
        <c:majorTickMark val="out"/>
        <c:minorTickMark val="none"/>
        <c:tickLblPos val="nextTo"/>
        <c:crossAx val="106790912"/>
        <c:crosses val="autoZero"/>
        <c:crossBetween val="between"/>
      </c:valAx>
      <c:spPr>
        <a:solidFill>
          <a:srgbClr val="D4F5F4"/>
        </a:solidFill>
        <a:ln>
          <a:solidFill>
            <a:schemeClr val="tx1">
              <a:lumMod val="65000"/>
              <a:lumOff val="35000"/>
            </a:schemeClr>
          </a:solidFill>
        </a:ln>
      </c:spPr>
    </c:plotArea>
    <c:legend>
      <c:legendPos val="r"/>
      <c:layout>
        <c:manualLayout>
          <c:xMode val="edge"/>
          <c:yMode val="edge"/>
          <c:x val="0.43931004917353222"/>
          <c:y val="0.23803384896554369"/>
          <c:w val="0.2961935475881734"/>
          <c:h val="7.5277925214177963E-2"/>
        </c:manualLayout>
      </c:layout>
      <c:overlay val="0"/>
    </c:legend>
    <c:plotVisOnly val="1"/>
    <c:dispBlanksAs val="gap"/>
    <c:showDLblsOverMax val="0"/>
  </c:chart>
  <c:printSettings>
    <c:headerFooter/>
    <c:pageMargins b="0.75000000000000377" l="0.70000000000000062" r="0.70000000000000062" t="0.750000000000003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onsolas" pitchFamily="49" charset="0"/>
                <a:cs typeface="Consolas" pitchFamily="49" charset="0"/>
              </a:defRPr>
            </a:pPr>
            <a:r>
              <a:rPr lang="en-US" sz="1100">
                <a:latin typeface="Consolas" pitchFamily="49" charset="0"/>
                <a:cs typeface="Consolas" pitchFamily="49" charset="0"/>
              </a:rPr>
              <a:t>Figure</a:t>
            </a:r>
            <a:r>
              <a:rPr lang="en-US" sz="1100" baseline="0">
                <a:latin typeface="Consolas" pitchFamily="49" charset="0"/>
                <a:cs typeface="Consolas" pitchFamily="49" charset="0"/>
              </a:rPr>
              <a:t> 18.5: </a:t>
            </a:r>
            <a:r>
              <a:rPr lang="en-US" sz="1100">
                <a:latin typeface="Consolas" pitchFamily="49" charset="0"/>
                <a:cs typeface="Consolas" pitchFamily="49" charset="0"/>
              </a:rPr>
              <a:t>Number of beneficiaries</a:t>
            </a:r>
            <a:r>
              <a:rPr lang="en-US" sz="1100" baseline="0">
                <a:latin typeface="Consolas" pitchFamily="49" charset="0"/>
                <a:cs typeface="Consolas" pitchFamily="49" charset="0"/>
              </a:rPr>
              <a:t> under different pension schemes by sex, 2015</a:t>
            </a:r>
            <a:endParaRPr lang="en-US" sz="1100">
              <a:latin typeface="Consolas" pitchFamily="49" charset="0"/>
              <a:cs typeface="Consolas" pitchFamily="49" charset="0"/>
            </a:endParaRPr>
          </a:p>
        </c:rich>
      </c:tx>
      <c:layout>
        <c:manualLayout>
          <c:xMode val="edge"/>
          <c:yMode val="edge"/>
          <c:x val="0.18321760441745105"/>
          <c:y val="3.7762162069404762E-2"/>
        </c:manualLayout>
      </c:layout>
      <c:overlay val="0"/>
    </c:title>
    <c:autoTitleDeleted val="0"/>
    <c:plotArea>
      <c:layout>
        <c:manualLayout>
          <c:layoutTarget val="inner"/>
          <c:xMode val="edge"/>
          <c:yMode val="edge"/>
          <c:x val="9.9411158775585262E-2"/>
          <c:y val="0.17575240594925634"/>
          <c:w val="0.87946507879462443"/>
          <c:h val="0.67755395158938891"/>
        </c:manualLayout>
      </c:layout>
      <c:barChart>
        <c:barDir val="col"/>
        <c:grouping val="clustered"/>
        <c:varyColors val="0"/>
        <c:ser>
          <c:idx val="0"/>
          <c:order val="0"/>
          <c:tx>
            <c:strRef>
              <c:f>'18.3'!$X$14</c:f>
              <c:strCache>
                <c:ptCount val="1"/>
                <c:pt idx="0">
                  <c:v>Male</c:v>
                </c:pt>
              </c:strCache>
            </c:strRef>
          </c:tx>
          <c:spPr>
            <a:solidFill>
              <a:srgbClr val="33CCCC"/>
            </a:solidFill>
          </c:spPr>
          <c:invertIfNegative val="0"/>
          <c:dLbls>
            <c:dLbl>
              <c:idx val="0"/>
              <c:layout>
                <c:manualLayout>
                  <c:x val="-1.9521411837691923E-3"/>
                  <c:y val="9.7699334529060405E-3"/>
                </c:manualLayout>
              </c:layout>
              <c:showLegendKey val="0"/>
              <c:showVal val="1"/>
              <c:showCatName val="0"/>
              <c:showSerName val="0"/>
              <c:showPercent val="0"/>
              <c:showBubbleSize val="0"/>
            </c:dLbl>
            <c:dLbl>
              <c:idx val="3"/>
              <c:layout>
                <c:manualLayout>
                  <c:x val="0"/>
                  <c:y val="1.4654900179359054E-2"/>
                </c:manualLayout>
              </c:layout>
              <c:showLegendKey val="0"/>
              <c:showVal val="1"/>
              <c:showCatName val="0"/>
              <c:showSerName val="0"/>
              <c:showPercent val="0"/>
              <c:showBubbleSize val="0"/>
            </c:dLbl>
            <c:showLegendKey val="0"/>
            <c:showVal val="1"/>
            <c:showCatName val="0"/>
            <c:showSerName val="0"/>
            <c:showPercent val="0"/>
            <c:showBubbleSize val="0"/>
            <c:showLeaderLines val="0"/>
          </c:dLbls>
          <c:cat>
            <c:strRef>
              <c:f>'18.3'!$W$15:$W$18</c:f>
              <c:strCache>
                <c:ptCount val="4"/>
                <c:pt idx="0">
                  <c:v>Basic Pension</c:v>
                </c:pt>
                <c:pt idx="1">
                  <c:v>Retirement Pension</c:v>
                </c:pt>
                <c:pt idx="2">
                  <c:v>Other Pension</c:v>
                </c:pt>
                <c:pt idx="3">
                  <c:v>Senior Citizen Allowance</c:v>
                </c:pt>
              </c:strCache>
            </c:strRef>
          </c:cat>
          <c:val>
            <c:numRef>
              <c:f>'18.3'!$X$15:$X$18</c:f>
              <c:numCache>
                <c:formatCode>_(* #,##0_);_(* \(#,##0\);_(* "-"??_);_(@_)</c:formatCode>
                <c:ptCount val="4"/>
                <c:pt idx="0">
                  <c:v>8201</c:v>
                </c:pt>
                <c:pt idx="1">
                  <c:v>699</c:v>
                </c:pt>
                <c:pt idx="2">
                  <c:v>5198</c:v>
                </c:pt>
                <c:pt idx="3">
                  <c:v>8553</c:v>
                </c:pt>
              </c:numCache>
            </c:numRef>
          </c:val>
        </c:ser>
        <c:ser>
          <c:idx val="1"/>
          <c:order val="1"/>
          <c:tx>
            <c:strRef>
              <c:f>'18.3'!$Y$14</c:f>
              <c:strCache>
                <c:ptCount val="1"/>
                <c:pt idx="0">
                  <c:v>Female</c:v>
                </c:pt>
              </c:strCache>
            </c:strRef>
          </c:tx>
          <c:spPr>
            <a:solidFill>
              <a:srgbClr val="1C706E"/>
            </a:solidFill>
          </c:spPr>
          <c:invertIfNegative val="0"/>
          <c:cat>
            <c:strRef>
              <c:f>'18.3'!$W$15:$W$18</c:f>
              <c:strCache>
                <c:ptCount val="4"/>
                <c:pt idx="0">
                  <c:v>Basic Pension</c:v>
                </c:pt>
                <c:pt idx="1">
                  <c:v>Retirement Pension</c:v>
                </c:pt>
                <c:pt idx="2">
                  <c:v>Other Pension</c:v>
                </c:pt>
                <c:pt idx="3">
                  <c:v>Senior Citizen Allowance</c:v>
                </c:pt>
              </c:strCache>
            </c:strRef>
          </c:cat>
          <c:val>
            <c:numRef>
              <c:f>'18.3'!$Y$15:$Y$18</c:f>
              <c:numCache>
                <c:formatCode>_(* #,##0_);_(* \(#,##0\);_(* "-"??_);_(@_)</c:formatCode>
                <c:ptCount val="4"/>
                <c:pt idx="0">
                  <c:v>7890</c:v>
                </c:pt>
                <c:pt idx="1">
                  <c:v>196</c:v>
                </c:pt>
                <c:pt idx="2">
                  <c:v>2066</c:v>
                </c:pt>
                <c:pt idx="3">
                  <c:v>8008</c:v>
                </c:pt>
              </c:numCache>
            </c:numRef>
          </c:val>
        </c:ser>
        <c:dLbls>
          <c:showLegendKey val="0"/>
          <c:showVal val="1"/>
          <c:showCatName val="0"/>
          <c:showSerName val="0"/>
          <c:showPercent val="0"/>
          <c:showBubbleSize val="0"/>
        </c:dLbls>
        <c:gapWidth val="150"/>
        <c:axId val="106857216"/>
        <c:axId val="106858752"/>
      </c:barChart>
      <c:catAx>
        <c:axId val="106857216"/>
        <c:scaling>
          <c:orientation val="minMax"/>
        </c:scaling>
        <c:delete val="0"/>
        <c:axPos val="b"/>
        <c:majorTickMark val="out"/>
        <c:minorTickMark val="none"/>
        <c:tickLblPos val="nextTo"/>
        <c:crossAx val="106858752"/>
        <c:crosses val="autoZero"/>
        <c:auto val="1"/>
        <c:lblAlgn val="ctr"/>
        <c:lblOffset val="100"/>
        <c:noMultiLvlLbl val="0"/>
      </c:catAx>
      <c:valAx>
        <c:axId val="106858752"/>
        <c:scaling>
          <c:orientation val="minMax"/>
        </c:scaling>
        <c:delete val="0"/>
        <c:axPos val="l"/>
        <c:title>
          <c:tx>
            <c:rich>
              <a:bodyPr rot="-5400000" vert="horz"/>
              <a:lstStyle/>
              <a:p>
                <a:pPr>
                  <a:defRPr b="0"/>
                </a:pPr>
                <a:r>
                  <a:rPr lang="en-US" b="0"/>
                  <a:t>number</a:t>
                </a:r>
                <a:r>
                  <a:rPr lang="en-US" b="0" baseline="0"/>
                  <a:t> of persons</a:t>
                </a:r>
                <a:endParaRPr lang="en-US" b="0"/>
              </a:p>
            </c:rich>
          </c:tx>
          <c:layout>
            <c:manualLayout>
              <c:xMode val="edge"/>
              <c:yMode val="edge"/>
              <c:x val="1.1326757671272825E-2"/>
              <c:y val="0.28176290463692039"/>
            </c:manualLayout>
          </c:layout>
          <c:overlay val="0"/>
        </c:title>
        <c:numFmt formatCode="_(* #,##0_);_(* \(#,##0\);_(* &quot;-&quot;??_);_(@_)" sourceLinked="1"/>
        <c:majorTickMark val="out"/>
        <c:minorTickMark val="none"/>
        <c:tickLblPos val="nextTo"/>
        <c:crossAx val="106857216"/>
        <c:crosses val="autoZero"/>
        <c:crossBetween val="between"/>
      </c:valAx>
      <c:spPr>
        <a:solidFill>
          <a:srgbClr val="D4F5F4"/>
        </a:solidFill>
        <a:ln>
          <a:solidFill>
            <a:sysClr val="window" lastClr="FFFFFF">
              <a:lumMod val="65000"/>
            </a:sysClr>
          </a:solidFill>
        </a:ln>
      </c:spPr>
    </c:plotArea>
    <c:legend>
      <c:legendPos val="r"/>
      <c:layout>
        <c:manualLayout>
          <c:xMode val="edge"/>
          <c:yMode val="edge"/>
          <c:x val="0.5310783182134623"/>
          <c:y val="0.22716518457289059"/>
          <c:w val="0.22889887622494667"/>
          <c:h val="6.3539954604427323E-2"/>
        </c:manualLayout>
      </c:layout>
      <c:overlay val="0"/>
    </c:legend>
    <c:plotVisOnly val="1"/>
    <c:dispBlanksAs val="gap"/>
    <c:showDLblsOverMax val="0"/>
  </c:chart>
  <c:spPr>
    <a:solidFill>
      <a:schemeClr val="bg1"/>
    </a:solidFill>
  </c:spPr>
  <c:printSettings>
    <c:headerFooter/>
    <c:pageMargins b="0.75000000000000389" l="0.70000000000000062" r="0.70000000000000062" t="0.7500000000000038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perspective val="30"/>
    </c:view3D>
    <c:floor>
      <c:thickness val="0"/>
    </c:floor>
    <c:sideWall>
      <c:thickness val="0"/>
      <c:spPr>
        <a:ln>
          <a:solidFill>
            <a:schemeClr val="bg1">
              <a:lumMod val="65000"/>
            </a:schemeClr>
          </a:solidFill>
        </a:ln>
      </c:spPr>
    </c:sideWall>
    <c:backWall>
      <c:thickness val="0"/>
      <c:spPr>
        <a:ln>
          <a:solidFill>
            <a:schemeClr val="bg1">
              <a:lumMod val="65000"/>
            </a:schemeClr>
          </a:solidFill>
        </a:ln>
      </c:spPr>
    </c:backWall>
    <c:plotArea>
      <c:layout>
        <c:manualLayout>
          <c:layoutTarget val="inner"/>
          <c:xMode val="edge"/>
          <c:yMode val="edge"/>
          <c:x val="0.3172694867871933"/>
          <c:y val="0.14910981133098888"/>
          <c:w val="0.3727973982906258"/>
          <c:h val="0.84146921359284765"/>
        </c:manualLayout>
      </c:layout>
      <c:pie3DChart>
        <c:varyColors val="1"/>
        <c:ser>
          <c:idx val="0"/>
          <c:order val="0"/>
          <c:spPr>
            <a:solidFill>
              <a:srgbClr val="7030A0"/>
            </a:solidFill>
          </c:spPr>
          <c:explosion val="5"/>
          <c:dPt>
            <c:idx val="0"/>
            <c:bubble3D val="0"/>
            <c:spPr>
              <a:solidFill>
                <a:srgbClr val="8DE5E3"/>
              </a:solidFill>
            </c:spPr>
          </c:dPt>
          <c:dPt>
            <c:idx val="1"/>
            <c:bubble3D val="0"/>
            <c:spPr>
              <a:solidFill>
                <a:srgbClr val="1C706E"/>
              </a:solidFill>
            </c:spPr>
          </c:dPt>
          <c:dPt>
            <c:idx val="2"/>
            <c:bubble3D val="0"/>
            <c:spPr>
              <a:solidFill>
                <a:srgbClr val="28B2AF"/>
              </a:solidFill>
            </c:spPr>
          </c:dPt>
          <c:dLbls>
            <c:dLbl>
              <c:idx val="0"/>
              <c:layout>
                <c:manualLayout>
                  <c:x val="-8.3854342723945013E-2"/>
                  <c:y val="0.16541471925653381"/>
                </c:manualLayout>
              </c:layout>
              <c:showLegendKey val="0"/>
              <c:showVal val="0"/>
              <c:showCatName val="1"/>
              <c:showSerName val="0"/>
              <c:showPercent val="1"/>
              <c:showBubbleSize val="0"/>
            </c:dLbl>
            <c:dLbl>
              <c:idx val="1"/>
              <c:layout>
                <c:manualLayout>
                  <c:x val="-8.3298186864572965E-2"/>
                  <c:y val="-0.19763865021758273"/>
                </c:manualLayout>
              </c:layout>
              <c:showLegendKey val="0"/>
              <c:showVal val="0"/>
              <c:showCatName val="1"/>
              <c:showSerName val="0"/>
              <c:showPercent val="1"/>
              <c:showBubbleSize val="0"/>
            </c:dLbl>
            <c:dLbl>
              <c:idx val="2"/>
              <c:layout>
                <c:manualLayout>
                  <c:x val="0.14103315417210702"/>
                  <c:y val="-6.9128614950685766E-3"/>
                </c:manualLayout>
              </c:layout>
              <c:showLegendKey val="0"/>
              <c:showVal val="0"/>
              <c:showCatName val="1"/>
              <c:showSerName val="0"/>
              <c:showPercent val="1"/>
              <c:showBubbleSize val="0"/>
            </c:dLbl>
            <c:txPr>
              <a:bodyPr/>
              <a:lstStyle/>
              <a:p>
                <a:pPr>
                  <a:defRPr b="1">
                    <a:solidFill>
                      <a:schemeClr val="bg1"/>
                    </a:solidFill>
                  </a:defRPr>
                </a:pPr>
                <a:endParaRPr lang="en-US"/>
              </a:p>
            </c:txPr>
            <c:showLegendKey val="0"/>
            <c:showVal val="0"/>
            <c:showCatName val="1"/>
            <c:showSerName val="0"/>
            <c:showPercent val="1"/>
            <c:showBubbleSize val="0"/>
            <c:showLeaderLines val="1"/>
          </c:dLbls>
          <c:cat>
            <c:strRef>
              <c:f>'18.4'!$AE$18:$AG$18</c:f>
              <c:strCache>
                <c:ptCount val="3"/>
                <c:pt idx="0">
                  <c:v>65-69 yrs</c:v>
                </c:pt>
                <c:pt idx="1">
                  <c:v>70-74 yrs </c:v>
                </c:pt>
                <c:pt idx="2">
                  <c:v>75  yrs &amp; over</c:v>
                </c:pt>
              </c:strCache>
            </c:strRef>
          </c:cat>
          <c:val>
            <c:numRef>
              <c:f>'18.4'!$P$19:$R$19</c:f>
              <c:numCache>
                <c:formatCode>#,##0</c:formatCode>
                <c:ptCount val="3"/>
                <c:pt idx="0">
                  <c:v>3902</c:v>
                </c:pt>
                <c:pt idx="1">
                  <c:v>4530</c:v>
                </c:pt>
                <c:pt idx="2">
                  <c:v>7659</c:v>
                </c:pt>
              </c:numCache>
            </c:numRef>
          </c:val>
        </c:ser>
        <c:dLbls>
          <c:showLegendKey val="0"/>
          <c:showVal val="0"/>
          <c:showCatName val="0"/>
          <c:showSerName val="0"/>
          <c:showPercent val="0"/>
          <c:showBubbleSize val="0"/>
          <c:showLeaderLines val="1"/>
        </c:dLbls>
      </c:pie3DChart>
    </c:plotArea>
    <c:plotVisOnly val="1"/>
    <c:dispBlanksAs val="zero"/>
    <c:showDLblsOverMax val="0"/>
  </c:chart>
  <c:spPr>
    <a:solidFill>
      <a:schemeClr val="bg1"/>
    </a:solidFill>
  </c:spPr>
  <c:printSettings>
    <c:headerFooter/>
    <c:pageMargins b="0.750000000000004" l="0.70000000000000062" r="0.70000000000000062" t="0.750000000000004"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lotArea>
      <c:layout>
        <c:manualLayout>
          <c:layoutTarget val="inner"/>
          <c:xMode val="edge"/>
          <c:yMode val="edge"/>
          <c:x val="0.13587679530489313"/>
          <c:y val="0.15509259259259275"/>
          <c:w val="0.75658482881027433"/>
          <c:h val="0.8333333333333337"/>
        </c:manualLayout>
      </c:layout>
      <c:doughnutChart>
        <c:varyColors val="1"/>
        <c:ser>
          <c:idx val="0"/>
          <c:order val="0"/>
          <c:explosion val="1"/>
          <c:dPt>
            <c:idx val="0"/>
            <c:bubble3D val="0"/>
            <c:explosion val="0"/>
          </c:dPt>
          <c:dPt>
            <c:idx val="1"/>
            <c:bubble3D val="0"/>
            <c:spPr>
              <a:solidFill>
                <a:schemeClr val="accent4">
                  <a:lumMod val="60000"/>
                  <a:lumOff val="40000"/>
                </a:schemeClr>
              </a:solidFill>
            </c:spPr>
          </c:dPt>
          <c:dPt>
            <c:idx val="3"/>
            <c:bubble3D val="0"/>
            <c:spPr>
              <a:solidFill>
                <a:srgbClr val="9933FF"/>
              </a:solidFill>
            </c:spPr>
          </c:dPt>
          <c:dPt>
            <c:idx val="4"/>
            <c:bubble3D val="0"/>
            <c:spPr>
              <a:solidFill>
                <a:schemeClr val="accent4">
                  <a:lumMod val="40000"/>
                  <a:lumOff val="60000"/>
                </a:schemeClr>
              </a:solidFill>
            </c:spPr>
          </c:dPt>
          <c:dLbls>
            <c:showLegendKey val="0"/>
            <c:showVal val="0"/>
            <c:showCatName val="1"/>
            <c:showSerName val="0"/>
            <c:showPercent val="1"/>
            <c:showBubbleSize val="0"/>
            <c:showLeaderLines val="1"/>
          </c:dLbls>
          <c:cat>
            <c:strRef>
              <c:f>'18.4'!$AC$36:$AG$36</c:f>
              <c:strCache>
                <c:ptCount val="5"/>
                <c:pt idx="0">
                  <c:v>&lt; 55</c:v>
                </c:pt>
                <c:pt idx="1">
                  <c:v>55-64</c:v>
                </c:pt>
                <c:pt idx="2">
                  <c:v>65-69</c:v>
                </c:pt>
                <c:pt idx="3">
                  <c:v>70-74</c:v>
                </c:pt>
                <c:pt idx="4">
                  <c:v>75 +</c:v>
                </c:pt>
              </c:strCache>
            </c:strRef>
          </c:cat>
          <c:val>
            <c:numRef>
              <c:f>'18.4'!$AC$37:$AG$37</c:f>
              <c:numCache>
                <c:formatCode>0.0</c:formatCode>
                <c:ptCount val="5"/>
                <c:pt idx="0">
                  <c:v>33.604074889867839</c:v>
                </c:pt>
                <c:pt idx="1">
                  <c:v>21.930066079295155</c:v>
                </c:pt>
                <c:pt idx="2">
                  <c:v>12.802863436123349</c:v>
                </c:pt>
                <c:pt idx="3">
                  <c:v>12.844162995594713</c:v>
                </c:pt>
                <c:pt idx="4">
                  <c:v>18.818832599118942</c:v>
                </c:pt>
              </c:numCache>
            </c:numRef>
          </c:val>
        </c:ser>
        <c:dLbls>
          <c:showLegendKey val="0"/>
          <c:showVal val="0"/>
          <c:showCatName val="0"/>
          <c:showSerName val="0"/>
          <c:showPercent val="0"/>
          <c:showBubbleSize val="0"/>
          <c:showLeaderLines val="1"/>
        </c:dLbls>
        <c:firstSliceAng val="0"/>
        <c:holeSize val="50"/>
      </c:doughnutChart>
    </c:plotArea>
    <c:plotVisOnly val="1"/>
    <c:dispBlanksAs val="zero"/>
    <c:showDLblsOverMax val="0"/>
  </c:chart>
  <c:spPr>
    <a:effectLst/>
  </c:spPr>
  <c:printSettings>
    <c:headerFooter/>
    <c:pageMargins b="0.75000000000000033" l="0.70000000000000029" r="0.70000000000000029" t="0.75000000000000033" header="0.30000000000000016" footer="0.30000000000000016"/>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250000000000001"/>
          <c:y val="0.19675925925925927"/>
          <c:w val="0.46388888888888891"/>
          <c:h val="0.77314814814814814"/>
        </c:manualLayout>
      </c:layout>
      <c:doughnutChart>
        <c:varyColors val="1"/>
        <c:ser>
          <c:idx val="0"/>
          <c:order val="0"/>
          <c:dPt>
            <c:idx val="0"/>
            <c:bubble3D val="0"/>
            <c:spPr>
              <a:solidFill>
                <a:srgbClr val="A7EBE9"/>
              </a:solidFill>
            </c:spPr>
          </c:dPt>
          <c:dPt>
            <c:idx val="1"/>
            <c:bubble3D val="0"/>
            <c:spPr>
              <a:solidFill>
                <a:srgbClr val="33CCCC"/>
              </a:solidFill>
            </c:spPr>
          </c:dPt>
          <c:dPt>
            <c:idx val="2"/>
            <c:bubble3D val="0"/>
            <c:spPr>
              <a:solidFill>
                <a:srgbClr val="1C706E"/>
              </a:solidFill>
            </c:spPr>
          </c:dPt>
          <c:dLbls>
            <c:dLbl>
              <c:idx val="0"/>
              <c:layout>
                <c:manualLayout>
                  <c:x val="1.3190186173000688E-2"/>
                  <c:y val="-0.13758240342656555"/>
                </c:manualLayout>
              </c:layout>
              <c:showLegendKey val="0"/>
              <c:showVal val="0"/>
              <c:showCatName val="1"/>
              <c:showSerName val="0"/>
              <c:showPercent val="1"/>
              <c:showBubbleSize val="0"/>
            </c:dLbl>
            <c:dLbl>
              <c:idx val="1"/>
              <c:layout>
                <c:manualLayout>
                  <c:x val="-7.4999999999999956E-2"/>
                  <c:y val="3.7037037037037035E-2"/>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'18.5'!$Z$19:$AB$19</c:f>
              <c:strCache>
                <c:ptCount val="3"/>
                <c:pt idx="0">
                  <c:v>&lt; 65  yrs</c:v>
                </c:pt>
                <c:pt idx="1">
                  <c:v>65-69 yrs</c:v>
                </c:pt>
                <c:pt idx="2">
                  <c:v>70-74 yrs</c:v>
                </c:pt>
              </c:strCache>
            </c:strRef>
          </c:cat>
          <c:val>
            <c:numRef>
              <c:f>'18.5'!$Z$20:$AB$20</c:f>
              <c:numCache>
                <c:formatCode>_(* #,##0_);_(* \(#,##0\);_(* "-"??_);_(@_)</c:formatCode>
                <c:ptCount val="3"/>
                <c:pt idx="0">
                  <c:v>18</c:v>
                </c:pt>
                <c:pt idx="1">
                  <c:v>708</c:v>
                </c:pt>
                <c:pt idx="2">
                  <c:v>169</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930407478312411"/>
          <c:y val="0.20400185270958776"/>
          <c:w val="0.38297033827027982"/>
          <c:h val="0.78022765289053897"/>
        </c:manualLayout>
      </c:layout>
      <c:doughnutChart>
        <c:varyColors val="1"/>
        <c:ser>
          <c:idx val="0"/>
          <c:order val="0"/>
          <c:spPr>
            <a:solidFill>
              <a:srgbClr val="7030A0"/>
            </a:solidFill>
          </c:spPr>
          <c:explosion val="6"/>
          <c:dPt>
            <c:idx val="0"/>
            <c:bubble3D val="0"/>
            <c:spPr>
              <a:solidFill>
                <a:srgbClr val="1C706E"/>
              </a:solidFill>
            </c:spPr>
          </c:dPt>
          <c:dPt>
            <c:idx val="1"/>
            <c:bubble3D val="0"/>
            <c:spPr>
              <a:solidFill>
                <a:srgbClr val="33CCCC"/>
              </a:solidFill>
            </c:spPr>
          </c:dPt>
          <c:dPt>
            <c:idx val="2"/>
            <c:bubble3D val="0"/>
            <c:spPr>
              <a:solidFill>
                <a:srgbClr val="28B2AF"/>
              </a:solidFill>
            </c:spPr>
          </c:dPt>
          <c:dPt>
            <c:idx val="3"/>
            <c:bubble3D val="0"/>
            <c:spPr>
              <a:solidFill>
                <a:srgbClr val="8DE5E3"/>
              </a:solidFill>
            </c:spPr>
          </c:dPt>
          <c:dPt>
            <c:idx val="4"/>
            <c:bubble3D val="0"/>
            <c:spPr>
              <a:solidFill>
                <a:schemeClr val="accent5">
                  <a:lumMod val="60000"/>
                  <a:lumOff val="40000"/>
                </a:schemeClr>
              </a:solidFill>
            </c:spPr>
          </c:dPt>
          <c:dLbls>
            <c:dLbl>
              <c:idx val="0"/>
              <c:layout>
                <c:manualLayout>
                  <c:x val="-1.0609174870435119E-2"/>
                  <c:y val="-6.4594882296059711E-2"/>
                </c:manualLayout>
              </c:layout>
              <c:showLegendKey val="0"/>
              <c:showVal val="0"/>
              <c:showCatName val="1"/>
              <c:showSerName val="0"/>
              <c:showPercent val="1"/>
              <c:showBubbleSize val="0"/>
            </c:dLbl>
            <c:dLbl>
              <c:idx val="1"/>
              <c:layout>
                <c:manualLayout>
                  <c:x val="4.4403681482846182E-3"/>
                  <c:y val="-7.5168003380382403E-3"/>
                </c:manualLayout>
              </c:layout>
              <c:showLegendKey val="0"/>
              <c:showVal val="0"/>
              <c:showCatName val="1"/>
              <c:showSerName val="0"/>
              <c:showPercent val="1"/>
              <c:showBubbleSize val="0"/>
            </c:dLbl>
            <c:dLbl>
              <c:idx val="2"/>
              <c:layout>
                <c:manualLayout>
                  <c:x val="-1.3881657468299677E-3"/>
                  <c:y val="5.5916075506041623E-3"/>
                </c:manualLayout>
              </c:layout>
              <c:showLegendKey val="0"/>
              <c:showVal val="0"/>
              <c:showCatName val="1"/>
              <c:showSerName val="0"/>
              <c:showPercent val="1"/>
              <c:showBubbleSize val="0"/>
            </c:dLbl>
            <c:dLbl>
              <c:idx val="3"/>
              <c:layout>
                <c:manualLayout>
                  <c:x val="4.773592009035493E-3"/>
                  <c:y val="3.9267692157675333E-3"/>
                </c:manualLayout>
              </c:layout>
              <c:showLegendKey val="0"/>
              <c:showVal val="0"/>
              <c:showCatName val="1"/>
              <c:showSerName val="0"/>
              <c:showPercent val="1"/>
              <c:showBubbleSize val="0"/>
            </c:dLbl>
            <c:txPr>
              <a:bodyPr/>
              <a:lstStyle/>
              <a:p>
                <a:pPr>
                  <a:defRPr b="1">
                    <a:solidFill>
                      <a:schemeClr val="tx1"/>
                    </a:solidFill>
                  </a:defRPr>
                </a:pPr>
                <a:endParaRPr lang="en-US"/>
              </a:p>
            </c:txPr>
            <c:showLegendKey val="0"/>
            <c:showVal val="0"/>
            <c:showCatName val="1"/>
            <c:showSerName val="0"/>
            <c:showPercent val="1"/>
            <c:showBubbleSize val="0"/>
            <c:showLeaderLines val="1"/>
          </c:dLbls>
          <c:cat>
            <c:strRef>
              <c:f>'18.6'!$AF$26:$AJ$26</c:f>
              <c:strCache>
                <c:ptCount val="5"/>
                <c:pt idx="0">
                  <c:v>&lt; 55 yrs</c:v>
                </c:pt>
                <c:pt idx="1">
                  <c:v>55-64 yrs</c:v>
                </c:pt>
                <c:pt idx="2">
                  <c:v>65-69 yrs</c:v>
                </c:pt>
                <c:pt idx="3">
                  <c:v>70-74 yrs</c:v>
                </c:pt>
                <c:pt idx="4">
                  <c:v>75 yrs and over</c:v>
                </c:pt>
              </c:strCache>
            </c:strRef>
          </c:cat>
          <c:val>
            <c:numRef>
              <c:f>'18.6'!$AF$27:$AJ$27</c:f>
              <c:numCache>
                <c:formatCode>General</c:formatCode>
                <c:ptCount val="5"/>
                <c:pt idx="0">
                  <c:v>33.604074889867839</c:v>
                </c:pt>
                <c:pt idx="1">
                  <c:v>21.930066079295155</c:v>
                </c:pt>
                <c:pt idx="2">
                  <c:v>12.802863436123349</c:v>
                </c:pt>
                <c:pt idx="3">
                  <c:v>12.844162995594713</c:v>
                </c:pt>
                <c:pt idx="4">
                  <c:v>18.818832599118942</c:v>
                </c:pt>
              </c:numCache>
            </c:numRef>
          </c:val>
        </c:ser>
        <c:dLbls>
          <c:showLegendKey val="0"/>
          <c:showVal val="0"/>
          <c:showCatName val="0"/>
          <c:showSerName val="0"/>
          <c:showPercent val="0"/>
          <c:showBubbleSize val="0"/>
          <c:showLeaderLines val="1"/>
        </c:dLbls>
        <c:firstSliceAng val="0"/>
        <c:holeSize val="50"/>
      </c:doughnutChart>
      <c:spPr>
        <a:ln>
          <a:noFill/>
        </a:ln>
      </c:spPr>
    </c:plotArea>
    <c:plotVisOnly val="1"/>
    <c:dispBlanksAs val="zero"/>
    <c:showDLblsOverMax val="0"/>
  </c:chart>
  <c:spPr>
    <a:solidFill>
      <a:schemeClr val="bg1"/>
    </a:solidFill>
  </c:spPr>
  <c:printSettings>
    <c:headerFooter/>
    <c:pageMargins b="0.750000000000004" l="0.70000000000000062" r="0.70000000000000062" t="0.750000000000004"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2694867871933"/>
          <c:y val="0.14910981133098888"/>
          <c:w val="0.3727973982906258"/>
          <c:h val="0.84146921359284765"/>
        </c:manualLayout>
      </c:layout>
      <c:doughnutChart>
        <c:varyColors val="1"/>
        <c:ser>
          <c:idx val="0"/>
          <c:order val="0"/>
          <c:spPr>
            <a:solidFill>
              <a:srgbClr val="7030A0"/>
            </a:solidFill>
          </c:spPr>
          <c:explosion val="6"/>
          <c:dPt>
            <c:idx val="0"/>
            <c:bubble3D val="0"/>
            <c:spPr>
              <a:solidFill>
                <a:srgbClr val="1C706E"/>
              </a:solidFill>
            </c:spPr>
          </c:dPt>
          <c:dPt>
            <c:idx val="1"/>
            <c:bubble3D val="0"/>
            <c:spPr>
              <a:solidFill>
                <a:srgbClr val="33CCCC"/>
              </a:solidFill>
            </c:spPr>
          </c:dPt>
          <c:dPt>
            <c:idx val="2"/>
            <c:bubble3D val="0"/>
            <c:spPr>
              <a:solidFill>
                <a:srgbClr val="28B2AF"/>
              </a:solidFill>
            </c:spPr>
          </c:dPt>
          <c:dLbls>
            <c:dLbl>
              <c:idx val="0"/>
              <c:layout>
                <c:manualLayout>
                  <c:x val="-4.5054108826427216E-3"/>
                  <c:y val="-1.5059278580889464E-2"/>
                </c:manualLayout>
              </c:layout>
              <c:showLegendKey val="0"/>
              <c:showVal val="0"/>
              <c:showCatName val="1"/>
              <c:showSerName val="0"/>
              <c:showPercent val="1"/>
              <c:showBubbleSize val="0"/>
            </c:dLbl>
            <c:dLbl>
              <c:idx val="1"/>
              <c:layout>
                <c:manualLayout>
                  <c:x val="4.4403681482846182E-3"/>
                  <c:y val="-7.5168003380382403E-3"/>
                </c:manualLayout>
              </c:layout>
              <c:showLegendKey val="0"/>
              <c:showVal val="0"/>
              <c:showCatName val="1"/>
              <c:showSerName val="0"/>
              <c:showPercent val="1"/>
              <c:showBubbleSize val="0"/>
            </c:dLbl>
            <c:dLbl>
              <c:idx val="2"/>
              <c:layout>
                <c:manualLayout>
                  <c:x val="-2.9344584075987638E-3"/>
                  <c:y val="1.4635069654754694E-3"/>
                </c:manualLayout>
              </c:layout>
              <c:showLegendKey val="0"/>
              <c:showVal val="0"/>
              <c:showCatName val="1"/>
              <c:showSerName val="0"/>
              <c:showPercent val="1"/>
              <c:showBubbleSize val="0"/>
            </c:dLbl>
            <c:dLbl>
              <c:idx val="3"/>
              <c:layout>
                <c:manualLayout>
                  <c:x val="4.773592009035493E-3"/>
                  <c:y val="3.9267692157675333E-3"/>
                </c:manualLayout>
              </c:layout>
              <c:showLegendKey val="0"/>
              <c:showVal val="0"/>
              <c:showCatName val="1"/>
              <c:showSerName val="0"/>
              <c:showPercent val="1"/>
              <c:showBubbleSize val="0"/>
            </c:dLbl>
            <c:txPr>
              <a:bodyPr/>
              <a:lstStyle/>
              <a:p>
                <a:pPr>
                  <a:defRPr b="1">
                    <a:solidFill>
                      <a:schemeClr val="bg1"/>
                    </a:solidFill>
                  </a:defRPr>
                </a:pPr>
                <a:endParaRPr lang="en-US"/>
              </a:p>
            </c:txPr>
            <c:showLegendKey val="0"/>
            <c:showVal val="0"/>
            <c:showCatName val="1"/>
            <c:showSerName val="0"/>
            <c:showPercent val="1"/>
            <c:showBubbleSize val="0"/>
            <c:showLeaderLines val="1"/>
          </c:dLbls>
          <c:cat>
            <c:strRef>
              <c:f>'18.7'!$X$26:$Z$26</c:f>
              <c:strCache>
                <c:ptCount val="3"/>
                <c:pt idx="0">
                  <c:v>65-69 yrs</c:v>
                </c:pt>
                <c:pt idx="1">
                  <c:v>70-74 yrs</c:v>
                </c:pt>
                <c:pt idx="2">
                  <c:v>75 + yrs </c:v>
                </c:pt>
              </c:strCache>
            </c:strRef>
          </c:cat>
          <c:val>
            <c:numRef>
              <c:f>'18.7'!$C$18:$E$18</c:f>
              <c:numCache>
                <c:formatCode>_(* #,##0_);_(* \(#,##0\);_(* "-"??_);_(@_)</c:formatCode>
                <c:ptCount val="3"/>
                <c:pt idx="0">
                  <c:v>4147</c:v>
                </c:pt>
                <c:pt idx="1">
                  <c:v>4656</c:v>
                </c:pt>
                <c:pt idx="2">
                  <c:v>7758</c:v>
                </c:pt>
              </c:numCache>
            </c:numRef>
          </c:val>
        </c:ser>
        <c:dLbls>
          <c:showLegendKey val="0"/>
          <c:showVal val="0"/>
          <c:showCatName val="0"/>
          <c:showSerName val="0"/>
          <c:showPercent val="0"/>
          <c:showBubbleSize val="0"/>
          <c:showLeaderLines val="1"/>
        </c:dLbls>
        <c:firstSliceAng val="0"/>
        <c:holeSize val="50"/>
      </c:doughnutChart>
      <c:spPr>
        <a:ln>
          <a:noFill/>
        </a:ln>
      </c:spPr>
    </c:plotArea>
    <c:plotVisOnly val="1"/>
    <c:dispBlanksAs val="zero"/>
    <c:showDLblsOverMax val="0"/>
  </c:chart>
  <c:spPr>
    <a:solidFill>
      <a:schemeClr val="bg1"/>
    </a:solidFill>
  </c:spPr>
  <c:printSettings>
    <c:headerFooter/>
    <c:pageMargins b="0.750000000000004" l="0.70000000000000062" r="0.70000000000000062" t="0.750000000000004"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798385341774353E-2"/>
          <c:y val="0.18307427716735444"/>
          <c:w val="0.88541215173615506"/>
          <c:h val="0.70932389548867369"/>
        </c:manualLayout>
      </c:layout>
      <c:barChart>
        <c:barDir val="col"/>
        <c:grouping val="clustered"/>
        <c:varyColors val="0"/>
        <c:ser>
          <c:idx val="0"/>
          <c:order val="0"/>
          <c:tx>
            <c:strRef>
              <c:f>'18.8'!$AH$12</c:f>
              <c:strCache>
                <c:ptCount val="1"/>
                <c:pt idx="0">
                  <c:v>Basic pension</c:v>
                </c:pt>
              </c:strCache>
            </c:strRef>
          </c:tx>
          <c:spPr>
            <a:solidFill>
              <a:srgbClr val="28B2AF"/>
            </a:solidFill>
          </c:spPr>
          <c:invertIfNegative val="0"/>
          <c:cat>
            <c:strRef>
              <c:f>'18.8'!$AI$11:$AM$11</c:f>
              <c:strCache>
                <c:ptCount val="5"/>
                <c:pt idx="0">
                  <c:v>under 55</c:v>
                </c:pt>
                <c:pt idx="1">
                  <c:v>55-64</c:v>
                </c:pt>
                <c:pt idx="2">
                  <c:v>65-69</c:v>
                </c:pt>
                <c:pt idx="3">
                  <c:v>70-74</c:v>
                </c:pt>
                <c:pt idx="4">
                  <c:v>75 &amp; over</c:v>
                </c:pt>
              </c:strCache>
            </c:strRef>
          </c:cat>
          <c:val>
            <c:numRef>
              <c:f>'18.8'!$AI$12:$AM$12</c:f>
              <c:numCache>
                <c:formatCode>General</c:formatCode>
                <c:ptCount val="5"/>
                <c:pt idx="0">
                  <c:v>0</c:v>
                </c:pt>
                <c:pt idx="1">
                  <c:v>0</c:v>
                </c:pt>
                <c:pt idx="2" formatCode="#,##0">
                  <c:v>3902</c:v>
                </c:pt>
                <c:pt idx="3" formatCode="#,##0">
                  <c:v>4530</c:v>
                </c:pt>
                <c:pt idx="4" formatCode="#,##0">
                  <c:v>7659</c:v>
                </c:pt>
              </c:numCache>
            </c:numRef>
          </c:val>
        </c:ser>
        <c:ser>
          <c:idx val="1"/>
          <c:order val="1"/>
          <c:tx>
            <c:strRef>
              <c:f>'18.8'!$AH$13</c:f>
              <c:strCache>
                <c:ptCount val="1"/>
                <c:pt idx="0">
                  <c:v>Other pension</c:v>
                </c:pt>
              </c:strCache>
            </c:strRef>
          </c:tx>
          <c:spPr>
            <a:solidFill>
              <a:srgbClr val="A7EBE9"/>
            </a:solidFill>
          </c:spPr>
          <c:invertIfNegative val="0"/>
          <c:cat>
            <c:strRef>
              <c:f>'18.8'!$AI$11:$AM$11</c:f>
              <c:strCache>
                <c:ptCount val="5"/>
                <c:pt idx="0">
                  <c:v>under 55</c:v>
                </c:pt>
                <c:pt idx="1">
                  <c:v>55-64</c:v>
                </c:pt>
                <c:pt idx="2">
                  <c:v>65-69</c:v>
                </c:pt>
                <c:pt idx="3">
                  <c:v>70-74</c:v>
                </c:pt>
                <c:pt idx="4">
                  <c:v>75 &amp; over</c:v>
                </c:pt>
              </c:strCache>
            </c:strRef>
          </c:cat>
          <c:val>
            <c:numRef>
              <c:f>'18.8'!$AI$13:$AM$13</c:f>
              <c:numCache>
                <c:formatCode>_(* #,##0_);_(* \(#,##0\);_(* "-"??_);_(@_)</c:formatCode>
                <c:ptCount val="5"/>
                <c:pt idx="0">
                  <c:v>2441</c:v>
                </c:pt>
                <c:pt idx="1">
                  <c:v>1593</c:v>
                </c:pt>
                <c:pt idx="2">
                  <c:v>930</c:v>
                </c:pt>
                <c:pt idx="3">
                  <c:v>933</c:v>
                </c:pt>
                <c:pt idx="4">
                  <c:v>1367</c:v>
                </c:pt>
              </c:numCache>
            </c:numRef>
          </c:val>
        </c:ser>
        <c:ser>
          <c:idx val="2"/>
          <c:order val="2"/>
          <c:tx>
            <c:strRef>
              <c:f>'18.8'!$AH$14</c:f>
              <c:strCache>
                <c:ptCount val="1"/>
                <c:pt idx="0">
                  <c:v>Retirement pension</c:v>
                </c:pt>
              </c:strCache>
            </c:strRef>
          </c:tx>
          <c:spPr>
            <a:solidFill>
              <a:schemeClr val="accent5">
                <a:lumMod val="75000"/>
              </a:schemeClr>
            </a:solidFill>
          </c:spPr>
          <c:invertIfNegative val="0"/>
          <c:cat>
            <c:strRef>
              <c:f>'18.8'!$AI$11:$AM$11</c:f>
              <c:strCache>
                <c:ptCount val="5"/>
                <c:pt idx="0">
                  <c:v>under 55</c:v>
                </c:pt>
                <c:pt idx="1">
                  <c:v>55-64</c:v>
                </c:pt>
                <c:pt idx="2">
                  <c:v>65-69</c:v>
                </c:pt>
                <c:pt idx="3">
                  <c:v>70-74</c:v>
                </c:pt>
                <c:pt idx="4">
                  <c:v>75 &amp; over</c:v>
                </c:pt>
              </c:strCache>
            </c:strRef>
          </c:cat>
          <c:val>
            <c:numRef>
              <c:f>'18.8'!$AI$14:$AM$14</c:f>
              <c:numCache>
                <c:formatCode>#,##0</c:formatCode>
                <c:ptCount val="5"/>
                <c:pt idx="0" formatCode="General">
                  <c:v>11</c:v>
                </c:pt>
                <c:pt idx="1">
                  <c:v>7</c:v>
                </c:pt>
                <c:pt idx="2">
                  <c:v>708</c:v>
                </c:pt>
                <c:pt idx="3">
                  <c:v>169</c:v>
                </c:pt>
                <c:pt idx="4">
                  <c:v>0</c:v>
                </c:pt>
              </c:numCache>
            </c:numRef>
          </c:val>
        </c:ser>
        <c:ser>
          <c:idx val="3"/>
          <c:order val="3"/>
          <c:tx>
            <c:strRef>
              <c:f>'18.8'!$AH$15</c:f>
              <c:strCache>
                <c:ptCount val="1"/>
                <c:pt idx="0">
                  <c:v>Senior Citizen Allowance</c:v>
                </c:pt>
              </c:strCache>
            </c:strRef>
          </c:tx>
          <c:spPr>
            <a:solidFill>
              <a:srgbClr val="1C706E"/>
            </a:solidFill>
          </c:spPr>
          <c:invertIfNegative val="0"/>
          <c:cat>
            <c:strRef>
              <c:f>'18.8'!$AI$11:$AM$11</c:f>
              <c:strCache>
                <c:ptCount val="5"/>
                <c:pt idx="0">
                  <c:v>under 55</c:v>
                </c:pt>
                <c:pt idx="1">
                  <c:v>55-64</c:v>
                </c:pt>
                <c:pt idx="2">
                  <c:v>65-69</c:v>
                </c:pt>
                <c:pt idx="3">
                  <c:v>70-74</c:v>
                </c:pt>
                <c:pt idx="4">
                  <c:v>75 &amp; over</c:v>
                </c:pt>
              </c:strCache>
            </c:strRef>
          </c:cat>
          <c:val>
            <c:numRef>
              <c:f>'18.8'!$AI$15:$AM$15</c:f>
              <c:numCache>
                <c:formatCode>General</c:formatCode>
                <c:ptCount val="5"/>
                <c:pt idx="2" formatCode="_(* #,##0_);_(* \(#,##0\);_(* &quot;-&quot;??_);_(@_)">
                  <c:v>4147</c:v>
                </c:pt>
                <c:pt idx="3" formatCode="_(* #,##0_);_(* \(#,##0\);_(* &quot;-&quot;??_);_(@_)">
                  <c:v>4656</c:v>
                </c:pt>
                <c:pt idx="4" formatCode="_(* #,##0_);_(* \(#,##0\);_(* &quot;-&quot;??_);_(@_)">
                  <c:v>7758</c:v>
                </c:pt>
              </c:numCache>
            </c:numRef>
          </c:val>
        </c:ser>
        <c:dLbls>
          <c:showLegendKey val="0"/>
          <c:showVal val="0"/>
          <c:showCatName val="0"/>
          <c:showSerName val="0"/>
          <c:showPercent val="0"/>
          <c:showBubbleSize val="0"/>
        </c:dLbls>
        <c:gapWidth val="150"/>
        <c:axId val="107215104"/>
        <c:axId val="107220992"/>
      </c:barChart>
      <c:catAx>
        <c:axId val="107215104"/>
        <c:scaling>
          <c:orientation val="minMax"/>
        </c:scaling>
        <c:delete val="0"/>
        <c:axPos val="b"/>
        <c:majorTickMark val="none"/>
        <c:minorTickMark val="none"/>
        <c:tickLblPos val="nextTo"/>
        <c:crossAx val="107220992"/>
        <c:crosses val="autoZero"/>
        <c:auto val="1"/>
        <c:lblAlgn val="ctr"/>
        <c:lblOffset val="100"/>
        <c:noMultiLvlLbl val="0"/>
      </c:catAx>
      <c:valAx>
        <c:axId val="107220992"/>
        <c:scaling>
          <c:orientation val="minMax"/>
          <c:max val="8000"/>
        </c:scaling>
        <c:delete val="0"/>
        <c:axPos val="l"/>
        <c:majorGridlines>
          <c:spPr>
            <a:ln>
              <a:solidFill>
                <a:schemeClr val="bg1"/>
              </a:solidFill>
            </a:ln>
          </c:spPr>
        </c:majorGridlines>
        <c:numFmt formatCode="#,##0" sourceLinked="0"/>
        <c:majorTickMark val="none"/>
        <c:minorTickMark val="none"/>
        <c:tickLblPos val="nextTo"/>
        <c:crossAx val="107215104"/>
        <c:crosses val="autoZero"/>
        <c:crossBetween val="between"/>
        <c:majorUnit val="1000"/>
      </c:valAx>
      <c:spPr>
        <a:solidFill>
          <a:schemeClr val="bg1"/>
        </a:solidFill>
        <a:ln>
          <a:solidFill>
            <a:sysClr val="window" lastClr="FFFFFF">
              <a:lumMod val="65000"/>
            </a:sysClr>
          </a:solidFill>
        </a:ln>
      </c:spPr>
    </c:plotArea>
    <c:legend>
      <c:legendPos val="r"/>
      <c:layout>
        <c:manualLayout>
          <c:xMode val="edge"/>
          <c:yMode val="edge"/>
          <c:x val="0.10958951278829079"/>
          <c:y val="0.2105231259943785"/>
          <c:w val="0.44465391586817199"/>
          <c:h val="0.15417194801869277"/>
        </c:manualLayout>
      </c:layout>
      <c:overlay val="0"/>
      <c:txPr>
        <a:bodyPr/>
        <a:lstStyle/>
        <a:p>
          <a:pPr>
            <a:defRPr sz="900"/>
          </a:pPr>
          <a:endParaRPr lang="en-US"/>
        </a:p>
      </c:txPr>
    </c:legend>
    <c:plotVisOnly val="1"/>
    <c:dispBlanksAs val="gap"/>
    <c:showDLblsOverMax val="0"/>
  </c:chart>
  <c:spPr>
    <a:solidFill>
      <a:srgbClr val="D4F5F4"/>
    </a:solidFill>
  </c:spPr>
  <c:printSettings>
    <c:headerFooter/>
    <c:pageMargins b="0.75000000000000377" l="0.70000000000000062" r="0.70000000000000062" t="0.75000000000000377"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315112540192925"/>
          <c:y val="0.15509259259259259"/>
          <c:w val="0.37727759914255093"/>
          <c:h val="0.81481481481481477"/>
        </c:manualLayout>
      </c:layout>
      <c:doughnutChart>
        <c:varyColors val="1"/>
        <c:ser>
          <c:idx val="0"/>
          <c:order val="0"/>
          <c:dPt>
            <c:idx val="0"/>
            <c:bubble3D val="0"/>
            <c:spPr>
              <a:solidFill>
                <a:srgbClr val="8DE5E3"/>
              </a:solidFill>
            </c:spPr>
          </c:dPt>
          <c:dPt>
            <c:idx val="1"/>
            <c:bubble3D val="0"/>
            <c:spPr>
              <a:solidFill>
                <a:srgbClr val="D4F5F4"/>
              </a:solidFill>
            </c:spPr>
          </c:dPt>
          <c:dPt>
            <c:idx val="2"/>
            <c:bubble3D val="0"/>
            <c:spPr>
              <a:solidFill>
                <a:srgbClr val="33CCCC"/>
              </a:solidFill>
            </c:spPr>
          </c:dPt>
          <c:dPt>
            <c:idx val="3"/>
            <c:bubble3D val="0"/>
            <c:spPr>
              <a:solidFill>
                <a:srgbClr val="1C706E"/>
              </a:solidFill>
            </c:spPr>
          </c:dPt>
          <c:dLbls>
            <c:dLbl>
              <c:idx val="1"/>
              <c:layout>
                <c:manualLayout>
                  <c:x val="4.9303322615219719E-2"/>
                  <c:y val="-0.11574074074074074"/>
                </c:manualLayout>
              </c:layout>
              <c:showLegendKey val="0"/>
              <c:showVal val="0"/>
              <c:showCatName val="1"/>
              <c:showSerName val="0"/>
              <c:showPercent val="1"/>
              <c:showBubbleSize val="0"/>
            </c:dLbl>
            <c:dLbl>
              <c:idx val="3"/>
              <c:layout>
                <c:manualLayout>
                  <c:x val="-1.2861736334405145E-2"/>
                  <c:y val="0"/>
                </c:manualLayout>
              </c:layout>
              <c:showLegendKey val="0"/>
              <c:showVal val="0"/>
              <c:showCatName val="1"/>
              <c:showSerName val="0"/>
              <c:showPercent val="1"/>
              <c:showBubbleSize val="0"/>
            </c:dLbl>
            <c:dLbl>
              <c:idx val="4"/>
              <c:layout>
                <c:manualLayout>
                  <c:x val="6.4308681672025723E-3"/>
                  <c:y val="6.4814814814814811E-2"/>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'18.8'!$C$6:$G$6</c:f>
              <c:strCache>
                <c:ptCount val="5"/>
                <c:pt idx="0">
                  <c:v>&lt; 55</c:v>
                </c:pt>
                <c:pt idx="1">
                  <c:v>55-64</c:v>
                </c:pt>
                <c:pt idx="2">
                  <c:v>65-69</c:v>
                </c:pt>
                <c:pt idx="3">
                  <c:v>70-74</c:v>
                </c:pt>
                <c:pt idx="4">
                  <c:v>75 +</c:v>
                </c:pt>
              </c:strCache>
            </c:strRef>
          </c:cat>
          <c:val>
            <c:numRef>
              <c:f>'18.8'!$C$7:$G$7</c:f>
              <c:numCache>
                <c:formatCode>#,##0</c:formatCode>
                <c:ptCount val="5"/>
                <c:pt idx="0">
                  <c:v>2452</c:v>
                </c:pt>
                <c:pt idx="1">
                  <c:v>1600</c:v>
                </c:pt>
                <c:pt idx="2">
                  <c:v>9687</c:v>
                </c:pt>
                <c:pt idx="3">
                  <c:v>10288</c:v>
                </c:pt>
                <c:pt idx="4">
                  <c:v>16784</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Consolas" pitchFamily="49" charset="0"/>
                <a:cs typeface="Consolas" pitchFamily="49" charset="0"/>
              </a:defRPr>
            </a:pPr>
            <a:r>
              <a:rPr lang="en-US" sz="1050">
                <a:solidFill>
                  <a:schemeClr val="tx1"/>
                </a:solidFill>
                <a:latin typeface="Consolas" pitchFamily="49" charset="0"/>
                <a:cs typeface="Consolas" pitchFamily="49" charset="0"/>
              </a:rPr>
              <a:t>Figure:</a:t>
            </a:r>
            <a:r>
              <a:rPr lang="en-US" sz="1050" baseline="0">
                <a:solidFill>
                  <a:schemeClr val="tx1"/>
                </a:solidFill>
                <a:latin typeface="Consolas" pitchFamily="49" charset="0"/>
                <a:cs typeface="Consolas" pitchFamily="49" charset="0"/>
              </a:rPr>
              <a:t> 18.12 Number of persons </a:t>
            </a:r>
            <a:r>
              <a:rPr lang="en-US" sz="1050" baseline="0">
                <a:latin typeface="Consolas" pitchFamily="49" charset="0"/>
                <a:cs typeface="Consolas" pitchFamily="49" charset="0"/>
              </a:rPr>
              <a:t>contributing to  retirement pension scheme by sex, 2012 - 2015</a:t>
            </a:r>
            <a:endParaRPr lang="en-US" sz="1050">
              <a:latin typeface="Consolas" pitchFamily="49" charset="0"/>
              <a:cs typeface="Consolas" pitchFamily="49" charset="0"/>
            </a:endParaRPr>
          </a:p>
        </c:rich>
      </c:tx>
      <c:layout>
        <c:manualLayout>
          <c:xMode val="edge"/>
          <c:yMode val="edge"/>
          <c:x val="0.1478371501272272"/>
          <c:y val="4.6296296296296426E-2"/>
        </c:manualLayout>
      </c:layout>
      <c:overlay val="0"/>
    </c:title>
    <c:autoTitleDeleted val="0"/>
    <c:plotArea>
      <c:layout>
        <c:manualLayout>
          <c:layoutTarget val="inner"/>
          <c:xMode val="edge"/>
          <c:yMode val="edge"/>
          <c:x val="9.6133722143215278E-2"/>
          <c:y val="0.20406277340332465"/>
          <c:w val="0.88446066993775896"/>
          <c:h val="0.66871099445902615"/>
        </c:manualLayout>
      </c:layout>
      <c:barChart>
        <c:barDir val="col"/>
        <c:grouping val="clustered"/>
        <c:varyColors val="0"/>
        <c:ser>
          <c:idx val="0"/>
          <c:order val="0"/>
          <c:tx>
            <c:strRef>
              <c:f>'18.9'!$A$9</c:f>
              <c:strCache>
                <c:ptCount val="1"/>
                <c:pt idx="0">
                  <c:v>Male</c:v>
                </c:pt>
              </c:strCache>
            </c:strRef>
          </c:tx>
          <c:spPr>
            <a:solidFill>
              <a:srgbClr val="1C706E"/>
            </a:solidFill>
          </c:spPr>
          <c:invertIfNegative val="0"/>
          <c:cat>
            <c:numRef>
              <c:f>'18.9'!$C$5:$F$5</c:f>
              <c:numCache>
                <c:formatCode>General</c:formatCode>
                <c:ptCount val="4"/>
                <c:pt idx="0">
                  <c:v>2012</c:v>
                </c:pt>
                <c:pt idx="1">
                  <c:v>2013</c:v>
                </c:pt>
                <c:pt idx="2">
                  <c:v>2014</c:v>
                </c:pt>
                <c:pt idx="3">
                  <c:v>2015</c:v>
                </c:pt>
              </c:numCache>
            </c:numRef>
          </c:cat>
          <c:val>
            <c:numRef>
              <c:f>'18.9'!$C$9:$F$9</c:f>
              <c:numCache>
                <c:formatCode>_(* #,##0_);_(* \(#,##0\);_(* "-"??_);_(@_)</c:formatCode>
                <c:ptCount val="4"/>
                <c:pt idx="0">
                  <c:v>48278</c:v>
                </c:pt>
                <c:pt idx="1">
                  <c:v>49460</c:v>
                </c:pt>
                <c:pt idx="2">
                  <c:v>52562</c:v>
                </c:pt>
                <c:pt idx="3">
                  <c:v>56251</c:v>
                </c:pt>
              </c:numCache>
            </c:numRef>
          </c:val>
        </c:ser>
        <c:ser>
          <c:idx val="1"/>
          <c:order val="1"/>
          <c:tx>
            <c:strRef>
              <c:f>'18.9'!$A$10</c:f>
              <c:strCache>
                <c:ptCount val="1"/>
                <c:pt idx="0">
                  <c:v>Female</c:v>
                </c:pt>
              </c:strCache>
            </c:strRef>
          </c:tx>
          <c:spPr>
            <a:solidFill>
              <a:srgbClr val="33CCCC"/>
            </a:solidFill>
          </c:spPr>
          <c:invertIfNegative val="0"/>
          <c:cat>
            <c:numRef>
              <c:f>'18.9'!$C$5:$F$5</c:f>
              <c:numCache>
                <c:formatCode>General</c:formatCode>
                <c:ptCount val="4"/>
                <c:pt idx="0">
                  <c:v>2012</c:v>
                </c:pt>
                <c:pt idx="1">
                  <c:v>2013</c:v>
                </c:pt>
                <c:pt idx="2">
                  <c:v>2014</c:v>
                </c:pt>
                <c:pt idx="3">
                  <c:v>2015</c:v>
                </c:pt>
              </c:numCache>
            </c:numRef>
          </c:cat>
          <c:val>
            <c:numRef>
              <c:f>'18.9'!$C$10:$F$10</c:f>
              <c:numCache>
                <c:formatCode>_(* #,##0_);_(* \(#,##0\);_(* "-"??_);_(@_)</c:formatCode>
                <c:ptCount val="4"/>
                <c:pt idx="0">
                  <c:v>20527</c:v>
                </c:pt>
                <c:pt idx="1">
                  <c:v>20001</c:v>
                </c:pt>
                <c:pt idx="2">
                  <c:v>22287</c:v>
                </c:pt>
                <c:pt idx="3">
                  <c:v>25671</c:v>
                </c:pt>
              </c:numCache>
            </c:numRef>
          </c:val>
        </c:ser>
        <c:dLbls>
          <c:showLegendKey val="0"/>
          <c:showVal val="0"/>
          <c:showCatName val="0"/>
          <c:showSerName val="0"/>
          <c:showPercent val="0"/>
          <c:showBubbleSize val="0"/>
        </c:dLbls>
        <c:gapWidth val="150"/>
        <c:axId val="107374464"/>
        <c:axId val="107376000"/>
      </c:barChart>
      <c:catAx>
        <c:axId val="107374464"/>
        <c:scaling>
          <c:orientation val="minMax"/>
        </c:scaling>
        <c:delete val="0"/>
        <c:axPos val="b"/>
        <c:numFmt formatCode="General" sourceLinked="1"/>
        <c:majorTickMark val="none"/>
        <c:minorTickMark val="none"/>
        <c:tickLblPos val="nextTo"/>
        <c:crossAx val="107376000"/>
        <c:crosses val="autoZero"/>
        <c:auto val="1"/>
        <c:lblAlgn val="ctr"/>
        <c:lblOffset val="100"/>
        <c:noMultiLvlLbl val="0"/>
      </c:catAx>
      <c:valAx>
        <c:axId val="107376000"/>
        <c:scaling>
          <c:orientation val="minMax"/>
        </c:scaling>
        <c:delete val="0"/>
        <c:axPos val="l"/>
        <c:majorGridlines>
          <c:spPr>
            <a:ln>
              <a:solidFill>
                <a:srgbClr val="28B2AF"/>
              </a:solidFill>
            </a:ln>
          </c:spPr>
        </c:majorGridlines>
        <c:numFmt formatCode="_(* #,##0_);_(* \(#,##0\);_(* &quot;-&quot;??_);_(@_)" sourceLinked="1"/>
        <c:majorTickMark val="none"/>
        <c:minorTickMark val="none"/>
        <c:tickLblPos val="nextTo"/>
        <c:crossAx val="107374464"/>
        <c:crosses val="autoZero"/>
        <c:crossBetween val="between"/>
      </c:valAx>
      <c:spPr>
        <a:ln>
          <a:solidFill>
            <a:schemeClr val="bg1">
              <a:lumMod val="50000"/>
            </a:schemeClr>
          </a:solidFill>
        </a:ln>
      </c:spPr>
    </c:plotArea>
    <c:legend>
      <c:legendPos val="r"/>
      <c:layout>
        <c:manualLayout>
          <c:xMode val="edge"/>
          <c:yMode val="edge"/>
          <c:x val="0.23081403992779431"/>
          <c:y val="0.23742852143482066"/>
          <c:w val="0.24063449606967074"/>
          <c:h val="5.1693642461358866E-2"/>
        </c:manualLayout>
      </c:layout>
      <c:overlay val="0"/>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58317069340692"/>
          <c:y val="0.21741907261592458"/>
          <c:w val="0.86752235457747273"/>
          <c:h val="0.48183216681248436"/>
        </c:manualLayout>
      </c:layout>
      <c:barChart>
        <c:barDir val="col"/>
        <c:grouping val="stacked"/>
        <c:varyColors val="0"/>
        <c:ser>
          <c:idx val="0"/>
          <c:order val="0"/>
          <c:spPr>
            <a:solidFill>
              <a:srgbClr val="28B2AF"/>
            </a:solidFill>
          </c:spPr>
          <c:invertIfNegative val="0"/>
          <c:cat>
            <c:multiLvlStrRef>
              <c:f>'18.11'!$AG$17:$AL$18</c:f>
              <c:multiLvlStrCache>
                <c:ptCount val="6"/>
                <c:lvl>
                  <c:pt idx="0">
                    <c:v>Male     </c:v>
                  </c:pt>
                  <c:pt idx="1">
                    <c:v>Female        </c:v>
                  </c:pt>
                  <c:pt idx="2">
                    <c:v>Male     </c:v>
                  </c:pt>
                  <c:pt idx="3">
                    <c:v>Female        </c:v>
                  </c:pt>
                  <c:pt idx="4">
                    <c:v>Male     </c:v>
                  </c:pt>
                  <c:pt idx="5">
                    <c:v>Female        </c:v>
                  </c:pt>
                </c:lvl>
                <c:lvl>
                  <c:pt idx="0">
                    <c:v>Public sector</c:v>
                  </c:pt>
                  <c:pt idx="2">
                    <c:v>Private sector</c:v>
                  </c:pt>
                  <c:pt idx="4">
                    <c:v>Total</c:v>
                  </c:pt>
                </c:lvl>
              </c:multiLvlStrCache>
            </c:multiLvlStrRef>
          </c:cat>
          <c:val>
            <c:numRef>
              <c:f>'18.11'!$AG$19:$AL$19</c:f>
              <c:numCache>
                <c:formatCode>General</c:formatCode>
                <c:ptCount val="6"/>
                <c:pt idx="0">
                  <c:v>19810</c:v>
                </c:pt>
                <c:pt idx="1">
                  <c:v>16003</c:v>
                </c:pt>
                <c:pt idx="2">
                  <c:v>36441</c:v>
                </c:pt>
                <c:pt idx="3">
                  <c:v>9668</c:v>
                </c:pt>
                <c:pt idx="4">
                  <c:v>56251</c:v>
                </c:pt>
                <c:pt idx="5">
                  <c:v>25671</c:v>
                </c:pt>
              </c:numCache>
            </c:numRef>
          </c:val>
        </c:ser>
        <c:dLbls>
          <c:showLegendKey val="0"/>
          <c:showVal val="0"/>
          <c:showCatName val="0"/>
          <c:showSerName val="0"/>
          <c:showPercent val="0"/>
          <c:showBubbleSize val="0"/>
        </c:dLbls>
        <c:gapWidth val="55"/>
        <c:overlap val="100"/>
        <c:axId val="107455232"/>
        <c:axId val="107456768"/>
      </c:barChart>
      <c:catAx>
        <c:axId val="107455232"/>
        <c:scaling>
          <c:orientation val="minMax"/>
        </c:scaling>
        <c:delete val="0"/>
        <c:axPos val="b"/>
        <c:majorTickMark val="none"/>
        <c:minorTickMark val="none"/>
        <c:tickLblPos val="nextTo"/>
        <c:txPr>
          <a:bodyPr/>
          <a:lstStyle/>
          <a:p>
            <a:pPr>
              <a:defRPr b="0"/>
            </a:pPr>
            <a:endParaRPr lang="en-US"/>
          </a:p>
        </c:txPr>
        <c:crossAx val="107456768"/>
        <c:crosses val="autoZero"/>
        <c:auto val="1"/>
        <c:lblAlgn val="ctr"/>
        <c:lblOffset val="100"/>
        <c:noMultiLvlLbl val="0"/>
      </c:catAx>
      <c:valAx>
        <c:axId val="107456768"/>
        <c:scaling>
          <c:orientation val="minMax"/>
        </c:scaling>
        <c:delete val="0"/>
        <c:axPos val="l"/>
        <c:majorGridlines>
          <c:spPr>
            <a:ln>
              <a:solidFill>
                <a:sysClr val="window" lastClr="FFFFFF"/>
              </a:solidFill>
            </a:ln>
          </c:spPr>
        </c:majorGridlines>
        <c:title>
          <c:tx>
            <c:rich>
              <a:bodyPr rot="0" vert="horz"/>
              <a:lstStyle/>
              <a:p>
                <a:pPr>
                  <a:defRPr sz="900" b="0"/>
                </a:pPr>
                <a:r>
                  <a:rPr lang="en-US" sz="900" b="0"/>
                  <a:t>In numbers</a:t>
                </a:r>
              </a:p>
            </c:rich>
          </c:tx>
          <c:layout>
            <c:manualLayout>
              <c:xMode val="edge"/>
              <c:yMode val="edge"/>
              <c:x val="1.3390403122686587E-2"/>
              <c:y val="0.11551108194809002"/>
            </c:manualLayout>
          </c:layout>
          <c:overlay val="0"/>
        </c:title>
        <c:numFmt formatCode="#,##0" sourceLinked="0"/>
        <c:majorTickMark val="none"/>
        <c:minorTickMark val="none"/>
        <c:tickLblPos val="nextTo"/>
        <c:crossAx val="107455232"/>
        <c:crosses val="autoZero"/>
        <c:crossBetween val="between"/>
      </c:valAx>
      <c:spPr>
        <a:ln>
          <a:solidFill>
            <a:schemeClr val="bg1">
              <a:lumMod val="65000"/>
            </a:schemeClr>
          </a:solidFill>
        </a:ln>
      </c:spPr>
    </c:plotArea>
    <c:plotVisOnly val="1"/>
    <c:dispBlanksAs val="gap"/>
    <c:showDLblsOverMax val="0"/>
  </c:chart>
  <c:spPr>
    <a:solidFill>
      <a:srgbClr val="D4F5F4"/>
    </a:solidFill>
  </c:spPr>
  <c:printSettings>
    <c:headerFooter/>
    <c:pageMargins b="0.75000000000000366" l="0.70000000000000062" r="0.70000000000000062" t="0.75000000000000366"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021297103670713E-2"/>
          <c:y val="0.21741907261592444"/>
          <c:w val="0.89795026596969252"/>
          <c:h val="0.59941528142315548"/>
        </c:manualLayout>
      </c:layout>
      <c:barChart>
        <c:barDir val="col"/>
        <c:grouping val="clustered"/>
        <c:varyColors val="0"/>
        <c:ser>
          <c:idx val="0"/>
          <c:order val="0"/>
          <c:tx>
            <c:strRef>
              <c:f>'18.11'!$AH$22</c:f>
              <c:strCache>
                <c:ptCount val="1"/>
                <c:pt idx="0">
                  <c:v>% share of females </c:v>
                </c:pt>
              </c:strCache>
            </c:strRef>
          </c:tx>
          <c:spPr>
            <a:solidFill>
              <a:srgbClr val="1C706E"/>
            </a:solidFill>
          </c:spPr>
          <c:invertIfNegative val="0"/>
          <c:cat>
            <c:strRef>
              <c:f>'18.11'!$AG$23:$AG$24</c:f>
              <c:strCache>
                <c:ptCount val="2"/>
                <c:pt idx="0">
                  <c:v>Public sector</c:v>
                </c:pt>
                <c:pt idx="1">
                  <c:v>Private sector</c:v>
                </c:pt>
              </c:strCache>
            </c:strRef>
          </c:cat>
          <c:val>
            <c:numRef>
              <c:f>'18.11'!$AH$23:$AH$24</c:f>
              <c:numCache>
                <c:formatCode>0.0</c:formatCode>
                <c:ptCount val="2"/>
                <c:pt idx="0">
                  <c:v>44.684890961382742</c:v>
                </c:pt>
                <c:pt idx="1">
                  <c:v>20.967706955258191</c:v>
                </c:pt>
              </c:numCache>
            </c:numRef>
          </c:val>
        </c:ser>
        <c:dLbls>
          <c:showLegendKey val="0"/>
          <c:showVal val="0"/>
          <c:showCatName val="0"/>
          <c:showSerName val="0"/>
          <c:showPercent val="0"/>
          <c:showBubbleSize val="0"/>
        </c:dLbls>
        <c:gapWidth val="339"/>
        <c:overlap val="100"/>
        <c:axId val="107477248"/>
        <c:axId val="107814912"/>
      </c:barChart>
      <c:catAx>
        <c:axId val="107477248"/>
        <c:scaling>
          <c:orientation val="minMax"/>
        </c:scaling>
        <c:delete val="0"/>
        <c:axPos val="b"/>
        <c:majorTickMark val="out"/>
        <c:minorTickMark val="none"/>
        <c:tickLblPos val="nextTo"/>
        <c:crossAx val="107814912"/>
        <c:crosses val="autoZero"/>
        <c:auto val="1"/>
        <c:lblAlgn val="ctr"/>
        <c:lblOffset val="100"/>
        <c:noMultiLvlLbl val="0"/>
      </c:catAx>
      <c:valAx>
        <c:axId val="107814912"/>
        <c:scaling>
          <c:orientation val="minMax"/>
        </c:scaling>
        <c:delete val="0"/>
        <c:axPos val="l"/>
        <c:majorGridlines>
          <c:spPr>
            <a:ln>
              <a:solidFill>
                <a:schemeClr val="bg1"/>
              </a:solidFill>
            </a:ln>
          </c:spPr>
        </c:majorGridlines>
        <c:title>
          <c:tx>
            <c:rich>
              <a:bodyPr rot="0" vert="horz"/>
              <a:lstStyle/>
              <a:p>
                <a:pPr>
                  <a:defRPr sz="900" b="0"/>
                </a:pPr>
                <a:r>
                  <a:rPr lang="en-US" sz="900" b="0"/>
                  <a:t>Percent</a:t>
                </a:r>
              </a:p>
            </c:rich>
          </c:tx>
          <c:layout>
            <c:manualLayout>
              <c:xMode val="edge"/>
              <c:yMode val="edge"/>
              <c:x val="1.5927187135132696E-2"/>
              <c:y val="0.11850393700787404"/>
            </c:manualLayout>
          </c:layout>
          <c:overlay val="0"/>
        </c:title>
        <c:numFmt formatCode="0" sourceLinked="0"/>
        <c:majorTickMark val="out"/>
        <c:minorTickMark val="none"/>
        <c:tickLblPos val="nextTo"/>
        <c:crossAx val="107477248"/>
        <c:crosses val="autoZero"/>
        <c:crossBetween val="between"/>
      </c:valAx>
      <c:spPr>
        <a:ln>
          <a:solidFill>
            <a:sysClr val="window" lastClr="FFFFFF">
              <a:lumMod val="65000"/>
            </a:sysClr>
          </a:solidFill>
        </a:ln>
      </c:spPr>
    </c:plotArea>
    <c:legend>
      <c:legendPos val="b"/>
      <c:layout>
        <c:manualLayout>
          <c:xMode val="edge"/>
          <c:yMode val="edge"/>
          <c:x val="0.37132247435308313"/>
          <c:y val="0.90238084793718332"/>
          <c:w val="0.29966491688538932"/>
          <c:h val="6.9789587582889182E-2"/>
        </c:manualLayout>
      </c:layout>
      <c:overlay val="0"/>
    </c:legend>
    <c:plotVisOnly val="1"/>
    <c:dispBlanksAs val="gap"/>
    <c:showDLblsOverMax val="0"/>
  </c:chart>
  <c:spPr>
    <a:solidFill>
      <a:srgbClr val="D4F5F4"/>
    </a:solidFill>
  </c:spPr>
  <c:printSettings>
    <c:headerFooter/>
    <c:pageMargins b="0.75000000000000366" l="0.70000000000000062" r="0.70000000000000062" t="0.75000000000000366"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autoTitleDeleted val="1"/>
    <c:plotArea>
      <c:layout>
        <c:manualLayout>
          <c:layoutTarget val="inner"/>
          <c:xMode val="edge"/>
          <c:yMode val="edge"/>
          <c:x val="0.26359560610479243"/>
          <c:y val="0.16363731426002026"/>
          <c:w val="0.5057303392631477"/>
          <c:h val="0.81601907331305101"/>
        </c:manualLayout>
      </c:layout>
      <c:pieChart>
        <c:varyColors val="1"/>
        <c:ser>
          <c:idx val="0"/>
          <c:order val="0"/>
          <c:explosion val="12"/>
          <c:dPt>
            <c:idx val="0"/>
            <c:bubble3D val="0"/>
            <c:spPr>
              <a:solidFill>
                <a:srgbClr val="28B2AF"/>
              </a:solidFill>
            </c:spPr>
          </c:dPt>
          <c:dPt>
            <c:idx val="1"/>
            <c:bubble3D val="0"/>
            <c:explosion val="1"/>
            <c:spPr>
              <a:solidFill>
                <a:srgbClr val="8DE5E3"/>
              </a:solidFill>
            </c:spPr>
          </c:dPt>
          <c:dLbls>
            <c:dLbl>
              <c:idx val="0"/>
              <c:layout>
                <c:manualLayout>
                  <c:x val="-0.16468467982598065"/>
                  <c:y val="-0.13924509436320551"/>
                </c:manualLayout>
              </c:layout>
              <c:showLegendKey val="0"/>
              <c:showVal val="1"/>
              <c:showCatName val="1"/>
              <c:showSerName val="0"/>
              <c:showPercent val="0"/>
              <c:showBubbleSize val="0"/>
            </c:dLbl>
            <c:dLbl>
              <c:idx val="1"/>
              <c:layout>
                <c:manualLayout>
                  <c:x val="0.11662643097687075"/>
                  <c:y val="0.12604530816626708"/>
                </c:manualLayout>
              </c:layout>
              <c:showLegendKey val="0"/>
              <c:showVal val="1"/>
              <c:showCatName val="1"/>
              <c:showSerName val="0"/>
              <c:showPercent val="0"/>
              <c:showBubbleSize val="0"/>
            </c:dLbl>
            <c:showLegendKey val="0"/>
            <c:showVal val="1"/>
            <c:showCatName val="1"/>
            <c:showSerName val="0"/>
            <c:showPercent val="0"/>
            <c:showBubbleSize val="0"/>
            <c:showLeaderLines val="1"/>
          </c:dLbls>
          <c:cat>
            <c:strRef>
              <c:f>'18.11'!$AQ$18:$AR$18</c:f>
              <c:strCache>
                <c:ptCount val="2"/>
                <c:pt idx="0">
                  <c:v>Male</c:v>
                </c:pt>
                <c:pt idx="1">
                  <c:v>Female</c:v>
                </c:pt>
              </c:strCache>
            </c:strRef>
          </c:cat>
          <c:val>
            <c:numRef>
              <c:f>'18.11'!$AQ$19:$AR$19</c:f>
              <c:numCache>
                <c:formatCode>0</c:formatCode>
                <c:ptCount val="2"/>
                <c:pt idx="0">
                  <c:v>68.664095114865361</c:v>
                </c:pt>
                <c:pt idx="1">
                  <c:v>31.335904885134642</c:v>
                </c:pt>
              </c:numCache>
            </c:numRef>
          </c:val>
        </c:ser>
        <c:dLbls>
          <c:showLegendKey val="0"/>
          <c:showVal val="1"/>
          <c:showCatName val="1"/>
          <c:showSerName val="0"/>
          <c:showPercent val="0"/>
          <c:showBubbleSize val="0"/>
          <c:showLeaderLines val="1"/>
        </c:dLbls>
        <c:firstSliceAng val="0"/>
      </c:pieChart>
    </c:plotArea>
    <c:plotVisOnly val="1"/>
    <c:dispBlanksAs val="zero"/>
    <c:showDLblsOverMax val="0"/>
  </c:chart>
  <c:printSettings>
    <c:headerFooter/>
    <c:pageMargins b="0.75000000000000366" l="0.70000000000000062" r="0.70000000000000062" t="0.75000000000000366"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Consolas" pitchFamily="49" charset="0"/>
                <a:cs typeface="Consolas" pitchFamily="49" charset="0"/>
              </a:defRPr>
            </a:pPr>
            <a:r>
              <a:rPr lang="en-US" sz="1200">
                <a:latin typeface="Consolas" pitchFamily="49" charset="0"/>
                <a:cs typeface="Consolas" pitchFamily="49" charset="0"/>
              </a:rPr>
              <a:t>Figure 18.16: Establishments</a:t>
            </a:r>
            <a:r>
              <a:rPr lang="en-US" sz="1200" baseline="0">
                <a:latin typeface="Consolas" pitchFamily="49" charset="0"/>
                <a:cs typeface="Consolas" pitchFamily="49" charset="0"/>
              </a:rPr>
              <a:t> registered in the retirement pension scheme, by employment size, 2015 </a:t>
            </a:r>
            <a:endParaRPr lang="en-US" sz="1200">
              <a:latin typeface="Consolas" pitchFamily="49" charset="0"/>
              <a:cs typeface="Consolas" pitchFamily="49" charset="0"/>
            </a:endParaRPr>
          </a:p>
        </c:rich>
      </c:tx>
      <c:overlay val="0"/>
    </c:title>
    <c:autoTitleDeleted val="0"/>
    <c:plotArea>
      <c:layout>
        <c:manualLayout>
          <c:layoutTarget val="inner"/>
          <c:xMode val="edge"/>
          <c:yMode val="edge"/>
          <c:x val="8.0326782681576572E-2"/>
          <c:y val="0.20330095101748646"/>
          <c:w val="0.89502335737444583"/>
          <c:h val="0.62129622020938624"/>
        </c:manualLayout>
      </c:layout>
      <c:barChart>
        <c:barDir val="col"/>
        <c:grouping val="clustered"/>
        <c:varyColors val="0"/>
        <c:ser>
          <c:idx val="0"/>
          <c:order val="0"/>
          <c:tx>
            <c:strRef>
              <c:f>'18.12'!$AA$37</c:f>
              <c:strCache>
                <c:ptCount val="1"/>
                <c:pt idx="0">
                  <c:v>establishments</c:v>
                </c:pt>
              </c:strCache>
            </c:strRef>
          </c:tx>
          <c:spPr>
            <a:solidFill>
              <a:srgbClr val="1C706E"/>
            </a:solidFill>
          </c:spPr>
          <c:invertIfNegative val="0"/>
          <c:cat>
            <c:strRef>
              <c:f>'18.12'!$AB$36:$AF$36</c:f>
              <c:strCache>
                <c:ptCount val="5"/>
                <c:pt idx="0">
                  <c:v>0-9</c:v>
                </c:pt>
                <c:pt idx="1">
                  <c:v>10-49</c:v>
                </c:pt>
                <c:pt idx="2">
                  <c:v>50-99</c:v>
                </c:pt>
                <c:pt idx="3">
                  <c:v>100-299</c:v>
                </c:pt>
                <c:pt idx="4">
                  <c:v>&gt;300</c:v>
                </c:pt>
              </c:strCache>
            </c:strRef>
          </c:cat>
          <c:val>
            <c:numRef>
              <c:f>'18.12'!$AB$37:$AF$37</c:f>
              <c:numCache>
                <c:formatCode>#,##0</c:formatCode>
                <c:ptCount val="5"/>
                <c:pt idx="0">
                  <c:v>515</c:v>
                </c:pt>
                <c:pt idx="1">
                  <c:v>455</c:v>
                </c:pt>
                <c:pt idx="2">
                  <c:v>127</c:v>
                </c:pt>
                <c:pt idx="3">
                  <c:v>112</c:v>
                </c:pt>
                <c:pt idx="4">
                  <c:v>41</c:v>
                </c:pt>
              </c:numCache>
            </c:numRef>
          </c:val>
        </c:ser>
        <c:dLbls>
          <c:showLegendKey val="0"/>
          <c:showVal val="0"/>
          <c:showCatName val="0"/>
          <c:showSerName val="0"/>
          <c:showPercent val="0"/>
          <c:showBubbleSize val="0"/>
        </c:dLbls>
        <c:gapWidth val="150"/>
        <c:axId val="102311040"/>
        <c:axId val="102312960"/>
      </c:barChart>
      <c:catAx>
        <c:axId val="102311040"/>
        <c:scaling>
          <c:orientation val="minMax"/>
        </c:scaling>
        <c:delete val="0"/>
        <c:axPos val="b"/>
        <c:title>
          <c:tx>
            <c:rich>
              <a:bodyPr/>
              <a:lstStyle/>
              <a:p>
                <a:pPr>
                  <a:defRPr sz="1050"/>
                </a:pPr>
                <a:r>
                  <a:rPr lang="en-US" sz="1050"/>
                  <a:t>employment size</a:t>
                </a:r>
              </a:p>
            </c:rich>
          </c:tx>
          <c:layout>
            <c:manualLayout>
              <c:xMode val="edge"/>
              <c:yMode val="edge"/>
              <c:x val="0.45741369221054212"/>
              <c:y val="0.91001892761034953"/>
            </c:manualLayout>
          </c:layout>
          <c:overlay val="0"/>
        </c:title>
        <c:majorTickMark val="out"/>
        <c:minorTickMark val="none"/>
        <c:tickLblPos val="nextTo"/>
        <c:txPr>
          <a:bodyPr/>
          <a:lstStyle/>
          <a:p>
            <a:pPr>
              <a:defRPr sz="1200"/>
            </a:pPr>
            <a:endParaRPr lang="en-US"/>
          </a:p>
        </c:txPr>
        <c:crossAx val="102312960"/>
        <c:crosses val="autoZero"/>
        <c:auto val="1"/>
        <c:lblAlgn val="ctr"/>
        <c:lblOffset val="100"/>
        <c:noMultiLvlLbl val="0"/>
      </c:catAx>
      <c:valAx>
        <c:axId val="102312960"/>
        <c:scaling>
          <c:orientation val="minMax"/>
        </c:scaling>
        <c:delete val="0"/>
        <c:axPos val="l"/>
        <c:majorGridlines>
          <c:spPr>
            <a:ln>
              <a:solidFill>
                <a:srgbClr val="28B2AF"/>
              </a:solidFill>
            </a:ln>
          </c:spPr>
        </c:majorGridlines>
        <c:title>
          <c:tx>
            <c:rich>
              <a:bodyPr rot="0" vert="horz"/>
              <a:lstStyle/>
              <a:p>
                <a:pPr>
                  <a:defRPr b="0"/>
                </a:pPr>
                <a:r>
                  <a:rPr lang="en-US" b="0"/>
                  <a:t>In Numbers</a:t>
                </a:r>
              </a:p>
            </c:rich>
          </c:tx>
          <c:layout>
            <c:manualLayout>
              <c:xMode val="edge"/>
              <c:yMode val="edge"/>
              <c:x val="1.1204481792717273E-2"/>
              <c:y val="0.10188635511470109"/>
            </c:manualLayout>
          </c:layout>
          <c:overlay val="0"/>
        </c:title>
        <c:numFmt formatCode="#,##0" sourceLinked="1"/>
        <c:majorTickMark val="out"/>
        <c:minorTickMark val="none"/>
        <c:tickLblPos val="nextTo"/>
        <c:crossAx val="102311040"/>
        <c:crosses val="autoZero"/>
        <c:crossBetween val="between"/>
      </c:valAx>
      <c:spPr>
        <a:solidFill>
          <a:srgbClr val="D4F5F4"/>
        </a:solidFill>
        <a:ln>
          <a:solidFill>
            <a:sysClr val="window" lastClr="FFFFFF">
              <a:lumMod val="65000"/>
            </a:sysClr>
          </a:solidFill>
        </a:ln>
      </c:spPr>
    </c:plotArea>
    <c:plotVisOnly val="1"/>
    <c:dispBlanksAs val="gap"/>
    <c:showDLblsOverMax val="0"/>
  </c:chart>
  <c:spPr>
    <a:solidFill>
      <a:schemeClr val="bg1"/>
    </a:solidFill>
  </c:spPr>
  <c:printSettings>
    <c:headerFooter/>
    <c:pageMargins b="0.750000000000004" l="0.70000000000000062" r="0.70000000000000062" t="0.750000000000004"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solidFill>
                  <a:sysClr val="windowText" lastClr="000000"/>
                </a:solidFill>
                <a:latin typeface="Consolas" pitchFamily="49" charset="0"/>
                <a:cs typeface="Consolas" pitchFamily="49" charset="0"/>
              </a:rPr>
              <a:t>Figure</a:t>
            </a:r>
            <a:r>
              <a:rPr lang="en-US" sz="1200" baseline="0">
                <a:solidFill>
                  <a:sysClr val="windowText" lastClr="000000"/>
                </a:solidFill>
                <a:latin typeface="Consolas" pitchFamily="49" charset="0"/>
                <a:cs typeface="Consolas" pitchFamily="49" charset="0"/>
              </a:rPr>
              <a:t> 18.17: Number </a:t>
            </a:r>
            <a:r>
              <a:rPr lang="en-US" sz="1200" baseline="0">
                <a:latin typeface="Consolas" pitchFamily="49" charset="0"/>
                <a:cs typeface="Consolas" pitchFamily="49" charset="0"/>
              </a:rPr>
              <a:t>of registered establishments </a:t>
            </a:r>
            <a:r>
              <a:rPr lang="en-US" sz="1200" b="1" i="0" u="none" strike="noStrike" baseline="0">
                <a:latin typeface="Consolas" pitchFamily="49" charset="0"/>
                <a:cs typeface="Consolas" pitchFamily="49" charset="0"/>
              </a:rPr>
              <a:t>in the retirement pension scheme</a:t>
            </a:r>
            <a:r>
              <a:rPr lang="en-US" sz="1200" baseline="0">
                <a:latin typeface="Consolas" pitchFamily="49" charset="0"/>
                <a:cs typeface="Consolas" pitchFamily="49" charset="0"/>
              </a:rPr>
              <a:t>  by sector, 2015</a:t>
            </a:r>
            <a:endParaRPr lang="en-US" sz="1200">
              <a:latin typeface="Consolas" pitchFamily="49" charset="0"/>
              <a:cs typeface="Consolas" pitchFamily="49" charset="0"/>
            </a:endParaRPr>
          </a:p>
        </c:rich>
      </c:tx>
      <c:overlay val="0"/>
    </c:title>
    <c:autoTitleDeleted val="0"/>
    <c:plotArea>
      <c:layout>
        <c:manualLayout>
          <c:layoutTarget val="inner"/>
          <c:xMode val="edge"/>
          <c:yMode val="edge"/>
          <c:x val="4.2849723441273482E-2"/>
          <c:y val="0.14789877958670605"/>
          <c:w val="0.93076683372718061"/>
          <c:h val="0.35306454604489973"/>
        </c:manualLayout>
      </c:layout>
      <c:barChart>
        <c:barDir val="col"/>
        <c:grouping val="clustered"/>
        <c:varyColors val="0"/>
        <c:ser>
          <c:idx val="0"/>
          <c:order val="0"/>
          <c:spPr>
            <a:solidFill>
              <a:srgbClr val="28B2AF"/>
            </a:solidFill>
          </c:spPr>
          <c:invertIfNegative val="0"/>
          <c:cat>
            <c:strRef>
              <c:f>'18.12'!$A$199:$A$213</c:f>
              <c:strCache>
                <c:ptCount val="15"/>
                <c:pt idx="0">
                  <c:v>Government agencies, public institutions</c:v>
                </c:pt>
                <c:pt idx="1">
                  <c:v>Shops, small and medium commercial retail</c:v>
                </c:pt>
                <c:pt idx="2">
                  <c:v>Hotels, Tourist resorts, travel agencies</c:v>
                </c:pt>
                <c:pt idx="3">
                  <c:v>Wholesale retailers</c:v>
                </c:pt>
                <c:pt idx="4">
                  <c:v>Construction</c:v>
                </c:pt>
                <c:pt idx="5">
                  <c:v>Financial sector, Banks, Investment Funds, Insurance companies Investment</c:v>
                </c:pt>
                <c:pt idx="6">
                  <c:v>Sea Transportation, shipping</c:v>
                </c:pt>
                <c:pt idx="7">
                  <c:v>Health Sector, hospitals, clinics</c:v>
                </c:pt>
                <c:pt idx="8">
                  <c:v>Schools and educational centers</c:v>
                </c:pt>
                <c:pt idx="9">
                  <c:v>Telecommunications</c:v>
                </c:pt>
                <c:pt idx="10">
                  <c:v>Air Transportation</c:v>
                </c:pt>
                <c:pt idx="11">
                  <c:v>Restaurants</c:v>
                </c:pt>
                <c:pt idx="12">
                  <c:v>Agriculture</c:v>
                </c:pt>
                <c:pt idx="13">
                  <c:v>Fishing Industry</c:v>
                </c:pt>
                <c:pt idx="14">
                  <c:v>Others</c:v>
                </c:pt>
              </c:strCache>
            </c:strRef>
          </c:cat>
          <c:val>
            <c:numRef>
              <c:f>'18.12'!$B$199:$B$213</c:f>
              <c:numCache>
                <c:formatCode>#,##0</c:formatCode>
                <c:ptCount val="15"/>
                <c:pt idx="0">
                  <c:v>374</c:v>
                </c:pt>
                <c:pt idx="1">
                  <c:v>257</c:v>
                </c:pt>
                <c:pt idx="2">
                  <c:v>216</c:v>
                </c:pt>
                <c:pt idx="3">
                  <c:v>72</c:v>
                </c:pt>
                <c:pt idx="4">
                  <c:v>71</c:v>
                </c:pt>
                <c:pt idx="5">
                  <c:v>69</c:v>
                </c:pt>
                <c:pt idx="6">
                  <c:v>45</c:v>
                </c:pt>
                <c:pt idx="7">
                  <c:v>28</c:v>
                </c:pt>
                <c:pt idx="8">
                  <c:v>25</c:v>
                </c:pt>
                <c:pt idx="9">
                  <c:v>21</c:v>
                </c:pt>
                <c:pt idx="10">
                  <c:v>13</c:v>
                </c:pt>
                <c:pt idx="11">
                  <c:v>12</c:v>
                </c:pt>
                <c:pt idx="12">
                  <c:v>9</c:v>
                </c:pt>
                <c:pt idx="13">
                  <c:v>8</c:v>
                </c:pt>
                <c:pt idx="14">
                  <c:v>41</c:v>
                </c:pt>
              </c:numCache>
            </c:numRef>
          </c:val>
        </c:ser>
        <c:dLbls>
          <c:showLegendKey val="0"/>
          <c:showVal val="0"/>
          <c:showCatName val="0"/>
          <c:showSerName val="0"/>
          <c:showPercent val="0"/>
          <c:showBubbleSize val="0"/>
        </c:dLbls>
        <c:gapWidth val="150"/>
        <c:axId val="102337920"/>
        <c:axId val="102347904"/>
      </c:barChart>
      <c:catAx>
        <c:axId val="102337920"/>
        <c:scaling>
          <c:orientation val="minMax"/>
        </c:scaling>
        <c:delete val="0"/>
        <c:axPos val="b"/>
        <c:majorTickMark val="none"/>
        <c:minorTickMark val="none"/>
        <c:tickLblPos val="nextTo"/>
        <c:txPr>
          <a:bodyPr rot="-5400000" vert="horz"/>
          <a:lstStyle/>
          <a:p>
            <a:pPr>
              <a:defRPr sz="1050"/>
            </a:pPr>
            <a:endParaRPr lang="en-US"/>
          </a:p>
        </c:txPr>
        <c:crossAx val="102347904"/>
        <c:crosses val="autoZero"/>
        <c:auto val="1"/>
        <c:lblAlgn val="ctr"/>
        <c:lblOffset val="100"/>
        <c:noMultiLvlLbl val="0"/>
      </c:catAx>
      <c:valAx>
        <c:axId val="102347904"/>
        <c:scaling>
          <c:orientation val="minMax"/>
          <c:max val="400"/>
        </c:scaling>
        <c:delete val="0"/>
        <c:axPos val="l"/>
        <c:majorGridlines>
          <c:spPr>
            <a:ln>
              <a:solidFill>
                <a:srgbClr val="A7EBE9"/>
              </a:solidFill>
            </a:ln>
          </c:spPr>
        </c:majorGridlines>
        <c:numFmt formatCode="#,##0" sourceLinked="1"/>
        <c:majorTickMark val="none"/>
        <c:minorTickMark val="none"/>
        <c:tickLblPos val="nextTo"/>
        <c:spPr>
          <a:ln>
            <a:solidFill>
              <a:schemeClr val="accent4">
                <a:lumMod val="40000"/>
                <a:lumOff val="60000"/>
              </a:schemeClr>
            </a:solidFill>
          </a:ln>
        </c:spPr>
        <c:crossAx val="102337920"/>
        <c:crosses val="autoZero"/>
        <c:crossBetween val="between"/>
      </c:valAx>
      <c:spPr>
        <a:solidFill>
          <a:srgbClr val="D4F5F4"/>
        </a:solidFill>
        <a:ln>
          <a:solidFill>
            <a:schemeClr val="tx1">
              <a:lumMod val="50000"/>
              <a:lumOff val="50000"/>
            </a:schemeClr>
          </a:solidFill>
        </a:ln>
      </c:spPr>
    </c:plotArea>
    <c:plotVisOnly val="1"/>
    <c:dispBlanksAs val="gap"/>
    <c:showDLblsOverMax val="0"/>
  </c:chart>
  <c:printSettings>
    <c:headerFooter/>
    <c:pageMargins b="0.75000000000000033" l="0.70000000000000029" r="0.70000000000000029" t="0.75000000000000033" header="0.30000000000000016" footer="0.30000000000000016"/>
    <c:pageSetup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onsolas" pitchFamily="49" charset="0"/>
                <a:cs typeface="Consolas" pitchFamily="49" charset="0"/>
              </a:defRPr>
            </a:pPr>
            <a:r>
              <a:rPr lang="en-US" sz="1100">
                <a:latin typeface="Consolas" pitchFamily="49" charset="0"/>
                <a:cs typeface="Consolas" pitchFamily="49" charset="0"/>
              </a:rPr>
              <a:t>Figure 18.18: Employees</a:t>
            </a:r>
            <a:r>
              <a:rPr lang="en-US" sz="1100" baseline="0">
                <a:latin typeface="Consolas" pitchFamily="49" charset="0"/>
                <a:cs typeface="Consolas" pitchFamily="49" charset="0"/>
              </a:rPr>
              <a:t> registered in the retirement pension scheme, by employment size, 201</a:t>
            </a:r>
            <a:r>
              <a:rPr lang="dv-MV" sz="1100" baseline="0">
                <a:latin typeface="Consolas" pitchFamily="49" charset="0"/>
                <a:cs typeface="Consolas" pitchFamily="49" charset="0"/>
              </a:rPr>
              <a:t>5</a:t>
            </a:r>
            <a:r>
              <a:rPr lang="en-US" sz="1100" baseline="0">
                <a:latin typeface="Consolas" pitchFamily="49" charset="0"/>
                <a:cs typeface="Consolas" pitchFamily="49" charset="0"/>
              </a:rPr>
              <a:t> </a:t>
            </a:r>
            <a:endParaRPr lang="en-US" sz="1100">
              <a:latin typeface="Consolas" pitchFamily="49" charset="0"/>
              <a:cs typeface="Consolas" pitchFamily="49" charset="0"/>
            </a:endParaRPr>
          </a:p>
        </c:rich>
      </c:tx>
      <c:layout>
        <c:manualLayout>
          <c:xMode val="edge"/>
          <c:yMode val="edge"/>
          <c:x val="0.15556390798582298"/>
          <c:y val="3.2407407407407669E-2"/>
        </c:manualLayout>
      </c:layout>
      <c:overlay val="0"/>
    </c:title>
    <c:autoTitleDeleted val="0"/>
    <c:plotArea>
      <c:layout>
        <c:manualLayout>
          <c:layoutTarget val="inner"/>
          <c:xMode val="edge"/>
          <c:yMode val="edge"/>
          <c:x val="0.10941757657936255"/>
          <c:y val="0.22951082334220421"/>
          <c:w val="0.86842733782144299"/>
          <c:h val="0.60527677942696156"/>
        </c:manualLayout>
      </c:layout>
      <c:barChart>
        <c:barDir val="col"/>
        <c:grouping val="clustered"/>
        <c:varyColors val="0"/>
        <c:ser>
          <c:idx val="1"/>
          <c:order val="0"/>
          <c:spPr>
            <a:solidFill>
              <a:srgbClr val="28B2AF"/>
            </a:solidFill>
          </c:spPr>
          <c:invertIfNegative val="0"/>
          <c:cat>
            <c:strRef>
              <c:f>'18.13'!$B$5:$F$5</c:f>
              <c:strCache>
                <c:ptCount val="5"/>
                <c:pt idx="0">
                  <c:v>0-9</c:v>
                </c:pt>
                <c:pt idx="1">
                  <c:v>10-49</c:v>
                </c:pt>
                <c:pt idx="2">
                  <c:v>50-99</c:v>
                </c:pt>
                <c:pt idx="3">
                  <c:v>100-299</c:v>
                </c:pt>
                <c:pt idx="4">
                  <c:v>&gt;300</c:v>
                </c:pt>
              </c:strCache>
            </c:strRef>
          </c:cat>
          <c:val>
            <c:numRef>
              <c:f>'18.13'!$B$6:$F$6</c:f>
              <c:numCache>
                <c:formatCode>#,##0</c:formatCode>
                <c:ptCount val="5"/>
                <c:pt idx="0">
                  <c:v>1952</c:v>
                </c:pt>
                <c:pt idx="1">
                  <c:v>10448</c:v>
                </c:pt>
                <c:pt idx="2">
                  <c:v>8760</c:v>
                </c:pt>
                <c:pt idx="3">
                  <c:v>18325</c:v>
                </c:pt>
                <c:pt idx="4">
                  <c:v>27782</c:v>
                </c:pt>
              </c:numCache>
            </c:numRef>
          </c:val>
        </c:ser>
        <c:dLbls>
          <c:showLegendKey val="0"/>
          <c:showVal val="0"/>
          <c:showCatName val="0"/>
          <c:showSerName val="0"/>
          <c:showPercent val="0"/>
          <c:showBubbleSize val="0"/>
        </c:dLbls>
        <c:gapWidth val="150"/>
        <c:axId val="108058880"/>
        <c:axId val="108061056"/>
      </c:barChart>
      <c:catAx>
        <c:axId val="108058880"/>
        <c:scaling>
          <c:orientation val="minMax"/>
        </c:scaling>
        <c:delete val="0"/>
        <c:axPos val="b"/>
        <c:title>
          <c:tx>
            <c:rich>
              <a:bodyPr/>
              <a:lstStyle/>
              <a:p>
                <a:pPr>
                  <a:defRPr/>
                </a:pPr>
                <a:r>
                  <a:rPr lang="en-US"/>
                  <a:t>employment size</a:t>
                </a:r>
              </a:p>
            </c:rich>
          </c:tx>
          <c:layout>
            <c:manualLayout>
              <c:xMode val="edge"/>
              <c:yMode val="edge"/>
              <c:x val="0.44311249613435788"/>
              <c:y val="0.92034703995333922"/>
            </c:manualLayout>
          </c:layout>
          <c:overlay val="0"/>
        </c:title>
        <c:majorTickMark val="out"/>
        <c:minorTickMark val="none"/>
        <c:tickLblPos val="nextTo"/>
        <c:crossAx val="108061056"/>
        <c:crosses val="autoZero"/>
        <c:auto val="1"/>
        <c:lblAlgn val="ctr"/>
        <c:lblOffset val="100"/>
        <c:noMultiLvlLbl val="0"/>
      </c:catAx>
      <c:valAx>
        <c:axId val="108061056"/>
        <c:scaling>
          <c:orientation val="minMax"/>
        </c:scaling>
        <c:delete val="0"/>
        <c:axPos val="l"/>
        <c:majorGridlines>
          <c:spPr>
            <a:ln>
              <a:solidFill>
                <a:schemeClr val="bg1"/>
              </a:solidFill>
            </a:ln>
          </c:spPr>
        </c:majorGridlines>
        <c:title>
          <c:tx>
            <c:rich>
              <a:bodyPr rot="0" vert="horz"/>
              <a:lstStyle/>
              <a:p>
                <a:pPr>
                  <a:defRPr b="0"/>
                </a:pPr>
                <a:r>
                  <a:rPr lang="en-US" b="0"/>
                  <a:t>In Numbers</a:t>
                </a:r>
              </a:p>
            </c:rich>
          </c:tx>
          <c:layout>
            <c:manualLayout>
              <c:xMode val="edge"/>
              <c:yMode val="edge"/>
              <c:x val="6.0422960725075824E-3"/>
              <c:y val="8.4818511398449828E-2"/>
            </c:manualLayout>
          </c:layout>
          <c:overlay val="0"/>
        </c:title>
        <c:numFmt formatCode="#,##0" sourceLinked="0"/>
        <c:majorTickMark val="out"/>
        <c:minorTickMark val="none"/>
        <c:tickLblPos val="nextTo"/>
        <c:crossAx val="108058880"/>
        <c:crosses val="autoZero"/>
        <c:crossBetween val="between"/>
      </c:valAx>
      <c:spPr>
        <a:ln>
          <a:solidFill>
            <a:sysClr val="window" lastClr="FFFFFF">
              <a:lumMod val="65000"/>
            </a:sysClr>
          </a:solidFill>
        </a:ln>
      </c:spPr>
    </c:plotArea>
    <c:plotVisOnly val="1"/>
    <c:dispBlanksAs val="gap"/>
    <c:showDLblsOverMax val="0"/>
  </c:chart>
  <c:spPr>
    <a:solidFill>
      <a:srgbClr val="D4F5F4"/>
    </a:solidFill>
  </c:spPr>
  <c:printSettings>
    <c:headerFooter/>
    <c:pageMargins b="0.75000000000000422" l="0.70000000000000062" r="0.70000000000000062" t="0.75000000000000422"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84493009802661E-2"/>
          <c:y val="0.13612330628645106"/>
          <c:w val="0.92456085846412062"/>
          <c:h val="0.43181427602574329"/>
        </c:manualLayout>
      </c:layout>
      <c:barChart>
        <c:barDir val="col"/>
        <c:grouping val="clustered"/>
        <c:varyColors val="0"/>
        <c:ser>
          <c:idx val="0"/>
          <c:order val="0"/>
          <c:spPr>
            <a:solidFill>
              <a:srgbClr val="7030A0"/>
            </a:solidFill>
          </c:spPr>
          <c:invertIfNegative val="0"/>
          <c:cat>
            <c:numRef>
              <c:f>'18.14'!$O$39:$O$46</c:f>
              <c:numCache>
                <c:formatCode>General</c:formatCode>
                <c:ptCount val="8"/>
              </c:numCache>
            </c:numRef>
          </c:cat>
          <c:val>
            <c:numRef>
              <c:f>'18.14'!$P$39:$P$46</c:f>
              <c:numCache>
                <c:formatCode>#,##0.0</c:formatCode>
                <c:ptCount val="8"/>
              </c:numCache>
            </c:numRef>
          </c:val>
        </c:ser>
        <c:dLbls>
          <c:showLegendKey val="0"/>
          <c:showVal val="0"/>
          <c:showCatName val="0"/>
          <c:showSerName val="0"/>
          <c:showPercent val="0"/>
          <c:showBubbleSize val="0"/>
        </c:dLbls>
        <c:gapWidth val="150"/>
        <c:axId val="104830080"/>
        <c:axId val="104831616"/>
      </c:barChart>
      <c:catAx>
        <c:axId val="104830080"/>
        <c:scaling>
          <c:orientation val="minMax"/>
        </c:scaling>
        <c:delete val="0"/>
        <c:axPos val="b"/>
        <c:numFmt formatCode="General" sourceLinked="1"/>
        <c:majorTickMark val="out"/>
        <c:minorTickMark val="none"/>
        <c:tickLblPos val="nextTo"/>
        <c:txPr>
          <a:bodyPr rot="-5400000" vert="horz" anchor="b" anchorCtr="0"/>
          <a:lstStyle/>
          <a:p>
            <a:pPr>
              <a:defRPr/>
            </a:pPr>
            <a:endParaRPr lang="en-US"/>
          </a:p>
        </c:txPr>
        <c:crossAx val="104831616"/>
        <c:crosses val="autoZero"/>
        <c:auto val="1"/>
        <c:lblAlgn val="ctr"/>
        <c:lblOffset val="100"/>
        <c:noMultiLvlLbl val="0"/>
      </c:catAx>
      <c:valAx>
        <c:axId val="104831616"/>
        <c:scaling>
          <c:orientation val="minMax"/>
        </c:scaling>
        <c:delete val="0"/>
        <c:axPos val="l"/>
        <c:majorGridlines>
          <c:spPr>
            <a:ln>
              <a:solidFill>
                <a:sysClr val="window" lastClr="FFFFFF"/>
              </a:solidFill>
            </a:ln>
          </c:spPr>
        </c:majorGridlines>
        <c:title>
          <c:tx>
            <c:rich>
              <a:bodyPr rot="0" vert="horz"/>
              <a:lstStyle/>
              <a:p>
                <a:pPr>
                  <a:defRPr b="0"/>
                </a:pPr>
                <a:r>
                  <a:rPr lang="en-US" b="0"/>
                  <a:t>% of employees</a:t>
                </a:r>
              </a:p>
            </c:rich>
          </c:tx>
          <c:layout>
            <c:manualLayout>
              <c:xMode val="edge"/>
              <c:yMode val="edge"/>
              <c:x val="8.6707732961951202E-3"/>
              <c:y val="7.8882766685944683E-2"/>
            </c:manualLayout>
          </c:layout>
          <c:overlay val="0"/>
        </c:title>
        <c:numFmt formatCode="0" sourceLinked="0"/>
        <c:majorTickMark val="out"/>
        <c:minorTickMark val="none"/>
        <c:tickLblPos val="nextTo"/>
        <c:crossAx val="104830080"/>
        <c:crosses val="autoZero"/>
        <c:crossBetween val="between"/>
      </c:valAx>
      <c:spPr>
        <a:ln>
          <a:solidFill>
            <a:schemeClr val="bg1">
              <a:lumMod val="65000"/>
            </a:schemeClr>
          </a:solidFill>
        </a:ln>
      </c:spPr>
    </c:plotArea>
    <c:plotVisOnly val="1"/>
    <c:dispBlanksAs val="gap"/>
    <c:showDLblsOverMax val="0"/>
  </c:chart>
  <c:spPr>
    <a:solidFill>
      <a:schemeClr val="accent4">
        <a:lumMod val="20000"/>
        <a:lumOff val="80000"/>
      </a:schemeClr>
    </a:solidFill>
  </c:spPr>
  <c:printSettings>
    <c:headerFooter/>
    <c:pageMargins b="0.75000000000000366" l="0.70000000000000062" r="0.70000000000000062" t="0.75000000000000366"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84556392485992E-2"/>
          <c:y val="0.13612327279176312"/>
          <c:w val="0.92456085846412062"/>
          <c:h val="0.43181427602574329"/>
        </c:manualLayout>
      </c:layout>
      <c:barChart>
        <c:barDir val="col"/>
        <c:grouping val="clustered"/>
        <c:varyColors val="0"/>
        <c:ser>
          <c:idx val="0"/>
          <c:order val="0"/>
          <c:spPr>
            <a:solidFill>
              <a:srgbClr val="28B2AF"/>
            </a:solidFill>
          </c:spPr>
          <c:invertIfNegative val="0"/>
          <c:dLbls>
            <c:txPr>
              <a:bodyPr/>
              <a:lstStyle/>
              <a:p>
                <a:pPr>
                  <a:defRPr b="1"/>
                </a:pPr>
                <a:endParaRPr lang="en-US"/>
              </a:p>
            </c:txPr>
            <c:showLegendKey val="0"/>
            <c:showVal val="1"/>
            <c:showCatName val="0"/>
            <c:showSerName val="0"/>
            <c:showPercent val="0"/>
            <c:showBubbleSize val="0"/>
            <c:showLeaderLines val="0"/>
          </c:dLbls>
          <c:cat>
            <c:strRef>
              <c:f>'18.14'!$O$47:$O$61</c:f>
              <c:strCache>
                <c:ptCount val="15"/>
                <c:pt idx="0">
                  <c:v>Govt. agencies, public institutions</c:v>
                </c:pt>
                <c:pt idx="1">
                  <c:v>Hotels, Tourist resorts, travel agencies</c:v>
                </c:pt>
                <c:pt idx="2">
                  <c:v>Financial sector, Banks, Investment Funds, Insurance </c:v>
                </c:pt>
                <c:pt idx="3">
                  <c:v>Shops, small and medium commercial retail</c:v>
                </c:pt>
                <c:pt idx="4">
                  <c:v>Wholesale retailers</c:v>
                </c:pt>
                <c:pt idx="5">
                  <c:v>Sea Transportation, shipping</c:v>
                </c:pt>
                <c:pt idx="6">
                  <c:v>Construction</c:v>
                </c:pt>
                <c:pt idx="7">
                  <c:v>Air Transportation</c:v>
                </c:pt>
                <c:pt idx="8">
                  <c:v>Telecommunications</c:v>
                </c:pt>
                <c:pt idx="9">
                  <c:v>Fishing Industry</c:v>
                </c:pt>
                <c:pt idx="10">
                  <c:v>Schools and educational centers</c:v>
                </c:pt>
                <c:pt idx="11">
                  <c:v>Health Sector, hospitals, clinics</c:v>
                </c:pt>
                <c:pt idx="12">
                  <c:v>Agriculture</c:v>
                </c:pt>
                <c:pt idx="13">
                  <c:v>Electricity</c:v>
                </c:pt>
                <c:pt idx="14">
                  <c:v>Others</c:v>
                </c:pt>
              </c:strCache>
            </c:strRef>
          </c:cat>
          <c:val>
            <c:numRef>
              <c:f>'18.14'!$P$47:$P$61</c:f>
              <c:numCache>
                <c:formatCode>0.0</c:formatCode>
                <c:ptCount val="15"/>
                <c:pt idx="0">
                  <c:v>46.811958315370092</c:v>
                </c:pt>
                <c:pt idx="1">
                  <c:v>22.430017690695291</c:v>
                </c:pt>
                <c:pt idx="2">
                  <c:v>5.6416965228120768</c:v>
                </c:pt>
                <c:pt idx="3">
                  <c:v>4.5832280315756613</c:v>
                </c:pt>
                <c:pt idx="4">
                  <c:v>4.3840218829440882</c:v>
                </c:pt>
                <c:pt idx="5">
                  <c:v>3.894926189662093</c:v>
                </c:pt>
                <c:pt idx="6">
                  <c:v>2.6179255801507426</c:v>
                </c:pt>
                <c:pt idx="7">
                  <c:v>2.2418124786299374</c:v>
                </c:pt>
                <c:pt idx="8">
                  <c:v>2.1600487609080234</c:v>
                </c:pt>
                <c:pt idx="9">
                  <c:v>1.8359671161193452</c:v>
                </c:pt>
                <c:pt idx="10">
                  <c:v>1.4301217536087532</c:v>
                </c:pt>
                <c:pt idx="11">
                  <c:v>0.86520879480280077</c:v>
                </c:pt>
                <c:pt idx="12">
                  <c:v>0.23637147486880641</c:v>
                </c:pt>
                <c:pt idx="13">
                  <c:v>0.23637147486880641</c:v>
                </c:pt>
                <c:pt idx="14">
                  <c:v>0.63032393298348355</c:v>
                </c:pt>
              </c:numCache>
            </c:numRef>
          </c:val>
        </c:ser>
        <c:dLbls>
          <c:showLegendKey val="0"/>
          <c:showVal val="0"/>
          <c:showCatName val="0"/>
          <c:showSerName val="0"/>
          <c:showPercent val="0"/>
          <c:showBubbleSize val="0"/>
        </c:dLbls>
        <c:gapWidth val="150"/>
        <c:axId val="104852480"/>
        <c:axId val="108618496"/>
      </c:barChart>
      <c:catAx>
        <c:axId val="104852480"/>
        <c:scaling>
          <c:orientation val="minMax"/>
        </c:scaling>
        <c:delete val="0"/>
        <c:axPos val="b"/>
        <c:majorTickMark val="out"/>
        <c:minorTickMark val="none"/>
        <c:tickLblPos val="nextTo"/>
        <c:txPr>
          <a:bodyPr rot="-5400000" vert="horz" anchor="b" anchorCtr="0"/>
          <a:lstStyle/>
          <a:p>
            <a:pPr>
              <a:defRPr/>
            </a:pPr>
            <a:endParaRPr lang="en-US"/>
          </a:p>
        </c:txPr>
        <c:crossAx val="108618496"/>
        <c:crosses val="autoZero"/>
        <c:auto val="1"/>
        <c:lblAlgn val="ctr"/>
        <c:lblOffset val="100"/>
        <c:noMultiLvlLbl val="0"/>
      </c:catAx>
      <c:valAx>
        <c:axId val="108618496"/>
        <c:scaling>
          <c:orientation val="minMax"/>
        </c:scaling>
        <c:delete val="0"/>
        <c:axPos val="l"/>
        <c:majorGridlines>
          <c:spPr>
            <a:ln>
              <a:solidFill>
                <a:sysClr val="window" lastClr="FFFFFF"/>
              </a:solidFill>
            </a:ln>
          </c:spPr>
        </c:majorGridlines>
        <c:title>
          <c:tx>
            <c:rich>
              <a:bodyPr rot="0" vert="horz"/>
              <a:lstStyle/>
              <a:p>
                <a:pPr>
                  <a:defRPr b="0"/>
                </a:pPr>
                <a:r>
                  <a:rPr lang="en-US" b="0"/>
                  <a:t>% of employees</a:t>
                </a:r>
              </a:p>
            </c:rich>
          </c:tx>
          <c:layout>
            <c:manualLayout>
              <c:xMode val="edge"/>
              <c:yMode val="edge"/>
              <c:x val="8.6707732961951202E-3"/>
              <c:y val="7.8882766685944683E-2"/>
            </c:manualLayout>
          </c:layout>
          <c:overlay val="0"/>
        </c:title>
        <c:numFmt formatCode="0" sourceLinked="0"/>
        <c:majorTickMark val="out"/>
        <c:minorTickMark val="none"/>
        <c:tickLblPos val="nextTo"/>
        <c:crossAx val="104852480"/>
        <c:crosses val="autoZero"/>
        <c:crossBetween val="between"/>
      </c:valAx>
      <c:spPr>
        <a:ln>
          <a:solidFill>
            <a:schemeClr val="bg1">
              <a:lumMod val="65000"/>
            </a:schemeClr>
          </a:solidFill>
        </a:ln>
      </c:spPr>
    </c:plotArea>
    <c:plotVisOnly val="1"/>
    <c:dispBlanksAs val="gap"/>
    <c:showDLblsOverMax val="0"/>
  </c:chart>
  <c:spPr>
    <a:solidFill>
      <a:srgbClr val="D4F5F4"/>
    </a:solidFill>
  </c:spPr>
  <c:printSettings>
    <c:headerFooter/>
    <c:pageMargins b="0.75000000000000366" l="0.70000000000000062" r="0.70000000000000062" t="0.75000000000000366" header="0.30000000000000032" footer="0.30000000000000032"/>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onsolas" pitchFamily="49" charset="0"/>
                <a:cs typeface="Consolas" pitchFamily="49" charset="0"/>
              </a:defRPr>
            </a:pPr>
            <a:r>
              <a:rPr lang="en-US" sz="1050">
                <a:latin typeface="Consolas" pitchFamily="49" charset="0"/>
                <a:cs typeface="Consolas" pitchFamily="49" charset="0"/>
              </a:rPr>
              <a:t>Figure 18.20: Percentage share of female</a:t>
            </a:r>
            <a:r>
              <a:rPr lang="en-US" sz="1050" baseline="0">
                <a:latin typeface="Consolas" pitchFamily="49" charset="0"/>
                <a:cs typeface="Consolas" pitchFamily="49" charset="0"/>
              </a:rPr>
              <a:t> e</a:t>
            </a:r>
            <a:r>
              <a:rPr lang="en-US" sz="1050" b="1" i="0" u="none" strike="noStrike" kern="1200" baseline="0">
                <a:solidFill>
                  <a:sysClr val="windowText" lastClr="000000"/>
                </a:solidFill>
                <a:latin typeface="Consolas" pitchFamily="49" charset="0"/>
                <a:ea typeface="+mn-ea"/>
                <a:cs typeface="Consolas" pitchFamily="49" charset="0"/>
              </a:rPr>
              <a:t>mployees registered in the retirement pension scheme, by type of employer, end of  2015 </a:t>
            </a:r>
          </a:p>
        </c:rich>
      </c:tx>
      <c:layout>
        <c:manualLayout>
          <c:xMode val="edge"/>
          <c:yMode val="edge"/>
          <c:x val="0.18178178178178178"/>
          <c:y val="3.1686975727457697E-2"/>
        </c:manualLayout>
      </c:layout>
      <c:overlay val="0"/>
      <c:spPr>
        <a:solidFill>
          <a:srgbClr val="D4F5F4"/>
        </a:solidFill>
      </c:spPr>
    </c:title>
    <c:autoTitleDeleted val="0"/>
    <c:plotArea>
      <c:layout>
        <c:manualLayout>
          <c:layoutTarget val="inner"/>
          <c:xMode val="edge"/>
          <c:yMode val="edge"/>
          <c:x val="0.19918730815833283"/>
          <c:y val="0.17189391340778079"/>
          <c:w val="0.77878679250939542"/>
          <c:h val="0.68651823856335725"/>
        </c:manualLayout>
      </c:layout>
      <c:barChart>
        <c:barDir val="bar"/>
        <c:grouping val="clustered"/>
        <c:varyColors val="0"/>
        <c:ser>
          <c:idx val="0"/>
          <c:order val="0"/>
          <c:spPr>
            <a:solidFill>
              <a:srgbClr val="33CCCC"/>
            </a:solidFill>
          </c:spPr>
          <c:invertIfNegative val="0"/>
          <c:dLbls>
            <c:numFmt formatCode="#,##0" sourceLinked="0"/>
            <c:showLegendKey val="0"/>
            <c:showVal val="1"/>
            <c:showCatName val="0"/>
            <c:showSerName val="0"/>
            <c:showPercent val="0"/>
            <c:showBubbleSize val="0"/>
            <c:showLeaderLines val="0"/>
          </c:dLbls>
          <c:cat>
            <c:strRef>
              <c:f>'18.15'!$Z$33:$Z$44</c:f>
              <c:strCache>
                <c:ptCount val="12"/>
                <c:pt idx="0">
                  <c:v>Schools / universitiy</c:v>
                </c:pt>
                <c:pt idx="1">
                  <c:v>Hospitals / Health Care facilities</c:v>
                </c:pt>
                <c:pt idx="2">
                  <c:v>Others</c:v>
                </c:pt>
                <c:pt idx="3">
                  <c:v>City councils</c:v>
                </c:pt>
                <c:pt idx="4">
                  <c:v>Government Offices</c:v>
                </c:pt>
                <c:pt idx="5">
                  <c:v>Independent Agencies</c:v>
                </c:pt>
                <c:pt idx="6">
                  <c:v>Judiciary</c:v>
                </c:pt>
                <c:pt idx="7">
                  <c:v>Atoll councils</c:v>
                </c:pt>
                <c:pt idx="8">
                  <c:v>State owned enterprises</c:v>
                </c:pt>
                <c:pt idx="9">
                  <c:v>Island councils</c:v>
                </c:pt>
                <c:pt idx="10">
                  <c:v>Other Private Sector</c:v>
                </c:pt>
                <c:pt idx="11">
                  <c:v>Police / NSS</c:v>
                </c:pt>
              </c:strCache>
            </c:strRef>
          </c:cat>
          <c:val>
            <c:numRef>
              <c:f>'18.15'!$AA$33:$AA$44</c:f>
              <c:numCache>
                <c:formatCode>0</c:formatCode>
                <c:ptCount val="12"/>
                <c:pt idx="0">
                  <c:v>73.276740237691001</c:v>
                </c:pt>
                <c:pt idx="1">
                  <c:v>69.031922276197093</c:v>
                </c:pt>
                <c:pt idx="2">
                  <c:v>58.974358974358978</c:v>
                </c:pt>
                <c:pt idx="3">
                  <c:v>54.081632653061227</c:v>
                </c:pt>
                <c:pt idx="4">
                  <c:v>50.244831338411323</c:v>
                </c:pt>
                <c:pt idx="5">
                  <c:v>48.108384458077708</c:v>
                </c:pt>
                <c:pt idx="6">
                  <c:v>43.056849953401674</c:v>
                </c:pt>
                <c:pt idx="7">
                  <c:v>33.23029366306028</c:v>
                </c:pt>
                <c:pt idx="8">
                  <c:v>25.158644928243678</c:v>
                </c:pt>
                <c:pt idx="9">
                  <c:v>24.118831822759315</c:v>
                </c:pt>
                <c:pt idx="10">
                  <c:v>17.180590767053829</c:v>
                </c:pt>
                <c:pt idx="11">
                  <c:v>8.8577435178696575</c:v>
                </c:pt>
              </c:numCache>
            </c:numRef>
          </c:val>
        </c:ser>
        <c:dLbls>
          <c:showLegendKey val="0"/>
          <c:showVal val="0"/>
          <c:showCatName val="0"/>
          <c:showSerName val="0"/>
          <c:showPercent val="0"/>
          <c:showBubbleSize val="0"/>
        </c:dLbls>
        <c:gapWidth val="74"/>
        <c:axId val="107531264"/>
        <c:axId val="107533056"/>
      </c:barChart>
      <c:catAx>
        <c:axId val="107531264"/>
        <c:scaling>
          <c:orientation val="minMax"/>
        </c:scaling>
        <c:delete val="0"/>
        <c:axPos val="l"/>
        <c:majorTickMark val="none"/>
        <c:minorTickMark val="none"/>
        <c:tickLblPos val="nextTo"/>
        <c:crossAx val="107533056"/>
        <c:crosses val="autoZero"/>
        <c:auto val="1"/>
        <c:lblAlgn val="ctr"/>
        <c:lblOffset val="100"/>
        <c:noMultiLvlLbl val="0"/>
      </c:catAx>
      <c:valAx>
        <c:axId val="107533056"/>
        <c:scaling>
          <c:orientation val="minMax"/>
          <c:max val="80"/>
        </c:scaling>
        <c:delete val="0"/>
        <c:axPos val="b"/>
        <c:majorGridlines>
          <c:spPr>
            <a:ln>
              <a:solidFill>
                <a:schemeClr val="bg1"/>
              </a:solidFill>
            </a:ln>
          </c:spPr>
        </c:majorGridlines>
        <c:title>
          <c:tx>
            <c:rich>
              <a:bodyPr/>
              <a:lstStyle/>
              <a:p>
                <a:pPr>
                  <a:defRPr/>
                </a:pPr>
                <a:r>
                  <a:rPr lang="en-US"/>
                  <a:t>% share of  females</a:t>
                </a:r>
              </a:p>
            </c:rich>
          </c:tx>
          <c:layout>
            <c:manualLayout>
              <c:xMode val="edge"/>
              <c:yMode val="edge"/>
              <c:x val="0.51618604255404188"/>
              <c:y val="0.93743140023441063"/>
            </c:manualLayout>
          </c:layout>
          <c:overlay val="0"/>
        </c:title>
        <c:numFmt formatCode="0" sourceLinked="0"/>
        <c:majorTickMark val="out"/>
        <c:minorTickMark val="none"/>
        <c:tickLblPos val="nextTo"/>
        <c:crossAx val="107531264"/>
        <c:crosses val="autoZero"/>
        <c:crossBetween val="between"/>
      </c:valAx>
      <c:spPr>
        <a:ln>
          <a:solidFill>
            <a:sysClr val="window" lastClr="FFFFFF">
              <a:lumMod val="65000"/>
            </a:sysClr>
          </a:solidFill>
        </a:ln>
      </c:spPr>
    </c:plotArea>
    <c:plotVisOnly val="1"/>
    <c:dispBlanksAs val="gap"/>
    <c:showDLblsOverMax val="0"/>
  </c:chart>
  <c:spPr>
    <a:solidFill>
      <a:srgbClr val="D4F5F4"/>
    </a:solidFill>
  </c:spPr>
  <c:printSettings>
    <c:headerFooter/>
    <c:pageMargins b="0.75000000000000366" l="0.70000000000000062" r="0.70000000000000062" t="0.75000000000000366"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US" sz="1200" b="1" i="0" u="none" strike="noStrike" baseline="0">
                <a:effectLst/>
                <a:latin typeface="+mn-lt"/>
              </a:rPr>
              <a:t>Figure 18.21:  NUMBER OF PERSONS COVERED UNDER HEALTH INSURANCE SCHEMES BY ATOLL, 2014 - 2015</a:t>
            </a:r>
            <a:endParaRPr lang="en-US" sz="1200">
              <a:latin typeface="+mn-lt"/>
            </a:endParaRPr>
          </a:p>
        </c:rich>
      </c:tx>
      <c:layout>
        <c:manualLayout>
          <c:xMode val="edge"/>
          <c:yMode val="edge"/>
          <c:x val="0.15929047911832181"/>
          <c:y val="6.77108999284203E-3"/>
        </c:manualLayout>
      </c:layout>
      <c:overlay val="0"/>
    </c:title>
    <c:autoTitleDeleted val="0"/>
    <c:plotArea>
      <c:layout>
        <c:manualLayout>
          <c:layoutTarget val="inner"/>
          <c:xMode val="edge"/>
          <c:yMode val="edge"/>
          <c:x val="7.7045954897955141E-2"/>
          <c:y val="0.20294790493901321"/>
          <c:w val="0.90863920347488047"/>
          <c:h val="0.69119859411490647"/>
        </c:manualLayout>
      </c:layout>
      <c:barChart>
        <c:barDir val="col"/>
        <c:grouping val="clustered"/>
        <c:varyColors val="0"/>
        <c:ser>
          <c:idx val="0"/>
          <c:order val="0"/>
          <c:tx>
            <c:strRef>
              <c:f>'18.16'!$Y$56</c:f>
              <c:strCache>
                <c:ptCount val="1"/>
                <c:pt idx="0">
                  <c:v>2014</c:v>
                </c:pt>
              </c:strCache>
            </c:strRef>
          </c:tx>
          <c:spPr>
            <a:solidFill>
              <a:srgbClr val="28B2AF"/>
            </a:solidFill>
          </c:spPr>
          <c:invertIfNegative val="0"/>
          <c:cat>
            <c:strRef>
              <c:f>'18.16'!$X$57:$X$77</c:f>
              <c:strCache>
                <c:ptCount val="21"/>
                <c:pt idx="0">
                  <c:v>Male' </c:v>
                </c:pt>
                <c:pt idx="1">
                  <c:v> HA</c:v>
                </c:pt>
                <c:pt idx="2">
                  <c:v>HDh</c:v>
                </c:pt>
                <c:pt idx="3">
                  <c:v>Sh</c:v>
                </c:pt>
                <c:pt idx="4">
                  <c:v>N</c:v>
                </c:pt>
                <c:pt idx="5">
                  <c:v>R</c:v>
                </c:pt>
                <c:pt idx="6">
                  <c:v>B</c:v>
                </c:pt>
                <c:pt idx="7">
                  <c:v> 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'18.16'!$Y$57:$Y$77</c:f>
              <c:numCache>
                <c:formatCode>#,##0_);\(#,##0\)</c:formatCode>
                <c:ptCount val="21"/>
                <c:pt idx="0">
                  <c:v>49489</c:v>
                </c:pt>
                <c:pt idx="1">
                  <c:v>18659</c:v>
                </c:pt>
                <c:pt idx="2">
                  <c:v>22166</c:v>
                </c:pt>
                <c:pt idx="3">
                  <c:v>14630</c:v>
                </c:pt>
                <c:pt idx="4">
                  <c:v>13115</c:v>
                </c:pt>
                <c:pt idx="5">
                  <c:v>19277</c:v>
                </c:pt>
                <c:pt idx="6">
                  <c:v>11950</c:v>
                </c:pt>
                <c:pt idx="7">
                  <c:v>11097</c:v>
                </c:pt>
                <c:pt idx="8">
                  <c:v>10660</c:v>
                </c:pt>
                <c:pt idx="9">
                  <c:v>6537</c:v>
                </c:pt>
                <c:pt idx="10">
                  <c:v>9570</c:v>
                </c:pt>
                <c:pt idx="11">
                  <c:v>1770</c:v>
                </c:pt>
                <c:pt idx="12">
                  <c:v>6247</c:v>
                </c:pt>
                <c:pt idx="13">
                  <c:v>5176</c:v>
                </c:pt>
                <c:pt idx="14">
                  <c:v>6497</c:v>
                </c:pt>
                <c:pt idx="15">
                  <c:v>13508</c:v>
                </c:pt>
                <c:pt idx="16">
                  <c:v>14567</c:v>
                </c:pt>
                <c:pt idx="17">
                  <c:v>12163</c:v>
                </c:pt>
                <c:pt idx="18">
                  <c:v>17520</c:v>
                </c:pt>
                <c:pt idx="19">
                  <c:v>10203</c:v>
                </c:pt>
                <c:pt idx="20">
                  <c:v>27303</c:v>
                </c:pt>
              </c:numCache>
            </c:numRef>
          </c:val>
        </c:ser>
        <c:ser>
          <c:idx val="1"/>
          <c:order val="1"/>
          <c:tx>
            <c:strRef>
              <c:f>'18.16'!$Z$56</c:f>
              <c:strCache>
                <c:ptCount val="1"/>
                <c:pt idx="0">
                  <c:v>2015 </c:v>
                </c:pt>
              </c:strCache>
            </c:strRef>
          </c:tx>
          <c:spPr>
            <a:solidFill>
              <a:srgbClr val="1C706E"/>
            </a:solidFill>
          </c:spPr>
          <c:invertIfNegative val="0"/>
          <c:cat>
            <c:strRef>
              <c:f>'18.16'!$X$57:$X$77</c:f>
              <c:strCache>
                <c:ptCount val="21"/>
                <c:pt idx="0">
                  <c:v>Male' </c:v>
                </c:pt>
                <c:pt idx="1">
                  <c:v> HA</c:v>
                </c:pt>
                <c:pt idx="2">
                  <c:v>HDh</c:v>
                </c:pt>
                <c:pt idx="3">
                  <c:v>Sh</c:v>
                </c:pt>
                <c:pt idx="4">
                  <c:v>N</c:v>
                </c:pt>
                <c:pt idx="5">
                  <c:v>R</c:v>
                </c:pt>
                <c:pt idx="6">
                  <c:v>B</c:v>
                </c:pt>
                <c:pt idx="7">
                  <c:v> 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'18.16'!$Z$57:$Z$77</c:f>
              <c:numCache>
                <c:formatCode>General_)</c:formatCode>
                <c:ptCount val="21"/>
                <c:pt idx="0">
                  <c:v>52253</c:v>
                </c:pt>
                <c:pt idx="1">
                  <c:v>19492</c:v>
                </c:pt>
                <c:pt idx="2">
                  <c:v>23057</c:v>
                </c:pt>
                <c:pt idx="3">
                  <c:v>15572</c:v>
                </c:pt>
                <c:pt idx="4">
                  <c:v>14154</c:v>
                </c:pt>
                <c:pt idx="5">
                  <c:v>20204</c:v>
                </c:pt>
                <c:pt idx="6">
                  <c:v>12455</c:v>
                </c:pt>
                <c:pt idx="7" formatCode="General">
                  <c:v>11405</c:v>
                </c:pt>
                <c:pt idx="8" formatCode="General">
                  <c:v>11458</c:v>
                </c:pt>
                <c:pt idx="9" formatCode="General">
                  <c:v>6994</c:v>
                </c:pt>
                <c:pt idx="10" formatCode="General">
                  <c:v>9969</c:v>
                </c:pt>
                <c:pt idx="11" formatCode="General">
                  <c:v>2099</c:v>
                </c:pt>
                <c:pt idx="12" formatCode="General">
                  <c:v>6489</c:v>
                </c:pt>
                <c:pt idx="13" formatCode="General">
                  <c:v>5469</c:v>
                </c:pt>
                <c:pt idx="14" formatCode="General">
                  <c:v>6822</c:v>
                </c:pt>
                <c:pt idx="15" formatCode="General">
                  <c:v>14052</c:v>
                </c:pt>
                <c:pt idx="16" formatCode="General">
                  <c:v>15563</c:v>
                </c:pt>
                <c:pt idx="17" formatCode="General">
                  <c:v>12673</c:v>
                </c:pt>
                <c:pt idx="18" formatCode="General">
                  <c:v>18440</c:v>
                </c:pt>
                <c:pt idx="19" formatCode="General">
                  <c:v>10673</c:v>
                </c:pt>
                <c:pt idx="20" formatCode="General">
                  <c:v>28252</c:v>
                </c:pt>
              </c:numCache>
            </c:numRef>
          </c:val>
        </c:ser>
        <c:dLbls>
          <c:showLegendKey val="0"/>
          <c:showVal val="0"/>
          <c:showCatName val="0"/>
          <c:showSerName val="0"/>
          <c:showPercent val="0"/>
          <c:showBubbleSize val="0"/>
        </c:dLbls>
        <c:gapWidth val="150"/>
        <c:axId val="108129664"/>
        <c:axId val="108266624"/>
      </c:barChart>
      <c:catAx>
        <c:axId val="108129664"/>
        <c:scaling>
          <c:orientation val="minMax"/>
        </c:scaling>
        <c:delete val="0"/>
        <c:axPos val="b"/>
        <c:majorTickMark val="none"/>
        <c:minorTickMark val="none"/>
        <c:tickLblPos val="nextTo"/>
        <c:crossAx val="108266624"/>
        <c:crosses val="autoZero"/>
        <c:auto val="1"/>
        <c:lblAlgn val="ctr"/>
        <c:lblOffset val="100"/>
        <c:noMultiLvlLbl val="0"/>
      </c:catAx>
      <c:valAx>
        <c:axId val="108266624"/>
        <c:scaling>
          <c:orientation val="minMax"/>
        </c:scaling>
        <c:delete val="0"/>
        <c:axPos val="l"/>
        <c:majorGridlines>
          <c:spPr>
            <a:ln>
              <a:solidFill>
                <a:srgbClr val="33CCCC"/>
              </a:solidFill>
            </a:ln>
          </c:spPr>
        </c:majorGridlines>
        <c:numFmt formatCode="#,##0_);\(#,##0\)" sourceLinked="1"/>
        <c:majorTickMark val="none"/>
        <c:minorTickMark val="none"/>
        <c:tickLblPos val="nextTo"/>
        <c:crossAx val="108129664"/>
        <c:crosses val="autoZero"/>
        <c:crossBetween val="between"/>
      </c:valAx>
      <c:spPr>
        <a:ln>
          <a:solidFill>
            <a:schemeClr val="bg1">
              <a:lumMod val="65000"/>
            </a:schemeClr>
          </a:solidFill>
        </a:ln>
      </c:spPr>
    </c:plotArea>
    <c:legend>
      <c:legendPos val="r"/>
      <c:layout>
        <c:manualLayout>
          <c:xMode val="edge"/>
          <c:yMode val="edge"/>
          <c:x val="0.58434174947275164"/>
          <c:y val="0.34555916852210883"/>
          <c:w val="0.12850459813430123"/>
          <c:h val="4.9010201035210831E-2"/>
        </c:manualLayout>
      </c:layout>
      <c:overlay val="0"/>
      <c:txPr>
        <a:bodyPr/>
        <a:lstStyle/>
        <a:p>
          <a:pPr>
            <a:defRPr sz="1050"/>
          </a:pPr>
          <a:endParaRPr lang="en-US"/>
        </a:p>
      </c:txPr>
    </c:legend>
    <c:plotVisOnly val="1"/>
    <c:dispBlanksAs val="gap"/>
    <c:showDLblsOverMax val="0"/>
  </c:chart>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55149606299213"/>
          <c:y val="0.15788203557888597"/>
          <c:w val="0.85625336832895893"/>
          <c:h val="0.6501655001458152"/>
        </c:manualLayout>
      </c:layout>
      <c:barChart>
        <c:barDir val="col"/>
        <c:grouping val="clustered"/>
        <c:varyColors val="0"/>
        <c:ser>
          <c:idx val="0"/>
          <c:order val="0"/>
          <c:tx>
            <c:strRef>
              <c:f>'18.18'!$P$35</c:f>
              <c:strCache>
                <c:ptCount val="1"/>
                <c:pt idx="0">
                  <c:v>2014 </c:v>
                </c:pt>
              </c:strCache>
            </c:strRef>
          </c:tx>
          <c:spPr>
            <a:solidFill>
              <a:srgbClr val="33CCCC"/>
            </a:solidFill>
          </c:spPr>
          <c:invertIfNegative val="0"/>
          <c:cat>
            <c:strRef>
              <c:f>'18.18'!$Q$32:$U$32</c:f>
              <c:strCache>
                <c:ptCount val="5"/>
                <c:pt idx="0">
                  <c:v>AASANDHA</c:v>
                </c:pt>
                <c:pt idx="1">
                  <c:v> SINGLE PARENT ALLOWANCE</c:v>
                </c:pt>
                <c:pt idx="2">
                  <c:v>FOSTER PARENT ALLOWANCE</c:v>
                </c:pt>
                <c:pt idx="3">
                  <c:v>EMERGENCY MEDICAL WELFARE </c:v>
                </c:pt>
                <c:pt idx="4">
                  <c:v>DISABILITY ALLOWANCE</c:v>
                </c:pt>
              </c:strCache>
            </c:strRef>
          </c:cat>
          <c:val>
            <c:numRef>
              <c:f>'18.18'!$Q$35:$U$35</c:f>
              <c:numCache>
                <c:formatCode>#,##0.0</c:formatCode>
                <c:ptCount val="5"/>
                <c:pt idx="0">
                  <c:v>1400.6098419113</c:v>
                </c:pt>
                <c:pt idx="1">
                  <c:v>62.871000000000002</c:v>
                </c:pt>
                <c:pt idx="2">
                  <c:v>2.4645000000000001</c:v>
                </c:pt>
                <c:pt idx="3">
                  <c:v>51.002563189999996</c:v>
                </c:pt>
                <c:pt idx="4">
                  <c:v>154.048</c:v>
                </c:pt>
              </c:numCache>
            </c:numRef>
          </c:val>
        </c:ser>
        <c:ser>
          <c:idx val="1"/>
          <c:order val="1"/>
          <c:tx>
            <c:strRef>
              <c:f>'18.18'!$P$36</c:f>
              <c:strCache>
                <c:ptCount val="1"/>
                <c:pt idx="0">
                  <c:v>2015 </c:v>
                </c:pt>
              </c:strCache>
            </c:strRef>
          </c:tx>
          <c:spPr>
            <a:solidFill>
              <a:srgbClr val="1C706E"/>
            </a:solidFill>
          </c:spPr>
          <c:invertIfNegative val="0"/>
          <c:cat>
            <c:strRef>
              <c:f>'18.18'!$Q$32:$U$32</c:f>
              <c:strCache>
                <c:ptCount val="5"/>
                <c:pt idx="0">
                  <c:v>AASANDHA</c:v>
                </c:pt>
                <c:pt idx="1">
                  <c:v> SINGLE PARENT ALLOWANCE</c:v>
                </c:pt>
                <c:pt idx="2">
                  <c:v>FOSTER PARENT ALLOWANCE</c:v>
                </c:pt>
                <c:pt idx="3">
                  <c:v>EMERGENCY MEDICAL WELFARE </c:v>
                </c:pt>
                <c:pt idx="4">
                  <c:v>DISABILITY ALLOWANCE</c:v>
                </c:pt>
              </c:strCache>
            </c:strRef>
          </c:cat>
          <c:val>
            <c:numRef>
              <c:f>'18.18'!$Q$36:$U$36</c:f>
              <c:numCache>
                <c:formatCode>#,##0.0</c:formatCode>
                <c:ptCount val="5"/>
                <c:pt idx="0">
                  <c:v>1063.0546801289001</c:v>
                </c:pt>
                <c:pt idx="1">
                  <c:v>70.378</c:v>
                </c:pt>
                <c:pt idx="2">
                  <c:v>1.8069999999999999</c:v>
                </c:pt>
                <c:pt idx="3">
                  <c:v>35.665347009999998</c:v>
                </c:pt>
                <c:pt idx="4">
                  <c:v>127.91800000000001</c:v>
                </c:pt>
              </c:numCache>
            </c:numRef>
          </c:val>
        </c:ser>
        <c:dLbls>
          <c:showLegendKey val="0"/>
          <c:showVal val="0"/>
          <c:showCatName val="0"/>
          <c:showSerName val="0"/>
          <c:showPercent val="0"/>
          <c:showBubbleSize val="0"/>
        </c:dLbls>
        <c:gapWidth val="150"/>
        <c:axId val="109971712"/>
        <c:axId val="110018560"/>
      </c:barChart>
      <c:catAx>
        <c:axId val="109971712"/>
        <c:scaling>
          <c:orientation val="minMax"/>
        </c:scaling>
        <c:delete val="0"/>
        <c:axPos val="b"/>
        <c:majorTickMark val="out"/>
        <c:minorTickMark val="none"/>
        <c:tickLblPos val="nextTo"/>
        <c:crossAx val="110018560"/>
        <c:crosses val="autoZero"/>
        <c:auto val="1"/>
        <c:lblAlgn val="ctr"/>
        <c:lblOffset val="100"/>
        <c:noMultiLvlLbl val="0"/>
      </c:catAx>
      <c:valAx>
        <c:axId val="110018560"/>
        <c:scaling>
          <c:orientation val="minMax"/>
        </c:scaling>
        <c:delete val="0"/>
        <c:axPos val="l"/>
        <c:majorGridlines>
          <c:spPr>
            <a:ln>
              <a:noFill/>
            </a:ln>
          </c:spPr>
        </c:majorGridlines>
        <c:numFmt formatCode="#,##0" sourceLinked="0"/>
        <c:majorTickMark val="out"/>
        <c:minorTickMark val="none"/>
        <c:tickLblPos val="nextTo"/>
        <c:crossAx val="109971712"/>
        <c:crosses val="autoZero"/>
        <c:crossBetween val="between"/>
      </c:valAx>
      <c:spPr>
        <a:ln>
          <a:solidFill>
            <a:schemeClr val="bg1">
              <a:lumMod val="65000"/>
            </a:schemeClr>
          </a:solidFill>
        </a:ln>
      </c:spPr>
    </c:plotArea>
    <c:legend>
      <c:legendPos val="r"/>
      <c:layout>
        <c:manualLayout>
          <c:xMode val="edge"/>
          <c:yMode val="edge"/>
          <c:x val="0.61990565179352586"/>
          <c:y val="0.27739391951006126"/>
          <c:w val="0.1787102012248469"/>
          <c:h val="0.11650845727617382"/>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chart>
    <c:autoTitleDeleted val="1"/>
    <c:plotArea>
      <c:layout>
        <c:manualLayout>
          <c:layoutTarget val="inner"/>
          <c:xMode val="edge"/>
          <c:yMode val="edge"/>
          <c:x val="0.34647872111875105"/>
          <c:y val="0.20083303516422615"/>
          <c:w val="0.47256255468066538"/>
          <c:h val="0.74615140212736564"/>
        </c:manualLayout>
      </c:layout>
      <c:pieChart>
        <c:varyColors val="1"/>
        <c:ser>
          <c:idx val="0"/>
          <c:order val="0"/>
          <c:spPr>
            <a:solidFill>
              <a:srgbClr val="1C706E"/>
            </a:solidFill>
          </c:spPr>
          <c:dPt>
            <c:idx val="1"/>
            <c:bubble3D val="0"/>
            <c:spPr>
              <a:solidFill>
                <a:srgbClr val="33CCCC"/>
              </a:solidFill>
            </c:spPr>
          </c:dPt>
          <c:dPt>
            <c:idx val="2"/>
            <c:bubble3D val="0"/>
            <c:spPr>
              <a:solidFill>
                <a:srgbClr val="A7EBE9"/>
              </a:solidFill>
            </c:spPr>
          </c:dPt>
          <c:dLbls>
            <c:dLbl>
              <c:idx val="0"/>
              <c:layout>
                <c:manualLayout>
                  <c:x val="-0.14042785345909176"/>
                  <c:y val="-5.441025737598631E-3"/>
                </c:manualLayout>
              </c:layout>
              <c:showLegendKey val="0"/>
              <c:showVal val="0"/>
              <c:showCatName val="1"/>
              <c:showSerName val="0"/>
              <c:showPercent val="1"/>
              <c:showBubbleSize val="0"/>
            </c:dLbl>
            <c:dLbl>
              <c:idx val="1"/>
              <c:layout>
                <c:manualLayout>
                  <c:x val="0.12902822218782289"/>
                  <c:y val="-0.11868329867397696"/>
                </c:manualLayout>
              </c:layout>
              <c:showLegendKey val="0"/>
              <c:showVal val="0"/>
              <c:showCatName val="1"/>
              <c:showSerName val="0"/>
              <c:showPercent val="1"/>
              <c:showBubbleSize val="0"/>
            </c:dLbl>
            <c:dLbl>
              <c:idx val="2"/>
              <c:layout>
                <c:manualLayout>
                  <c:x val="7.8457410456325705E-2"/>
                  <c:y val="0.19018268126215657"/>
                </c:manualLayout>
              </c:layout>
              <c:showLegendKey val="0"/>
              <c:showVal val="0"/>
              <c:showCatName val="1"/>
              <c:showSerName val="0"/>
              <c:showPercent val="1"/>
              <c:showBubbleSize val="0"/>
            </c:dLbl>
            <c:showLegendKey val="0"/>
            <c:showVal val="0"/>
            <c:showCatName val="1"/>
            <c:showSerName val="0"/>
            <c:showPercent val="1"/>
            <c:showBubbleSize val="0"/>
            <c:showLeaderLines val="0"/>
          </c:dLbls>
          <c:cat>
            <c:strRef>
              <c:f>'18.19'!$A$7:$A$9</c:f>
              <c:strCache>
                <c:ptCount val="3"/>
                <c:pt idx="0">
                  <c:v>Male' </c:v>
                </c:pt>
                <c:pt idx="1">
                  <c:v>Atolls</c:v>
                </c:pt>
                <c:pt idx="2">
                  <c:v>Overseas</c:v>
                </c:pt>
              </c:strCache>
            </c:strRef>
          </c:cat>
          <c:val>
            <c:numRef>
              <c:f>'18.19'!$B$7:$B$9</c:f>
              <c:numCache>
                <c:formatCode>_(* #,##0_);_(* \(#,##0\);_(* "-"??_);_(@_)</c:formatCode>
                <c:ptCount val="3"/>
                <c:pt idx="0">
                  <c:v>694778647.7112</c:v>
                </c:pt>
                <c:pt idx="1">
                  <c:v>483525096.47310001</c:v>
                </c:pt>
                <c:pt idx="2">
                  <c:v>222306097.64719999</c:v>
                </c:pt>
              </c:numCache>
            </c:numRef>
          </c:val>
        </c:ser>
        <c:dLbls>
          <c:showLegendKey val="0"/>
          <c:showVal val="0"/>
          <c:showCatName val="1"/>
          <c:showSerName val="0"/>
          <c:showPercent val="1"/>
          <c:showBubbleSize val="0"/>
          <c:showLeaderLines val="0"/>
        </c:dLbls>
        <c:firstSliceAng val="0"/>
      </c:pieChart>
    </c:plotArea>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29347112860893"/>
          <c:y val="0.17177092446777487"/>
          <c:w val="0.857238845144357"/>
          <c:h val="0.71224919801691455"/>
        </c:manualLayout>
      </c:layout>
      <c:barChart>
        <c:barDir val="col"/>
        <c:grouping val="clustered"/>
        <c:varyColors val="0"/>
        <c:ser>
          <c:idx val="0"/>
          <c:order val="0"/>
          <c:tx>
            <c:strRef>
              <c:f>'18.19'!$U$19</c:f>
              <c:strCache>
                <c:ptCount val="1"/>
                <c:pt idx="0">
                  <c:v>2014</c:v>
                </c:pt>
              </c:strCache>
            </c:strRef>
          </c:tx>
          <c:spPr>
            <a:solidFill>
              <a:srgbClr val="28B2AF"/>
            </a:solidFill>
          </c:spPr>
          <c:invertIfNegative val="0"/>
          <c:cat>
            <c:strRef>
              <c:f>'18.19'!$T$20:$T$23</c:f>
              <c:strCache>
                <c:ptCount val="4"/>
                <c:pt idx="0">
                  <c:v>Republic</c:v>
                </c:pt>
                <c:pt idx="1">
                  <c:v>Male' </c:v>
                </c:pt>
                <c:pt idx="2">
                  <c:v>Atolls</c:v>
                </c:pt>
                <c:pt idx="3">
                  <c:v>Overseas</c:v>
                </c:pt>
              </c:strCache>
            </c:strRef>
          </c:cat>
          <c:val>
            <c:numRef>
              <c:f>'18.19'!$U$20:$U$23</c:f>
              <c:numCache>
                <c:formatCode>General</c:formatCode>
                <c:ptCount val="4"/>
                <c:pt idx="0">
                  <c:v>1063054680.1288999</c:v>
                </c:pt>
                <c:pt idx="1">
                  <c:v>529844339.34140003</c:v>
                </c:pt>
                <c:pt idx="2">
                  <c:v>364203693.46629995</c:v>
                </c:pt>
                <c:pt idx="3">
                  <c:v>169006647.32120001</c:v>
                </c:pt>
              </c:numCache>
            </c:numRef>
          </c:val>
        </c:ser>
        <c:ser>
          <c:idx val="1"/>
          <c:order val="1"/>
          <c:tx>
            <c:strRef>
              <c:f>'18.19'!$V$19</c:f>
              <c:strCache>
                <c:ptCount val="1"/>
                <c:pt idx="0">
                  <c:v>2015</c:v>
                </c:pt>
              </c:strCache>
            </c:strRef>
          </c:tx>
          <c:spPr>
            <a:solidFill>
              <a:srgbClr val="1C706E"/>
            </a:solidFill>
          </c:spPr>
          <c:invertIfNegative val="0"/>
          <c:cat>
            <c:strRef>
              <c:f>'18.19'!$T$20:$T$23</c:f>
              <c:strCache>
                <c:ptCount val="4"/>
                <c:pt idx="0">
                  <c:v>Republic</c:v>
                </c:pt>
                <c:pt idx="1">
                  <c:v>Male' </c:v>
                </c:pt>
                <c:pt idx="2">
                  <c:v>Atolls</c:v>
                </c:pt>
                <c:pt idx="3">
                  <c:v>Overseas</c:v>
                </c:pt>
              </c:strCache>
            </c:strRef>
          </c:cat>
          <c:val>
            <c:numRef>
              <c:f>'18.19'!$V$20:$V$23</c:f>
              <c:numCache>
                <c:formatCode>General</c:formatCode>
                <c:ptCount val="4"/>
                <c:pt idx="0">
                  <c:v>1400609841.8314998</c:v>
                </c:pt>
                <c:pt idx="1">
                  <c:v>694778647.7112</c:v>
                </c:pt>
                <c:pt idx="2">
                  <c:v>483525096.47310001</c:v>
                </c:pt>
                <c:pt idx="3">
                  <c:v>222306097.64719999</c:v>
                </c:pt>
              </c:numCache>
            </c:numRef>
          </c:val>
        </c:ser>
        <c:dLbls>
          <c:showLegendKey val="0"/>
          <c:showVal val="0"/>
          <c:showCatName val="0"/>
          <c:showSerName val="0"/>
          <c:showPercent val="0"/>
          <c:showBubbleSize val="0"/>
        </c:dLbls>
        <c:gapWidth val="150"/>
        <c:axId val="110444928"/>
        <c:axId val="110446464"/>
      </c:barChart>
      <c:catAx>
        <c:axId val="110444928"/>
        <c:scaling>
          <c:orientation val="minMax"/>
        </c:scaling>
        <c:delete val="0"/>
        <c:axPos val="b"/>
        <c:majorTickMark val="out"/>
        <c:minorTickMark val="none"/>
        <c:tickLblPos val="nextTo"/>
        <c:crossAx val="110446464"/>
        <c:crosses val="autoZero"/>
        <c:auto val="1"/>
        <c:lblAlgn val="ctr"/>
        <c:lblOffset val="100"/>
        <c:noMultiLvlLbl val="0"/>
      </c:catAx>
      <c:valAx>
        <c:axId val="110446464"/>
        <c:scaling>
          <c:orientation val="minMax"/>
        </c:scaling>
        <c:delete val="0"/>
        <c:axPos val="l"/>
        <c:majorGridlines>
          <c:spPr>
            <a:ln>
              <a:noFill/>
            </a:ln>
          </c:spPr>
        </c:majorGridlines>
        <c:numFmt formatCode="General" sourceLinked="1"/>
        <c:majorTickMark val="out"/>
        <c:minorTickMark val="none"/>
        <c:tickLblPos val="nextTo"/>
        <c:spPr>
          <a:ln>
            <a:solidFill>
              <a:schemeClr val="bg1">
                <a:lumMod val="65000"/>
              </a:schemeClr>
            </a:solidFill>
          </a:ln>
        </c:spPr>
        <c:crossAx val="110444928"/>
        <c:crosses val="autoZero"/>
        <c:crossBetween val="between"/>
        <c:dispUnits>
          <c:builtInUnit val="millions"/>
          <c:dispUnitsLbl>
            <c:layout>
              <c:manualLayout>
                <c:xMode val="edge"/>
                <c:yMode val="edge"/>
                <c:x val="2.2916666666666665E-2"/>
                <c:y val="0.26899314668999708"/>
              </c:manualLayout>
            </c:layout>
            <c:tx>
              <c:rich>
                <a:bodyPr/>
                <a:lstStyle/>
                <a:p>
                  <a:pPr>
                    <a:defRPr b="0"/>
                  </a:pPr>
                  <a:r>
                    <a:rPr lang="en-US" b="0"/>
                    <a:t>Ecpenditure  (in Million </a:t>
                  </a:r>
                  <a:r>
                    <a:rPr lang="en-US" b="0" baseline="0"/>
                    <a:t> MVR)</a:t>
                  </a:r>
                  <a:endParaRPr lang="en-US" b="0"/>
                </a:p>
              </c:rich>
            </c:tx>
          </c:dispUnitsLbl>
        </c:dispUnits>
      </c:valAx>
      <c:spPr>
        <a:ln>
          <a:solidFill>
            <a:schemeClr val="bg1">
              <a:lumMod val="65000"/>
            </a:schemeClr>
          </a:solidFill>
        </a:ln>
      </c:spPr>
    </c:plotArea>
    <c:legend>
      <c:legendPos val="r"/>
      <c:layout>
        <c:manualLayout>
          <c:xMode val="edge"/>
          <c:yMode val="edge"/>
          <c:x val="0.57861564960629919"/>
          <c:y val="0.28202354913969085"/>
          <c:w val="0.19638435039370078"/>
          <c:h val="9.7989938757655298E-2"/>
        </c:manualLayout>
      </c:layout>
      <c:overlay val="0"/>
    </c:legend>
    <c:plotVisOnly val="1"/>
    <c:dispBlanksAs val="gap"/>
    <c:showDLblsOverMax val="0"/>
  </c:chart>
  <c:printSettings>
    <c:headerFooter/>
    <c:pageMargins b="0.75" l="0.7" r="0.7" t="0.75" header="0.3" footer="0.3"/>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chart>
    <c:title>
      <c:tx>
        <c:rich>
          <a:bodyPr/>
          <a:lstStyle/>
          <a:p>
            <a:pPr>
              <a:defRPr sz="1050"/>
            </a:pPr>
            <a:r>
              <a:rPr lang="en-US" sz="1050"/>
              <a:t>Figure 18.25: Percentage share of expenditure on Aasandha by Institution, 2015</a:t>
            </a:r>
          </a:p>
        </c:rich>
      </c:tx>
      <c:overlay val="0"/>
    </c:title>
    <c:autoTitleDeleted val="0"/>
    <c:plotArea>
      <c:layout>
        <c:manualLayout>
          <c:layoutTarget val="inner"/>
          <c:xMode val="edge"/>
          <c:yMode val="edge"/>
          <c:x val="0.27552427821522402"/>
          <c:y val="0.19962379702537184"/>
          <c:w val="0.4489514435695538"/>
          <c:h val="0.74825240594925557"/>
        </c:manualLayout>
      </c:layout>
      <c:doughnutChart>
        <c:varyColors val="1"/>
        <c:ser>
          <c:idx val="0"/>
          <c:order val="0"/>
          <c:explosion val="6"/>
          <c:dPt>
            <c:idx val="0"/>
            <c:bubble3D val="0"/>
            <c:spPr>
              <a:solidFill>
                <a:srgbClr val="33CCCC"/>
              </a:solidFill>
            </c:spPr>
          </c:dPt>
          <c:dPt>
            <c:idx val="1"/>
            <c:bubble3D val="0"/>
            <c:spPr>
              <a:solidFill>
                <a:srgbClr val="28B2AF"/>
              </a:solidFill>
            </c:spPr>
          </c:dPt>
          <c:dPt>
            <c:idx val="2"/>
            <c:bubble3D val="0"/>
            <c:spPr>
              <a:solidFill>
                <a:srgbClr val="8DE5E3"/>
              </a:solidFill>
            </c:spPr>
          </c:dPt>
          <c:dPt>
            <c:idx val="4"/>
            <c:bubble3D val="0"/>
            <c:spPr>
              <a:solidFill>
                <a:srgbClr val="1C706E"/>
              </a:solidFill>
            </c:spPr>
          </c:dPt>
          <c:dLbls>
            <c:dLbl>
              <c:idx val="0"/>
              <c:layout>
                <c:manualLayout>
                  <c:x val="-6.431013058586268E-3"/>
                  <c:y val="-1.9801913384824798E-2"/>
                </c:manualLayout>
              </c:layout>
              <c:showLegendKey val="0"/>
              <c:showVal val="0"/>
              <c:showCatName val="1"/>
              <c:showSerName val="0"/>
              <c:showPercent val="1"/>
              <c:showBubbleSize val="0"/>
            </c:dLbl>
            <c:dLbl>
              <c:idx val="1"/>
              <c:layout>
                <c:manualLayout>
                  <c:x val="-1.4961257450445476E-2"/>
                  <c:y val="-2.9482913085336244E-3"/>
                </c:manualLayout>
              </c:layout>
              <c:showLegendKey val="0"/>
              <c:showVal val="0"/>
              <c:showCatName val="1"/>
              <c:showSerName val="0"/>
              <c:showPercent val="1"/>
              <c:showBubbleSize val="0"/>
            </c:dLbl>
            <c:dLbl>
              <c:idx val="2"/>
              <c:layout>
                <c:manualLayout>
                  <c:x val="8.1031032502677042E-2"/>
                  <c:y val="-7.8831502635557077E-2"/>
                </c:manualLayout>
              </c:layout>
              <c:showLegendKey val="0"/>
              <c:showVal val="0"/>
              <c:showCatName val="1"/>
              <c:showSerName val="0"/>
              <c:showPercent val="1"/>
              <c:showBubbleSize val="0"/>
            </c:dLbl>
            <c:dLbl>
              <c:idx val="3"/>
              <c:layout>
                <c:manualLayout>
                  <c:x val="0.13125390004587878"/>
                  <c:y val="2.350786708797196E-3"/>
                </c:manualLayout>
              </c:layout>
              <c:showLegendKey val="0"/>
              <c:showVal val="0"/>
              <c:showCatName val="1"/>
              <c:showSerName val="0"/>
              <c:showPercent val="1"/>
              <c:showBubbleSize val="0"/>
            </c:dLbl>
            <c:dLbl>
              <c:idx val="4"/>
              <c:layout>
                <c:manualLayout>
                  <c:x val="0.1219925915486911"/>
                  <c:y val="4.9404348991544E-2"/>
                </c:manualLayout>
              </c:layout>
              <c:showLegendKey val="0"/>
              <c:showVal val="0"/>
              <c:showCatName val="1"/>
              <c:showSerName val="0"/>
              <c:showPercent val="1"/>
              <c:showBubbleSize val="0"/>
            </c:dLbl>
            <c:dLbl>
              <c:idx val="5"/>
              <c:layout>
                <c:manualLayout>
                  <c:x val="0.16225248758947255"/>
                  <c:y val="0.14427111054553235"/>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'18.20'!$U$43:$Z$43</c:f>
              <c:strCache>
                <c:ptCount val="6"/>
                <c:pt idx="0">
                  <c:v>Hospitals</c:v>
                </c:pt>
                <c:pt idx="1">
                  <c:v>Pharmacies</c:v>
                </c:pt>
                <c:pt idx="2">
                  <c:v>Opticals</c:v>
                </c:pt>
                <c:pt idx="3">
                  <c:v>Clinics</c:v>
                </c:pt>
                <c:pt idx="4">
                  <c:v>Airfare Tickets</c:v>
                </c:pt>
                <c:pt idx="5">
                  <c:v>Emergency Evacuation - Sea</c:v>
                </c:pt>
              </c:strCache>
            </c:strRef>
          </c:cat>
          <c:val>
            <c:numRef>
              <c:f>'18.20'!$U$44:$Z$44</c:f>
              <c:numCache>
                <c:formatCode>General</c:formatCode>
                <c:ptCount val="6"/>
                <c:pt idx="0">
                  <c:v>913984781.45029998</c:v>
                </c:pt>
                <c:pt idx="1">
                  <c:v>355615300.89999998</c:v>
                </c:pt>
                <c:pt idx="2">
                  <c:v>22435986.039999999</c:v>
                </c:pt>
                <c:pt idx="3">
                  <c:v>29156242.75</c:v>
                </c:pt>
                <c:pt idx="4">
                  <c:v>77329802.691200003</c:v>
                </c:pt>
                <c:pt idx="5">
                  <c:v>2087728</c:v>
                </c:pt>
              </c:numCache>
            </c:numRef>
          </c:val>
        </c:ser>
        <c:dLbls>
          <c:showLegendKey val="0"/>
          <c:showVal val="0"/>
          <c:showCatName val="1"/>
          <c:showSerName val="0"/>
          <c:showPercent val="1"/>
          <c:showBubbleSize val="0"/>
          <c:showLeaderLines val="1"/>
        </c:dLbls>
        <c:firstSliceAng val="115"/>
        <c:holeSize val="50"/>
      </c:doughnutChart>
    </c:plotArea>
    <c:plotVisOnly val="1"/>
    <c:dispBlanksAs val="zero"/>
    <c:showDLblsOverMax val="0"/>
  </c:chart>
  <c:printSettings>
    <c:headerFooter/>
    <c:pageMargins b="0.75000000000000155" l="0.70000000000000062" r="0.70000000000000062" t="0.75000000000000155" header="0.30000000000000032" footer="0.30000000000000032"/>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050" b="1" i="0" u="none" strike="noStrike" kern="1200" baseline="0">
                <a:solidFill>
                  <a:sysClr val="windowText" lastClr="000000"/>
                </a:solidFill>
                <a:latin typeface="+mn-lt"/>
                <a:ea typeface="+mn-ea"/>
                <a:cs typeface="+mn-cs"/>
              </a:defRPr>
            </a:pPr>
            <a:r>
              <a:rPr lang="en-US" sz="1050"/>
              <a:t>Figure 18.26: </a:t>
            </a:r>
            <a:r>
              <a:rPr lang="en-US" sz="1050" b="1" i="0" baseline="0">
                <a:latin typeface="+mn-lt"/>
              </a:rPr>
              <a:t>GOVERNMENT EXPENDITURE ON HEALTH INSURANCE SCHEMES BY ATOLL, 2015</a:t>
            </a:r>
            <a:endParaRPr lang="en-US" sz="1050"/>
          </a:p>
        </c:rich>
      </c:tx>
      <c:layout>
        <c:manualLayout>
          <c:xMode val="edge"/>
          <c:yMode val="edge"/>
          <c:x val="0.25156716815753982"/>
          <c:y val="5.0925686948991668E-2"/>
        </c:manualLayout>
      </c:layout>
      <c:overlay val="0"/>
    </c:title>
    <c:autoTitleDeleted val="0"/>
    <c:plotArea>
      <c:layout>
        <c:manualLayout>
          <c:layoutTarget val="inner"/>
          <c:xMode val="edge"/>
          <c:yMode val="edge"/>
          <c:x val="8.1167370651350684E-2"/>
          <c:y val="0.14134846192598371"/>
          <c:w val="0.90736635122102105"/>
          <c:h val="0.76601719787713263"/>
        </c:manualLayout>
      </c:layout>
      <c:barChart>
        <c:barDir val="col"/>
        <c:grouping val="clustered"/>
        <c:varyColors val="0"/>
        <c:ser>
          <c:idx val="0"/>
          <c:order val="0"/>
          <c:tx>
            <c:v>2014</c:v>
          </c:tx>
          <c:spPr>
            <a:solidFill>
              <a:srgbClr val="28B2AF"/>
            </a:solidFill>
          </c:spPr>
          <c:invertIfNegative val="0"/>
          <c:cat>
            <c:strRef>
              <c:f>'18.22'!$I$38:$I$57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'18.22'!$J$38:$J$57</c:f>
              <c:numCache>
                <c:formatCode>General_)</c:formatCode>
                <c:ptCount val="20"/>
                <c:pt idx="0">
                  <c:v>21476572.449999999</c:v>
                </c:pt>
                <c:pt idx="1">
                  <c:v>47757008.690000005</c:v>
                </c:pt>
                <c:pt idx="2">
                  <c:v>18573633.770000003</c:v>
                </c:pt>
                <c:pt idx="3">
                  <c:v>11788026.339999998</c:v>
                </c:pt>
                <c:pt idx="4">
                  <c:v>29304498.352999996</c:v>
                </c:pt>
                <c:pt idx="5">
                  <c:v>15482386.66</c:v>
                </c:pt>
                <c:pt idx="6">
                  <c:v>23688972.940000001</c:v>
                </c:pt>
                <c:pt idx="7">
                  <c:v>7724957.6299999999</c:v>
                </c:pt>
                <c:pt idx="8">
                  <c:v>3540685.44</c:v>
                </c:pt>
                <c:pt idx="9">
                  <c:v>13156080.83</c:v>
                </c:pt>
                <c:pt idx="10">
                  <c:v>563786.18999999994</c:v>
                </c:pt>
                <c:pt idx="11">
                  <c:v>9125266.5999999996</c:v>
                </c:pt>
                <c:pt idx="12">
                  <c:v>6589192.25</c:v>
                </c:pt>
                <c:pt idx="13">
                  <c:v>9874084.1600000001</c:v>
                </c:pt>
                <c:pt idx="14">
                  <c:v>15424283.250000004</c:v>
                </c:pt>
                <c:pt idx="15">
                  <c:v>19121149.300000001</c:v>
                </c:pt>
                <c:pt idx="16">
                  <c:v>14483951.450000001</c:v>
                </c:pt>
                <c:pt idx="17">
                  <c:v>27642128.069999993</c:v>
                </c:pt>
                <c:pt idx="18">
                  <c:v>12905259.859999999</c:v>
                </c:pt>
                <c:pt idx="19">
                  <c:v>55981769.233300008</c:v>
                </c:pt>
              </c:numCache>
            </c:numRef>
          </c:val>
        </c:ser>
        <c:ser>
          <c:idx val="1"/>
          <c:order val="1"/>
          <c:tx>
            <c:v>2015</c:v>
          </c:tx>
          <c:spPr>
            <a:solidFill>
              <a:srgbClr val="1C706E"/>
            </a:solidFill>
          </c:spPr>
          <c:invertIfNegative val="0"/>
          <c:cat>
            <c:strRef>
              <c:f>'18.22'!$I$38:$I$57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'18.22'!$K$38:$K$57</c:f>
              <c:numCache>
                <c:formatCode>_(* #,##0_);_(* \(#,##0\);_(* "-"??_);_(@_)</c:formatCode>
                <c:ptCount val="20"/>
                <c:pt idx="0">
                  <c:v>28247167.650000002</c:v>
                </c:pt>
                <c:pt idx="1">
                  <c:v>55532820.670000002</c:v>
                </c:pt>
                <c:pt idx="2">
                  <c:v>22929493.010000002</c:v>
                </c:pt>
                <c:pt idx="3">
                  <c:v>16282824.6</c:v>
                </c:pt>
                <c:pt idx="4">
                  <c:v>40394300.450999998</c:v>
                </c:pt>
                <c:pt idx="5">
                  <c:v>21675172.101000004</c:v>
                </c:pt>
                <c:pt idx="6">
                  <c:v>27147750.810000002</c:v>
                </c:pt>
                <c:pt idx="7">
                  <c:v>12281541.290000001</c:v>
                </c:pt>
                <c:pt idx="8">
                  <c:v>7471919.1500000004</c:v>
                </c:pt>
                <c:pt idx="9">
                  <c:v>17498120.029999997</c:v>
                </c:pt>
                <c:pt idx="10">
                  <c:v>1773766.73</c:v>
                </c:pt>
                <c:pt idx="11">
                  <c:v>12610137.149999999</c:v>
                </c:pt>
                <c:pt idx="12">
                  <c:v>9723321.2799999993</c:v>
                </c:pt>
                <c:pt idx="13">
                  <c:v>12434694.649999999</c:v>
                </c:pt>
                <c:pt idx="14">
                  <c:v>20505081.599999994</c:v>
                </c:pt>
                <c:pt idx="15">
                  <c:v>27347316.960000001</c:v>
                </c:pt>
                <c:pt idx="16">
                  <c:v>21910210.289999999</c:v>
                </c:pt>
                <c:pt idx="17">
                  <c:v>34260241.729999997</c:v>
                </c:pt>
                <c:pt idx="18">
                  <c:v>19379941.390000001</c:v>
                </c:pt>
                <c:pt idx="19">
                  <c:v>74119274.931099996</c:v>
                </c:pt>
              </c:numCache>
            </c:numRef>
          </c:val>
        </c:ser>
        <c:dLbls>
          <c:showLegendKey val="0"/>
          <c:showVal val="0"/>
          <c:showCatName val="0"/>
          <c:showSerName val="0"/>
          <c:showPercent val="0"/>
          <c:showBubbleSize val="0"/>
        </c:dLbls>
        <c:gapWidth val="30"/>
        <c:axId val="107793408"/>
        <c:axId val="107795200"/>
      </c:barChart>
      <c:catAx>
        <c:axId val="107793408"/>
        <c:scaling>
          <c:orientation val="minMax"/>
        </c:scaling>
        <c:delete val="0"/>
        <c:axPos val="b"/>
        <c:majorTickMark val="none"/>
        <c:minorTickMark val="none"/>
        <c:tickLblPos val="nextTo"/>
        <c:txPr>
          <a:bodyPr rot="0" vert="horz"/>
          <a:lstStyle/>
          <a:p>
            <a:pPr>
              <a:defRPr sz="1000"/>
            </a:pPr>
            <a:endParaRPr lang="en-US"/>
          </a:p>
        </c:txPr>
        <c:crossAx val="107795200"/>
        <c:crosses val="autoZero"/>
        <c:auto val="1"/>
        <c:lblAlgn val="ctr"/>
        <c:lblOffset val="100"/>
        <c:tickLblSkip val="1"/>
        <c:noMultiLvlLbl val="0"/>
      </c:catAx>
      <c:valAx>
        <c:axId val="107795200"/>
        <c:scaling>
          <c:orientation val="minMax"/>
        </c:scaling>
        <c:delete val="0"/>
        <c:axPos val="l"/>
        <c:majorGridlines>
          <c:spPr>
            <a:ln>
              <a:solidFill>
                <a:schemeClr val="bg1"/>
              </a:solidFill>
            </a:ln>
          </c:spPr>
        </c:majorGridlines>
        <c:numFmt formatCode="#,##0" sourceLinked="0"/>
        <c:majorTickMark val="none"/>
        <c:minorTickMark val="none"/>
        <c:tickLblPos val="nextTo"/>
        <c:txPr>
          <a:bodyPr/>
          <a:lstStyle/>
          <a:p>
            <a:pPr>
              <a:defRPr sz="800"/>
            </a:pPr>
            <a:endParaRPr lang="en-US"/>
          </a:p>
        </c:txPr>
        <c:crossAx val="107793408"/>
        <c:crosses val="autoZero"/>
        <c:crossBetween val="between"/>
      </c:valAx>
      <c:spPr>
        <a:ln>
          <a:solidFill>
            <a:sysClr val="window" lastClr="FFFFFF">
              <a:lumMod val="65000"/>
            </a:sysClr>
          </a:solidFill>
        </a:ln>
      </c:spPr>
    </c:plotArea>
    <c:plotVisOnly val="1"/>
    <c:dispBlanksAs val="gap"/>
    <c:showDLblsOverMax val="0"/>
  </c:chart>
  <c:printSettings>
    <c:headerFooter/>
    <c:pageMargins b="0.750000000000003" l="0.70000000000000062" r="0.70000000000000062" t="0.750000000000003" header="0.30000000000000032" footer="0.30000000000000032"/>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sz="1100" b="1" i="0" u="none" strike="noStrike" baseline="0">
                <a:solidFill>
                  <a:schemeClr val="tx1"/>
                </a:solidFill>
                <a:latin typeface="Calibri"/>
                <a:ea typeface="Calibri"/>
                <a:cs typeface="Calibri"/>
              </a:defRPr>
            </a:pPr>
            <a:r>
              <a:rPr lang="en-US" b="1">
                <a:solidFill>
                  <a:schemeClr val="tx1"/>
                </a:solidFill>
              </a:rPr>
              <a:t>Figure 1</a:t>
            </a:r>
            <a:r>
              <a:rPr lang="dv-MV" b="1">
                <a:solidFill>
                  <a:schemeClr val="tx1"/>
                </a:solidFill>
              </a:rPr>
              <a:t>8</a:t>
            </a:r>
            <a:r>
              <a:rPr lang="en-US" b="1">
                <a:solidFill>
                  <a:schemeClr val="tx1"/>
                </a:solidFill>
              </a:rPr>
              <a:t>.</a:t>
            </a:r>
            <a:r>
              <a:rPr lang="dv-MV" b="1">
                <a:solidFill>
                  <a:schemeClr val="tx1"/>
                </a:solidFill>
              </a:rPr>
              <a:t>2</a:t>
            </a:r>
            <a:r>
              <a:rPr lang="en-US" b="1">
                <a:solidFill>
                  <a:schemeClr val="tx1"/>
                </a:solidFill>
              </a:rPr>
              <a:t>7:</a:t>
            </a:r>
            <a:r>
              <a:rPr lang="en-US" sz="1100" b="1" i="0" u="none" strike="noStrike" baseline="0"/>
              <a:t>  Expenditure on electricity subsidy Male',  2014  - 2015</a:t>
            </a:r>
            <a:endParaRPr lang="en-US" b="1">
              <a:solidFill>
                <a:schemeClr val="tx1"/>
              </a:solidFill>
            </a:endParaRPr>
          </a:p>
        </c:rich>
      </c:tx>
      <c:layout>
        <c:manualLayout>
          <c:xMode val="edge"/>
          <c:yMode val="edge"/>
          <c:x val="0.2639469773195115"/>
          <c:y val="3.3798830007168594E-2"/>
        </c:manualLayout>
      </c:layout>
      <c:overlay val="0"/>
    </c:title>
    <c:autoTitleDeleted val="0"/>
    <c:plotArea>
      <c:layout>
        <c:manualLayout>
          <c:layoutTarget val="inner"/>
          <c:xMode val="edge"/>
          <c:yMode val="edge"/>
          <c:x val="0.12368706998044997"/>
          <c:y val="0.14955938389474716"/>
          <c:w val="0.86187356210103372"/>
          <c:h val="0.70571351308359953"/>
        </c:manualLayout>
      </c:layout>
      <c:barChart>
        <c:barDir val="col"/>
        <c:grouping val="clustered"/>
        <c:varyColors val="0"/>
        <c:ser>
          <c:idx val="1"/>
          <c:order val="0"/>
          <c:tx>
            <c:strRef>
              <c:f>'11.24'!$N$5</c:f>
              <c:strCache>
                <c:ptCount val="1"/>
                <c:pt idx="0">
                  <c:v>2014</c:v>
                </c:pt>
              </c:strCache>
            </c:strRef>
          </c:tx>
          <c:spPr>
            <a:solidFill>
              <a:srgbClr val="28B2AF"/>
            </a:solidFill>
          </c:spPr>
          <c:invertIfNegative val="0"/>
          <c:cat>
            <c:strRef>
              <c:f>'11.24'!$A$7:$A$18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'11.24'!$N$7:$N$18</c:f>
              <c:numCache>
                <c:formatCode>#,##0_);\(#,##0\)</c:formatCode>
                <c:ptCount val="12"/>
                <c:pt idx="0">
                  <c:v>23170714.699999999</c:v>
                </c:pt>
                <c:pt idx="1">
                  <c:v>24382093.82</c:v>
                </c:pt>
                <c:pt idx="2">
                  <c:v>65018059.100000001</c:v>
                </c:pt>
                <c:pt idx="3">
                  <c:v>26571752.030000001</c:v>
                </c:pt>
                <c:pt idx="4">
                  <c:v>27344862.630000003</c:v>
                </c:pt>
                <c:pt idx="5">
                  <c:v>27437953.34</c:v>
                </c:pt>
                <c:pt idx="6">
                  <c:v>27536963.569999997</c:v>
                </c:pt>
                <c:pt idx="7">
                  <c:v>27542726.530000001</c:v>
                </c:pt>
                <c:pt idx="8">
                  <c:v>26488280.200000003</c:v>
                </c:pt>
                <c:pt idx="9">
                  <c:v>26944673.18</c:v>
                </c:pt>
                <c:pt idx="10">
                  <c:v>24549554.030000001</c:v>
                </c:pt>
                <c:pt idx="11">
                  <c:v>22233065.260000002</c:v>
                </c:pt>
              </c:numCache>
            </c:numRef>
          </c:val>
        </c:ser>
        <c:ser>
          <c:idx val="2"/>
          <c:order val="1"/>
          <c:tx>
            <c:strRef>
              <c:f>'11.24'!$O$5</c:f>
              <c:strCache>
                <c:ptCount val="1"/>
                <c:pt idx="0">
                  <c:v>2015</c:v>
                </c:pt>
              </c:strCache>
            </c:strRef>
          </c:tx>
          <c:spPr>
            <a:solidFill>
              <a:srgbClr val="1C706E"/>
            </a:solidFill>
          </c:spPr>
          <c:invertIfNegative val="0"/>
          <c:cat>
            <c:strRef>
              <c:f>'11.24'!$A$7:$A$18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'11.24'!$O$7:$O$18</c:f>
              <c:numCache>
                <c:formatCode>#,##0_);\(#,##0\)</c:formatCode>
                <c:ptCount val="12"/>
                <c:pt idx="0">
                  <c:v>18871576.670000002</c:v>
                </c:pt>
                <c:pt idx="1">
                  <c:v>11560674.26</c:v>
                </c:pt>
                <c:pt idx="2">
                  <c:v>11961755.039999999</c:v>
                </c:pt>
                <c:pt idx="3">
                  <c:v>14237831.629999999</c:v>
                </c:pt>
                <c:pt idx="4">
                  <c:v>15232383.639999999</c:v>
                </c:pt>
                <c:pt idx="5">
                  <c:v>16698376.539999999</c:v>
                </c:pt>
                <c:pt idx="6">
                  <c:v>17014342.27</c:v>
                </c:pt>
                <c:pt idx="7">
                  <c:v>14637041.91</c:v>
                </c:pt>
                <c:pt idx="8">
                  <c:v>14637041.91</c:v>
                </c:pt>
                <c:pt idx="9">
                  <c:v>15266487.300000001</c:v>
                </c:pt>
                <c:pt idx="10">
                  <c:v>15648041.789999999</c:v>
                </c:pt>
                <c:pt idx="11">
                  <c:v>14849143.050000001</c:v>
                </c:pt>
              </c:numCache>
            </c:numRef>
          </c:val>
        </c:ser>
        <c:dLbls>
          <c:showLegendKey val="0"/>
          <c:showVal val="0"/>
          <c:showCatName val="0"/>
          <c:showSerName val="0"/>
          <c:showPercent val="0"/>
          <c:showBubbleSize val="0"/>
        </c:dLbls>
        <c:gapWidth val="150"/>
        <c:axId val="110139648"/>
        <c:axId val="110153728"/>
      </c:barChart>
      <c:catAx>
        <c:axId val="110139648"/>
        <c:scaling>
          <c:orientation val="minMax"/>
        </c:scaling>
        <c:delete val="0"/>
        <c:axPos val="b"/>
        <c:numFmt formatCode="#\ ?/?"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0153728"/>
        <c:crosses val="autoZero"/>
        <c:auto val="1"/>
        <c:lblAlgn val="ctr"/>
        <c:lblOffset val="100"/>
        <c:noMultiLvlLbl val="0"/>
      </c:catAx>
      <c:valAx>
        <c:axId val="110153728"/>
        <c:scaling>
          <c:orientation val="minMax"/>
        </c:scaling>
        <c:delete val="0"/>
        <c:axPos val="l"/>
        <c:majorGridlines>
          <c:spPr>
            <a:ln>
              <a:solidFill>
                <a:srgbClr val="33CCCC"/>
              </a:solidFill>
            </a:ln>
          </c:spPr>
        </c:majorGridlines>
        <c:numFmt formatCode="_-* #,##0\ _ރ_._-;_-* #,##0\ _ރ_.\-;_-* &quot;-&quot;\ _ރ_._-;_-@_-"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0139648"/>
        <c:crosses val="autoZero"/>
        <c:crossBetween val="between"/>
      </c:valAx>
      <c:spPr>
        <a:solidFill>
          <a:sysClr val="window" lastClr="FFFFFF"/>
        </a:solidFill>
        <a:ln>
          <a:solidFill>
            <a:schemeClr val="bg1">
              <a:lumMod val="65000"/>
            </a:schemeClr>
          </a:solidFill>
        </a:ln>
      </c:spPr>
    </c:plotArea>
    <c:legend>
      <c:legendPos val="r"/>
      <c:layout>
        <c:manualLayout>
          <c:xMode val="edge"/>
          <c:yMode val="edge"/>
          <c:x val="0.79369574986614277"/>
          <c:y val="0.25386469548449303"/>
          <c:w val="0.1236575478767182"/>
          <c:h val="7.344819775330258E-2"/>
        </c:manualLayout>
      </c:layout>
      <c:overlay val="0"/>
      <c:txPr>
        <a:bodyPr/>
        <a:lstStyle/>
        <a:p>
          <a:pPr>
            <a:defRPr sz="1100"/>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11" l="0.70000000000000062" r="0.70000000000000062" t="0.75000000000000711" header="0.30000000000000032" footer="0.30000000000000032"/>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US" sz="1000"/>
              <a:t>Figure 18.24:  Number of households on electricity subsid</a:t>
            </a:r>
            <a:r>
              <a:rPr lang="en-US" sz="1000" baseline="0"/>
              <a:t>y for </a:t>
            </a:r>
            <a:r>
              <a:rPr lang="en-US" sz="1000"/>
              <a:t> Male' by month,  2010 - 2012</a:t>
            </a:r>
          </a:p>
        </c:rich>
      </c:tx>
      <c:layout>
        <c:manualLayout>
          <c:xMode val="edge"/>
          <c:yMode val="edge"/>
          <c:x val="0.15024862306555772"/>
          <c:y val="3.8216476671759342E-2"/>
        </c:manualLayout>
      </c:layout>
      <c:overlay val="0"/>
    </c:title>
    <c:autoTitleDeleted val="0"/>
    <c:plotArea>
      <c:layout>
        <c:manualLayout>
          <c:layoutTarget val="inner"/>
          <c:xMode val="edge"/>
          <c:yMode val="edge"/>
          <c:x val="0.12023738899075971"/>
          <c:y val="0.13621044184763631"/>
          <c:w val="0.85445609966562397"/>
          <c:h val="0.58323892008843392"/>
        </c:manualLayout>
      </c:layout>
      <c:lineChart>
        <c:grouping val="standard"/>
        <c:varyColors val="0"/>
        <c:ser>
          <c:idx val="1"/>
          <c:order val="0"/>
          <c:tx>
            <c:strRef>
              <c:f>'[1]18.9'!$D$5</c:f>
              <c:strCache>
                <c:ptCount val="1"/>
                <c:pt idx="0">
                  <c:v>2011</c:v>
                </c:pt>
              </c:strCache>
            </c:strRef>
          </c:tx>
          <c:cat>
            <c:strRef>
              <c:f>'[1]18.9'!$A$7:$A$18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'[1]18.9'!$D$7:$D$18</c:f>
              <c:numCache>
                <c:formatCode>General</c:formatCode>
                <c:ptCount val="12"/>
                <c:pt idx="0">
                  <c:v>13828</c:v>
                </c:pt>
                <c:pt idx="1">
                  <c:v>13973</c:v>
                </c:pt>
                <c:pt idx="2">
                  <c:v>14118</c:v>
                </c:pt>
                <c:pt idx="3">
                  <c:v>14339</c:v>
                </c:pt>
                <c:pt idx="4">
                  <c:v>14703</c:v>
                </c:pt>
                <c:pt idx="5">
                  <c:v>15283</c:v>
                </c:pt>
                <c:pt idx="6">
                  <c:v>15897</c:v>
                </c:pt>
                <c:pt idx="7">
                  <c:v>16459</c:v>
                </c:pt>
                <c:pt idx="8">
                  <c:v>16943</c:v>
                </c:pt>
                <c:pt idx="9">
                  <c:v>17538</c:v>
                </c:pt>
                <c:pt idx="10">
                  <c:v>17804</c:v>
                </c:pt>
                <c:pt idx="11">
                  <c:v>18072</c:v>
                </c:pt>
              </c:numCache>
            </c:numRef>
          </c:val>
          <c:smooth val="0"/>
        </c:ser>
        <c:ser>
          <c:idx val="2"/>
          <c:order val="1"/>
          <c:tx>
            <c:strRef>
              <c:f>'[1]18.9'!$E$5</c:f>
              <c:strCache>
                <c:ptCount val="1"/>
                <c:pt idx="0">
                  <c:v>2012</c:v>
                </c:pt>
              </c:strCache>
            </c:strRef>
          </c:tx>
          <c:spPr>
            <a:ln>
              <a:solidFill>
                <a:schemeClr val="accent2">
                  <a:lumMod val="60000"/>
                  <a:lumOff val="40000"/>
                </a:schemeClr>
              </a:solidFill>
            </a:ln>
          </c:spPr>
          <c:marker>
            <c:spPr>
              <a:solidFill>
                <a:schemeClr val="accent2">
                  <a:lumMod val="60000"/>
                  <a:lumOff val="40000"/>
                </a:schemeClr>
              </a:solidFill>
              <a:ln>
                <a:solidFill>
                  <a:schemeClr val="accent2">
                    <a:lumMod val="75000"/>
                  </a:schemeClr>
                </a:solidFill>
              </a:ln>
            </c:spPr>
          </c:marker>
          <c:cat>
            <c:strRef>
              <c:f>'[1]18.9'!$A$7:$A$18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'[1]18.9'!$E$7:$E$18</c:f>
              <c:numCache>
                <c:formatCode>General</c:formatCode>
                <c:ptCount val="12"/>
                <c:pt idx="0">
                  <c:v>18448</c:v>
                </c:pt>
                <c:pt idx="1">
                  <c:v>18752</c:v>
                </c:pt>
                <c:pt idx="2">
                  <c:v>18955</c:v>
                </c:pt>
                <c:pt idx="3">
                  <c:v>19216</c:v>
                </c:pt>
                <c:pt idx="4">
                  <c:v>19500</c:v>
                </c:pt>
                <c:pt idx="5">
                  <c:v>19773</c:v>
                </c:pt>
                <c:pt idx="6">
                  <c:v>19992</c:v>
                </c:pt>
                <c:pt idx="7">
                  <c:v>20166</c:v>
                </c:pt>
                <c:pt idx="8">
                  <c:v>20369</c:v>
                </c:pt>
                <c:pt idx="9">
                  <c:v>20507</c:v>
                </c:pt>
                <c:pt idx="10">
                  <c:v>20638</c:v>
                </c:pt>
                <c:pt idx="11">
                  <c:v>20719</c:v>
                </c:pt>
              </c:numCache>
            </c:numRef>
          </c:val>
          <c:smooth val="0"/>
        </c:ser>
        <c:dLbls>
          <c:showLegendKey val="0"/>
          <c:showVal val="0"/>
          <c:showCatName val="0"/>
          <c:showSerName val="0"/>
          <c:showPercent val="0"/>
          <c:showBubbleSize val="0"/>
        </c:dLbls>
        <c:marker val="1"/>
        <c:smooth val="0"/>
        <c:axId val="110179072"/>
        <c:axId val="110180992"/>
      </c:lineChart>
      <c:catAx>
        <c:axId val="110179072"/>
        <c:scaling>
          <c:orientation val="minMax"/>
        </c:scaling>
        <c:delete val="0"/>
        <c:axPos val="b"/>
        <c:majorTickMark val="none"/>
        <c:minorTickMark val="none"/>
        <c:tickLblPos val="nextTo"/>
        <c:txPr>
          <a:bodyPr rot="-5400000" vert="horz"/>
          <a:lstStyle/>
          <a:p>
            <a:pPr>
              <a:defRPr/>
            </a:pPr>
            <a:endParaRPr lang="en-US"/>
          </a:p>
        </c:txPr>
        <c:crossAx val="110180992"/>
        <c:crosses val="autoZero"/>
        <c:auto val="1"/>
        <c:lblAlgn val="ctr"/>
        <c:lblOffset val="100"/>
        <c:noMultiLvlLbl val="0"/>
      </c:catAx>
      <c:valAx>
        <c:axId val="110180992"/>
        <c:scaling>
          <c:orientation val="minMax"/>
        </c:scaling>
        <c:delete val="0"/>
        <c:axPos val="l"/>
        <c:majorGridlines/>
        <c:title>
          <c:tx>
            <c:rich>
              <a:bodyPr/>
              <a:lstStyle/>
              <a:p>
                <a:pPr>
                  <a:defRPr/>
                </a:pPr>
                <a:r>
                  <a:rPr lang="en-US"/>
                  <a:t>Number of Households</a:t>
                </a:r>
              </a:p>
            </c:rich>
          </c:tx>
          <c:layout>
            <c:manualLayout>
              <c:xMode val="edge"/>
              <c:yMode val="edge"/>
              <c:x val="1.164508350297074E-2"/>
              <c:y val="0.21072558467504995"/>
            </c:manualLayout>
          </c:layout>
          <c:overlay val="0"/>
        </c:title>
        <c:numFmt formatCode="#,##0" sourceLinked="0"/>
        <c:majorTickMark val="none"/>
        <c:minorTickMark val="none"/>
        <c:tickLblPos val="nextTo"/>
        <c:crossAx val="110179072"/>
        <c:crosses val="autoZero"/>
        <c:crossBetween val="between"/>
      </c:valAx>
      <c:spPr>
        <a:ln>
          <a:solidFill>
            <a:sysClr val="window" lastClr="FFFFFF">
              <a:lumMod val="65000"/>
            </a:sysClr>
          </a:solidFill>
        </a:ln>
      </c:spPr>
    </c:plotArea>
    <c:legend>
      <c:legendPos val="r"/>
      <c:layout>
        <c:manualLayout>
          <c:xMode val="edge"/>
          <c:yMode val="edge"/>
          <c:x val="0.51270538956603029"/>
          <c:y val="0.51630082552530099"/>
          <c:w val="0.43128291387797135"/>
          <c:h val="6.0532005193950383E-2"/>
        </c:manualLayout>
      </c:layout>
      <c:overlay val="0"/>
    </c:legend>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Figure 18.28:  Expenditure on Electricity Subsidy </a:t>
            </a:r>
            <a:r>
              <a:rPr lang="en-US" sz="1200" baseline="0"/>
              <a:t> for </a:t>
            </a:r>
            <a:r>
              <a:rPr lang="en-US" sz="1200"/>
              <a:t>Male',</a:t>
            </a:r>
            <a:r>
              <a:rPr lang="en-US" sz="1200" baseline="0"/>
              <a:t> 2013 - 2015</a:t>
            </a:r>
            <a:endParaRPr lang="en-US" sz="1200"/>
          </a:p>
        </c:rich>
      </c:tx>
      <c:layout>
        <c:manualLayout>
          <c:xMode val="edge"/>
          <c:yMode val="edge"/>
          <c:x val="0.2421859969761252"/>
          <c:y val="4.2416435220942662E-2"/>
        </c:manualLayout>
      </c:layout>
      <c:overlay val="0"/>
    </c:title>
    <c:autoTitleDeleted val="0"/>
    <c:plotArea>
      <c:layout>
        <c:manualLayout>
          <c:layoutTarget val="inner"/>
          <c:xMode val="edge"/>
          <c:yMode val="edge"/>
          <c:x val="0.13914775944872457"/>
          <c:y val="0.16589575012058294"/>
          <c:w val="0.83268035844373911"/>
          <c:h val="0.68873432487605657"/>
        </c:manualLayout>
      </c:layout>
      <c:barChart>
        <c:barDir val="col"/>
        <c:grouping val="clustered"/>
        <c:varyColors val="0"/>
        <c:ser>
          <c:idx val="2"/>
          <c:order val="0"/>
          <c:spPr>
            <a:solidFill>
              <a:srgbClr val="28B2AF"/>
            </a:solidFill>
          </c:spPr>
          <c:invertIfNegative val="0"/>
          <c:cat>
            <c:numRef>
              <c:f>'11.24'!$M$5:$O$5</c:f>
              <c:numCache>
                <c:formatCode>General</c:formatCode>
                <c:ptCount val="3"/>
                <c:pt idx="0">
                  <c:v>2013</c:v>
                </c:pt>
                <c:pt idx="1">
                  <c:v>2014</c:v>
                </c:pt>
                <c:pt idx="2">
                  <c:v>2015</c:v>
                </c:pt>
              </c:numCache>
            </c:numRef>
          </c:cat>
          <c:val>
            <c:numRef>
              <c:f>'11.24'!$M$6:$O$6</c:f>
              <c:numCache>
                <c:formatCode>#,##0_);\(#,##0\)</c:formatCode>
                <c:ptCount val="3"/>
                <c:pt idx="0">
                  <c:v>299661096.44</c:v>
                </c:pt>
                <c:pt idx="1">
                  <c:v>349220698.38999999</c:v>
                </c:pt>
                <c:pt idx="2">
                  <c:v>180614696.01000002</c:v>
                </c:pt>
              </c:numCache>
            </c:numRef>
          </c:val>
        </c:ser>
        <c:dLbls>
          <c:showLegendKey val="0"/>
          <c:showVal val="0"/>
          <c:showCatName val="0"/>
          <c:showSerName val="0"/>
          <c:showPercent val="0"/>
          <c:showBubbleSize val="0"/>
        </c:dLbls>
        <c:gapWidth val="65"/>
        <c:overlap val="52"/>
        <c:axId val="110197760"/>
        <c:axId val="110207744"/>
      </c:barChart>
      <c:catAx>
        <c:axId val="110197760"/>
        <c:scaling>
          <c:orientation val="minMax"/>
        </c:scaling>
        <c:delete val="0"/>
        <c:axPos val="b"/>
        <c:numFmt formatCode="General" sourceLinked="1"/>
        <c:majorTickMark val="none"/>
        <c:minorTickMark val="none"/>
        <c:tickLblPos val="nextTo"/>
        <c:crossAx val="110207744"/>
        <c:crosses val="autoZero"/>
        <c:auto val="1"/>
        <c:lblAlgn val="ctr"/>
        <c:lblOffset val="100"/>
        <c:noMultiLvlLbl val="0"/>
      </c:catAx>
      <c:valAx>
        <c:axId val="110207744"/>
        <c:scaling>
          <c:orientation val="minMax"/>
        </c:scaling>
        <c:delete val="0"/>
        <c:axPos val="l"/>
        <c:majorGridlines>
          <c:spPr>
            <a:ln>
              <a:solidFill>
                <a:srgbClr val="33CCCC"/>
              </a:solidFill>
            </a:ln>
          </c:spPr>
        </c:majorGridlines>
        <c:title>
          <c:tx>
            <c:rich>
              <a:bodyPr/>
              <a:lstStyle/>
              <a:p>
                <a:pPr>
                  <a:defRPr/>
                </a:pPr>
                <a:r>
                  <a:rPr lang="en-US"/>
                  <a:t>Total Expenditure (MVR)</a:t>
                </a:r>
              </a:p>
            </c:rich>
          </c:tx>
          <c:layout>
            <c:manualLayout>
              <c:xMode val="edge"/>
              <c:yMode val="edge"/>
              <c:x val="1.8106236814444263E-2"/>
              <c:y val="0.22444232351541096"/>
            </c:manualLayout>
          </c:layout>
          <c:overlay val="0"/>
        </c:title>
        <c:numFmt formatCode="#,##0" sourceLinked="0"/>
        <c:majorTickMark val="none"/>
        <c:minorTickMark val="none"/>
        <c:tickLblPos val="nextTo"/>
        <c:crossAx val="110197760"/>
        <c:crosses val="autoZero"/>
        <c:crossBetween val="between"/>
      </c:valAx>
      <c:spPr>
        <a:ln>
          <a:solidFill>
            <a:schemeClr val="bg1">
              <a:lumMod val="65000"/>
            </a:schemeClr>
          </a:solidFill>
        </a:ln>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3</xdr:col>
      <xdr:colOff>485775</xdr:colOff>
      <xdr:row>31</xdr:row>
      <xdr:rowOff>164753</xdr:rowOff>
    </xdr:from>
    <xdr:to>
      <xdr:col>14</xdr:col>
      <xdr:colOff>171450</xdr:colOff>
      <xdr:row>48</xdr:row>
      <xdr:rowOff>80434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510113</xdr:colOff>
      <xdr:row>18</xdr:row>
      <xdr:rowOff>59809</xdr:rowOff>
    </xdr:from>
    <xdr:to>
      <xdr:col>18</xdr:col>
      <xdr:colOff>28575</xdr:colOff>
      <xdr:row>30</xdr:row>
      <xdr:rowOff>118577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506661</xdr:colOff>
      <xdr:row>18</xdr:row>
      <xdr:rowOff>44673</xdr:rowOff>
    </xdr:from>
    <xdr:to>
      <xdr:col>9</xdr:col>
      <xdr:colOff>432858</xdr:colOff>
      <xdr:row>30</xdr:row>
      <xdr:rowOff>99706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1143000</xdr:colOff>
      <xdr:row>19</xdr:row>
      <xdr:rowOff>180975</xdr:rowOff>
    </xdr:from>
    <xdr:to>
      <xdr:col>9</xdr:col>
      <xdr:colOff>200025</xdr:colOff>
      <xdr:row>19</xdr:row>
      <xdr:rowOff>180975</xdr:rowOff>
    </xdr:to>
    <xdr:sp macro="" textlink="">
      <xdr:nvSpPr>
        <xdr:cNvPr id="9" name="Line 4"/>
        <xdr:cNvSpPr>
          <a:spLocks noChangeShapeType="1"/>
        </xdr:cNvSpPr>
      </xdr:nvSpPr>
      <xdr:spPr bwMode="auto">
        <a:xfrm flipV="1">
          <a:off x="1143000" y="4914900"/>
          <a:ext cx="483870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4</xdr:col>
      <xdr:colOff>744070</xdr:colOff>
      <xdr:row>33</xdr:row>
      <xdr:rowOff>56029</xdr:rowOff>
    </xdr:from>
    <xdr:to>
      <xdr:col>13</xdr:col>
      <xdr:colOff>22412</xdr:colOff>
      <xdr:row>33</xdr:row>
      <xdr:rowOff>56029</xdr:rowOff>
    </xdr:to>
    <xdr:sp macro="" textlink="">
      <xdr:nvSpPr>
        <xdr:cNvPr id="10" name="Line 4"/>
        <xdr:cNvSpPr>
          <a:spLocks noChangeShapeType="1"/>
        </xdr:cNvSpPr>
      </xdr:nvSpPr>
      <xdr:spPr bwMode="auto">
        <a:xfrm flipV="1">
          <a:off x="2368923" y="7821705"/>
          <a:ext cx="616996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10</xdr:col>
      <xdr:colOff>133350</xdr:colOff>
      <xdr:row>20</xdr:row>
      <xdr:rowOff>38099</xdr:rowOff>
    </xdr:from>
    <xdr:to>
      <xdr:col>17</xdr:col>
      <xdr:colOff>1257300</xdr:colOff>
      <xdr:row>20</xdr:row>
      <xdr:rowOff>47625</xdr:rowOff>
    </xdr:to>
    <xdr:sp macro="" textlink="">
      <xdr:nvSpPr>
        <xdr:cNvPr id="12" name="Line 4"/>
        <xdr:cNvSpPr>
          <a:spLocks noChangeShapeType="1"/>
        </xdr:cNvSpPr>
      </xdr:nvSpPr>
      <xdr:spPr bwMode="auto">
        <a:xfrm>
          <a:off x="6934200" y="4962524"/>
          <a:ext cx="5667375" cy="9526"/>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0</xdr:col>
      <xdr:colOff>1114426</xdr:colOff>
      <xdr:row>18</xdr:row>
      <xdr:rowOff>133350</xdr:rowOff>
    </xdr:from>
    <xdr:to>
      <xdr:col>9</xdr:col>
      <xdr:colOff>123825</xdr:colOff>
      <xdr:row>20</xdr:row>
      <xdr:rowOff>0</xdr:rowOff>
    </xdr:to>
    <xdr:sp macro="" textlink="">
      <xdr:nvSpPr>
        <xdr:cNvPr id="5" name="TextBox 4"/>
        <xdr:cNvSpPr txBox="1"/>
      </xdr:nvSpPr>
      <xdr:spPr>
        <a:xfrm>
          <a:off x="1114426" y="4638675"/>
          <a:ext cx="792479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dk1"/>
              </a:solidFill>
              <a:effectLst/>
              <a:latin typeface="Consolas" pitchFamily="49" charset="0"/>
              <a:ea typeface="+mn-ea"/>
              <a:cs typeface="Consolas" pitchFamily="49" charset="0"/>
            </a:rPr>
            <a:t>Figure 18.1: Pension payments made under different schemes, 2015</a:t>
          </a:r>
          <a:endParaRPr lang="en-US" sz="1050">
            <a:effectLst/>
            <a:latin typeface="Consolas" pitchFamily="49" charset="0"/>
            <a:cs typeface="Consolas" pitchFamily="49" charset="0"/>
          </a:endParaRPr>
        </a:p>
        <a:p>
          <a:endParaRPr lang="en-US" sz="105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0.08308</cdr:x>
      <cdr:y>0.03903</cdr:y>
    </cdr:from>
    <cdr:to>
      <cdr:x>0.97397</cdr:x>
      <cdr:y>0.12832</cdr:y>
    </cdr:to>
    <cdr:sp macro="" textlink="">
      <cdr:nvSpPr>
        <cdr:cNvPr id="2" name="TextBox 1"/>
        <cdr:cNvSpPr txBox="1"/>
      </cdr:nvSpPr>
      <cdr:spPr>
        <a:xfrm xmlns:a="http://schemas.openxmlformats.org/drawingml/2006/main">
          <a:off x="547162" y="106393"/>
          <a:ext cx="5867400" cy="2433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18.2: Percentage share of pension payments going to females, 2015</a:t>
          </a:r>
          <a:endParaRPr lang="en-US">
            <a:effectLst/>
            <a:latin typeface="Consolas" pitchFamily="49" charset="0"/>
            <a:cs typeface="Consolas" pitchFamily="49" charset="0"/>
          </a:endParaRPr>
        </a:p>
        <a:p xmlns:a="http://schemas.openxmlformats.org/drawingml/2006/main">
          <a:endParaRPr lang="en-US" sz="1100">
            <a:latin typeface="Consolas" pitchFamily="49" charset="0"/>
            <a:cs typeface="Consolas" pitchFamily="49"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0.1042</cdr:y>
    </cdr:from>
    <cdr:to>
      <cdr:x>1</cdr:x>
      <cdr:y>0.33165</cdr:y>
    </cdr:to>
    <cdr:sp macro="" textlink="">
      <cdr:nvSpPr>
        <cdr:cNvPr id="2" name="TextBox 1"/>
        <cdr:cNvSpPr txBox="1"/>
      </cdr:nvSpPr>
      <cdr:spPr>
        <a:xfrm xmlns:a="http://schemas.openxmlformats.org/drawingml/2006/main">
          <a:off x="0" y="283633"/>
          <a:ext cx="5707872"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594360</xdr:colOff>
      <xdr:row>22</xdr:row>
      <xdr:rowOff>40005</xdr:rowOff>
    </xdr:from>
    <xdr:to>
      <xdr:col>12</xdr:col>
      <xdr:colOff>314325</xdr:colOff>
      <xdr:row>38</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342901</xdr:colOff>
      <xdr:row>23</xdr:row>
      <xdr:rowOff>0</xdr:rowOff>
    </xdr:from>
    <xdr:to>
      <xdr:col>11</xdr:col>
      <xdr:colOff>342900</xdr:colOff>
      <xdr:row>23</xdr:row>
      <xdr:rowOff>161925</xdr:rowOff>
    </xdr:to>
    <xdr:sp macro="" textlink="">
      <xdr:nvSpPr>
        <xdr:cNvPr id="5" name="TextBox 4"/>
        <xdr:cNvSpPr txBox="1"/>
      </xdr:nvSpPr>
      <xdr:spPr>
        <a:xfrm>
          <a:off x="4124326" y="5543550"/>
          <a:ext cx="5553074" cy="161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dk1"/>
              </a:solidFill>
              <a:latin typeface="Consolas" pitchFamily="49" charset="0"/>
              <a:ea typeface="+mn-ea"/>
              <a:cs typeface="Consolas" pitchFamily="49" charset="0"/>
            </a:rPr>
            <a:t>Figure 18.4: Pension payments made under different schemes, 2013 - 2015</a:t>
          </a:r>
          <a:endParaRPr lang="en-US" sz="1050">
            <a:latin typeface="Consolas" pitchFamily="49" charset="0"/>
            <a:cs typeface="Consolas" pitchFamily="49" charset="0"/>
          </a:endParaRPr>
        </a:p>
        <a:p>
          <a:endParaRPr lang="en-US" sz="1200"/>
        </a:p>
      </xdr:txBody>
    </xdr:sp>
    <xdr:clientData/>
  </xdr:twoCellAnchor>
  <xdr:twoCellAnchor>
    <xdr:from>
      <xdr:col>5</xdr:col>
      <xdr:colOff>228599</xdr:colOff>
      <xdr:row>23</xdr:row>
      <xdr:rowOff>104775</xdr:rowOff>
    </xdr:from>
    <xdr:to>
      <xdr:col>11</xdr:col>
      <xdr:colOff>266699</xdr:colOff>
      <xdr:row>23</xdr:row>
      <xdr:rowOff>104775</xdr:rowOff>
    </xdr:to>
    <xdr:sp macro="" textlink="">
      <xdr:nvSpPr>
        <xdr:cNvPr id="6" name="Line 4"/>
        <xdr:cNvSpPr>
          <a:spLocks noChangeShapeType="1"/>
        </xdr:cNvSpPr>
      </xdr:nvSpPr>
      <xdr:spPr bwMode="auto">
        <a:xfrm>
          <a:off x="4010024" y="5648325"/>
          <a:ext cx="559117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1458451</xdr:colOff>
      <xdr:row>16</xdr:row>
      <xdr:rowOff>107847</xdr:rowOff>
    </xdr:from>
    <xdr:to>
      <xdr:col>16</xdr:col>
      <xdr:colOff>0</xdr:colOff>
      <xdr:row>32</xdr:row>
      <xdr:rowOff>24581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655485</xdr:colOff>
      <xdr:row>18</xdr:row>
      <xdr:rowOff>51208</xdr:rowOff>
    </xdr:from>
    <xdr:to>
      <xdr:col>14</xdr:col>
      <xdr:colOff>532582</xdr:colOff>
      <xdr:row>18</xdr:row>
      <xdr:rowOff>61450</xdr:rowOff>
    </xdr:to>
    <xdr:sp macro="" textlink="">
      <xdr:nvSpPr>
        <xdr:cNvPr id="4" name="Line 4"/>
        <xdr:cNvSpPr>
          <a:spLocks noChangeShapeType="1"/>
        </xdr:cNvSpPr>
      </xdr:nvSpPr>
      <xdr:spPr bwMode="auto">
        <a:xfrm flipV="1">
          <a:off x="2980404" y="4096773"/>
          <a:ext cx="6370484" cy="10242"/>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647700</xdr:colOff>
      <xdr:row>20</xdr:row>
      <xdr:rowOff>104775</xdr:rowOff>
    </xdr:from>
    <xdr:to>
      <xdr:col>16</xdr:col>
      <xdr:colOff>104775</xdr:colOff>
      <xdr:row>35</xdr:row>
      <xdr:rowOff>123825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609599</xdr:colOff>
      <xdr:row>42</xdr:row>
      <xdr:rowOff>123825</xdr:rowOff>
    </xdr:from>
    <xdr:to>
      <xdr:col>28</xdr:col>
      <xdr:colOff>114299</xdr:colOff>
      <xdr:row>57</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762000</xdr:colOff>
      <xdr:row>43</xdr:row>
      <xdr:rowOff>133350</xdr:rowOff>
    </xdr:from>
    <xdr:to>
      <xdr:col>27</xdr:col>
      <xdr:colOff>538692</xdr:colOff>
      <xdr:row>44</xdr:row>
      <xdr:rowOff>131233</xdr:rowOff>
    </xdr:to>
    <xdr:sp macro="" textlink="">
      <xdr:nvSpPr>
        <xdr:cNvPr id="12" name="TextBox 11"/>
        <xdr:cNvSpPr txBox="1"/>
      </xdr:nvSpPr>
      <xdr:spPr>
        <a:xfrm>
          <a:off x="13030200" y="9896475"/>
          <a:ext cx="5634567" cy="18838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latin typeface="Consolas" pitchFamily="49" charset="0"/>
              <a:ea typeface="+mn-ea"/>
              <a:cs typeface="Consolas" pitchFamily="49" charset="0"/>
            </a:rPr>
            <a:t>Figure 18.7: Number of beneficiaries under Other pension scheme, 2015</a:t>
          </a:r>
          <a:endParaRPr lang="en-US">
            <a:latin typeface="Consolas" pitchFamily="49" charset="0"/>
            <a:cs typeface="Consolas" pitchFamily="49" charset="0"/>
          </a:endParaRPr>
        </a:p>
        <a:p>
          <a:endParaRPr lang="en-US" sz="1100">
            <a:latin typeface="Consolas" pitchFamily="49" charset="0"/>
            <a:cs typeface="Consolas" pitchFamily="49" charset="0"/>
          </a:endParaRPr>
        </a:p>
      </xdr:txBody>
    </xdr:sp>
    <xdr:clientData/>
  </xdr:twoCellAnchor>
  <xdr:twoCellAnchor>
    <xdr:from>
      <xdr:col>7</xdr:col>
      <xdr:colOff>657225</xdr:colOff>
      <xdr:row>22</xdr:row>
      <xdr:rowOff>47625</xdr:rowOff>
    </xdr:from>
    <xdr:to>
      <xdr:col>15</xdr:col>
      <xdr:colOff>466725</xdr:colOff>
      <xdr:row>22</xdr:row>
      <xdr:rowOff>47625</xdr:rowOff>
    </xdr:to>
    <xdr:sp macro="" textlink="">
      <xdr:nvSpPr>
        <xdr:cNvPr id="6" name="Line 4"/>
        <xdr:cNvSpPr>
          <a:spLocks noChangeShapeType="1"/>
        </xdr:cNvSpPr>
      </xdr:nvSpPr>
      <xdr:spPr bwMode="auto">
        <a:xfrm>
          <a:off x="1933575" y="5781675"/>
          <a:ext cx="558165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7.xml><?xml version="1.0" encoding="utf-8"?>
<c:userShapes xmlns:c="http://schemas.openxmlformats.org/drawingml/2006/chart">
  <cdr:relSizeAnchor xmlns:cdr="http://schemas.openxmlformats.org/drawingml/2006/chartDrawing">
    <cdr:from>
      <cdr:x>0.07255</cdr:x>
      <cdr:y>0.05212</cdr:y>
    </cdr:from>
    <cdr:to>
      <cdr:x>0.97625</cdr:x>
      <cdr:y>0.14332</cdr:y>
    </cdr:to>
    <cdr:sp macro="" textlink="">
      <cdr:nvSpPr>
        <cdr:cNvPr id="2" name="TextBox 9"/>
        <cdr:cNvSpPr txBox="1"/>
      </cdr:nvSpPr>
      <cdr:spPr>
        <a:xfrm xmlns:a="http://schemas.openxmlformats.org/drawingml/2006/main">
          <a:off x="480942" y="152400"/>
          <a:ext cx="5990988" cy="266699"/>
        </a:xfrm>
        <a:prstGeom xmlns:a="http://schemas.openxmlformats.org/drawingml/2006/main" prst="rect">
          <a:avLst/>
        </a:prstGeom>
        <a:solidFill xmlns:a="http://schemas.openxmlformats.org/drawingml/2006/main">
          <a:schemeClr val="bg1"/>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rtl="0"/>
          <a:r>
            <a:rPr lang="en-US" sz="900" b="1" i="0" baseline="0">
              <a:solidFill>
                <a:sysClr val="windowText" lastClr="000000"/>
              </a:solidFill>
              <a:latin typeface="Consolas" pitchFamily="49" charset="0"/>
              <a:ea typeface="+mn-ea"/>
              <a:cs typeface="Consolas" pitchFamily="49" charset="0"/>
            </a:rPr>
            <a:t>Figure 18.6: Percentage of beneficiaries under basic pension scheme by age group, 2015</a:t>
          </a:r>
          <a:endParaRPr lang="en-US" sz="900">
            <a:latin typeface="Consolas" pitchFamily="49" charset="0"/>
            <a:cs typeface="Consolas" pitchFamily="49" charset="0"/>
          </a:endParaRPr>
        </a:p>
        <a:p xmlns:a="http://schemas.openxmlformats.org/drawingml/2006/main">
          <a:pPr algn="ctr"/>
          <a:endParaRPr lang="en-US" sz="900">
            <a:latin typeface="Consolas" pitchFamily="49" charset="0"/>
            <a:cs typeface="Consolas" pitchFamily="49"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238125</xdr:colOff>
      <xdr:row>20</xdr:row>
      <xdr:rowOff>123825</xdr:rowOff>
    </xdr:from>
    <xdr:to>
      <xdr:col>13</xdr:col>
      <xdr:colOff>495299</xdr:colOff>
      <xdr:row>36</xdr:row>
      <xdr:rowOff>180975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22</xdr:row>
      <xdr:rowOff>19049</xdr:rowOff>
    </xdr:from>
    <xdr:to>
      <xdr:col>13</xdr:col>
      <xdr:colOff>238125</xdr:colOff>
      <xdr:row>22</xdr:row>
      <xdr:rowOff>19049</xdr:rowOff>
    </xdr:to>
    <xdr:sp macro="" textlink="">
      <xdr:nvSpPr>
        <xdr:cNvPr id="3" name="Line 4"/>
        <xdr:cNvSpPr>
          <a:spLocks noChangeShapeType="1"/>
        </xdr:cNvSpPr>
      </xdr:nvSpPr>
      <xdr:spPr bwMode="auto">
        <a:xfrm>
          <a:off x="2524125" y="5067299"/>
          <a:ext cx="558165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9.xml><?xml version="1.0" encoding="utf-8"?>
<c:userShapes xmlns:c="http://schemas.openxmlformats.org/drawingml/2006/chart">
  <cdr:relSizeAnchor xmlns:cdr="http://schemas.openxmlformats.org/drawingml/2006/chartDrawing">
    <cdr:from>
      <cdr:x>0.05521</cdr:x>
      <cdr:y>0.01544</cdr:y>
    </cdr:from>
    <cdr:to>
      <cdr:x>0.98773</cdr:x>
      <cdr:y>0.12308</cdr:y>
    </cdr:to>
    <cdr:sp macro="" textlink="">
      <cdr:nvSpPr>
        <cdr:cNvPr id="2" name="TextBox 1"/>
        <cdr:cNvSpPr txBox="1"/>
      </cdr:nvSpPr>
      <cdr:spPr>
        <a:xfrm xmlns:a="http://schemas.openxmlformats.org/drawingml/2006/main">
          <a:off x="342900" y="47956"/>
          <a:ext cx="5791200" cy="334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18.7:  Number of beneficiaries under basic pension scheme, 2015</a:t>
          </a:r>
          <a:endParaRPr lang="en-US">
            <a:effectLst/>
            <a:latin typeface="Consolas" pitchFamily="49" charset="0"/>
            <a:cs typeface="Consolas" pitchFamily="49" charset="0"/>
          </a:endParaRPr>
        </a:p>
        <a:p xmlns:a="http://schemas.openxmlformats.org/drawingml/2006/main">
          <a:endParaRPr lang="en-US" sz="1100"/>
        </a:p>
      </cdr:txBody>
    </cdr:sp>
  </cdr:relSizeAnchor>
</c:userShapes>
</file>

<file path=xl/drawings/drawing10.xml><?xml version="1.0" encoding="utf-8"?>
<xdr:wsDr xmlns:xdr="http://schemas.openxmlformats.org/drawingml/2006/spreadsheetDrawing" xmlns:a="http://schemas.openxmlformats.org/drawingml/2006/main">
  <xdr:twoCellAnchor>
    <xdr:from>
      <xdr:col>3</xdr:col>
      <xdr:colOff>600075</xdr:colOff>
      <xdr:row>19</xdr:row>
      <xdr:rowOff>66675</xdr:rowOff>
    </xdr:from>
    <xdr:to>
      <xdr:col>12</xdr:col>
      <xdr:colOff>412750</xdr:colOff>
      <xdr:row>33</xdr:row>
      <xdr:rowOff>209550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390525</xdr:colOff>
      <xdr:row>21</xdr:row>
      <xdr:rowOff>107950</xdr:rowOff>
    </xdr:from>
    <xdr:to>
      <xdr:col>12</xdr:col>
      <xdr:colOff>95250</xdr:colOff>
      <xdr:row>21</xdr:row>
      <xdr:rowOff>107950</xdr:rowOff>
    </xdr:to>
    <xdr:sp macro="" textlink="">
      <xdr:nvSpPr>
        <xdr:cNvPr id="6" name="Line 4"/>
        <xdr:cNvSpPr>
          <a:spLocks noChangeShapeType="1"/>
        </xdr:cNvSpPr>
      </xdr:nvSpPr>
      <xdr:spPr bwMode="auto">
        <a:xfrm>
          <a:off x="3219450" y="5022850"/>
          <a:ext cx="541972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11.xml><?xml version="1.0" encoding="utf-8"?>
<c:userShapes xmlns:c="http://schemas.openxmlformats.org/drawingml/2006/chart">
  <cdr:relSizeAnchor xmlns:cdr="http://schemas.openxmlformats.org/drawingml/2006/chartDrawing">
    <cdr:from>
      <cdr:x>0.07111</cdr:x>
      <cdr:y>0.04626</cdr:y>
    </cdr:from>
    <cdr:to>
      <cdr:x>0.97481</cdr:x>
      <cdr:y>0.13622</cdr:y>
    </cdr:to>
    <cdr:sp macro="" textlink="">
      <cdr:nvSpPr>
        <cdr:cNvPr id="2" name="TextBox 9"/>
        <cdr:cNvSpPr txBox="1"/>
      </cdr:nvSpPr>
      <cdr:spPr>
        <a:xfrm xmlns:a="http://schemas.openxmlformats.org/drawingml/2006/main">
          <a:off x="443872" y="142316"/>
          <a:ext cx="5640941" cy="276784"/>
        </a:xfrm>
        <a:prstGeom xmlns:a="http://schemas.openxmlformats.org/drawingml/2006/main" prst="rect">
          <a:avLst/>
        </a:prstGeom>
        <a:solidFill xmlns:a="http://schemas.openxmlformats.org/drawingml/2006/main">
          <a:schemeClr val="bg1"/>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rtl="0"/>
          <a:r>
            <a:rPr lang="en-US" sz="1100" b="1" i="0" baseline="0">
              <a:solidFill>
                <a:sysClr val="windowText" lastClr="000000"/>
              </a:solidFill>
              <a:latin typeface="Consolas" pitchFamily="49" charset="0"/>
              <a:ea typeface="+mn-ea"/>
              <a:cs typeface="Consolas" pitchFamily="49" charset="0"/>
            </a:rPr>
            <a:t>Figure 18.8: Percentage of beneficiaries under basic pension scheme by age group, 2015</a:t>
          </a:r>
          <a:endParaRPr lang="en-US">
            <a:latin typeface="Consolas" pitchFamily="49" charset="0"/>
            <a:cs typeface="Consolas" pitchFamily="49" charset="0"/>
          </a:endParaRPr>
        </a:p>
        <a:p xmlns:a="http://schemas.openxmlformats.org/drawingml/2006/main">
          <a:endParaRPr lang="en-US" sz="1100">
            <a:latin typeface="Consolas" pitchFamily="49" charset="0"/>
            <a:cs typeface="Consolas" pitchFamily="49"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88900</xdr:colOff>
      <xdr:row>24</xdr:row>
      <xdr:rowOff>38100</xdr:rowOff>
    </xdr:from>
    <xdr:to>
      <xdr:col>5</xdr:col>
      <xdr:colOff>914400</xdr:colOff>
      <xdr:row>38</xdr:row>
      <xdr:rowOff>12700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26</xdr:row>
      <xdr:rowOff>66675</xdr:rowOff>
    </xdr:from>
    <xdr:to>
      <xdr:col>5</xdr:col>
      <xdr:colOff>628650</xdr:colOff>
      <xdr:row>26</xdr:row>
      <xdr:rowOff>66675</xdr:rowOff>
    </xdr:to>
    <xdr:sp macro="" textlink="">
      <xdr:nvSpPr>
        <xdr:cNvPr id="3" name="Line 4"/>
        <xdr:cNvSpPr>
          <a:spLocks noChangeShapeType="1"/>
        </xdr:cNvSpPr>
      </xdr:nvSpPr>
      <xdr:spPr bwMode="auto">
        <a:xfrm flipV="1">
          <a:off x="619125" y="5886450"/>
          <a:ext cx="472440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13.xml><?xml version="1.0" encoding="utf-8"?>
<c:userShapes xmlns:c="http://schemas.openxmlformats.org/drawingml/2006/chart">
  <cdr:relSizeAnchor xmlns:cdr="http://schemas.openxmlformats.org/drawingml/2006/chartDrawing">
    <cdr:from>
      <cdr:x>0.07627</cdr:x>
      <cdr:y>0.04312</cdr:y>
    </cdr:from>
    <cdr:to>
      <cdr:x>0.97997</cdr:x>
      <cdr:y>0.18029</cdr:y>
    </cdr:to>
    <cdr:sp macro="" textlink="">
      <cdr:nvSpPr>
        <cdr:cNvPr id="2" name="TextBox 9"/>
        <cdr:cNvSpPr txBox="1"/>
      </cdr:nvSpPr>
      <cdr:spPr>
        <a:xfrm xmlns:a="http://schemas.openxmlformats.org/drawingml/2006/main">
          <a:off x="422551" y="113918"/>
          <a:ext cx="5006837" cy="362332"/>
        </a:xfrm>
        <a:prstGeom xmlns:a="http://schemas.openxmlformats.org/drawingml/2006/main" prst="rect">
          <a:avLst/>
        </a:prstGeom>
        <a:solidFill xmlns:a="http://schemas.openxmlformats.org/drawingml/2006/main">
          <a:schemeClr val="bg1"/>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rtl="0"/>
          <a:r>
            <a:rPr lang="en-US" sz="1100" b="1" i="0" baseline="0">
              <a:solidFill>
                <a:sysClr val="windowText" lastClr="000000"/>
              </a:solidFill>
              <a:latin typeface="Consolas" pitchFamily="49" charset="0"/>
              <a:ea typeface="+mn-ea"/>
              <a:cs typeface="Consolas" pitchFamily="49" charset="0"/>
            </a:rPr>
            <a:t>Figure 18.9: Percentage of beneficiaries under basic pension scheme by age group, 2015</a:t>
          </a:r>
          <a:endParaRPr lang="en-US">
            <a:latin typeface="Consolas" pitchFamily="49" charset="0"/>
            <a:cs typeface="Consolas" pitchFamily="49" charset="0"/>
          </a:endParaRPr>
        </a:p>
        <a:p xmlns:a="http://schemas.openxmlformats.org/drawingml/2006/main">
          <a:pPr algn="ctr"/>
          <a:endParaRPr lang="en-US" sz="1100">
            <a:latin typeface="Consolas" pitchFamily="49" charset="0"/>
            <a:cs typeface="Consolas" pitchFamily="49" charset="0"/>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838199</xdr:colOff>
      <xdr:row>13</xdr:row>
      <xdr:rowOff>142875</xdr:rowOff>
    </xdr:from>
    <xdr:to>
      <xdr:col>7</xdr:col>
      <xdr:colOff>781049</xdr:colOff>
      <xdr:row>24</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1581150</xdr:colOff>
      <xdr:row>15</xdr:row>
      <xdr:rowOff>190499</xdr:rowOff>
    </xdr:from>
    <xdr:to>
      <xdr:col>7</xdr:col>
      <xdr:colOff>285750</xdr:colOff>
      <xdr:row>15</xdr:row>
      <xdr:rowOff>190499</xdr:rowOff>
    </xdr:to>
    <xdr:sp macro="" textlink="">
      <xdr:nvSpPr>
        <xdr:cNvPr id="4" name="Line 4"/>
        <xdr:cNvSpPr>
          <a:spLocks noChangeShapeType="1"/>
        </xdr:cNvSpPr>
      </xdr:nvSpPr>
      <xdr:spPr bwMode="auto">
        <a:xfrm>
          <a:off x="1581150" y="3952874"/>
          <a:ext cx="473392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0</xdr:col>
      <xdr:colOff>857250</xdr:colOff>
      <xdr:row>24</xdr:row>
      <xdr:rowOff>200025</xdr:rowOff>
    </xdr:from>
    <xdr:to>
      <xdr:col>7</xdr:col>
      <xdr:colOff>752475</xdr:colOff>
      <xdr:row>38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371475</xdr:colOff>
      <xdr:row>24</xdr:row>
      <xdr:rowOff>266700</xdr:rowOff>
    </xdr:from>
    <xdr:to>
      <xdr:col>11</xdr:col>
      <xdr:colOff>342900</xdr:colOff>
      <xdr:row>30</xdr:row>
      <xdr:rowOff>66675</xdr:rowOff>
    </xdr:to>
    <xdr:sp macro="" textlink="">
      <xdr:nvSpPr>
        <xdr:cNvPr id="5" name="TextBox 4"/>
        <xdr:cNvSpPr txBox="1"/>
      </xdr:nvSpPr>
      <xdr:spPr>
        <a:xfrm>
          <a:off x="2057400" y="6496050"/>
          <a:ext cx="8096250"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18.11 ::;; </a:t>
          </a:r>
        </a:p>
      </xdr:txBody>
    </xdr:sp>
    <xdr:clientData/>
  </xdr:twoCellAnchor>
</xdr:wsDr>
</file>

<file path=xl/drawings/drawing15.xml><?xml version="1.0" encoding="utf-8"?>
<c:userShapes xmlns:c="http://schemas.openxmlformats.org/drawingml/2006/chart">
  <cdr:relSizeAnchor xmlns:cdr="http://schemas.openxmlformats.org/drawingml/2006/chartDrawing">
    <cdr:from>
      <cdr:x>0.07273</cdr:x>
      <cdr:y>0.07153</cdr:y>
    </cdr:from>
    <cdr:to>
      <cdr:x>0.97415</cdr:x>
      <cdr:y>0.14735</cdr:y>
    </cdr:to>
    <cdr:sp macro="" textlink="">
      <cdr:nvSpPr>
        <cdr:cNvPr id="2" name="TextBox 9"/>
        <cdr:cNvSpPr txBox="1"/>
      </cdr:nvSpPr>
      <cdr:spPr>
        <a:xfrm xmlns:a="http://schemas.openxmlformats.org/drawingml/2006/main">
          <a:off x="443552" y="187658"/>
          <a:ext cx="5497520" cy="198904"/>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rtl="0" fontAlgn="base"/>
          <a:r>
            <a:rPr lang="en-US" sz="1100" b="1" i="0" baseline="0">
              <a:solidFill>
                <a:sysClr val="windowText" lastClr="000000"/>
              </a:solidFill>
              <a:latin typeface="Consolas" pitchFamily="49" charset="0"/>
              <a:ea typeface="+mn-ea"/>
              <a:cs typeface="Consolas" pitchFamily="49" charset="0"/>
            </a:rPr>
            <a:t>Figure 18.10: Number of beneficiaries under different pension schemes by age-groups, end 2015</a:t>
          </a:r>
        </a:p>
        <a:p xmlns:a="http://schemas.openxmlformats.org/drawingml/2006/main">
          <a:pPr algn="ctr"/>
          <a:endParaRPr lang="en-US" sz="1100">
            <a:latin typeface="Consolas" pitchFamily="49" charset="0"/>
            <a:cs typeface="Consolas" pitchFamily="49"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0.06431</cdr:x>
      <cdr:y>0.03472</cdr:y>
    </cdr:from>
    <cdr:to>
      <cdr:x>1</cdr:x>
      <cdr:y>0.13889</cdr:y>
    </cdr:to>
    <cdr:sp macro="" textlink="">
      <cdr:nvSpPr>
        <cdr:cNvPr id="2" name="TextBox 1"/>
        <cdr:cNvSpPr txBox="1"/>
      </cdr:nvSpPr>
      <cdr:spPr>
        <a:xfrm xmlns:a="http://schemas.openxmlformats.org/drawingml/2006/main">
          <a:off x="400050" y="95250"/>
          <a:ext cx="55435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691515</xdr:colOff>
      <xdr:row>12</xdr:row>
      <xdr:rowOff>165735</xdr:rowOff>
    </xdr:from>
    <xdr:to>
      <xdr:col>6</xdr:col>
      <xdr:colOff>1190625</xdr:colOff>
      <xdr:row>27</xdr:row>
      <xdr:rowOff>165735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1647824</xdr:colOff>
      <xdr:row>15</xdr:row>
      <xdr:rowOff>57150</xdr:rowOff>
    </xdr:from>
    <xdr:to>
      <xdr:col>6</xdr:col>
      <xdr:colOff>390524</xdr:colOff>
      <xdr:row>15</xdr:row>
      <xdr:rowOff>57150</xdr:rowOff>
    </xdr:to>
    <xdr:sp macro="" textlink="">
      <xdr:nvSpPr>
        <xdr:cNvPr id="4" name="Line 4"/>
        <xdr:cNvSpPr>
          <a:spLocks noChangeShapeType="1"/>
        </xdr:cNvSpPr>
      </xdr:nvSpPr>
      <xdr:spPr bwMode="auto">
        <a:xfrm flipV="1">
          <a:off x="1647824" y="3676650"/>
          <a:ext cx="555307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333375</xdr:colOff>
      <xdr:row>14</xdr:row>
      <xdr:rowOff>76200</xdr:rowOff>
    </xdr:from>
    <xdr:to>
      <xdr:col>8</xdr:col>
      <xdr:colOff>561975</xdr:colOff>
      <xdr:row>28</xdr:row>
      <xdr:rowOff>144780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295274</xdr:colOff>
      <xdr:row>30</xdr:row>
      <xdr:rowOff>104775</xdr:rowOff>
    </xdr:from>
    <xdr:to>
      <xdr:col>8</xdr:col>
      <xdr:colOff>523875</xdr:colOff>
      <xdr:row>44</xdr:row>
      <xdr:rowOff>173355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295275</xdr:colOff>
      <xdr:row>45</xdr:row>
      <xdr:rowOff>150495</xdr:rowOff>
    </xdr:from>
    <xdr:to>
      <xdr:col>8</xdr:col>
      <xdr:colOff>704850</xdr:colOff>
      <xdr:row>60</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342900</xdr:colOff>
      <xdr:row>16</xdr:row>
      <xdr:rowOff>85724</xdr:rowOff>
    </xdr:from>
    <xdr:to>
      <xdr:col>8</xdr:col>
      <xdr:colOff>238125</xdr:colOff>
      <xdr:row>16</xdr:row>
      <xdr:rowOff>85724</xdr:rowOff>
    </xdr:to>
    <xdr:sp macro="" textlink="">
      <xdr:nvSpPr>
        <xdr:cNvPr id="9" name="Line 4"/>
        <xdr:cNvSpPr>
          <a:spLocks noChangeShapeType="1"/>
        </xdr:cNvSpPr>
      </xdr:nvSpPr>
      <xdr:spPr bwMode="auto">
        <a:xfrm flipV="1">
          <a:off x="1981200" y="4210049"/>
          <a:ext cx="492442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2</xdr:col>
      <xdr:colOff>381002</xdr:colOff>
      <xdr:row>32</xdr:row>
      <xdr:rowOff>142874</xdr:rowOff>
    </xdr:from>
    <xdr:to>
      <xdr:col>7</xdr:col>
      <xdr:colOff>447676</xdr:colOff>
      <xdr:row>32</xdr:row>
      <xdr:rowOff>142874</xdr:rowOff>
    </xdr:to>
    <xdr:sp macro="" textlink="">
      <xdr:nvSpPr>
        <xdr:cNvPr id="11" name="Line 4"/>
        <xdr:cNvSpPr>
          <a:spLocks noChangeShapeType="1"/>
        </xdr:cNvSpPr>
      </xdr:nvSpPr>
      <xdr:spPr bwMode="auto">
        <a:xfrm>
          <a:off x="2019302" y="7315199"/>
          <a:ext cx="4257674"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2</xdr:col>
      <xdr:colOff>219074</xdr:colOff>
      <xdr:row>48</xdr:row>
      <xdr:rowOff>66675</xdr:rowOff>
    </xdr:from>
    <xdr:to>
      <xdr:col>7</xdr:col>
      <xdr:colOff>733425</xdr:colOff>
      <xdr:row>48</xdr:row>
      <xdr:rowOff>66675</xdr:rowOff>
    </xdr:to>
    <xdr:sp macro="" textlink="">
      <xdr:nvSpPr>
        <xdr:cNvPr id="12" name="Line 4"/>
        <xdr:cNvSpPr>
          <a:spLocks noChangeShapeType="1"/>
        </xdr:cNvSpPr>
      </xdr:nvSpPr>
      <xdr:spPr bwMode="auto">
        <a:xfrm flipV="1">
          <a:off x="1857374" y="10287000"/>
          <a:ext cx="4705351"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19.xml><?xml version="1.0" encoding="utf-8"?>
<c:userShapes xmlns:c="http://schemas.openxmlformats.org/drawingml/2006/chart">
  <cdr:relSizeAnchor xmlns:cdr="http://schemas.openxmlformats.org/drawingml/2006/chartDrawing">
    <cdr:from>
      <cdr:x>0.11455</cdr:x>
      <cdr:y>0.0087</cdr:y>
    </cdr:from>
    <cdr:to>
      <cdr:x>0.96873</cdr:x>
      <cdr:y>0.15362</cdr:y>
    </cdr:to>
    <cdr:sp macro="" textlink="">
      <cdr:nvSpPr>
        <cdr:cNvPr id="2" name="TextBox 1"/>
        <cdr:cNvSpPr txBox="1"/>
      </cdr:nvSpPr>
      <cdr:spPr>
        <a:xfrm xmlns:a="http://schemas.openxmlformats.org/drawingml/2006/main">
          <a:off x="662940" y="22860"/>
          <a:ext cx="4943476" cy="3810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rtl="0" fontAlgn="base"/>
          <a:r>
            <a:rPr lang="en-US" sz="1050" b="1" i="0" baseline="0">
              <a:latin typeface="Consolas" pitchFamily="49" charset="0"/>
              <a:ea typeface="+mn-ea"/>
              <a:cs typeface="Consolas" pitchFamily="49" charset="0"/>
            </a:rPr>
            <a:t>Figure 18.13: Number of persons contributing to retirement pension scheme by gender and sector, 2015</a:t>
          </a:r>
        </a:p>
      </cdr:txBody>
    </cdr:sp>
  </cdr:relSizeAnchor>
</c:userShapes>
</file>

<file path=xl/drawings/drawing20.xml><?xml version="1.0" encoding="utf-8"?>
<c:userShapes xmlns:c="http://schemas.openxmlformats.org/drawingml/2006/chart">
  <cdr:relSizeAnchor xmlns:cdr="http://schemas.openxmlformats.org/drawingml/2006/chartDrawing">
    <cdr:from>
      <cdr:x>0.20736</cdr:x>
      <cdr:y>0.30797</cdr:y>
    </cdr:from>
    <cdr:to>
      <cdr:x>1</cdr:x>
      <cdr:y>0.55435</cdr:y>
    </cdr:to>
    <cdr:sp macro="" textlink="">
      <cdr:nvSpPr>
        <cdr:cNvPr id="2" name="TextBox 1"/>
        <cdr:cNvSpPr txBox="1"/>
      </cdr:nvSpPr>
      <cdr:spPr>
        <a:xfrm xmlns:a="http://schemas.openxmlformats.org/drawingml/2006/main">
          <a:off x="1232536" y="809625"/>
          <a:ext cx="4594860" cy="64770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0.10483</cdr:x>
      <cdr:y>0.00942</cdr:y>
    </cdr:from>
    <cdr:to>
      <cdr:x>0.91719</cdr:x>
      <cdr:y>0.15435</cdr:y>
    </cdr:to>
    <cdr:sp macro="" textlink="">
      <cdr:nvSpPr>
        <cdr:cNvPr id="3" name="TextBox 2"/>
        <cdr:cNvSpPr txBox="1"/>
      </cdr:nvSpPr>
      <cdr:spPr>
        <a:xfrm xmlns:a="http://schemas.openxmlformats.org/drawingml/2006/main">
          <a:off x="607696" y="24765"/>
          <a:ext cx="4709160" cy="381000"/>
        </a:xfrm>
        <a:prstGeom xmlns:a="http://schemas.openxmlformats.org/drawingml/2006/main" prst="rect">
          <a:avLst/>
        </a:prstGeom>
      </cdr:spPr>
      <cdr:txBody>
        <a:bodyPr xmlns:a="http://schemas.openxmlformats.org/drawingml/2006/main" wrap="square" rtlCol="0" anchor="ctr"/>
        <a:lstStyle xmlns:a="http://schemas.openxmlformats.org/drawingml/2006/main"/>
        <a:p xmlns:a="http://schemas.openxmlformats.org/drawingml/2006/main">
          <a:pPr algn="ctr"/>
          <a:r>
            <a:rPr lang="en-US" sz="1050" b="1">
              <a:latin typeface="Consolas" pitchFamily="49" charset="0"/>
              <a:ea typeface="+mn-ea"/>
              <a:cs typeface="Consolas" pitchFamily="49" charset="0"/>
            </a:rPr>
            <a:t>Figure 18.14: Percentage share of females contributing to retirement pension scheme by sector, 2015</a:t>
          </a:r>
          <a:endParaRPr lang="en-US" sz="1050" b="1">
            <a:latin typeface="Consolas" pitchFamily="49" charset="0"/>
            <a:cs typeface="Consolas" pitchFamily="49"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0.07749</cdr:x>
      <cdr:y>0.02115</cdr:y>
    </cdr:from>
    <cdr:to>
      <cdr:x>0.90744</cdr:x>
      <cdr:y>0.1985</cdr:y>
    </cdr:to>
    <cdr:sp macro="" textlink="">
      <cdr:nvSpPr>
        <cdr:cNvPr id="2" name="TextBox 1"/>
        <cdr:cNvSpPr txBox="1"/>
      </cdr:nvSpPr>
      <cdr:spPr>
        <a:xfrm xmlns:a="http://schemas.openxmlformats.org/drawingml/2006/main">
          <a:off x="486372" y="59054"/>
          <a:ext cx="5209578" cy="49530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Figure 18.15: Percentage share of  employees contributing to the retirement                                         pension scheme by sex, 2015</a:t>
          </a:r>
          <a:endParaRPr lang="en-US">
            <a:effectLst/>
          </a:endParaRPr>
        </a:p>
        <a:p xmlns:a="http://schemas.openxmlformats.org/drawingml/2006/main">
          <a:pPr algn="ctr"/>
          <a:endParaRPr lang="en-US" sz="1100"/>
        </a:p>
      </cdr:txBody>
    </cdr:sp>
  </cdr:relSizeAnchor>
</c:userShapes>
</file>

<file path=xl/drawings/drawing22.xml><?xml version="1.0" encoding="utf-8"?>
<xdr:wsDr xmlns:xdr="http://schemas.openxmlformats.org/drawingml/2006/spreadsheetDrawing" xmlns:a="http://schemas.openxmlformats.org/drawingml/2006/main">
  <xdr:twoCellAnchor>
    <xdr:from>
      <xdr:col>0</xdr:col>
      <xdr:colOff>1704973</xdr:colOff>
      <xdr:row>33</xdr:row>
      <xdr:rowOff>123823</xdr:rowOff>
    </xdr:from>
    <xdr:to>
      <xdr:col>8</xdr:col>
      <xdr:colOff>2439329</xdr:colOff>
      <xdr:row>53</xdr:row>
      <xdr:rowOff>80211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1574132</xdr:colOff>
      <xdr:row>54</xdr:row>
      <xdr:rowOff>80210</xdr:rowOff>
    </xdr:from>
    <xdr:to>
      <xdr:col>8</xdr:col>
      <xdr:colOff>2404482</xdr:colOff>
      <xdr:row>79</xdr:row>
      <xdr:rowOff>81311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1571625</xdr:colOff>
      <xdr:row>56</xdr:row>
      <xdr:rowOff>95250</xdr:rowOff>
    </xdr:from>
    <xdr:to>
      <xdr:col>0</xdr:col>
      <xdr:colOff>2352675</xdr:colOff>
      <xdr:row>57</xdr:row>
      <xdr:rowOff>76200</xdr:rowOff>
    </xdr:to>
    <xdr:sp macro="" textlink="">
      <xdr:nvSpPr>
        <xdr:cNvPr id="6" name="TextBox 5"/>
        <xdr:cNvSpPr txBox="1"/>
      </xdr:nvSpPr>
      <xdr:spPr>
        <a:xfrm>
          <a:off x="1571625" y="13049250"/>
          <a:ext cx="7810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in numbers</a:t>
          </a:r>
        </a:p>
      </xdr:txBody>
    </xdr:sp>
    <xdr:clientData/>
  </xdr:twoCellAnchor>
  <xdr:twoCellAnchor>
    <xdr:from>
      <xdr:col>0</xdr:col>
      <xdr:colOff>2609850</xdr:colOff>
      <xdr:row>36</xdr:row>
      <xdr:rowOff>38100</xdr:rowOff>
    </xdr:from>
    <xdr:to>
      <xdr:col>8</xdr:col>
      <xdr:colOff>1533525</xdr:colOff>
      <xdr:row>36</xdr:row>
      <xdr:rowOff>38100</xdr:rowOff>
    </xdr:to>
    <xdr:sp macro="" textlink="">
      <xdr:nvSpPr>
        <xdr:cNvPr id="7" name="Line 4"/>
        <xdr:cNvSpPr>
          <a:spLocks noChangeShapeType="1"/>
        </xdr:cNvSpPr>
      </xdr:nvSpPr>
      <xdr:spPr bwMode="auto">
        <a:xfrm flipV="1">
          <a:off x="2609850" y="9182100"/>
          <a:ext cx="657225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0</xdr:col>
      <xdr:colOff>2590799</xdr:colOff>
      <xdr:row>56</xdr:row>
      <xdr:rowOff>152400</xdr:rowOff>
    </xdr:from>
    <xdr:to>
      <xdr:col>8</xdr:col>
      <xdr:colOff>1504949</xdr:colOff>
      <xdr:row>56</xdr:row>
      <xdr:rowOff>152400</xdr:rowOff>
    </xdr:to>
    <xdr:sp macro="" textlink="">
      <xdr:nvSpPr>
        <xdr:cNvPr id="8" name="Line 4"/>
        <xdr:cNvSpPr>
          <a:spLocks noChangeShapeType="1"/>
        </xdr:cNvSpPr>
      </xdr:nvSpPr>
      <xdr:spPr bwMode="auto">
        <a:xfrm flipV="1">
          <a:off x="2590799" y="13106400"/>
          <a:ext cx="656272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1733549</xdr:colOff>
      <xdr:row>31</xdr:row>
      <xdr:rowOff>171449</xdr:rowOff>
    </xdr:from>
    <xdr:to>
      <xdr:col>8</xdr:col>
      <xdr:colOff>390524</xdr:colOff>
      <xdr:row>46</xdr:row>
      <xdr:rowOff>161924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34</xdr:row>
      <xdr:rowOff>95249</xdr:rowOff>
    </xdr:from>
    <xdr:to>
      <xdr:col>7</xdr:col>
      <xdr:colOff>342899</xdr:colOff>
      <xdr:row>34</xdr:row>
      <xdr:rowOff>95249</xdr:rowOff>
    </xdr:to>
    <xdr:sp macro="" textlink="">
      <xdr:nvSpPr>
        <xdr:cNvPr id="4" name="Line 4"/>
        <xdr:cNvSpPr>
          <a:spLocks noChangeShapeType="1"/>
        </xdr:cNvSpPr>
      </xdr:nvSpPr>
      <xdr:spPr bwMode="auto">
        <a:xfrm flipV="1">
          <a:off x="2743200" y="9372599"/>
          <a:ext cx="4648199"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981074</xdr:colOff>
      <xdr:row>32</xdr:row>
      <xdr:rowOff>123823</xdr:rowOff>
    </xdr:from>
    <xdr:to>
      <xdr:col>5</xdr:col>
      <xdr:colOff>2743200</xdr:colOff>
      <xdr:row>52</xdr:row>
      <xdr:rowOff>98612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1963271</xdr:colOff>
      <xdr:row>34</xdr:row>
      <xdr:rowOff>232189</xdr:rowOff>
    </xdr:from>
    <xdr:to>
      <xdr:col>5</xdr:col>
      <xdr:colOff>2447364</xdr:colOff>
      <xdr:row>34</xdr:row>
      <xdr:rowOff>277908</xdr:rowOff>
    </xdr:to>
    <xdr:sp macro="" textlink="">
      <xdr:nvSpPr>
        <xdr:cNvPr id="3" name="Line 4"/>
        <xdr:cNvSpPr>
          <a:spLocks noChangeShapeType="1"/>
        </xdr:cNvSpPr>
      </xdr:nvSpPr>
      <xdr:spPr bwMode="auto">
        <a:xfrm flipV="1">
          <a:off x="1963271" y="9277577"/>
          <a:ext cx="6929717" cy="45719"/>
        </a:xfrm>
        <a:prstGeom prst="line">
          <a:avLst/>
        </a:prstGeom>
        <a:noFill/>
        <a:ln w="19050">
          <a:solidFill>
            <a:srgbClr val="7030A0"/>
          </a:solidFill>
          <a:round/>
          <a:headEnd/>
          <a:tailEnd/>
        </a:ln>
      </xdr:spPr>
    </xdr:sp>
    <xdr:clientData/>
  </xdr:twoCellAnchor>
  <xdr:twoCellAnchor>
    <xdr:from>
      <xdr:col>0</xdr:col>
      <xdr:colOff>2017058</xdr:colOff>
      <xdr:row>32</xdr:row>
      <xdr:rowOff>152400</xdr:rowOff>
    </xdr:from>
    <xdr:to>
      <xdr:col>5</xdr:col>
      <xdr:colOff>2429435</xdr:colOff>
      <xdr:row>34</xdr:row>
      <xdr:rowOff>233083</xdr:rowOff>
    </xdr:to>
    <xdr:sp macro="" textlink="">
      <xdr:nvSpPr>
        <xdr:cNvPr id="5" name="TextBox 4"/>
        <xdr:cNvSpPr txBox="1"/>
      </xdr:nvSpPr>
      <xdr:spPr>
        <a:xfrm>
          <a:off x="2017058" y="8839200"/>
          <a:ext cx="6858001" cy="439271"/>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latin typeface="Consolas" pitchFamily="49" charset="0"/>
              <a:ea typeface="+mn-ea"/>
              <a:cs typeface="Consolas" pitchFamily="49" charset="0"/>
            </a:rPr>
            <a:t>Figure 18.15: Percentage distribution of employees registered  in the retirement pension scheme by sector, 2014</a:t>
          </a:r>
        </a:p>
        <a:p>
          <a:pPr algn="ctr"/>
          <a:endParaRPr lang="en-US" sz="1100"/>
        </a:p>
      </xdr:txBody>
    </xdr:sp>
    <xdr:clientData/>
  </xdr:twoCellAnchor>
  <xdr:twoCellAnchor>
    <xdr:from>
      <xdr:col>0</xdr:col>
      <xdr:colOff>981074</xdr:colOff>
      <xdr:row>32</xdr:row>
      <xdr:rowOff>123823</xdr:rowOff>
    </xdr:from>
    <xdr:to>
      <xdr:col>5</xdr:col>
      <xdr:colOff>2743200</xdr:colOff>
      <xdr:row>52</xdr:row>
      <xdr:rowOff>98612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2017058</xdr:colOff>
      <xdr:row>32</xdr:row>
      <xdr:rowOff>152401</xdr:rowOff>
    </xdr:from>
    <xdr:to>
      <xdr:col>5</xdr:col>
      <xdr:colOff>2429435</xdr:colOff>
      <xdr:row>34</xdr:row>
      <xdr:rowOff>133351</xdr:rowOff>
    </xdr:to>
    <xdr:sp macro="" textlink="">
      <xdr:nvSpPr>
        <xdr:cNvPr id="8" name="TextBox 7"/>
        <xdr:cNvSpPr txBox="1"/>
      </xdr:nvSpPr>
      <xdr:spPr>
        <a:xfrm>
          <a:off x="2017058" y="8867776"/>
          <a:ext cx="6146427"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latin typeface="Consolas" pitchFamily="49" charset="0"/>
              <a:ea typeface="+mn-ea"/>
              <a:cs typeface="Consolas" pitchFamily="49" charset="0"/>
            </a:rPr>
            <a:t>Figure 18.19: Percentage distribution of employees registered  in the retirement pension scheme by sector, 2015</a:t>
          </a:r>
        </a:p>
        <a:p>
          <a:pPr algn="ctr"/>
          <a:endParaRPr lang="en-US" sz="1100"/>
        </a:p>
      </xdr:txBody>
    </xdr:sp>
    <xdr:clientData/>
  </xdr:twoCellAnchor>
  <xdr:twoCellAnchor>
    <xdr:from>
      <xdr:col>0</xdr:col>
      <xdr:colOff>2362200</xdr:colOff>
      <xdr:row>34</xdr:row>
      <xdr:rowOff>180975</xdr:rowOff>
    </xdr:from>
    <xdr:to>
      <xdr:col>5</xdr:col>
      <xdr:colOff>2095500</xdr:colOff>
      <xdr:row>34</xdr:row>
      <xdr:rowOff>180975</xdr:rowOff>
    </xdr:to>
    <xdr:sp macro="" textlink="">
      <xdr:nvSpPr>
        <xdr:cNvPr id="9" name="Line 4"/>
        <xdr:cNvSpPr>
          <a:spLocks noChangeShapeType="1"/>
        </xdr:cNvSpPr>
      </xdr:nvSpPr>
      <xdr:spPr bwMode="auto">
        <a:xfrm flipV="1">
          <a:off x="2362200" y="8743950"/>
          <a:ext cx="546735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25.xml><?xml version="1.0" encoding="utf-8"?>
<c:userShapes xmlns:c="http://schemas.openxmlformats.org/drawingml/2006/chart">
  <cdr:relSizeAnchor xmlns:cdr="http://schemas.openxmlformats.org/drawingml/2006/chartDrawing">
    <cdr:from>
      <cdr:x>0.20814</cdr:x>
      <cdr:y>0.20033</cdr:y>
    </cdr:from>
    <cdr:to>
      <cdr:x>0.95194</cdr:x>
      <cdr:y>0.40914</cdr:y>
    </cdr:to>
    <cdr:sp macro="" textlink="">
      <cdr:nvSpPr>
        <cdr:cNvPr id="2" name="TextBox 1"/>
        <cdr:cNvSpPr txBox="1"/>
      </cdr:nvSpPr>
      <cdr:spPr>
        <a:xfrm xmlns:a="http://schemas.openxmlformats.org/drawingml/2006/main">
          <a:off x="1708338" y="808506"/>
          <a:ext cx="6104964" cy="842683"/>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userShapes>
</file>

<file path=xl/drawings/drawing26.xml><?xml version="1.0" encoding="utf-8"?>
<c:userShapes xmlns:c="http://schemas.openxmlformats.org/drawingml/2006/chart">
  <cdr:relSizeAnchor xmlns:cdr="http://schemas.openxmlformats.org/drawingml/2006/chartDrawing">
    <cdr:from>
      <cdr:x>0.20814</cdr:x>
      <cdr:y>0.20033</cdr:y>
    </cdr:from>
    <cdr:to>
      <cdr:x>0.95194</cdr:x>
      <cdr:y>0.40914</cdr:y>
    </cdr:to>
    <cdr:sp macro="" textlink="">
      <cdr:nvSpPr>
        <cdr:cNvPr id="2" name="TextBox 1"/>
        <cdr:cNvSpPr txBox="1"/>
      </cdr:nvSpPr>
      <cdr:spPr>
        <a:xfrm xmlns:a="http://schemas.openxmlformats.org/drawingml/2006/main">
          <a:off x="1708338" y="808506"/>
          <a:ext cx="6104964" cy="842683"/>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userShapes>
</file>

<file path=xl/drawings/drawing27.xml><?xml version="1.0" encoding="utf-8"?>
<xdr:wsDr xmlns:xdr="http://schemas.openxmlformats.org/drawingml/2006/spreadsheetDrawing" xmlns:a="http://schemas.openxmlformats.org/drawingml/2006/main">
  <xdr:twoCellAnchor>
    <xdr:from>
      <xdr:col>1</xdr:col>
      <xdr:colOff>0</xdr:colOff>
      <xdr:row>20</xdr:row>
      <xdr:rowOff>200024</xdr:rowOff>
    </xdr:from>
    <xdr:to>
      <xdr:col>16</xdr:col>
      <xdr:colOff>485775</xdr:colOff>
      <xdr:row>38</xdr:row>
      <xdr:rowOff>38099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23</xdr:row>
      <xdr:rowOff>47625</xdr:rowOff>
    </xdr:from>
    <xdr:to>
      <xdr:col>16</xdr:col>
      <xdr:colOff>371475</xdr:colOff>
      <xdr:row>23</xdr:row>
      <xdr:rowOff>47625</xdr:rowOff>
    </xdr:to>
    <xdr:sp macro="" textlink="">
      <xdr:nvSpPr>
        <xdr:cNvPr id="4" name="Line 4"/>
        <xdr:cNvSpPr>
          <a:spLocks noChangeShapeType="1"/>
        </xdr:cNvSpPr>
      </xdr:nvSpPr>
      <xdr:spPr bwMode="auto">
        <a:xfrm flipV="1">
          <a:off x="3086100" y="5495925"/>
          <a:ext cx="506730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590550</xdr:colOff>
      <xdr:row>70</xdr:row>
      <xdr:rowOff>85724</xdr:rowOff>
    </xdr:from>
    <xdr:to>
      <xdr:col>7</xdr:col>
      <xdr:colOff>771525</xdr:colOff>
      <xdr:row>88</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1704974</xdr:colOff>
      <xdr:row>72</xdr:row>
      <xdr:rowOff>161925</xdr:rowOff>
    </xdr:from>
    <xdr:to>
      <xdr:col>7</xdr:col>
      <xdr:colOff>85724</xdr:colOff>
      <xdr:row>72</xdr:row>
      <xdr:rowOff>171450</xdr:rowOff>
    </xdr:to>
    <xdr:sp macro="" textlink="">
      <xdr:nvSpPr>
        <xdr:cNvPr id="4" name="Line 4"/>
        <xdr:cNvSpPr>
          <a:spLocks noChangeShapeType="1"/>
        </xdr:cNvSpPr>
      </xdr:nvSpPr>
      <xdr:spPr bwMode="auto">
        <a:xfrm flipV="1">
          <a:off x="1704974" y="15868650"/>
          <a:ext cx="5762625" cy="9525"/>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29.xml><?xml version="1.0" encoding="utf-8"?>
<c:userShapes xmlns:c="http://schemas.openxmlformats.org/drawingml/2006/chart">
  <cdr:relSizeAnchor xmlns:cdr="http://schemas.openxmlformats.org/drawingml/2006/chartDrawing">
    <cdr:from>
      <cdr:x>0.00756</cdr:x>
      <cdr:y>0.11247</cdr:y>
    </cdr:from>
    <cdr:to>
      <cdr:x>0.17128</cdr:x>
      <cdr:y>0.17514</cdr:y>
    </cdr:to>
    <cdr:sp macro="" textlink="">
      <cdr:nvSpPr>
        <cdr:cNvPr id="2" name="TextBox 1"/>
        <cdr:cNvSpPr txBox="1"/>
      </cdr:nvSpPr>
      <cdr:spPr>
        <a:xfrm xmlns:a="http://schemas.openxmlformats.org/drawingml/2006/main">
          <a:off x="57149" y="379220"/>
          <a:ext cx="1238251" cy="2113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Number of persons</a:t>
          </a:r>
        </a:p>
      </cdr:txBody>
    </cdr:sp>
  </cdr:relSizeAnchor>
</c:userShapes>
</file>

<file path=xl/drawings/drawing30.xml><?xml version="1.0" encoding="utf-8"?>
<xdr:wsDr xmlns:xdr="http://schemas.openxmlformats.org/drawingml/2006/spreadsheetDrawing" xmlns:a="http://schemas.openxmlformats.org/drawingml/2006/main">
  <xdr:twoCellAnchor>
    <xdr:from>
      <xdr:col>0</xdr:col>
      <xdr:colOff>238125</xdr:colOff>
      <xdr:row>40</xdr:row>
      <xdr:rowOff>0</xdr:rowOff>
    </xdr:from>
    <xdr:to>
      <xdr:col>7</xdr:col>
      <xdr:colOff>666750</xdr:colOff>
      <xdr:row>53</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581024</xdr:colOff>
      <xdr:row>41</xdr:row>
      <xdr:rowOff>47625</xdr:rowOff>
    </xdr:from>
    <xdr:to>
      <xdr:col>7</xdr:col>
      <xdr:colOff>504824</xdr:colOff>
      <xdr:row>41</xdr:row>
      <xdr:rowOff>47625</xdr:rowOff>
    </xdr:to>
    <xdr:sp macro="" textlink="">
      <xdr:nvSpPr>
        <xdr:cNvPr id="3" name="Line 4"/>
        <xdr:cNvSpPr>
          <a:spLocks noChangeShapeType="1"/>
        </xdr:cNvSpPr>
      </xdr:nvSpPr>
      <xdr:spPr bwMode="auto">
        <a:xfrm>
          <a:off x="581024" y="10477500"/>
          <a:ext cx="663892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0</xdr:col>
      <xdr:colOff>533400</xdr:colOff>
      <xdr:row>40</xdr:row>
      <xdr:rowOff>19050</xdr:rowOff>
    </xdr:from>
    <xdr:to>
      <xdr:col>7</xdr:col>
      <xdr:colOff>657225</xdr:colOff>
      <xdr:row>41</xdr:row>
      <xdr:rowOff>38100</xdr:rowOff>
    </xdr:to>
    <xdr:sp macro="" textlink="">
      <xdr:nvSpPr>
        <xdr:cNvPr id="6" name="TextBox 5"/>
        <xdr:cNvSpPr txBox="1"/>
      </xdr:nvSpPr>
      <xdr:spPr>
        <a:xfrm>
          <a:off x="533400" y="10229850"/>
          <a:ext cx="68389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Figure 18.22:  GOVERNMENT EXPENDITURE ON  DIFFERENT SOCIAL PROTECTION SCHEMES BY TYPE,  2014  -  2015</a:t>
          </a:r>
          <a:endParaRPr lang="en-US">
            <a:effectLst/>
          </a:endParaRPr>
        </a:p>
        <a:p>
          <a:endParaRPr lang="en-US" sz="1100"/>
        </a:p>
      </xdr:txBody>
    </xdr:sp>
    <xdr:clientData/>
  </xdr:twoCellAnchor>
  <xdr:twoCellAnchor>
    <xdr:from>
      <xdr:col>0</xdr:col>
      <xdr:colOff>304804</xdr:colOff>
      <xdr:row>42</xdr:row>
      <xdr:rowOff>76200</xdr:rowOff>
    </xdr:from>
    <xdr:to>
      <xdr:col>0</xdr:col>
      <xdr:colOff>523876</xdr:colOff>
      <xdr:row>51</xdr:row>
      <xdr:rowOff>38099</xdr:rowOff>
    </xdr:to>
    <xdr:sp macro="" textlink="">
      <xdr:nvSpPr>
        <xdr:cNvPr id="7" name="TextBox 6"/>
        <xdr:cNvSpPr txBox="1"/>
      </xdr:nvSpPr>
      <xdr:spPr>
        <a:xfrm rot="16200000">
          <a:off x="-438147" y="11468101"/>
          <a:ext cx="1704974" cy="2190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dk1"/>
              </a:solidFill>
              <a:effectLst/>
              <a:latin typeface="+mn-lt"/>
              <a:ea typeface="+mn-ea"/>
              <a:cs typeface="+mn-cs"/>
            </a:rPr>
            <a:t>Expenditure (in Million MVR)</a:t>
          </a:r>
          <a:endParaRPr lang="en-US" sz="1000">
            <a:effectLst/>
          </a:endParaRPr>
        </a:p>
        <a:p>
          <a:endParaRPr lang="en-US" sz="10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238125</xdr:colOff>
      <xdr:row>39</xdr:row>
      <xdr:rowOff>137161</xdr:rowOff>
    </xdr:from>
    <xdr:to>
      <xdr:col>7</xdr:col>
      <xdr:colOff>200024</xdr:colOff>
      <xdr:row>52</xdr:row>
      <xdr:rowOff>15240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476250</xdr:colOff>
      <xdr:row>41</xdr:row>
      <xdr:rowOff>114299</xdr:rowOff>
    </xdr:from>
    <xdr:to>
      <xdr:col>6</xdr:col>
      <xdr:colOff>809625</xdr:colOff>
      <xdr:row>41</xdr:row>
      <xdr:rowOff>114299</xdr:rowOff>
    </xdr:to>
    <xdr:sp macro="" textlink="">
      <xdr:nvSpPr>
        <xdr:cNvPr id="5" name="Line 4"/>
        <xdr:cNvSpPr>
          <a:spLocks noChangeShapeType="1"/>
        </xdr:cNvSpPr>
      </xdr:nvSpPr>
      <xdr:spPr bwMode="auto">
        <a:xfrm>
          <a:off x="1257300" y="10629899"/>
          <a:ext cx="535305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1</xdr:col>
      <xdr:colOff>257175</xdr:colOff>
      <xdr:row>25</xdr:row>
      <xdr:rowOff>228600</xdr:rowOff>
    </xdr:from>
    <xdr:to>
      <xdr:col>7</xdr:col>
      <xdr:colOff>352425</xdr:colOff>
      <xdr:row>37</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27</xdr:row>
      <xdr:rowOff>114300</xdr:rowOff>
    </xdr:from>
    <xdr:to>
      <xdr:col>6</xdr:col>
      <xdr:colOff>371475</xdr:colOff>
      <xdr:row>27</xdr:row>
      <xdr:rowOff>114300</xdr:rowOff>
    </xdr:to>
    <xdr:sp macro="" textlink="">
      <xdr:nvSpPr>
        <xdr:cNvPr id="4" name="Line 4"/>
        <xdr:cNvSpPr>
          <a:spLocks noChangeShapeType="1"/>
        </xdr:cNvSpPr>
      </xdr:nvSpPr>
      <xdr:spPr bwMode="auto">
        <a:xfrm>
          <a:off x="2276475" y="7296150"/>
          <a:ext cx="3895725"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1</xdr:col>
      <xdr:colOff>419101</xdr:colOff>
      <xdr:row>40</xdr:row>
      <xdr:rowOff>76201</xdr:rowOff>
    </xdr:from>
    <xdr:to>
      <xdr:col>6</xdr:col>
      <xdr:colOff>923926</xdr:colOff>
      <xdr:row>41</xdr:row>
      <xdr:rowOff>85726</xdr:rowOff>
    </xdr:to>
    <xdr:sp macro="" textlink="">
      <xdr:nvSpPr>
        <xdr:cNvPr id="7" name="TextBox 6"/>
        <xdr:cNvSpPr txBox="1"/>
      </xdr:nvSpPr>
      <xdr:spPr>
        <a:xfrm>
          <a:off x="1200151" y="10353676"/>
          <a:ext cx="5524500" cy="2476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Figure 18.24: Percentage share of Aasandha Expenditure for Overseas, Male' &amp; Atolls, 2015</a:t>
          </a:r>
          <a:endParaRPr lang="en-US" sz="1100" b="1"/>
        </a:p>
      </xdr:txBody>
    </xdr:sp>
    <xdr:clientData/>
  </xdr:twoCellAnchor>
</xdr:wsDr>
</file>

<file path=xl/drawings/drawing32.xml><?xml version="1.0" encoding="utf-8"?>
<c:userShapes xmlns:c="http://schemas.openxmlformats.org/drawingml/2006/chart">
  <cdr:relSizeAnchor xmlns:cdr="http://schemas.openxmlformats.org/drawingml/2006/chartDrawing">
    <cdr:from>
      <cdr:x>0.20312</cdr:x>
      <cdr:y>0.03125</cdr:y>
    </cdr:from>
    <cdr:to>
      <cdr:x>0.84688</cdr:x>
      <cdr:y>0.13194</cdr:y>
    </cdr:to>
    <cdr:sp macro="" textlink="">
      <cdr:nvSpPr>
        <cdr:cNvPr id="2" name="TextBox 1"/>
        <cdr:cNvSpPr txBox="1"/>
      </cdr:nvSpPr>
      <cdr:spPr>
        <a:xfrm xmlns:a="http://schemas.openxmlformats.org/drawingml/2006/main">
          <a:off x="1238249" y="85725"/>
          <a:ext cx="3924301"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andara" pitchFamily="34" charset="0"/>
              <a:ea typeface="+mn-ea"/>
              <a:cs typeface="+mn-cs"/>
            </a:rPr>
            <a:t>Figure 18.23:  Expenditure on Aasandha by locality, 2014 - 2015</a:t>
          </a:r>
          <a:endParaRPr lang="en-US">
            <a:effectLst/>
            <a:latin typeface="Candara" pitchFamily="34" charset="0"/>
          </a:endParaRPr>
        </a:p>
        <a:p xmlns:a="http://schemas.openxmlformats.org/drawingml/2006/main">
          <a:endParaRPr lang="en-US" sz="1100"/>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1628774</xdr:colOff>
      <xdr:row>66</xdr:row>
      <xdr:rowOff>55999</xdr:rowOff>
    </xdr:from>
    <xdr:to>
      <xdr:col>6</xdr:col>
      <xdr:colOff>733424</xdr:colOff>
      <xdr:row>82</xdr:row>
      <xdr:rowOff>85724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657225</xdr:colOff>
      <xdr:row>67</xdr:row>
      <xdr:rowOff>180974</xdr:rowOff>
    </xdr:from>
    <xdr:to>
      <xdr:col>5</xdr:col>
      <xdr:colOff>904875</xdr:colOff>
      <xdr:row>67</xdr:row>
      <xdr:rowOff>190499</xdr:rowOff>
    </xdr:to>
    <xdr:sp macro="" textlink="">
      <xdr:nvSpPr>
        <xdr:cNvPr id="3" name="Line 4"/>
        <xdr:cNvSpPr>
          <a:spLocks noChangeShapeType="1"/>
        </xdr:cNvSpPr>
      </xdr:nvSpPr>
      <xdr:spPr bwMode="auto">
        <a:xfrm>
          <a:off x="2571750" y="14868524"/>
          <a:ext cx="4610100" cy="9525"/>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34.xml><?xml version="1.0" encoding="utf-8"?>
<c:userShapes xmlns:c="http://schemas.openxmlformats.org/drawingml/2006/chart">
  <cdr:relSizeAnchor xmlns:cdr="http://schemas.openxmlformats.org/drawingml/2006/chartDrawing">
    <cdr:from>
      <cdr:x>0.67885</cdr:x>
      <cdr:y>0.49069</cdr:y>
    </cdr:from>
    <cdr:to>
      <cdr:x>0.70422</cdr:x>
      <cdr:y>0.53978</cdr:y>
    </cdr:to>
    <cdr:cxnSp macro="">
      <cdr:nvCxnSpPr>
        <cdr:cNvPr id="7" name="Straight Connector 6"/>
        <cdr:cNvCxnSpPr/>
      </cdr:nvCxnSpPr>
      <cdr:spPr>
        <a:xfrm xmlns:a="http://schemas.openxmlformats.org/drawingml/2006/main" flipV="1">
          <a:off x="4363495" y="1499969"/>
          <a:ext cx="163099" cy="150052"/>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0.68037</cdr:x>
      <cdr:y>0.56432</cdr:y>
    </cdr:from>
    <cdr:to>
      <cdr:x>0.73974</cdr:x>
      <cdr:y>0.57926</cdr:y>
    </cdr:to>
    <cdr:cxnSp macro="">
      <cdr:nvCxnSpPr>
        <cdr:cNvPr id="10" name="Straight Connector 9"/>
        <cdr:cNvCxnSpPr/>
      </cdr:nvCxnSpPr>
      <cdr:spPr>
        <a:xfrm xmlns:a="http://schemas.openxmlformats.org/drawingml/2006/main" flipV="1">
          <a:off x="4373281" y="1725046"/>
          <a:ext cx="381652" cy="45668"/>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0.67682</cdr:x>
      <cdr:y>0.65823</cdr:y>
    </cdr:from>
    <cdr:to>
      <cdr:x>0.69762</cdr:x>
      <cdr:y>0.67103</cdr:y>
    </cdr:to>
    <cdr:cxnSp macro="">
      <cdr:nvCxnSpPr>
        <cdr:cNvPr id="12" name="Straight Connector 11"/>
        <cdr:cNvCxnSpPr/>
      </cdr:nvCxnSpPr>
      <cdr:spPr>
        <a:xfrm xmlns:a="http://schemas.openxmlformats.org/drawingml/2006/main">
          <a:off x="4350447" y="2012101"/>
          <a:ext cx="133741" cy="39143"/>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0.66058</cdr:x>
      <cdr:y>0.73613</cdr:y>
    </cdr:from>
    <cdr:to>
      <cdr:x>0.69356</cdr:x>
      <cdr:y>0.79268</cdr:y>
    </cdr:to>
    <cdr:cxnSp macro="">
      <cdr:nvCxnSpPr>
        <cdr:cNvPr id="14" name="Straight Connector 13"/>
        <cdr:cNvCxnSpPr/>
      </cdr:nvCxnSpPr>
      <cdr:spPr>
        <a:xfrm xmlns:a="http://schemas.openxmlformats.org/drawingml/2006/main">
          <a:off x="4246063" y="2250226"/>
          <a:ext cx="212029" cy="172885"/>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5.xml><?xml version="1.0" encoding="utf-8"?>
<xdr:wsDr xmlns:xdr="http://schemas.openxmlformats.org/drawingml/2006/spreadsheetDrawing" xmlns:a="http://schemas.openxmlformats.org/drawingml/2006/main">
  <xdr:twoCellAnchor>
    <xdr:from>
      <xdr:col>0</xdr:col>
      <xdr:colOff>109654</xdr:colOff>
      <xdr:row>32</xdr:row>
      <xdr:rowOff>185420</xdr:rowOff>
    </xdr:from>
    <xdr:to>
      <xdr:col>5</xdr:col>
      <xdr:colOff>1997075</xdr:colOff>
      <xdr:row>51</xdr:row>
      <xdr:rowOff>82550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657225</xdr:colOff>
      <xdr:row>35</xdr:row>
      <xdr:rowOff>1</xdr:rowOff>
    </xdr:from>
    <xdr:to>
      <xdr:col>5</xdr:col>
      <xdr:colOff>447675</xdr:colOff>
      <xdr:row>35</xdr:row>
      <xdr:rowOff>1</xdr:rowOff>
    </xdr:to>
    <xdr:sp macro="" textlink="">
      <xdr:nvSpPr>
        <xdr:cNvPr id="3" name="Line 4"/>
        <xdr:cNvSpPr>
          <a:spLocks noChangeShapeType="1"/>
        </xdr:cNvSpPr>
      </xdr:nvSpPr>
      <xdr:spPr bwMode="auto">
        <a:xfrm>
          <a:off x="2324100" y="7439026"/>
          <a:ext cx="531495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36.xml><?xml version="1.0" encoding="utf-8"?>
<c:userShapes xmlns:c="http://schemas.openxmlformats.org/drawingml/2006/chart">
  <cdr:relSizeAnchor xmlns:cdr="http://schemas.openxmlformats.org/drawingml/2006/chartDrawing">
    <cdr:from>
      <cdr:x>0.01414</cdr:x>
      <cdr:y>0.06944</cdr:y>
    </cdr:from>
    <cdr:to>
      <cdr:x>0.11521</cdr:x>
      <cdr:y>0.12271</cdr:y>
    </cdr:to>
    <cdr:sp macro="" textlink="">
      <cdr:nvSpPr>
        <cdr:cNvPr id="2" name="TextBox 1"/>
        <cdr:cNvSpPr txBox="1"/>
      </cdr:nvSpPr>
      <cdr:spPr>
        <a:xfrm xmlns:a="http://schemas.openxmlformats.org/drawingml/2006/main">
          <a:off x="104775" y="190500"/>
          <a:ext cx="748965" cy="1461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800" b="1"/>
            <a:t>MVR</a:t>
          </a:r>
        </a:p>
      </cdr:txBody>
    </cdr:sp>
  </cdr:relSizeAnchor>
</c:userShapes>
</file>

<file path=xl/drawings/drawing37.xml><?xml version="1.0" encoding="utf-8"?>
<xdr:wsDr xmlns:xdr="http://schemas.openxmlformats.org/drawingml/2006/spreadsheetDrawing" xmlns:a="http://schemas.openxmlformats.org/drawingml/2006/main">
  <xdr:twoCellAnchor>
    <xdr:from>
      <xdr:col>3</xdr:col>
      <xdr:colOff>542925</xdr:colOff>
      <xdr:row>20</xdr:row>
      <xdr:rowOff>191771</xdr:rowOff>
    </xdr:from>
    <xdr:to>
      <xdr:col>13</xdr:col>
      <xdr:colOff>628650</xdr:colOff>
      <xdr:row>36</xdr:row>
      <xdr:rowOff>0</xdr:rowOff>
    </xdr:to>
    <xdr:graphicFrame macro="">
      <xdr:nvGraphicFramePr>
        <xdr:cNvPr id="2"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549486</xdr:colOff>
      <xdr:row>75</xdr:row>
      <xdr:rowOff>99906</xdr:rowOff>
    </xdr:from>
    <xdr:to>
      <xdr:col>12</xdr:col>
      <xdr:colOff>838200</xdr:colOff>
      <xdr:row>92</xdr:row>
      <xdr:rowOff>68368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519643</xdr:colOff>
      <xdr:row>37</xdr:row>
      <xdr:rowOff>154517</xdr:rowOff>
    </xdr:from>
    <xdr:to>
      <xdr:col>13</xdr:col>
      <xdr:colOff>647701</xdr:colOff>
      <xdr:row>51</xdr:row>
      <xdr:rowOff>92922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428625</xdr:colOff>
      <xdr:row>22</xdr:row>
      <xdr:rowOff>114299</xdr:rowOff>
    </xdr:from>
    <xdr:to>
      <xdr:col>11</xdr:col>
      <xdr:colOff>476250</xdr:colOff>
      <xdr:row>22</xdr:row>
      <xdr:rowOff>114299</xdr:rowOff>
    </xdr:to>
    <xdr:sp macro="" textlink="">
      <xdr:nvSpPr>
        <xdr:cNvPr id="5" name="Line 4"/>
        <xdr:cNvSpPr>
          <a:spLocks noChangeShapeType="1"/>
        </xdr:cNvSpPr>
      </xdr:nvSpPr>
      <xdr:spPr bwMode="auto">
        <a:xfrm>
          <a:off x="4867275" y="5476874"/>
          <a:ext cx="411480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6</xdr:col>
      <xdr:colOff>209550</xdr:colOff>
      <xdr:row>39</xdr:row>
      <xdr:rowOff>114300</xdr:rowOff>
    </xdr:from>
    <xdr:to>
      <xdr:col>11</xdr:col>
      <xdr:colOff>809625</xdr:colOff>
      <xdr:row>39</xdr:row>
      <xdr:rowOff>114300</xdr:rowOff>
    </xdr:to>
    <xdr:sp macro="" textlink="">
      <xdr:nvSpPr>
        <xdr:cNvPr id="6" name="Line 4"/>
        <xdr:cNvSpPr>
          <a:spLocks noChangeShapeType="1"/>
        </xdr:cNvSpPr>
      </xdr:nvSpPr>
      <xdr:spPr bwMode="auto">
        <a:xfrm flipV="1">
          <a:off x="4648200" y="8715375"/>
          <a:ext cx="4667250"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drawings/drawing38.xml><?xml version="1.0" encoding="utf-8"?>
<c:userShapes xmlns:c="http://schemas.openxmlformats.org/drawingml/2006/chart">
  <cdr:relSizeAnchor xmlns:cdr="http://schemas.openxmlformats.org/drawingml/2006/chartDrawing">
    <cdr:from>
      <cdr:x>0.01858</cdr:x>
      <cdr:y>0.04243</cdr:y>
    </cdr:from>
    <cdr:to>
      <cdr:x>0.126</cdr:x>
      <cdr:y>0.12425</cdr:y>
    </cdr:to>
    <cdr:sp macro="" textlink="">
      <cdr:nvSpPr>
        <cdr:cNvPr id="2" name="TextBox 1"/>
        <cdr:cNvSpPr txBox="1"/>
      </cdr:nvSpPr>
      <cdr:spPr>
        <a:xfrm xmlns:a="http://schemas.openxmlformats.org/drawingml/2006/main">
          <a:off x="138431" y="133363"/>
          <a:ext cx="800123" cy="257181"/>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800"/>
            <a:t>MVR</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ifaza\AppData\Local\Microsoft\Windows\INetCache\Content.Outlook\ODPSUPO0\Documents%20and%20Settings\f.shifaza\Application%20Data\Microsoft\Excel\18.%20SOCIAL%20PROTECTION%20_%2029%20July%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 "/>
      <sheetName val="18.2 "/>
      <sheetName val="Figures"/>
      <sheetName val="18.3"/>
      <sheetName val="18.4"/>
      <sheetName val="18.5 new"/>
      <sheetName val="18.6"/>
      <sheetName val="18.7"/>
      <sheetName val="18.8"/>
      <sheetName val="18.9"/>
      <sheetName val="18.10"/>
      <sheetName val="Sheet1"/>
      <sheetName val="18.11"/>
      <sheetName val="18.12"/>
      <sheetName val="18.13"/>
      <sheetName val="18.14"/>
      <sheetName val="18.15"/>
      <sheetName val="18.16"/>
      <sheetName val="18.17"/>
    </sheetNames>
    <sheetDataSet>
      <sheetData sheetId="0"/>
      <sheetData sheetId="1"/>
      <sheetData sheetId="2"/>
      <sheetData sheetId="3"/>
      <sheetData sheetId="4"/>
      <sheetData sheetId="5"/>
      <sheetData sheetId="6"/>
      <sheetData sheetId="7"/>
      <sheetData sheetId="8"/>
      <sheetData sheetId="9">
        <row r="5">
          <cell r="C5">
            <v>2010</v>
          </cell>
          <cell r="D5">
            <v>2011</v>
          </cell>
          <cell r="E5">
            <v>2012</v>
          </cell>
        </row>
        <row r="7">
          <cell r="A7" t="str">
            <v>January</v>
          </cell>
          <cell r="D7">
            <v>13828</v>
          </cell>
          <cell r="E7">
            <v>18448</v>
          </cell>
        </row>
        <row r="8">
          <cell r="A8" t="str">
            <v>February</v>
          </cell>
          <cell r="D8">
            <v>13973</v>
          </cell>
          <cell r="E8">
            <v>18752</v>
          </cell>
        </row>
        <row r="9">
          <cell r="A9" t="str">
            <v>March</v>
          </cell>
          <cell r="D9">
            <v>14118</v>
          </cell>
          <cell r="E9">
            <v>18955</v>
          </cell>
        </row>
        <row r="10">
          <cell r="A10" t="str">
            <v>April</v>
          </cell>
          <cell r="D10">
            <v>14339</v>
          </cell>
          <cell r="E10">
            <v>19216</v>
          </cell>
        </row>
        <row r="11">
          <cell r="A11" t="str">
            <v>May</v>
          </cell>
          <cell r="D11">
            <v>14703</v>
          </cell>
          <cell r="E11">
            <v>19500</v>
          </cell>
        </row>
        <row r="12">
          <cell r="A12" t="str">
            <v>June</v>
          </cell>
          <cell r="D12">
            <v>15283</v>
          </cell>
          <cell r="E12">
            <v>19773</v>
          </cell>
        </row>
        <row r="13">
          <cell r="A13" t="str">
            <v>July</v>
          </cell>
          <cell r="D13">
            <v>15897</v>
          </cell>
          <cell r="E13">
            <v>19992</v>
          </cell>
        </row>
        <row r="14">
          <cell r="A14" t="str">
            <v>August</v>
          </cell>
          <cell r="D14">
            <v>16459</v>
          </cell>
          <cell r="E14">
            <v>20166</v>
          </cell>
        </row>
        <row r="15">
          <cell r="A15" t="str">
            <v>September</v>
          </cell>
          <cell r="D15">
            <v>16943</v>
          </cell>
          <cell r="E15">
            <v>20369</v>
          </cell>
        </row>
        <row r="16">
          <cell r="A16" t="str">
            <v>October</v>
          </cell>
          <cell r="D16">
            <v>17538</v>
          </cell>
          <cell r="E16">
            <v>20507</v>
          </cell>
        </row>
        <row r="17">
          <cell r="A17" t="str">
            <v>November</v>
          </cell>
          <cell r="D17">
            <v>17804</v>
          </cell>
          <cell r="E17">
            <v>20638</v>
          </cell>
        </row>
        <row r="18">
          <cell r="A18" t="str">
            <v>December</v>
          </cell>
          <cell r="D18">
            <v>18072</v>
          </cell>
          <cell r="E18">
            <v>20719</v>
          </cell>
        </row>
      </sheetData>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3.xml"/><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H28"/>
  <sheetViews>
    <sheetView zoomScale="85" zoomScaleNormal="85" workbookViewId="0">
      <selection activeCell="E17" sqref="E17"/>
    </sheetView>
  </sheetViews>
  <sheetFormatPr defaultColWidth="9.140625" defaultRowHeight="15" x14ac:dyDescent="0.25"/>
  <cols>
    <col min="1" max="1" width="24.42578125" style="1" customWidth="1"/>
    <col min="2" max="3" width="15.28515625" style="1" hidden="1" customWidth="1"/>
    <col min="4" max="4" width="16.42578125" style="1" hidden="1" customWidth="1"/>
    <col min="5" max="6" width="15.28515625" style="1" customWidth="1"/>
    <col min="7" max="7" width="16.42578125" style="1" customWidth="1"/>
    <col min="8" max="8" width="0.7109375" style="1" hidden="1" customWidth="1"/>
    <col min="9" max="10" width="15.28515625" style="1" customWidth="1"/>
    <col min="11" max="11" width="16.42578125" style="1" customWidth="1"/>
    <col min="12" max="12" width="9.28515625" style="1" hidden="1" customWidth="1"/>
    <col min="13" max="14" width="9.28515625" style="1" customWidth="1"/>
    <col min="15" max="16" width="9.5703125" style="1" customWidth="1"/>
    <col min="17" max="17" width="14" style="1" customWidth="1"/>
    <col min="18" max="18" width="22.5703125" style="1" customWidth="1"/>
    <col min="19" max="19" width="1.42578125" style="1" customWidth="1"/>
    <col min="20" max="20" width="14.42578125" style="1" customWidth="1"/>
    <col min="21" max="26" width="12.85546875" style="1" customWidth="1"/>
    <col min="27" max="27" width="41.140625" style="1" customWidth="1"/>
    <col min="28" max="28" width="34.42578125" style="1" customWidth="1"/>
    <col min="29" max="30" width="9.140625" style="1"/>
    <col min="31" max="32" width="17.140625" style="1" customWidth="1"/>
    <col min="33" max="16384" width="9.140625" style="1"/>
  </cols>
  <sheetData>
    <row r="1" spans="1:27" ht="21.75" customHeight="1" x14ac:dyDescent="0.55000000000000004">
      <c r="A1" s="797" t="s">
        <v>235</v>
      </c>
      <c r="B1" s="797"/>
      <c r="C1" s="797"/>
      <c r="D1" s="797"/>
      <c r="E1" s="797"/>
      <c r="F1" s="797"/>
      <c r="G1" s="797"/>
      <c r="H1" s="797"/>
      <c r="I1" s="797"/>
      <c r="J1" s="797"/>
      <c r="K1" s="797"/>
      <c r="L1" s="797"/>
      <c r="M1" s="797"/>
      <c r="N1" s="797"/>
      <c r="O1" s="797"/>
      <c r="P1" s="797"/>
      <c r="Q1" s="797"/>
      <c r="R1" s="797"/>
      <c r="S1" s="229"/>
    </row>
    <row r="2" spans="1:27" x14ac:dyDescent="0.25">
      <c r="A2" s="798" t="s">
        <v>234</v>
      </c>
      <c r="B2" s="798"/>
      <c r="C2" s="798"/>
      <c r="D2" s="798"/>
      <c r="E2" s="798"/>
      <c r="F2" s="798"/>
      <c r="G2" s="798"/>
      <c r="H2" s="798"/>
      <c r="I2" s="798"/>
      <c r="J2" s="798"/>
      <c r="K2" s="798"/>
      <c r="L2" s="798"/>
      <c r="M2" s="798"/>
      <c r="N2" s="798"/>
      <c r="O2" s="798"/>
      <c r="P2" s="798"/>
      <c r="Q2" s="798"/>
      <c r="R2" s="798"/>
      <c r="S2" s="230"/>
    </row>
    <row r="3" spans="1:27" ht="8.25" customHeight="1" x14ac:dyDescent="0.25">
      <c r="A3" s="2"/>
      <c r="B3" s="2"/>
      <c r="C3" s="2"/>
      <c r="D3" s="2"/>
      <c r="E3" s="2"/>
      <c r="F3" s="2"/>
      <c r="G3" s="2"/>
      <c r="H3" s="2"/>
      <c r="I3" s="2"/>
      <c r="J3" s="2"/>
      <c r="K3" s="2"/>
      <c r="L3" s="2"/>
      <c r="M3" s="2"/>
      <c r="N3" s="2"/>
      <c r="O3" s="2"/>
      <c r="P3" s="2"/>
      <c r="Q3" s="2"/>
    </row>
    <row r="4" spans="1:27" ht="36" customHeight="1" x14ac:dyDescent="0.25">
      <c r="A4" s="802" t="s">
        <v>77</v>
      </c>
      <c r="B4" s="807" t="s">
        <v>162</v>
      </c>
      <c r="C4" s="807"/>
      <c r="D4" s="807"/>
      <c r="E4" s="807" t="s">
        <v>162</v>
      </c>
      <c r="F4" s="807"/>
      <c r="G4" s="807"/>
      <c r="H4" s="239"/>
      <c r="I4" s="808" t="s">
        <v>137</v>
      </c>
      <c r="J4" s="808"/>
      <c r="K4" s="809"/>
      <c r="L4" s="811" t="s">
        <v>158</v>
      </c>
      <c r="M4" s="812"/>
      <c r="N4" s="812"/>
      <c r="O4" s="811" t="s">
        <v>159</v>
      </c>
      <c r="P4" s="815"/>
      <c r="Q4" s="239" t="s">
        <v>134</v>
      </c>
      <c r="R4" s="799" t="s">
        <v>78</v>
      </c>
      <c r="S4" s="231"/>
      <c r="T4" s="3"/>
    </row>
    <row r="5" spans="1:27" s="25" customFormat="1" ht="15" customHeight="1" x14ac:dyDescent="0.25">
      <c r="A5" s="803"/>
      <c r="B5" s="805">
        <v>2013</v>
      </c>
      <c r="C5" s="805"/>
      <c r="D5" s="805"/>
      <c r="E5" s="805">
        <v>2014</v>
      </c>
      <c r="F5" s="805"/>
      <c r="G5" s="806"/>
      <c r="H5" s="236"/>
      <c r="I5" s="810">
        <v>2015</v>
      </c>
      <c r="J5" s="805"/>
      <c r="K5" s="806"/>
      <c r="L5" s="813" t="s">
        <v>3</v>
      </c>
      <c r="M5" s="814"/>
      <c r="N5" s="814"/>
      <c r="O5" s="816" t="s">
        <v>118</v>
      </c>
      <c r="P5" s="817"/>
      <c r="Q5" s="236" t="s">
        <v>4</v>
      </c>
      <c r="R5" s="800"/>
      <c r="S5" s="232"/>
    </row>
    <row r="6" spans="1:27" s="25" customFormat="1" ht="16.5" customHeight="1" x14ac:dyDescent="0.25">
      <c r="A6" s="803"/>
      <c r="B6" s="84" t="s">
        <v>75</v>
      </c>
      <c r="C6" s="83" t="s">
        <v>71</v>
      </c>
      <c r="D6" s="84" t="s">
        <v>72</v>
      </c>
      <c r="E6" s="91" t="s">
        <v>75</v>
      </c>
      <c r="F6" s="90" t="s">
        <v>71</v>
      </c>
      <c r="G6" s="177" t="s">
        <v>72</v>
      </c>
      <c r="H6" s="90"/>
      <c r="I6" s="749" t="s">
        <v>75</v>
      </c>
      <c r="J6" s="90" t="s">
        <v>71</v>
      </c>
      <c r="K6" s="177" t="s">
        <v>72</v>
      </c>
      <c r="L6" s="155"/>
      <c r="M6" s="155"/>
      <c r="N6" s="155"/>
      <c r="O6" s="746"/>
      <c r="P6" s="714"/>
      <c r="Q6" s="236"/>
      <c r="R6" s="800"/>
      <c r="S6" s="232"/>
    </row>
    <row r="7" spans="1:27" ht="21" x14ac:dyDescent="0.25">
      <c r="A7" s="804"/>
      <c r="B7" s="242" t="s">
        <v>2</v>
      </c>
      <c r="C7" s="242" t="s">
        <v>0</v>
      </c>
      <c r="D7" s="242" t="s">
        <v>1</v>
      </c>
      <c r="E7" s="721" t="s">
        <v>2</v>
      </c>
      <c r="F7" s="721" t="s">
        <v>0</v>
      </c>
      <c r="G7" s="17" t="s">
        <v>1</v>
      </c>
      <c r="H7" s="721"/>
      <c r="I7" s="85" t="s">
        <v>2</v>
      </c>
      <c r="J7" s="721" t="s">
        <v>0</v>
      </c>
      <c r="K7" s="17" t="s">
        <v>1</v>
      </c>
      <c r="L7" s="79">
        <v>2013</v>
      </c>
      <c r="M7" s="79">
        <v>2014</v>
      </c>
      <c r="N7" s="243">
        <v>2015</v>
      </c>
      <c r="O7" s="122">
        <v>2014</v>
      </c>
      <c r="P7" s="175">
        <v>2015</v>
      </c>
      <c r="Q7" s="719" t="s">
        <v>203</v>
      </c>
      <c r="R7" s="801"/>
      <c r="S7" s="233"/>
    </row>
    <row r="8" spans="1:27" s="3" customFormat="1" ht="26.25" customHeight="1" x14ac:dyDescent="0.55000000000000004">
      <c r="A8" s="12" t="s">
        <v>2</v>
      </c>
      <c r="B8" s="14">
        <f t="shared" ref="B8:D8" si="0">SUM(B9:B11)</f>
        <v>691476496.03999996</v>
      </c>
      <c r="C8" s="14">
        <f t="shared" si="0"/>
        <v>426114222.03999996</v>
      </c>
      <c r="D8" s="14">
        <f t="shared" si="0"/>
        <v>265362274</v>
      </c>
      <c r="E8" s="14">
        <f>SUM(E9:E12)</f>
        <v>1198546537.5799999</v>
      </c>
      <c r="F8" s="14">
        <f>SUM(F9:F12)</f>
        <v>694023678.84000003</v>
      </c>
      <c r="G8" s="59">
        <f>SUM(G9:G12)</f>
        <v>504522858.74000001</v>
      </c>
      <c r="H8" s="14"/>
      <c r="I8" s="129">
        <f>SUM(I9:I12)</f>
        <v>1260504500.8000002</v>
      </c>
      <c r="J8" s="14">
        <f>SUM(J9:J12)</f>
        <v>725245803.5</v>
      </c>
      <c r="K8" s="59">
        <f>SUM(K9:K12)</f>
        <v>535258697.30000001</v>
      </c>
      <c r="L8" s="14">
        <f>SUM(L9:L11)</f>
        <v>100</v>
      </c>
      <c r="M8" s="14">
        <f>SUM(M9:M12)</f>
        <v>100</v>
      </c>
      <c r="N8" s="14">
        <f>I8/I8*100</f>
        <v>100</v>
      </c>
      <c r="O8" s="747">
        <f>G8/E8*100</f>
        <v>42.094557275905892</v>
      </c>
      <c r="P8" s="764">
        <f>K8/I8*100</f>
        <v>42.463846575739254</v>
      </c>
      <c r="Q8" s="765">
        <f>((I8-E8)/E8)*100</f>
        <v>5.1694249056945552</v>
      </c>
      <c r="R8" s="20" t="s">
        <v>75</v>
      </c>
      <c r="S8" s="20"/>
    </row>
    <row r="9" spans="1:27" ht="26.25" customHeight="1" x14ac:dyDescent="0.55000000000000004">
      <c r="A9" s="2" t="s">
        <v>5</v>
      </c>
      <c r="B9" s="131">
        <v>421204350.24000001</v>
      </c>
      <c r="C9" s="13">
        <v>210436362.22</v>
      </c>
      <c r="D9" s="13">
        <v>210767988.02000001</v>
      </c>
      <c r="E9" s="131">
        <v>431707102.44</v>
      </c>
      <c r="F9" s="13">
        <v>216136958.62</v>
      </c>
      <c r="G9" s="60">
        <v>215570143.81999999</v>
      </c>
      <c r="H9" s="13"/>
      <c r="I9" s="167">
        <f>SUM(J9:K9)</f>
        <v>426999240</v>
      </c>
      <c r="J9" s="13">
        <v>211715913.83000001</v>
      </c>
      <c r="K9" s="60">
        <v>215283326.16999999</v>
      </c>
      <c r="L9" s="13">
        <f>B9/$B$8*100</f>
        <v>60.913762456451522</v>
      </c>
      <c r="M9" s="13">
        <f>E9/$E$8*100</f>
        <v>36.019219021037358</v>
      </c>
      <c r="N9" s="13">
        <f>I9/$I$8*100</f>
        <v>33.875265001354443</v>
      </c>
      <c r="O9" s="216">
        <f>G9/E9*100</f>
        <v>49.934351925553649</v>
      </c>
      <c r="P9" s="762">
        <f>K9/I9*100</f>
        <v>50.417730525703043</v>
      </c>
      <c r="Q9" s="766">
        <f t="shared" ref="Q9:Q12" si="1">((I9-E9)/E9)*100</f>
        <v>-1.0905223503137318</v>
      </c>
      <c r="R9" s="8" t="s">
        <v>73</v>
      </c>
      <c r="S9" s="8"/>
      <c r="T9" s="3"/>
    </row>
    <row r="10" spans="1:27" ht="26.25" customHeight="1" x14ac:dyDescent="0.55000000000000004">
      <c r="A10" s="2" t="s">
        <v>6</v>
      </c>
      <c r="B10" s="131">
        <v>25887906.539999999</v>
      </c>
      <c r="C10" s="13">
        <v>21327068.57</v>
      </c>
      <c r="D10" s="13">
        <v>4560837.97</v>
      </c>
      <c r="E10" s="131">
        <v>35973669.200000003</v>
      </c>
      <c r="F10" s="13">
        <v>30648673.489999998</v>
      </c>
      <c r="G10" s="60">
        <v>5324995.71</v>
      </c>
      <c r="H10" s="13"/>
      <c r="I10" s="167">
        <f>SUM(J10:K10)</f>
        <v>48839669.629999995</v>
      </c>
      <c r="J10" s="13">
        <v>40839450.539999999</v>
      </c>
      <c r="K10" s="60">
        <v>8000219.0899999999</v>
      </c>
      <c r="L10" s="13">
        <f>B10/$B$8*100</f>
        <v>3.7438592183909112</v>
      </c>
      <c r="M10" s="13">
        <f>E10/$E$8*100</f>
        <v>3.0014411682866218</v>
      </c>
      <c r="N10" s="13">
        <f t="shared" ref="N10:N12" si="2">I10/$I$8*100</f>
        <v>3.8746128711958647</v>
      </c>
      <c r="O10" s="216">
        <f>G10/E10*100</f>
        <v>14.802481449404109</v>
      </c>
      <c r="P10" s="762">
        <f>K10/I10*100</f>
        <v>16.38057577090126</v>
      </c>
      <c r="Q10" s="766">
        <f t="shared" si="1"/>
        <v>35.765049037588838</v>
      </c>
      <c r="R10" s="8" t="s">
        <v>74</v>
      </c>
      <c r="S10" s="8"/>
      <c r="T10" s="3"/>
    </row>
    <row r="11" spans="1:27" ht="26.25" customHeight="1" x14ac:dyDescent="0.55000000000000004">
      <c r="A11" s="2" t="s">
        <v>7</v>
      </c>
      <c r="B11" s="131">
        <f>SUM(C11:D11)</f>
        <v>244384239.25999999</v>
      </c>
      <c r="C11" s="13">
        <v>194350791.25</v>
      </c>
      <c r="D11" s="13">
        <v>50033448.009999998</v>
      </c>
      <c r="E11" s="131">
        <v>259554054.59</v>
      </c>
      <c r="F11" s="13">
        <v>206837888.08000001</v>
      </c>
      <c r="G11" s="60">
        <v>52716166.509999998</v>
      </c>
      <c r="H11" s="13"/>
      <c r="I11" s="167">
        <f t="shared" ref="I11:I12" si="3">SUM(J11:K11)</f>
        <v>260118262.71000001</v>
      </c>
      <c r="J11" s="13">
        <v>206665528.78</v>
      </c>
      <c r="K11" s="60">
        <v>53452733.93</v>
      </c>
      <c r="L11" s="13">
        <f>B11/$B$8*100</f>
        <v>35.342378325157568</v>
      </c>
      <c r="M11" s="13">
        <f>E11/$E$8*100</f>
        <v>21.655734379248116</v>
      </c>
      <c r="N11" s="13">
        <f t="shared" si="2"/>
        <v>20.636043944699257</v>
      </c>
      <c r="O11" s="216">
        <f>G11/E11*100</f>
        <v>20.310284342609158</v>
      </c>
      <c r="P11" s="762">
        <f>K11/I11*100</f>
        <v>20.549396790948606</v>
      </c>
      <c r="Q11" s="766">
        <f t="shared" si="1"/>
        <v>0.21737596081527069</v>
      </c>
      <c r="R11" s="8" t="s">
        <v>76</v>
      </c>
      <c r="S11" s="8"/>
      <c r="T11" s="3"/>
    </row>
    <row r="12" spans="1:27" ht="26.25" customHeight="1" x14ac:dyDescent="0.55000000000000004">
      <c r="A12" s="4" t="s">
        <v>194</v>
      </c>
      <c r="B12" s="132">
        <v>0</v>
      </c>
      <c r="C12" s="9">
        <v>0</v>
      </c>
      <c r="D12" s="9">
        <v>0</v>
      </c>
      <c r="E12" s="132">
        <v>471311711.35000002</v>
      </c>
      <c r="F12" s="9">
        <v>240400158.65000001</v>
      </c>
      <c r="G12" s="61">
        <v>230911552.69999999</v>
      </c>
      <c r="H12" s="9"/>
      <c r="I12" s="168">
        <f t="shared" si="3"/>
        <v>524547328.46000004</v>
      </c>
      <c r="J12" s="9">
        <v>266024910.34999999</v>
      </c>
      <c r="K12" s="61">
        <v>258522418.11000001</v>
      </c>
      <c r="L12" s="9">
        <f>B12/$B$8*100</f>
        <v>0</v>
      </c>
      <c r="M12" s="9">
        <f>E12/$E$8*100</f>
        <v>39.323605431427907</v>
      </c>
      <c r="N12" s="9">
        <f t="shared" si="2"/>
        <v>41.614078182750426</v>
      </c>
      <c r="O12" s="748">
        <f>G12/E12*100</f>
        <v>48.993383177046312</v>
      </c>
      <c r="P12" s="763">
        <f>K12/I12*100</f>
        <v>49.284860313555853</v>
      </c>
      <c r="Q12" s="767">
        <f t="shared" si="1"/>
        <v>11.295203541094866</v>
      </c>
      <c r="R12" s="10" t="s">
        <v>186</v>
      </c>
      <c r="S12" s="10"/>
      <c r="T12" s="3"/>
    </row>
    <row r="13" spans="1:27" s="74" customFormat="1" ht="15" customHeight="1" x14ac:dyDescent="0.25">
      <c r="A13" s="74" t="s">
        <v>160</v>
      </c>
      <c r="Q13" s="757"/>
    </row>
    <row r="14" spans="1:27" s="74" customFormat="1" ht="15" customHeight="1" x14ac:dyDescent="0.25">
      <c r="A14" s="189" t="s">
        <v>197</v>
      </c>
      <c r="Q14" s="757"/>
    </row>
    <row r="15" spans="1:27" s="74" customFormat="1" ht="15" customHeight="1" x14ac:dyDescent="0.25">
      <c r="A15" s="74" t="s">
        <v>79</v>
      </c>
      <c r="B15" s="165"/>
      <c r="E15" s="165"/>
      <c r="I15" s="165"/>
      <c r="U15" s="190"/>
      <c r="V15" s="190"/>
      <c r="W15" s="190"/>
      <c r="X15" s="190"/>
      <c r="Y15" s="190"/>
      <c r="Z15" s="190"/>
      <c r="AA15" s="190"/>
    </row>
    <row r="16" spans="1:27" s="74" customFormat="1" ht="15" customHeight="1" x14ac:dyDescent="0.25">
      <c r="R16" s="75" t="s">
        <v>161</v>
      </c>
      <c r="S16" s="75"/>
    </row>
    <row r="17" spans="2:34" s="74" customFormat="1" ht="15" customHeight="1" x14ac:dyDescent="0.25">
      <c r="R17" s="75" t="s">
        <v>195</v>
      </c>
      <c r="S17" s="206" t="s">
        <v>196</v>
      </c>
    </row>
    <row r="18" spans="2:34" s="25" customFormat="1" ht="15" customHeight="1" x14ac:dyDescent="0.25">
      <c r="B18" s="31"/>
      <c r="E18" s="31"/>
      <c r="I18" s="31"/>
      <c r="R18" s="75" t="s">
        <v>121</v>
      </c>
      <c r="S18" s="75"/>
    </row>
    <row r="19" spans="2:34" s="25" customFormat="1" ht="15" customHeight="1" x14ac:dyDescent="0.25">
      <c r="B19" s="31"/>
      <c r="E19" s="31"/>
      <c r="I19" s="31"/>
      <c r="R19" s="75"/>
      <c r="S19" s="75"/>
    </row>
    <row r="20" spans="2:34" s="25" customFormat="1" ht="15" customHeight="1" x14ac:dyDescent="0.25">
      <c r="B20" s="31"/>
      <c r="E20" s="31"/>
      <c r="I20" s="31"/>
      <c r="R20" s="75"/>
      <c r="S20" s="75"/>
    </row>
    <row r="21" spans="2:34" x14ac:dyDescent="0.25">
      <c r="T21" s="74"/>
    </row>
    <row r="22" spans="2:34" ht="45" x14ac:dyDescent="0.25">
      <c r="T22" s="25"/>
      <c r="AB22" s="2">
        <v>2015</v>
      </c>
      <c r="AC22" s="2" t="s">
        <v>120</v>
      </c>
      <c r="AD22" s="2"/>
      <c r="AE22" s="2" t="s">
        <v>119</v>
      </c>
      <c r="AF22" s="2"/>
      <c r="AG22" s="11" t="s">
        <v>3</v>
      </c>
      <c r="AH22" s="63" t="s">
        <v>118</v>
      </c>
    </row>
    <row r="23" spans="2:34" x14ac:dyDescent="0.25">
      <c r="T23" s="191"/>
      <c r="AB23" s="118"/>
      <c r="AC23" s="2" t="s">
        <v>0</v>
      </c>
      <c r="AD23" s="2" t="s">
        <v>1</v>
      </c>
      <c r="AE23" s="2" t="s">
        <v>0</v>
      </c>
      <c r="AF23" s="2" t="s">
        <v>1</v>
      </c>
      <c r="AG23" s="73">
        <v>2015</v>
      </c>
      <c r="AH23" s="73">
        <v>2015</v>
      </c>
    </row>
    <row r="24" spans="2:34" x14ac:dyDescent="0.25">
      <c r="AB24" s="118" t="s">
        <v>5</v>
      </c>
      <c r="AC24" s="768">
        <f>AE24/1000000</f>
        <v>211.71591383000001</v>
      </c>
      <c r="AD24" s="15">
        <f>AF24/1000000</f>
        <v>215.28332616999998</v>
      </c>
      <c r="AE24" s="15">
        <f>J9</f>
        <v>211715913.83000001</v>
      </c>
      <c r="AF24" s="15">
        <f t="shared" ref="AF24:AF27" si="4">K9</f>
        <v>215283326.16999999</v>
      </c>
      <c r="AG24" s="13">
        <f>N9</f>
        <v>33.875265001354443</v>
      </c>
      <c r="AH24" s="14">
        <f>P9</f>
        <v>50.417730525703043</v>
      </c>
    </row>
    <row r="25" spans="2:34" x14ac:dyDescent="0.25">
      <c r="AB25" s="118" t="s">
        <v>6</v>
      </c>
      <c r="AC25" s="15">
        <f t="shared" ref="AC25:AD25" si="5">AE25/1000000</f>
        <v>40.839450540000001</v>
      </c>
      <c r="AD25" s="15">
        <f t="shared" si="5"/>
        <v>8.0002190899999999</v>
      </c>
      <c r="AE25" s="15">
        <f>J10</f>
        <v>40839450.539999999</v>
      </c>
      <c r="AF25" s="15">
        <f t="shared" si="4"/>
        <v>8000219.0899999999</v>
      </c>
      <c r="AG25" s="13">
        <f>N10</f>
        <v>3.8746128711958647</v>
      </c>
      <c r="AH25" s="14">
        <f t="shared" ref="AH25:AH27" si="6">P10</f>
        <v>16.38057577090126</v>
      </c>
    </row>
    <row r="26" spans="2:34" x14ac:dyDescent="0.25">
      <c r="AB26" s="119" t="s">
        <v>7</v>
      </c>
      <c r="AC26" s="15">
        <f>AE26/1000000</f>
        <v>206.66552877999999</v>
      </c>
      <c r="AD26" s="15">
        <f>AF26/1000000</f>
        <v>53.452733930000001</v>
      </c>
      <c r="AE26" s="15">
        <f>J11</f>
        <v>206665528.78</v>
      </c>
      <c r="AF26" s="15">
        <f t="shared" si="4"/>
        <v>53452733.93</v>
      </c>
      <c r="AG26" s="13">
        <f>N11</f>
        <v>20.636043944699257</v>
      </c>
      <c r="AH26" s="14">
        <f t="shared" si="6"/>
        <v>20.549396790948606</v>
      </c>
    </row>
    <row r="27" spans="2:34" x14ac:dyDescent="0.25">
      <c r="AB27" s="118" t="s">
        <v>185</v>
      </c>
      <c r="AC27" s="15">
        <f>AE27/1000000</f>
        <v>266.02491034999997</v>
      </c>
      <c r="AD27" s="15">
        <f>AF27/1000000</f>
        <v>258.52241810999999</v>
      </c>
      <c r="AE27" s="15">
        <f>J12</f>
        <v>266024910.34999999</v>
      </c>
      <c r="AF27" s="15">
        <f t="shared" si="4"/>
        <v>258522418.11000001</v>
      </c>
      <c r="AG27" s="13">
        <f>N12</f>
        <v>41.614078182750426</v>
      </c>
      <c r="AH27" s="14">
        <f t="shared" si="6"/>
        <v>49.284860313555853</v>
      </c>
    </row>
    <row r="28" spans="2:34" x14ac:dyDescent="0.25">
      <c r="AB28" s="531"/>
    </row>
  </sheetData>
  <mergeCells count="14">
    <mergeCell ref="A1:R1"/>
    <mergeCell ref="A2:R2"/>
    <mergeCell ref="R4:R7"/>
    <mergeCell ref="A4:A7"/>
    <mergeCell ref="B5:D5"/>
    <mergeCell ref="E5:G5"/>
    <mergeCell ref="E4:G4"/>
    <mergeCell ref="B4:D4"/>
    <mergeCell ref="I4:K4"/>
    <mergeCell ref="I5:K5"/>
    <mergeCell ref="L4:N4"/>
    <mergeCell ref="L5:N5"/>
    <mergeCell ref="O4:P4"/>
    <mergeCell ref="O5:P5"/>
  </mergeCells>
  <pageMargins left="0.26" right="0.54" top="0.19" bottom="0.18" header="0.13" footer="0.12"/>
  <pageSetup paperSize="9" scale="57" orientation="landscape" r:id="rId1"/>
  <colBreaks count="1" manualBreakCount="1">
    <brk id="19" max="1048575" man="1"/>
  </colBreaks>
  <ignoredErrors>
    <ignoredError sqref="B11 C8:D8"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B29"/>
  <sheetViews>
    <sheetView workbookViewId="0">
      <selection activeCell="Q8" sqref="Q8"/>
    </sheetView>
  </sheetViews>
  <sheetFormatPr defaultColWidth="9.140625" defaultRowHeight="15" x14ac:dyDescent="0.25"/>
  <cols>
    <col min="1" max="1" width="7.85546875" style="1" customWidth="1"/>
    <col min="2" max="2" width="13.28515625" style="1" customWidth="1"/>
    <col min="3" max="3" width="13" style="1" customWidth="1"/>
    <col min="4" max="5" width="11.28515625" style="1" customWidth="1"/>
    <col min="6" max="6" width="14.42578125" style="1" customWidth="1"/>
    <col min="7" max="9" width="13.140625" style="1" customWidth="1"/>
    <col min="10" max="13" width="14.7109375" style="1" customWidth="1"/>
    <col min="14" max="14" width="15.85546875" style="1" customWidth="1"/>
    <col min="15" max="15" width="17.5703125" style="1" customWidth="1"/>
    <col min="16" max="17" width="17.28515625" style="1" customWidth="1"/>
    <col min="18" max="18" width="28.28515625" style="1" customWidth="1"/>
    <col min="19" max="19" width="19.42578125" style="1" customWidth="1"/>
    <col min="20" max="20" width="11.140625" style="1" bestFit="1" customWidth="1"/>
    <col min="21" max="22" width="11.28515625" style="1" customWidth="1"/>
    <col min="23" max="23" width="11.5703125" style="1" customWidth="1"/>
    <col min="24" max="24" width="11.42578125" style="1" customWidth="1"/>
    <col min="25" max="27" width="14.140625" style="1" customWidth="1"/>
    <col min="28" max="16384" width="9.140625" style="1"/>
  </cols>
  <sheetData>
    <row r="1" spans="1:26" ht="20.25" customHeight="1" x14ac:dyDescent="0.25">
      <c r="A1" s="819" t="s">
        <v>205</v>
      </c>
      <c r="B1" s="819"/>
      <c r="C1" s="819"/>
      <c r="D1" s="819"/>
      <c r="E1" s="819"/>
      <c r="F1" s="819"/>
      <c r="G1" s="819"/>
      <c r="H1" s="819"/>
      <c r="I1" s="819"/>
      <c r="J1" s="819"/>
      <c r="K1" s="819"/>
      <c r="L1" s="819"/>
      <c r="M1" s="819"/>
      <c r="N1" s="819"/>
      <c r="O1" s="819"/>
      <c r="P1" s="819"/>
      <c r="Q1" s="237"/>
      <c r="R1" s="820"/>
      <c r="S1" s="820"/>
      <c r="T1" s="820"/>
    </row>
    <row r="2" spans="1:26" x14ac:dyDescent="0.25">
      <c r="A2" s="820" t="s">
        <v>204</v>
      </c>
      <c r="B2" s="820"/>
      <c r="C2" s="820"/>
      <c r="D2" s="820"/>
      <c r="E2" s="820"/>
      <c r="F2" s="820"/>
      <c r="G2" s="820"/>
      <c r="H2" s="820"/>
      <c r="I2" s="820"/>
      <c r="J2" s="820"/>
      <c r="K2" s="820"/>
      <c r="L2" s="820"/>
      <c r="M2" s="820"/>
      <c r="N2" s="820"/>
      <c r="O2" s="820"/>
      <c r="P2" s="820"/>
      <c r="Q2" s="238"/>
      <c r="S2" s="76"/>
      <c r="T2" s="76"/>
      <c r="U2" s="76"/>
      <c r="V2" s="76"/>
      <c r="W2" s="76"/>
      <c r="X2" s="77"/>
      <c r="Y2" s="77"/>
      <c r="Z2" s="78"/>
    </row>
    <row r="3" spans="1:26" s="25" customFormat="1" ht="17.25" x14ac:dyDescent="0.25">
      <c r="A3" s="238"/>
      <c r="B3" s="31"/>
      <c r="C3" s="31"/>
      <c r="D3" s="31"/>
      <c r="E3" s="31"/>
      <c r="I3" s="89" t="s">
        <v>163</v>
      </c>
      <c r="J3" s="94" t="s">
        <v>164</v>
      </c>
      <c r="P3" s="238"/>
      <c r="Q3" s="238"/>
      <c r="S3" s="152"/>
      <c r="T3" s="152"/>
      <c r="U3" s="152"/>
      <c r="V3" s="152"/>
      <c r="W3" s="152"/>
      <c r="X3" s="153"/>
      <c r="Y3" s="153"/>
      <c r="Z3" s="154"/>
    </row>
    <row r="4" spans="1:26" ht="1.5" customHeight="1" x14ac:dyDescent="0.25">
      <c r="A4" s="2"/>
      <c r="B4" s="2"/>
      <c r="C4" s="2"/>
      <c r="D4" s="2"/>
      <c r="E4" s="2"/>
      <c r="F4" s="2"/>
      <c r="G4" s="2"/>
      <c r="H4" s="2"/>
      <c r="I4" s="2"/>
      <c r="J4" s="2"/>
      <c r="K4" s="2"/>
      <c r="L4" s="2"/>
      <c r="M4" s="2"/>
      <c r="N4" s="2"/>
      <c r="O4" s="2"/>
      <c r="S4" s="76"/>
      <c r="T4" s="76"/>
      <c r="U4" s="76"/>
      <c r="V4" s="76"/>
      <c r="W4" s="76"/>
      <c r="X4" s="77"/>
      <c r="Y4" s="77"/>
      <c r="Z4" s="78"/>
    </row>
    <row r="5" spans="1:26" ht="17.25" customHeight="1" x14ac:dyDescent="0.25">
      <c r="A5" s="821" t="s">
        <v>22</v>
      </c>
      <c r="B5" s="823" t="s">
        <v>73</v>
      </c>
      <c r="C5" s="823"/>
      <c r="D5" s="823"/>
      <c r="E5" s="824"/>
      <c r="F5" s="827" t="s">
        <v>74</v>
      </c>
      <c r="G5" s="823"/>
      <c r="H5" s="823"/>
      <c r="I5" s="824"/>
      <c r="J5" s="827" t="s">
        <v>76</v>
      </c>
      <c r="K5" s="823"/>
      <c r="L5" s="823"/>
      <c r="M5" s="824"/>
      <c r="N5" s="827" t="s">
        <v>187</v>
      </c>
      <c r="O5" s="823"/>
      <c r="P5" s="799" t="s">
        <v>82</v>
      </c>
      <c r="Q5" s="232"/>
      <c r="S5" s="76"/>
      <c r="T5" s="76"/>
      <c r="U5" s="76"/>
      <c r="V5" s="76"/>
      <c r="W5" s="76"/>
      <c r="X5" s="77"/>
      <c r="Y5" s="77"/>
      <c r="Z5" s="78"/>
    </row>
    <row r="6" spans="1:26" ht="15" customHeight="1" x14ac:dyDescent="0.25">
      <c r="A6" s="814"/>
      <c r="B6" s="825" t="s">
        <v>114</v>
      </c>
      <c r="C6" s="825"/>
      <c r="D6" s="825"/>
      <c r="E6" s="826"/>
      <c r="F6" s="828" t="s">
        <v>115</v>
      </c>
      <c r="G6" s="825"/>
      <c r="H6" s="825"/>
      <c r="I6" s="826"/>
      <c r="J6" s="828" t="s">
        <v>116</v>
      </c>
      <c r="K6" s="825"/>
      <c r="L6" s="825"/>
      <c r="M6" s="826"/>
      <c r="N6" s="829" t="s">
        <v>191</v>
      </c>
      <c r="O6" s="830"/>
      <c r="P6" s="800"/>
      <c r="Q6" s="232"/>
      <c r="S6" s="76"/>
      <c r="T6" s="76"/>
      <c r="U6" s="76"/>
      <c r="V6" s="76"/>
      <c r="W6" s="76"/>
      <c r="X6" s="77"/>
      <c r="Y6" s="77"/>
      <c r="Z6" s="78"/>
    </row>
    <row r="7" spans="1:26" ht="18" customHeight="1" x14ac:dyDescent="0.25">
      <c r="A7" s="822"/>
      <c r="B7" s="243">
        <v>2012</v>
      </c>
      <c r="C7" s="243">
        <v>2013</v>
      </c>
      <c r="D7" s="243">
        <v>2014</v>
      </c>
      <c r="E7" s="243">
        <v>2015</v>
      </c>
      <c r="F7" s="85">
        <v>2012</v>
      </c>
      <c r="G7" s="79">
        <v>2013</v>
      </c>
      <c r="H7" s="243">
        <v>2014</v>
      </c>
      <c r="I7" s="17">
        <v>2015</v>
      </c>
      <c r="J7" s="85">
        <v>2012</v>
      </c>
      <c r="K7" s="79">
        <v>2013</v>
      </c>
      <c r="L7" s="243">
        <v>2014</v>
      </c>
      <c r="M7" s="17">
        <v>2015</v>
      </c>
      <c r="N7" s="188">
        <v>2014</v>
      </c>
      <c r="O7" s="255">
        <v>2015</v>
      </c>
      <c r="P7" s="801"/>
      <c r="Q7" s="232"/>
      <c r="S7" s="76"/>
      <c r="T7" s="76"/>
      <c r="U7" s="76"/>
      <c r="V7" s="76"/>
      <c r="W7" s="76"/>
      <c r="X7" s="77"/>
      <c r="Y7" s="77"/>
      <c r="Z7" s="78"/>
    </row>
    <row r="8" spans="1:26" ht="21.75" customHeight="1" x14ac:dyDescent="0.25">
      <c r="A8" s="234" t="s">
        <v>2</v>
      </c>
      <c r="B8" s="58">
        <f t="shared" ref="B8" si="0">SUM(B9:B20)</f>
        <v>414738936.51999998</v>
      </c>
      <c r="C8" s="130">
        <f t="shared" ref="C8:J8" si="1">SUM(C9:C20)</f>
        <v>421204350.24000007</v>
      </c>
      <c r="D8" s="130">
        <f>SUM(D9:D20)</f>
        <v>431707102.44000006</v>
      </c>
      <c r="E8" s="130">
        <f>SUM(E9:E20)</f>
        <v>426999240</v>
      </c>
      <c r="F8" s="86">
        <f t="shared" si="1"/>
        <v>21452251.599999998</v>
      </c>
      <c r="G8" s="32">
        <f>SUM(G9:G20)</f>
        <v>25887906.539999999</v>
      </c>
      <c r="H8" s="32">
        <f>SUM(H9:H20)</f>
        <v>35973669.200000003</v>
      </c>
      <c r="I8" s="32">
        <f>SUM(I9:I20)</f>
        <v>48839669.629999995</v>
      </c>
      <c r="J8" s="86">
        <f t="shared" si="1"/>
        <v>240701239.62</v>
      </c>
      <c r="K8" s="32">
        <f t="shared" ref="K8:L8" si="2">SUM(K9:K20)</f>
        <v>244384239.25999996</v>
      </c>
      <c r="L8" s="32">
        <f t="shared" si="2"/>
        <v>259554054.59000003</v>
      </c>
      <c r="M8" s="32">
        <f>SUM(M9:M20)</f>
        <v>260118262.70999998</v>
      </c>
      <c r="N8" s="184">
        <f t="shared" ref="N8:O8" si="3">SUM(N9:N20)</f>
        <v>471311711.34999996</v>
      </c>
      <c r="O8" s="217">
        <f t="shared" si="3"/>
        <v>524547328.45999992</v>
      </c>
      <c r="P8" s="203" t="s">
        <v>75</v>
      </c>
      <c r="Q8" s="203"/>
      <c r="S8" s="76"/>
      <c r="T8" s="76"/>
      <c r="U8" s="76"/>
      <c r="V8" s="76"/>
      <c r="W8" s="76"/>
      <c r="X8" s="77"/>
      <c r="Y8" s="77"/>
      <c r="Z8" s="78"/>
    </row>
    <row r="9" spans="1:26" ht="21.75" customHeight="1" x14ac:dyDescent="0.25">
      <c r="A9" s="95" t="s">
        <v>10</v>
      </c>
      <c r="B9" s="33">
        <v>33712286.649999999</v>
      </c>
      <c r="C9" s="33">
        <v>34352075.579999998</v>
      </c>
      <c r="D9" s="33">
        <v>35615904.57</v>
      </c>
      <c r="E9" s="33">
        <v>35173546.780000001</v>
      </c>
      <c r="F9" s="87">
        <v>495363.58</v>
      </c>
      <c r="G9" s="34">
        <v>1151046.49</v>
      </c>
      <c r="H9" s="34">
        <v>3333784.74</v>
      </c>
      <c r="I9" s="36">
        <v>2869612.88</v>
      </c>
      <c r="J9" s="87">
        <v>19009622.079999998</v>
      </c>
      <c r="K9" s="34">
        <v>27084863.539999999</v>
      </c>
      <c r="L9" s="34">
        <v>25311700.800000001</v>
      </c>
      <c r="M9" s="36">
        <v>26150112.129999999</v>
      </c>
      <c r="N9" s="185">
        <v>0</v>
      </c>
      <c r="O9" s="256">
        <v>43131466.32</v>
      </c>
      <c r="P9" s="97" t="s">
        <v>83</v>
      </c>
      <c r="Q9" s="97"/>
      <c r="R9" s="69"/>
      <c r="S9" s="170"/>
      <c r="T9" s="76"/>
      <c r="U9" s="76"/>
      <c r="V9" s="76"/>
      <c r="X9" s="77"/>
      <c r="Y9" s="77"/>
      <c r="Z9" s="78"/>
    </row>
    <row r="10" spans="1:26" ht="21.75" customHeight="1" x14ac:dyDescent="0.25">
      <c r="A10" s="95" t="s">
        <v>11</v>
      </c>
      <c r="B10" s="33">
        <v>34725809.649999999</v>
      </c>
      <c r="C10" s="33">
        <v>35042781.850000001</v>
      </c>
      <c r="D10" s="33">
        <v>36309505.119999997</v>
      </c>
      <c r="E10" s="33">
        <v>35619868.369999997</v>
      </c>
      <c r="F10" s="87">
        <v>2641610.33</v>
      </c>
      <c r="G10" s="34">
        <v>1295097.28</v>
      </c>
      <c r="H10" s="34">
        <v>2690826.28</v>
      </c>
      <c r="I10" s="36">
        <v>3359620.91</v>
      </c>
      <c r="J10" s="87">
        <v>21786716.879999999</v>
      </c>
      <c r="K10" s="34">
        <v>19943936.890000001</v>
      </c>
      <c r="L10" s="34">
        <v>23169187.48</v>
      </c>
      <c r="M10" s="36">
        <v>22405366.890000001</v>
      </c>
      <c r="N10" s="186">
        <v>42210402.700000003</v>
      </c>
      <c r="O10" s="256">
        <v>43254914.210000001</v>
      </c>
      <c r="P10" s="97" t="s">
        <v>84</v>
      </c>
      <c r="Q10" s="97"/>
      <c r="S10" s="170"/>
      <c r="T10" s="76"/>
      <c r="U10" s="76"/>
      <c r="V10" s="76"/>
      <c r="X10" s="77"/>
      <c r="Y10" s="77"/>
      <c r="Z10" s="78"/>
    </row>
    <row r="11" spans="1:26" ht="21.75" customHeight="1" x14ac:dyDescent="0.25">
      <c r="A11" s="95" t="s">
        <v>12</v>
      </c>
      <c r="B11" s="33">
        <v>34806344.93</v>
      </c>
      <c r="C11" s="33">
        <v>35333148.090000004</v>
      </c>
      <c r="D11" s="33">
        <v>36566082.140000001</v>
      </c>
      <c r="E11" s="33">
        <v>35936900.219999999</v>
      </c>
      <c r="F11" s="87">
        <v>1964141.55</v>
      </c>
      <c r="G11" s="34">
        <v>1035616.01</v>
      </c>
      <c r="H11" s="34">
        <v>3356711.13</v>
      </c>
      <c r="I11" s="36">
        <v>4080271.26</v>
      </c>
      <c r="J11" s="87">
        <v>20394069.57</v>
      </c>
      <c r="K11" s="34">
        <v>18946228.300000001</v>
      </c>
      <c r="L11" s="34">
        <v>21310307.780000001</v>
      </c>
      <c r="M11" s="36">
        <v>22893114.670000002</v>
      </c>
      <c r="N11" s="186">
        <v>42833238.119999997</v>
      </c>
      <c r="O11" s="256">
        <v>44149568.780000001</v>
      </c>
      <c r="P11" s="97" t="s">
        <v>85</v>
      </c>
      <c r="Q11" s="97"/>
      <c r="S11" s="170"/>
      <c r="T11" s="76"/>
      <c r="U11" s="76"/>
      <c r="V11" s="76"/>
      <c r="W11" s="76"/>
      <c r="X11" s="77"/>
      <c r="Y11" s="77"/>
      <c r="Z11" s="78"/>
    </row>
    <row r="12" spans="1:26" ht="21.75" customHeight="1" x14ac:dyDescent="0.25">
      <c r="A12" s="95" t="s">
        <v>13</v>
      </c>
      <c r="B12" s="33">
        <v>34551091.759999998</v>
      </c>
      <c r="C12" s="33">
        <v>34763162.600000001</v>
      </c>
      <c r="D12" s="33">
        <v>36384131.350000001</v>
      </c>
      <c r="E12" s="33">
        <v>35534750.799999997</v>
      </c>
      <c r="F12" s="87">
        <v>1339288.5</v>
      </c>
      <c r="G12" s="34">
        <v>1307379.8500000001</v>
      </c>
      <c r="H12" s="34">
        <v>2347830.7599999998</v>
      </c>
      <c r="I12" s="36">
        <v>3657817.89</v>
      </c>
      <c r="J12" s="87">
        <v>24106647.079999998</v>
      </c>
      <c r="K12" s="34">
        <v>20630305.239999998</v>
      </c>
      <c r="L12" s="34">
        <v>20403653.850000001</v>
      </c>
      <c r="M12" s="36">
        <v>20138268.329999998</v>
      </c>
      <c r="N12" s="186">
        <v>43089362.960000001</v>
      </c>
      <c r="O12" s="256">
        <v>43619940.25</v>
      </c>
      <c r="P12" s="97" t="s">
        <v>86</v>
      </c>
      <c r="Q12" s="97"/>
      <c r="S12" s="170"/>
      <c r="T12" s="76"/>
      <c r="U12" s="76"/>
      <c r="V12" s="76"/>
      <c r="W12" s="76"/>
      <c r="X12" s="77"/>
      <c r="Y12" s="77"/>
      <c r="Z12" s="78"/>
    </row>
    <row r="13" spans="1:26" ht="21.75" customHeight="1" x14ac:dyDescent="0.25">
      <c r="A13" s="95" t="s">
        <v>14</v>
      </c>
      <c r="B13" s="33">
        <v>35154019.579999998</v>
      </c>
      <c r="C13" s="33">
        <v>35516487.740000002</v>
      </c>
      <c r="D13" s="33">
        <v>36107445.780000001</v>
      </c>
      <c r="E13" s="33">
        <v>35552003.799999997</v>
      </c>
      <c r="F13" s="87">
        <v>1215734.1599999999</v>
      </c>
      <c r="G13" s="34">
        <v>2078811.7</v>
      </c>
      <c r="H13" s="34">
        <v>2585483.37</v>
      </c>
      <c r="I13" s="36">
        <v>3167794.24</v>
      </c>
      <c r="J13" s="87">
        <v>20547997.280000001</v>
      </c>
      <c r="K13" s="34">
        <v>20270298.870000001</v>
      </c>
      <c r="L13" s="34">
        <v>25011795.809999999</v>
      </c>
      <c r="M13" s="36">
        <v>23579889.43</v>
      </c>
      <c r="N13" s="186">
        <v>42951893.25</v>
      </c>
      <c r="O13" s="256">
        <v>43724982.609999999</v>
      </c>
      <c r="P13" s="97" t="s">
        <v>87</v>
      </c>
      <c r="Q13" s="97"/>
      <c r="S13" s="170"/>
      <c r="T13" s="76"/>
      <c r="U13" s="76"/>
      <c r="V13" s="76"/>
      <c r="W13" s="76"/>
      <c r="X13" s="77"/>
      <c r="Y13" s="77"/>
      <c r="Z13" s="78"/>
    </row>
    <row r="14" spans="1:26" ht="21.75" customHeight="1" x14ac:dyDescent="0.25">
      <c r="A14" s="95" t="s">
        <v>15</v>
      </c>
      <c r="B14" s="33">
        <v>34846940.390000001</v>
      </c>
      <c r="C14" s="33">
        <v>34426002.350000001</v>
      </c>
      <c r="D14" s="33">
        <v>35813486.210000001</v>
      </c>
      <c r="E14" s="33">
        <v>35602279.990000002</v>
      </c>
      <c r="F14" s="87">
        <v>3534981.49</v>
      </c>
      <c r="G14" s="34">
        <v>3303174.44</v>
      </c>
      <c r="H14" s="34">
        <v>3069467.57</v>
      </c>
      <c r="I14" s="36">
        <v>2571052.06</v>
      </c>
      <c r="J14" s="87">
        <v>18337900.530000001</v>
      </c>
      <c r="K14" s="34">
        <v>20376029.489999998</v>
      </c>
      <c r="L14" s="34">
        <v>19985113.239999998</v>
      </c>
      <c r="M14" s="36">
        <v>20098179.469999999</v>
      </c>
      <c r="N14" s="186">
        <v>42755542.670000002</v>
      </c>
      <c r="O14" s="256">
        <v>43737662.259999998</v>
      </c>
      <c r="P14" s="97" t="s">
        <v>88</v>
      </c>
      <c r="Q14" s="97"/>
      <c r="S14" s="170"/>
      <c r="T14" s="76"/>
      <c r="U14" s="76"/>
      <c r="V14" s="76"/>
      <c r="W14" s="76"/>
      <c r="X14" s="77"/>
      <c r="Y14" s="77"/>
      <c r="Z14" s="78"/>
    </row>
    <row r="15" spans="1:26" ht="21.75" customHeight="1" x14ac:dyDescent="0.25">
      <c r="A15" s="95" t="s">
        <v>16</v>
      </c>
      <c r="B15" s="33">
        <v>34616936.060000002</v>
      </c>
      <c r="C15" s="33">
        <v>35501207.700000003</v>
      </c>
      <c r="D15" s="33">
        <v>36084345.200000003</v>
      </c>
      <c r="E15" s="33">
        <v>35579809.939999998</v>
      </c>
      <c r="F15" s="87">
        <v>1519284.65</v>
      </c>
      <c r="G15" s="34">
        <v>1333414.57</v>
      </c>
      <c r="H15" s="34">
        <v>2042202.73</v>
      </c>
      <c r="I15" s="36">
        <v>2344401.7000000002</v>
      </c>
      <c r="J15" s="87">
        <v>19283504.379999999</v>
      </c>
      <c r="K15" s="34">
        <v>19964302.440000001</v>
      </c>
      <c r="L15" s="34">
        <v>21626914.359999999</v>
      </c>
      <c r="M15" s="36">
        <v>21660890.57</v>
      </c>
      <c r="N15" s="186">
        <v>43020315.149999999</v>
      </c>
      <c r="O15" s="256">
        <v>43752500.329999998</v>
      </c>
      <c r="P15" s="97" t="s">
        <v>89</v>
      </c>
      <c r="Q15" s="97"/>
      <c r="S15" s="170"/>
      <c r="T15" s="76"/>
      <c r="U15" s="76"/>
      <c r="V15" s="76"/>
      <c r="W15" s="76"/>
      <c r="X15" s="77"/>
      <c r="Y15" s="77"/>
      <c r="Z15" s="78"/>
    </row>
    <row r="16" spans="1:26" ht="21.75" customHeight="1" x14ac:dyDescent="0.25">
      <c r="A16" s="95" t="s">
        <v>17</v>
      </c>
      <c r="B16" s="33">
        <v>34533025.399999999</v>
      </c>
      <c r="C16" s="33">
        <v>35434664.979999997</v>
      </c>
      <c r="D16" s="33">
        <v>35620342.140000001</v>
      </c>
      <c r="E16" s="33">
        <v>35615495.32</v>
      </c>
      <c r="F16" s="87">
        <v>916177.57</v>
      </c>
      <c r="G16" s="34">
        <v>3627198.68</v>
      </c>
      <c r="H16" s="34">
        <v>2588532.9900000002</v>
      </c>
      <c r="I16" s="36">
        <v>5470143.8399999999</v>
      </c>
      <c r="J16" s="87">
        <v>20570070.73</v>
      </c>
      <c r="K16" s="34">
        <v>18948103.859999999</v>
      </c>
      <c r="L16" s="34">
        <v>20233894.109999999</v>
      </c>
      <c r="M16" s="36">
        <v>22064482.57</v>
      </c>
      <c r="N16" s="186">
        <v>42960311.329999998</v>
      </c>
      <c r="O16" s="256">
        <v>43870459</v>
      </c>
      <c r="P16" s="97" t="s">
        <v>90</v>
      </c>
      <c r="Q16" s="97"/>
      <c r="S16" s="170"/>
      <c r="T16" s="76"/>
      <c r="U16" s="76"/>
      <c r="V16" s="76"/>
      <c r="W16" s="76"/>
      <c r="X16" s="77"/>
      <c r="Y16" s="77"/>
      <c r="Z16" s="78"/>
    </row>
    <row r="17" spans="1:28" ht="21.75" customHeight="1" x14ac:dyDescent="0.25">
      <c r="A17" s="95" t="s">
        <v>18</v>
      </c>
      <c r="B17" s="33">
        <v>34475645.299999997</v>
      </c>
      <c r="C17" s="33">
        <v>35107026.060000002</v>
      </c>
      <c r="D17" s="33">
        <v>35819459.600000001</v>
      </c>
      <c r="E17" s="33">
        <v>35678427.479999997</v>
      </c>
      <c r="F17" s="87">
        <v>2685645.5</v>
      </c>
      <c r="G17" s="34">
        <v>2986912.9</v>
      </c>
      <c r="H17" s="34">
        <v>2389738.73</v>
      </c>
      <c r="I17" s="36">
        <v>4094036.36</v>
      </c>
      <c r="J17" s="87">
        <v>18016782.370000001</v>
      </c>
      <c r="K17" s="34">
        <v>18818491.969999999</v>
      </c>
      <c r="L17" s="34">
        <v>21343950.440000001</v>
      </c>
      <c r="M17" s="36">
        <v>21025502.440000001</v>
      </c>
      <c r="N17" s="186">
        <v>42967536.020000003</v>
      </c>
      <c r="O17" s="256">
        <v>43935052.659999996</v>
      </c>
      <c r="P17" s="97" t="s">
        <v>91</v>
      </c>
      <c r="Q17" s="97"/>
      <c r="S17" s="170"/>
      <c r="T17" s="76"/>
      <c r="U17" s="76"/>
      <c r="V17" s="76"/>
      <c r="W17" s="76"/>
      <c r="X17" s="77"/>
      <c r="Y17" s="77"/>
      <c r="Z17" s="78"/>
    </row>
    <row r="18" spans="1:28" ht="21.75" customHeight="1" x14ac:dyDescent="0.25">
      <c r="A18" s="95" t="s">
        <v>19</v>
      </c>
      <c r="B18" s="33">
        <v>34594343.560000002</v>
      </c>
      <c r="C18" s="33">
        <v>35317143.350000001</v>
      </c>
      <c r="D18" s="33">
        <v>35809800.469999999</v>
      </c>
      <c r="E18" s="33">
        <v>35659371.909999996</v>
      </c>
      <c r="F18" s="87">
        <v>1715961.41</v>
      </c>
      <c r="G18" s="34">
        <v>2911512.09</v>
      </c>
      <c r="H18" s="34">
        <v>3281668.64</v>
      </c>
      <c r="I18" s="36">
        <v>3127019.99</v>
      </c>
      <c r="J18" s="87">
        <v>19528164.620000001</v>
      </c>
      <c r="K18" s="34">
        <v>19052611.420000002</v>
      </c>
      <c r="L18" s="34">
        <v>20222911.489999998</v>
      </c>
      <c r="M18" s="36">
        <v>19694687.600000001</v>
      </c>
      <c r="N18" s="186">
        <v>43043959.509999998</v>
      </c>
      <c r="O18" s="256">
        <v>43913866.189999998</v>
      </c>
      <c r="P18" s="97" t="s">
        <v>92</v>
      </c>
      <c r="Q18" s="97"/>
      <c r="S18" s="170"/>
      <c r="T18" s="76"/>
      <c r="U18" s="76"/>
      <c r="V18" s="76"/>
      <c r="W18" s="76"/>
      <c r="X18" s="77"/>
      <c r="Y18" s="77"/>
      <c r="Z18" s="78"/>
    </row>
    <row r="19" spans="1:28" ht="21.75" customHeight="1" x14ac:dyDescent="0.55000000000000004">
      <c r="A19" s="95" t="s">
        <v>20</v>
      </c>
      <c r="B19" s="33">
        <v>34186099.060000002</v>
      </c>
      <c r="C19" s="33">
        <v>35528647</v>
      </c>
      <c r="D19" s="33">
        <v>35916765.130000003</v>
      </c>
      <c r="E19" s="33">
        <v>35594151.450000003</v>
      </c>
      <c r="F19" s="87">
        <v>1718102.79</v>
      </c>
      <c r="G19" s="34">
        <v>3115225.24</v>
      </c>
      <c r="H19" s="34">
        <v>6316239.1299999999</v>
      </c>
      <c r="I19" s="36">
        <v>10717532.66</v>
      </c>
      <c r="J19" s="87">
        <v>18635257.670000002</v>
      </c>
      <c r="K19" s="34">
        <v>20720584.449999999</v>
      </c>
      <c r="L19" s="34">
        <v>20730230.550000001</v>
      </c>
      <c r="M19" s="36">
        <v>20986081.460000001</v>
      </c>
      <c r="N19" s="186">
        <v>42800573.149999999</v>
      </c>
      <c r="O19" s="256">
        <v>43822391.649999999</v>
      </c>
      <c r="P19" s="98" t="s">
        <v>95</v>
      </c>
      <c r="Q19" s="98"/>
      <c r="S19" s="170"/>
      <c r="T19" s="76"/>
      <c r="U19" s="76"/>
      <c r="V19" s="76"/>
      <c r="W19" s="76"/>
      <c r="X19" s="77"/>
      <c r="Y19" s="77"/>
      <c r="Z19" s="78"/>
    </row>
    <row r="20" spans="1:28" ht="21.75" customHeight="1" x14ac:dyDescent="0.25">
      <c r="A20" s="96" t="s">
        <v>21</v>
      </c>
      <c r="B20" s="35">
        <v>34536394.18</v>
      </c>
      <c r="C20" s="35">
        <v>34882002.939999998</v>
      </c>
      <c r="D20" s="35">
        <v>35659834.729999997</v>
      </c>
      <c r="E20" s="35">
        <v>35452633.939999998</v>
      </c>
      <c r="F20" s="88">
        <v>1705960.07</v>
      </c>
      <c r="G20" s="35">
        <v>1742517.29</v>
      </c>
      <c r="H20" s="35">
        <v>1971183.13</v>
      </c>
      <c r="I20" s="37">
        <v>3380365.84</v>
      </c>
      <c r="J20" s="88">
        <v>20484506.43</v>
      </c>
      <c r="K20" s="35">
        <v>19628482.789999999</v>
      </c>
      <c r="L20" s="35">
        <v>20204394.68</v>
      </c>
      <c r="M20" s="37">
        <v>19421687.149999999</v>
      </c>
      <c r="N20" s="187">
        <v>42678576.490000002</v>
      </c>
      <c r="O20" s="257">
        <v>43634524.200000003</v>
      </c>
      <c r="P20" s="99" t="s">
        <v>93</v>
      </c>
      <c r="Q20" s="97"/>
      <c r="S20" s="170"/>
      <c r="T20" s="76"/>
      <c r="U20" s="76"/>
      <c r="V20" s="76"/>
      <c r="W20" s="76"/>
      <c r="X20" s="77"/>
      <c r="Y20" s="77"/>
      <c r="Z20" s="78"/>
    </row>
    <row r="21" spans="1:28" s="108" customFormat="1" ht="17.25" x14ac:dyDescent="0.2">
      <c r="A21" s="192" t="s">
        <v>189</v>
      </c>
      <c r="P21" s="193" t="s">
        <v>190</v>
      </c>
      <c r="Q21" s="193"/>
      <c r="S21" s="170"/>
      <c r="T21" s="76"/>
      <c r="U21" s="76"/>
      <c r="V21" s="76"/>
      <c r="W21" s="76"/>
      <c r="X21" s="76"/>
      <c r="Y21" s="76"/>
      <c r="Z21" s="117"/>
    </row>
    <row r="22" spans="1:28" s="108" customFormat="1" ht="17.25" x14ac:dyDescent="0.45">
      <c r="A22" s="107" t="s">
        <v>79</v>
      </c>
      <c r="P22" s="109" t="s">
        <v>121</v>
      </c>
      <c r="Q22" s="109"/>
      <c r="S22" s="170"/>
      <c r="T22" s="818" t="s">
        <v>123</v>
      </c>
      <c r="U22" s="818"/>
      <c r="V22" s="818"/>
      <c r="W22" s="818"/>
      <c r="Y22" s="818" t="s">
        <v>124</v>
      </c>
      <c r="Z22" s="818"/>
      <c r="AA22" s="818"/>
      <c r="AB22" s="818"/>
    </row>
    <row r="23" spans="1:28" x14ac:dyDescent="0.25">
      <c r="S23" s="170"/>
      <c r="T23" s="76">
        <v>2012</v>
      </c>
      <c r="U23" s="76">
        <v>2013</v>
      </c>
      <c r="V23" s="76">
        <v>2014</v>
      </c>
      <c r="W23" s="76">
        <v>2015</v>
      </c>
      <c r="Y23" s="218">
        <v>2012</v>
      </c>
      <c r="Z23" s="218">
        <v>2013</v>
      </c>
      <c r="AA23" s="218">
        <v>2014</v>
      </c>
      <c r="AB23" s="218">
        <v>2015</v>
      </c>
    </row>
    <row r="24" spans="1:28" x14ac:dyDescent="0.25">
      <c r="A24" s="31"/>
      <c r="S24" s="1" t="str">
        <f>B6</f>
        <v>Basic pension</v>
      </c>
      <c r="T24" s="258">
        <f t="shared" ref="T24:W27" si="4">Y24/1000000</f>
        <v>414.73893651999998</v>
      </c>
      <c r="U24" s="258">
        <f t="shared" si="4"/>
        <v>421.20435024000005</v>
      </c>
      <c r="V24" s="258">
        <f t="shared" si="4"/>
        <v>431.70710244000009</v>
      </c>
      <c r="W24" s="258">
        <f t="shared" si="4"/>
        <v>426.99923999999999</v>
      </c>
      <c r="Y24" s="69">
        <f>B8</f>
        <v>414738936.51999998</v>
      </c>
      <c r="Z24" s="69">
        <f>C8</f>
        <v>421204350.24000007</v>
      </c>
      <c r="AA24" s="69">
        <f>D8</f>
        <v>431707102.44000006</v>
      </c>
      <c r="AB24" s="69">
        <f>E8</f>
        <v>426999240</v>
      </c>
    </row>
    <row r="25" spans="1:28" x14ac:dyDescent="0.25">
      <c r="B25" s="108"/>
      <c r="S25" s="1" t="str">
        <f>J6</f>
        <v>Other  pension</v>
      </c>
      <c r="T25" s="258">
        <f t="shared" si="4"/>
        <v>240.70123962</v>
      </c>
      <c r="U25" s="258">
        <f t="shared" si="4"/>
        <v>244.38423925999996</v>
      </c>
      <c r="V25" s="258">
        <f t="shared" si="4"/>
        <v>259.55405459000002</v>
      </c>
      <c r="W25" s="258">
        <f t="shared" si="4"/>
        <v>260.11826270999995</v>
      </c>
      <c r="Y25" s="69">
        <f>J8</f>
        <v>240701239.62</v>
      </c>
      <c r="Z25" s="69">
        <f>K8</f>
        <v>244384239.25999996</v>
      </c>
      <c r="AA25" s="69">
        <f>L8</f>
        <v>259554054.59000003</v>
      </c>
      <c r="AB25" s="69">
        <f>M8</f>
        <v>260118262.70999998</v>
      </c>
    </row>
    <row r="26" spans="1:28" x14ac:dyDescent="0.25">
      <c r="S26" s="1" t="str">
        <f>F6</f>
        <v>Retirement  pension</v>
      </c>
      <c r="T26" s="258">
        <f t="shared" si="4"/>
        <v>21.452251599999997</v>
      </c>
      <c r="U26" s="258">
        <f t="shared" si="4"/>
        <v>25.887906539999999</v>
      </c>
      <c r="V26" s="258">
        <f t="shared" si="4"/>
        <v>35.973669200000003</v>
      </c>
      <c r="W26" s="258">
        <f t="shared" si="4"/>
        <v>48.839669629999996</v>
      </c>
      <c r="Y26" s="69">
        <f>F8</f>
        <v>21452251.599999998</v>
      </c>
      <c r="Z26" s="69">
        <f>G8</f>
        <v>25887906.539999999</v>
      </c>
      <c r="AA26" s="69">
        <f>H8</f>
        <v>35973669.200000003</v>
      </c>
      <c r="AB26" s="69">
        <f>I8</f>
        <v>48839669.629999995</v>
      </c>
    </row>
    <row r="27" spans="1:28" x14ac:dyDescent="0.25">
      <c r="S27" s="1" t="str">
        <f>N6</f>
        <v xml:space="preserve"> Senior Citizen Allowance</v>
      </c>
      <c r="T27" s="258">
        <f t="shared" si="4"/>
        <v>0</v>
      </c>
      <c r="U27" s="258">
        <f t="shared" si="4"/>
        <v>0</v>
      </c>
      <c r="V27" s="258">
        <f t="shared" si="4"/>
        <v>471.31171134999994</v>
      </c>
      <c r="W27" s="258">
        <f t="shared" si="4"/>
        <v>524.5473284599999</v>
      </c>
      <c r="Y27" s="1">
        <v>0</v>
      </c>
      <c r="Z27" s="1">
        <v>0</v>
      </c>
      <c r="AA27" s="69">
        <f>N8</f>
        <v>471311711.34999996</v>
      </c>
      <c r="AB27" s="69">
        <f>O8</f>
        <v>524547328.45999992</v>
      </c>
    </row>
    <row r="28" spans="1:28" x14ac:dyDescent="0.25">
      <c r="S28" s="76"/>
      <c r="T28" s="76"/>
      <c r="U28" s="77"/>
      <c r="V28" s="77"/>
      <c r="Y28" s="77"/>
      <c r="Z28" s="78"/>
    </row>
    <row r="29" spans="1:28" x14ac:dyDescent="0.25">
      <c r="S29" s="76"/>
      <c r="T29" s="76"/>
      <c r="U29" s="77"/>
      <c r="V29" s="77"/>
      <c r="W29" s="77"/>
      <c r="X29" s="78"/>
    </row>
  </sheetData>
  <mergeCells count="15">
    <mergeCell ref="T22:W22"/>
    <mergeCell ref="Y22:AB22"/>
    <mergeCell ref="A1:P1"/>
    <mergeCell ref="R1:T1"/>
    <mergeCell ref="A5:A7"/>
    <mergeCell ref="P5:P7"/>
    <mergeCell ref="A2:P2"/>
    <mergeCell ref="B5:E5"/>
    <mergeCell ref="B6:E6"/>
    <mergeCell ref="F5:I5"/>
    <mergeCell ref="F6:I6"/>
    <mergeCell ref="J5:M5"/>
    <mergeCell ref="J6:M6"/>
    <mergeCell ref="N5:O5"/>
    <mergeCell ref="N6:O6"/>
  </mergeCells>
  <pageMargins left="0.17" right="0.16" top="0.39" bottom="0.2" header="0.3" footer="0.17"/>
  <pageSetup paperSize="9" scale="65" orientation="landscape" r:id="rId1"/>
  <colBreaks count="1" manualBreakCount="1">
    <brk id="17"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Y19"/>
  <sheetViews>
    <sheetView zoomScale="93" zoomScaleNormal="93" zoomScaleSheetLayoutView="86" workbookViewId="0">
      <selection activeCell="H33" sqref="H33"/>
    </sheetView>
  </sheetViews>
  <sheetFormatPr defaultColWidth="9.140625" defaultRowHeight="15" x14ac:dyDescent="0.25"/>
  <cols>
    <col min="1" max="1" width="24.140625" style="2" customWidth="1"/>
    <col min="2" max="2" width="13.140625" style="2" hidden="1" customWidth="1"/>
    <col min="3" max="4" width="10.42578125" style="2" hidden="1" customWidth="1"/>
    <col min="5" max="5" width="10.7109375" style="2" customWidth="1"/>
    <col min="6" max="7" width="10.42578125" style="2" customWidth="1"/>
    <col min="8" max="8" width="13.140625" style="2" customWidth="1"/>
    <col min="9" max="10" width="10.42578125" style="2" customWidth="1"/>
    <col min="11" max="11" width="13.140625" style="2" customWidth="1"/>
    <col min="12" max="13" width="10.42578125" style="2" customWidth="1"/>
    <col min="14" max="16" width="8.28515625" style="2" customWidth="1"/>
    <col min="17" max="17" width="17.140625" style="2" customWidth="1"/>
    <col min="18" max="18" width="14.140625" style="2" customWidth="1"/>
    <col min="19" max="19" width="23.85546875" style="2" customWidth="1"/>
    <col min="20" max="20" width="1.28515625" style="2" customWidth="1"/>
    <col min="21" max="21" width="2" style="2" customWidth="1"/>
    <col min="22" max="22" width="61.7109375" style="2" customWidth="1"/>
    <col min="23" max="16384" width="9.140625" style="2"/>
  </cols>
  <sheetData>
    <row r="1" spans="1:25" x14ac:dyDescent="0.25">
      <c r="W1" s="2" t="s">
        <v>5</v>
      </c>
      <c r="X1" s="13">
        <v>7948</v>
      </c>
      <c r="Y1" s="13">
        <v>7320</v>
      </c>
    </row>
    <row r="2" spans="1:25" s="1" customFormat="1" ht="21.75" customHeight="1" x14ac:dyDescent="0.25">
      <c r="A2" s="819" t="s">
        <v>206</v>
      </c>
      <c r="B2" s="819"/>
      <c r="C2" s="819"/>
      <c r="D2" s="819"/>
      <c r="E2" s="819"/>
      <c r="F2" s="819"/>
      <c r="G2" s="819"/>
      <c r="H2" s="819"/>
      <c r="I2" s="819"/>
      <c r="J2" s="819"/>
      <c r="K2" s="819"/>
      <c r="L2" s="819"/>
      <c r="M2" s="819"/>
      <c r="N2" s="819"/>
      <c r="O2" s="819"/>
      <c r="P2" s="819"/>
      <c r="Q2" s="819"/>
      <c r="R2" s="819"/>
      <c r="S2" s="819"/>
    </row>
    <row r="3" spans="1:25" ht="15.75" x14ac:dyDescent="0.25">
      <c r="A3" s="831" t="s">
        <v>207</v>
      </c>
      <c r="B3" s="831"/>
      <c r="C3" s="831"/>
      <c r="D3" s="831"/>
      <c r="E3" s="831"/>
      <c r="F3" s="831"/>
      <c r="G3" s="831"/>
      <c r="H3" s="831"/>
      <c r="I3" s="831"/>
      <c r="J3" s="831"/>
      <c r="K3" s="831"/>
      <c r="L3" s="831"/>
      <c r="M3" s="831"/>
      <c r="N3" s="831"/>
      <c r="O3" s="831"/>
      <c r="P3" s="831"/>
      <c r="Q3" s="831"/>
      <c r="R3" s="831"/>
      <c r="S3" s="831"/>
    </row>
    <row r="4" spans="1:25" ht="5.25" customHeight="1" x14ac:dyDescent="0.45">
      <c r="C4" s="230"/>
      <c r="D4" s="64"/>
      <c r="F4" s="230"/>
      <c r="G4" s="64"/>
      <c r="I4" s="230"/>
      <c r="J4" s="64"/>
      <c r="L4" s="230"/>
      <c r="M4" s="64"/>
    </row>
    <row r="5" spans="1:25" ht="17.25" customHeight="1" x14ac:dyDescent="0.25">
      <c r="A5" s="802" t="s">
        <v>77</v>
      </c>
      <c r="B5" s="102"/>
      <c r="C5" s="102"/>
      <c r="D5" s="102"/>
      <c r="E5" s="833" t="s">
        <v>181</v>
      </c>
      <c r="F5" s="833"/>
      <c r="G5" s="833"/>
      <c r="H5" s="833"/>
      <c r="I5" s="833"/>
      <c r="J5" s="833"/>
      <c r="K5" s="833"/>
      <c r="L5" s="833"/>
      <c r="M5" s="834"/>
      <c r="N5" s="835" t="s">
        <v>158</v>
      </c>
      <c r="O5" s="836"/>
      <c r="P5" s="837"/>
      <c r="Q5" s="840" t="s">
        <v>159</v>
      </c>
      <c r="R5" s="241" t="s">
        <v>134</v>
      </c>
      <c r="S5" s="799" t="s">
        <v>78</v>
      </c>
    </row>
    <row r="6" spans="1:25" ht="15" customHeight="1" x14ac:dyDescent="0.25">
      <c r="A6" s="803"/>
      <c r="B6" s="825">
        <v>2012</v>
      </c>
      <c r="C6" s="825"/>
      <c r="D6" s="825"/>
      <c r="E6" s="825">
        <v>2013</v>
      </c>
      <c r="F6" s="825"/>
      <c r="G6" s="825"/>
      <c r="H6" s="832">
        <v>2014</v>
      </c>
      <c r="I6" s="825"/>
      <c r="J6" s="826"/>
      <c r="K6" s="832">
        <v>2015</v>
      </c>
      <c r="L6" s="825"/>
      <c r="M6" s="826"/>
      <c r="N6" s="813" t="s">
        <v>3</v>
      </c>
      <c r="O6" s="814"/>
      <c r="P6" s="838"/>
      <c r="Q6" s="841"/>
      <c r="S6" s="800"/>
    </row>
    <row r="7" spans="1:25" ht="24" customHeight="1" x14ac:dyDescent="0.25">
      <c r="A7" s="803"/>
      <c r="B7" s="90" t="s">
        <v>75</v>
      </c>
      <c r="C7" s="90" t="s">
        <v>71</v>
      </c>
      <c r="D7" s="91" t="s">
        <v>72</v>
      </c>
      <c r="E7" s="90" t="s">
        <v>75</v>
      </c>
      <c r="F7" s="90" t="s">
        <v>71</v>
      </c>
      <c r="G7" s="91" t="s">
        <v>72</v>
      </c>
      <c r="H7" s="176" t="s">
        <v>75</v>
      </c>
      <c r="I7" s="90" t="s">
        <v>71</v>
      </c>
      <c r="J7" s="177" t="s">
        <v>72</v>
      </c>
      <c r="K7" s="176" t="s">
        <v>75</v>
      </c>
      <c r="L7" s="90" t="s">
        <v>71</v>
      </c>
      <c r="M7" s="177" t="s">
        <v>72</v>
      </c>
      <c r="N7" s="829"/>
      <c r="O7" s="830"/>
      <c r="P7" s="839"/>
      <c r="Q7" s="240" t="s">
        <v>118</v>
      </c>
      <c r="R7" s="235" t="s">
        <v>4</v>
      </c>
      <c r="S7" s="800"/>
    </row>
    <row r="8" spans="1:25" ht="13.5" customHeight="1" x14ac:dyDescent="0.25">
      <c r="A8" s="804"/>
      <c r="B8" s="243" t="s">
        <v>2</v>
      </c>
      <c r="C8" s="243" t="s">
        <v>0</v>
      </c>
      <c r="D8" s="243" t="s">
        <v>1</v>
      </c>
      <c r="E8" s="50" t="s">
        <v>2</v>
      </c>
      <c r="F8" s="50" t="s">
        <v>0</v>
      </c>
      <c r="G8" s="50" t="s">
        <v>1</v>
      </c>
      <c r="H8" s="729" t="s">
        <v>2</v>
      </c>
      <c r="I8" s="50" t="s">
        <v>0</v>
      </c>
      <c r="J8" s="730" t="s">
        <v>1</v>
      </c>
      <c r="K8" s="729" t="s">
        <v>2</v>
      </c>
      <c r="L8" s="50" t="s">
        <v>0</v>
      </c>
      <c r="M8" s="730" t="s">
        <v>1</v>
      </c>
      <c r="N8" s="133">
        <v>2013</v>
      </c>
      <c r="O8" s="221">
        <v>2014</v>
      </c>
      <c r="P8" s="259">
        <v>2015</v>
      </c>
      <c r="Q8" s="724">
        <v>2015</v>
      </c>
      <c r="R8" s="128" t="s">
        <v>203</v>
      </c>
      <c r="S8" s="801"/>
    </row>
    <row r="9" spans="1:25" s="12" customFormat="1" ht="21" x14ac:dyDescent="0.55000000000000004">
      <c r="A9" s="12" t="s">
        <v>2</v>
      </c>
      <c r="B9" s="18">
        <f>C9+D9</f>
        <v>22875</v>
      </c>
      <c r="C9" s="18">
        <f>SUM(C10:C12)</f>
        <v>13653</v>
      </c>
      <c r="D9" s="18">
        <f>SUM(D10:D12)</f>
        <v>9222</v>
      </c>
      <c r="E9" s="18">
        <f>F9+G9</f>
        <v>23165</v>
      </c>
      <c r="F9" s="18">
        <f>SUM(F10:F12)</f>
        <v>13562</v>
      </c>
      <c r="G9" s="18">
        <f>SUM(G10:G12)</f>
        <v>9603</v>
      </c>
      <c r="H9" s="178">
        <f>I9+J9</f>
        <v>39895</v>
      </c>
      <c r="I9" s="18">
        <f>SUM(I10:I13)</f>
        <v>22176</v>
      </c>
      <c r="J9" s="179">
        <f>SUM(J10:J13)</f>
        <v>17719</v>
      </c>
      <c r="K9" s="178">
        <f>L9+M9</f>
        <v>40811</v>
      </c>
      <c r="L9" s="18">
        <f>SUM(L10:L13)</f>
        <v>22651</v>
      </c>
      <c r="M9" s="18">
        <f>SUM(M10:M13)</f>
        <v>18160</v>
      </c>
      <c r="N9" s="134">
        <f>E9/E9*100</f>
        <v>100</v>
      </c>
      <c r="O9" s="219">
        <f>H9/H9*100</f>
        <v>100</v>
      </c>
      <c r="P9" s="204">
        <f>K9/$K$9*100</f>
        <v>100</v>
      </c>
      <c r="Q9" s="725">
        <f>M9/K9*100</f>
        <v>44.497806963808777</v>
      </c>
      <c r="R9" s="726">
        <f>((K9-H9)/H9)*100</f>
        <v>2.2960270710615367</v>
      </c>
      <c r="S9" s="20" t="s">
        <v>75</v>
      </c>
    </row>
    <row r="10" spans="1:25" ht="21" x14ac:dyDescent="0.55000000000000004">
      <c r="A10" s="118" t="s">
        <v>5</v>
      </c>
      <c r="B10" s="19">
        <f>SUM(C10:D10)</f>
        <v>15268</v>
      </c>
      <c r="C10" s="13">
        <v>7948</v>
      </c>
      <c r="D10" s="13">
        <v>7320</v>
      </c>
      <c r="E10" s="19">
        <v>15447</v>
      </c>
      <c r="F10" s="13">
        <v>7972</v>
      </c>
      <c r="G10" s="13">
        <v>7475</v>
      </c>
      <c r="H10" s="180">
        <v>15767</v>
      </c>
      <c r="I10" s="13">
        <v>8062</v>
      </c>
      <c r="J10" s="60">
        <v>7705</v>
      </c>
      <c r="K10" s="180">
        <f>SUM(L10:M10)</f>
        <v>16091</v>
      </c>
      <c r="L10" s="169">
        <v>8201</v>
      </c>
      <c r="M10" s="169">
        <v>7890</v>
      </c>
      <c r="N10" s="120">
        <f>E10/E9*100</f>
        <v>66.682495143535505</v>
      </c>
      <c r="O10" s="220">
        <f>H10/H9*100</f>
        <v>39.521243263566866</v>
      </c>
      <c r="P10" s="181">
        <f>K10/$K$9*100</f>
        <v>39.428095366445319</v>
      </c>
      <c r="Q10" s="732">
        <f>M10/K10*100</f>
        <v>49.033621278975822</v>
      </c>
      <c r="R10" s="727">
        <f>((K10-H10)/H10)*100</f>
        <v>2.0549248430265745</v>
      </c>
      <c r="S10" s="8" t="s">
        <v>73</v>
      </c>
    </row>
    <row r="11" spans="1:25" ht="21" x14ac:dyDescent="0.55000000000000004">
      <c r="A11" s="118" t="s">
        <v>6</v>
      </c>
      <c r="B11" s="19">
        <v>393</v>
      </c>
      <c r="C11" s="13">
        <v>217</v>
      </c>
      <c r="D11" s="13">
        <v>76</v>
      </c>
      <c r="E11" s="19">
        <v>425</v>
      </c>
      <c r="F11" s="13">
        <v>333</v>
      </c>
      <c r="G11" s="13">
        <v>92</v>
      </c>
      <c r="H11" s="180">
        <v>646</v>
      </c>
      <c r="I11" s="13">
        <v>501</v>
      </c>
      <c r="J11" s="60">
        <v>145</v>
      </c>
      <c r="K11" s="180">
        <f t="shared" ref="K11:K13" si="0">SUM(L11:M11)</f>
        <v>895</v>
      </c>
      <c r="L11" s="169">
        <v>699</v>
      </c>
      <c r="M11" s="169">
        <v>196</v>
      </c>
      <c r="N11" s="120">
        <f>E11/E9*100</f>
        <v>1.8346643643427585</v>
      </c>
      <c r="O11" s="220">
        <f>H11/H9*100</f>
        <v>1.6192505326482014</v>
      </c>
      <c r="P11" s="181">
        <f>K11/$K$9*100</f>
        <v>2.1930361912229546</v>
      </c>
      <c r="Q11" s="732">
        <f>M11/K11*100</f>
        <v>21.899441340782122</v>
      </c>
      <c r="R11" s="727">
        <f t="shared" ref="R11:R13" si="1">((K11-H11)/H11)*100</f>
        <v>38.544891640866872</v>
      </c>
      <c r="S11" s="8" t="s">
        <v>74</v>
      </c>
    </row>
    <row r="12" spans="1:25" ht="21" x14ac:dyDescent="0.55000000000000004">
      <c r="A12" s="118" t="s">
        <v>7</v>
      </c>
      <c r="B12" s="19">
        <f>SUM(C12:D12)</f>
        <v>7314</v>
      </c>
      <c r="C12" s="13">
        <v>5488</v>
      </c>
      <c r="D12" s="13">
        <v>1826</v>
      </c>
      <c r="E12" s="19">
        <v>7293</v>
      </c>
      <c r="F12" s="13">
        <v>5257</v>
      </c>
      <c r="G12" s="13">
        <v>2036</v>
      </c>
      <c r="H12" s="180">
        <v>7284</v>
      </c>
      <c r="I12" s="13">
        <v>5225</v>
      </c>
      <c r="J12" s="60">
        <v>2059</v>
      </c>
      <c r="K12" s="180">
        <f t="shared" si="0"/>
        <v>7264</v>
      </c>
      <c r="L12" s="169">
        <v>5198</v>
      </c>
      <c r="M12" s="169">
        <v>2066</v>
      </c>
      <c r="N12" s="120">
        <f>E12/E9*100</f>
        <v>31.482840492121731</v>
      </c>
      <c r="O12" s="220">
        <f>H12/H9*100</f>
        <v>18.257927058528637</v>
      </c>
      <c r="P12" s="181">
        <f>K12/$K$9*100</f>
        <v>17.799122785523512</v>
      </c>
      <c r="Q12" s="732">
        <f>M12/K12*100</f>
        <v>28.441629955947135</v>
      </c>
      <c r="R12" s="727">
        <f t="shared" si="1"/>
        <v>-0.27457440966501923</v>
      </c>
      <c r="S12" s="8" t="s">
        <v>76</v>
      </c>
      <c r="X12" s="2" t="s">
        <v>117</v>
      </c>
    </row>
    <row r="13" spans="1:25" ht="21" x14ac:dyDescent="0.55000000000000004">
      <c r="A13" s="119" t="s">
        <v>185</v>
      </c>
      <c r="B13" s="7"/>
      <c r="C13" s="9"/>
      <c r="D13" s="9"/>
      <c r="E13" s="7">
        <v>0</v>
      </c>
      <c r="F13" s="9">
        <v>0</v>
      </c>
      <c r="G13" s="9">
        <v>0</v>
      </c>
      <c r="H13" s="182">
        <v>16198</v>
      </c>
      <c r="I13" s="9">
        <v>8388</v>
      </c>
      <c r="J13" s="60">
        <v>7810</v>
      </c>
      <c r="K13" s="182">
        <f t="shared" si="0"/>
        <v>16561</v>
      </c>
      <c r="L13" s="731">
        <v>8553</v>
      </c>
      <c r="M13" s="169">
        <v>8008</v>
      </c>
      <c r="N13" s="120">
        <f>E13/E10*100</f>
        <v>0</v>
      </c>
      <c r="O13" s="220">
        <f>H13/H9*100</f>
        <v>40.601579145256302</v>
      </c>
      <c r="P13" s="222">
        <f>K13/$K$9*100</f>
        <v>40.579745656808214</v>
      </c>
      <c r="Q13" s="733">
        <f>M13/K13*100</f>
        <v>48.354567960871933</v>
      </c>
      <c r="R13" s="728">
        <f t="shared" si="1"/>
        <v>2.2410174095567355</v>
      </c>
      <c r="S13" s="10" t="s">
        <v>186</v>
      </c>
    </row>
    <row r="14" spans="1:25" ht="17.25" x14ac:dyDescent="0.25">
      <c r="A14" s="189" t="s">
        <v>197</v>
      </c>
      <c r="J14" s="173"/>
      <c r="M14" s="173"/>
      <c r="N14" s="173"/>
      <c r="O14" s="173"/>
      <c r="Q14" s="173"/>
      <c r="S14" s="193"/>
      <c r="X14" s="2" t="str">
        <f>C8</f>
        <v>Male</v>
      </c>
      <c r="Y14" s="2" t="str">
        <f>D8</f>
        <v>Female</v>
      </c>
    </row>
    <row r="15" spans="1:25" ht="19.5" x14ac:dyDescent="0.25">
      <c r="T15" s="75" t="s">
        <v>195</v>
      </c>
      <c r="U15" s="206" t="s">
        <v>196</v>
      </c>
      <c r="V15" s="206"/>
      <c r="W15" s="118" t="s">
        <v>5</v>
      </c>
      <c r="X15" s="13">
        <f>L10</f>
        <v>8201</v>
      </c>
      <c r="Y15" s="13">
        <f>M10</f>
        <v>7890</v>
      </c>
    </row>
    <row r="16" spans="1:25" ht="18" x14ac:dyDescent="0.45">
      <c r="A16" s="21" t="s">
        <v>79</v>
      </c>
      <c r="S16" s="109" t="s">
        <v>121</v>
      </c>
      <c r="W16" s="118" t="s">
        <v>6</v>
      </c>
      <c r="X16" s="13">
        <f t="shared" ref="X16:Y18" si="2">L11</f>
        <v>699</v>
      </c>
      <c r="Y16" s="13">
        <f t="shared" si="2"/>
        <v>196</v>
      </c>
    </row>
    <row r="17" spans="3:25" x14ac:dyDescent="0.25">
      <c r="W17" s="118" t="s">
        <v>7</v>
      </c>
      <c r="X17" s="13">
        <f t="shared" si="2"/>
        <v>5198</v>
      </c>
      <c r="Y17" s="13">
        <f t="shared" si="2"/>
        <v>2066</v>
      </c>
    </row>
    <row r="18" spans="3:25" x14ac:dyDescent="0.25">
      <c r="C18" s="15"/>
      <c r="D18" s="15"/>
      <c r="F18" s="15"/>
      <c r="G18" s="15"/>
      <c r="I18" s="15"/>
      <c r="J18" s="15"/>
      <c r="L18" s="15"/>
      <c r="M18" s="15"/>
      <c r="W18" s="119" t="s">
        <v>185</v>
      </c>
      <c r="X18" s="13">
        <f t="shared" si="2"/>
        <v>8553</v>
      </c>
      <c r="Y18" s="13">
        <f t="shared" si="2"/>
        <v>8008</v>
      </c>
    </row>
    <row r="19" spans="3:25" x14ac:dyDescent="0.25">
      <c r="C19" s="15"/>
      <c r="D19" s="15"/>
      <c r="F19" s="15"/>
      <c r="G19" s="15"/>
      <c r="I19" s="15"/>
      <c r="J19" s="15"/>
      <c r="L19" s="15"/>
      <c r="M19" s="15"/>
    </row>
  </sheetData>
  <mergeCells count="12">
    <mergeCell ref="A2:S2"/>
    <mergeCell ref="A3:S3"/>
    <mergeCell ref="B6:D6"/>
    <mergeCell ref="A5:A8"/>
    <mergeCell ref="S5:S8"/>
    <mergeCell ref="E6:G6"/>
    <mergeCell ref="H6:J6"/>
    <mergeCell ref="K6:M6"/>
    <mergeCell ref="E5:M5"/>
    <mergeCell ref="N5:P5"/>
    <mergeCell ref="N6:P7"/>
    <mergeCell ref="Q5:Q6"/>
  </mergeCells>
  <pageMargins left="0.17" right="0.35" top="0.75" bottom="0.75" header="0.3" footer="0.3"/>
  <pageSetup paperSize="9" scale="68" orientation="landscape" r:id="rId1"/>
  <colBreaks count="1" manualBreakCount="1">
    <brk id="22" max="1048575" man="1"/>
  </colBreaks>
  <ignoredErrors>
    <ignoredError sqref="B9 E9" formula="1"/>
    <ignoredError sqref="B10 B12" formula="1"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AH38"/>
  <sheetViews>
    <sheetView workbookViewId="0">
      <selection activeCell="W29" sqref="W29"/>
    </sheetView>
  </sheetViews>
  <sheetFormatPr defaultColWidth="9.140625" defaultRowHeight="15" x14ac:dyDescent="0.25"/>
  <cols>
    <col min="1" max="1" width="9.140625" style="1"/>
    <col min="2" max="2" width="10" style="1" hidden="1" customWidth="1"/>
    <col min="3" max="4" width="11" style="1" hidden="1" customWidth="1"/>
    <col min="5" max="5" width="11.28515625" style="1" hidden="1" customWidth="1"/>
    <col min="6" max="6" width="1.7109375" style="1" hidden="1" customWidth="1"/>
    <col min="7" max="7" width="10" style="1" customWidth="1"/>
    <col min="8" max="9" width="11" style="1" customWidth="1"/>
    <col min="10" max="10" width="11.28515625" style="1" customWidth="1"/>
    <col min="11" max="11" width="10" style="1" customWidth="1"/>
    <col min="12" max="13" width="11" style="1" customWidth="1"/>
    <col min="14" max="14" width="11.28515625" style="1" customWidth="1"/>
    <col min="15" max="15" width="10" style="1" customWidth="1"/>
    <col min="16" max="17" width="11" style="1" customWidth="1"/>
    <col min="18" max="18" width="11.28515625" style="1" customWidth="1"/>
    <col min="19" max="19" width="14.7109375" style="1" customWidth="1"/>
    <col min="20" max="16384" width="9.140625" style="1"/>
  </cols>
  <sheetData>
    <row r="2" spans="1:33" ht="16.899999999999999" customHeight="1" x14ac:dyDescent="0.55000000000000004">
      <c r="A2" s="797" t="s">
        <v>1098</v>
      </c>
      <c r="B2" s="797"/>
      <c r="C2" s="797"/>
      <c r="D2" s="797"/>
      <c r="E2" s="797"/>
      <c r="F2" s="797"/>
      <c r="G2" s="797"/>
      <c r="H2" s="797"/>
      <c r="I2" s="797"/>
      <c r="J2" s="797"/>
      <c r="K2" s="797"/>
      <c r="L2" s="797"/>
      <c r="M2" s="797"/>
      <c r="N2" s="797"/>
      <c r="O2" s="797"/>
      <c r="P2" s="797"/>
      <c r="Q2" s="797"/>
      <c r="R2" s="797"/>
      <c r="S2" s="797"/>
    </row>
    <row r="3" spans="1:33" ht="14.25" customHeight="1" x14ac:dyDescent="0.25">
      <c r="A3" s="820" t="s">
        <v>1099</v>
      </c>
      <c r="B3" s="820"/>
      <c r="C3" s="820"/>
      <c r="D3" s="820"/>
      <c r="E3" s="820"/>
      <c r="F3" s="820"/>
      <c r="G3" s="820"/>
      <c r="H3" s="820"/>
      <c r="I3" s="820"/>
      <c r="J3" s="820"/>
      <c r="K3" s="820"/>
      <c r="L3" s="820"/>
      <c r="M3" s="820"/>
      <c r="N3" s="820"/>
      <c r="O3" s="820"/>
      <c r="P3" s="820"/>
      <c r="Q3" s="820"/>
      <c r="R3" s="820"/>
      <c r="S3" s="820"/>
    </row>
    <row r="4" spans="1:33" ht="6.75" customHeight="1" x14ac:dyDescent="0.25">
      <c r="A4" s="2"/>
      <c r="B4" s="2"/>
      <c r="C4" s="2"/>
      <c r="D4" s="2"/>
      <c r="E4" s="2"/>
      <c r="F4" s="2"/>
      <c r="G4" s="2"/>
      <c r="H4" s="2"/>
      <c r="I4" s="2"/>
      <c r="J4" s="2"/>
      <c r="K4" s="2"/>
      <c r="L4" s="2"/>
      <c r="M4" s="2"/>
      <c r="N4" s="2"/>
      <c r="O4" s="2"/>
      <c r="P4" s="2"/>
      <c r="Q4" s="2"/>
      <c r="R4" s="2"/>
    </row>
    <row r="5" spans="1:33" ht="21" x14ac:dyDescent="0.55000000000000004">
      <c r="A5" s="802" t="s">
        <v>22</v>
      </c>
      <c r="B5" s="844" t="s">
        <v>94</v>
      </c>
      <c r="C5" s="844"/>
      <c r="D5" s="844"/>
      <c r="E5" s="844"/>
      <c r="F5" s="844"/>
      <c r="G5" s="844"/>
      <c r="H5" s="844"/>
      <c r="I5" s="844"/>
      <c r="J5" s="844"/>
      <c r="K5" s="844"/>
      <c r="L5" s="844"/>
      <c r="M5" s="844"/>
      <c r="N5" s="844"/>
      <c r="O5" s="223"/>
      <c r="P5" s="223"/>
      <c r="Q5" s="223"/>
      <c r="R5" s="223"/>
      <c r="S5" s="799" t="s">
        <v>82</v>
      </c>
    </row>
    <row r="6" spans="1:33" x14ac:dyDescent="0.25">
      <c r="A6" s="803"/>
      <c r="B6" s="842">
        <v>2012</v>
      </c>
      <c r="C6" s="842"/>
      <c r="D6" s="842"/>
      <c r="E6" s="842"/>
      <c r="F6" s="720"/>
      <c r="G6" s="842">
        <v>2013</v>
      </c>
      <c r="H6" s="842"/>
      <c r="I6" s="842"/>
      <c r="J6" s="842"/>
      <c r="K6" s="843">
        <v>2014</v>
      </c>
      <c r="L6" s="842"/>
      <c r="M6" s="842"/>
      <c r="N6" s="842"/>
      <c r="O6" s="843">
        <v>2015</v>
      </c>
      <c r="P6" s="842"/>
      <c r="Q6" s="842"/>
      <c r="R6" s="842"/>
      <c r="S6" s="800"/>
      <c r="V6" s="30"/>
    </row>
    <row r="7" spans="1:33" x14ac:dyDescent="0.25">
      <c r="A7" s="804"/>
      <c r="B7" s="721" t="s">
        <v>2</v>
      </c>
      <c r="C7" s="721" t="s">
        <v>24</v>
      </c>
      <c r="D7" s="721" t="s">
        <v>25</v>
      </c>
      <c r="E7" s="79" t="s">
        <v>113</v>
      </c>
      <c r="F7" s="17"/>
      <c r="G7" s="721" t="s">
        <v>2</v>
      </c>
      <c r="H7" s="721" t="s">
        <v>24</v>
      </c>
      <c r="I7" s="721" t="s">
        <v>25</v>
      </c>
      <c r="J7" s="79" t="s">
        <v>113</v>
      </c>
      <c r="K7" s="85" t="s">
        <v>2</v>
      </c>
      <c r="L7" s="721" t="s">
        <v>24</v>
      </c>
      <c r="M7" s="721" t="s">
        <v>25</v>
      </c>
      <c r="N7" s="79" t="s">
        <v>113</v>
      </c>
      <c r="O7" s="85" t="s">
        <v>2</v>
      </c>
      <c r="P7" s="721" t="s">
        <v>24</v>
      </c>
      <c r="Q7" s="721" t="s">
        <v>25</v>
      </c>
      <c r="R7" s="79" t="s">
        <v>113</v>
      </c>
      <c r="S7" s="801"/>
      <c r="V7" s="30"/>
    </row>
    <row r="8" spans="1:33" ht="24.75" customHeight="1" x14ac:dyDescent="0.25">
      <c r="A8" s="25" t="s">
        <v>10</v>
      </c>
      <c r="B8" s="33">
        <f>SUM(C8:E8)</f>
        <v>15031</v>
      </c>
      <c r="C8" s="33">
        <v>2952</v>
      </c>
      <c r="D8" s="33">
        <v>5170</v>
      </c>
      <c r="E8" s="33">
        <v>6909</v>
      </c>
      <c r="F8" s="36"/>
      <c r="G8" s="33">
        <f>SUM(H8:J8)</f>
        <v>15309</v>
      </c>
      <c r="H8" s="33">
        <v>2849</v>
      </c>
      <c r="I8" s="33">
        <v>5055</v>
      </c>
      <c r="J8" s="33">
        <v>7405</v>
      </c>
      <c r="K8" s="87">
        <f>SUM(L8:N8)</f>
        <v>15397</v>
      </c>
      <c r="L8" s="34">
        <v>3613</v>
      </c>
      <c r="M8" s="34">
        <v>4907</v>
      </c>
      <c r="N8" s="34">
        <v>6877</v>
      </c>
      <c r="O8" s="87">
        <f>SUM(P8:R8)</f>
        <v>15920</v>
      </c>
      <c r="P8" s="34">
        <v>3868</v>
      </c>
      <c r="Q8" s="34">
        <v>4705</v>
      </c>
      <c r="R8" s="34">
        <v>7347</v>
      </c>
      <c r="S8" s="24" t="s">
        <v>83</v>
      </c>
      <c r="V8" s="30"/>
    </row>
    <row r="9" spans="1:33" ht="24.75" customHeight="1" x14ac:dyDescent="0.25">
      <c r="A9" s="25" t="s">
        <v>11</v>
      </c>
      <c r="B9" s="33">
        <f t="shared" ref="B9:B19" si="0">SUM(C9:E9)</f>
        <v>15176</v>
      </c>
      <c r="C9" s="33">
        <v>3097</v>
      </c>
      <c r="D9" s="33">
        <v>5167</v>
      </c>
      <c r="E9" s="33">
        <v>6912</v>
      </c>
      <c r="F9" s="36"/>
      <c r="G9" s="33">
        <f t="shared" ref="G9:G19" si="1">SUM(H9:J9)</f>
        <v>15360</v>
      </c>
      <c r="H9" s="33">
        <v>2918</v>
      </c>
      <c r="I9" s="33">
        <v>5060</v>
      </c>
      <c r="J9" s="33">
        <v>7382</v>
      </c>
      <c r="K9" s="87">
        <f t="shared" ref="K9:K19" si="2">SUM(L9:N9)</f>
        <v>15683</v>
      </c>
      <c r="L9" s="34">
        <v>3897</v>
      </c>
      <c r="M9" s="34">
        <v>4909</v>
      </c>
      <c r="N9" s="34">
        <v>6877</v>
      </c>
      <c r="O9" s="87">
        <f t="shared" ref="O9:O19" si="3">SUM(P9:R9)</f>
        <v>15915</v>
      </c>
      <c r="P9" s="34">
        <v>3921</v>
      </c>
      <c r="Q9" s="34">
        <v>4681</v>
      </c>
      <c r="R9" s="34">
        <v>7313</v>
      </c>
      <c r="S9" s="24" t="s">
        <v>84</v>
      </c>
      <c r="V9" s="30"/>
    </row>
    <row r="10" spans="1:33" ht="24.75" customHeight="1" x14ac:dyDescent="0.25">
      <c r="A10" s="25" t="s">
        <v>12</v>
      </c>
      <c r="B10" s="33">
        <f t="shared" si="0"/>
        <v>15205</v>
      </c>
      <c r="C10" s="33">
        <v>3119</v>
      </c>
      <c r="D10" s="33">
        <v>5168</v>
      </c>
      <c r="E10" s="33">
        <v>6918</v>
      </c>
      <c r="F10" s="36"/>
      <c r="G10" s="33">
        <f t="shared" si="1"/>
        <v>15435</v>
      </c>
      <c r="H10" s="33">
        <v>2965</v>
      </c>
      <c r="I10" s="33">
        <v>5075</v>
      </c>
      <c r="J10" s="33">
        <v>7395</v>
      </c>
      <c r="K10" s="87">
        <f t="shared" si="2"/>
        <v>15823</v>
      </c>
      <c r="L10" s="34">
        <v>3997</v>
      </c>
      <c r="M10" s="34">
        <v>4937</v>
      </c>
      <c r="N10" s="34">
        <v>6889</v>
      </c>
      <c r="O10" s="87">
        <f t="shared" si="3"/>
        <v>16065</v>
      </c>
      <c r="P10" s="34">
        <v>4110</v>
      </c>
      <c r="Q10" s="34">
        <v>4681</v>
      </c>
      <c r="R10" s="34">
        <v>7274</v>
      </c>
      <c r="S10" s="24" t="s">
        <v>85</v>
      </c>
      <c r="V10" s="30"/>
    </row>
    <row r="11" spans="1:33" ht="24.75" customHeight="1" x14ac:dyDescent="0.25">
      <c r="A11" s="25" t="s">
        <v>13</v>
      </c>
      <c r="B11" s="33">
        <f t="shared" si="0"/>
        <v>15224</v>
      </c>
      <c r="C11" s="33">
        <v>3137</v>
      </c>
      <c r="D11" s="33">
        <v>5154</v>
      </c>
      <c r="E11" s="33">
        <v>6933</v>
      </c>
      <c r="F11" s="36"/>
      <c r="G11" s="33">
        <f t="shared" si="1"/>
        <v>15487</v>
      </c>
      <c r="H11" s="33">
        <v>3031</v>
      </c>
      <c r="I11" s="33">
        <v>5070</v>
      </c>
      <c r="J11" s="33">
        <v>7386</v>
      </c>
      <c r="K11" s="87">
        <f t="shared" si="2"/>
        <v>15854</v>
      </c>
      <c r="L11" s="34">
        <v>4047</v>
      </c>
      <c r="M11" s="34">
        <v>4926</v>
      </c>
      <c r="N11" s="34">
        <v>6881</v>
      </c>
      <c r="O11" s="87">
        <f t="shared" si="3"/>
        <v>16073</v>
      </c>
      <c r="P11" s="34">
        <v>4129</v>
      </c>
      <c r="Q11" s="34">
        <v>4694</v>
      </c>
      <c r="R11" s="34">
        <v>7250</v>
      </c>
      <c r="S11" s="24" t="s">
        <v>86</v>
      </c>
      <c r="V11" s="30"/>
    </row>
    <row r="12" spans="1:33" ht="24.75" customHeight="1" x14ac:dyDescent="0.25">
      <c r="A12" s="25" t="s">
        <v>14</v>
      </c>
      <c r="B12" s="33">
        <f t="shared" si="0"/>
        <v>15274</v>
      </c>
      <c r="C12" s="33">
        <v>3174</v>
      </c>
      <c r="D12" s="33">
        <v>5149</v>
      </c>
      <c r="E12" s="33">
        <v>6951</v>
      </c>
      <c r="F12" s="36"/>
      <c r="G12" s="33">
        <f t="shared" si="1"/>
        <v>15396</v>
      </c>
      <c r="H12" s="33">
        <v>3872</v>
      </c>
      <c r="I12" s="33">
        <v>5018</v>
      </c>
      <c r="J12" s="33">
        <v>6506</v>
      </c>
      <c r="K12" s="87">
        <f t="shared" si="2"/>
        <v>15792</v>
      </c>
      <c r="L12" s="34">
        <v>4094</v>
      </c>
      <c r="M12" s="34">
        <v>4887</v>
      </c>
      <c r="N12" s="34">
        <v>6811</v>
      </c>
      <c r="O12" s="87">
        <f t="shared" si="3"/>
        <v>16096</v>
      </c>
      <c r="P12" s="34">
        <v>4208</v>
      </c>
      <c r="Q12" s="34">
        <v>4647</v>
      </c>
      <c r="R12" s="34">
        <v>7241</v>
      </c>
      <c r="S12" s="24" t="s">
        <v>87</v>
      </c>
      <c r="V12" s="30"/>
      <c r="Y12" s="2"/>
      <c r="Z12" s="2"/>
      <c r="AA12" s="2"/>
      <c r="AB12" s="2"/>
      <c r="AC12" s="2"/>
      <c r="AD12" s="2"/>
      <c r="AE12" s="2"/>
      <c r="AF12" s="2"/>
      <c r="AG12" s="2"/>
    </row>
    <row r="13" spans="1:33" ht="24.75" customHeight="1" x14ac:dyDescent="0.25">
      <c r="A13" s="25" t="s">
        <v>15</v>
      </c>
      <c r="B13" s="33">
        <f t="shared" si="0"/>
        <v>15298</v>
      </c>
      <c r="C13" s="33">
        <v>3184</v>
      </c>
      <c r="D13" s="33">
        <v>5146</v>
      </c>
      <c r="E13" s="33">
        <v>6968</v>
      </c>
      <c r="F13" s="36"/>
      <c r="G13" s="33">
        <f t="shared" si="1"/>
        <v>15450</v>
      </c>
      <c r="H13" s="33">
        <v>3919</v>
      </c>
      <c r="I13" s="33">
        <v>5007</v>
      </c>
      <c r="J13" s="33">
        <v>6524</v>
      </c>
      <c r="K13" s="87">
        <f t="shared" si="2"/>
        <v>15794</v>
      </c>
      <c r="L13" s="34">
        <v>4096</v>
      </c>
      <c r="M13" s="34">
        <v>4880</v>
      </c>
      <c r="N13" s="34">
        <v>6818</v>
      </c>
      <c r="O13" s="87">
        <f t="shared" si="3"/>
        <v>16125</v>
      </c>
      <c r="P13" s="34">
        <v>4205</v>
      </c>
      <c r="Q13" s="34">
        <v>4682</v>
      </c>
      <c r="R13" s="34">
        <v>7238</v>
      </c>
      <c r="S13" s="24" t="s">
        <v>88</v>
      </c>
      <c r="V13" s="30"/>
      <c r="Y13" s="2"/>
      <c r="Z13" s="739"/>
      <c r="AA13" s="739"/>
      <c r="AB13" s="739"/>
      <c r="AC13" s="739"/>
      <c r="AD13" s="739"/>
      <c r="AE13" s="739"/>
      <c r="AF13" s="739"/>
      <c r="AG13" s="2"/>
    </row>
    <row r="14" spans="1:33" ht="24.75" customHeight="1" x14ac:dyDescent="0.25">
      <c r="A14" s="25" t="s">
        <v>16</v>
      </c>
      <c r="B14" s="33">
        <f t="shared" si="0"/>
        <v>15252</v>
      </c>
      <c r="C14" s="33">
        <v>3190</v>
      </c>
      <c r="D14" s="33">
        <v>5111</v>
      </c>
      <c r="E14" s="33">
        <v>6951</v>
      </c>
      <c r="F14" s="36"/>
      <c r="G14" s="33">
        <f t="shared" si="1"/>
        <v>15487</v>
      </c>
      <c r="H14" s="33">
        <v>3970</v>
      </c>
      <c r="I14" s="33">
        <v>4987</v>
      </c>
      <c r="J14" s="33">
        <v>6530</v>
      </c>
      <c r="K14" s="87">
        <f t="shared" si="2"/>
        <v>15858</v>
      </c>
      <c r="L14" s="34">
        <v>4128</v>
      </c>
      <c r="M14" s="34">
        <v>4879</v>
      </c>
      <c r="N14" s="34">
        <v>6851</v>
      </c>
      <c r="O14" s="87">
        <f t="shared" si="3"/>
        <v>16122</v>
      </c>
      <c r="P14" s="34">
        <v>4261</v>
      </c>
      <c r="Q14" s="34">
        <v>4644</v>
      </c>
      <c r="R14" s="34">
        <v>7217</v>
      </c>
      <c r="S14" s="24" t="s">
        <v>89</v>
      </c>
      <c r="V14" s="30"/>
      <c r="Y14" s="2"/>
      <c r="Z14" s="739"/>
      <c r="AA14" s="739"/>
      <c r="AB14" s="739"/>
      <c r="AC14" s="739"/>
      <c r="AD14" s="739"/>
      <c r="AE14" s="739"/>
      <c r="AF14" s="739"/>
      <c r="AG14" s="2"/>
    </row>
    <row r="15" spans="1:33" ht="24.75" customHeight="1" x14ac:dyDescent="0.25">
      <c r="A15" s="25" t="s">
        <v>17</v>
      </c>
      <c r="B15" s="33">
        <f t="shared" si="0"/>
        <v>15256</v>
      </c>
      <c r="C15" s="33">
        <v>3184</v>
      </c>
      <c r="D15" s="33">
        <v>5120</v>
      </c>
      <c r="E15" s="33">
        <v>6952</v>
      </c>
      <c r="F15" s="36"/>
      <c r="G15" s="33">
        <f t="shared" si="1"/>
        <v>15550</v>
      </c>
      <c r="H15" s="33">
        <v>4009</v>
      </c>
      <c r="I15" s="33">
        <v>4994</v>
      </c>
      <c r="J15" s="33">
        <v>6547</v>
      </c>
      <c r="K15" s="87">
        <f t="shared" si="2"/>
        <v>15846</v>
      </c>
      <c r="L15" s="34">
        <v>4149</v>
      </c>
      <c r="M15" s="34">
        <v>4866</v>
      </c>
      <c r="N15" s="34">
        <v>6831</v>
      </c>
      <c r="O15" s="87">
        <f t="shared" si="3"/>
        <v>16148</v>
      </c>
      <c r="P15" s="34">
        <v>4311</v>
      </c>
      <c r="Q15" s="34">
        <v>4627</v>
      </c>
      <c r="R15" s="34">
        <v>7210</v>
      </c>
      <c r="S15" s="24" t="s">
        <v>90</v>
      </c>
      <c r="V15" s="30"/>
      <c r="Y15" s="2"/>
      <c r="Z15" s="739"/>
      <c r="AA15" s="739"/>
      <c r="AB15" s="739"/>
      <c r="AC15" s="739"/>
      <c r="AD15" s="739"/>
      <c r="AE15" s="739"/>
      <c r="AF15" s="739"/>
      <c r="AG15" s="2"/>
    </row>
    <row r="16" spans="1:33" ht="24.75" customHeight="1" x14ac:dyDescent="0.25">
      <c r="A16" s="25" t="s">
        <v>18</v>
      </c>
      <c r="B16" s="33">
        <f t="shared" si="0"/>
        <v>15248</v>
      </c>
      <c r="C16" s="33">
        <v>3185</v>
      </c>
      <c r="D16" s="33">
        <v>5122</v>
      </c>
      <c r="E16" s="33">
        <v>6941</v>
      </c>
      <c r="F16" s="36"/>
      <c r="G16" s="33">
        <f t="shared" si="1"/>
        <v>15535</v>
      </c>
      <c r="H16" s="33">
        <v>3988</v>
      </c>
      <c r="I16" s="33">
        <v>5002</v>
      </c>
      <c r="J16" s="33">
        <v>6545</v>
      </c>
      <c r="K16" s="87">
        <f t="shared" si="2"/>
        <v>15858</v>
      </c>
      <c r="L16" s="34">
        <v>4193</v>
      </c>
      <c r="M16" s="34">
        <v>4854</v>
      </c>
      <c r="N16" s="34">
        <v>6811</v>
      </c>
      <c r="O16" s="87">
        <f t="shared" si="3"/>
        <v>16172</v>
      </c>
      <c r="P16" s="34">
        <v>3914</v>
      </c>
      <c r="Q16" s="34">
        <v>4562</v>
      </c>
      <c r="R16" s="34">
        <v>7696</v>
      </c>
      <c r="S16" s="24" t="s">
        <v>91</v>
      </c>
      <c r="V16" s="30"/>
      <c r="Y16" s="2"/>
      <c r="Z16" s="739"/>
      <c r="AA16" s="739"/>
      <c r="AB16" s="739"/>
      <c r="AC16" s="739"/>
      <c r="AD16" s="739"/>
      <c r="AE16" s="739"/>
      <c r="AF16" s="739"/>
      <c r="AG16" s="2"/>
    </row>
    <row r="17" spans="1:34" ht="24.75" customHeight="1" x14ac:dyDescent="0.25">
      <c r="A17" s="25" t="s">
        <v>19</v>
      </c>
      <c r="B17" s="33">
        <f t="shared" si="0"/>
        <v>15262</v>
      </c>
      <c r="C17" s="33">
        <v>3184</v>
      </c>
      <c r="D17" s="33">
        <v>5135</v>
      </c>
      <c r="E17" s="33">
        <v>6943</v>
      </c>
      <c r="F17" s="36"/>
      <c r="G17" s="33">
        <f t="shared" si="1"/>
        <v>15482</v>
      </c>
      <c r="H17" s="33">
        <v>4012</v>
      </c>
      <c r="I17" s="33">
        <v>4980</v>
      </c>
      <c r="J17" s="33">
        <v>6490</v>
      </c>
      <c r="K17" s="87">
        <f t="shared" si="2"/>
        <v>15892</v>
      </c>
      <c r="L17" s="34">
        <v>4219</v>
      </c>
      <c r="M17" s="34">
        <v>4850</v>
      </c>
      <c r="N17" s="34">
        <v>6823</v>
      </c>
      <c r="O17" s="87">
        <f t="shared" si="3"/>
        <v>16174</v>
      </c>
      <c r="P17" s="34">
        <v>3928</v>
      </c>
      <c r="Q17" s="34">
        <v>4548</v>
      </c>
      <c r="R17" s="34">
        <v>7698</v>
      </c>
      <c r="S17" s="24" t="s">
        <v>92</v>
      </c>
      <c r="V17" s="30"/>
      <c r="Y17" s="2"/>
      <c r="Z17" s="739"/>
      <c r="AA17" s="739"/>
      <c r="AB17" s="739"/>
      <c r="AC17" s="739"/>
      <c r="AD17" s="739"/>
      <c r="AE17" s="739"/>
      <c r="AF17" s="739"/>
      <c r="AG17" s="2"/>
    </row>
    <row r="18" spans="1:34" ht="24.75" customHeight="1" x14ac:dyDescent="0.55000000000000004">
      <c r="A18" s="25" t="s">
        <v>20</v>
      </c>
      <c r="B18" s="33">
        <f t="shared" si="0"/>
        <v>15277</v>
      </c>
      <c r="C18" s="33">
        <v>3178</v>
      </c>
      <c r="D18" s="33">
        <v>5145</v>
      </c>
      <c r="E18" s="33">
        <v>6954</v>
      </c>
      <c r="F18" s="36"/>
      <c r="G18" s="33">
        <f t="shared" si="1"/>
        <v>15494</v>
      </c>
      <c r="H18" s="33">
        <v>4046</v>
      </c>
      <c r="I18" s="33">
        <v>4978</v>
      </c>
      <c r="J18" s="33">
        <v>6470</v>
      </c>
      <c r="K18" s="87">
        <f t="shared" si="2"/>
        <v>15780</v>
      </c>
      <c r="L18" s="34">
        <v>4250</v>
      </c>
      <c r="M18" s="34">
        <v>4817</v>
      </c>
      <c r="N18" s="34">
        <v>6713</v>
      </c>
      <c r="O18" s="87">
        <f t="shared" si="3"/>
        <v>16166</v>
      </c>
      <c r="P18" s="34">
        <v>3935</v>
      </c>
      <c r="Q18" s="34">
        <v>4546</v>
      </c>
      <c r="R18" s="34">
        <v>7685</v>
      </c>
      <c r="S18" s="8" t="s">
        <v>95</v>
      </c>
      <c r="Y18" s="2"/>
      <c r="Z18" s="2"/>
      <c r="AA18" s="2"/>
      <c r="AB18" s="2"/>
      <c r="AC18" s="2"/>
      <c r="AD18" s="2"/>
      <c r="AE18" s="756" t="s">
        <v>1102</v>
      </c>
      <c r="AF18" s="756" t="s">
        <v>1103</v>
      </c>
      <c r="AG18" s="79" t="s">
        <v>1104</v>
      </c>
    </row>
    <row r="19" spans="1:34" ht="24.75" customHeight="1" x14ac:dyDescent="0.25">
      <c r="A19" s="27" t="s">
        <v>21</v>
      </c>
      <c r="B19" s="35">
        <f t="shared" si="0"/>
        <v>15268</v>
      </c>
      <c r="C19" s="35">
        <v>3208</v>
      </c>
      <c r="D19" s="35">
        <v>5124</v>
      </c>
      <c r="E19" s="35">
        <v>6936</v>
      </c>
      <c r="F19" s="37"/>
      <c r="G19" s="35">
        <f t="shared" si="1"/>
        <v>15447</v>
      </c>
      <c r="H19" s="35">
        <v>4060</v>
      </c>
      <c r="I19" s="35">
        <v>4955</v>
      </c>
      <c r="J19" s="35">
        <v>6432</v>
      </c>
      <c r="K19" s="88">
        <f t="shared" si="2"/>
        <v>15767</v>
      </c>
      <c r="L19" s="35">
        <v>4303</v>
      </c>
      <c r="M19" s="35">
        <v>4795</v>
      </c>
      <c r="N19" s="35">
        <v>6669</v>
      </c>
      <c r="O19" s="88">
        <f t="shared" si="3"/>
        <v>16091</v>
      </c>
      <c r="P19" s="35">
        <v>3902</v>
      </c>
      <c r="Q19" s="35">
        <v>4530</v>
      </c>
      <c r="R19" s="35">
        <v>7659</v>
      </c>
      <c r="S19" s="28" t="s">
        <v>93</v>
      </c>
      <c r="U19" s="69"/>
    </row>
    <row r="20" spans="1:34" s="108" customFormat="1" ht="17.25" x14ac:dyDescent="0.45">
      <c r="A20" s="107" t="s">
        <v>79</v>
      </c>
      <c r="S20" s="109" t="s">
        <v>121</v>
      </c>
    </row>
    <row r="21" spans="1:34" ht="18.75" x14ac:dyDescent="0.5">
      <c r="A21" s="21"/>
      <c r="S21" s="22"/>
    </row>
    <row r="29" spans="1:34" x14ac:dyDescent="0.25">
      <c r="AA29" s="2"/>
      <c r="AB29" s="2"/>
      <c r="AC29" s="2"/>
      <c r="AD29" s="2"/>
      <c r="AE29" s="2"/>
      <c r="AF29" s="2"/>
      <c r="AG29" s="2"/>
      <c r="AH29" s="2"/>
    </row>
    <row r="30" spans="1:34" x14ac:dyDescent="0.25">
      <c r="AA30" s="2"/>
      <c r="AB30" s="2"/>
      <c r="AC30" s="2"/>
      <c r="AD30" s="2"/>
      <c r="AE30" s="2"/>
      <c r="AF30" s="2"/>
      <c r="AG30" s="2"/>
      <c r="AH30" s="2"/>
    </row>
    <row r="31" spans="1:34" x14ac:dyDescent="0.25">
      <c r="AA31" s="2"/>
      <c r="AB31" s="2"/>
      <c r="AC31" s="2"/>
      <c r="AD31" s="2"/>
      <c r="AE31" s="734"/>
      <c r="AF31" s="734"/>
      <c r="AG31" s="734"/>
      <c r="AH31" s="2"/>
    </row>
    <row r="32" spans="1:34" x14ac:dyDescent="0.25">
      <c r="AA32" s="2"/>
      <c r="AB32" s="2"/>
      <c r="AC32" s="737"/>
      <c r="AD32" s="737"/>
      <c r="AE32" s="737"/>
      <c r="AF32" s="737"/>
      <c r="AG32" s="737"/>
      <c r="AH32" s="738"/>
    </row>
    <row r="33" spans="27:34" x14ac:dyDescent="0.25">
      <c r="AA33" s="2"/>
      <c r="AB33" s="2"/>
      <c r="AC33" s="2"/>
      <c r="AD33" s="2"/>
      <c r="AE33" s="2"/>
      <c r="AF33" s="2"/>
      <c r="AG33" s="2"/>
      <c r="AH33" s="2"/>
    </row>
    <row r="36" spans="27:34" ht="17.25" customHeight="1" x14ac:dyDescent="0.25">
      <c r="AC36" s="79" t="s">
        <v>133</v>
      </c>
      <c r="AD36" s="79" t="s">
        <v>23</v>
      </c>
      <c r="AE36" s="79" t="s">
        <v>24</v>
      </c>
      <c r="AF36" s="79" t="s">
        <v>25</v>
      </c>
      <c r="AG36" s="79" t="s">
        <v>132</v>
      </c>
    </row>
    <row r="37" spans="27:34" x14ac:dyDescent="0.25">
      <c r="AC37" s="67">
        <f>AC38/AH38*100</f>
        <v>33.604074889867839</v>
      </c>
      <c r="AD37" s="67">
        <f>AD38/AH38*100</f>
        <v>21.930066079295155</v>
      </c>
      <c r="AE37" s="67">
        <f>AE38/AH38*100</f>
        <v>12.802863436123349</v>
      </c>
      <c r="AF37" s="67">
        <f>AF38/AH38*100</f>
        <v>12.844162995594713</v>
      </c>
      <c r="AG37" s="67">
        <f>AG38/AH38*100</f>
        <v>18.818832599118942</v>
      </c>
    </row>
    <row r="38" spans="27:34" x14ac:dyDescent="0.25">
      <c r="AC38" s="16">
        <v>2441</v>
      </c>
      <c r="AD38" s="16">
        <v>1593</v>
      </c>
      <c r="AE38" s="16">
        <v>930</v>
      </c>
      <c r="AF38" s="16">
        <v>933</v>
      </c>
      <c r="AG38" s="16">
        <v>1367</v>
      </c>
      <c r="AH38" s="139">
        <f>SUM(AC38:AG38)</f>
        <v>7264</v>
      </c>
    </row>
  </sheetData>
  <mergeCells count="9">
    <mergeCell ref="A2:S2"/>
    <mergeCell ref="A3:S3"/>
    <mergeCell ref="A5:A7"/>
    <mergeCell ref="S5:S7"/>
    <mergeCell ref="B6:E6"/>
    <mergeCell ref="G6:J6"/>
    <mergeCell ref="K6:N6"/>
    <mergeCell ref="B5:N5"/>
    <mergeCell ref="O6:R6"/>
  </mergeCells>
  <pageMargins left="0.38" right="0.36" top="0.23" bottom="0.27" header="0.17" footer="0.17"/>
  <pageSetup paperSize="9" scale="8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B26"/>
  <sheetViews>
    <sheetView zoomScaleNormal="100" zoomScaleSheetLayoutView="84" workbookViewId="0">
      <selection activeCell="I19" sqref="I19"/>
    </sheetView>
  </sheetViews>
  <sheetFormatPr defaultColWidth="9.140625" defaultRowHeight="15" x14ac:dyDescent="0.25"/>
  <cols>
    <col min="1" max="1" width="12.140625" style="1" customWidth="1"/>
    <col min="2" max="6" width="8.28515625" style="156" customWidth="1"/>
    <col min="7" max="7" width="7.5703125" style="156" customWidth="1"/>
    <col min="8" max="10" width="9.5703125" style="156" customWidth="1"/>
    <col min="11" max="11" width="7.5703125" style="156" customWidth="1"/>
    <col min="12" max="14" width="10.28515625" style="156" customWidth="1"/>
    <col min="15" max="15" width="15.42578125" style="1" customWidth="1"/>
    <col min="16" max="16384" width="9.140625" style="1"/>
  </cols>
  <sheetData>
    <row r="1" spans="1:17" ht="4.5" customHeight="1" x14ac:dyDescent="0.25"/>
    <row r="2" spans="1:17" s="71" customFormat="1" ht="21" x14ac:dyDescent="0.55000000000000004">
      <c r="A2" s="797" t="s">
        <v>1100</v>
      </c>
      <c r="B2" s="797"/>
      <c r="C2" s="797"/>
      <c r="D2" s="797"/>
      <c r="E2" s="797"/>
      <c r="F2" s="797"/>
      <c r="G2" s="797"/>
      <c r="H2" s="797"/>
      <c r="I2" s="797"/>
      <c r="J2" s="797"/>
      <c r="K2" s="797"/>
      <c r="L2" s="797"/>
      <c r="M2" s="797"/>
      <c r="N2" s="797"/>
      <c r="O2" s="797"/>
    </row>
    <row r="3" spans="1:17" ht="15.75" x14ac:dyDescent="0.25">
      <c r="A3" s="845" t="s">
        <v>1101</v>
      </c>
      <c r="B3" s="845"/>
      <c r="C3" s="845"/>
      <c r="D3" s="845"/>
      <c r="E3" s="845"/>
      <c r="F3" s="845"/>
      <c r="G3" s="845"/>
      <c r="H3" s="845"/>
      <c r="I3" s="845"/>
      <c r="J3" s="845"/>
      <c r="K3" s="845"/>
      <c r="L3" s="845"/>
      <c r="M3" s="845"/>
      <c r="N3" s="845"/>
      <c r="O3" s="845"/>
    </row>
    <row r="4" spans="1:17" ht="9" customHeight="1" x14ac:dyDescent="0.25">
      <c r="A4" s="2"/>
      <c r="B4" s="157"/>
      <c r="C4" s="157"/>
      <c r="D4" s="157"/>
      <c r="E4" s="157"/>
      <c r="F4" s="157"/>
      <c r="G4" s="157"/>
      <c r="H4" s="157"/>
      <c r="I4" s="157"/>
      <c r="J4" s="157"/>
      <c r="K4" s="157"/>
      <c r="L4" s="157"/>
      <c r="M4" s="157"/>
      <c r="N4" s="157"/>
    </row>
    <row r="5" spans="1:17" ht="18" customHeight="1" x14ac:dyDescent="0.55000000000000004">
      <c r="A5" s="802" t="s">
        <v>22</v>
      </c>
      <c r="B5" s="844" t="s">
        <v>94</v>
      </c>
      <c r="C5" s="844"/>
      <c r="D5" s="844"/>
      <c r="E5" s="844"/>
      <c r="F5" s="844"/>
      <c r="G5" s="844"/>
      <c r="H5" s="844"/>
      <c r="I5" s="844"/>
      <c r="J5" s="844"/>
      <c r="K5" s="844"/>
      <c r="L5" s="844"/>
      <c r="M5" s="844"/>
      <c r="N5" s="844"/>
      <c r="O5" s="799" t="s">
        <v>82</v>
      </c>
    </row>
    <row r="6" spans="1:17" ht="15" customHeight="1" x14ac:dyDescent="0.25">
      <c r="A6" s="803"/>
      <c r="B6" s="846">
        <v>2013</v>
      </c>
      <c r="C6" s="846"/>
      <c r="D6" s="846"/>
      <c r="E6" s="846"/>
      <c r="F6" s="847"/>
      <c r="G6" s="848">
        <v>2014</v>
      </c>
      <c r="H6" s="846"/>
      <c r="I6" s="846"/>
      <c r="J6" s="846"/>
      <c r="K6" s="848">
        <v>2015</v>
      </c>
      <c r="L6" s="846"/>
      <c r="M6" s="846"/>
      <c r="N6" s="846"/>
      <c r="O6" s="800"/>
    </row>
    <row r="7" spans="1:17" ht="15" customHeight="1" x14ac:dyDescent="0.25">
      <c r="A7" s="804"/>
      <c r="B7" s="158" t="s">
        <v>2</v>
      </c>
      <c r="C7" s="158" t="s">
        <v>188</v>
      </c>
      <c r="D7" s="158" t="s">
        <v>24</v>
      </c>
      <c r="E7" s="158" t="s">
        <v>25</v>
      </c>
      <c r="F7" s="750" t="s">
        <v>113</v>
      </c>
      <c r="G7" s="159" t="s">
        <v>2</v>
      </c>
      <c r="H7" s="158" t="s">
        <v>188</v>
      </c>
      <c r="I7" s="158" t="s">
        <v>24</v>
      </c>
      <c r="J7" s="158" t="s">
        <v>25</v>
      </c>
      <c r="K7" s="159" t="s">
        <v>2</v>
      </c>
      <c r="L7" s="158" t="s">
        <v>188</v>
      </c>
      <c r="M7" s="158" t="s">
        <v>24</v>
      </c>
      <c r="N7" s="158" t="s">
        <v>25</v>
      </c>
      <c r="O7" s="801"/>
      <c r="Q7" s="30"/>
    </row>
    <row r="8" spans="1:17" ht="21" x14ac:dyDescent="0.25">
      <c r="A8" s="95" t="s">
        <v>10</v>
      </c>
      <c r="B8" s="160">
        <f t="shared" ref="B8:B19" si="0">SUM(C8:F8)</f>
        <v>339</v>
      </c>
      <c r="C8" s="160">
        <v>19</v>
      </c>
      <c r="D8" s="160">
        <v>320</v>
      </c>
      <c r="E8" s="160">
        <v>0</v>
      </c>
      <c r="F8" s="751">
        <v>0</v>
      </c>
      <c r="G8" s="161">
        <f t="shared" ref="G8:G19" si="1">SUM(H8:J8)</f>
        <v>583</v>
      </c>
      <c r="H8" s="160">
        <v>54</v>
      </c>
      <c r="I8" s="160">
        <v>529</v>
      </c>
      <c r="J8" s="160">
        <v>0</v>
      </c>
      <c r="K8" s="161">
        <f t="shared" ref="K8:K19" si="2">SUM(L8:N8)</f>
        <v>700</v>
      </c>
      <c r="L8" s="769">
        <v>34</v>
      </c>
      <c r="M8" s="769">
        <v>577</v>
      </c>
      <c r="N8" s="769">
        <v>89</v>
      </c>
      <c r="O8" s="97" t="s">
        <v>83</v>
      </c>
      <c r="Q8" s="30"/>
    </row>
    <row r="9" spans="1:17" ht="21" x14ac:dyDescent="0.25">
      <c r="A9" s="95" t="s">
        <v>11</v>
      </c>
      <c r="B9" s="160">
        <f t="shared" si="0"/>
        <v>355</v>
      </c>
      <c r="C9" s="160">
        <v>29</v>
      </c>
      <c r="D9" s="160">
        <v>326</v>
      </c>
      <c r="E9" s="160">
        <v>0</v>
      </c>
      <c r="F9" s="751">
        <v>0</v>
      </c>
      <c r="G9" s="161">
        <f t="shared" si="1"/>
        <v>551</v>
      </c>
      <c r="H9" s="160">
        <v>28</v>
      </c>
      <c r="I9" s="160">
        <v>523</v>
      </c>
      <c r="J9" s="160">
        <v>0</v>
      </c>
      <c r="K9" s="161">
        <f t="shared" si="2"/>
        <v>794</v>
      </c>
      <c r="L9" s="769">
        <v>91</v>
      </c>
      <c r="M9" s="769">
        <v>612</v>
      </c>
      <c r="N9" s="769">
        <v>91</v>
      </c>
      <c r="O9" s="97" t="s">
        <v>84</v>
      </c>
      <c r="Q9" s="30"/>
    </row>
    <row r="10" spans="1:17" ht="21" x14ac:dyDescent="0.25">
      <c r="A10" s="95" t="s">
        <v>12</v>
      </c>
      <c r="B10" s="160">
        <f t="shared" si="0"/>
        <v>339</v>
      </c>
      <c r="C10" s="160">
        <v>16</v>
      </c>
      <c r="D10" s="160">
        <v>323</v>
      </c>
      <c r="E10" s="160">
        <v>0</v>
      </c>
      <c r="F10" s="751">
        <v>0</v>
      </c>
      <c r="G10" s="161">
        <f t="shared" si="1"/>
        <v>561</v>
      </c>
      <c r="H10" s="160">
        <v>23</v>
      </c>
      <c r="I10" s="160">
        <v>538</v>
      </c>
      <c r="J10" s="160">
        <v>0</v>
      </c>
      <c r="K10" s="161">
        <f t="shared" si="2"/>
        <v>866</v>
      </c>
      <c r="L10" s="769">
        <v>27</v>
      </c>
      <c r="M10" s="769">
        <v>739</v>
      </c>
      <c r="N10" s="769">
        <v>100</v>
      </c>
      <c r="O10" s="97" t="s">
        <v>85</v>
      </c>
      <c r="Q10" s="30"/>
    </row>
    <row r="11" spans="1:17" ht="21" x14ac:dyDescent="0.25">
      <c r="A11" s="95" t="s">
        <v>13</v>
      </c>
      <c r="B11" s="160">
        <f t="shared" si="0"/>
        <v>482</v>
      </c>
      <c r="C11" s="160">
        <v>14</v>
      </c>
      <c r="D11" s="160">
        <v>466</v>
      </c>
      <c r="E11" s="160">
        <v>1</v>
      </c>
      <c r="F11" s="751">
        <v>1</v>
      </c>
      <c r="G11" s="161">
        <f t="shared" si="1"/>
        <v>561</v>
      </c>
      <c r="H11" s="160">
        <v>23</v>
      </c>
      <c r="I11" s="160">
        <v>538</v>
      </c>
      <c r="J11" s="160">
        <v>0</v>
      </c>
      <c r="K11" s="161">
        <f t="shared" si="2"/>
        <v>793</v>
      </c>
      <c r="L11" s="769">
        <v>40</v>
      </c>
      <c r="M11" s="769">
        <v>654</v>
      </c>
      <c r="N11" s="769">
        <v>99</v>
      </c>
      <c r="O11" s="97" t="s">
        <v>86</v>
      </c>
      <c r="Q11" s="30"/>
    </row>
    <row r="12" spans="1:17" ht="21" x14ac:dyDescent="0.25">
      <c r="A12" s="95" t="s">
        <v>14</v>
      </c>
      <c r="B12" s="160">
        <f t="shared" si="0"/>
        <v>489</v>
      </c>
      <c r="C12" s="160">
        <v>5</v>
      </c>
      <c r="D12" s="160">
        <v>482</v>
      </c>
      <c r="E12" s="160">
        <v>1</v>
      </c>
      <c r="F12" s="751">
        <v>1</v>
      </c>
      <c r="G12" s="161">
        <f t="shared" si="1"/>
        <v>578</v>
      </c>
      <c r="H12" s="160">
        <v>38</v>
      </c>
      <c r="I12" s="160">
        <v>536</v>
      </c>
      <c r="J12" s="160">
        <v>4</v>
      </c>
      <c r="K12" s="161">
        <f t="shared" si="2"/>
        <v>785</v>
      </c>
      <c r="L12" s="769">
        <v>27</v>
      </c>
      <c r="M12" s="769">
        <v>662</v>
      </c>
      <c r="N12" s="769">
        <v>96</v>
      </c>
      <c r="O12" s="97" t="s">
        <v>87</v>
      </c>
      <c r="Q12" s="30"/>
    </row>
    <row r="13" spans="1:17" ht="21" x14ac:dyDescent="0.25">
      <c r="A13" s="95" t="s">
        <v>15</v>
      </c>
      <c r="B13" s="160">
        <f t="shared" si="0"/>
        <v>408</v>
      </c>
      <c r="C13" s="160">
        <v>28</v>
      </c>
      <c r="D13" s="160">
        <v>379</v>
      </c>
      <c r="E13" s="160">
        <v>1</v>
      </c>
      <c r="F13" s="751">
        <v>0</v>
      </c>
      <c r="G13" s="161">
        <f t="shared" si="1"/>
        <v>569</v>
      </c>
      <c r="H13" s="160">
        <v>16</v>
      </c>
      <c r="I13" s="160">
        <v>548</v>
      </c>
      <c r="J13" s="160">
        <v>5</v>
      </c>
      <c r="K13" s="161">
        <f t="shared" si="2"/>
        <v>776</v>
      </c>
      <c r="L13" s="769">
        <v>20</v>
      </c>
      <c r="M13" s="769">
        <v>654</v>
      </c>
      <c r="N13" s="769">
        <v>102</v>
      </c>
      <c r="O13" s="97" t="s">
        <v>88</v>
      </c>
      <c r="Q13" s="30"/>
    </row>
    <row r="14" spans="1:17" ht="21" x14ac:dyDescent="0.25">
      <c r="A14" s="95" t="s">
        <v>16</v>
      </c>
      <c r="B14" s="160">
        <f t="shared" si="0"/>
        <v>433</v>
      </c>
      <c r="C14" s="160">
        <v>14</v>
      </c>
      <c r="D14" s="160">
        <v>418</v>
      </c>
      <c r="E14" s="160">
        <v>1</v>
      </c>
      <c r="F14" s="751">
        <v>0</v>
      </c>
      <c r="G14" s="161">
        <f t="shared" si="1"/>
        <v>593</v>
      </c>
      <c r="H14" s="160">
        <v>38</v>
      </c>
      <c r="I14" s="160">
        <v>546</v>
      </c>
      <c r="J14" s="160">
        <v>9</v>
      </c>
      <c r="K14" s="161">
        <f t="shared" si="2"/>
        <v>788</v>
      </c>
      <c r="L14" s="769">
        <v>18</v>
      </c>
      <c r="M14" s="769">
        <v>669</v>
      </c>
      <c r="N14" s="769">
        <v>101</v>
      </c>
      <c r="O14" s="97" t="s">
        <v>89</v>
      </c>
      <c r="Q14" s="30"/>
    </row>
    <row r="15" spans="1:17" ht="21" x14ac:dyDescent="0.25">
      <c r="A15" s="95" t="s">
        <v>17</v>
      </c>
      <c r="B15" s="160">
        <f t="shared" si="0"/>
        <v>578</v>
      </c>
      <c r="C15" s="160">
        <v>150</v>
      </c>
      <c r="D15" s="160">
        <v>427</v>
      </c>
      <c r="E15" s="160">
        <v>1</v>
      </c>
      <c r="F15" s="751">
        <v>0</v>
      </c>
      <c r="G15" s="161">
        <f t="shared" si="1"/>
        <v>619</v>
      </c>
      <c r="H15" s="160">
        <v>55</v>
      </c>
      <c r="I15" s="160">
        <v>553</v>
      </c>
      <c r="J15" s="160">
        <v>11</v>
      </c>
      <c r="K15" s="161">
        <f t="shared" si="2"/>
        <v>808</v>
      </c>
      <c r="L15" s="769">
        <v>19</v>
      </c>
      <c r="M15" s="769">
        <v>686</v>
      </c>
      <c r="N15" s="769">
        <v>103</v>
      </c>
      <c r="O15" s="97" t="s">
        <v>90</v>
      </c>
      <c r="Q15" s="30"/>
    </row>
    <row r="16" spans="1:17" ht="21" x14ac:dyDescent="0.25">
      <c r="A16" s="95" t="s">
        <v>18</v>
      </c>
      <c r="B16" s="160">
        <f t="shared" si="0"/>
        <v>469</v>
      </c>
      <c r="C16" s="160">
        <v>59</v>
      </c>
      <c r="D16" s="160">
        <v>409</v>
      </c>
      <c r="E16" s="160">
        <v>1</v>
      </c>
      <c r="F16" s="751">
        <v>0</v>
      </c>
      <c r="G16" s="161">
        <f t="shared" si="1"/>
        <v>585</v>
      </c>
      <c r="H16" s="160">
        <v>24</v>
      </c>
      <c r="I16" s="160">
        <v>549</v>
      </c>
      <c r="J16" s="160">
        <v>12</v>
      </c>
      <c r="K16" s="161">
        <f t="shared" si="2"/>
        <v>830</v>
      </c>
      <c r="L16" s="769">
        <v>25</v>
      </c>
      <c r="M16" s="769">
        <v>662</v>
      </c>
      <c r="N16" s="769">
        <v>143</v>
      </c>
      <c r="O16" s="97" t="s">
        <v>91</v>
      </c>
      <c r="Q16" s="30"/>
    </row>
    <row r="17" spans="1:28" ht="21" x14ac:dyDescent="0.25">
      <c r="A17" s="95" t="s">
        <v>19</v>
      </c>
      <c r="B17" s="160">
        <f t="shared" si="0"/>
        <v>438</v>
      </c>
      <c r="C17" s="160">
        <v>28</v>
      </c>
      <c r="D17" s="160">
        <v>409</v>
      </c>
      <c r="E17" s="160">
        <v>1</v>
      </c>
      <c r="F17" s="751">
        <v>0</v>
      </c>
      <c r="G17" s="161">
        <f t="shared" si="1"/>
        <v>650</v>
      </c>
      <c r="H17" s="160">
        <v>41</v>
      </c>
      <c r="I17" s="160">
        <v>594</v>
      </c>
      <c r="J17" s="160">
        <v>15</v>
      </c>
      <c r="K17" s="161">
        <f t="shared" si="2"/>
        <v>820</v>
      </c>
      <c r="L17" s="769">
        <v>11</v>
      </c>
      <c r="M17" s="769">
        <v>663</v>
      </c>
      <c r="N17" s="769">
        <v>146</v>
      </c>
      <c r="O17" s="97" t="s">
        <v>92</v>
      </c>
      <c r="Q17" s="30"/>
    </row>
    <row r="18" spans="1:28" ht="21" x14ac:dyDescent="0.55000000000000004">
      <c r="A18" s="95" t="s">
        <v>20</v>
      </c>
      <c r="B18" s="160">
        <f t="shared" si="0"/>
        <v>462</v>
      </c>
      <c r="C18" s="160">
        <v>38</v>
      </c>
      <c r="D18" s="160">
        <v>423</v>
      </c>
      <c r="E18" s="160">
        <v>1</v>
      </c>
      <c r="F18" s="751">
        <v>0</v>
      </c>
      <c r="G18" s="161">
        <f t="shared" si="1"/>
        <v>696</v>
      </c>
      <c r="H18" s="160">
        <v>45</v>
      </c>
      <c r="I18" s="160">
        <v>629</v>
      </c>
      <c r="J18" s="160">
        <v>22</v>
      </c>
      <c r="K18" s="161">
        <f t="shared" si="2"/>
        <v>998</v>
      </c>
      <c r="L18" s="769">
        <v>31</v>
      </c>
      <c r="M18" s="769">
        <v>741</v>
      </c>
      <c r="N18" s="769">
        <v>226</v>
      </c>
      <c r="O18" s="98" t="s">
        <v>95</v>
      </c>
      <c r="Q18" s="30"/>
    </row>
    <row r="19" spans="1:28" ht="21" x14ac:dyDescent="0.25">
      <c r="A19" s="96" t="s">
        <v>21</v>
      </c>
      <c r="B19" s="162">
        <f t="shared" si="0"/>
        <v>425</v>
      </c>
      <c r="C19" s="162">
        <v>12</v>
      </c>
      <c r="D19" s="162">
        <v>413</v>
      </c>
      <c r="E19" s="162">
        <v>0</v>
      </c>
      <c r="F19" s="752">
        <v>0</v>
      </c>
      <c r="G19" s="163">
        <f t="shared" si="1"/>
        <v>646</v>
      </c>
      <c r="H19" s="162">
        <v>5</v>
      </c>
      <c r="I19" s="162">
        <v>616</v>
      </c>
      <c r="J19" s="162">
        <v>25</v>
      </c>
      <c r="K19" s="163">
        <f t="shared" si="2"/>
        <v>895</v>
      </c>
      <c r="L19" s="770">
        <v>18</v>
      </c>
      <c r="M19" s="770">
        <v>708</v>
      </c>
      <c r="N19" s="770">
        <v>169</v>
      </c>
      <c r="O19" s="99" t="s">
        <v>93</v>
      </c>
      <c r="Z19" s="158" t="s">
        <v>1105</v>
      </c>
      <c r="AA19" s="158" t="s">
        <v>1102</v>
      </c>
      <c r="AB19" s="158" t="s">
        <v>1106</v>
      </c>
    </row>
    <row r="20" spans="1:28" s="108" customFormat="1" ht="17.25" x14ac:dyDescent="0.45">
      <c r="A20" s="107" t="s">
        <v>79</v>
      </c>
      <c r="B20" s="164"/>
      <c r="C20" s="164"/>
      <c r="D20" s="164"/>
      <c r="E20" s="164"/>
      <c r="F20" s="164"/>
      <c r="G20" s="164"/>
      <c r="H20" s="164"/>
      <c r="I20" s="164"/>
      <c r="J20" s="164"/>
      <c r="K20" s="164"/>
      <c r="L20" s="164"/>
      <c r="M20" s="164"/>
      <c r="N20" s="164"/>
      <c r="O20" s="109" t="s">
        <v>121</v>
      </c>
      <c r="Y20" s="771">
        <f>SUM(Z20:AB20)</f>
        <v>895</v>
      </c>
      <c r="Z20" s="770">
        <v>18</v>
      </c>
      <c r="AA20" s="770">
        <v>708</v>
      </c>
      <c r="AB20" s="770">
        <v>169</v>
      </c>
    </row>
    <row r="26" spans="1:28" x14ac:dyDescent="0.25">
      <c r="L26" s="226"/>
    </row>
  </sheetData>
  <mergeCells count="8">
    <mergeCell ref="A2:O2"/>
    <mergeCell ref="A3:O3"/>
    <mergeCell ref="O5:O7"/>
    <mergeCell ref="A5:A7"/>
    <mergeCell ref="B6:F6"/>
    <mergeCell ref="G6:J6"/>
    <mergeCell ref="B5:N5"/>
    <mergeCell ref="K6:N6"/>
  </mergeCells>
  <pageMargins left="0.17" right="0.16" top="0.75" bottom="0.75" header="0.3" footer="0.3"/>
  <pageSetup paperSize="9" scale="7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J36"/>
  <sheetViews>
    <sheetView topLeftCell="E1" zoomScaleNormal="100" workbookViewId="0">
      <selection activeCell="AA14" sqref="AA14"/>
    </sheetView>
  </sheetViews>
  <sheetFormatPr defaultColWidth="9.140625" defaultRowHeight="15" x14ac:dyDescent="0.25"/>
  <cols>
    <col min="1" max="1" width="10.28515625" style="1" customWidth="1"/>
    <col min="2" max="19" width="10.7109375" style="1" customWidth="1"/>
    <col min="20" max="20" width="14.5703125" style="1" customWidth="1"/>
    <col min="21" max="21" width="2" style="1" customWidth="1"/>
    <col min="22" max="16384" width="9.140625" style="1"/>
  </cols>
  <sheetData>
    <row r="1" spans="1:30" ht="21" x14ac:dyDescent="0.55000000000000004">
      <c r="A1" s="797" t="s">
        <v>209</v>
      </c>
      <c r="B1" s="797"/>
      <c r="C1" s="797"/>
      <c r="D1" s="797"/>
      <c r="E1" s="797"/>
      <c r="F1" s="797"/>
      <c r="G1" s="797"/>
      <c r="H1" s="797"/>
      <c r="I1" s="797"/>
      <c r="J1" s="797"/>
      <c r="K1" s="797"/>
      <c r="L1" s="797"/>
      <c r="M1" s="797"/>
      <c r="N1" s="797"/>
      <c r="O1" s="797"/>
      <c r="P1" s="797"/>
      <c r="Q1" s="797"/>
      <c r="R1" s="797"/>
      <c r="S1" s="797"/>
      <c r="T1" s="797"/>
    </row>
    <row r="2" spans="1:30" x14ac:dyDescent="0.25">
      <c r="A2" s="820" t="s">
        <v>208</v>
      </c>
      <c r="B2" s="820"/>
      <c r="C2" s="820"/>
      <c r="D2" s="820"/>
      <c r="E2" s="820"/>
      <c r="F2" s="820"/>
      <c r="G2" s="820"/>
      <c r="H2" s="820"/>
      <c r="I2" s="820"/>
      <c r="J2" s="820"/>
      <c r="K2" s="820"/>
      <c r="L2" s="820"/>
      <c r="M2" s="820"/>
      <c r="N2" s="820"/>
      <c r="O2" s="820"/>
      <c r="P2" s="820"/>
      <c r="Q2" s="820"/>
      <c r="R2" s="820"/>
      <c r="S2" s="820"/>
      <c r="T2" s="820"/>
    </row>
    <row r="3" spans="1:30" ht="5.25" customHeight="1" x14ac:dyDescent="0.25">
      <c r="A3" s="2"/>
      <c r="D3" s="2"/>
      <c r="E3" s="2"/>
      <c r="F3" s="2"/>
      <c r="G3" s="2"/>
      <c r="J3" s="2"/>
      <c r="K3" s="2"/>
      <c r="L3" s="2"/>
      <c r="M3" s="2"/>
      <c r="P3" s="2"/>
      <c r="Q3" s="2"/>
      <c r="R3" s="2"/>
      <c r="S3" s="2"/>
    </row>
    <row r="4" spans="1:30" x14ac:dyDescent="0.25">
      <c r="A4" s="802" t="s">
        <v>22</v>
      </c>
      <c r="B4" s="844">
        <v>2013</v>
      </c>
      <c r="C4" s="844"/>
      <c r="D4" s="844"/>
      <c r="E4" s="844"/>
      <c r="F4" s="844"/>
      <c r="G4" s="849"/>
      <c r="H4" s="851">
        <v>2014</v>
      </c>
      <c r="I4" s="844"/>
      <c r="J4" s="844"/>
      <c r="K4" s="844"/>
      <c r="L4" s="844"/>
      <c r="M4" s="844"/>
      <c r="N4" s="851">
        <v>2015</v>
      </c>
      <c r="O4" s="844"/>
      <c r="P4" s="844"/>
      <c r="Q4" s="844"/>
      <c r="R4" s="844"/>
      <c r="S4" s="844"/>
      <c r="T4" s="799" t="s">
        <v>82</v>
      </c>
      <c r="AD4" s="30"/>
    </row>
    <row r="5" spans="1:30" ht="21" x14ac:dyDescent="0.55000000000000004">
      <c r="A5" s="803"/>
      <c r="B5" s="842" t="s">
        <v>96</v>
      </c>
      <c r="C5" s="842"/>
      <c r="D5" s="842"/>
      <c r="E5" s="842"/>
      <c r="F5" s="842"/>
      <c r="G5" s="850"/>
      <c r="H5" s="843" t="s">
        <v>96</v>
      </c>
      <c r="I5" s="842"/>
      <c r="J5" s="842"/>
      <c r="K5" s="842"/>
      <c r="L5" s="842"/>
      <c r="M5" s="842"/>
      <c r="N5" s="843" t="s">
        <v>96</v>
      </c>
      <c r="O5" s="842"/>
      <c r="P5" s="842"/>
      <c r="Q5" s="842"/>
      <c r="R5" s="842"/>
      <c r="S5" s="842"/>
      <c r="T5" s="800"/>
      <c r="V5" s="30"/>
      <c r="W5" s="30"/>
      <c r="X5" s="30"/>
      <c r="Y5" s="30"/>
      <c r="Z5" s="30"/>
      <c r="AA5" s="30"/>
      <c r="AB5" s="30"/>
      <c r="AD5" s="30"/>
    </row>
    <row r="6" spans="1:30" ht="14.25" customHeight="1" x14ac:dyDescent="0.25">
      <c r="A6" s="804"/>
      <c r="B6" s="79" t="s">
        <v>2</v>
      </c>
      <c r="C6" s="79" t="s">
        <v>133</v>
      </c>
      <c r="D6" s="79" t="s">
        <v>23</v>
      </c>
      <c r="E6" s="79" t="s">
        <v>24</v>
      </c>
      <c r="F6" s="79" t="s">
        <v>25</v>
      </c>
      <c r="G6" s="175" t="s">
        <v>132</v>
      </c>
      <c r="H6" s="122" t="s">
        <v>2</v>
      </c>
      <c r="I6" s="79" t="s">
        <v>133</v>
      </c>
      <c r="J6" s="79" t="s">
        <v>23</v>
      </c>
      <c r="K6" s="79" t="s">
        <v>24</v>
      </c>
      <c r="L6" s="79" t="s">
        <v>25</v>
      </c>
      <c r="M6" s="79" t="s">
        <v>132</v>
      </c>
      <c r="N6" s="122" t="s">
        <v>2</v>
      </c>
      <c r="O6" s="79" t="s">
        <v>133</v>
      </c>
      <c r="P6" s="79" t="s">
        <v>23</v>
      </c>
      <c r="Q6" s="79" t="s">
        <v>24</v>
      </c>
      <c r="R6" s="79" t="s">
        <v>25</v>
      </c>
      <c r="S6" s="79" t="s">
        <v>132</v>
      </c>
      <c r="T6" s="801"/>
      <c r="V6" s="30"/>
      <c r="W6" s="30"/>
      <c r="X6" s="30"/>
      <c r="Y6" s="30"/>
      <c r="Z6" s="30"/>
      <c r="AA6" s="30"/>
      <c r="AB6" s="30"/>
      <c r="AD6" s="30"/>
    </row>
    <row r="7" spans="1:30" ht="15" customHeight="1" x14ac:dyDescent="0.25">
      <c r="A7" s="95" t="s">
        <v>10</v>
      </c>
      <c r="B7" s="15">
        <f>SUM(C7:G7)</f>
        <v>7356</v>
      </c>
      <c r="C7" s="15">
        <v>2947</v>
      </c>
      <c r="D7" s="15">
        <v>1430</v>
      </c>
      <c r="E7" s="15">
        <v>925</v>
      </c>
      <c r="F7" s="15">
        <v>958</v>
      </c>
      <c r="G7" s="39">
        <v>1096</v>
      </c>
      <c r="H7" s="120">
        <f>SUM(I7:M7)</f>
        <v>7317</v>
      </c>
      <c r="I7" s="15">
        <v>2810</v>
      </c>
      <c r="J7" s="15">
        <v>1471</v>
      </c>
      <c r="K7" s="15">
        <v>915</v>
      </c>
      <c r="L7" s="15">
        <v>928</v>
      </c>
      <c r="M7" s="15">
        <v>1193</v>
      </c>
      <c r="N7" s="120">
        <f>SUM(O7:S7)</f>
        <v>7330</v>
      </c>
      <c r="O7" s="15">
        <v>2588</v>
      </c>
      <c r="P7" s="15">
        <v>1535</v>
      </c>
      <c r="Q7" s="15">
        <v>965</v>
      </c>
      <c r="R7" s="15">
        <v>925</v>
      </c>
      <c r="S7" s="15">
        <v>1317</v>
      </c>
      <c r="T7" s="97" t="s">
        <v>83</v>
      </c>
      <c r="V7" s="30"/>
      <c r="W7" s="30"/>
      <c r="X7" s="30"/>
      <c r="Y7" s="30"/>
      <c r="Z7" s="30"/>
      <c r="AA7" s="30"/>
      <c r="AB7" s="30"/>
      <c r="AD7" s="30"/>
    </row>
    <row r="8" spans="1:30" ht="21" x14ac:dyDescent="0.25">
      <c r="A8" s="95" t="s">
        <v>11</v>
      </c>
      <c r="B8" s="15">
        <f t="shared" ref="B8:B18" si="0">SUM(C8:G8)</f>
        <v>7339</v>
      </c>
      <c r="C8" s="15">
        <v>2943</v>
      </c>
      <c r="D8" s="15">
        <v>1426</v>
      </c>
      <c r="E8" s="15">
        <v>925</v>
      </c>
      <c r="F8" s="15">
        <v>950</v>
      </c>
      <c r="G8" s="39">
        <v>1095</v>
      </c>
      <c r="H8" s="120">
        <f t="shared" ref="H8:H18" si="1">SUM(I8:M8)</f>
        <v>7332</v>
      </c>
      <c r="I8" s="15">
        <v>2803</v>
      </c>
      <c r="J8" s="15">
        <v>1455</v>
      </c>
      <c r="K8" s="15">
        <v>960</v>
      </c>
      <c r="L8" s="15">
        <v>919</v>
      </c>
      <c r="M8" s="15">
        <v>1195</v>
      </c>
      <c r="N8" s="120">
        <f t="shared" ref="N8:N18" si="2">SUM(O8:S8)</f>
        <v>7298</v>
      </c>
      <c r="O8" s="15">
        <v>2579</v>
      </c>
      <c r="P8" s="15">
        <v>1535</v>
      </c>
      <c r="Q8" s="15">
        <v>960</v>
      </c>
      <c r="R8" s="15">
        <v>920</v>
      </c>
      <c r="S8" s="15">
        <v>1304</v>
      </c>
      <c r="T8" s="97" t="s">
        <v>84</v>
      </c>
      <c r="V8" s="30"/>
      <c r="W8" s="30"/>
      <c r="X8" s="30"/>
      <c r="Y8" s="30"/>
      <c r="Z8" s="30"/>
      <c r="AA8" s="30"/>
      <c r="AB8" s="30"/>
      <c r="AD8" s="30"/>
    </row>
    <row r="9" spans="1:30" ht="21" x14ac:dyDescent="0.25">
      <c r="A9" s="95" t="s">
        <v>12</v>
      </c>
      <c r="B9" s="15">
        <f t="shared" si="0"/>
        <v>7341</v>
      </c>
      <c r="C9" s="15">
        <v>2923</v>
      </c>
      <c r="D9" s="15">
        <v>1440</v>
      </c>
      <c r="E9" s="15">
        <v>926</v>
      </c>
      <c r="F9" s="15">
        <v>948</v>
      </c>
      <c r="G9" s="39">
        <v>1104</v>
      </c>
      <c r="H9" s="120">
        <f t="shared" si="1"/>
        <v>7330</v>
      </c>
      <c r="I9" s="15">
        <v>2789</v>
      </c>
      <c r="J9" s="15">
        <v>1464</v>
      </c>
      <c r="K9" s="15">
        <v>957</v>
      </c>
      <c r="L9" s="15">
        <v>919</v>
      </c>
      <c r="M9" s="15">
        <v>1201</v>
      </c>
      <c r="N9" s="120">
        <f t="shared" si="2"/>
        <v>7333</v>
      </c>
      <c r="O9" s="15">
        <v>2583</v>
      </c>
      <c r="P9" s="15">
        <v>1542</v>
      </c>
      <c r="Q9" s="15">
        <v>987</v>
      </c>
      <c r="R9" s="15">
        <v>922</v>
      </c>
      <c r="S9" s="15">
        <v>1299</v>
      </c>
      <c r="T9" s="97" t="s">
        <v>85</v>
      </c>
      <c r="V9" s="30"/>
      <c r="W9" s="30"/>
      <c r="X9" s="30"/>
      <c r="Y9" s="30"/>
      <c r="Z9" s="30"/>
      <c r="AA9" s="30"/>
      <c r="AB9" s="30"/>
      <c r="AD9" s="30"/>
    </row>
    <row r="10" spans="1:30" ht="21" x14ac:dyDescent="0.25">
      <c r="A10" s="95" t="s">
        <v>13</v>
      </c>
      <c r="B10" s="15">
        <f t="shared" si="0"/>
        <v>7287</v>
      </c>
      <c r="C10" s="15">
        <v>2829</v>
      </c>
      <c r="D10" s="15">
        <v>1460</v>
      </c>
      <c r="E10" s="15">
        <v>889</v>
      </c>
      <c r="F10" s="15">
        <v>941</v>
      </c>
      <c r="G10" s="39">
        <v>1168</v>
      </c>
      <c r="H10" s="120">
        <f t="shared" si="1"/>
        <v>7363</v>
      </c>
      <c r="I10" s="15">
        <v>2774</v>
      </c>
      <c r="J10" s="15">
        <v>1489</v>
      </c>
      <c r="K10" s="15">
        <v>974</v>
      </c>
      <c r="L10" s="15">
        <v>916</v>
      </c>
      <c r="M10" s="15">
        <v>1210</v>
      </c>
      <c r="N10" s="120">
        <f t="shared" si="2"/>
        <v>7298</v>
      </c>
      <c r="O10" s="15">
        <v>2572</v>
      </c>
      <c r="P10" s="15">
        <v>1531</v>
      </c>
      <c r="Q10" s="15">
        <v>972</v>
      </c>
      <c r="R10" s="15">
        <v>923</v>
      </c>
      <c r="S10" s="15">
        <v>1300</v>
      </c>
      <c r="T10" s="97" t="s">
        <v>86</v>
      </c>
      <c r="V10" s="30"/>
      <c r="W10" s="30"/>
      <c r="X10" s="30"/>
      <c r="Y10" s="30"/>
      <c r="Z10" s="30"/>
      <c r="AA10" s="30"/>
      <c r="AB10" s="30"/>
      <c r="AD10" s="30"/>
    </row>
    <row r="11" spans="1:30" ht="21" x14ac:dyDescent="0.25">
      <c r="A11" s="95" t="s">
        <v>14</v>
      </c>
      <c r="B11" s="15">
        <f t="shared" si="0"/>
        <v>7325</v>
      </c>
      <c r="C11" s="15">
        <v>2906</v>
      </c>
      <c r="D11" s="15">
        <v>1450</v>
      </c>
      <c r="E11" s="15">
        <v>920</v>
      </c>
      <c r="F11" s="15">
        <v>936</v>
      </c>
      <c r="G11" s="39">
        <v>1113</v>
      </c>
      <c r="H11" s="120">
        <f t="shared" si="1"/>
        <v>7326</v>
      </c>
      <c r="I11" s="15">
        <v>2761</v>
      </c>
      <c r="J11" s="15">
        <v>1482</v>
      </c>
      <c r="K11" s="15">
        <v>973</v>
      </c>
      <c r="L11" s="15">
        <v>914</v>
      </c>
      <c r="M11" s="15">
        <v>1196</v>
      </c>
      <c r="N11" s="120">
        <f t="shared" si="2"/>
        <v>7300</v>
      </c>
      <c r="O11" s="15">
        <v>2567</v>
      </c>
      <c r="P11" s="15">
        <v>1543</v>
      </c>
      <c r="Q11" s="15">
        <v>979</v>
      </c>
      <c r="R11" s="15">
        <v>918</v>
      </c>
      <c r="S11" s="15">
        <v>1293</v>
      </c>
      <c r="T11" s="97" t="s">
        <v>87</v>
      </c>
      <c r="V11" s="30"/>
      <c r="W11" s="30"/>
      <c r="X11" s="30"/>
      <c r="Y11" s="30"/>
      <c r="Z11" s="30"/>
      <c r="AA11" s="30"/>
      <c r="AB11" s="30"/>
      <c r="AD11" s="30"/>
    </row>
    <row r="12" spans="1:30" ht="21" x14ac:dyDescent="0.25">
      <c r="A12" s="95" t="s">
        <v>15</v>
      </c>
      <c r="B12" s="15">
        <f t="shared" si="0"/>
        <v>7363</v>
      </c>
      <c r="C12" s="15">
        <v>2895</v>
      </c>
      <c r="D12" s="15">
        <v>1475</v>
      </c>
      <c r="E12" s="15">
        <v>925</v>
      </c>
      <c r="F12" s="15">
        <v>945</v>
      </c>
      <c r="G12" s="39">
        <v>1123</v>
      </c>
      <c r="H12" s="120">
        <f t="shared" si="1"/>
        <v>7324</v>
      </c>
      <c r="I12" s="15">
        <v>2747</v>
      </c>
      <c r="J12" s="15">
        <v>1485</v>
      </c>
      <c r="K12" s="15">
        <v>983</v>
      </c>
      <c r="L12" s="15">
        <v>908</v>
      </c>
      <c r="M12" s="15">
        <v>1201</v>
      </c>
      <c r="N12" s="120">
        <f t="shared" si="2"/>
        <v>7304</v>
      </c>
      <c r="O12" s="15">
        <v>2557</v>
      </c>
      <c r="P12" s="15">
        <v>1543</v>
      </c>
      <c r="Q12" s="15">
        <v>983</v>
      </c>
      <c r="R12" s="15">
        <v>926</v>
      </c>
      <c r="S12" s="15">
        <v>1295</v>
      </c>
      <c r="T12" s="97" t="s">
        <v>88</v>
      </c>
      <c r="V12" s="30"/>
      <c r="W12" s="30"/>
      <c r="X12" s="30"/>
      <c r="Y12" s="30"/>
      <c r="Z12" s="30"/>
      <c r="AA12" s="30"/>
      <c r="AB12" s="30"/>
      <c r="AD12" s="30"/>
    </row>
    <row r="13" spans="1:30" ht="21" x14ac:dyDescent="0.25">
      <c r="A13" s="95" t="s">
        <v>16</v>
      </c>
      <c r="B13" s="15">
        <f t="shared" si="0"/>
        <v>7327</v>
      </c>
      <c r="C13" s="15">
        <v>2886</v>
      </c>
      <c r="D13" s="15">
        <v>1457</v>
      </c>
      <c r="E13" s="15">
        <v>927</v>
      </c>
      <c r="F13" s="15">
        <v>932</v>
      </c>
      <c r="G13" s="39">
        <v>1125</v>
      </c>
      <c r="H13" s="120">
        <f t="shared" si="1"/>
        <v>7366</v>
      </c>
      <c r="I13" s="15">
        <v>2738</v>
      </c>
      <c r="J13" s="15">
        <v>1507</v>
      </c>
      <c r="K13" s="15">
        <v>995</v>
      </c>
      <c r="L13" s="15">
        <v>912</v>
      </c>
      <c r="M13" s="15">
        <v>1214</v>
      </c>
      <c r="N13" s="120">
        <f t="shared" si="2"/>
        <v>7323</v>
      </c>
      <c r="O13" s="15">
        <v>2546</v>
      </c>
      <c r="P13" s="15">
        <v>1558</v>
      </c>
      <c r="Q13" s="15">
        <v>1001</v>
      </c>
      <c r="R13" s="15">
        <v>923</v>
      </c>
      <c r="S13" s="15">
        <v>1295</v>
      </c>
      <c r="T13" s="97" t="s">
        <v>89</v>
      </c>
      <c r="V13" s="30"/>
      <c r="W13" s="30"/>
      <c r="X13" s="30"/>
      <c r="Y13" s="30"/>
      <c r="Z13" s="30"/>
      <c r="AA13" s="30"/>
      <c r="AB13" s="30"/>
      <c r="AD13" s="30"/>
    </row>
    <row r="14" spans="1:30" ht="21" x14ac:dyDescent="0.25">
      <c r="A14" s="95" t="s">
        <v>17</v>
      </c>
      <c r="B14" s="15">
        <f t="shared" si="0"/>
        <v>7330</v>
      </c>
      <c r="C14" s="15">
        <v>2877</v>
      </c>
      <c r="D14" s="15">
        <v>1462</v>
      </c>
      <c r="E14" s="15">
        <v>927</v>
      </c>
      <c r="F14" s="15">
        <v>938</v>
      </c>
      <c r="G14" s="39">
        <v>1126</v>
      </c>
      <c r="H14" s="120">
        <f t="shared" si="1"/>
        <v>7329</v>
      </c>
      <c r="I14" s="15">
        <v>2733</v>
      </c>
      <c r="J14" s="15">
        <v>1488</v>
      </c>
      <c r="K14" s="15">
        <v>997</v>
      </c>
      <c r="L14" s="15">
        <v>908</v>
      </c>
      <c r="M14" s="15">
        <v>1203</v>
      </c>
      <c r="N14" s="120">
        <f t="shared" si="2"/>
        <v>7273</v>
      </c>
      <c r="O14" s="15">
        <v>2525</v>
      </c>
      <c r="P14" s="15">
        <v>1557</v>
      </c>
      <c r="Q14" s="15">
        <v>988</v>
      </c>
      <c r="R14" s="15">
        <v>913</v>
      </c>
      <c r="S14" s="15">
        <v>1290</v>
      </c>
      <c r="T14" s="97" t="s">
        <v>90</v>
      </c>
      <c r="V14" s="30"/>
      <c r="W14" s="30"/>
      <c r="X14" s="30"/>
      <c r="Y14" s="30"/>
      <c r="Z14" s="30"/>
      <c r="AA14" s="30"/>
      <c r="AB14" s="30"/>
      <c r="AD14" s="30"/>
    </row>
    <row r="15" spans="1:30" ht="21" x14ac:dyDescent="0.25">
      <c r="A15" s="95" t="s">
        <v>18</v>
      </c>
      <c r="B15" s="15">
        <f t="shared" si="0"/>
        <v>7330</v>
      </c>
      <c r="C15" s="15">
        <v>2867</v>
      </c>
      <c r="D15" s="15">
        <v>1466</v>
      </c>
      <c r="E15" s="15">
        <v>934</v>
      </c>
      <c r="F15" s="15">
        <v>935</v>
      </c>
      <c r="G15" s="39">
        <v>1128</v>
      </c>
      <c r="H15" s="120">
        <f t="shared" si="1"/>
        <v>7321</v>
      </c>
      <c r="I15" s="15">
        <v>2721</v>
      </c>
      <c r="J15" s="15">
        <v>1486</v>
      </c>
      <c r="K15" s="15">
        <v>1011</v>
      </c>
      <c r="L15" s="15">
        <v>902</v>
      </c>
      <c r="M15" s="15">
        <v>1201</v>
      </c>
      <c r="N15" s="120">
        <f t="shared" si="2"/>
        <v>7290</v>
      </c>
      <c r="O15" s="15">
        <v>2488</v>
      </c>
      <c r="P15" s="15">
        <v>1565</v>
      </c>
      <c r="Q15" s="15">
        <v>939</v>
      </c>
      <c r="R15" s="15">
        <v>927</v>
      </c>
      <c r="S15" s="15">
        <v>1371</v>
      </c>
      <c r="T15" s="97" t="s">
        <v>91</v>
      </c>
      <c r="V15" s="30"/>
      <c r="W15" s="30"/>
      <c r="X15" s="30"/>
      <c r="Y15" s="30"/>
      <c r="Z15" s="30"/>
      <c r="AA15" s="30"/>
      <c r="AB15" s="30"/>
      <c r="AD15" s="30"/>
    </row>
    <row r="16" spans="1:30" ht="21" x14ac:dyDescent="0.25">
      <c r="A16" s="95" t="s">
        <v>19</v>
      </c>
      <c r="B16" s="15">
        <f t="shared" si="0"/>
        <v>7349</v>
      </c>
      <c r="C16" s="15">
        <v>2863</v>
      </c>
      <c r="D16" s="15">
        <v>1483</v>
      </c>
      <c r="E16" s="15">
        <v>941</v>
      </c>
      <c r="F16" s="15">
        <v>932</v>
      </c>
      <c r="G16" s="39">
        <v>1130</v>
      </c>
      <c r="H16" s="120">
        <f t="shared" si="1"/>
        <v>7345</v>
      </c>
      <c r="I16" s="15">
        <v>2713</v>
      </c>
      <c r="J16" s="15">
        <v>1508</v>
      </c>
      <c r="K16" s="15">
        <v>1012</v>
      </c>
      <c r="L16" s="15">
        <v>904</v>
      </c>
      <c r="M16" s="15">
        <v>1208</v>
      </c>
      <c r="N16" s="120">
        <f t="shared" si="2"/>
        <v>7304</v>
      </c>
      <c r="O16" s="15">
        <v>2474</v>
      </c>
      <c r="P16" s="15">
        <v>1572</v>
      </c>
      <c r="Q16" s="15">
        <v>952</v>
      </c>
      <c r="R16" s="15">
        <v>930</v>
      </c>
      <c r="S16" s="15">
        <v>1376</v>
      </c>
      <c r="T16" s="97" t="s">
        <v>92</v>
      </c>
      <c r="V16" s="30"/>
      <c r="W16" s="30"/>
      <c r="X16" s="30"/>
      <c r="Y16" s="30"/>
      <c r="Z16" s="30"/>
      <c r="AA16" s="30"/>
      <c r="AB16" s="30"/>
      <c r="AD16" s="30"/>
    </row>
    <row r="17" spans="1:36" ht="21" x14ac:dyDescent="0.25">
      <c r="A17" s="95" t="s">
        <v>20</v>
      </c>
      <c r="B17" s="15">
        <f t="shared" si="0"/>
        <v>7307</v>
      </c>
      <c r="C17" s="15">
        <v>2849</v>
      </c>
      <c r="D17" s="15">
        <v>1471</v>
      </c>
      <c r="E17" s="15">
        <v>938</v>
      </c>
      <c r="F17" s="15">
        <v>924</v>
      </c>
      <c r="G17" s="39">
        <v>1125</v>
      </c>
      <c r="H17" s="120">
        <f t="shared" si="1"/>
        <v>7296</v>
      </c>
      <c r="I17" s="15">
        <v>2706</v>
      </c>
      <c r="J17" s="15">
        <v>1500</v>
      </c>
      <c r="K17" s="15">
        <v>999</v>
      </c>
      <c r="L17" s="15">
        <v>898</v>
      </c>
      <c r="M17" s="15">
        <v>1193</v>
      </c>
      <c r="N17" s="120">
        <f t="shared" si="2"/>
        <v>7270</v>
      </c>
      <c r="O17" s="15">
        <v>2458</v>
      </c>
      <c r="P17" s="15">
        <v>1583</v>
      </c>
      <c r="Q17" s="15">
        <v>926</v>
      </c>
      <c r="R17" s="15">
        <v>933</v>
      </c>
      <c r="S17" s="15">
        <v>1370</v>
      </c>
      <c r="T17" s="97" t="s">
        <v>95</v>
      </c>
      <c r="V17" s="30"/>
      <c r="W17" s="30"/>
      <c r="X17" s="30"/>
      <c r="Y17" s="30"/>
      <c r="Z17" s="30"/>
      <c r="AA17" s="30"/>
      <c r="AB17" s="30"/>
      <c r="AD17" s="30"/>
    </row>
    <row r="18" spans="1:36" ht="21" x14ac:dyDescent="0.25">
      <c r="A18" s="96" t="s">
        <v>21</v>
      </c>
      <c r="B18" s="16">
        <f t="shared" si="0"/>
        <v>7293</v>
      </c>
      <c r="C18" s="16">
        <v>2839</v>
      </c>
      <c r="D18" s="16">
        <v>1477</v>
      </c>
      <c r="E18" s="16">
        <v>943</v>
      </c>
      <c r="F18" s="16">
        <v>914</v>
      </c>
      <c r="G18" s="40">
        <v>1120</v>
      </c>
      <c r="H18" s="121">
        <f t="shared" si="1"/>
        <v>7284</v>
      </c>
      <c r="I18" s="16">
        <v>2695</v>
      </c>
      <c r="J18" s="16">
        <v>1514</v>
      </c>
      <c r="K18" s="16">
        <v>992</v>
      </c>
      <c r="L18" s="16">
        <v>898</v>
      </c>
      <c r="M18" s="16">
        <v>1185</v>
      </c>
      <c r="N18" s="121">
        <f t="shared" si="2"/>
        <v>7264</v>
      </c>
      <c r="O18" s="16">
        <v>2441</v>
      </c>
      <c r="P18" s="16">
        <v>1593</v>
      </c>
      <c r="Q18" s="16">
        <v>930</v>
      </c>
      <c r="R18" s="16">
        <v>933</v>
      </c>
      <c r="S18" s="16">
        <v>1367</v>
      </c>
      <c r="T18" s="99" t="s">
        <v>93</v>
      </c>
      <c r="V18" s="30"/>
      <c r="W18" s="30"/>
      <c r="X18" s="30"/>
      <c r="Y18" s="30"/>
      <c r="Z18" s="30"/>
      <c r="AA18" s="30"/>
      <c r="AB18" s="30"/>
      <c r="AD18" s="30"/>
    </row>
    <row r="19" spans="1:36" ht="19.5" customHeight="1" x14ac:dyDescent="0.45">
      <c r="A19" s="107" t="s">
        <v>79</v>
      </c>
      <c r="T19" s="109" t="s">
        <v>121</v>
      </c>
      <c r="V19" s="30"/>
      <c r="W19" s="30"/>
      <c r="X19" s="30"/>
      <c r="Y19" s="30"/>
      <c r="Z19" s="30"/>
      <c r="AA19" s="30"/>
      <c r="AB19" s="30"/>
      <c r="AD19" s="30"/>
    </row>
    <row r="20" spans="1:36" x14ac:dyDescent="0.25">
      <c r="V20" s="30"/>
      <c r="W20" s="30"/>
      <c r="X20" s="30"/>
      <c r="Y20" s="30"/>
      <c r="Z20" s="30"/>
      <c r="AA20" s="30"/>
      <c r="AB20" s="30"/>
      <c r="AD20" s="30"/>
    </row>
    <row r="23" spans="1:36" x14ac:dyDescent="0.25">
      <c r="O23" s="67"/>
      <c r="P23" s="67"/>
      <c r="Q23" s="67"/>
      <c r="R23" s="67"/>
      <c r="S23" s="67"/>
    </row>
    <row r="25" spans="1:36" x14ac:dyDescent="0.25">
      <c r="AF25" s="156"/>
      <c r="AG25" s="156"/>
      <c r="AH25" s="156"/>
      <c r="AI25" s="156"/>
      <c r="AJ25" s="156"/>
    </row>
    <row r="26" spans="1:36" ht="30" x14ac:dyDescent="0.25">
      <c r="AF26" s="156" t="s">
        <v>1107</v>
      </c>
      <c r="AG26" s="156" t="s">
        <v>1108</v>
      </c>
      <c r="AH26" s="156" t="s">
        <v>1102</v>
      </c>
      <c r="AI26" s="156" t="s">
        <v>1106</v>
      </c>
      <c r="AJ26" s="156" t="s">
        <v>1109</v>
      </c>
    </row>
    <row r="27" spans="1:36" x14ac:dyDescent="0.25">
      <c r="AF27" s="1">
        <v>33.604074889867839</v>
      </c>
      <c r="AG27" s="1">
        <v>21.930066079295155</v>
      </c>
      <c r="AH27" s="1">
        <v>12.802863436123349</v>
      </c>
      <c r="AI27" s="1">
        <v>12.844162995594713</v>
      </c>
      <c r="AJ27" s="1">
        <v>18.818832599118942</v>
      </c>
    </row>
    <row r="30" spans="1:36" x14ac:dyDescent="0.25">
      <c r="I30" s="2"/>
      <c r="J30" s="2"/>
      <c r="O30" s="2"/>
      <c r="P30" s="2"/>
    </row>
    <row r="31" spans="1:36" x14ac:dyDescent="0.25">
      <c r="I31" s="212"/>
      <c r="J31" s="2"/>
      <c r="O31" s="212"/>
      <c r="P31" s="2"/>
    </row>
    <row r="32" spans="1:36" s="25" customFormat="1" ht="25.5" customHeight="1" x14ac:dyDescent="0.25">
      <c r="I32" s="31"/>
      <c r="J32" s="31"/>
      <c r="O32" s="31"/>
      <c r="P32" s="31"/>
      <c r="R32" s="1"/>
      <c r="S32" s="1"/>
    </row>
    <row r="33" spans="9:16" s="25" customFormat="1" ht="25.5" customHeight="1" x14ac:dyDescent="0.25">
      <c r="I33" s="31"/>
      <c r="J33" s="31"/>
      <c r="O33" s="31"/>
      <c r="P33" s="31"/>
    </row>
    <row r="34" spans="9:16" s="25" customFormat="1" ht="25.5" customHeight="1" x14ac:dyDescent="0.25">
      <c r="I34" s="31"/>
      <c r="J34" s="31"/>
      <c r="O34" s="31"/>
      <c r="P34" s="31"/>
    </row>
    <row r="35" spans="9:16" s="25" customFormat="1" ht="25.5" customHeight="1" x14ac:dyDescent="0.25">
      <c r="I35" s="31"/>
      <c r="J35" s="31"/>
      <c r="O35" s="31"/>
      <c r="P35" s="31"/>
    </row>
    <row r="36" spans="9:16" s="25" customFormat="1" x14ac:dyDescent="0.25">
      <c r="I36" s="31"/>
      <c r="J36" s="31"/>
      <c r="O36" s="31"/>
      <c r="P36" s="31"/>
    </row>
  </sheetData>
  <mergeCells count="10">
    <mergeCell ref="A1:T1"/>
    <mergeCell ref="A2:T2"/>
    <mergeCell ref="A4:A6"/>
    <mergeCell ref="T4:T6"/>
    <mergeCell ref="B4:G4"/>
    <mergeCell ref="B5:G5"/>
    <mergeCell ref="H4:M4"/>
    <mergeCell ref="H5:M5"/>
    <mergeCell ref="N4:S4"/>
    <mergeCell ref="N5:S5"/>
  </mergeCells>
  <pageMargins left="0.84" right="0.17" top="0.75" bottom="0.75" header="0.3" footer="0.3"/>
  <pageSetup paperSize="9" scale="61" orientation="landscape" r:id="rId1"/>
  <colBreaks count="1" manualBreakCount="1">
    <brk id="21"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26"/>
  <sheetViews>
    <sheetView topLeftCell="A19" zoomScaleNormal="100" workbookViewId="0">
      <selection activeCell="K25" sqref="K25"/>
    </sheetView>
  </sheetViews>
  <sheetFormatPr defaultColWidth="9.140625" defaultRowHeight="15" x14ac:dyDescent="0.25"/>
  <cols>
    <col min="1" max="1" width="7.28515625" style="1" customWidth="1"/>
    <col min="2" max="5" width="15.85546875" style="1" customWidth="1"/>
    <col min="6" max="6" width="15.7109375" style="1" customWidth="1"/>
    <col min="7" max="7" width="1.28515625" style="1" customWidth="1"/>
    <col min="8" max="8" width="8.42578125" style="1" customWidth="1"/>
    <col min="9" max="9" width="10.28515625" style="1" customWidth="1"/>
    <col min="10" max="10" width="9.5703125" style="1" customWidth="1"/>
    <col min="11" max="11" width="9.28515625" style="1" customWidth="1"/>
    <col min="12" max="12" width="10.28515625" style="1" customWidth="1"/>
    <col min="13" max="13" width="10.5703125" style="1" customWidth="1"/>
    <col min="14" max="14" width="8.42578125" style="1" customWidth="1"/>
    <col min="15" max="15" width="10.28515625" style="1" customWidth="1"/>
    <col min="16" max="16" width="9.5703125" style="1" customWidth="1"/>
    <col min="17" max="17" width="9.28515625" style="1" customWidth="1"/>
    <col min="18" max="18" width="10.28515625" style="1" customWidth="1"/>
    <col min="19" max="19" width="14.5703125" style="1" customWidth="1"/>
    <col min="20" max="20" width="2" style="1" customWidth="1"/>
    <col min="21" max="16384" width="9.140625" style="1"/>
  </cols>
  <sheetData>
    <row r="1" spans="1:25" ht="5.25" customHeight="1" x14ac:dyDescent="0.25">
      <c r="A1" s="2"/>
      <c r="C1" s="2"/>
      <c r="D1" s="2"/>
      <c r="E1" s="2"/>
      <c r="F1" s="2"/>
      <c r="I1" s="2"/>
      <c r="J1" s="2"/>
      <c r="K1" s="2"/>
      <c r="L1" s="2"/>
      <c r="O1" s="2"/>
      <c r="P1" s="2"/>
      <c r="Q1" s="2"/>
      <c r="R1" s="2"/>
    </row>
    <row r="2" spans="1:25" ht="21" x14ac:dyDescent="0.55000000000000004">
      <c r="A2" s="797" t="s">
        <v>211</v>
      </c>
      <c r="B2" s="797"/>
      <c r="C2" s="797"/>
      <c r="D2" s="797"/>
      <c r="E2" s="797"/>
      <c r="F2" s="797"/>
      <c r="G2" s="29"/>
      <c r="H2" s="29"/>
      <c r="I2" s="29"/>
      <c r="J2" s="29"/>
      <c r="K2" s="29"/>
      <c r="L2" s="29"/>
      <c r="M2" s="29"/>
      <c r="N2" s="29"/>
      <c r="O2" s="29"/>
      <c r="P2" s="29"/>
      <c r="Q2" s="29"/>
      <c r="R2" s="29"/>
      <c r="S2" s="29"/>
      <c r="T2" s="29"/>
      <c r="U2" s="29"/>
      <c r="V2" s="29"/>
      <c r="W2" s="29"/>
      <c r="X2" s="29"/>
      <c r="Y2" s="29"/>
    </row>
    <row r="3" spans="1:25" x14ac:dyDescent="0.25">
      <c r="A3" s="820" t="s">
        <v>210</v>
      </c>
      <c r="B3" s="820"/>
      <c r="C3" s="820"/>
      <c r="D3" s="820"/>
      <c r="E3" s="820"/>
      <c r="F3" s="820"/>
    </row>
    <row r="4" spans="1:25" x14ac:dyDescent="0.25">
      <c r="B4" s="172"/>
      <c r="C4" s="172"/>
      <c r="D4" s="172"/>
      <c r="E4" s="172"/>
      <c r="F4" s="172"/>
      <c r="H4" s="171"/>
      <c r="I4" s="171"/>
      <c r="J4" s="171"/>
      <c r="K4" s="171"/>
      <c r="L4" s="171"/>
      <c r="M4" s="171"/>
      <c r="N4" s="171"/>
      <c r="O4" s="171"/>
      <c r="P4" s="171"/>
      <c r="Q4" s="171"/>
      <c r="R4" s="171"/>
      <c r="S4" s="171"/>
    </row>
    <row r="5" spans="1:25" ht="21" x14ac:dyDescent="0.55000000000000004">
      <c r="A5" s="183" t="s">
        <v>22</v>
      </c>
      <c r="B5" s="842" t="s">
        <v>96</v>
      </c>
      <c r="C5" s="842"/>
      <c r="D5" s="842"/>
      <c r="E5" s="842"/>
      <c r="F5" s="852"/>
      <c r="G5" s="244"/>
    </row>
    <row r="6" spans="1:25" ht="15" customHeight="1" x14ac:dyDescent="0.25">
      <c r="A6" s="172"/>
      <c r="B6" s="79" t="s">
        <v>2</v>
      </c>
      <c r="C6" s="79" t="s">
        <v>24</v>
      </c>
      <c r="D6" s="79" t="s">
        <v>25</v>
      </c>
      <c r="E6" s="79" t="s">
        <v>132</v>
      </c>
      <c r="F6" s="853"/>
    </row>
    <row r="7" spans="1:25" ht="21" x14ac:dyDescent="0.25">
      <c r="A7" s="1" t="s">
        <v>10</v>
      </c>
      <c r="B7" s="15">
        <f t="shared" ref="B7:B18" si="0">SUM(C7:E7)</f>
        <v>16382</v>
      </c>
      <c r="C7" s="15">
        <v>4140</v>
      </c>
      <c r="D7" s="15">
        <v>4805</v>
      </c>
      <c r="E7" s="15">
        <v>7437</v>
      </c>
      <c r="F7" s="26" t="s">
        <v>83</v>
      </c>
    </row>
    <row r="8" spans="1:25" ht="21" x14ac:dyDescent="0.25">
      <c r="A8" s="1" t="s">
        <v>11</v>
      </c>
      <c r="B8" s="15">
        <f t="shared" si="0"/>
        <v>16379</v>
      </c>
      <c r="C8" s="15">
        <v>4190</v>
      </c>
      <c r="D8" s="15">
        <v>4781</v>
      </c>
      <c r="E8" s="15">
        <v>7408</v>
      </c>
      <c r="F8" s="26" t="s">
        <v>84</v>
      </c>
    </row>
    <row r="9" spans="1:25" ht="21" x14ac:dyDescent="0.25">
      <c r="A9" s="1" t="s">
        <v>12</v>
      </c>
      <c r="B9" s="15">
        <f t="shared" si="0"/>
        <v>16534</v>
      </c>
      <c r="C9" s="15">
        <v>4388</v>
      </c>
      <c r="D9" s="15">
        <v>4779</v>
      </c>
      <c r="E9" s="15">
        <v>7367</v>
      </c>
      <c r="F9" s="26" t="s">
        <v>85</v>
      </c>
    </row>
    <row r="10" spans="1:25" ht="21" x14ac:dyDescent="0.25">
      <c r="A10" s="1" t="s">
        <v>13</v>
      </c>
      <c r="B10" s="15">
        <f t="shared" si="0"/>
        <v>16533</v>
      </c>
      <c r="C10" s="15">
        <v>4393</v>
      </c>
      <c r="D10" s="15">
        <v>4798</v>
      </c>
      <c r="E10" s="15">
        <v>7342</v>
      </c>
      <c r="F10" s="26" t="s">
        <v>86</v>
      </c>
    </row>
    <row r="11" spans="1:25" ht="21" x14ac:dyDescent="0.25">
      <c r="A11" s="1" t="s">
        <v>14</v>
      </c>
      <c r="B11" s="15">
        <f t="shared" si="0"/>
        <v>16558</v>
      </c>
      <c r="C11" s="15">
        <v>4474</v>
      </c>
      <c r="D11" s="15">
        <v>4750</v>
      </c>
      <c r="E11" s="15">
        <v>7334</v>
      </c>
      <c r="F11" s="26" t="s">
        <v>87</v>
      </c>
    </row>
    <row r="12" spans="1:25" ht="21" x14ac:dyDescent="0.25">
      <c r="A12" s="1" t="s">
        <v>15</v>
      </c>
      <c r="B12" s="15">
        <f t="shared" si="0"/>
        <v>16591</v>
      </c>
      <c r="C12" s="15">
        <v>4475</v>
      </c>
      <c r="D12" s="15">
        <v>4788</v>
      </c>
      <c r="E12" s="15">
        <v>7328</v>
      </c>
      <c r="F12" s="26" t="s">
        <v>88</v>
      </c>
    </row>
    <row r="13" spans="1:25" ht="21" x14ac:dyDescent="0.25">
      <c r="A13" s="1" t="s">
        <v>16</v>
      </c>
      <c r="B13" s="15">
        <f t="shared" si="0"/>
        <v>16570</v>
      </c>
      <c r="C13" s="15">
        <v>4514</v>
      </c>
      <c r="D13" s="15">
        <v>4745</v>
      </c>
      <c r="E13" s="15">
        <v>7311</v>
      </c>
      <c r="F13" s="26" t="s">
        <v>89</v>
      </c>
    </row>
    <row r="14" spans="1:25" ht="21" x14ac:dyDescent="0.25">
      <c r="A14" s="1" t="s">
        <v>17</v>
      </c>
      <c r="B14" s="15">
        <f t="shared" si="0"/>
        <v>16610</v>
      </c>
      <c r="C14" s="15">
        <v>4576</v>
      </c>
      <c r="D14" s="15">
        <v>4731</v>
      </c>
      <c r="E14" s="15">
        <v>7303</v>
      </c>
      <c r="F14" s="26" t="s">
        <v>90</v>
      </c>
    </row>
    <row r="15" spans="1:25" ht="21" x14ac:dyDescent="0.25">
      <c r="A15" s="1" t="s">
        <v>18</v>
      </c>
      <c r="B15" s="15">
        <f t="shared" si="0"/>
        <v>16639</v>
      </c>
      <c r="C15" s="15">
        <v>4167</v>
      </c>
      <c r="D15" s="15">
        <v>4680</v>
      </c>
      <c r="E15" s="15">
        <v>7792</v>
      </c>
      <c r="F15" s="26" t="s">
        <v>91</v>
      </c>
    </row>
    <row r="16" spans="1:25" ht="21" x14ac:dyDescent="0.25">
      <c r="A16" s="1" t="s">
        <v>19</v>
      </c>
      <c r="B16" s="15">
        <f t="shared" si="0"/>
        <v>16642</v>
      </c>
      <c r="C16" s="15">
        <v>4174</v>
      </c>
      <c r="D16" s="15">
        <v>4670</v>
      </c>
      <c r="E16" s="15">
        <v>7798</v>
      </c>
      <c r="F16" s="26" t="s">
        <v>92</v>
      </c>
    </row>
    <row r="17" spans="1:26" ht="21" x14ac:dyDescent="0.25">
      <c r="A17" s="1" t="s">
        <v>20</v>
      </c>
      <c r="B17" s="15">
        <f t="shared" si="0"/>
        <v>16638</v>
      </c>
      <c r="C17" s="15">
        <v>4181</v>
      </c>
      <c r="D17" s="15">
        <v>4672</v>
      </c>
      <c r="E17" s="15">
        <v>7785</v>
      </c>
      <c r="F17" s="26" t="s">
        <v>95</v>
      </c>
    </row>
    <row r="18" spans="1:26" ht="21" x14ac:dyDescent="0.25">
      <c r="A18" s="4" t="s">
        <v>21</v>
      </c>
      <c r="B18" s="16">
        <f t="shared" si="0"/>
        <v>16561</v>
      </c>
      <c r="C18" s="16">
        <v>4147</v>
      </c>
      <c r="D18" s="16">
        <v>4656</v>
      </c>
      <c r="E18" s="16">
        <v>7758</v>
      </c>
      <c r="F18" s="65" t="s">
        <v>93</v>
      </c>
    </row>
    <row r="19" spans="1:26" s="25" customFormat="1" ht="16.5" x14ac:dyDescent="0.25">
      <c r="A19" s="192" t="s">
        <v>189</v>
      </c>
      <c r="F19" s="194" t="s">
        <v>190</v>
      </c>
    </row>
    <row r="20" spans="1:26" s="108" customFormat="1" ht="17.25" x14ac:dyDescent="0.45">
      <c r="A20" s="195" t="s">
        <v>79</v>
      </c>
      <c r="B20" s="196"/>
      <c r="C20" s="196"/>
      <c r="D20" s="196"/>
      <c r="E20" s="196"/>
      <c r="F20" s="197" t="s">
        <v>121</v>
      </c>
      <c r="G20" s="196"/>
    </row>
    <row r="21" spans="1:26" x14ac:dyDescent="0.25">
      <c r="A21" s="2"/>
      <c r="B21" s="2"/>
      <c r="C21" s="2"/>
      <c r="D21" s="2"/>
      <c r="E21" s="2"/>
      <c r="F21" s="2"/>
      <c r="G21" s="2"/>
    </row>
    <row r="23" spans="1:26" ht="5.25" customHeight="1" x14ac:dyDescent="0.25">
      <c r="A23" s="2"/>
      <c r="C23" s="2"/>
      <c r="D23" s="2"/>
      <c r="E23" s="2"/>
      <c r="F23" s="2"/>
      <c r="I23" s="2"/>
      <c r="J23" s="2"/>
      <c r="K23" s="2"/>
      <c r="L23" s="2"/>
      <c r="O23" s="2"/>
      <c r="P23" s="2"/>
      <c r="Q23" s="2"/>
      <c r="R23" s="2"/>
    </row>
    <row r="26" spans="1:26" x14ac:dyDescent="0.25">
      <c r="X26" s="79" t="s">
        <v>1102</v>
      </c>
      <c r="Y26" s="79" t="s">
        <v>1106</v>
      </c>
      <c r="Z26" s="79" t="s">
        <v>1110</v>
      </c>
    </row>
  </sheetData>
  <mergeCells count="4">
    <mergeCell ref="A2:F2"/>
    <mergeCell ref="A3:F3"/>
    <mergeCell ref="B5:E5"/>
    <mergeCell ref="F5:F6"/>
  </mergeCells>
  <pageMargins left="0.7" right="0.7" top="0.75" bottom="0.75" header="0.3" footer="0.3"/>
  <pageSetup paperSize="9" scale="9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O36"/>
  <sheetViews>
    <sheetView topLeftCell="A13" zoomScaleNormal="100" workbookViewId="0">
      <selection activeCell="E42" sqref="E42"/>
    </sheetView>
  </sheetViews>
  <sheetFormatPr defaultColWidth="9.140625" defaultRowHeight="15" x14ac:dyDescent="0.25"/>
  <cols>
    <col min="1" max="1" width="25.28515625" style="1" customWidth="1"/>
    <col min="2" max="7" width="10.85546875" style="1" customWidth="1"/>
    <col min="8" max="8" width="29.28515625" style="1" customWidth="1"/>
    <col min="9" max="16384" width="9.140625" style="1"/>
  </cols>
  <sheetData>
    <row r="2" spans="1:41" ht="21.75" x14ac:dyDescent="0.55000000000000004">
      <c r="A2" s="855" t="s">
        <v>212</v>
      </c>
      <c r="B2" s="855"/>
      <c r="C2" s="855"/>
      <c r="D2" s="855"/>
      <c r="E2" s="855"/>
      <c r="F2" s="855"/>
      <c r="G2" s="855"/>
      <c r="H2" s="855"/>
    </row>
    <row r="3" spans="1:41" ht="19.5" customHeight="1" x14ac:dyDescent="0.25">
      <c r="A3" s="845" t="s">
        <v>213</v>
      </c>
      <c r="B3" s="845"/>
      <c r="C3" s="845"/>
      <c r="D3" s="845"/>
      <c r="E3" s="845"/>
      <c r="F3" s="845"/>
      <c r="G3" s="845"/>
      <c r="H3" s="845"/>
    </row>
    <row r="5" spans="1:41" ht="24" customHeight="1" x14ac:dyDescent="0.25">
      <c r="A5" s="802" t="s">
        <v>77</v>
      </c>
      <c r="B5" s="805" t="s">
        <v>1111</v>
      </c>
      <c r="C5" s="805"/>
      <c r="D5" s="805"/>
      <c r="E5" s="805"/>
      <c r="F5" s="805"/>
      <c r="G5" s="805"/>
      <c r="H5" s="799" t="s">
        <v>78</v>
      </c>
    </row>
    <row r="6" spans="1:41" ht="21" customHeight="1" x14ac:dyDescent="0.25">
      <c r="A6" s="804"/>
      <c r="B6" s="721" t="s">
        <v>198</v>
      </c>
      <c r="C6" s="215" t="s">
        <v>133</v>
      </c>
      <c r="D6" s="215" t="s">
        <v>23</v>
      </c>
      <c r="E6" s="215" t="s">
        <v>24</v>
      </c>
      <c r="F6" s="215" t="s">
        <v>25</v>
      </c>
      <c r="G6" s="215" t="s">
        <v>132</v>
      </c>
      <c r="H6" s="801"/>
    </row>
    <row r="7" spans="1:41" ht="21" customHeight="1" x14ac:dyDescent="0.25">
      <c r="A7" s="717" t="s">
        <v>200</v>
      </c>
      <c r="B7" s="58">
        <v>40811</v>
      </c>
      <c r="C7" s="740">
        <v>2452</v>
      </c>
      <c r="D7" s="740">
        <v>1600</v>
      </c>
      <c r="E7" s="740">
        <v>9687</v>
      </c>
      <c r="F7" s="740">
        <v>10288</v>
      </c>
      <c r="G7" s="740">
        <v>16784</v>
      </c>
      <c r="H7" s="715" t="s">
        <v>75</v>
      </c>
    </row>
    <row r="8" spans="1:41" ht="24" customHeight="1" x14ac:dyDescent="0.55000000000000004">
      <c r="A8" s="210" t="s">
        <v>5</v>
      </c>
      <c r="B8" s="48">
        <v>16091</v>
      </c>
      <c r="C8" s="62">
        <v>0</v>
      </c>
      <c r="D8" s="62">
        <v>0</v>
      </c>
      <c r="E8" s="47">
        <v>3902</v>
      </c>
      <c r="F8" s="47">
        <v>4530</v>
      </c>
      <c r="G8" s="47">
        <v>7659</v>
      </c>
      <c r="H8" s="8" t="s">
        <v>73</v>
      </c>
    </row>
    <row r="9" spans="1:41" ht="24" customHeight="1" x14ac:dyDescent="0.55000000000000004">
      <c r="A9" s="210" t="s">
        <v>6</v>
      </c>
      <c r="B9" s="48">
        <v>895</v>
      </c>
      <c r="C9" s="742">
        <v>11</v>
      </c>
      <c r="D9" s="742">
        <v>7</v>
      </c>
      <c r="E9" s="47">
        <v>708</v>
      </c>
      <c r="F9" s="47">
        <v>169</v>
      </c>
      <c r="G9" s="62">
        <v>0</v>
      </c>
      <c r="H9" s="8" t="s">
        <v>74</v>
      </c>
    </row>
    <row r="10" spans="1:41" ht="24" customHeight="1" x14ac:dyDescent="0.55000000000000004">
      <c r="A10" s="210" t="s">
        <v>7</v>
      </c>
      <c r="B10" s="48">
        <v>7264</v>
      </c>
      <c r="C10" s="742">
        <v>2441</v>
      </c>
      <c r="D10" s="742">
        <v>1593</v>
      </c>
      <c r="E10" s="742">
        <v>930</v>
      </c>
      <c r="F10" s="742">
        <v>933</v>
      </c>
      <c r="G10" s="742">
        <v>1367</v>
      </c>
      <c r="H10" s="8" t="s">
        <v>76</v>
      </c>
      <c r="AI10" s="1" t="s">
        <v>122</v>
      </c>
      <c r="AO10" s="108"/>
    </row>
    <row r="11" spans="1:41" ht="24" customHeight="1" x14ac:dyDescent="0.55000000000000004">
      <c r="A11" s="211" t="s">
        <v>185</v>
      </c>
      <c r="B11" s="741">
        <v>16561</v>
      </c>
      <c r="C11" s="198">
        <v>0</v>
      </c>
      <c r="D11" s="198">
        <v>0</v>
      </c>
      <c r="E11" s="743">
        <v>4147</v>
      </c>
      <c r="F11" s="743">
        <v>4656</v>
      </c>
      <c r="G11" s="743">
        <v>7758</v>
      </c>
      <c r="H11" s="10" t="s">
        <v>186</v>
      </c>
      <c r="AH11" s="735" t="s">
        <v>236</v>
      </c>
      <c r="AI11" s="736" t="s">
        <v>127</v>
      </c>
      <c r="AJ11" s="736" t="s">
        <v>23</v>
      </c>
      <c r="AK11" s="735" t="s">
        <v>24</v>
      </c>
      <c r="AL11" s="735" t="s">
        <v>25</v>
      </c>
      <c r="AM11" s="735" t="s">
        <v>113</v>
      </c>
      <c r="AN11" s="735" t="s">
        <v>2</v>
      </c>
    </row>
    <row r="12" spans="1:41" s="108" customFormat="1" ht="18" x14ac:dyDescent="0.45">
      <c r="A12" s="195" t="s">
        <v>79</v>
      </c>
      <c r="B12" s="196"/>
      <c r="C12" s="196"/>
      <c r="D12" s="196"/>
      <c r="F12" s="196"/>
      <c r="H12" s="197" t="s">
        <v>121</v>
      </c>
      <c r="AH12" s="1" t="s">
        <v>114</v>
      </c>
      <c r="AI12" s="1">
        <f>0</f>
        <v>0</v>
      </c>
      <c r="AJ12" s="1">
        <v>0</v>
      </c>
      <c r="AK12" s="69">
        <f>'18.4'!P19</f>
        <v>3902</v>
      </c>
      <c r="AL12" s="69">
        <f>'18.4'!Q19</f>
        <v>4530</v>
      </c>
      <c r="AM12" s="69">
        <f>'18.4'!R19</f>
        <v>7659</v>
      </c>
      <c r="AN12" s="1">
        <f>SUM(AI12:AM12)</f>
        <v>16091</v>
      </c>
      <c r="AO12" s="1"/>
    </row>
    <row r="13" spans="1:41" x14ac:dyDescent="0.25">
      <c r="AH13" s="1" t="s">
        <v>126</v>
      </c>
      <c r="AI13" s="16">
        <v>2441</v>
      </c>
      <c r="AJ13" s="16">
        <v>1593</v>
      </c>
      <c r="AK13" s="16">
        <v>930</v>
      </c>
      <c r="AL13" s="16">
        <v>933</v>
      </c>
      <c r="AM13" s="16">
        <v>1367</v>
      </c>
      <c r="AN13" s="1">
        <f>SUM(AI13:AM13)</f>
        <v>7264</v>
      </c>
    </row>
    <row r="14" spans="1:41" x14ac:dyDescent="0.25">
      <c r="AH14" s="1" t="s">
        <v>125</v>
      </c>
      <c r="AI14" s="1">
        <v>11</v>
      </c>
      <c r="AJ14" s="162">
        <v>7</v>
      </c>
      <c r="AK14" s="162">
        <v>708</v>
      </c>
      <c r="AL14" s="162">
        <v>169</v>
      </c>
      <c r="AM14" s="162" t="s">
        <v>199</v>
      </c>
      <c r="AN14" s="1">
        <f>SUM(AI14:AM14)</f>
        <v>895</v>
      </c>
    </row>
    <row r="15" spans="1:41" x14ac:dyDescent="0.25">
      <c r="AH15" s="119" t="s">
        <v>185</v>
      </c>
      <c r="AK15" s="16">
        <v>4147</v>
      </c>
      <c r="AL15" s="16">
        <v>4656</v>
      </c>
      <c r="AM15" s="16">
        <v>7758</v>
      </c>
      <c r="AN15" s="1">
        <f>SUM(AI15:AM15)</f>
        <v>16561</v>
      </c>
    </row>
    <row r="16" spans="1:41" ht="21.75" x14ac:dyDescent="0.55000000000000004">
      <c r="A16" s="854"/>
      <c r="B16" s="854"/>
      <c r="C16" s="854"/>
      <c r="D16" s="854"/>
      <c r="E16" s="854"/>
      <c r="F16" s="854"/>
      <c r="G16" s="854"/>
      <c r="H16" s="854"/>
    </row>
    <row r="17" spans="1:8" ht="19.5" customHeight="1" x14ac:dyDescent="0.25">
      <c r="A17" s="831"/>
      <c r="B17" s="831"/>
      <c r="C17" s="831"/>
      <c r="D17" s="831"/>
      <c r="E17" s="831"/>
      <c r="F17" s="831"/>
      <c r="G17" s="831"/>
      <c r="H17" s="831"/>
    </row>
    <row r="18" spans="1:8" x14ac:dyDescent="0.25">
      <c r="A18" s="2"/>
      <c r="B18" s="2"/>
      <c r="C18" s="2"/>
      <c r="D18" s="2"/>
      <c r="E18" s="2"/>
      <c r="F18" s="2"/>
      <c r="G18" s="2"/>
      <c r="H18" s="2"/>
    </row>
    <row r="19" spans="1:8" ht="24" customHeight="1" x14ac:dyDescent="0.25">
      <c r="A19" s="803"/>
      <c r="B19" s="814"/>
      <c r="C19" s="814"/>
      <c r="D19" s="814"/>
      <c r="E19" s="814"/>
      <c r="F19" s="814"/>
      <c r="G19" s="814"/>
      <c r="H19" s="800"/>
    </row>
    <row r="20" spans="1:8" ht="21" customHeight="1" x14ac:dyDescent="0.25">
      <c r="A20" s="803"/>
      <c r="B20" s="734"/>
      <c r="C20" s="18"/>
      <c r="D20" s="18"/>
      <c r="E20" s="18"/>
      <c r="F20" s="18"/>
      <c r="G20" s="18"/>
      <c r="H20" s="800"/>
    </row>
    <row r="21" spans="1:8" ht="21" customHeight="1" x14ac:dyDescent="0.25">
      <c r="A21" s="717"/>
      <c r="B21" s="213"/>
      <c r="C21" s="213"/>
      <c r="D21" s="213"/>
      <c r="E21" s="213"/>
      <c r="F21" s="213"/>
      <c r="G21" s="213"/>
      <c r="H21" s="715"/>
    </row>
    <row r="22" spans="1:8" ht="24" customHeight="1" x14ac:dyDescent="0.55000000000000004">
      <c r="A22" s="210"/>
      <c r="B22" s="208"/>
      <c r="C22" s="739"/>
      <c r="D22" s="739"/>
      <c r="E22" s="207"/>
      <c r="F22" s="207"/>
      <c r="G22" s="207"/>
      <c r="H22" s="8"/>
    </row>
    <row r="23" spans="1:8" ht="24" customHeight="1" x14ac:dyDescent="0.55000000000000004">
      <c r="A23" s="210"/>
      <c r="B23" s="208"/>
      <c r="C23" s="739"/>
      <c r="D23" s="739"/>
      <c r="E23" s="207"/>
      <c r="F23" s="207"/>
      <c r="G23" s="739"/>
      <c r="H23" s="8"/>
    </row>
    <row r="24" spans="1:8" ht="24" customHeight="1" x14ac:dyDescent="0.55000000000000004">
      <c r="A24" s="210"/>
      <c r="B24" s="208"/>
      <c r="C24" s="207"/>
      <c r="D24" s="207"/>
      <c r="E24" s="207"/>
      <c r="F24" s="207"/>
      <c r="G24" s="207"/>
      <c r="H24" s="8"/>
    </row>
    <row r="25" spans="1:8" ht="24" customHeight="1" x14ac:dyDescent="0.55000000000000004">
      <c r="A25" s="210"/>
      <c r="B25" s="208"/>
      <c r="C25" s="739"/>
      <c r="D25" s="739"/>
      <c r="E25" s="207"/>
      <c r="F25" s="207"/>
      <c r="G25" s="207"/>
      <c r="H25" s="8"/>
    </row>
    <row r="26" spans="1:8" s="108" customFormat="1" ht="17.25" x14ac:dyDescent="0.45">
      <c r="A26" s="195"/>
      <c r="B26" s="196"/>
      <c r="C26" s="196"/>
      <c r="D26" s="196"/>
      <c r="E26" s="196"/>
      <c r="F26" s="196"/>
      <c r="G26" s="196"/>
      <c r="H26" s="197"/>
    </row>
    <row r="31" spans="1:8" x14ac:dyDescent="0.25">
      <c r="D31" s="227"/>
      <c r="E31" s="227"/>
      <c r="F31" s="227"/>
      <c r="G31" s="227"/>
      <c r="H31" s="227"/>
    </row>
    <row r="32" spans="1:8" x14ac:dyDescent="0.25">
      <c r="D32" s="227"/>
      <c r="E32" s="227"/>
      <c r="F32" s="227"/>
      <c r="G32" s="227"/>
      <c r="H32" s="227"/>
    </row>
    <row r="33" spans="4:8" x14ac:dyDescent="0.25">
      <c r="D33" s="227"/>
      <c r="E33" s="227"/>
      <c r="F33" s="227"/>
      <c r="G33" s="227"/>
      <c r="H33" s="227"/>
    </row>
    <row r="34" spans="4:8" x14ac:dyDescent="0.25">
      <c r="D34" s="227"/>
      <c r="E34" s="227"/>
      <c r="F34" s="227"/>
      <c r="G34" s="227"/>
      <c r="H34" s="227"/>
    </row>
    <row r="35" spans="4:8" x14ac:dyDescent="0.25">
      <c r="D35" s="227"/>
      <c r="E35" s="227"/>
      <c r="F35" s="227"/>
      <c r="G35" s="227"/>
      <c r="H35" s="227"/>
    </row>
    <row r="36" spans="4:8" x14ac:dyDescent="0.25">
      <c r="D36" s="227"/>
      <c r="E36" s="227"/>
      <c r="F36" s="227"/>
      <c r="G36" s="227"/>
      <c r="H36" s="227"/>
    </row>
  </sheetData>
  <mergeCells count="10">
    <mergeCell ref="A2:H2"/>
    <mergeCell ref="A3:H3"/>
    <mergeCell ref="A5:A6"/>
    <mergeCell ref="B5:G5"/>
    <mergeCell ref="H5:H6"/>
    <mergeCell ref="A19:A20"/>
    <mergeCell ref="B19:G19"/>
    <mergeCell ref="H19:H20"/>
    <mergeCell ref="A17:H17"/>
    <mergeCell ref="A16:H16"/>
  </mergeCells>
  <pageMargins left="0.7" right="0.7" top="0.75" bottom="0.75" header="0.3" footer="0.3"/>
  <pageSetup paperSize="9" scale="94" orientation="landscape"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2:M11"/>
  <sheetViews>
    <sheetView zoomScaleNormal="100" workbookViewId="0">
      <selection activeCell="F8" sqref="F8"/>
    </sheetView>
  </sheetViews>
  <sheetFormatPr defaultColWidth="9.140625" defaultRowHeight="15" x14ac:dyDescent="0.25"/>
  <cols>
    <col min="1" max="1" width="29.28515625" style="1" bestFit="1" customWidth="1"/>
    <col min="2" max="6" width="14.5703125" style="1" customWidth="1"/>
    <col min="7" max="7" width="28.140625" style="1" customWidth="1"/>
    <col min="8" max="8" width="1.5703125" style="1" customWidth="1"/>
    <col min="9" max="9" width="10" style="1" bestFit="1" customWidth="1"/>
    <col min="10" max="16384" width="9.140625" style="1"/>
  </cols>
  <sheetData>
    <row r="2" spans="1:13" ht="21" x14ac:dyDescent="0.55000000000000004">
      <c r="A2" s="819" t="s">
        <v>215</v>
      </c>
      <c r="B2" s="819"/>
      <c r="C2" s="819"/>
      <c r="D2" s="819"/>
      <c r="E2" s="819"/>
      <c r="F2" s="819"/>
      <c r="G2" s="819"/>
      <c r="H2" s="29"/>
      <c r="I2" s="29"/>
      <c r="J2" s="29"/>
      <c r="K2" s="29"/>
      <c r="L2" s="29"/>
      <c r="M2" s="29"/>
    </row>
    <row r="3" spans="1:13" x14ac:dyDescent="0.25">
      <c r="A3" s="820" t="s">
        <v>214</v>
      </c>
      <c r="B3" s="820"/>
      <c r="C3" s="820"/>
      <c r="D3" s="820"/>
      <c r="E3" s="820"/>
      <c r="F3" s="820"/>
      <c r="G3" s="820"/>
      <c r="H3" s="23"/>
      <c r="I3" s="23"/>
      <c r="J3" s="23"/>
      <c r="K3" s="23"/>
      <c r="L3" s="23"/>
      <c r="M3" s="23"/>
    </row>
    <row r="4" spans="1:13" ht="6.75" customHeight="1" x14ac:dyDescent="0.25">
      <c r="A4" s="856"/>
      <c r="B4" s="856"/>
      <c r="C4" s="856"/>
      <c r="D4" s="856"/>
      <c r="E4" s="856"/>
      <c r="F4" s="856"/>
      <c r="G4" s="856"/>
    </row>
    <row r="5" spans="1:13" ht="19.5" customHeight="1" x14ac:dyDescent="0.25">
      <c r="A5" s="102" t="s">
        <v>166</v>
      </c>
      <c r="B5" s="5">
        <v>2011</v>
      </c>
      <c r="C5" s="5">
        <v>2012</v>
      </c>
      <c r="D5" s="5">
        <v>2013</v>
      </c>
      <c r="E5" s="5">
        <v>2014</v>
      </c>
      <c r="F5" s="5">
        <v>2015</v>
      </c>
      <c r="G5" s="245" t="s">
        <v>165</v>
      </c>
    </row>
    <row r="6" spans="1:13" ht="23.25" customHeight="1" x14ac:dyDescent="0.25">
      <c r="A6" s="25" t="s">
        <v>1112</v>
      </c>
      <c r="B6" s="6">
        <v>582613871.09000003</v>
      </c>
      <c r="C6" s="6">
        <v>701620569.65999997</v>
      </c>
      <c r="D6" s="6">
        <v>742874347.92999995</v>
      </c>
      <c r="E6" s="6">
        <v>798040402.63999999</v>
      </c>
      <c r="F6" s="6">
        <v>891863798.66999996</v>
      </c>
      <c r="G6" s="24" t="s">
        <v>182</v>
      </c>
    </row>
    <row r="7" spans="1:13" ht="23.25" customHeight="1" x14ac:dyDescent="0.25">
      <c r="A7" s="31" t="s">
        <v>9</v>
      </c>
      <c r="B7" s="19">
        <v>1399</v>
      </c>
      <c r="C7" s="19">
        <v>1431</v>
      </c>
      <c r="D7" s="19">
        <v>1501</v>
      </c>
      <c r="E7" s="19">
        <v>1543</v>
      </c>
      <c r="F7" s="782">
        <v>1762</v>
      </c>
      <c r="G7" s="24" t="s">
        <v>80</v>
      </c>
    </row>
    <row r="8" spans="1:13" ht="23.25" customHeight="1" x14ac:dyDescent="0.25">
      <c r="A8" s="31" t="s">
        <v>8</v>
      </c>
      <c r="B8" s="19">
        <v>59002</v>
      </c>
      <c r="C8" s="19">
        <v>68805</v>
      </c>
      <c r="D8" s="19">
        <v>69461</v>
      </c>
      <c r="E8" s="19">
        <v>74849</v>
      </c>
      <c r="F8" s="19">
        <v>81922</v>
      </c>
      <c r="G8" s="24" t="s">
        <v>81</v>
      </c>
    </row>
    <row r="9" spans="1:13" s="25" customFormat="1" ht="20.45" customHeight="1" x14ac:dyDescent="0.25">
      <c r="A9" s="135" t="s">
        <v>0</v>
      </c>
      <c r="B9" s="19">
        <v>43447</v>
      </c>
      <c r="C9" s="19">
        <v>48278</v>
      </c>
      <c r="D9" s="19">
        <v>49460</v>
      </c>
      <c r="E9" s="19">
        <v>52562</v>
      </c>
      <c r="F9" s="19">
        <v>56251</v>
      </c>
      <c r="G9" s="137" t="s">
        <v>71</v>
      </c>
    </row>
    <row r="10" spans="1:13" s="25" customFormat="1" ht="20.45" customHeight="1" x14ac:dyDescent="0.25">
      <c r="A10" s="136" t="s">
        <v>1</v>
      </c>
      <c r="B10" s="7">
        <v>15555</v>
      </c>
      <c r="C10" s="7">
        <v>20527</v>
      </c>
      <c r="D10" s="7">
        <v>20001</v>
      </c>
      <c r="E10" s="7">
        <v>22287</v>
      </c>
      <c r="F10" s="7">
        <v>25671</v>
      </c>
      <c r="G10" s="138" t="s">
        <v>72</v>
      </c>
      <c r="L10" s="174"/>
      <c r="M10" s="174"/>
    </row>
    <row r="11" spans="1:13" ht="17.25" customHeight="1" x14ac:dyDescent="0.45">
      <c r="A11" s="107" t="s">
        <v>79</v>
      </c>
      <c r="G11" s="109" t="s">
        <v>121</v>
      </c>
      <c r="L11" s="69"/>
      <c r="M11" s="69"/>
    </row>
  </sheetData>
  <mergeCells count="3">
    <mergeCell ref="A2:G2"/>
    <mergeCell ref="A3:G3"/>
    <mergeCell ref="A4:G4"/>
  </mergeCells>
  <pageMargins left="0.7" right="0.17" top="0.21" bottom="0.33" header="0.3" footer="0.19"/>
  <pageSetup paperSize="9" scale="104" orientation="landscape" r:id="rId1"/>
  <colBreaks count="1" manualBreakCount="1">
    <brk id="8"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13"/>
  <sheetViews>
    <sheetView zoomScaleNormal="100" workbookViewId="0">
      <selection activeCell="G16" sqref="G16"/>
    </sheetView>
  </sheetViews>
  <sheetFormatPr defaultColWidth="9.140625" defaultRowHeight="15" x14ac:dyDescent="0.25"/>
  <cols>
    <col min="1" max="1" width="13.42578125" style="1" customWidth="1"/>
    <col min="2" max="2" width="22.5703125" style="1" customWidth="1"/>
    <col min="3" max="3" width="18.5703125" style="1" customWidth="1"/>
    <col min="4" max="4" width="20" style="1" customWidth="1"/>
    <col min="5" max="5" width="1.42578125" style="1" customWidth="1"/>
    <col min="6" max="6" width="12.85546875" style="1" customWidth="1"/>
    <col min="7" max="7" width="15.7109375" style="1" customWidth="1"/>
    <col min="8" max="8" width="10.7109375" style="1" customWidth="1"/>
    <col min="9" max="9" width="11.140625" style="1" bestFit="1" customWidth="1"/>
    <col min="10" max="16384" width="9.140625" style="1"/>
  </cols>
  <sheetData>
    <row r="1" spans="1:11" ht="21" x14ac:dyDescent="0.55000000000000004">
      <c r="A1" s="797" t="s">
        <v>217</v>
      </c>
      <c r="B1" s="797"/>
      <c r="C1" s="797"/>
      <c r="D1" s="797"/>
      <c r="E1" s="797"/>
      <c r="F1" s="797"/>
      <c r="G1" s="797"/>
      <c r="K1" s="29"/>
    </row>
    <row r="2" spans="1:11" x14ac:dyDescent="0.25">
      <c r="A2" s="820" t="s">
        <v>216</v>
      </c>
      <c r="B2" s="820"/>
      <c r="C2" s="820"/>
      <c r="D2" s="820"/>
      <c r="E2" s="820"/>
      <c r="F2" s="820"/>
      <c r="G2" s="820"/>
    </row>
    <row r="3" spans="1:11" ht="14.45" customHeight="1" x14ac:dyDescent="0.25">
      <c r="A3" s="2"/>
      <c r="B3" s="2"/>
      <c r="C3" s="2"/>
      <c r="D3" s="2"/>
      <c r="E3" s="2"/>
      <c r="F3" s="2"/>
      <c r="G3" s="2"/>
    </row>
    <row r="4" spans="1:11" s="3" customFormat="1" x14ac:dyDescent="0.25">
      <c r="A4" s="821" t="s">
        <v>26</v>
      </c>
      <c r="B4" s="857" t="s">
        <v>27</v>
      </c>
      <c r="C4" s="857" t="s">
        <v>28</v>
      </c>
      <c r="D4" s="857" t="s">
        <v>2</v>
      </c>
      <c r="E4" s="92"/>
      <c r="F4" s="833" t="s">
        <v>97</v>
      </c>
      <c r="G4" s="833"/>
    </row>
    <row r="5" spans="1:11" s="3" customFormat="1" x14ac:dyDescent="0.25">
      <c r="A5" s="830"/>
      <c r="B5" s="858"/>
      <c r="C5" s="858"/>
      <c r="D5" s="858"/>
      <c r="E5" s="93"/>
      <c r="F5" s="246" t="s">
        <v>3</v>
      </c>
      <c r="G5" s="246" t="s">
        <v>4</v>
      </c>
    </row>
    <row r="6" spans="1:11" s="56" customFormat="1" ht="21" customHeight="1" x14ac:dyDescent="0.5">
      <c r="A6" s="52" t="s">
        <v>98</v>
      </c>
      <c r="B6" s="53" t="s">
        <v>172</v>
      </c>
      <c r="C6" s="53" t="s">
        <v>173</v>
      </c>
      <c r="D6" s="53" t="s">
        <v>75</v>
      </c>
      <c r="E6" s="54"/>
      <c r="F6" s="55" t="s">
        <v>101</v>
      </c>
      <c r="G6" s="55" t="s">
        <v>134</v>
      </c>
    </row>
    <row r="7" spans="1:11" ht="31.5" customHeight="1" x14ac:dyDescent="0.25">
      <c r="A7" s="38">
        <v>2010</v>
      </c>
      <c r="B7" s="62">
        <v>144012812.99000001</v>
      </c>
      <c r="C7" s="62">
        <v>4343052.63</v>
      </c>
      <c r="D7" s="103">
        <v>148355865.62</v>
      </c>
      <c r="E7" s="103"/>
      <c r="F7" s="224">
        <f t="shared" ref="F7:F12" si="0">(B7/D7)*100</f>
        <v>97.072544040068948</v>
      </c>
      <c r="G7" s="44" t="s">
        <v>183</v>
      </c>
      <c r="I7" s="69"/>
    </row>
    <row r="8" spans="1:11" ht="31.5" customHeight="1" x14ac:dyDescent="0.25">
      <c r="A8" s="38">
        <v>2011</v>
      </c>
      <c r="B8" s="62">
        <v>326364381.68000001</v>
      </c>
      <c r="C8" s="62">
        <v>256249489.41</v>
      </c>
      <c r="D8" s="103">
        <v>582613871.09000003</v>
      </c>
      <c r="E8" s="103"/>
      <c r="F8" s="124">
        <f t="shared" si="0"/>
        <v>56.017269391374377</v>
      </c>
      <c r="G8" s="44">
        <f>((B8-B7)/B8)*100</f>
        <v>55.873612111506567</v>
      </c>
      <c r="I8" s="69"/>
    </row>
    <row r="9" spans="1:11" ht="31.5" customHeight="1" x14ac:dyDescent="0.25">
      <c r="A9" s="247">
        <v>2012</v>
      </c>
      <c r="B9" s="103">
        <v>302095970.83999997</v>
      </c>
      <c r="C9" s="103">
        <v>399524598.81999999</v>
      </c>
      <c r="D9" s="103">
        <v>701620569.65999997</v>
      </c>
      <c r="E9" s="103"/>
      <c r="F9" s="124">
        <f t="shared" si="0"/>
        <v>43.056886286329004</v>
      </c>
      <c r="G9" s="123">
        <f>((B9-B8)/B9)*100</f>
        <v>-8.0333447587930227</v>
      </c>
      <c r="H9" s="2"/>
      <c r="I9" s="69"/>
    </row>
    <row r="10" spans="1:11" s="2" customFormat="1" ht="31.5" customHeight="1" x14ac:dyDescent="0.25">
      <c r="A10" s="247">
        <v>2013</v>
      </c>
      <c r="B10" s="103">
        <v>328802942.31999999</v>
      </c>
      <c r="C10" s="103">
        <v>414071405.61000001</v>
      </c>
      <c r="D10" s="103">
        <v>742874347.92999995</v>
      </c>
      <c r="E10" s="103"/>
      <c r="F10" s="124">
        <f t="shared" si="0"/>
        <v>44.260909430538398</v>
      </c>
      <c r="G10" s="123">
        <f>((B10-B9)/B10)*100</f>
        <v>8.1224855506335665</v>
      </c>
      <c r="I10" s="169"/>
    </row>
    <row r="11" spans="1:11" ht="31.5" customHeight="1" x14ac:dyDescent="0.25">
      <c r="A11" s="247">
        <v>2014</v>
      </c>
      <c r="B11" s="103">
        <v>343675121.81999999</v>
      </c>
      <c r="C11" s="103">
        <v>454365280.81999999</v>
      </c>
      <c r="D11" s="103">
        <v>798040402.63999999</v>
      </c>
      <c r="E11" s="103"/>
      <c r="F11" s="124">
        <f t="shared" si="0"/>
        <v>43.064877502829084</v>
      </c>
      <c r="G11" s="123">
        <f>((B11-B10)/B11)*100</f>
        <v>4.327394843490973</v>
      </c>
      <c r="I11" s="69"/>
    </row>
    <row r="12" spans="1:11" ht="31.5" customHeight="1" x14ac:dyDescent="0.25">
      <c r="A12" s="248">
        <v>2015</v>
      </c>
      <c r="B12" s="198">
        <v>387387234.02999997</v>
      </c>
      <c r="C12" s="198">
        <v>504476564.63999999</v>
      </c>
      <c r="D12" s="198">
        <f>SUM(B12:C12)</f>
        <v>891863798.66999996</v>
      </c>
      <c r="E12" s="198"/>
      <c r="F12" s="199">
        <f t="shared" si="0"/>
        <v>43.4356943972493</v>
      </c>
      <c r="G12" s="200">
        <f>((B12-B11)/B12)*100</f>
        <v>11.283828781671941</v>
      </c>
      <c r="I12" s="69"/>
    </row>
    <row r="13" spans="1:11" ht="17.45" customHeight="1" x14ac:dyDescent="0.45">
      <c r="A13" s="107" t="s">
        <v>79</v>
      </c>
      <c r="G13" s="109" t="s">
        <v>121</v>
      </c>
    </row>
  </sheetData>
  <mergeCells count="7">
    <mergeCell ref="A1:G1"/>
    <mergeCell ref="A2:G2"/>
    <mergeCell ref="B4:B5"/>
    <mergeCell ref="C4:C5"/>
    <mergeCell ref="D4:D5"/>
    <mergeCell ref="F4:G4"/>
    <mergeCell ref="A4:A5"/>
  </mergeCells>
  <pageMargins left="0.7" right="0.7" top="0.75" bottom="0.75" header="0.3" footer="0.3"/>
  <pageSetup paperSize="9" scale="90" orientation="landscape" r:id="rId1"/>
  <ignoredErrors>
    <ignoredError sqref="D12"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R25"/>
  <sheetViews>
    <sheetView workbookViewId="0">
      <selection activeCell="N21" sqref="N21"/>
    </sheetView>
  </sheetViews>
  <sheetFormatPr defaultColWidth="9.140625" defaultRowHeight="15" x14ac:dyDescent="0.25"/>
  <cols>
    <col min="1" max="1" width="12" style="1" customWidth="1"/>
    <col min="2" max="10" width="12.5703125" style="1" customWidth="1"/>
    <col min="11" max="11" width="7.7109375" style="1" hidden="1" customWidth="1"/>
    <col min="12" max="13" width="9.140625" style="1" hidden="1" customWidth="1"/>
    <col min="14" max="14" width="1.28515625" style="1" customWidth="1"/>
    <col min="15" max="16384" width="9.140625" style="1"/>
  </cols>
  <sheetData>
    <row r="1" spans="1:37" ht="21" x14ac:dyDescent="0.55000000000000004">
      <c r="A1" s="819" t="s">
        <v>218</v>
      </c>
      <c r="B1" s="819"/>
      <c r="C1" s="819"/>
      <c r="D1" s="819"/>
      <c r="E1" s="819"/>
      <c r="F1" s="819"/>
      <c r="G1" s="819"/>
      <c r="H1" s="819"/>
      <c r="I1" s="819"/>
      <c r="J1" s="819"/>
      <c r="M1" s="29"/>
    </row>
    <row r="2" spans="1:37" x14ac:dyDescent="0.25">
      <c r="A2" s="820" t="s">
        <v>219</v>
      </c>
      <c r="B2" s="820"/>
      <c r="C2" s="820"/>
      <c r="D2" s="820"/>
      <c r="E2" s="820"/>
      <c r="F2" s="820"/>
      <c r="G2" s="820"/>
      <c r="H2" s="820"/>
      <c r="I2" s="820"/>
      <c r="J2" s="820"/>
    </row>
    <row r="3" spans="1:37" x14ac:dyDescent="0.25">
      <c r="A3" s="2"/>
      <c r="B3" s="2"/>
      <c r="C3" s="2"/>
      <c r="D3" s="2"/>
      <c r="E3" s="2"/>
      <c r="F3" s="2"/>
      <c r="G3" s="2"/>
      <c r="H3" s="2"/>
      <c r="I3" s="2"/>
      <c r="J3" s="2"/>
    </row>
    <row r="4" spans="1:37" x14ac:dyDescent="0.25">
      <c r="A4" s="821" t="s">
        <v>26</v>
      </c>
      <c r="B4" s="760"/>
      <c r="C4" s="102" t="s">
        <v>27</v>
      </c>
      <c r="D4" s="772"/>
      <c r="E4" s="860" t="s">
        <v>29</v>
      </c>
      <c r="F4" s="844"/>
      <c r="G4" s="861"/>
      <c r="H4" s="761"/>
      <c r="I4" s="773" t="s">
        <v>2</v>
      </c>
      <c r="J4" s="773"/>
    </row>
    <row r="5" spans="1:37" x14ac:dyDescent="0.25">
      <c r="A5" s="814"/>
      <c r="B5" s="45" t="s">
        <v>200</v>
      </c>
      <c r="C5" s="45" t="s">
        <v>0</v>
      </c>
      <c r="D5" s="779" t="s">
        <v>1</v>
      </c>
      <c r="E5" s="45" t="s">
        <v>200</v>
      </c>
      <c r="F5" s="45" t="s">
        <v>0</v>
      </c>
      <c r="G5" s="779" t="s">
        <v>1</v>
      </c>
      <c r="H5" s="45" t="s">
        <v>200</v>
      </c>
      <c r="I5" s="45" t="s">
        <v>0</v>
      </c>
      <c r="J5" s="45" t="s">
        <v>1</v>
      </c>
    </row>
    <row r="6" spans="1:37" ht="21" x14ac:dyDescent="0.55000000000000004">
      <c r="A6" s="822"/>
      <c r="B6" s="759" t="s">
        <v>75</v>
      </c>
      <c r="C6" s="759" t="s">
        <v>71</v>
      </c>
      <c r="D6" s="778" t="s">
        <v>1113</v>
      </c>
      <c r="E6" s="759" t="s">
        <v>75</v>
      </c>
      <c r="F6" s="759" t="s">
        <v>71</v>
      </c>
      <c r="G6" s="778" t="s">
        <v>1113</v>
      </c>
      <c r="H6" s="759" t="s">
        <v>75</v>
      </c>
      <c r="I6" s="759" t="s">
        <v>71</v>
      </c>
      <c r="J6" s="780" t="s">
        <v>1113</v>
      </c>
    </row>
    <row r="7" spans="1:37" ht="26.25" customHeight="1" x14ac:dyDescent="0.25">
      <c r="A7" s="38">
        <v>2010</v>
      </c>
      <c r="B7" s="774">
        <f>SUM(C7:D7)</f>
        <v>30269</v>
      </c>
      <c r="C7" s="13">
        <v>19298</v>
      </c>
      <c r="D7" s="41">
        <v>10971</v>
      </c>
      <c r="E7" s="776">
        <f>SUM(F7:G7)</f>
        <v>252</v>
      </c>
      <c r="F7" s="13">
        <v>119</v>
      </c>
      <c r="G7" s="41">
        <v>133</v>
      </c>
      <c r="H7" s="776">
        <f>B7+E7</f>
        <v>30521</v>
      </c>
      <c r="I7" s="13">
        <f>C7+F7</f>
        <v>19417</v>
      </c>
      <c r="J7" s="777">
        <f>D7+G7</f>
        <v>11104</v>
      </c>
    </row>
    <row r="8" spans="1:37" ht="26.25" customHeight="1" x14ac:dyDescent="0.25">
      <c r="A8" s="38">
        <v>2011</v>
      </c>
      <c r="B8" s="774">
        <f t="shared" ref="B8:B12" si="0">SUM(C8:D8)</f>
        <v>21053</v>
      </c>
      <c r="C8" s="13">
        <v>13667</v>
      </c>
      <c r="D8" s="41">
        <v>7386</v>
      </c>
      <c r="E8" s="42">
        <f t="shared" ref="E8:E12" si="1">SUM(F8:G8)</f>
        <v>37950</v>
      </c>
      <c r="F8" s="13">
        <v>29781</v>
      </c>
      <c r="G8" s="41">
        <v>8169</v>
      </c>
      <c r="H8" s="42">
        <f t="shared" ref="H8:H12" si="2">B8+E8</f>
        <v>59003</v>
      </c>
      <c r="I8" s="13">
        <f t="shared" ref="I8:J12" si="3">C8+F8</f>
        <v>43448</v>
      </c>
      <c r="J8" s="13">
        <f t="shared" si="3"/>
        <v>15555</v>
      </c>
    </row>
    <row r="9" spans="1:37" s="2" customFormat="1" ht="26.25" customHeight="1" x14ac:dyDescent="0.25">
      <c r="A9" s="247">
        <v>2012</v>
      </c>
      <c r="B9" s="774">
        <f t="shared" si="0"/>
        <v>31653</v>
      </c>
      <c r="C9" s="13">
        <v>18242</v>
      </c>
      <c r="D9" s="41">
        <v>13411</v>
      </c>
      <c r="E9" s="42">
        <f t="shared" si="1"/>
        <v>37152</v>
      </c>
      <c r="F9" s="13">
        <v>30036</v>
      </c>
      <c r="G9" s="41">
        <v>7116</v>
      </c>
      <c r="H9" s="42">
        <f t="shared" si="2"/>
        <v>68805</v>
      </c>
      <c r="I9" s="13">
        <f t="shared" si="3"/>
        <v>48278</v>
      </c>
      <c r="J9" s="13">
        <f t="shared" si="3"/>
        <v>20527</v>
      </c>
    </row>
    <row r="10" spans="1:37" ht="26.25" customHeight="1" x14ac:dyDescent="0.25">
      <c r="A10" s="247">
        <v>2013</v>
      </c>
      <c r="B10" s="774">
        <f t="shared" si="0"/>
        <v>30162</v>
      </c>
      <c r="C10" s="13">
        <v>17816</v>
      </c>
      <c r="D10" s="41">
        <v>12346</v>
      </c>
      <c r="E10" s="42">
        <f t="shared" si="1"/>
        <v>39299</v>
      </c>
      <c r="F10" s="13">
        <v>31644</v>
      </c>
      <c r="G10" s="41">
        <v>7655</v>
      </c>
      <c r="H10" s="42">
        <f t="shared" si="2"/>
        <v>69461</v>
      </c>
      <c r="I10" s="13">
        <f t="shared" si="3"/>
        <v>49460</v>
      </c>
      <c r="J10" s="13">
        <f t="shared" si="3"/>
        <v>20001</v>
      </c>
    </row>
    <row r="11" spans="1:37" ht="26.25" customHeight="1" x14ac:dyDescent="0.25">
      <c r="A11" s="247">
        <v>2014</v>
      </c>
      <c r="B11" s="774">
        <f t="shared" si="0"/>
        <v>32279</v>
      </c>
      <c r="C11" s="13">
        <v>18475</v>
      </c>
      <c r="D11" s="41">
        <v>13804</v>
      </c>
      <c r="E11" s="42">
        <f t="shared" si="1"/>
        <v>42570</v>
      </c>
      <c r="F11" s="13">
        <v>34087</v>
      </c>
      <c r="G11" s="41">
        <v>8483</v>
      </c>
      <c r="H11" s="42">
        <f t="shared" si="2"/>
        <v>74849</v>
      </c>
      <c r="I11" s="13">
        <f t="shared" si="3"/>
        <v>52562</v>
      </c>
      <c r="J11" s="13">
        <f t="shared" si="3"/>
        <v>22287</v>
      </c>
      <c r="AF11" s="1">
        <v>18475</v>
      </c>
      <c r="AG11" s="1">
        <v>13804</v>
      </c>
      <c r="AH11" s="1">
        <v>34087</v>
      </c>
      <c r="AI11" s="1">
        <v>8483</v>
      </c>
      <c r="AJ11" s="1">
        <v>52562</v>
      </c>
      <c r="AK11" s="1">
        <v>22287</v>
      </c>
    </row>
    <row r="12" spans="1:37" ht="26.25" customHeight="1" x14ac:dyDescent="0.25">
      <c r="A12" s="248">
        <v>2015</v>
      </c>
      <c r="B12" s="775">
        <f t="shared" si="0"/>
        <v>35813</v>
      </c>
      <c r="C12" s="9">
        <v>19810</v>
      </c>
      <c r="D12" s="262">
        <v>16003</v>
      </c>
      <c r="E12" s="263">
        <f t="shared" si="1"/>
        <v>46109</v>
      </c>
      <c r="F12" s="9">
        <v>36441</v>
      </c>
      <c r="G12" s="262">
        <v>9668</v>
      </c>
      <c r="H12" s="263">
        <f t="shared" si="2"/>
        <v>81922</v>
      </c>
      <c r="I12" s="9">
        <f t="shared" si="3"/>
        <v>56251</v>
      </c>
      <c r="J12" s="9">
        <f t="shared" si="3"/>
        <v>25671</v>
      </c>
    </row>
    <row r="13" spans="1:37" ht="17.45" customHeight="1" x14ac:dyDescent="0.45">
      <c r="A13" s="201" t="s">
        <v>192</v>
      </c>
      <c r="B13" s="201"/>
      <c r="C13" s="103"/>
      <c r="D13" s="103"/>
      <c r="E13" s="103"/>
      <c r="F13" s="103"/>
      <c r="G13" s="103"/>
      <c r="H13" s="103"/>
      <c r="I13" s="123"/>
      <c r="J13" s="109" t="s">
        <v>193</v>
      </c>
      <c r="L13" s="69"/>
    </row>
    <row r="14" spans="1:37" ht="18" x14ac:dyDescent="0.45">
      <c r="A14" s="107" t="s">
        <v>79</v>
      </c>
      <c r="B14" s="107"/>
      <c r="J14" s="109" t="s">
        <v>121</v>
      </c>
    </row>
    <row r="15" spans="1:37" x14ac:dyDescent="0.25">
      <c r="D15" s="139"/>
      <c r="E15" s="139"/>
      <c r="G15" s="139"/>
      <c r="H15" s="139"/>
      <c r="J15" s="139"/>
    </row>
    <row r="16" spans="1:37" x14ac:dyDescent="0.25">
      <c r="D16" s="67"/>
      <c r="E16" s="67"/>
      <c r="G16" s="67"/>
      <c r="H16" s="67"/>
      <c r="J16" s="67"/>
      <c r="AG16" s="1">
        <v>2014</v>
      </c>
    </row>
    <row r="17" spans="33:44" x14ac:dyDescent="0.25">
      <c r="AG17" s="833" t="s">
        <v>27</v>
      </c>
      <c r="AH17" s="859"/>
      <c r="AI17" s="860" t="s">
        <v>29</v>
      </c>
      <c r="AJ17" s="861"/>
      <c r="AK17" s="844" t="s">
        <v>2</v>
      </c>
      <c r="AL17" s="844"/>
    </row>
    <row r="18" spans="33:44" x14ac:dyDescent="0.25">
      <c r="AG18" s="45" t="s">
        <v>99</v>
      </c>
      <c r="AH18" s="46" t="s">
        <v>100</v>
      </c>
      <c r="AI18" s="45" t="s">
        <v>99</v>
      </c>
      <c r="AJ18" s="46" t="s">
        <v>100</v>
      </c>
      <c r="AK18" s="45" t="s">
        <v>99</v>
      </c>
      <c r="AL18" s="57" t="s">
        <v>100</v>
      </c>
      <c r="AQ18" s="1" t="s">
        <v>0</v>
      </c>
      <c r="AR18" s="1" t="s">
        <v>1</v>
      </c>
    </row>
    <row r="19" spans="33:44" x14ac:dyDescent="0.25">
      <c r="AG19" s="1">
        <v>19810</v>
      </c>
      <c r="AH19" s="1">
        <v>16003</v>
      </c>
      <c r="AI19" s="1">
        <v>36441</v>
      </c>
      <c r="AJ19" s="1">
        <v>9668</v>
      </c>
      <c r="AK19" s="1">
        <v>56251</v>
      </c>
      <c r="AL19" s="1">
        <v>25671</v>
      </c>
      <c r="AQ19" s="68">
        <f>AK19/AL20*100</f>
        <v>68.664095114865361</v>
      </c>
      <c r="AR19" s="68">
        <f>AL19/AL20*100</f>
        <v>31.335904885134642</v>
      </c>
    </row>
    <row r="20" spans="33:44" x14ac:dyDescent="0.25">
      <c r="AG20" s="1" t="s">
        <v>130</v>
      </c>
      <c r="AH20" s="139">
        <f>SUM(AG19:AH19)</f>
        <v>35813</v>
      </c>
      <c r="AJ20" s="139">
        <f>SUM(AI19:AJ19)</f>
        <v>46109</v>
      </c>
      <c r="AL20" s="139">
        <f>SUM(AK19:AL19)</f>
        <v>81922</v>
      </c>
    </row>
    <row r="21" spans="33:44" x14ac:dyDescent="0.25">
      <c r="AG21" s="1" t="s">
        <v>131</v>
      </c>
      <c r="AH21" s="70">
        <f>AH19/AH20*100</f>
        <v>44.684890961382742</v>
      </c>
      <c r="AI21" s="70"/>
      <c r="AJ21" s="70">
        <f>AJ19/AJ20*100</f>
        <v>20.967706955258191</v>
      </c>
      <c r="AK21" s="70"/>
      <c r="AL21" s="70">
        <f>AL19/AL20*100</f>
        <v>31.335904885134642</v>
      </c>
    </row>
    <row r="22" spans="33:44" x14ac:dyDescent="0.25">
      <c r="AH22" s="1" t="s">
        <v>135</v>
      </c>
    </row>
    <row r="23" spans="33:44" x14ac:dyDescent="0.25">
      <c r="AG23" s="1" t="s">
        <v>27</v>
      </c>
      <c r="AH23" s="67">
        <f>AH21</f>
        <v>44.684890961382742</v>
      </c>
    </row>
    <row r="24" spans="33:44" x14ac:dyDescent="0.25">
      <c r="AG24" s="1" t="s">
        <v>29</v>
      </c>
      <c r="AH24" s="67">
        <f>AJ21</f>
        <v>20.967706955258191</v>
      </c>
    </row>
    <row r="25" spans="33:44" x14ac:dyDescent="0.25">
      <c r="AG25" s="1" t="s">
        <v>2</v>
      </c>
      <c r="AH25" s="70">
        <f>AL21</f>
        <v>31.335904885134642</v>
      </c>
    </row>
  </sheetData>
  <mergeCells count="7">
    <mergeCell ref="A1:J1"/>
    <mergeCell ref="AG17:AH17"/>
    <mergeCell ref="AI17:AJ17"/>
    <mergeCell ref="AK17:AL17"/>
    <mergeCell ref="A2:J2"/>
    <mergeCell ref="A4:A6"/>
    <mergeCell ref="E4:G4"/>
  </mergeCells>
  <pageMargins left="0.17" right="0.17" top="0.5" bottom="0.28000000000000003" header="0.39" footer="0.17"/>
  <pageSetup paperSize="9" scale="105" orientation="landscape" r:id="rId1"/>
  <rowBreaks count="1" manualBreakCount="1">
    <brk id="29" max="30"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H226"/>
  <sheetViews>
    <sheetView view="pageBreakPreview" zoomScale="85" zoomScaleNormal="100" zoomScaleSheetLayoutView="85" workbookViewId="0">
      <selection activeCell="O71" sqref="O71"/>
    </sheetView>
  </sheetViews>
  <sheetFormatPr defaultColWidth="9.140625" defaultRowHeight="15" x14ac:dyDescent="0.25"/>
  <cols>
    <col min="1" max="1" width="42.5703125" style="1" customWidth="1"/>
    <col min="2" max="2" width="9.140625" style="1" customWidth="1"/>
    <col min="3" max="3" width="9.85546875" style="1" customWidth="1"/>
    <col min="4" max="4" width="11.5703125" style="1" customWidth="1"/>
    <col min="5" max="5" width="11.140625" style="1" customWidth="1"/>
    <col min="6" max="8" width="10.140625" style="1" customWidth="1"/>
    <col min="9" max="9" width="45.5703125" style="1" customWidth="1"/>
    <col min="10" max="24" width="9.140625" style="1"/>
    <col min="25" max="25" width="46" style="1" customWidth="1"/>
    <col min="26" max="16384" width="9.140625" style="1"/>
  </cols>
  <sheetData>
    <row r="1" spans="1:12" s="25" customFormat="1" ht="17.25" customHeight="1" x14ac:dyDescent="0.25">
      <c r="A1" s="819" t="s">
        <v>221</v>
      </c>
      <c r="B1" s="819"/>
      <c r="C1" s="819"/>
      <c r="D1" s="819"/>
      <c r="E1" s="819"/>
      <c r="F1" s="819"/>
      <c r="G1" s="819"/>
      <c r="H1" s="819"/>
      <c r="I1" s="819"/>
    </row>
    <row r="2" spans="1:12" ht="17.25" customHeight="1" x14ac:dyDescent="0.25">
      <c r="A2" s="820" t="s">
        <v>220</v>
      </c>
      <c r="B2" s="820"/>
      <c r="C2" s="820"/>
      <c r="D2" s="820"/>
      <c r="E2" s="820"/>
      <c r="F2" s="820"/>
      <c r="G2" s="820"/>
      <c r="H2" s="820"/>
      <c r="I2" s="820"/>
    </row>
    <row r="3" spans="1:12" ht="13.5" customHeight="1" x14ac:dyDescent="0.25">
      <c r="A3" s="2"/>
      <c r="B3" s="2"/>
      <c r="C3" s="2"/>
      <c r="D3" s="2"/>
      <c r="E3" s="2"/>
      <c r="F3" s="2"/>
      <c r="G3" s="2"/>
    </row>
    <row r="4" spans="1:12" s="261" customFormat="1" ht="13.5" customHeight="1" x14ac:dyDescent="0.25">
      <c r="A4" s="802" t="s">
        <v>30</v>
      </c>
      <c r="B4" s="862" t="s">
        <v>184</v>
      </c>
      <c r="C4" s="863"/>
      <c r="D4" s="863"/>
      <c r="E4" s="863"/>
      <c r="F4" s="863"/>
      <c r="G4" s="864"/>
      <c r="H4" s="857" t="s">
        <v>3</v>
      </c>
      <c r="I4" s="799" t="s">
        <v>176</v>
      </c>
    </row>
    <row r="5" spans="1:12" s="261" customFormat="1" ht="15" customHeight="1" x14ac:dyDescent="0.25">
      <c r="A5" s="803"/>
      <c r="B5" s="81" t="s">
        <v>32</v>
      </c>
      <c r="C5" s="81" t="s">
        <v>35</v>
      </c>
      <c r="D5" s="81" t="s">
        <v>36</v>
      </c>
      <c r="E5" s="81" t="s">
        <v>37</v>
      </c>
      <c r="F5" s="82" t="s">
        <v>38</v>
      </c>
      <c r="G5" s="81" t="s">
        <v>2</v>
      </c>
      <c r="H5" s="865"/>
      <c r="I5" s="801"/>
    </row>
    <row r="6" spans="1:12" s="3" customFormat="1" ht="21" x14ac:dyDescent="0.55000000000000004">
      <c r="A6" s="260" t="s">
        <v>2</v>
      </c>
      <c r="B6" s="80">
        <f t="shared" ref="B6:G6" si="0">SUM(B7:B30)</f>
        <v>515</v>
      </c>
      <c r="C6" s="80">
        <f t="shared" si="0"/>
        <v>455</v>
      </c>
      <c r="D6" s="80">
        <f t="shared" si="0"/>
        <v>127</v>
      </c>
      <c r="E6" s="80">
        <f t="shared" si="0"/>
        <v>112</v>
      </c>
      <c r="F6" s="48">
        <f t="shared" si="0"/>
        <v>41</v>
      </c>
      <c r="G6" s="781">
        <f t="shared" si="0"/>
        <v>1250</v>
      </c>
      <c r="H6" s="140">
        <f>G6/G6*100</f>
        <v>100</v>
      </c>
      <c r="I6" s="20" t="s">
        <v>75</v>
      </c>
    </row>
    <row r="7" spans="1:12" ht="21" x14ac:dyDescent="0.55000000000000004">
      <c r="A7" s="100" t="s">
        <v>39</v>
      </c>
      <c r="B7" s="47">
        <v>6</v>
      </c>
      <c r="C7" s="47">
        <v>2</v>
      </c>
      <c r="D7" s="47">
        <v>1</v>
      </c>
      <c r="E7" s="47">
        <v>0</v>
      </c>
      <c r="F7" s="47">
        <v>0</v>
      </c>
      <c r="G7" s="47">
        <f t="shared" ref="G7:G20" si="1">B7+C7+D7+E7+F7</f>
        <v>9</v>
      </c>
      <c r="H7" s="110">
        <f>G7/$G$6*100</f>
        <v>0.72</v>
      </c>
      <c r="I7" s="8" t="s">
        <v>138</v>
      </c>
    </row>
    <row r="8" spans="1:12" ht="21" x14ac:dyDescent="0.55000000000000004">
      <c r="A8" s="100" t="s">
        <v>40</v>
      </c>
      <c r="B8" s="47">
        <v>6</v>
      </c>
      <c r="C8" s="47">
        <v>2</v>
      </c>
      <c r="D8" s="47">
        <v>1</v>
      </c>
      <c r="E8" s="47">
        <v>3</v>
      </c>
      <c r="F8" s="47">
        <v>1</v>
      </c>
      <c r="G8" s="47">
        <f t="shared" si="1"/>
        <v>13</v>
      </c>
      <c r="H8" s="110">
        <f>G8/$G$6*100</f>
        <v>1.04</v>
      </c>
      <c r="I8" s="8" t="s">
        <v>139</v>
      </c>
      <c r="L8" s="228"/>
    </row>
    <row r="9" spans="1:12" ht="21" x14ac:dyDescent="0.55000000000000004">
      <c r="A9" s="100" t="s">
        <v>43</v>
      </c>
      <c r="B9" s="47">
        <v>1</v>
      </c>
      <c r="C9" s="47">
        <v>1</v>
      </c>
      <c r="D9" s="47">
        <v>0</v>
      </c>
      <c r="E9" s="47">
        <v>0</v>
      </c>
      <c r="F9" s="47">
        <v>0</v>
      </c>
      <c r="G9" s="47">
        <f t="shared" si="1"/>
        <v>2</v>
      </c>
      <c r="H9" s="110">
        <f t="shared" ref="H9:H20" si="2">G9/$G$6*100</f>
        <v>0.16</v>
      </c>
      <c r="I9" s="8" t="s">
        <v>155</v>
      </c>
    </row>
    <row r="10" spans="1:12" ht="21" x14ac:dyDescent="0.55000000000000004">
      <c r="A10" s="100" t="s">
        <v>44</v>
      </c>
      <c r="B10" s="47">
        <v>3</v>
      </c>
      <c r="C10" s="47">
        <v>0</v>
      </c>
      <c r="D10" s="47">
        <v>0</v>
      </c>
      <c r="E10" s="47">
        <v>0</v>
      </c>
      <c r="F10" s="47">
        <v>0</v>
      </c>
      <c r="G10" s="47">
        <f t="shared" si="1"/>
        <v>3</v>
      </c>
      <c r="H10" s="110">
        <f t="shared" si="2"/>
        <v>0.24</v>
      </c>
      <c r="I10" s="8" t="s">
        <v>156</v>
      </c>
    </row>
    <row r="11" spans="1:12" ht="21" x14ac:dyDescent="0.55000000000000004">
      <c r="A11" s="100" t="s">
        <v>41</v>
      </c>
      <c r="B11" s="47">
        <v>42</v>
      </c>
      <c r="C11" s="47">
        <v>21</v>
      </c>
      <c r="D11" s="47">
        <v>3</v>
      </c>
      <c r="E11" s="47">
        <v>4</v>
      </c>
      <c r="F11" s="47">
        <v>1</v>
      </c>
      <c r="G11" s="47">
        <f t="shared" si="1"/>
        <v>71</v>
      </c>
      <c r="H11" s="110">
        <f t="shared" si="2"/>
        <v>5.6800000000000006</v>
      </c>
      <c r="I11" s="8" t="s">
        <v>140</v>
      </c>
    </row>
    <row r="12" spans="1:12" ht="21" x14ac:dyDescent="0.55000000000000004">
      <c r="A12" s="100" t="s">
        <v>42</v>
      </c>
      <c r="B12" s="47">
        <v>4</v>
      </c>
      <c r="C12" s="47">
        <v>1</v>
      </c>
      <c r="D12" s="47">
        <v>0</v>
      </c>
      <c r="E12" s="47">
        <v>1</v>
      </c>
      <c r="F12" s="47">
        <v>0</v>
      </c>
      <c r="G12" s="47">
        <f t="shared" si="1"/>
        <v>6</v>
      </c>
      <c r="H12" s="110">
        <f t="shared" si="2"/>
        <v>0.48</v>
      </c>
      <c r="I12" s="8" t="s">
        <v>141</v>
      </c>
    </row>
    <row r="13" spans="1:12" s="106" customFormat="1" ht="44.25" customHeight="1" x14ac:dyDescent="0.25">
      <c r="A13" s="72" t="s">
        <v>45</v>
      </c>
      <c r="B13" s="104">
        <v>35</v>
      </c>
      <c r="C13" s="104">
        <v>23</v>
      </c>
      <c r="D13" s="104">
        <v>3</v>
      </c>
      <c r="E13" s="104">
        <v>5</v>
      </c>
      <c r="F13" s="104">
        <v>3</v>
      </c>
      <c r="G13" s="104">
        <f t="shared" si="1"/>
        <v>69</v>
      </c>
      <c r="H13" s="110">
        <f t="shared" si="2"/>
        <v>5.52</v>
      </c>
      <c r="I13" s="105" t="s">
        <v>167</v>
      </c>
    </row>
    <row r="14" spans="1:12" ht="21" x14ac:dyDescent="0.55000000000000004">
      <c r="A14" s="100" t="s">
        <v>46</v>
      </c>
      <c r="B14" s="47">
        <v>4</v>
      </c>
      <c r="C14" s="47">
        <v>1</v>
      </c>
      <c r="D14" s="47">
        <v>1</v>
      </c>
      <c r="E14" s="47">
        <v>1</v>
      </c>
      <c r="F14" s="47">
        <v>1</v>
      </c>
      <c r="G14" s="47">
        <f t="shared" si="1"/>
        <v>8</v>
      </c>
      <c r="H14" s="110">
        <f t="shared" si="2"/>
        <v>0.64</v>
      </c>
      <c r="I14" s="8" t="s">
        <v>142</v>
      </c>
    </row>
    <row r="15" spans="1:12" ht="21" x14ac:dyDescent="0.55000000000000004">
      <c r="A15" s="100" t="s">
        <v>47</v>
      </c>
      <c r="B15" s="47">
        <v>2</v>
      </c>
      <c r="C15" s="47">
        <v>2</v>
      </c>
      <c r="D15" s="47">
        <v>0</v>
      </c>
      <c r="E15" s="47">
        <v>0</v>
      </c>
      <c r="F15" s="47">
        <v>0</v>
      </c>
      <c r="G15" s="47">
        <f t="shared" si="1"/>
        <v>4</v>
      </c>
      <c r="H15" s="110">
        <f t="shared" si="2"/>
        <v>0.32</v>
      </c>
      <c r="I15" s="8" t="s">
        <v>153</v>
      </c>
    </row>
    <row r="16" spans="1:12" ht="21" x14ac:dyDescent="0.55000000000000004">
      <c r="A16" s="100" t="s">
        <v>68</v>
      </c>
      <c r="B16" s="47">
        <v>13</v>
      </c>
      <c r="C16" s="47">
        <v>232</v>
      </c>
      <c r="D16" s="47">
        <v>65</v>
      </c>
      <c r="E16" s="47">
        <v>48</v>
      </c>
      <c r="F16" s="47">
        <v>16</v>
      </c>
      <c r="G16" s="47">
        <f t="shared" si="1"/>
        <v>374</v>
      </c>
      <c r="H16" s="110">
        <f t="shared" si="2"/>
        <v>29.92</v>
      </c>
      <c r="I16" s="8" t="s">
        <v>152</v>
      </c>
    </row>
    <row r="17" spans="1:9" ht="21" x14ac:dyDescent="0.55000000000000004">
      <c r="A17" s="100" t="s">
        <v>48</v>
      </c>
      <c r="B17" s="47">
        <v>15</v>
      </c>
      <c r="C17" s="47">
        <v>10</v>
      </c>
      <c r="D17" s="47">
        <v>2</v>
      </c>
      <c r="E17" s="47">
        <v>1</v>
      </c>
      <c r="F17" s="47">
        <v>0</v>
      </c>
      <c r="G17" s="47">
        <f t="shared" si="1"/>
        <v>28</v>
      </c>
      <c r="H17" s="110">
        <f t="shared" si="2"/>
        <v>2.2399999999999998</v>
      </c>
      <c r="I17" s="8" t="s">
        <v>143</v>
      </c>
    </row>
    <row r="18" spans="1:9" ht="21" x14ac:dyDescent="0.55000000000000004">
      <c r="A18" s="100" t="s">
        <v>49</v>
      </c>
      <c r="B18" s="47">
        <v>88</v>
      </c>
      <c r="C18" s="47">
        <v>48</v>
      </c>
      <c r="D18" s="47">
        <v>27</v>
      </c>
      <c r="E18" s="47">
        <v>39</v>
      </c>
      <c r="F18" s="47">
        <v>14</v>
      </c>
      <c r="G18" s="47">
        <f t="shared" si="1"/>
        <v>216</v>
      </c>
      <c r="H18" s="110">
        <f t="shared" si="2"/>
        <v>17.28</v>
      </c>
      <c r="I18" s="8" t="s">
        <v>148</v>
      </c>
    </row>
    <row r="19" spans="1:9" ht="21" x14ac:dyDescent="0.55000000000000004">
      <c r="A19" s="100" t="s">
        <v>50</v>
      </c>
      <c r="B19" s="47">
        <v>0</v>
      </c>
      <c r="C19" s="47">
        <v>1</v>
      </c>
      <c r="D19" s="47">
        <v>0</v>
      </c>
      <c r="E19" s="47">
        <v>0</v>
      </c>
      <c r="F19" s="47">
        <v>0</v>
      </c>
      <c r="G19" s="146">
        <f t="shared" si="1"/>
        <v>1</v>
      </c>
      <c r="H19" s="110">
        <f t="shared" si="2"/>
        <v>0.08</v>
      </c>
      <c r="I19" s="8" t="s">
        <v>168</v>
      </c>
    </row>
    <row r="20" spans="1:9" ht="21" x14ac:dyDescent="0.55000000000000004">
      <c r="A20" s="100" t="s">
        <v>51</v>
      </c>
      <c r="B20" s="47">
        <v>1</v>
      </c>
      <c r="C20" s="47">
        <v>0</v>
      </c>
      <c r="D20" s="47">
        <v>0</v>
      </c>
      <c r="E20" s="47">
        <v>0</v>
      </c>
      <c r="F20" s="47">
        <v>0</v>
      </c>
      <c r="G20" s="146">
        <f t="shared" si="1"/>
        <v>1</v>
      </c>
      <c r="H20" s="110">
        <f t="shared" si="2"/>
        <v>0.08</v>
      </c>
      <c r="I20" s="8" t="s">
        <v>144</v>
      </c>
    </row>
    <row r="21" spans="1:9" ht="21" x14ac:dyDescent="0.55000000000000004">
      <c r="A21" s="100" t="s">
        <v>228</v>
      </c>
      <c r="B21" s="47">
        <v>1</v>
      </c>
      <c r="C21" s="47">
        <v>0</v>
      </c>
      <c r="D21" s="47">
        <v>0</v>
      </c>
      <c r="E21" s="47">
        <v>0</v>
      </c>
      <c r="F21" s="47">
        <v>0</v>
      </c>
      <c r="G21" s="146">
        <f t="shared" ref="G21" si="3">B21+C21+D21+E21+F21</f>
        <v>1</v>
      </c>
      <c r="H21" s="110">
        <f t="shared" ref="H21" si="4">G21/$G$6*100</f>
        <v>0.08</v>
      </c>
      <c r="I21" s="8" t="s">
        <v>237</v>
      </c>
    </row>
    <row r="22" spans="1:9" ht="21" x14ac:dyDescent="0.55000000000000004">
      <c r="A22" s="100" t="s">
        <v>54</v>
      </c>
      <c r="B22" s="47">
        <v>4</v>
      </c>
      <c r="C22" s="47">
        <v>1</v>
      </c>
      <c r="D22" s="47">
        <v>0</v>
      </c>
      <c r="E22" s="47">
        <v>0</v>
      </c>
      <c r="F22" s="47">
        <v>0</v>
      </c>
      <c r="G22" s="146">
        <f t="shared" ref="G22:G31" si="5">B22+C22+D22+E22+F22</f>
        <v>5</v>
      </c>
      <c r="H22" s="110">
        <f t="shared" ref="H22:H31" si="6">G22/$G$6*100</f>
        <v>0.4</v>
      </c>
      <c r="I22" s="8" t="s">
        <v>146</v>
      </c>
    </row>
    <row r="23" spans="1:9" ht="21" x14ac:dyDescent="0.55000000000000004">
      <c r="A23" s="100" t="s">
        <v>55</v>
      </c>
      <c r="B23" s="47">
        <v>9</v>
      </c>
      <c r="C23" s="47">
        <v>3</v>
      </c>
      <c r="D23" s="47">
        <v>0</v>
      </c>
      <c r="E23" s="47">
        <v>0</v>
      </c>
      <c r="F23" s="47">
        <v>0</v>
      </c>
      <c r="G23" s="47">
        <f t="shared" si="5"/>
        <v>12</v>
      </c>
      <c r="H23" s="110">
        <f t="shared" si="6"/>
        <v>0.96</v>
      </c>
      <c r="I23" s="8" t="s">
        <v>147</v>
      </c>
    </row>
    <row r="24" spans="1:9" ht="21" x14ac:dyDescent="0.55000000000000004">
      <c r="A24" s="100" t="s">
        <v>56</v>
      </c>
      <c r="B24" s="47">
        <v>2</v>
      </c>
      <c r="C24" s="47">
        <v>1</v>
      </c>
      <c r="D24" s="47">
        <v>1</v>
      </c>
      <c r="E24" s="47">
        <v>0</v>
      </c>
      <c r="F24" s="47">
        <v>0</v>
      </c>
      <c r="G24" s="47">
        <f t="shared" si="5"/>
        <v>4</v>
      </c>
      <c r="H24" s="110">
        <f t="shared" si="6"/>
        <v>0.32</v>
      </c>
      <c r="I24" s="8" t="s">
        <v>154</v>
      </c>
    </row>
    <row r="25" spans="1:9" ht="21" x14ac:dyDescent="0.55000000000000004">
      <c r="A25" s="100" t="s">
        <v>57</v>
      </c>
      <c r="B25" s="47">
        <v>7</v>
      </c>
      <c r="C25" s="47">
        <v>12</v>
      </c>
      <c r="D25" s="47">
        <v>3</v>
      </c>
      <c r="E25" s="47">
        <v>3</v>
      </c>
      <c r="F25" s="47">
        <v>0</v>
      </c>
      <c r="G25" s="47">
        <f t="shared" si="5"/>
        <v>25</v>
      </c>
      <c r="H25" s="110">
        <f t="shared" si="6"/>
        <v>2</v>
      </c>
      <c r="I25" s="8" t="s">
        <v>149</v>
      </c>
    </row>
    <row r="26" spans="1:9" ht="21" x14ac:dyDescent="0.55000000000000004">
      <c r="A26" s="100" t="s">
        <v>58</v>
      </c>
      <c r="B26" s="47">
        <v>31</v>
      </c>
      <c r="C26" s="47">
        <v>9</v>
      </c>
      <c r="D26" s="47">
        <v>2</v>
      </c>
      <c r="E26" s="47">
        <v>1</v>
      </c>
      <c r="F26" s="47">
        <v>2</v>
      </c>
      <c r="G26" s="47">
        <f t="shared" si="5"/>
        <v>45</v>
      </c>
      <c r="H26" s="110">
        <f t="shared" si="6"/>
        <v>3.5999999999999996</v>
      </c>
      <c r="I26" s="8" t="s">
        <v>157</v>
      </c>
    </row>
    <row r="27" spans="1:9" ht="21" x14ac:dyDescent="0.55000000000000004">
      <c r="A27" s="100" t="s">
        <v>59</v>
      </c>
      <c r="B27" s="47">
        <v>185</v>
      </c>
      <c r="C27" s="47">
        <v>58</v>
      </c>
      <c r="D27" s="47">
        <v>11</v>
      </c>
      <c r="E27" s="47">
        <v>3</v>
      </c>
      <c r="F27" s="47">
        <v>0</v>
      </c>
      <c r="G27" s="47">
        <f t="shared" si="5"/>
        <v>257</v>
      </c>
      <c r="H27" s="110">
        <f t="shared" si="6"/>
        <v>20.560000000000002</v>
      </c>
      <c r="I27" s="8" t="s">
        <v>151</v>
      </c>
    </row>
    <row r="28" spans="1:9" ht="21" x14ac:dyDescent="0.55000000000000004">
      <c r="A28" s="100" t="s">
        <v>60</v>
      </c>
      <c r="B28" s="47">
        <v>7</v>
      </c>
      <c r="C28" s="47">
        <v>8</v>
      </c>
      <c r="D28" s="47">
        <v>3</v>
      </c>
      <c r="E28" s="47">
        <v>1</v>
      </c>
      <c r="F28" s="47">
        <v>2</v>
      </c>
      <c r="G28" s="47">
        <f t="shared" si="5"/>
        <v>21</v>
      </c>
      <c r="H28" s="110">
        <f t="shared" si="6"/>
        <v>1.68</v>
      </c>
      <c r="I28" s="8" t="s">
        <v>169</v>
      </c>
    </row>
    <row r="29" spans="1:9" ht="21" x14ac:dyDescent="0.55000000000000004">
      <c r="A29" s="100" t="s">
        <v>61</v>
      </c>
      <c r="B29" s="47">
        <v>2</v>
      </c>
      <c r="C29" s="47">
        <v>1</v>
      </c>
      <c r="D29" s="47">
        <v>0</v>
      </c>
      <c r="E29" s="47">
        <v>0</v>
      </c>
      <c r="F29" s="47">
        <v>0</v>
      </c>
      <c r="G29" s="47">
        <f t="shared" si="5"/>
        <v>3</v>
      </c>
      <c r="H29" s="110">
        <f t="shared" si="6"/>
        <v>0.24</v>
      </c>
      <c r="I29" s="8" t="s">
        <v>150</v>
      </c>
    </row>
    <row r="30" spans="1:9" ht="21" x14ac:dyDescent="0.55000000000000004">
      <c r="A30" s="100" t="s">
        <v>62</v>
      </c>
      <c r="B30" s="47">
        <v>47</v>
      </c>
      <c r="C30" s="47">
        <v>18</v>
      </c>
      <c r="D30" s="47">
        <v>4</v>
      </c>
      <c r="E30" s="47">
        <v>2</v>
      </c>
      <c r="F30" s="47">
        <v>1</v>
      </c>
      <c r="G30" s="47">
        <f t="shared" si="5"/>
        <v>72</v>
      </c>
      <c r="H30" s="110">
        <f t="shared" si="6"/>
        <v>5.76</v>
      </c>
      <c r="I30" s="8" t="s">
        <v>170</v>
      </c>
    </row>
    <row r="31" spans="1:9" ht="21" x14ac:dyDescent="0.55000000000000004">
      <c r="A31" s="101" t="s">
        <v>52</v>
      </c>
      <c r="B31" s="49">
        <v>7</v>
      </c>
      <c r="C31" s="49">
        <v>4</v>
      </c>
      <c r="D31" s="49">
        <v>0</v>
      </c>
      <c r="E31" s="49">
        <v>0</v>
      </c>
      <c r="F31" s="49">
        <v>0</v>
      </c>
      <c r="G31" s="147">
        <f t="shared" si="5"/>
        <v>11</v>
      </c>
      <c r="H31" s="141">
        <f t="shared" si="6"/>
        <v>0.88</v>
      </c>
      <c r="I31" s="10" t="s">
        <v>109</v>
      </c>
    </row>
    <row r="32" spans="1:9" s="108" customFormat="1" ht="17.25" x14ac:dyDescent="0.45">
      <c r="A32" s="74" t="s">
        <v>79</v>
      </c>
      <c r="C32" s="196"/>
      <c r="D32" s="196"/>
      <c r="E32" s="196"/>
      <c r="I32" s="109" t="s">
        <v>121</v>
      </c>
    </row>
    <row r="33" spans="4:34" s="108" customFormat="1" ht="12" x14ac:dyDescent="0.2">
      <c r="AB33" s="108">
        <v>515</v>
      </c>
      <c r="AC33" s="108">
        <v>455</v>
      </c>
      <c r="AD33" s="108">
        <v>127</v>
      </c>
      <c r="AE33" s="108">
        <v>112</v>
      </c>
      <c r="AF33" s="108">
        <v>41</v>
      </c>
      <c r="AG33" s="108">
        <v>1250</v>
      </c>
      <c r="AH33" s="108">
        <v>100</v>
      </c>
    </row>
    <row r="34" spans="4:34" x14ac:dyDescent="0.25">
      <c r="D34" s="66"/>
      <c r="E34" s="66"/>
      <c r="F34" s="66"/>
    </row>
    <row r="36" spans="4:34" x14ac:dyDescent="0.25">
      <c r="AB36" s="66" t="s">
        <v>32</v>
      </c>
      <c r="AC36" s="66" t="s">
        <v>35</v>
      </c>
      <c r="AD36" s="66" t="s">
        <v>36</v>
      </c>
      <c r="AE36" s="66" t="s">
        <v>37</v>
      </c>
      <c r="AF36" s="66" t="s">
        <v>38</v>
      </c>
      <c r="AG36" s="1" t="s">
        <v>2</v>
      </c>
    </row>
    <row r="37" spans="4:34" x14ac:dyDescent="0.25">
      <c r="AA37" s="1" t="s">
        <v>128</v>
      </c>
      <c r="AB37" s="69">
        <f>B6</f>
        <v>515</v>
      </c>
      <c r="AC37" s="69">
        <f>C6</f>
        <v>455</v>
      </c>
      <c r="AD37" s="69">
        <f>D6</f>
        <v>127</v>
      </c>
      <c r="AE37" s="69">
        <f>E6</f>
        <v>112</v>
      </c>
      <c r="AF37" s="69">
        <f>F6</f>
        <v>41</v>
      </c>
      <c r="AG37" s="69">
        <f>SUM(AB37:AF37)</f>
        <v>1250</v>
      </c>
    </row>
    <row r="199" spans="1:2" x14ac:dyDescent="0.25">
      <c r="A199" s="100" t="s">
        <v>68</v>
      </c>
      <c r="B199" s="47">
        <v>374</v>
      </c>
    </row>
    <row r="200" spans="1:2" x14ac:dyDescent="0.25">
      <c r="A200" s="100" t="s">
        <v>59</v>
      </c>
      <c r="B200" s="47">
        <v>257</v>
      </c>
    </row>
    <row r="201" spans="1:2" x14ac:dyDescent="0.25">
      <c r="A201" s="100" t="s">
        <v>49</v>
      </c>
      <c r="B201" s="47">
        <v>216</v>
      </c>
    </row>
    <row r="202" spans="1:2" x14ac:dyDescent="0.25">
      <c r="A202" s="100" t="s">
        <v>62</v>
      </c>
      <c r="B202" s="47">
        <v>72</v>
      </c>
    </row>
    <row r="203" spans="1:2" x14ac:dyDescent="0.25">
      <c r="A203" s="100" t="s">
        <v>41</v>
      </c>
      <c r="B203" s="47">
        <v>71</v>
      </c>
    </row>
    <row r="204" spans="1:2" ht="30" x14ac:dyDescent="0.25">
      <c r="A204" s="72" t="s">
        <v>45</v>
      </c>
      <c r="B204" s="104">
        <v>69</v>
      </c>
    </row>
    <row r="205" spans="1:2" x14ac:dyDescent="0.25">
      <c r="A205" s="100" t="s">
        <v>58</v>
      </c>
      <c r="B205" s="47">
        <v>45</v>
      </c>
    </row>
    <row r="206" spans="1:2" x14ac:dyDescent="0.25">
      <c r="A206" s="100" t="s">
        <v>48</v>
      </c>
      <c r="B206" s="47">
        <v>28</v>
      </c>
    </row>
    <row r="207" spans="1:2" x14ac:dyDescent="0.25">
      <c r="A207" s="100" t="s">
        <v>57</v>
      </c>
      <c r="B207" s="47">
        <v>25</v>
      </c>
    </row>
    <row r="208" spans="1:2" x14ac:dyDescent="0.25">
      <c r="A208" s="100" t="s">
        <v>60</v>
      </c>
      <c r="B208" s="47">
        <v>21</v>
      </c>
    </row>
    <row r="209" spans="1:4" x14ac:dyDescent="0.25">
      <c r="A209" s="100" t="s">
        <v>40</v>
      </c>
      <c r="B209" s="47">
        <v>13</v>
      </c>
    </row>
    <row r="210" spans="1:4" x14ac:dyDescent="0.25">
      <c r="A210" s="100" t="s">
        <v>55</v>
      </c>
      <c r="B210" s="47">
        <v>12</v>
      </c>
    </row>
    <row r="211" spans="1:4" x14ac:dyDescent="0.25">
      <c r="A211" s="100" t="s">
        <v>39</v>
      </c>
      <c r="B211" s="47">
        <v>9</v>
      </c>
    </row>
    <row r="212" spans="1:4" x14ac:dyDescent="0.25">
      <c r="A212" s="100" t="s">
        <v>46</v>
      </c>
      <c r="B212" s="47">
        <v>8</v>
      </c>
    </row>
    <row r="213" spans="1:4" x14ac:dyDescent="0.25">
      <c r="A213" s="100" t="s">
        <v>52</v>
      </c>
      <c r="B213" s="47">
        <v>41</v>
      </c>
      <c r="C213" s="69"/>
    </row>
    <row r="214" spans="1:4" x14ac:dyDescent="0.25">
      <c r="A214" s="100"/>
      <c r="B214" s="47"/>
      <c r="D214" s="69"/>
    </row>
    <row r="217" spans="1:4" x14ac:dyDescent="0.25">
      <c r="A217" s="100" t="s">
        <v>42</v>
      </c>
      <c r="B217" s="47">
        <v>6</v>
      </c>
    </row>
    <row r="218" spans="1:4" x14ac:dyDescent="0.25">
      <c r="A218" s="100" t="s">
        <v>54</v>
      </c>
      <c r="B218" s="47">
        <v>5</v>
      </c>
    </row>
    <row r="219" spans="1:4" x14ac:dyDescent="0.25">
      <c r="A219" s="100" t="s">
        <v>47</v>
      </c>
      <c r="B219" s="47">
        <v>4</v>
      </c>
    </row>
    <row r="220" spans="1:4" x14ac:dyDescent="0.25">
      <c r="A220" s="100" t="s">
        <v>56</v>
      </c>
      <c r="B220" s="47">
        <v>4</v>
      </c>
    </row>
    <row r="221" spans="1:4" x14ac:dyDescent="0.25">
      <c r="A221" s="100" t="s">
        <v>44</v>
      </c>
      <c r="B221" s="47">
        <v>3</v>
      </c>
    </row>
    <row r="222" spans="1:4" x14ac:dyDescent="0.25">
      <c r="A222" s="100" t="s">
        <v>61</v>
      </c>
      <c r="B222" s="47">
        <v>3</v>
      </c>
    </row>
    <row r="223" spans="1:4" x14ac:dyDescent="0.25">
      <c r="A223" s="100" t="s">
        <v>43</v>
      </c>
      <c r="B223" s="47">
        <v>2</v>
      </c>
    </row>
    <row r="224" spans="1:4" x14ac:dyDescent="0.25">
      <c r="A224" s="100" t="s">
        <v>50</v>
      </c>
      <c r="B224" s="47">
        <v>1</v>
      </c>
    </row>
    <row r="225" spans="1:2" x14ac:dyDescent="0.25">
      <c r="A225" s="100" t="s">
        <v>51</v>
      </c>
      <c r="B225" s="47">
        <v>1</v>
      </c>
    </row>
    <row r="226" spans="1:2" x14ac:dyDescent="0.25">
      <c r="A226" s="100" t="s">
        <v>228</v>
      </c>
      <c r="B226" s="47">
        <v>1</v>
      </c>
    </row>
  </sheetData>
  <sortState ref="A277:B301">
    <sortCondition descending="1" ref="B277:B301"/>
  </sortState>
  <mergeCells count="6">
    <mergeCell ref="A1:I1"/>
    <mergeCell ref="A2:I2"/>
    <mergeCell ref="A4:A5"/>
    <mergeCell ref="B4:G4"/>
    <mergeCell ref="I4:I5"/>
    <mergeCell ref="H4:H5"/>
  </mergeCells>
  <pageMargins left="0.17" right="0.17" top="0.28000000000000003" bottom="0.23" header="0.3" footer="0.17"/>
  <pageSetup paperSize="9" scale="78" orientation="landscape" r:id="rId1"/>
  <rowBreaks count="1" manualBreakCount="1">
    <brk id="32" max="8" man="1"/>
  </rowBreaks>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A91"/>
  <sheetViews>
    <sheetView zoomScaleNormal="100" workbookViewId="0">
      <selection activeCell="G58" sqref="G58"/>
    </sheetView>
  </sheetViews>
  <sheetFormatPr defaultColWidth="9.140625" defaultRowHeight="15" x14ac:dyDescent="0.25"/>
  <cols>
    <col min="1" max="1" width="40.5703125" style="1" customWidth="1"/>
    <col min="2" max="7" width="10.85546875" style="1" customWidth="1"/>
    <col min="8" max="8" width="10.28515625" style="1" customWidth="1"/>
    <col min="9" max="9" width="40.28515625" style="1" customWidth="1"/>
    <col min="10" max="16384" width="9.140625" style="1"/>
  </cols>
  <sheetData>
    <row r="1" spans="1:9" ht="21" x14ac:dyDescent="0.55000000000000004">
      <c r="A1" s="797" t="s">
        <v>222</v>
      </c>
      <c r="B1" s="797"/>
      <c r="C1" s="797"/>
      <c r="D1" s="797"/>
      <c r="E1" s="797"/>
      <c r="F1" s="797"/>
      <c r="G1" s="797"/>
      <c r="H1" s="797"/>
      <c r="I1" s="797"/>
    </row>
    <row r="2" spans="1:9" x14ac:dyDescent="0.25">
      <c r="A2" s="820" t="s">
        <v>223</v>
      </c>
      <c r="B2" s="820"/>
      <c r="C2" s="820"/>
      <c r="D2" s="820"/>
      <c r="E2" s="820"/>
      <c r="F2" s="820"/>
      <c r="G2" s="820"/>
      <c r="H2" s="820"/>
      <c r="I2" s="820"/>
    </row>
    <row r="3" spans="1:9" x14ac:dyDescent="0.25">
      <c r="A3" s="2"/>
      <c r="B3" s="2"/>
      <c r="C3" s="2"/>
      <c r="D3" s="2"/>
      <c r="E3" s="2"/>
      <c r="F3" s="2"/>
      <c r="G3" s="2"/>
    </row>
    <row r="4" spans="1:9" s="718" customFormat="1" ht="15" customHeight="1" x14ac:dyDescent="0.25">
      <c r="A4" s="802" t="s">
        <v>30</v>
      </c>
      <c r="B4" s="805" t="s">
        <v>31</v>
      </c>
      <c r="C4" s="805"/>
      <c r="D4" s="805"/>
      <c r="E4" s="805"/>
      <c r="F4" s="805"/>
      <c r="G4" s="805"/>
      <c r="H4" s="857" t="s">
        <v>3</v>
      </c>
      <c r="I4" s="799" t="s">
        <v>176</v>
      </c>
    </row>
    <row r="5" spans="1:9" s="718" customFormat="1" ht="15" customHeight="1" x14ac:dyDescent="0.25">
      <c r="A5" s="803"/>
      <c r="B5" s="81" t="s">
        <v>32</v>
      </c>
      <c r="C5" s="81" t="s">
        <v>35</v>
      </c>
      <c r="D5" s="81" t="s">
        <v>36</v>
      </c>
      <c r="E5" s="81" t="s">
        <v>37</v>
      </c>
      <c r="F5" s="82" t="s">
        <v>38</v>
      </c>
      <c r="G5" s="82" t="s">
        <v>2</v>
      </c>
      <c r="H5" s="865"/>
      <c r="I5" s="801"/>
    </row>
    <row r="6" spans="1:9" s="3" customFormat="1" ht="21" x14ac:dyDescent="0.55000000000000004">
      <c r="A6" s="716" t="s">
        <v>2</v>
      </c>
      <c r="B6" s="80">
        <f>SUM(B7:B30)</f>
        <v>1952</v>
      </c>
      <c r="C6" s="80">
        <f t="shared" ref="C6:F6" si="0">SUM(C7:C30)</f>
        <v>10448</v>
      </c>
      <c r="D6" s="80">
        <f t="shared" si="0"/>
        <v>8760</v>
      </c>
      <c r="E6" s="80">
        <f t="shared" si="0"/>
        <v>18325</v>
      </c>
      <c r="F6" s="80">
        <f t="shared" si="0"/>
        <v>27782</v>
      </c>
      <c r="G6" s="80">
        <f>SUM(G7:G30)</f>
        <v>67267</v>
      </c>
      <c r="H6" s="205">
        <f>G6/G6*100</f>
        <v>100</v>
      </c>
      <c r="I6" s="20" t="s">
        <v>75</v>
      </c>
    </row>
    <row r="7" spans="1:9" ht="21" x14ac:dyDescent="0.55000000000000004">
      <c r="A7" s="100" t="s">
        <v>39</v>
      </c>
      <c r="B7" s="47">
        <v>30</v>
      </c>
      <c r="C7" s="47">
        <v>41</v>
      </c>
      <c r="D7" s="47">
        <v>88</v>
      </c>
      <c r="E7" s="47">
        <v>0</v>
      </c>
      <c r="F7" s="47">
        <v>0</v>
      </c>
      <c r="G7" s="47">
        <f>SUM(B7:F7)</f>
        <v>159</v>
      </c>
      <c r="H7" s="110">
        <f>G7/$G$6*100</f>
        <v>0.23637147486880641</v>
      </c>
      <c r="I7" s="8" t="s">
        <v>138</v>
      </c>
    </row>
    <row r="8" spans="1:9" ht="21" x14ac:dyDescent="0.55000000000000004">
      <c r="A8" s="100" t="s">
        <v>40</v>
      </c>
      <c r="B8" s="47">
        <v>19</v>
      </c>
      <c r="C8" s="47">
        <v>33</v>
      </c>
      <c r="D8" s="47">
        <v>56</v>
      </c>
      <c r="E8" s="47">
        <v>607</v>
      </c>
      <c r="F8" s="47">
        <v>793</v>
      </c>
      <c r="G8" s="47">
        <f t="shared" ref="G8:G29" si="1">SUM(B8:F8)</f>
        <v>1508</v>
      </c>
      <c r="H8" s="110">
        <f>G8/$G$6*100</f>
        <v>2.2418124786299374</v>
      </c>
      <c r="I8" s="8" t="s">
        <v>139</v>
      </c>
    </row>
    <row r="9" spans="1:9" ht="21" x14ac:dyDescent="0.55000000000000004">
      <c r="A9" s="100" t="s">
        <v>43</v>
      </c>
      <c r="B9" s="47">
        <v>3</v>
      </c>
      <c r="C9" s="47">
        <v>12</v>
      </c>
      <c r="D9" s="47">
        <v>0</v>
      </c>
      <c r="E9" s="47">
        <v>0</v>
      </c>
      <c r="F9" s="47">
        <v>0</v>
      </c>
      <c r="G9" s="47">
        <f t="shared" si="1"/>
        <v>15</v>
      </c>
      <c r="H9" s="110">
        <f>G9/$G$6*100</f>
        <v>2.2299195742340228E-2</v>
      </c>
      <c r="I9" s="8" t="s">
        <v>155</v>
      </c>
    </row>
    <row r="10" spans="1:9" ht="21" x14ac:dyDescent="0.55000000000000004">
      <c r="A10" s="100" t="s">
        <v>44</v>
      </c>
      <c r="B10" s="47">
        <v>5</v>
      </c>
      <c r="C10" s="47">
        <v>0</v>
      </c>
      <c r="D10" s="47">
        <v>0</v>
      </c>
      <c r="E10" s="47">
        <v>0</v>
      </c>
      <c r="F10" s="47">
        <v>0</v>
      </c>
      <c r="G10" s="47">
        <f t="shared" si="1"/>
        <v>5</v>
      </c>
      <c r="H10" s="110">
        <f t="shared" ref="H10:H29" si="2">G10/$G$6*100</f>
        <v>7.433065247446741E-3</v>
      </c>
      <c r="I10" s="8" t="s">
        <v>156</v>
      </c>
    </row>
    <row r="11" spans="1:9" ht="21" x14ac:dyDescent="0.55000000000000004">
      <c r="A11" s="100" t="s">
        <v>41</v>
      </c>
      <c r="B11" s="47">
        <v>158</v>
      </c>
      <c r="C11" s="47">
        <v>364</v>
      </c>
      <c r="D11" s="47">
        <v>171</v>
      </c>
      <c r="E11" s="47">
        <v>635</v>
      </c>
      <c r="F11" s="47">
        <v>433</v>
      </c>
      <c r="G11" s="47">
        <f t="shared" si="1"/>
        <v>1761</v>
      </c>
      <c r="H11" s="110">
        <f t="shared" si="2"/>
        <v>2.6179255801507426</v>
      </c>
      <c r="I11" s="8" t="s">
        <v>140</v>
      </c>
    </row>
    <row r="12" spans="1:9" ht="21" x14ac:dyDescent="0.55000000000000004">
      <c r="A12" s="100" t="s">
        <v>42</v>
      </c>
      <c r="B12" s="47">
        <v>14</v>
      </c>
      <c r="C12" s="47">
        <v>18</v>
      </c>
      <c r="D12" s="47">
        <v>0</v>
      </c>
      <c r="E12" s="47">
        <v>127</v>
      </c>
      <c r="F12" s="47">
        <v>0</v>
      </c>
      <c r="G12" s="47">
        <f t="shared" si="1"/>
        <v>159</v>
      </c>
      <c r="H12" s="110">
        <f t="shared" si="2"/>
        <v>0.23637147486880641</v>
      </c>
      <c r="I12" s="8" t="s">
        <v>141</v>
      </c>
    </row>
    <row r="13" spans="1:9" ht="39.75" customHeight="1" x14ac:dyDescent="0.25">
      <c r="A13" s="72" t="s">
        <v>45</v>
      </c>
      <c r="B13" s="104">
        <v>150</v>
      </c>
      <c r="C13" s="104">
        <v>451</v>
      </c>
      <c r="D13" s="104">
        <v>216</v>
      </c>
      <c r="E13" s="104">
        <v>842</v>
      </c>
      <c r="F13" s="104">
        <v>2136</v>
      </c>
      <c r="G13" s="47">
        <f t="shared" si="1"/>
        <v>3795</v>
      </c>
      <c r="H13" s="110">
        <f t="shared" si="2"/>
        <v>5.6416965228120768</v>
      </c>
      <c r="I13" s="105" t="s">
        <v>167</v>
      </c>
    </row>
    <row r="14" spans="1:9" ht="23.25" customHeight="1" x14ac:dyDescent="0.55000000000000004">
      <c r="A14" s="100" t="s">
        <v>46</v>
      </c>
      <c r="B14" s="47">
        <v>12</v>
      </c>
      <c r="C14" s="47">
        <v>45</v>
      </c>
      <c r="D14" s="47">
        <v>65</v>
      </c>
      <c r="E14" s="47">
        <v>237</v>
      </c>
      <c r="F14" s="47">
        <v>876</v>
      </c>
      <c r="G14" s="47">
        <f t="shared" si="1"/>
        <v>1235</v>
      </c>
      <c r="H14" s="110">
        <f t="shared" si="2"/>
        <v>1.8359671161193452</v>
      </c>
      <c r="I14" s="8" t="s">
        <v>142</v>
      </c>
    </row>
    <row r="15" spans="1:9" ht="21" x14ac:dyDescent="0.55000000000000004">
      <c r="A15" s="100" t="s">
        <v>47</v>
      </c>
      <c r="B15" s="47">
        <v>8</v>
      </c>
      <c r="C15" s="47">
        <v>48</v>
      </c>
      <c r="D15" s="47">
        <v>0</v>
      </c>
      <c r="E15" s="47">
        <v>0</v>
      </c>
      <c r="F15" s="47">
        <v>0</v>
      </c>
      <c r="G15" s="47">
        <f t="shared" si="1"/>
        <v>56</v>
      </c>
      <c r="H15" s="110">
        <f t="shared" si="2"/>
        <v>8.3250330771403508E-2</v>
      </c>
      <c r="I15" s="8" t="s">
        <v>153</v>
      </c>
    </row>
    <row r="16" spans="1:9" ht="21" x14ac:dyDescent="0.55000000000000004">
      <c r="A16" s="100" t="s">
        <v>68</v>
      </c>
      <c r="B16" s="47">
        <v>51</v>
      </c>
      <c r="C16" s="47">
        <v>5776</v>
      </c>
      <c r="D16" s="47">
        <v>4388</v>
      </c>
      <c r="E16" s="47">
        <v>7836</v>
      </c>
      <c r="F16" s="47">
        <v>13438</v>
      </c>
      <c r="G16" s="47">
        <f t="shared" si="1"/>
        <v>31489</v>
      </c>
      <c r="H16" s="110">
        <f t="shared" si="2"/>
        <v>46.811958315370092</v>
      </c>
      <c r="I16" s="8" t="s">
        <v>152</v>
      </c>
    </row>
    <row r="17" spans="1:9" ht="21" x14ac:dyDescent="0.55000000000000004">
      <c r="A17" s="100" t="s">
        <v>48</v>
      </c>
      <c r="B17" s="47">
        <v>55</v>
      </c>
      <c r="C17" s="47">
        <v>195</v>
      </c>
      <c r="D17" s="47">
        <v>110</v>
      </c>
      <c r="E17" s="47">
        <v>222</v>
      </c>
      <c r="F17" s="47">
        <v>0</v>
      </c>
      <c r="G17" s="47">
        <f t="shared" si="1"/>
        <v>582</v>
      </c>
      <c r="H17" s="110">
        <f t="shared" si="2"/>
        <v>0.86520879480280077</v>
      </c>
      <c r="I17" s="8" t="s">
        <v>143</v>
      </c>
    </row>
    <row r="18" spans="1:9" ht="21" x14ac:dyDescent="0.55000000000000004">
      <c r="A18" s="100" t="s">
        <v>49</v>
      </c>
      <c r="B18" s="47">
        <v>381</v>
      </c>
      <c r="C18" s="47">
        <v>959</v>
      </c>
      <c r="D18" s="47">
        <v>1962</v>
      </c>
      <c r="E18" s="47">
        <v>6346</v>
      </c>
      <c r="F18" s="47">
        <v>5440</v>
      </c>
      <c r="G18" s="47">
        <f t="shared" si="1"/>
        <v>15088</v>
      </c>
      <c r="H18" s="110">
        <f t="shared" si="2"/>
        <v>22.430017690695291</v>
      </c>
      <c r="I18" s="8" t="s">
        <v>148</v>
      </c>
    </row>
    <row r="19" spans="1:9" ht="21" x14ac:dyDescent="0.55000000000000004">
      <c r="A19" s="100" t="s">
        <v>50</v>
      </c>
      <c r="B19" s="47">
        <v>0</v>
      </c>
      <c r="C19" s="47">
        <v>29</v>
      </c>
      <c r="D19" s="47">
        <v>0</v>
      </c>
      <c r="E19" s="47">
        <v>0</v>
      </c>
      <c r="F19" s="47">
        <v>0</v>
      </c>
      <c r="G19" s="47">
        <f t="shared" si="1"/>
        <v>29</v>
      </c>
      <c r="H19" s="110">
        <f t="shared" si="2"/>
        <v>4.3111778435191102E-2</v>
      </c>
      <c r="I19" s="8" t="s">
        <v>168</v>
      </c>
    </row>
    <row r="20" spans="1:9" ht="21" x14ac:dyDescent="0.55000000000000004">
      <c r="A20" s="100" t="s">
        <v>51</v>
      </c>
      <c r="B20" s="47">
        <v>6</v>
      </c>
      <c r="C20" s="47">
        <v>0</v>
      </c>
      <c r="D20" s="47">
        <v>0</v>
      </c>
      <c r="E20" s="47">
        <v>0</v>
      </c>
      <c r="F20" s="47">
        <v>0</v>
      </c>
      <c r="G20" s="47">
        <f t="shared" si="1"/>
        <v>6</v>
      </c>
      <c r="H20" s="110">
        <f t="shared" si="2"/>
        <v>8.9196782969360906E-3</v>
      </c>
      <c r="I20" s="8" t="s">
        <v>144</v>
      </c>
    </row>
    <row r="21" spans="1:9" ht="21" x14ac:dyDescent="0.55000000000000004">
      <c r="A21" s="100" t="s">
        <v>54</v>
      </c>
      <c r="B21" s="47">
        <v>11</v>
      </c>
      <c r="C21" s="47">
        <v>24</v>
      </c>
      <c r="D21" s="47">
        <v>0</v>
      </c>
      <c r="E21" s="47">
        <v>0</v>
      </c>
      <c r="F21" s="47">
        <v>0</v>
      </c>
      <c r="G21" s="47">
        <f t="shared" si="1"/>
        <v>35</v>
      </c>
      <c r="H21" s="110">
        <f t="shared" si="2"/>
        <v>5.2031456732127189E-2</v>
      </c>
      <c r="I21" s="8" t="s">
        <v>146</v>
      </c>
    </row>
    <row r="22" spans="1:9" ht="21" x14ac:dyDescent="0.55000000000000004">
      <c r="A22" s="100" t="s">
        <v>55</v>
      </c>
      <c r="B22" s="47">
        <v>42</v>
      </c>
      <c r="C22" s="47">
        <v>43</v>
      </c>
      <c r="D22" s="47">
        <v>0</v>
      </c>
      <c r="E22" s="47">
        <v>0</v>
      </c>
      <c r="F22" s="47">
        <v>0</v>
      </c>
      <c r="G22" s="47">
        <f t="shared" si="1"/>
        <v>85</v>
      </c>
      <c r="H22" s="110">
        <f t="shared" si="2"/>
        <v>0.1263621092065946</v>
      </c>
      <c r="I22" s="8" t="s">
        <v>147</v>
      </c>
    </row>
    <row r="23" spans="1:9" ht="21" x14ac:dyDescent="0.55000000000000004">
      <c r="A23" s="100" t="s">
        <v>56</v>
      </c>
      <c r="B23" s="47">
        <v>4</v>
      </c>
      <c r="C23" s="47">
        <v>27</v>
      </c>
      <c r="D23" s="47">
        <v>51</v>
      </c>
      <c r="E23" s="47">
        <v>0</v>
      </c>
      <c r="F23" s="47">
        <v>0</v>
      </c>
      <c r="G23" s="47">
        <f t="shared" si="1"/>
        <v>82</v>
      </c>
      <c r="H23" s="110">
        <f t="shared" si="2"/>
        <v>0.12190227005812657</v>
      </c>
      <c r="I23" s="8" t="s">
        <v>154</v>
      </c>
    </row>
    <row r="24" spans="1:9" ht="21" x14ac:dyDescent="0.55000000000000004">
      <c r="A24" s="100" t="s">
        <v>57</v>
      </c>
      <c r="B24" s="47">
        <v>33</v>
      </c>
      <c r="C24" s="47">
        <v>367</v>
      </c>
      <c r="D24" s="47">
        <v>199</v>
      </c>
      <c r="E24" s="47">
        <v>363</v>
      </c>
      <c r="F24" s="47">
        <v>0</v>
      </c>
      <c r="G24" s="47">
        <f t="shared" si="1"/>
        <v>962</v>
      </c>
      <c r="H24" s="110">
        <f t="shared" si="2"/>
        <v>1.4301217536087532</v>
      </c>
      <c r="I24" s="8" t="s">
        <v>149</v>
      </c>
    </row>
    <row r="25" spans="1:9" ht="21" x14ac:dyDescent="0.55000000000000004">
      <c r="A25" s="100" t="s">
        <v>58</v>
      </c>
      <c r="B25" s="47">
        <v>104</v>
      </c>
      <c r="C25" s="47">
        <v>175</v>
      </c>
      <c r="D25" s="47">
        <v>159</v>
      </c>
      <c r="E25" s="47">
        <v>188</v>
      </c>
      <c r="F25" s="47">
        <v>1994</v>
      </c>
      <c r="G25" s="47">
        <f t="shared" si="1"/>
        <v>2620</v>
      </c>
      <c r="H25" s="110">
        <f t="shared" si="2"/>
        <v>3.894926189662093</v>
      </c>
      <c r="I25" s="8" t="s">
        <v>157</v>
      </c>
    </row>
    <row r="26" spans="1:9" ht="21" x14ac:dyDescent="0.55000000000000004">
      <c r="A26" s="100" t="s">
        <v>59</v>
      </c>
      <c r="B26" s="47">
        <v>644</v>
      </c>
      <c r="C26" s="47">
        <v>1177</v>
      </c>
      <c r="D26" s="47">
        <v>847</v>
      </c>
      <c r="E26" s="47">
        <v>415</v>
      </c>
      <c r="F26" s="47">
        <v>0</v>
      </c>
      <c r="G26" s="47">
        <f t="shared" si="1"/>
        <v>3083</v>
      </c>
      <c r="H26" s="110">
        <f t="shared" si="2"/>
        <v>4.5832280315756613</v>
      </c>
      <c r="I26" s="8" t="s">
        <v>151</v>
      </c>
    </row>
    <row r="27" spans="1:9" ht="21" x14ac:dyDescent="0.55000000000000004">
      <c r="A27" s="100" t="s">
        <v>60</v>
      </c>
      <c r="B27" s="47">
        <v>32</v>
      </c>
      <c r="C27" s="47">
        <v>186</v>
      </c>
      <c r="D27" s="47">
        <v>208</v>
      </c>
      <c r="E27" s="47">
        <v>100</v>
      </c>
      <c r="F27" s="47">
        <v>927</v>
      </c>
      <c r="G27" s="47">
        <f t="shared" si="1"/>
        <v>1453</v>
      </c>
      <c r="H27" s="110">
        <f t="shared" si="2"/>
        <v>2.1600487609080234</v>
      </c>
      <c r="I27" s="8" t="s">
        <v>169</v>
      </c>
    </row>
    <row r="28" spans="1:9" ht="21" x14ac:dyDescent="0.55000000000000004">
      <c r="A28" s="100" t="s">
        <v>61</v>
      </c>
      <c r="B28" s="47">
        <v>12</v>
      </c>
      <c r="C28" s="47">
        <v>10</v>
      </c>
      <c r="D28" s="47">
        <v>0</v>
      </c>
      <c r="E28" s="47">
        <v>0</v>
      </c>
      <c r="F28" s="47">
        <v>0</v>
      </c>
      <c r="G28" s="47">
        <f t="shared" si="1"/>
        <v>22</v>
      </c>
      <c r="H28" s="110">
        <f t="shared" si="2"/>
        <v>3.2705487088765667E-2</v>
      </c>
      <c r="I28" s="8" t="s">
        <v>150</v>
      </c>
    </row>
    <row r="29" spans="1:9" s="2" customFormat="1" ht="21" x14ac:dyDescent="0.55000000000000004">
      <c r="A29" s="100" t="s">
        <v>62</v>
      </c>
      <c r="B29" s="47">
        <v>149</v>
      </c>
      <c r="C29" s="47">
        <v>408</v>
      </c>
      <c r="D29" s="47">
        <v>240</v>
      </c>
      <c r="E29" s="47">
        <v>407</v>
      </c>
      <c r="F29" s="47">
        <v>1745</v>
      </c>
      <c r="G29" s="47">
        <f t="shared" si="1"/>
        <v>2949</v>
      </c>
      <c r="H29" s="110">
        <f t="shared" si="2"/>
        <v>4.3840218829440882</v>
      </c>
      <c r="I29" s="8" t="s">
        <v>170</v>
      </c>
    </row>
    <row r="30" spans="1:9" ht="21" x14ac:dyDescent="0.55000000000000004">
      <c r="A30" s="101" t="s">
        <v>52</v>
      </c>
      <c r="B30" s="49">
        <v>29</v>
      </c>
      <c r="C30" s="49">
        <v>60</v>
      </c>
      <c r="D30" s="49">
        <v>0</v>
      </c>
      <c r="E30" s="49">
        <v>0</v>
      </c>
      <c r="F30" s="49">
        <v>0</v>
      </c>
      <c r="G30" s="49">
        <f>SUM(B30:F30)</f>
        <v>89</v>
      </c>
      <c r="H30" s="141">
        <f>G30/$G$6*100</f>
        <v>0.13230856140455199</v>
      </c>
      <c r="I30" s="10" t="s">
        <v>109</v>
      </c>
    </row>
    <row r="31" spans="1:9" ht="18.75" x14ac:dyDescent="0.5">
      <c r="A31" s="21" t="s">
        <v>79</v>
      </c>
      <c r="B31" s="2"/>
      <c r="C31" s="2"/>
      <c r="D31" s="2"/>
      <c r="E31" s="2"/>
      <c r="F31" s="2"/>
      <c r="H31" s="22"/>
      <c r="I31" s="109" t="s">
        <v>121</v>
      </c>
    </row>
    <row r="32" spans="1:9" x14ac:dyDescent="0.25">
      <c r="D32" s="66"/>
      <c r="E32" s="66"/>
    </row>
    <row r="38" spans="22:27" x14ac:dyDescent="0.25">
      <c r="V38" s="744"/>
      <c r="W38" s="744"/>
      <c r="X38" s="744"/>
      <c r="Y38" s="744"/>
      <c r="Z38" s="744"/>
    </row>
    <row r="39" spans="22:27" x14ac:dyDescent="0.25">
      <c r="V39" s="62"/>
      <c r="W39" s="62"/>
      <c r="X39" s="62"/>
      <c r="Y39" s="62"/>
      <c r="Z39" s="62"/>
      <c r="AA39" s="69"/>
    </row>
    <row r="60" spans="1:9" ht="21" x14ac:dyDescent="0.55000000000000004">
      <c r="A60" s="797" t="s">
        <v>202</v>
      </c>
      <c r="B60" s="797"/>
      <c r="C60" s="797"/>
      <c r="D60" s="797"/>
      <c r="E60" s="797"/>
      <c r="F60" s="797"/>
      <c r="G60" s="797"/>
      <c r="H60" s="797"/>
      <c r="I60" s="797"/>
    </row>
    <row r="61" spans="1:9" x14ac:dyDescent="0.25">
      <c r="A61" s="820" t="s">
        <v>201</v>
      </c>
      <c r="B61" s="820"/>
      <c r="C61" s="820"/>
      <c r="D61" s="820"/>
      <c r="E61" s="820"/>
      <c r="F61" s="820"/>
      <c r="G61" s="820"/>
      <c r="H61" s="820"/>
      <c r="I61" s="820"/>
    </row>
    <row r="62" spans="1:9" x14ac:dyDescent="0.25">
      <c r="A62" s="2"/>
      <c r="B62" s="2"/>
      <c r="C62" s="2"/>
      <c r="D62" s="2"/>
      <c r="E62" s="2"/>
      <c r="F62" s="2"/>
      <c r="G62" s="2"/>
    </row>
    <row r="63" spans="1:9" s="718" customFormat="1" ht="15" customHeight="1" x14ac:dyDescent="0.25">
      <c r="A63" s="802" t="s">
        <v>30</v>
      </c>
      <c r="B63" s="805" t="s">
        <v>31</v>
      </c>
      <c r="C63" s="805"/>
      <c r="D63" s="805"/>
      <c r="E63" s="805"/>
      <c r="F63" s="805"/>
      <c r="G63" s="805"/>
      <c r="H63" s="857" t="s">
        <v>3</v>
      </c>
      <c r="I63" s="799" t="s">
        <v>176</v>
      </c>
    </row>
    <row r="64" spans="1:9" s="718" customFormat="1" ht="15" customHeight="1" x14ac:dyDescent="0.25">
      <c r="A64" s="803"/>
      <c r="B64" s="81" t="s">
        <v>32</v>
      </c>
      <c r="C64" s="81" t="s">
        <v>35</v>
      </c>
      <c r="D64" s="81" t="s">
        <v>36</v>
      </c>
      <c r="E64" s="81" t="s">
        <v>37</v>
      </c>
      <c r="F64" s="82" t="s">
        <v>38</v>
      </c>
      <c r="G64" s="82" t="s">
        <v>2</v>
      </c>
      <c r="H64" s="865"/>
      <c r="I64" s="801"/>
    </row>
    <row r="65" spans="1:9" s="3" customFormat="1" ht="21" x14ac:dyDescent="0.55000000000000004">
      <c r="A65" s="716" t="s">
        <v>2</v>
      </c>
      <c r="B65" s="80">
        <f>SUM(B66:B90)</f>
        <v>2691</v>
      </c>
      <c r="C65" s="80">
        <f t="shared" ref="C65:G65" si="3">SUM(C66:C90)</f>
        <v>10702</v>
      </c>
      <c r="D65" s="80">
        <f t="shared" si="3"/>
        <v>9224</v>
      </c>
      <c r="E65" s="80">
        <f t="shared" si="3"/>
        <v>23610</v>
      </c>
      <c r="F65" s="80">
        <f t="shared" si="3"/>
        <v>29226</v>
      </c>
      <c r="G65" s="48">
        <f t="shared" si="3"/>
        <v>75453</v>
      </c>
      <c r="H65" s="205">
        <f>G65/G65*100</f>
        <v>100</v>
      </c>
      <c r="I65" s="20" t="s">
        <v>75</v>
      </c>
    </row>
    <row r="66" spans="1:9" ht="21" x14ac:dyDescent="0.55000000000000004">
      <c r="A66" s="100" t="s">
        <v>39</v>
      </c>
      <c r="B66" s="47">
        <v>9</v>
      </c>
      <c r="C66" s="47">
        <v>56</v>
      </c>
      <c r="D66" s="47">
        <v>88</v>
      </c>
      <c r="E66" s="47">
        <v>0</v>
      </c>
      <c r="F66" s="47">
        <v>0</v>
      </c>
      <c r="G66" s="47">
        <f>SUM(B66:F66)</f>
        <v>153</v>
      </c>
      <c r="H66" s="110">
        <f>G66/$G$6*100</f>
        <v>0.22745179657187031</v>
      </c>
      <c r="I66" s="8" t="s">
        <v>138</v>
      </c>
    </row>
    <row r="67" spans="1:9" ht="21" x14ac:dyDescent="0.55000000000000004">
      <c r="A67" s="100" t="s">
        <v>40</v>
      </c>
      <c r="B67" s="47">
        <v>26</v>
      </c>
      <c r="C67" s="47">
        <v>78</v>
      </c>
      <c r="D67" s="47">
        <v>57</v>
      </c>
      <c r="E67" s="47">
        <v>751</v>
      </c>
      <c r="F67" s="47">
        <v>2839</v>
      </c>
      <c r="G67" s="47">
        <f t="shared" ref="G67:G90" si="4">SUM(B67:F67)</f>
        <v>3751</v>
      </c>
      <c r="H67" s="110">
        <f>G67/$G$6*100</f>
        <v>5.5762855486345453</v>
      </c>
      <c r="I67" s="8" t="s">
        <v>139</v>
      </c>
    </row>
    <row r="68" spans="1:9" ht="21" x14ac:dyDescent="0.55000000000000004">
      <c r="A68" s="100" t="s">
        <v>43</v>
      </c>
      <c r="B68" s="47">
        <v>3</v>
      </c>
      <c r="C68" s="47">
        <v>12</v>
      </c>
      <c r="D68" s="47">
        <v>0</v>
      </c>
      <c r="E68" s="47">
        <v>0</v>
      </c>
      <c r="F68" s="47">
        <v>0</v>
      </c>
      <c r="G68" s="47">
        <f t="shared" si="4"/>
        <v>15</v>
      </c>
      <c r="H68" s="110">
        <f>G68/$G$6*100</f>
        <v>2.2299195742340228E-2</v>
      </c>
      <c r="I68" s="8" t="s">
        <v>155</v>
      </c>
    </row>
    <row r="69" spans="1:9" ht="21" x14ac:dyDescent="0.55000000000000004">
      <c r="A69" s="100" t="s">
        <v>44</v>
      </c>
      <c r="B69" s="47">
        <v>12</v>
      </c>
      <c r="C69" s="47">
        <v>0</v>
      </c>
      <c r="D69" s="47">
        <v>0</v>
      </c>
      <c r="E69" s="47">
        <v>0</v>
      </c>
      <c r="F69" s="47">
        <v>0</v>
      </c>
      <c r="G69" s="47">
        <f t="shared" si="4"/>
        <v>12</v>
      </c>
      <c r="H69" s="110">
        <f t="shared" ref="H69:H90" si="5">G69/$G$6*100</f>
        <v>1.7839356593872181E-2</v>
      </c>
      <c r="I69" s="8" t="s">
        <v>156</v>
      </c>
    </row>
    <row r="70" spans="1:9" ht="21" x14ac:dyDescent="0.55000000000000004">
      <c r="A70" s="100" t="s">
        <v>41</v>
      </c>
      <c r="B70" s="47">
        <v>242</v>
      </c>
      <c r="C70" s="47">
        <v>338</v>
      </c>
      <c r="D70" s="47">
        <v>50</v>
      </c>
      <c r="E70" s="47">
        <v>421</v>
      </c>
      <c r="F70" s="47">
        <v>0</v>
      </c>
      <c r="G70" s="47">
        <f t="shared" si="4"/>
        <v>1051</v>
      </c>
      <c r="H70" s="110">
        <f t="shared" si="5"/>
        <v>1.5624303150133052</v>
      </c>
      <c r="I70" s="8" t="s">
        <v>140</v>
      </c>
    </row>
    <row r="71" spans="1:9" ht="21" x14ac:dyDescent="0.55000000000000004">
      <c r="A71" s="100" t="s">
        <v>42</v>
      </c>
      <c r="B71" s="47">
        <v>21</v>
      </c>
      <c r="C71" s="47">
        <v>14</v>
      </c>
      <c r="D71" s="47">
        <v>0</v>
      </c>
      <c r="E71" s="47">
        <v>126</v>
      </c>
      <c r="F71" s="47">
        <v>0</v>
      </c>
      <c r="G71" s="47">
        <f t="shared" si="4"/>
        <v>161</v>
      </c>
      <c r="H71" s="110">
        <f t="shared" si="5"/>
        <v>0.2393447009677851</v>
      </c>
      <c r="I71" s="8" t="s">
        <v>141</v>
      </c>
    </row>
    <row r="72" spans="1:9" ht="39.75" customHeight="1" x14ac:dyDescent="0.25">
      <c r="A72" s="72" t="s">
        <v>45</v>
      </c>
      <c r="B72" s="104">
        <v>143</v>
      </c>
      <c r="C72" s="104">
        <v>558</v>
      </c>
      <c r="D72" s="104">
        <v>256</v>
      </c>
      <c r="E72" s="104">
        <v>784</v>
      </c>
      <c r="F72" s="104">
        <v>2933</v>
      </c>
      <c r="G72" s="47">
        <f t="shared" si="4"/>
        <v>4674</v>
      </c>
      <c r="H72" s="110">
        <f t="shared" si="5"/>
        <v>6.948429393313214</v>
      </c>
      <c r="I72" s="105" t="s">
        <v>167</v>
      </c>
    </row>
    <row r="73" spans="1:9" ht="21" x14ac:dyDescent="0.55000000000000004">
      <c r="A73" s="100" t="s">
        <v>46</v>
      </c>
      <c r="B73" s="47">
        <v>17</v>
      </c>
      <c r="C73" s="47">
        <v>16</v>
      </c>
      <c r="D73" s="47">
        <v>153</v>
      </c>
      <c r="E73" s="47">
        <v>244</v>
      </c>
      <c r="F73" s="47">
        <v>378</v>
      </c>
      <c r="G73" s="47">
        <f t="shared" si="4"/>
        <v>808</v>
      </c>
      <c r="H73" s="110">
        <f t="shared" si="5"/>
        <v>1.2011833439873936</v>
      </c>
      <c r="I73" s="8" t="s">
        <v>142</v>
      </c>
    </row>
    <row r="74" spans="1:9" ht="21" x14ac:dyDescent="0.55000000000000004">
      <c r="A74" s="100" t="s">
        <v>47</v>
      </c>
      <c r="B74" s="47">
        <v>7</v>
      </c>
      <c r="C74" s="47">
        <v>73</v>
      </c>
      <c r="D74" s="47">
        <v>0</v>
      </c>
      <c r="E74" s="47">
        <v>0</v>
      </c>
      <c r="F74" s="47">
        <v>0</v>
      </c>
      <c r="G74" s="47">
        <f t="shared" si="4"/>
        <v>80</v>
      </c>
      <c r="H74" s="110">
        <f t="shared" si="5"/>
        <v>0.11892904395914786</v>
      </c>
      <c r="I74" s="8" t="s">
        <v>153</v>
      </c>
    </row>
    <row r="75" spans="1:9" ht="21" x14ac:dyDescent="0.55000000000000004">
      <c r="A75" s="100" t="s">
        <v>68</v>
      </c>
      <c r="B75" s="47">
        <v>85</v>
      </c>
      <c r="C75" s="47">
        <v>5630</v>
      </c>
      <c r="D75" s="47">
        <v>4295</v>
      </c>
      <c r="E75" s="47">
        <v>11418</v>
      </c>
      <c r="F75" s="47">
        <v>11194</v>
      </c>
      <c r="G75" s="47">
        <f t="shared" si="4"/>
        <v>32622</v>
      </c>
      <c r="H75" s="110">
        <f t="shared" si="5"/>
        <v>48.496290900441522</v>
      </c>
      <c r="I75" s="8" t="s">
        <v>152</v>
      </c>
    </row>
    <row r="76" spans="1:9" ht="21" x14ac:dyDescent="0.55000000000000004">
      <c r="A76" s="100" t="s">
        <v>48</v>
      </c>
      <c r="B76" s="47">
        <v>79</v>
      </c>
      <c r="C76" s="47">
        <v>237</v>
      </c>
      <c r="D76" s="47">
        <v>0</v>
      </c>
      <c r="E76" s="47">
        <v>222</v>
      </c>
      <c r="F76" s="47">
        <v>0</v>
      </c>
      <c r="G76" s="47">
        <f t="shared" si="4"/>
        <v>538</v>
      </c>
      <c r="H76" s="110">
        <f t="shared" si="5"/>
        <v>0.7997978206252695</v>
      </c>
      <c r="I76" s="8" t="s">
        <v>143</v>
      </c>
    </row>
    <row r="77" spans="1:9" ht="21" x14ac:dyDescent="0.55000000000000004">
      <c r="A77" s="100" t="s">
        <v>49</v>
      </c>
      <c r="B77" s="47">
        <v>543</v>
      </c>
      <c r="C77" s="47">
        <v>1078</v>
      </c>
      <c r="D77" s="47">
        <v>2415</v>
      </c>
      <c r="E77" s="47">
        <v>7877</v>
      </c>
      <c r="F77" s="47">
        <v>5552</v>
      </c>
      <c r="G77" s="47">
        <f t="shared" si="4"/>
        <v>17465</v>
      </c>
      <c r="H77" s="110">
        <f t="shared" si="5"/>
        <v>25.963696909331468</v>
      </c>
      <c r="I77" s="8" t="s">
        <v>148</v>
      </c>
    </row>
    <row r="78" spans="1:9" ht="21" x14ac:dyDescent="0.55000000000000004">
      <c r="A78" s="100" t="s">
        <v>50</v>
      </c>
      <c r="B78" s="47">
        <v>9</v>
      </c>
      <c r="C78" s="47">
        <v>31</v>
      </c>
      <c r="D78" s="47">
        <v>0</v>
      </c>
      <c r="E78" s="47">
        <v>0</v>
      </c>
      <c r="F78" s="47">
        <v>0</v>
      </c>
      <c r="G78" s="47">
        <f t="shared" si="4"/>
        <v>40</v>
      </c>
      <c r="H78" s="110">
        <f t="shared" si="5"/>
        <v>5.9464521979573928E-2</v>
      </c>
      <c r="I78" s="8" t="s">
        <v>168</v>
      </c>
    </row>
    <row r="79" spans="1:9" ht="21" x14ac:dyDescent="0.55000000000000004">
      <c r="A79" s="100" t="s">
        <v>51</v>
      </c>
      <c r="B79" s="47">
        <v>8</v>
      </c>
      <c r="C79" s="47">
        <v>11</v>
      </c>
      <c r="D79" s="47">
        <v>0</v>
      </c>
      <c r="E79" s="47">
        <v>0</v>
      </c>
      <c r="F79" s="47">
        <v>424</v>
      </c>
      <c r="G79" s="47">
        <f t="shared" si="4"/>
        <v>443</v>
      </c>
      <c r="H79" s="110">
        <f t="shared" si="5"/>
        <v>0.65856958092378137</v>
      </c>
      <c r="I79" s="8" t="s">
        <v>144</v>
      </c>
    </row>
    <row r="80" spans="1:9" ht="21" x14ac:dyDescent="0.55000000000000004">
      <c r="A80" s="100" t="s">
        <v>52</v>
      </c>
      <c r="B80" s="47">
        <v>305</v>
      </c>
      <c r="C80" s="47">
        <v>251</v>
      </c>
      <c r="D80" s="47">
        <v>74</v>
      </c>
      <c r="E80" s="47">
        <v>142</v>
      </c>
      <c r="F80" s="47">
        <v>1990</v>
      </c>
      <c r="G80" s="47">
        <f t="shared" si="4"/>
        <v>2762</v>
      </c>
      <c r="H80" s="110">
        <f t="shared" si="5"/>
        <v>4.1060252426895802</v>
      </c>
      <c r="I80" s="8" t="s">
        <v>109</v>
      </c>
    </row>
    <row r="81" spans="1:9" ht="21" x14ac:dyDescent="0.55000000000000004">
      <c r="A81" s="100" t="s">
        <v>53</v>
      </c>
      <c r="B81" s="47">
        <v>1</v>
      </c>
      <c r="C81" s="47">
        <v>0</v>
      </c>
      <c r="D81" s="47">
        <v>0</v>
      </c>
      <c r="E81" s="47">
        <v>0</v>
      </c>
      <c r="F81" s="47">
        <v>0</v>
      </c>
      <c r="G81" s="47">
        <f t="shared" si="4"/>
        <v>1</v>
      </c>
      <c r="H81" s="110">
        <f t="shared" si="5"/>
        <v>1.4866130494893483E-3</v>
      </c>
      <c r="I81" s="8" t="s">
        <v>145</v>
      </c>
    </row>
    <row r="82" spans="1:9" ht="21" x14ac:dyDescent="0.55000000000000004">
      <c r="A82" s="100" t="s">
        <v>54</v>
      </c>
      <c r="B82" s="47">
        <v>14</v>
      </c>
      <c r="C82" s="47">
        <v>25</v>
      </c>
      <c r="D82" s="47">
        <v>0</v>
      </c>
      <c r="E82" s="47">
        <v>0</v>
      </c>
      <c r="F82" s="47">
        <v>0</v>
      </c>
      <c r="G82" s="47">
        <f t="shared" si="4"/>
        <v>39</v>
      </c>
      <c r="H82" s="110">
        <f t="shared" si="5"/>
        <v>5.7977908930084587E-2</v>
      </c>
      <c r="I82" s="8" t="s">
        <v>146</v>
      </c>
    </row>
    <row r="83" spans="1:9" ht="21" x14ac:dyDescent="0.55000000000000004">
      <c r="A83" s="100" t="s">
        <v>55</v>
      </c>
      <c r="B83" s="47">
        <v>43</v>
      </c>
      <c r="C83" s="47">
        <v>75</v>
      </c>
      <c r="D83" s="47">
        <v>0</v>
      </c>
      <c r="E83" s="47">
        <v>0</v>
      </c>
      <c r="F83" s="47">
        <v>0</v>
      </c>
      <c r="G83" s="47">
        <f t="shared" si="4"/>
        <v>118</v>
      </c>
      <c r="H83" s="110">
        <f t="shared" si="5"/>
        <v>0.17542033983974312</v>
      </c>
      <c r="I83" s="8" t="s">
        <v>147</v>
      </c>
    </row>
    <row r="84" spans="1:9" ht="21" x14ac:dyDescent="0.55000000000000004">
      <c r="A84" s="100" t="s">
        <v>56</v>
      </c>
      <c r="B84" s="47">
        <v>0</v>
      </c>
      <c r="C84" s="47">
        <v>68</v>
      </c>
      <c r="D84" s="47">
        <v>0</v>
      </c>
      <c r="E84" s="47">
        <v>0</v>
      </c>
      <c r="F84" s="47">
        <v>0</v>
      </c>
      <c r="G84" s="47">
        <f t="shared" si="4"/>
        <v>68</v>
      </c>
      <c r="H84" s="110">
        <f t="shared" si="5"/>
        <v>0.1010896873652757</v>
      </c>
      <c r="I84" s="8" t="s">
        <v>154</v>
      </c>
    </row>
    <row r="85" spans="1:9" ht="21" x14ac:dyDescent="0.55000000000000004">
      <c r="A85" s="100" t="s">
        <v>57</v>
      </c>
      <c r="B85" s="47">
        <v>61</v>
      </c>
      <c r="C85" s="47">
        <v>235</v>
      </c>
      <c r="D85" s="47">
        <v>318</v>
      </c>
      <c r="E85" s="47">
        <v>273</v>
      </c>
      <c r="F85" s="47">
        <v>0</v>
      </c>
      <c r="G85" s="47">
        <f t="shared" si="4"/>
        <v>887</v>
      </c>
      <c r="H85" s="110">
        <f t="shared" si="5"/>
        <v>1.318625774897052</v>
      </c>
      <c r="I85" s="8" t="s">
        <v>149</v>
      </c>
    </row>
    <row r="86" spans="1:9" ht="21" x14ac:dyDescent="0.55000000000000004">
      <c r="A86" s="100" t="s">
        <v>58</v>
      </c>
      <c r="B86" s="47">
        <v>99</v>
      </c>
      <c r="C86" s="47">
        <v>189</v>
      </c>
      <c r="D86" s="47">
        <v>73</v>
      </c>
      <c r="E86" s="47">
        <v>277</v>
      </c>
      <c r="F86" s="47">
        <v>1594</v>
      </c>
      <c r="G86" s="47">
        <f t="shared" si="4"/>
        <v>2232</v>
      </c>
      <c r="H86" s="110">
        <f t="shared" si="5"/>
        <v>3.3181203264602255</v>
      </c>
      <c r="I86" s="8" t="s">
        <v>157</v>
      </c>
    </row>
    <row r="87" spans="1:9" ht="21" x14ac:dyDescent="0.55000000000000004">
      <c r="A87" s="100" t="s">
        <v>59</v>
      </c>
      <c r="B87" s="47">
        <v>703</v>
      </c>
      <c r="C87" s="47">
        <v>1065</v>
      </c>
      <c r="D87" s="47">
        <v>1089</v>
      </c>
      <c r="E87" s="47">
        <v>479</v>
      </c>
      <c r="F87" s="47">
        <v>0</v>
      </c>
      <c r="G87" s="47">
        <f t="shared" si="4"/>
        <v>3336</v>
      </c>
      <c r="H87" s="110">
        <f t="shared" si="5"/>
        <v>4.9593411330964665</v>
      </c>
      <c r="I87" s="8" t="s">
        <v>151</v>
      </c>
    </row>
    <row r="88" spans="1:9" ht="21" x14ac:dyDescent="0.55000000000000004">
      <c r="A88" s="100" t="s">
        <v>60</v>
      </c>
      <c r="B88" s="47">
        <v>37</v>
      </c>
      <c r="C88" s="47">
        <v>174</v>
      </c>
      <c r="D88" s="47">
        <v>178</v>
      </c>
      <c r="E88" s="47">
        <v>230</v>
      </c>
      <c r="F88" s="47">
        <v>929</v>
      </c>
      <c r="G88" s="47">
        <f t="shared" si="4"/>
        <v>1548</v>
      </c>
      <c r="H88" s="110">
        <f t="shared" si="5"/>
        <v>2.3012770006095113</v>
      </c>
      <c r="I88" s="8" t="s">
        <v>169</v>
      </c>
    </row>
    <row r="89" spans="1:9" ht="21" x14ac:dyDescent="0.55000000000000004">
      <c r="A89" s="100" t="s">
        <v>61</v>
      </c>
      <c r="B89" s="47">
        <v>18</v>
      </c>
      <c r="C89" s="47">
        <v>0</v>
      </c>
      <c r="D89" s="47">
        <v>0</v>
      </c>
      <c r="E89" s="47">
        <v>0</v>
      </c>
      <c r="F89" s="47">
        <v>0</v>
      </c>
      <c r="G89" s="47">
        <f t="shared" si="4"/>
        <v>18</v>
      </c>
      <c r="H89" s="110">
        <f t="shared" si="5"/>
        <v>2.6759034890808272E-2</v>
      </c>
      <c r="I89" s="8" t="s">
        <v>150</v>
      </c>
    </row>
    <row r="90" spans="1:9" ht="21" x14ac:dyDescent="0.55000000000000004">
      <c r="A90" s="101" t="s">
        <v>62</v>
      </c>
      <c r="B90" s="47">
        <v>206</v>
      </c>
      <c r="C90" s="47">
        <v>488</v>
      </c>
      <c r="D90" s="47">
        <v>178</v>
      </c>
      <c r="E90" s="47">
        <v>366</v>
      </c>
      <c r="F90" s="47">
        <v>1393</v>
      </c>
      <c r="G90" s="49">
        <f t="shared" si="4"/>
        <v>2631</v>
      </c>
      <c r="H90" s="141">
        <f t="shared" si="5"/>
        <v>3.9112789332064759</v>
      </c>
      <c r="I90" s="10" t="s">
        <v>170</v>
      </c>
    </row>
    <row r="91" spans="1:9" ht="18.75" x14ac:dyDescent="0.5">
      <c r="A91" s="21" t="s">
        <v>79</v>
      </c>
      <c r="B91" s="173"/>
      <c r="C91" s="173"/>
      <c r="D91" s="173"/>
      <c r="E91" s="173"/>
      <c r="F91" s="173"/>
      <c r="H91" s="22"/>
      <c r="I91" s="109" t="s">
        <v>121</v>
      </c>
    </row>
  </sheetData>
  <mergeCells count="12">
    <mergeCell ref="A60:I60"/>
    <mergeCell ref="A61:I61"/>
    <mergeCell ref="A63:A64"/>
    <mergeCell ref="B63:G63"/>
    <mergeCell ref="H63:H64"/>
    <mergeCell ref="I63:I64"/>
    <mergeCell ref="A1:I1"/>
    <mergeCell ref="A2:I2"/>
    <mergeCell ref="A4:A5"/>
    <mergeCell ref="B4:G4"/>
    <mergeCell ref="I4:I5"/>
    <mergeCell ref="H4:H5"/>
  </mergeCells>
  <pageMargins left="0.17" right="0.17" top="0.42" bottom="0.47" header="0.3" footer="0.3"/>
  <pageSetup paperSize="9" scale="84" orientation="landscape" r:id="rId1"/>
  <rowBreaks count="1" manualBreakCount="1">
    <brk id="31" max="16383" man="1"/>
  </rowBreak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3"/>
  <sheetViews>
    <sheetView zoomScaleNormal="100" zoomScaleSheetLayoutView="85" workbookViewId="0">
      <selection activeCell="F15" sqref="F15"/>
    </sheetView>
  </sheetViews>
  <sheetFormatPr defaultColWidth="9.140625" defaultRowHeight="15" x14ac:dyDescent="0.25"/>
  <cols>
    <col min="1" max="1" width="39.42578125" style="1" customWidth="1"/>
    <col min="2" max="2" width="16.42578125" style="1" customWidth="1"/>
    <col min="3" max="3" width="2.140625" style="1" customWidth="1"/>
    <col min="4" max="4" width="13.5703125" style="1" customWidth="1"/>
    <col min="5" max="5" width="14.42578125" style="1" customWidth="1"/>
    <col min="6" max="6" width="49.140625" style="1" customWidth="1"/>
    <col min="7" max="9" width="9.140625" style="1"/>
    <col min="10" max="10" width="41.42578125" style="143" customWidth="1"/>
    <col min="11" max="11" width="9.140625" style="1"/>
    <col min="12" max="12" width="26.7109375" style="1" customWidth="1"/>
    <col min="13" max="14" width="9.140625" style="1"/>
    <col min="15" max="15" width="40.42578125" style="1" bestFit="1" customWidth="1"/>
    <col min="16" max="16384" width="9.140625" style="1"/>
  </cols>
  <sheetData>
    <row r="1" spans="1:11" ht="21" x14ac:dyDescent="0.25">
      <c r="A1" s="819" t="s">
        <v>224</v>
      </c>
      <c r="B1" s="819"/>
      <c r="C1" s="819"/>
      <c r="D1" s="819"/>
      <c r="E1" s="819"/>
      <c r="F1" s="819"/>
      <c r="G1" s="115"/>
      <c r="H1" s="115"/>
      <c r="I1" s="115"/>
    </row>
    <row r="2" spans="1:11" x14ac:dyDescent="0.25">
      <c r="A2" s="820" t="s">
        <v>225</v>
      </c>
      <c r="B2" s="820"/>
      <c r="C2" s="820"/>
      <c r="D2" s="820"/>
      <c r="E2" s="820"/>
      <c r="F2" s="820"/>
    </row>
    <row r="3" spans="1:11" ht="5.25" customHeight="1" x14ac:dyDescent="0.25">
      <c r="A3" s="2"/>
      <c r="B3" s="2"/>
      <c r="C3" s="2"/>
      <c r="D3" s="2"/>
    </row>
    <row r="4" spans="1:11" s="718" customFormat="1" ht="15.75" customHeight="1" x14ac:dyDescent="0.25">
      <c r="A4" s="802" t="s">
        <v>1120</v>
      </c>
      <c r="B4" s="45" t="s">
        <v>33</v>
      </c>
      <c r="C4" s="45"/>
      <c r="D4" s="45" t="s">
        <v>34</v>
      </c>
      <c r="E4" s="45" t="s">
        <v>3</v>
      </c>
      <c r="F4" s="799" t="s">
        <v>176</v>
      </c>
      <c r="G4" s="1"/>
      <c r="H4" s="1"/>
      <c r="I4" s="1"/>
      <c r="J4" s="72"/>
      <c r="K4" s="142"/>
    </row>
    <row r="5" spans="1:11" s="718" customFormat="1" ht="17.25" customHeight="1" x14ac:dyDescent="0.25">
      <c r="A5" s="803"/>
      <c r="B5" s="722" t="s">
        <v>175</v>
      </c>
      <c r="C5" s="722"/>
      <c r="D5" s="866" t="s">
        <v>81</v>
      </c>
      <c r="E5" s="116" t="s">
        <v>177</v>
      </c>
      <c r="F5" s="800"/>
      <c r="J5" s="100"/>
      <c r="K5" s="142"/>
    </row>
    <row r="6" spans="1:11" s="718" customFormat="1" ht="17.25" customHeight="1" x14ac:dyDescent="0.25">
      <c r="A6" s="804"/>
      <c r="B6" s="723" t="s">
        <v>174</v>
      </c>
      <c r="C6" s="723"/>
      <c r="D6" s="867"/>
      <c r="E6" s="111" t="s">
        <v>158</v>
      </c>
      <c r="F6" s="801"/>
      <c r="J6" s="100"/>
      <c r="K6" s="142"/>
    </row>
    <row r="7" spans="1:11" s="25" customFormat="1" ht="21" customHeight="1" x14ac:dyDescent="0.25">
      <c r="A7" s="717" t="s">
        <v>2</v>
      </c>
      <c r="B7" s="112">
        <f>SUM(B8:B31)</f>
        <v>1261</v>
      </c>
      <c r="C7" s="112"/>
      <c r="D7" s="112">
        <f>SUM(D8:D31)</f>
        <v>67267</v>
      </c>
      <c r="E7" s="112">
        <f>D7/D7*100</f>
        <v>100</v>
      </c>
      <c r="F7" s="715" t="s">
        <v>75</v>
      </c>
      <c r="G7" s="718"/>
      <c r="H7" s="718"/>
      <c r="I7" s="718"/>
      <c r="J7" s="100"/>
      <c r="K7" s="142"/>
    </row>
    <row r="8" spans="1:11" s="25" customFormat="1" ht="21" customHeight="1" x14ac:dyDescent="0.55000000000000004">
      <c r="A8" s="100" t="s">
        <v>39</v>
      </c>
      <c r="B8" s="47">
        <v>9</v>
      </c>
      <c r="C8" s="47"/>
      <c r="D8" s="47">
        <v>159</v>
      </c>
      <c r="E8" s="113">
        <f t="shared" ref="E8:E31" si="0">D8/$D$7*100</f>
        <v>0.23637147486880641</v>
      </c>
      <c r="F8" s="8" t="s">
        <v>138</v>
      </c>
    </row>
    <row r="9" spans="1:11" s="25" customFormat="1" ht="25.5" customHeight="1" x14ac:dyDescent="0.55000000000000004">
      <c r="A9" s="100" t="s">
        <v>40</v>
      </c>
      <c r="B9" s="47">
        <v>13</v>
      </c>
      <c r="C9" s="47"/>
      <c r="D9" s="47">
        <v>1508</v>
      </c>
      <c r="E9" s="113">
        <f t="shared" si="0"/>
        <v>2.2418124786299374</v>
      </c>
      <c r="F9" s="8" t="s">
        <v>139</v>
      </c>
    </row>
    <row r="10" spans="1:11" s="25" customFormat="1" ht="28.15" customHeight="1" x14ac:dyDescent="0.55000000000000004">
      <c r="A10" s="100" t="s">
        <v>43</v>
      </c>
      <c r="B10" s="47">
        <v>2</v>
      </c>
      <c r="C10" s="47"/>
      <c r="D10" s="47">
        <v>15</v>
      </c>
      <c r="E10" s="113">
        <f t="shared" si="0"/>
        <v>2.2299195742340228E-2</v>
      </c>
      <c r="F10" s="8" t="s">
        <v>155</v>
      </c>
    </row>
    <row r="11" spans="1:11" s="25" customFormat="1" ht="18.75" customHeight="1" x14ac:dyDescent="0.55000000000000004">
      <c r="A11" s="100" t="s">
        <v>44</v>
      </c>
      <c r="B11" s="47">
        <v>3</v>
      </c>
      <c r="C11" s="47"/>
      <c r="D11" s="47">
        <v>5</v>
      </c>
      <c r="E11" s="113">
        <f t="shared" si="0"/>
        <v>7.433065247446741E-3</v>
      </c>
      <c r="F11" s="8" t="s">
        <v>156</v>
      </c>
    </row>
    <row r="12" spans="1:11" s="25" customFormat="1" ht="21" customHeight="1" x14ac:dyDescent="0.55000000000000004">
      <c r="A12" s="100" t="s">
        <v>41</v>
      </c>
      <c r="B12" s="47">
        <v>71</v>
      </c>
      <c r="C12" s="47"/>
      <c r="D12" s="47">
        <v>1761</v>
      </c>
      <c r="E12" s="113">
        <f t="shared" si="0"/>
        <v>2.6179255801507426</v>
      </c>
      <c r="F12" s="8" t="s">
        <v>140</v>
      </c>
    </row>
    <row r="13" spans="1:11" s="25" customFormat="1" ht="21" customHeight="1" x14ac:dyDescent="0.55000000000000004">
      <c r="A13" s="100" t="s">
        <v>42</v>
      </c>
      <c r="B13" s="47">
        <v>6</v>
      </c>
      <c r="C13" s="47"/>
      <c r="D13" s="47">
        <v>159</v>
      </c>
      <c r="E13" s="113">
        <f t="shared" si="0"/>
        <v>0.23637147486880641</v>
      </c>
      <c r="F13" s="8" t="s">
        <v>141</v>
      </c>
    </row>
    <row r="14" spans="1:11" s="25" customFormat="1" ht="21" customHeight="1" x14ac:dyDescent="0.25">
      <c r="A14" s="72" t="s">
        <v>179</v>
      </c>
      <c r="B14" s="47">
        <v>69</v>
      </c>
      <c r="C14" s="47"/>
      <c r="D14" s="47">
        <v>3795</v>
      </c>
      <c r="E14" s="113">
        <f t="shared" si="0"/>
        <v>5.6416965228120768</v>
      </c>
      <c r="F14" s="105" t="s">
        <v>180</v>
      </c>
    </row>
    <row r="15" spans="1:11" s="25" customFormat="1" ht="21" customHeight="1" x14ac:dyDescent="0.55000000000000004">
      <c r="A15" s="100" t="s">
        <v>46</v>
      </c>
      <c r="B15" s="47">
        <v>8</v>
      </c>
      <c r="C15" s="47"/>
      <c r="D15" s="47">
        <v>1235</v>
      </c>
      <c r="E15" s="113">
        <f t="shared" si="0"/>
        <v>1.8359671161193452</v>
      </c>
      <c r="F15" s="8" t="s">
        <v>142</v>
      </c>
    </row>
    <row r="16" spans="1:11" s="25" customFormat="1" ht="21" customHeight="1" x14ac:dyDescent="0.55000000000000004">
      <c r="A16" s="100" t="s">
        <v>47</v>
      </c>
      <c r="B16" s="47">
        <v>4</v>
      </c>
      <c r="C16" s="47"/>
      <c r="D16" s="47">
        <v>56</v>
      </c>
      <c r="E16" s="113">
        <f t="shared" si="0"/>
        <v>8.3250330771403508E-2</v>
      </c>
      <c r="F16" s="8" t="s">
        <v>153</v>
      </c>
    </row>
    <row r="17" spans="1:16" s="25" customFormat="1" ht="21" customHeight="1" x14ac:dyDescent="0.55000000000000004">
      <c r="A17" s="100" t="s">
        <v>136</v>
      </c>
      <c r="B17" s="47">
        <v>374</v>
      </c>
      <c r="C17" s="47"/>
      <c r="D17" s="47">
        <v>31489</v>
      </c>
      <c r="E17" s="113">
        <f t="shared" si="0"/>
        <v>46.811958315370092</v>
      </c>
      <c r="F17" s="8" t="s">
        <v>152</v>
      </c>
    </row>
    <row r="18" spans="1:16" s="25" customFormat="1" ht="21" customHeight="1" x14ac:dyDescent="0.55000000000000004">
      <c r="A18" s="100" t="s">
        <v>48</v>
      </c>
      <c r="B18" s="47">
        <v>28</v>
      </c>
      <c r="C18" s="47"/>
      <c r="D18" s="47">
        <v>582</v>
      </c>
      <c r="E18" s="113">
        <f t="shared" si="0"/>
        <v>0.86520879480280077</v>
      </c>
      <c r="F18" s="8" t="s">
        <v>143</v>
      </c>
    </row>
    <row r="19" spans="1:16" s="25" customFormat="1" ht="21" customHeight="1" x14ac:dyDescent="0.55000000000000004">
      <c r="A19" s="100" t="s">
        <v>49</v>
      </c>
      <c r="B19" s="47">
        <v>216</v>
      </c>
      <c r="C19" s="47"/>
      <c r="D19" s="47">
        <v>15088</v>
      </c>
      <c r="E19" s="113">
        <f t="shared" si="0"/>
        <v>22.430017690695291</v>
      </c>
      <c r="F19" s="8" t="s">
        <v>148</v>
      </c>
    </row>
    <row r="20" spans="1:16" s="25" customFormat="1" ht="21" customHeight="1" x14ac:dyDescent="0.55000000000000004">
      <c r="A20" s="100" t="s">
        <v>50</v>
      </c>
      <c r="B20" s="47">
        <v>1</v>
      </c>
      <c r="C20" s="47"/>
      <c r="D20" s="47">
        <v>29</v>
      </c>
      <c r="E20" s="113">
        <f t="shared" si="0"/>
        <v>4.3111778435191102E-2</v>
      </c>
      <c r="F20" s="8" t="s">
        <v>168</v>
      </c>
    </row>
    <row r="21" spans="1:16" s="25" customFormat="1" ht="21" customHeight="1" x14ac:dyDescent="0.55000000000000004">
      <c r="A21" s="100" t="s">
        <v>51</v>
      </c>
      <c r="B21" s="214">
        <v>1</v>
      </c>
      <c r="C21" s="47"/>
      <c r="D21" s="47">
        <v>6</v>
      </c>
      <c r="E21" s="113">
        <f t="shared" si="0"/>
        <v>8.9196782969360906E-3</v>
      </c>
      <c r="F21" s="8" t="s">
        <v>144</v>
      </c>
    </row>
    <row r="22" spans="1:16" s="25" customFormat="1" ht="21" customHeight="1" x14ac:dyDescent="0.55000000000000004">
      <c r="A22" s="100" t="s">
        <v>52</v>
      </c>
      <c r="B22" s="47">
        <v>12</v>
      </c>
      <c r="C22" s="47"/>
      <c r="D22" s="47">
        <v>89</v>
      </c>
      <c r="E22" s="113">
        <f t="shared" si="0"/>
        <v>0.13230856140455199</v>
      </c>
      <c r="F22" s="8" t="s">
        <v>109</v>
      </c>
    </row>
    <row r="23" spans="1:16" s="25" customFormat="1" ht="21" customHeight="1" x14ac:dyDescent="0.55000000000000004">
      <c r="A23" s="100" t="s">
        <v>54</v>
      </c>
      <c r="B23" s="47">
        <v>5</v>
      </c>
      <c r="C23" s="47"/>
      <c r="D23" s="47">
        <v>35</v>
      </c>
      <c r="E23" s="113">
        <f t="shared" si="0"/>
        <v>5.2031456732127189E-2</v>
      </c>
      <c r="F23" s="8" t="s">
        <v>146</v>
      </c>
    </row>
    <row r="24" spans="1:16" s="25" customFormat="1" ht="21" customHeight="1" x14ac:dyDescent="0.55000000000000004">
      <c r="A24" s="100" t="s">
        <v>55</v>
      </c>
      <c r="B24" s="47">
        <v>12</v>
      </c>
      <c r="C24" s="47"/>
      <c r="D24" s="47">
        <v>85</v>
      </c>
      <c r="E24" s="113">
        <f t="shared" si="0"/>
        <v>0.1263621092065946</v>
      </c>
      <c r="F24" s="8" t="s">
        <v>147</v>
      </c>
    </row>
    <row r="25" spans="1:16" s="25" customFormat="1" ht="21" customHeight="1" x14ac:dyDescent="0.55000000000000004">
      <c r="A25" s="100" t="s">
        <v>56</v>
      </c>
      <c r="B25" s="47">
        <v>4</v>
      </c>
      <c r="C25" s="47"/>
      <c r="D25" s="47">
        <v>82</v>
      </c>
      <c r="E25" s="113">
        <f t="shared" si="0"/>
        <v>0.12190227005812657</v>
      </c>
      <c r="F25" s="8" t="s">
        <v>154</v>
      </c>
    </row>
    <row r="26" spans="1:16" s="25" customFormat="1" ht="21" customHeight="1" x14ac:dyDescent="0.55000000000000004">
      <c r="A26" s="100" t="s">
        <v>57</v>
      </c>
      <c r="B26" s="47">
        <v>25</v>
      </c>
      <c r="C26" s="47"/>
      <c r="D26" s="47">
        <v>962</v>
      </c>
      <c r="E26" s="113">
        <f t="shared" si="0"/>
        <v>1.4301217536087532</v>
      </c>
      <c r="F26" s="8" t="s">
        <v>149</v>
      </c>
    </row>
    <row r="27" spans="1:16" s="25" customFormat="1" ht="21" customHeight="1" x14ac:dyDescent="0.55000000000000004">
      <c r="A27" s="100" t="s">
        <v>58</v>
      </c>
      <c r="B27" s="47">
        <v>45</v>
      </c>
      <c r="C27" s="47"/>
      <c r="D27" s="47">
        <v>2620</v>
      </c>
      <c r="E27" s="113">
        <f t="shared" si="0"/>
        <v>3.894926189662093</v>
      </c>
      <c r="F27" s="8" t="s">
        <v>157</v>
      </c>
    </row>
    <row r="28" spans="1:16" s="25" customFormat="1" ht="21" customHeight="1" x14ac:dyDescent="0.55000000000000004">
      <c r="A28" s="100" t="s">
        <v>59</v>
      </c>
      <c r="B28" s="47">
        <v>257</v>
      </c>
      <c r="C28" s="47"/>
      <c r="D28" s="47">
        <v>3083</v>
      </c>
      <c r="E28" s="113">
        <f t="shared" si="0"/>
        <v>4.5832280315756613</v>
      </c>
      <c r="F28" s="8" t="s">
        <v>151</v>
      </c>
    </row>
    <row r="29" spans="1:16" s="25" customFormat="1" ht="21" customHeight="1" x14ac:dyDescent="0.55000000000000004">
      <c r="A29" s="100" t="s">
        <v>60</v>
      </c>
      <c r="B29" s="47">
        <v>21</v>
      </c>
      <c r="C29" s="47"/>
      <c r="D29" s="47">
        <v>1453</v>
      </c>
      <c r="E29" s="113">
        <f t="shared" si="0"/>
        <v>2.1600487609080234</v>
      </c>
      <c r="F29" s="8" t="s">
        <v>169</v>
      </c>
    </row>
    <row r="30" spans="1:16" s="25" customFormat="1" ht="21" customHeight="1" x14ac:dyDescent="0.55000000000000004">
      <c r="A30" s="100" t="s">
        <v>61</v>
      </c>
      <c r="B30" s="47">
        <v>3</v>
      </c>
      <c r="C30" s="47"/>
      <c r="D30" s="47">
        <v>22</v>
      </c>
      <c r="E30" s="113">
        <f>D30/$D$7*100</f>
        <v>3.2705487088765667E-2</v>
      </c>
      <c r="F30" s="8" t="s">
        <v>150</v>
      </c>
    </row>
    <row r="31" spans="1:16" ht="21" x14ac:dyDescent="0.55000000000000004">
      <c r="A31" s="101" t="s">
        <v>62</v>
      </c>
      <c r="B31" s="49">
        <v>72</v>
      </c>
      <c r="C31" s="49"/>
      <c r="D31" s="49">
        <v>2949</v>
      </c>
      <c r="E31" s="114">
        <f t="shared" si="0"/>
        <v>4.3840218829440882</v>
      </c>
      <c r="F31" s="10" t="s">
        <v>170</v>
      </c>
      <c r="G31" s="25"/>
      <c r="H31" s="25"/>
      <c r="I31" s="25"/>
      <c r="J31" s="1"/>
      <c r="O31" s="21"/>
      <c r="P31" s="69"/>
    </row>
    <row r="32" spans="1:16" ht="18.75" x14ac:dyDescent="0.5">
      <c r="A32" s="107" t="s">
        <v>79</v>
      </c>
      <c r="F32" s="22" t="s">
        <v>121</v>
      </c>
      <c r="J32" s="1"/>
    </row>
    <row r="35" spans="10:16" ht="36.75" customHeight="1" x14ac:dyDescent="0.25"/>
    <row r="36" spans="10:16" x14ac:dyDescent="0.25">
      <c r="O36" s="25"/>
      <c r="P36" s="25"/>
    </row>
    <row r="37" spans="10:16" x14ac:dyDescent="0.25">
      <c r="O37" s="21"/>
      <c r="P37" s="69"/>
    </row>
    <row r="39" spans="10:16" x14ac:dyDescent="0.25">
      <c r="O39" s="100"/>
      <c r="P39" s="113"/>
    </row>
    <row r="40" spans="10:16" x14ac:dyDescent="0.25">
      <c r="O40" s="100"/>
      <c r="P40" s="113"/>
    </row>
    <row r="41" spans="10:16" x14ac:dyDescent="0.25">
      <c r="O41" s="72"/>
      <c r="P41" s="113"/>
    </row>
    <row r="42" spans="10:16" x14ac:dyDescent="0.25">
      <c r="P42" s="202"/>
    </row>
    <row r="43" spans="10:16" x14ac:dyDescent="0.25">
      <c r="O43" s="100"/>
      <c r="P43" s="113"/>
    </row>
    <row r="44" spans="10:16" x14ac:dyDescent="0.25">
      <c r="O44" s="100"/>
      <c r="P44" s="113"/>
    </row>
    <row r="45" spans="10:16" x14ac:dyDescent="0.25">
      <c r="J45" s="1"/>
      <c r="O45" s="100"/>
      <c r="P45" s="113"/>
    </row>
    <row r="46" spans="10:16" x14ac:dyDescent="0.25">
      <c r="J46" s="1"/>
      <c r="O46" s="100"/>
      <c r="P46" s="113"/>
    </row>
    <row r="47" spans="10:16" x14ac:dyDescent="0.25">
      <c r="J47" s="1"/>
      <c r="O47" s="100" t="s">
        <v>136</v>
      </c>
      <c r="P47" s="745">
        <v>46.811958315370092</v>
      </c>
    </row>
    <row r="48" spans="10:16" x14ac:dyDescent="0.25">
      <c r="J48" s="1"/>
      <c r="O48" s="100" t="s">
        <v>49</v>
      </c>
      <c r="P48" s="745">
        <v>22.430017690695291</v>
      </c>
    </row>
    <row r="49" spans="10:16" ht="30" x14ac:dyDescent="0.25">
      <c r="J49" s="1"/>
      <c r="O49" s="72" t="s">
        <v>179</v>
      </c>
      <c r="P49" s="142">
        <v>5.6416965228120768</v>
      </c>
    </row>
    <row r="50" spans="10:16" x14ac:dyDescent="0.25">
      <c r="J50" s="1"/>
      <c r="O50" s="100" t="s">
        <v>59</v>
      </c>
      <c r="P50" s="745">
        <v>4.5832280315756613</v>
      </c>
    </row>
    <row r="51" spans="10:16" x14ac:dyDescent="0.25">
      <c r="J51" s="1"/>
      <c r="O51" s="100" t="s">
        <v>62</v>
      </c>
      <c r="P51" s="67">
        <v>4.3840218829440882</v>
      </c>
    </row>
    <row r="52" spans="10:16" x14ac:dyDescent="0.25">
      <c r="J52" s="1"/>
      <c r="O52" s="100" t="s">
        <v>58</v>
      </c>
      <c r="P52" s="745">
        <v>3.894926189662093</v>
      </c>
    </row>
    <row r="53" spans="10:16" x14ac:dyDescent="0.25">
      <c r="J53" s="1"/>
      <c r="O53" s="100" t="s">
        <v>41</v>
      </c>
      <c r="P53" s="142">
        <v>2.6179255801507426</v>
      </c>
    </row>
    <row r="54" spans="10:16" x14ac:dyDescent="0.25">
      <c r="J54" s="1"/>
      <c r="O54" s="100" t="s">
        <v>40</v>
      </c>
      <c r="P54" s="142">
        <v>2.2418124786299374</v>
      </c>
    </row>
    <row r="55" spans="10:16" x14ac:dyDescent="0.25">
      <c r="J55" s="1"/>
      <c r="O55" s="100" t="s">
        <v>60</v>
      </c>
      <c r="P55" s="745">
        <v>2.1600487609080234</v>
      </c>
    </row>
    <row r="56" spans="10:16" x14ac:dyDescent="0.25">
      <c r="J56" s="1"/>
      <c r="O56" s="100" t="s">
        <v>46</v>
      </c>
      <c r="P56" s="142">
        <v>1.8359671161193452</v>
      </c>
    </row>
    <row r="57" spans="10:16" x14ac:dyDescent="0.25">
      <c r="J57" s="1"/>
      <c r="O57" s="100" t="s">
        <v>57</v>
      </c>
      <c r="P57" s="745">
        <v>1.4301217536087532</v>
      </c>
    </row>
    <row r="58" spans="10:16" x14ac:dyDescent="0.25">
      <c r="J58" s="1"/>
      <c r="O58" s="100" t="s">
        <v>48</v>
      </c>
      <c r="P58" s="745">
        <v>0.86520879480280077</v>
      </c>
    </row>
    <row r="59" spans="10:16" x14ac:dyDescent="0.25">
      <c r="J59" s="1"/>
      <c r="O59" s="100" t="s">
        <v>39</v>
      </c>
      <c r="P59" s="142">
        <v>0.23637147486880641</v>
      </c>
    </row>
    <row r="60" spans="10:16" x14ac:dyDescent="0.25">
      <c r="J60" s="1"/>
      <c r="O60" s="100" t="s">
        <v>42</v>
      </c>
      <c r="P60" s="142">
        <v>0.23637147486880641</v>
      </c>
    </row>
    <row r="61" spans="10:16" x14ac:dyDescent="0.25">
      <c r="J61" s="1"/>
      <c r="O61" s="25" t="s">
        <v>52</v>
      </c>
      <c r="P61" s="745">
        <f>SUM(P62:P73)</f>
        <v>0.63032393298348355</v>
      </c>
    </row>
    <row r="62" spans="10:16" x14ac:dyDescent="0.25">
      <c r="J62" s="1"/>
      <c r="O62" s="100" t="s">
        <v>52</v>
      </c>
      <c r="P62" s="745">
        <v>0.13230856140455199</v>
      </c>
    </row>
    <row r="63" spans="10:16" x14ac:dyDescent="0.25">
      <c r="J63" s="1"/>
      <c r="O63" s="100" t="s">
        <v>55</v>
      </c>
      <c r="P63" s="745">
        <v>0.1263621092065946</v>
      </c>
    </row>
    <row r="64" spans="10:16" x14ac:dyDescent="0.25">
      <c r="J64" s="1"/>
      <c r="O64" s="100" t="s">
        <v>56</v>
      </c>
      <c r="P64" s="745">
        <v>0.12190227005812657</v>
      </c>
    </row>
    <row r="65" spans="10:16" x14ac:dyDescent="0.25">
      <c r="J65" s="1"/>
      <c r="O65" s="100" t="s">
        <v>47</v>
      </c>
      <c r="P65" s="142">
        <v>8.3250330771403508E-2</v>
      </c>
    </row>
    <row r="66" spans="10:16" x14ac:dyDescent="0.25">
      <c r="J66" s="1"/>
      <c r="O66" s="100" t="s">
        <v>54</v>
      </c>
      <c r="P66" s="745">
        <v>5.2031456732127189E-2</v>
      </c>
    </row>
    <row r="67" spans="10:16" x14ac:dyDescent="0.25">
      <c r="J67" s="1"/>
      <c r="O67" s="100" t="s">
        <v>50</v>
      </c>
      <c r="P67" s="745">
        <v>4.3111778435191102E-2</v>
      </c>
    </row>
    <row r="68" spans="10:16" x14ac:dyDescent="0.25">
      <c r="J68" s="1"/>
      <c r="O68" s="100" t="s">
        <v>61</v>
      </c>
      <c r="P68" s="745">
        <v>3.2705487088765667E-2</v>
      </c>
    </row>
    <row r="69" spans="10:16" x14ac:dyDescent="0.25">
      <c r="J69" s="1"/>
      <c r="O69" s="100" t="s">
        <v>43</v>
      </c>
      <c r="P69" s="142">
        <v>2.2299195742340228E-2</v>
      </c>
    </row>
    <row r="70" spans="10:16" x14ac:dyDescent="0.25">
      <c r="J70" s="1"/>
      <c r="O70" s="100" t="s">
        <v>51</v>
      </c>
      <c r="P70" s="745">
        <v>8.9196782969360906E-3</v>
      </c>
    </row>
    <row r="71" spans="10:16" x14ac:dyDescent="0.25">
      <c r="J71" s="1"/>
      <c r="O71" s="100" t="s">
        <v>44</v>
      </c>
      <c r="P71" s="142">
        <v>7.433065247446741E-3</v>
      </c>
    </row>
    <row r="72" spans="10:16" x14ac:dyDescent="0.25">
      <c r="O72" s="72" t="s">
        <v>178</v>
      </c>
      <c r="P72" s="142">
        <v>0</v>
      </c>
    </row>
    <row r="73" spans="10:16" x14ac:dyDescent="0.25">
      <c r="O73" s="101" t="s">
        <v>53</v>
      </c>
      <c r="P73" s="745">
        <v>0</v>
      </c>
    </row>
  </sheetData>
  <sortState ref="J47:K72">
    <sortCondition descending="1" ref="K8:K33"/>
  </sortState>
  <mergeCells count="5">
    <mergeCell ref="A1:F1"/>
    <mergeCell ref="A2:F2"/>
    <mergeCell ref="A4:A6"/>
    <mergeCell ref="F4:F6"/>
    <mergeCell ref="D5:D6"/>
  </mergeCells>
  <pageMargins left="0.17" right="0.17" top="0.75" bottom="0.75" header="0.3" footer="0.3"/>
  <pageSetup paperSize="9" scale="67" orientation="portrait" r:id="rId1"/>
  <colBreaks count="1" manualBreakCount="1">
    <brk id="6"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47"/>
  <sheetViews>
    <sheetView topLeftCell="A10" workbookViewId="0">
      <selection activeCell="U23" sqref="U23"/>
    </sheetView>
  </sheetViews>
  <sheetFormatPr defaultColWidth="9.140625" defaultRowHeight="15" x14ac:dyDescent="0.25"/>
  <cols>
    <col min="1" max="1" width="28.85546875" style="1" customWidth="1"/>
    <col min="2" max="7" width="8.85546875" style="1" hidden="1" customWidth="1"/>
    <col min="8" max="10" width="8.85546875" style="1" customWidth="1"/>
    <col min="11" max="13" width="10" style="1" customWidth="1"/>
    <col min="14" max="16" width="10.42578125" style="1" customWidth="1"/>
    <col min="17" max="17" width="35" style="1" customWidth="1"/>
    <col min="18" max="16384" width="9.140625" style="1"/>
  </cols>
  <sheetData>
    <row r="1" spans="1:18" ht="19.5" customHeight="1" x14ac:dyDescent="0.55000000000000004">
      <c r="A1" s="797" t="s">
        <v>227</v>
      </c>
      <c r="B1" s="797"/>
      <c r="C1" s="797"/>
      <c r="D1" s="797"/>
      <c r="E1" s="797"/>
      <c r="F1" s="797"/>
      <c r="G1" s="797"/>
      <c r="H1" s="797"/>
      <c r="I1" s="797"/>
      <c r="J1" s="797"/>
      <c r="K1" s="797"/>
      <c r="L1" s="797"/>
      <c r="M1" s="797"/>
      <c r="N1" s="797"/>
      <c r="O1" s="797"/>
      <c r="P1" s="797"/>
      <c r="Q1" s="797"/>
    </row>
    <row r="2" spans="1:18" ht="14.25" customHeight="1" x14ac:dyDescent="0.25">
      <c r="A2" s="820" t="s">
        <v>226</v>
      </c>
      <c r="B2" s="820"/>
      <c r="C2" s="820"/>
      <c r="D2" s="820"/>
      <c r="E2" s="820"/>
      <c r="F2" s="820"/>
      <c r="G2" s="820"/>
      <c r="H2" s="820"/>
      <c r="I2" s="820"/>
      <c r="J2" s="820"/>
      <c r="K2" s="820"/>
      <c r="L2" s="820"/>
      <c r="M2" s="820"/>
      <c r="N2" s="820"/>
      <c r="O2" s="820"/>
      <c r="P2" s="820"/>
      <c r="Q2" s="820"/>
    </row>
    <row r="3" spans="1:18" ht="2.25" customHeight="1" x14ac:dyDescent="0.25">
      <c r="A3" s="2"/>
      <c r="B3" s="2"/>
      <c r="C3" s="2"/>
      <c r="D3" s="2"/>
      <c r="E3" s="2"/>
      <c r="F3" s="2"/>
      <c r="G3" s="2"/>
      <c r="H3" s="2"/>
      <c r="I3" s="2"/>
      <c r="J3" s="2"/>
      <c r="K3" s="2"/>
      <c r="L3" s="2"/>
      <c r="M3" s="2"/>
      <c r="N3" s="2"/>
      <c r="O3" s="2"/>
      <c r="P3" s="2"/>
    </row>
    <row r="4" spans="1:18" ht="14.45" customHeight="1" x14ac:dyDescent="0.25">
      <c r="A4" s="802" t="s">
        <v>111</v>
      </c>
      <c r="B4" s="843">
        <v>2013</v>
      </c>
      <c r="C4" s="842"/>
      <c r="D4" s="842"/>
      <c r="E4" s="843">
        <v>2014</v>
      </c>
      <c r="F4" s="842"/>
      <c r="G4" s="842"/>
      <c r="H4" s="842">
        <v>2015</v>
      </c>
      <c r="I4" s="842"/>
      <c r="J4" s="850"/>
      <c r="K4" s="868" t="s">
        <v>129</v>
      </c>
      <c r="L4" s="821"/>
      <c r="M4" s="869"/>
      <c r="N4" s="870" t="s">
        <v>118</v>
      </c>
      <c r="O4" s="870"/>
      <c r="P4" s="870"/>
      <c r="Q4" s="799" t="s">
        <v>112</v>
      </c>
      <c r="R4" s="2"/>
    </row>
    <row r="5" spans="1:18" ht="18.600000000000001" customHeight="1" x14ac:dyDescent="0.25">
      <c r="A5" s="803"/>
      <c r="B5" s="125" t="s">
        <v>2</v>
      </c>
      <c r="C5" s="51" t="s">
        <v>0</v>
      </c>
      <c r="D5" s="51" t="s">
        <v>1</v>
      </c>
      <c r="E5" s="125" t="s">
        <v>2</v>
      </c>
      <c r="F5" s="51" t="s">
        <v>0</v>
      </c>
      <c r="G5" s="51" t="s">
        <v>1</v>
      </c>
      <c r="H5" s="51" t="s">
        <v>2</v>
      </c>
      <c r="I5" s="51" t="s">
        <v>0</v>
      </c>
      <c r="J5" s="753" t="s">
        <v>1</v>
      </c>
      <c r="K5" s="829"/>
      <c r="L5" s="830"/>
      <c r="M5" s="839"/>
      <c r="N5" s="871"/>
      <c r="O5" s="871"/>
      <c r="P5" s="871"/>
      <c r="Q5" s="800"/>
      <c r="R5" s="2"/>
    </row>
    <row r="6" spans="1:18" ht="21" x14ac:dyDescent="0.55000000000000004">
      <c r="A6" s="804"/>
      <c r="B6" s="126" t="s">
        <v>75</v>
      </c>
      <c r="C6" s="43" t="s">
        <v>71</v>
      </c>
      <c r="D6" s="43" t="s">
        <v>72</v>
      </c>
      <c r="E6" s="126" t="s">
        <v>75</v>
      </c>
      <c r="F6" s="43" t="s">
        <v>71</v>
      </c>
      <c r="G6" s="43" t="s">
        <v>72</v>
      </c>
      <c r="H6" s="43" t="s">
        <v>75</v>
      </c>
      <c r="I6" s="43" t="s">
        <v>71</v>
      </c>
      <c r="J6" s="754" t="s">
        <v>72</v>
      </c>
      <c r="K6" s="148">
        <v>2013</v>
      </c>
      <c r="L6" s="225">
        <v>2014</v>
      </c>
      <c r="M6" s="249">
        <v>2015</v>
      </c>
      <c r="N6" s="145">
        <v>2013</v>
      </c>
      <c r="O6" s="145">
        <v>2014</v>
      </c>
      <c r="P6" s="145">
        <v>2015</v>
      </c>
      <c r="Q6" s="801"/>
      <c r="R6" s="2"/>
    </row>
    <row r="7" spans="1:18" s="3" customFormat="1" ht="21" x14ac:dyDescent="0.55000000000000004">
      <c r="A7" s="234" t="s">
        <v>2</v>
      </c>
      <c r="B7" s="127">
        <f t="shared" ref="B7:J7" si="0">SUM(B8:B19)</f>
        <v>69948</v>
      </c>
      <c r="C7" s="32">
        <f t="shared" si="0"/>
        <v>49826</v>
      </c>
      <c r="D7" s="32">
        <f t="shared" si="0"/>
        <v>20122</v>
      </c>
      <c r="E7" s="127">
        <f t="shared" si="0"/>
        <v>75453</v>
      </c>
      <c r="F7" s="32">
        <f t="shared" si="0"/>
        <v>52991</v>
      </c>
      <c r="G7" s="32">
        <f t="shared" si="0"/>
        <v>22462</v>
      </c>
      <c r="H7" s="32">
        <f t="shared" si="0"/>
        <v>82413</v>
      </c>
      <c r="I7" s="32">
        <f t="shared" si="0"/>
        <v>56531</v>
      </c>
      <c r="J7" s="755">
        <f t="shared" si="0"/>
        <v>25882</v>
      </c>
      <c r="K7" s="149">
        <f>B7/$B$7*100</f>
        <v>100</v>
      </c>
      <c r="L7" s="80">
        <f>E7/$E$7*100</f>
        <v>100</v>
      </c>
      <c r="M7" s="250">
        <f>H7/$H$7*100</f>
        <v>100</v>
      </c>
      <c r="N7" s="48">
        <f>D7/B7*100</f>
        <v>28.767084119631726</v>
      </c>
      <c r="O7" s="48">
        <f>G7/E7*100</f>
        <v>29.769525399917828</v>
      </c>
      <c r="P7" s="48">
        <f>J7/H7*100</f>
        <v>31.405239464647565</v>
      </c>
      <c r="Q7" s="20" t="s">
        <v>75</v>
      </c>
      <c r="R7" s="12"/>
    </row>
    <row r="8" spans="1:18" ht="21" x14ac:dyDescent="0.55000000000000004">
      <c r="A8" s="100" t="s">
        <v>63</v>
      </c>
      <c r="B8" s="87">
        <f>SUM(C8:D8)</f>
        <v>4939</v>
      </c>
      <c r="C8" s="34">
        <v>2609</v>
      </c>
      <c r="D8" s="34">
        <v>2330</v>
      </c>
      <c r="E8" s="87">
        <f>SUM(F8:G8)</f>
        <v>4278</v>
      </c>
      <c r="F8" s="34">
        <v>2315</v>
      </c>
      <c r="G8" s="34">
        <v>1963</v>
      </c>
      <c r="H8" s="34">
        <f>SUM(I8:J8)</f>
        <v>11028</v>
      </c>
      <c r="I8" s="34">
        <v>5487</v>
      </c>
      <c r="J8" s="36">
        <v>5541</v>
      </c>
      <c r="K8" s="150">
        <f>B8/$B$7*100</f>
        <v>7.0609595699662604</v>
      </c>
      <c r="L8" s="146">
        <f>E8/$E$7*100</f>
        <v>5.6697546817223969</v>
      </c>
      <c r="M8" s="251">
        <f>H8/$H$7*100</f>
        <v>13.381384004950675</v>
      </c>
      <c r="N8" s="146">
        <f t="shared" ref="N8:N18" si="1">D8/B8*100</f>
        <v>47.175541607612878</v>
      </c>
      <c r="O8" s="146">
        <f>G8/E8*100</f>
        <v>45.885928003740069</v>
      </c>
      <c r="P8" s="146">
        <f t="shared" ref="P8:P19" si="2">J8/H8*100</f>
        <v>50.244831338411323</v>
      </c>
      <c r="Q8" s="8" t="s">
        <v>102</v>
      </c>
      <c r="R8" s="2"/>
    </row>
    <row r="9" spans="1:18" ht="21" x14ac:dyDescent="0.55000000000000004">
      <c r="A9" s="100" t="s">
        <v>229</v>
      </c>
      <c r="B9" s="87">
        <f t="shared" ref="B9:B19" si="3">SUM(C9:D9)</f>
        <v>3194</v>
      </c>
      <c r="C9" s="34">
        <v>1845</v>
      </c>
      <c r="D9" s="34">
        <v>1349</v>
      </c>
      <c r="E9" s="87">
        <f t="shared" ref="E9:E19" si="4">SUM(F9:G9)</f>
        <v>3624</v>
      </c>
      <c r="F9" s="34">
        <v>2147</v>
      </c>
      <c r="G9" s="34">
        <v>1477</v>
      </c>
      <c r="H9" s="34">
        <f t="shared" ref="H9:H19" si="5">SUM(I9:J9)</f>
        <v>1956</v>
      </c>
      <c r="I9" s="34">
        <v>1015</v>
      </c>
      <c r="J9" s="36">
        <v>941</v>
      </c>
      <c r="K9" s="150">
        <f>B9/$B$7*100</f>
        <v>4.5662492137016075</v>
      </c>
      <c r="L9" s="146">
        <f>E9/$E$7*100</f>
        <v>4.8029899407578229</v>
      </c>
      <c r="M9" s="251">
        <f>H9/$H$7*100</f>
        <v>2.3734119617050706</v>
      </c>
      <c r="N9" s="146">
        <f t="shared" si="1"/>
        <v>42.235441452723862</v>
      </c>
      <c r="O9" s="146">
        <f>G9/E9*100</f>
        <v>40.756070640176603</v>
      </c>
      <c r="P9" s="146">
        <f t="shared" si="2"/>
        <v>48.108384458077708</v>
      </c>
      <c r="Q9" s="8" t="s">
        <v>103</v>
      </c>
      <c r="R9" s="2"/>
    </row>
    <row r="10" spans="1:18" ht="21" x14ac:dyDescent="0.55000000000000004">
      <c r="A10" s="100" t="s">
        <v>230</v>
      </c>
      <c r="B10" s="87">
        <v>0</v>
      </c>
      <c r="C10" s="34">
        <v>0</v>
      </c>
      <c r="D10" s="34">
        <v>0</v>
      </c>
      <c r="E10" s="87">
        <v>0</v>
      </c>
      <c r="F10" s="34">
        <v>0</v>
      </c>
      <c r="G10" s="34">
        <v>0</v>
      </c>
      <c r="H10" s="34">
        <f t="shared" si="5"/>
        <v>1073</v>
      </c>
      <c r="I10" s="34">
        <v>611</v>
      </c>
      <c r="J10" s="36">
        <v>462</v>
      </c>
      <c r="K10" s="150">
        <v>0</v>
      </c>
      <c r="L10" s="146">
        <v>0</v>
      </c>
      <c r="M10" s="251">
        <f t="shared" ref="M10:M11" si="6">H10/$H$7*100</f>
        <v>1.3019790567022194</v>
      </c>
      <c r="N10" s="146">
        <v>0</v>
      </c>
      <c r="O10" s="146">
        <v>0</v>
      </c>
      <c r="P10" s="146">
        <f>J10/H10*100</f>
        <v>43.056849953401674</v>
      </c>
      <c r="Q10" s="8" t="s">
        <v>239</v>
      </c>
      <c r="R10" s="2"/>
    </row>
    <row r="11" spans="1:18" ht="21" x14ac:dyDescent="0.55000000000000004">
      <c r="A11" s="100" t="s">
        <v>233</v>
      </c>
      <c r="B11" s="87">
        <v>0</v>
      </c>
      <c r="C11" s="34">
        <v>0</v>
      </c>
      <c r="D11" s="34">
        <v>0</v>
      </c>
      <c r="E11" s="87">
        <v>0</v>
      </c>
      <c r="F11" s="34">
        <v>0</v>
      </c>
      <c r="G11" s="34">
        <v>0</v>
      </c>
      <c r="H11" s="34">
        <f t="shared" si="5"/>
        <v>588</v>
      </c>
      <c r="I11" s="34">
        <v>270</v>
      </c>
      <c r="J11" s="36">
        <v>318</v>
      </c>
      <c r="K11" s="150">
        <v>0</v>
      </c>
      <c r="L11" s="146">
        <v>0</v>
      </c>
      <c r="M11" s="251">
        <f t="shared" si="6"/>
        <v>0.71347966946962249</v>
      </c>
      <c r="N11" s="146">
        <v>0</v>
      </c>
      <c r="O11" s="146">
        <v>0</v>
      </c>
      <c r="P11" s="146">
        <f>J11/H11*100</f>
        <v>54.081632653061227</v>
      </c>
      <c r="Q11" s="8" t="s">
        <v>238</v>
      </c>
      <c r="R11" s="2"/>
    </row>
    <row r="12" spans="1:18" ht="21" x14ac:dyDescent="0.55000000000000004">
      <c r="A12" s="100" t="s">
        <v>64</v>
      </c>
      <c r="B12" s="87">
        <f t="shared" si="3"/>
        <v>1087</v>
      </c>
      <c r="C12" s="34">
        <v>708</v>
      </c>
      <c r="D12" s="34">
        <v>379</v>
      </c>
      <c r="E12" s="87">
        <f t="shared" si="4"/>
        <v>1015</v>
      </c>
      <c r="F12" s="34">
        <v>644</v>
      </c>
      <c r="G12" s="34">
        <v>371</v>
      </c>
      <c r="H12" s="34">
        <f t="shared" si="5"/>
        <v>647</v>
      </c>
      <c r="I12" s="34">
        <v>432</v>
      </c>
      <c r="J12" s="36">
        <v>215</v>
      </c>
      <c r="K12" s="150">
        <f t="shared" ref="K12:K19" si="7">B12/$B$7*100</f>
        <v>1.5540115514382111</v>
      </c>
      <c r="L12" s="146">
        <f t="shared" ref="L12:L19" si="8">E12/$E$7*100</f>
        <v>1.3452082753502179</v>
      </c>
      <c r="M12" s="251">
        <f t="shared" ref="M12:M19" si="9">H12/$H$7*100</f>
        <v>0.78507031657626836</v>
      </c>
      <c r="N12" s="146">
        <f t="shared" si="1"/>
        <v>34.866605335786574</v>
      </c>
      <c r="O12" s="146">
        <f>G12/E12*100</f>
        <v>36.551724137931032</v>
      </c>
      <c r="P12" s="146">
        <f t="shared" si="2"/>
        <v>33.23029366306028</v>
      </c>
      <c r="Q12" s="8" t="s">
        <v>104</v>
      </c>
      <c r="R12" s="2"/>
    </row>
    <row r="13" spans="1:18" ht="21" x14ac:dyDescent="0.55000000000000004">
      <c r="A13" s="100" t="s">
        <v>69</v>
      </c>
      <c r="B13" s="87">
        <f t="shared" si="3"/>
        <v>3157</v>
      </c>
      <c r="C13" s="34">
        <v>2462</v>
      </c>
      <c r="D13" s="34">
        <v>695</v>
      </c>
      <c r="E13" s="87">
        <f t="shared" si="4"/>
        <v>3204</v>
      </c>
      <c r="F13" s="34">
        <v>2462</v>
      </c>
      <c r="G13" s="34">
        <v>742</v>
      </c>
      <c r="H13" s="34">
        <f t="shared" si="5"/>
        <v>3972</v>
      </c>
      <c r="I13" s="34">
        <v>3014</v>
      </c>
      <c r="J13" s="36">
        <v>958</v>
      </c>
      <c r="K13" s="150">
        <f t="shared" si="7"/>
        <v>4.5133527763481442</v>
      </c>
      <c r="L13" s="146">
        <f t="shared" si="8"/>
        <v>4.2463520337163532</v>
      </c>
      <c r="M13" s="251">
        <f t="shared" si="9"/>
        <v>4.8196279713152057</v>
      </c>
      <c r="N13" s="146">
        <f t="shared" si="1"/>
        <v>22.014570795058599</v>
      </c>
      <c r="O13" s="146">
        <f t="shared" ref="O13:O19" si="10">G13/E13*100</f>
        <v>23.158551810237206</v>
      </c>
      <c r="P13" s="146">
        <f t="shared" si="2"/>
        <v>24.118831822759315</v>
      </c>
      <c r="Q13" s="8" t="s">
        <v>105</v>
      </c>
      <c r="R13" s="2"/>
    </row>
    <row r="14" spans="1:18" ht="21" x14ac:dyDescent="0.55000000000000004">
      <c r="A14" s="100" t="s">
        <v>65</v>
      </c>
      <c r="B14" s="87">
        <f t="shared" si="3"/>
        <v>3076</v>
      </c>
      <c r="C14" s="34">
        <v>965</v>
      </c>
      <c r="D14" s="34">
        <v>2111</v>
      </c>
      <c r="E14" s="87">
        <f t="shared" si="4"/>
        <v>4379</v>
      </c>
      <c r="F14" s="34">
        <v>1290</v>
      </c>
      <c r="G14" s="34">
        <v>3089</v>
      </c>
      <c r="H14" s="34">
        <f t="shared" si="5"/>
        <v>5764</v>
      </c>
      <c r="I14" s="34">
        <v>1785</v>
      </c>
      <c r="J14" s="36">
        <v>3979</v>
      </c>
      <c r="K14" s="150">
        <f t="shared" si="7"/>
        <v>4.397552467547321</v>
      </c>
      <c r="L14" s="146">
        <f t="shared" si="8"/>
        <v>5.8036128450823687</v>
      </c>
      <c r="M14" s="251">
        <f t="shared" si="9"/>
        <v>6.9940422020797683</v>
      </c>
      <c r="N14" s="146">
        <f t="shared" si="1"/>
        <v>68.628088426527952</v>
      </c>
      <c r="O14" s="146">
        <f>G14/E14*100</f>
        <v>70.541219456496918</v>
      </c>
      <c r="P14" s="146">
        <f t="shared" si="2"/>
        <v>69.031922276197093</v>
      </c>
      <c r="Q14" s="8" t="s">
        <v>106</v>
      </c>
      <c r="R14" s="2"/>
    </row>
    <row r="15" spans="1:18" ht="21" x14ac:dyDescent="0.55000000000000004">
      <c r="A15" s="100" t="s">
        <v>66</v>
      </c>
      <c r="B15" s="87">
        <f t="shared" si="3"/>
        <v>8778</v>
      </c>
      <c r="C15" s="34">
        <v>3026</v>
      </c>
      <c r="D15" s="34">
        <v>5752</v>
      </c>
      <c r="E15" s="87">
        <f t="shared" si="4"/>
        <v>9361</v>
      </c>
      <c r="F15" s="34">
        <v>3075</v>
      </c>
      <c r="G15" s="34">
        <v>6286</v>
      </c>
      <c r="H15" s="34">
        <f t="shared" si="5"/>
        <v>5890</v>
      </c>
      <c r="I15" s="34">
        <v>1574</v>
      </c>
      <c r="J15" s="36">
        <v>4316</v>
      </c>
      <c r="K15" s="150">
        <f t="shared" si="7"/>
        <v>12.549322353748499</v>
      </c>
      <c r="L15" s="146">
        <f t="shared" si="8"/>
        <v>12.406398685274276</v>
      </c>
      <c r="M15" s="251">
        <f t="shared" si="9"/>
        <v>7.146930702680403</v>
      </c>
      <c r="N15" s="146">
        <f t="shared" si="1"/>
        <v>65.527455001139217</v>
      </c>
      <c r="O15" s="146">
        <f t="shared" si="10"/>
        <v>67.150945411814973</v>
      </c>
      <c r="P15" s="146">
        <f t="shared" si="2"/>
        <v>73.276740237691001</v>
      </c>
      <c r="Q15" s="8" t="s">
        <v>107</v>
      </c>
      <c r="R15" s="2"/>
    </row>
    <row r="16" spans="1:18" ht="21" x14ac:dyDescent="0.55000000000000004">
      <c r="A16" s="100" t="s">
        <v>243</v>
      </c>
      <c r="B16" s="87">
        <f t="shared" si="3"/>
        <v>7026</v>
      </c>
      <c r="C16" s="34">
        <v>6432</v>
      </c>
      <c r="D16" s="34">
        <v>594</v>
      </c>
      <c r="E16" s="87">
        <f t="shared" si="4"/>
        <v>7210</v>
      </c>
      <c r="F16" s="34">
        <v>6578</v>
      </c>
      <c r="G16" s="34">
        <v>632</v>
      </c>
      <c r="H16" s="34">
        <f t="shared" si="5"/>
        <v>7135</v>
      </c>
      <c r="I16" s="34">
        <v>6503</v>
      </c>
      <c r="J16" s="36">
        <v>632</v>
      </c>
      <c r="K16" s="150">
        <f t="shared" si="7"/>
        <v>10.044604563389948</v>
      </c>
      <c r="L16" s="146">
        <f t="shared" si="8"/>
        <v>9.555617404211894</v>
      </c>
      <c r="M16" s="251">
        <f t="shared" si="9"/>
        <v>8.6576146967104712</v>
      </c>
      <c r="N16" s="146">
        <f t="shared" si="1"/>
        <v>8.4543125533731853</v>
      </c>
      <c r="O16" s="146">
        <f t="shared" si="10"/>
        <v>8.7656033287101245</v>
      </c>
      <c r="P16" s="146">
        <f t="shared" si="2"/>
        <v>8.8577435178696575</v>
      </c>
      <c r="Q16" s="8" t="s">
        <v>108</v>
      </c>
      <c r="R16" s="2"/>
    </row>
    <row r="17" spans="1:18" ht="21" x14ac:dyDescent="0.55000000000000004">
      <c r="A17" s="100" t="s">
        <v>67</v>
      </c>
      <c r="B17" s="87">
        <f t="shared" si="3"/>
        <v>11216</v>
      </c>
      <c r="C17" s="34">
        <v>8796</v>
      </c>
      <c r="D17" s="34">
        <v>2420</v>
      </c>
      <c r="E17" s="87">
        <f t="shared" si="4"/>
        <v>12731</v>
      </c>
      <c r="F17" s="34">
        <v>9858</v>
      </c>
      <c r="G17" s="34">
        <v>2873</v>
      </c>
      <c r="H17" s="34">
        <f t="shared" si="5"/>
        <v>10243</v>
      </c>
      <c r="I17" s="34">
        <v>7666</v>
      </c>
      <c r="J17" s="36">
        <v>2577</v>
      </c>
      <c r="K17" s="150">
        <f t="shared" si="7"/>
        <v>16.034768685309086</v>
      </c>
      <c r="L17" s="146">
        <f t="shared" si="8"/>
        <v>16.872755225107021</v>
      </c>
      <c r="M17" s="251">
        <f t="shared" si="9"/>
        <v>12.428864378192761</v>
      </c>
      <c r="N17" s="146">
        <f t="shared" si="1"/>
        <v>21.576319543509275</v>
      </c>
      <c r="O17" s="146">
        <f t="shared" si="10"/>
        <v>22.566962532401224</v>
      </c>
      <c r="P17" s="146">
        <f t="shared" si="2"/>
        <v>25.158644928243678</v>
      </c>
      <c r="Q17" s="8" t="s">
        <v>171</v>
      </c>
      <c r="R17" s="2"/>
    </row>
    <row r="18" spans="1:18" ht="21" x14ac:dyDescent="0.55000000000000004">
      <c r="A18" s="100" t="s">
        <v>70</v>
      </c>
      <c r="B18" s="87">
        <f t="shared" si="3"/>
        <v>27068</v>
      </c>
      <c r="C18" s="34">
        <v>22699</v>
      </c>
      <c r="D18" s="34">
        <v>4369</v>
      </c>
      <c r="E18" s="87">
        <f t="shared" si="4"/>
        <v>28826</v>
      </c>
      <c r="F18" s="34">
        <v>24021</v>
      </c>
      <c r="G18" s="34">
        <v>4805</v>
      </c>
      <c r="H18" s="34">
        <f t="shared" si="5"/>
        <v>33922</v>
      </c>
      <c r="I18" s="34">
        <v>28094</v>
      </c>
      <c r="J18" s="36">
        <v>5828</v>
      </c>
      <c r="K18" s="150">
        <f t="shared" si="7"/>
        <v>38.697318007662837</v>
      </c>
      <c r="L18" s="146">
        <f t="shared" si="8"/>
        <v>38.203915019946194</v>
      </c>
      <c r="M18" s="251">
        <f t="shared" si="9"/>
        <v>41.160981883926077</v>
      </c>
      <c r="N18" s="146">
        <f t="shared" si="1"/>
        <v>16.140830500960544</v>
      </c>
      <c r="O18" s="146">
        <f t="shared" si="10"/>
        <v>16.668979393602999</v>
      </c>
      <c r="P18" s="146">
        <f t="shared" si="2"/>
        <v>17.180590767053829</v>
      </c>
      <c r="Q18" s="8" t="s">
        <v>110</v>
      </c>
      <c r="R18" s="2"/>
    </row>
    <row r="19" spans="1:18" ht="21" x14ac:dyDescent="0.55000000000000004">
      <c r="A19" s="101" t="s">
        <v>52</v>
      </c>
      <c r="B19" s="88">
        <f t="shared" si="3"/>
        <v>407</v>
      </c>
      <c r="C19" s="35">
        <v>284</v>
      </c>
      <c r="D19" s="35">
        <v>123</v>
      </c>
      <c r="E19" s="88">
        <f t="shared" si="4"/>
        <v>825</v>
      </c>
      <c r="F19" s="35">
        <v>601</v>
      </c>
      <c r="G19" s="35">
        <v>224</v>
      </c>
      <c r="H19" s="35">
        <f t="shared" si="5"/>
        <v>195</v>
      </c>
      <c r="I19" s="35">
        <v>80</v>
      </c>
      <c r="J19" s="37">
        <v>115</v>
      </c>
      <c r="K19" s="151">
        <f t="shared" si="7"/>
        <v>0.58186081088808828</v>
      </c>
      <c r="L19" s="147">
        <f t="shared" si="8"/>
        <v>1.0933958888314581</v>
      </c>
      <c r="M19" s="252">
        <f t="shared" si="9"/>
        <v>0.23661315569145644</v>
      </c>
      <c r="N19" s="147">
        <f>D19/B19*100</f>
        <v>30.22113022113022</v>
      </c>
      <c r="O19" s="147">
        <f t="shared" si="10"/>
        <v>27.151515151515156</v>
      </c>
      <c r="P19" s="147">
        <f t="shared" si="2"/>
        <v>58.974358974358978</v>
      </c>
      <c r="Q19" s="10" t="s">
        <v>109</v>
      </c>
      <c r="R19" s="2"/>
    </row>
    <row r="20" spans="1:18" ht="18.75" x14ac:dyDescent="0.5">
      <c r="A20" s="107" t="s">
        <v>79</v>
      </c>
      <c r="Q20" s="22" t="s">
        <v>121</v>
      </c>
      <c r="R20" s="2"/>
    </row>
    <row r="21" spans="1:18" ht="18.600000000000001" customHeight="1" x14ac:dyDescent="0.25">
      <c r="B21" s="69"/>
      <c r="E21" s="69"/>
      <c r="H21" s="69"/>
      <c r="N21" s="67"/>
    </row>
    <row r="22" spans="1:18" x14ac:dyDescent="0.25">
      <c r="B22" s="69"/>
      <c r="E22" s="69"/>
      <c r="H22" s="69"/>
      <c r="N22" s="67"/>
    </row>
    <row r="23" spans="1:18" x14ac:dyDescent="0.25">
      <c r="B23" s="69"/>
      <c r="E23" s="69"/>
      <c r="H23" s="69"/>
      <c r="N23" s="67"/>
    </row>
    <row r="24" spans="1:18" x14ac:dyDescent="0.25">
      <c r="B24" s="69"/>
      <c r="E24" s="69"/>
      <c r="H24" s="69"/>
      <c r="N24" s="67"/>
    </row>
    <row r="25" spans="1:18" x14ac:dyDescent="0.25">
      <c r="N25" s="67"/>
    </row>
    <row r="26" spans="1:18" x14ac:dyDescent="0.25">
      <c r="N26" s="67"/>
    </row>
    <row r="27" spans="1:18" x14ac:dyDescent="0.25">
      <c r="N27" s="67"/>
    </row>
    <row r="28" spans="1:18" x14ac:dyDescent="0.25">
      <c r="N28" s="67"/>
    </row>
    <row r="29" spans="1:18" x14ac:dyDescent="0.25">
      <c r="N29" s="67"/>
    </row>
    <row r="30" spans="1:18" x14ac:dyDescent="0.25">
      <c r="N30" s="67"/>
    </row>
    <row r="31" spans="1:18" x14ac:dyDescent="0.25">
      <c r="N31" s="67"/>
    </row>
    <row r="32" spans="1:18" x14ac:dyDescent="0.25">
      <c r="N32" s="67"/>
    </row>
    <row r="33" spans="3:27" x14ac:dyDescent="0.25">
      <c r="N33" s="67"/>
      <c r="T33" s="68"/>
      <c r="Z33" s="100" t="s">
        <v>240</v>
      </c>
      <c r="AA33" s="264">
        <v>73.276740237691001</v>
      </c>
    </row>
    <row r="34" spans="3:27" x14ac:dyDescent="0.25">
      <c r="N34" s="67"/>
      <c r="Z34" s="100" t="s">
        <v>241</v>
      </c>
      <c r="AA34" s="264">
        <v>69.031922276197093</v>
      </c>
    </row>
    <row r="35" spans="3:27" x14ac:dyDescent="0.25">
      <c r="N35" s="67"/>
      <c r="Z35" s="100" t="s">
        <v>52</v>
      </c>
      <c r="AA35" s="264">
        <v>58.974358974358978</v>
      </c>
    </row>
    <row r="36" spans="3:27" x14ac:dyDescent="0.25">
      <c r="N36" s="67"/>
      <c r="Z36" s="100" t="s">
        <v>233</v>
      </c>
      <c r="AA36" s="264">
        <v>54.081632653061227</v>
      </c>
    </row>
    <row r="37" spans="3:27" x14ac:dyDescent="0.25">
      <c r="N37" s="67"/>
      <c r="Z37" s="100" t="s">
        <v>63</v>
      </c>
      <c r="AA37" s="264">
        <v>50.244831338411323</v>
      </c>
    </row>
    <row r="38" spans="3:27" x14ac:dyDescent="0.25">
      <c r="N38" s="67"/>
      <c r="Z38" s="100" t="s">
        <v>229</v>
      </c>
      <c r="AA38" s="264">
        <v>48.108384458077708</v>
      </c>
    </row>
    <row r="39" spans="3:27" x14ac:dyDescent="0.25">
      <c r="N39" s="67"/>
      <c r="Z39" s="1" t="s">
        <v>230</v>
      </c>
      <c r="AA39" s="68">
        <v>43.056849953401674</v>
      </c>
    </row>
    <row r="40" spans="3:27" x14ac:dyDescent="0.25">
      <c r="N40" s="67"/>
      <c r="Z40" s="100" t="s">
        <v>64</v>
      </c>
      <c r="AA40" s="264">
        <v>33.23029366306028</v>
      </c>
    </row>
    <row r="41" spans="3:27" x14ac:dyDescent="0.25">
      <c r="Z41" s="100" t="s">
        <v>67</v>
      </c>
      <c r="AA41" s="264">
        <v>25.158644928243678</v>
      </c>
    </row>
    <row r="42" spans="3:27" x14ac:dyDescent="0.25">
      <c r="Z42" s="100" t="s">
        <v>69</v>
      </c>
      <c r="AA42" s="264">
        <v>24.118831822759315</v>
      </c>
    </row>
    <row r="43" spans="3:27" x14ac:dyDescent="0.25">
      <c r="Z43" s="101" t="s">
        <v>70</v>
      </c>
      <c r="AA43" s="265">
        <v>17.180590767053829</v>
      </c>
    </row>
    <row r="44" spans="3:27" x14ac:dyDescent="0.25">
      <c r="Z44" s="100" t="s">
        <v>242</v>
      </c>
      <c r="AA44" s="264">
        <v>8.8577435178696575</v>
      </c>
    </row>
    <row r="47" spans="3:27" x14ac:dyDescent="0.25">
      <c r="C47" s="144"/>
      <c r="F47" s="144"/>
      <c r="I47" s="144"/>
    </row>
  </sheetData>
  <sortState ref="Z33:AA44">
    <sortCondition descending="1" ref="AA33:AA44"/>
  </sortState>
  <mergeCells count="9">
    <mergeCell ref="A1:Q1"/>
    <mergeCell ref="Q4:Q6"/>
    <mergeCell ref="A2:Q2"/>
    <mergeCell ref="A4:A6"/>
    <mergeCell ref="B4:D4"/>
    <mergeCell ref="E4:G4"/>
    <mergeCell ref="H4:J4"/>
    <mergeCell ref="K4:M5"/>
    <mergeCell ref="N4:P5"/>
  </mergeCells>
  <pageMargins left="0.21" right="0.16" top="0.45" bottom="0.63" header="0.3" footer="0.3"/>
  <pageSetup paperSize="9" scale="75" orientation="landscape" r:id="rId1"/>
  <colBreaks count="1" manualBreakCount="1">
    <brk id="17"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T92"/>
  <sheetViews>
    <sheetView topLeftCell="A40" zoomScale="70" zoomScaleNormal="70" workbookViewId="0">
      <selection activeCell="A36" sqref="A36:H36"/>
    </sheetView>
  </sheetViews>
  <sheetFormatPr defaultColWidth="9.140625" defaultRowHeight="15" x14ac:dyDescent="0.25"/>
  <cols>
    <col min="1" max="1" width="28.42578125" style="1" customWidth="1"/>
    <col min="2" max="2" width="14.85546875" style="1" customWidth="1"/>
    <col min="3" max="4" width="14.140625" style="1" customWidth="1"/>
    <col min="5" max="5" width="13.42578125" style="1" customWidth="1"/>
    <col min="6" max="6" width="12.7109375" style="1" customWidth="1"/>
    <col min="7" max="7" width="13" style="1" customWidth="1"/>
    <col min="8" max="8" width="19.28515625" style="266" customWidth="1"/>
    <col min="9" max="9" width="27.28515625" style="1" customWidth="1"/>
    <col min="10" max="16384" width="9.140625" style="1"/>
  </cols>
  <sheetData>
    <row r="1" spans="1:11" s="268" customFormat="1" ht="21" x14ac:dyDescent="0.2">
      <c r="A1" s="872" t="s">
        <v>1070</v>
      </c>
      <c r="B1" s="872"/>
      <c r="C1" s="872"/>
      <c r="D1" s="872"/>
      <c r="E1" s="872"/>
      <c r="F1" s="872"/>
      <c r="G1" s="872"/>
      <c r="H1" s="872"/>
      <c r="I1" s="872"/>
    </row>
    <row r="2" spans="1:11" s="268" customFormat="1" x14ac:dyDescent="0.2">
      <c r="A2" s="873" t="s">
        <v>1069</v>
      </c>
      <c r="B2" s="873"/>
      <c r="C2" s="873"/>
      <c r="D2" s="873"/>
      <c r="E2" s="873"/>
      <c r="F2" s="873"/>
      <c r="G2" s="873"/>
      <c r="H2" s="873"/>
      <c r="I2" s="873"/>
    </row>
    <row r="3" spans="1:11" s="614" customFormat="1" ht="3.75" customHeight="1" x14ac:dyDescent="0.2">
      <c r="A3" s="613"/>
      <c r="B3" s="613"/>
      <c r="C3" s="613"/>
      <c r="D3" s="613"/>
      <c r="E3" s="613"/>
      <c r="F3" s="613"/>
      <c r="G3" s="613"/>
      <c r="H3" s="613"/>
      <c r="I3" s="613"/>
    </row>
    <row r="4" spans="1:11" s="109" customFormat="1" ht="17.25" x14ac:dyDescent="0.45">
      <c r="A4" s="874" t="s">
        <v>244</v>
      </c>
      <c r="B4" s="836" t="s">
        <v>245</v>
      </c>
      <c r="C4" s="835" t="s">
        <v>246</v>
      </c>
      <c r="D4" s="837"/>
      <c r="E4" s="880" t="s">
        <v>247</v>
      </c>
      <c r="F4" s="881"/>
      <c r="G4" s="884" t="s">
        <v>248</v>
      </c>
      <c r="H4" s="886" t="s">
        <v>249</v>
      </c>
      <c r="I4" s="888" t="s">
        <v>250</v>
      </c>
    </row>
    <row r="5" spans="1:11" s="109" customFormat="1" ht="17.25" x14ac:dyDescent="0.45">
      <c r="A5" s="875"/>
      <c r="B5" s="877"/>
      <c r="C5" s="878"/>
      <c r="D5" s="879"/>
      <c r="E5" s="882"/>
      <c r="F5" s="883"/>
      <c r="G5" s="885"/>
      <c r="H5" s="887"/>
      <c r="I5" s="889"/>
    </row>
    <row r="6" spans="1:11" s="270" customFormat="1" ht="36" x14ac:dyDescent="0.25">
      <c r="A6" s="875"/>
      <c r="B6" s="269" t="s">
        <v>251</v>
      </c>
      <c r="C6" s="891" t="s">
        <v>252</v>
      </c>
      <c r="D6" s="892"/>
      <c r="E6" s="891" t="s">
        <v>253</v>
      </c>
      <c r="F6" s="892"/>
      <c r="G6" s="893" t="s">
        <v>330</v>
      </c>
      <c r="H6" s="894" t="s">
        <v>254</v>
      </c>
      <c r="I6" s="889"/>
    </row>
    <row r="7" spans="1:11" s="274" customFormat="1" ht="12.75" x14ac:dyDescent="0.15">
      <c r="A7" s="875"/>
      <c r="B7" s="271" t="s">
        <v>255</v>
      </c>
      <c r="C7" s="272" t="s">
        <v>256</v>
      </c>
      <c r="D7" s="273" t="s">
        <v>257</v>
      </c>
      <c r="E7" s="272" t="s">
        <v>256</v>
      </c>
      <c r="F7" s="273" t="s">
        <v>258</v>
      </c>
      <c r="G7" s="893"/>
      <c r="H7" s="894"/>
      <c r="I7" s="889"/>
    </row>
    <row r="8" spans="1:11" s="280" customFormat="1" ht="18.75" x14ac:dyDescent="0.25">
      <c r="A8" s="876"/>
      <c r="B8" s="275" t="s">
        <v>259</v>
      </c>
      <c r="C8" s="276" t="s">
        <v>260</v>
      </c>
      <c r="D8" s="277" t="s">
        <v>261</v>
      </c>
      <c r="E8" s="276" t="s">
        <v>262</v>
      </c>
      <c r="F8" s="277" t="s">
        <v>261</v>
      </c>
      <c r="G8" s="278"/>
      <c r="H8" s="279"/>
      <c r="I8" s="890"/>
    </row>
    <row r="9" spans="1:11" s="288" customFormat="1" ht="18.75" x14ac:dyDescent="0.25">
      <c r="A9" s="281" t="s">
        <v>263</v>
      </c>
      <c r="B9" s="282">
        <f t="shared" ref="B9:H9" si="0">SUM(B10:B11)</f>
        <v>317545</v>
      </c>
      <c r="C9" s="283">
        <f t="shared" si="0"/>
        <v>3049</v>
      </c>
      <c r="D9" s="284">
        <f t="shared" si="0"/>
        <v>5230</v>
      </c>
      <c r="E9" s="283">
        <f t="shared" si="0"/>
        <v>107</v>
      </c>
      <c r="F9" s="284">
        <f t="shared" si="0"/>
        <v>151</v>
      </c>
      <c r="G9" s="285">
        <f t="shared" si="0"/>
        <v>5682</v>
      </c>
      <c r="H9" s="286">
        <f t="shared" si="0"/>
        <v>6176</v>
      </c>
      <c r="I9" s="287" t="s">
        <v>264</v>
      </c>
      <c r="K9" s="285"/>
    </row>
    <row r="10" spans="1:11" s="290" customFormat="1" ht="18.75" x14ac:dyDescent="0.25">
      <c r="A10" s="289" t="s">
        <v>265</v>
      </c>
      <c r="B10" s="282">
        <v>52253</v>
      </c>
      <c r="C10" s="307">
        <v>931</v>
      </c>
      <c r="D10" s="308">
        <v>1468</v>
      </c>
      <c r="E10" s="307">
        <v>26</v>
      </c>
      <c r="F10" s="308">
        <v>35</v>
      </c>
      <c r="G10" s="291">
        <v>1724</v>
      </c>
      <c r="H10" s="286">
        <v>1625</v>
      </c>
      <c r="I10" s="287" t="s">
        <v>266</v>
      </c>
    </row>
    <row r="11" spans="1:11" s="288" customFormat="1" ht="18.75" x14ac:dyDescent="0.25">
      <c r="A11" s="281" t="s">
        <v>267</v>
      </c>
      <c r="B11" s="285">
        <f t="shared" ref="B11" si="1">SUM(B12:B31)</f>
        <v>265292</v>
      </c>
      <c r="C11" s="283">
        <f t="shared" ref="C11:H11" si="2">SUM(C12:C31)</f>
        <v>2118</v>
      </c>
      <c r="D11" s="284">
        <f t="shared" si="2"/>
        <v>3762</v>
      </c>
      <c r="E11" s="283">
        <f t="shared" si="2"/>
        <v>81</v>
      </c>
      <c r="F11" s="284">
        <f t="shared" si="2"/>
        <v>116</v>
      </c>
      <c r="G11" s="291">
        <f t="shared" si="2"/>
        <v>3958</v>
      </c>
      <c r="H11" s="286">
        <f t="shared" si="2"/>
        <v>4551</v>
      </c>
      <c r="I11" s="287" t="s">
        <v>268</v>
      </c>
    </row>
    <row r="12" spans="1:11" s="288" customFormat="1" ht="15.75" x14ac:dyDescent="0.25">
      <c r="A12" s="292" t="s">
        <v>269</v>
      </c>
      <c r="B12" s="296">
        <v>19492</v>
      </c>
      <c r="C12" s="309">
        <v>119</v>
      </c>
      <c r="D12" s="310">
        <v>187</v>
      </c>
      <c r="E12" s="309">
        <v>3</v>
      </c>
      <c r="F12" s="310">
        <v>3</v>
      </c>
      <c r="G12" s="311">
        <v>334</v>
      </c>
      <c r="H12" s="312">
        <v>352</v>
      </c>
      <c r="I12" s="293" t="s">
        <v>270</v>
      </c>
    </row>
    <row r="13" spans="1:11" s="288" customFormat="1" ht="15.75" x14ac:dyDescent="0.25">
      <c r="A13" s="292" t="s">
        <v>271</v>
      </c>
      <c r="B13" s="296">
        <v>23057</v>
      </c>
      <c r="C13" s="313">
        <v>214</v>
      </c>
      <c r="D13" s="314">
        <v>370</v>
      </c>
      <c r="E13" s="313">
        <v>2</v>
      </c>
      <c r="F13" s="314">
        <v>2</v>
      </c>
      <c r="G13" s="311">
        <v>173</v>
      </c>
      <c r="H13" s="312">
        <v>457</v>
      </c>
      <c r="I13" s="293" t="s">
        <v>272</v>
      </c>
    </row>
    <row r="14" spans="1:11" s="288" customFormat="1" ht="15.75" x14ac:dyDescent="0.25">
      <c r="A14" s="292" t="s">
        <v>273</v>
      </c>
      <c r="B14" s="296">
        <v>15572</v>
      </c>
      <c r="C14" s="313">
        <v>106</v>
      </c>
      <c r="D14" s="314">
        <v>171</v>
      </c>
      <c r="E14" s="313">
        <v>0</v>
      </c>
      <c r="F14" s="314">
        <v>0</v>
      </c>
      <c r="G14" s="311">
        <v>173</v>
      </c>
      <c r="H14" s="312">
        <v>332</v>
      </c>
      <c r="I14" s="293" t="s">
        <v>274</v>
      </c>
    </row>
    <row r="15" spans="1:11" s="288" customFormat="1" ht="15.75" x14ac:dyDescent="0.25">
      <c r="A15" s="292" t="s">
        <v>275</v>
      </c>
      <c r="B15" s="296">
        <v>14154</v>
      </c>
      <c r="C15" s="313">
        <v>119</v>
      </c>
      <c r="D15" s="314">
        <v>225</v>
      </c>
      <c r="E15" s="313">
        <v>5</v>
      </c>
      <c r="F15" s="314">
        <v>7</v>
      </c>
      <c r="G15" s="311">
        <v>125</v>
      </c>
      <c r="H15" s="312">
        <v>185</v>
      </c>
      <c r="I15" s="293" t="s">
        <v>276</v>
      </c>
    </row>
    <row r="16" spans="1:11" s="288" customFormat="1" ht="15.75" x14ac:dyDescent="0.25">
      <c r="A16" s="292" t="s">
        <v>277</v>
      </c>
      <c r="B16" s="296">
        <v>20204</v>
      </c>
      <c r="C16" s="313">
        <v>112</v>
      </c>
      <c r="D16" s="314">
        <v>210</v>
      </c>
      <c r="E16" s="313">
        <v>6</v>
      </c>
      <c r="F16" s="314">
        <v>6</v>
      </c>
      <c r="G16" s="311">
        <v>251</v>
      </c>
      <c r="H16" s="312">
        <v>322</v>
      </c>
      <c r="I16" s="293" t="s">
        <v>278</v>
      </c>
    </row>
    <row r="17" spans="1:254" s="288" customFormat="1" ht="15.75" x14ac:dyDescent="0.25">
      <c r="A17" s="292" t="s">
        <v>279</v>
      </c>
      <c r="B17" s="296">
        <v>12455</v>
      </c>
      <c r="C17" s="313">
        <v>67</v>
      </c>
      <c r="D17" s="314">
        <v>106</v>
      </c>
      <c r="E17" s="313">
        <v>5</v>
      </c>
      <c r="F17" s="314">
        <v>5</v>
      </c>
      <c r="G17" s="311">
        <v>148</v>
      </c>
      <c r="H17" s="312">
        <v>192</v>
      </c>
      <c r="I17" s="293" t="s">
        <v>280</v>
      </c>
    </row>
    <row r="18" spans="1:254" s="288" customFormat="1" ht="18.75" customHeight="1" x14ac:dyDescent="0.25">
      <c r="A18" s="292" t="s">
        <v>281</v>
      </c>
      <c r="B18" s="296">
        <v>11405</v>
      </c>
      <c r="C18" s="313">
        <v>108</v>
      </c>
      <c r="D18" s="314">
        <v>162</v>
      </c>
      <c r="E18" s="313">
        <v>3</v>
      </c>
      <c r="F18" s="314">
        <v>4</v>
      </c>
      <c r="G18" s="311">
        <v>225</v>
      </c>
      <c r="H18" s="312">
        <v>189</v>
      </c>
      <c r="I18" s="293" t="s">
        <v>282</v>
      </c>
    </row>
    <row r="19" spans="1:254" s="288" customFormat="1" ht="18.75" customHeight="1" x14ac:dyDescent="0.25">
      <c r="A19" s="292" t="s">
        <v>283</v>
      </c>
      <c r="B19" s="296">
        <v>11458</v>
      </c>
      <c r="C19" s="313">
        <v>115</v>
      </c>
      <c r="D19" s="314">
        <v>193</v>
      </c>
      <c r="E19" s="313">
        <v>6</v>
      </c>
      <c r="F19" s="314">
        <v>6</v>
      </c>
      <c r="G19" s="311">
        <v>192</v>
      </c>
      <c r="H19" s="312">
        <v>201</v>
      </c>
      <c r="I19" s="293" t="s">
        <v>284</v>
      </c>
    </row>
    <row r="20" spans="1:254" s="288" customFormat="1" ht="18.75" customHeight="1" x14ac:dyDescent="0.25">
      <c r="A20" s="292" t="s">
        <v>285</v>
      </c>
      <c r="B20" s="296">
        <v>6994</v>
      </c>
      <c r="C20" s="313">
        <v>51</v>
      </c>
      <c r="D20" s="314">
        <v>88</v>
      </c>
      <c r="E20" s="313">
        <v>0</v>
      </c>
      <c r="F20" s="314">
        <v>0</v>
      </c>
      <c r="G20" s="311">
        <v>127</v>
      </c>
      <c r="H20" s="312">
        <v>116</v>
      </c>
      <c r="I20" s="293" t="s">
        <v>286</v>
      </c>
      <c r="X20" s="1"/>
      <c r="Y20" s="294"/>
    </row>
    <row r="21" spans="1:254" s="288" customFormat="1" ht="15.75" x14ac:dyDescent="0.25">
      <c r="A21" s="292" t="s">
        <v>287</v>
      </c>
      <c r="B21" s="296">
        <v>9969</v>
      </c>
      <c r="C21" s="313">
        <v>44</v>
      </c>
      <c r="D21" s="314">
        <v>68</v>
      </c>
      <c r="E21" s="313">
        <v>4</v>
      </c>
      <c r="F21" s="314">
        <v>6</v>
      </c>
      <c r="G21" s="311">
        <v>167</v>
      </c>
      <c r="H21" s="312">
        <v>212</v>
      </c>
      <c r="I21" s="293" t="s">
        <v>288</v>
      </c>
      <c r="X21" s="1"/>
      <c r="Y21" s="294"/>
    </row>
    <row r="22" spans="1:254" s="288" customFormat="1" ht="18.75" customHeight="1" x14ac:dyDescent="0.25">
      <c r="A22" s="292" t="s">
        <v>289</v>
      </c>
      <c r="B22" s="296">
        <v>2099</v>
      </c>
      <c r="C22" s="313">
        <v>10</v>
      </c>
      <c r="D22" s="314">
        <v>19</v>
      </c>
      <c r="E22" s="313">
        <v>0</v>
      </c>
      <c r="F22" s="314">
        <v>0</v>
      </c>
      <c r="G22" s="311">
        <v>23</v>
      </c>
      <c r="H22" s="312">
        <v>25</v>
      </c>
      <c r="I22" s="293" t="s">
        <v>290</v>
      </c>
      <c r="X22" s="295"/>
      <c r="Y22" s="282"/>
    </row>
    <row r="23" spans="1:254" s="288" customFormat="1" ht="13.15" customHeight="1" x14ac:dyDescent="0.25">
      <c r="A23" s="292" t="s">
        <v>291</v>
      </c>
      <c r="B23" s="296">
        <v>6489</v>
      </c>
      <c r="C23" s="313">
        <v>36</v>
      </c>
      <c r="D23" s="314">
        <v>66</v>
      </c>
      <c r="E23" s="313">
        <v>1</v>
      </c>
      <c r="F23" s="314">
        <v>2</v>
      </c>
      <c r="G23" s="311">
        <v>72</v>
      </c>
      <c r="H23" s="312">
        <v>88</v>
      </c>
      <c r="I23" s="293" t="s">
        <v>292</v>
      </c>
      <c r="X23" s="292"/>
      <c r="Y23" s="296"/>
    </row>
    <row r="24" spans="1:254" s="288" customFormat="1" ht="18.75" customHeight="1" x14ac:dyDescent="0.25">
      <c r="A24" s="292" t="s">
        <v>294</v>
      </c>
      <c r="B24" s="296">
        <v>5469</v>
      </c>
      <c r="C24" s="313">
        <v>34</v>
      </c>
      <c r="D24" s="314">
        <v>59</v>
      </c>
      <c r="E24" s="313">
        <v>1</v>
      </c>
      <c r="F24" s="314">
        <v>4</v>
      </c>
      <c r="G24" s="311">
        <v>100</v>
      </c>
      <c r="H24" s="312">
        <v>118</v>
      </c>
      <c r="I24" s="293" t="s">
        <v>295</v>
      </c>
      <c r="X24" s="292"/>
      <c r="Y24" s="296"/>
    </row>
    <row r="25" spans="1:254" s="288" customFormat="1" ht="18.75" customHeight="1" x14ac:dyDescent="0.25">
      <c r="A25" s="292" t="s">
        <v>297</v>
      </c>
      <c r="B25" s="296">
        <v>6822</v>
      </c>
      <c r="C25" s="313">
        <v>57</v>
      </c>
      <c r="D25" s="314">
        <v>92</v>
      </c>
      <c r="E25" s="313">
        <v>1</v>
      </c>
      <c r="F25" s="314">
        <v>1</v>
      </c>
      <c r="G25" s="311">
        <v>130</v>
      </c>
      <c r="H25" s="312">
        <v>93</v>
      </c>
      <c r="I25" s="293" t="s">
        <v>298</v>
      </c>
      <c r="X25" s="292"/>
      <c r="Y25" s="296"/>
    </row>
    <row r="26" spans="1:254" s="288" customFormat="1" ht="18.75" customHeight="1" x14ac:dyDescent="0.25">
      <c r="A26" s="292" t="s">
        <v>300</v>
      </c>
      <c r="B26" s="296">
        <v>14052</v>
      </c>
      <c r="C26" s="313">
        <v>78</v>
      </c>
      <c r="D26" s="314">
        <v>135</v>
      </c>
      <c r="E26" s="313">
        <v>4</v>
      </c>
      <c r="F26" s="314">
        <v>5</v>
      </c>
      <c r="G26" s="311">
        <v>256</v>
      </c>
      <c r="H26" s="312">
        <v>169</v>
      </c>
      <c r="I26" s="293" t="s">
        <v>301</v>
      </c>
      <c r="X26" s="292"/>
      <c r="Y26" s="296"/>
    </row>
    <row r="27" spans="1:254" s="298" customFormat="1" ht="18.75" customHeight="1" x14ac:dyDescent="0.25">
      <c r="A27" s="297" t="s">
        <v>303</v>
      </c>
      <c r="B27" s="296">
        <v>15563</v>
      </c>
      <c r="C27" s="313">
        <v>164</v>
      </c>
      <c r="D27" s="314">
        <v>307</v>
      </c>
      <c r="E27" s="313">
        <v>3</v>
      </c>
      <c r="F27" s="314">
        <v>6</v>
      </c>
      <c r="G27" s="311">
        <v>212</v>
      </c>
      <c r="H27" s="312">
        <v>238</v>
      </c>
      <c r="I27" s="293" t="s">
        <v>304</v>
      </c>
      <c r="X27" s="292"/>
      <c r="Y27" s="296"/>
    </row>
    <row r="28" spans="1:254" s="299" customFormat="1" ht="18.75" customHeight="1" x14ac:dyDescent="0.25">
      <c r="A28" s="292" t="s">
        <v>306</v>
      </c>
      <c r="B28" s="296">
        <v>12673</v>
      </c>
      <c r="C28" s="313">
        <v>60</v>
      </c>
      <c r="D28" s="314">
        <v>123</v>
      </c>
      <c r="E28" s="313">
        <v>6</v>
      </c>
      <c r="F28" s="314">
        <v>6</v>
      </c>
      <c r="G28" s="311">
        <v>300</v>
      </c>
      <c r="H28" s="312">
        <v>267</v>
      </c>
      <c r="I28" s="293" t="s">
        <v>307</v>
      </c>
      <c r="J28" s="288"/>
      <c r="K28" s="288"/>
      <c r="L28" s="288"/>
      <c r="M28" s="288"/>
      <c r="N28" s="288"/>
      <c r="O28" s="288"/>
      <c r="P28" s="288"/>
      <c r="Q28" s="288"/>
      <c r="R28" s="288"/>
      <c r="S28" s="288"/>
      <c r="T28" s="288"/>
      <c r="U28" s="288"/>
      <c r="V28" s="288"/>
      <c r="W28" s="288"/>
      <c r="X28" s="292"/>
      <c r="Y28" s="296"/>
      <c r="Z28" s="288"/>
      <c r="AA28" s="288"/>
      <c r="AB28" s="288"/>
      <c r="AC28" s="288"/>
      <c r="AD28" s="288"/>
      <c r="AE28" s="288"/>
      <c r="AF28" s="288"/>
      <c r="AG28" s="288"/>
      <c r="AH28" s="288"/>
      <c r="AI28" s="288"/>
      <c r="AJ28" s="288"/>
      <c r="AK28" s="288"/>
      <c r="AL28" s="288"/>
      <c r="AM28" s="288"/>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8"/>
      <c r="BK28" s="288"/>
      <c r="BL28" s="288"/>
      <c r="BM28" s="288"/>
      <c r="BN28" s="288"/>
      <c r="BO28" s="288"/>
      <c r="BP28" s="288"/>
      <c r="BQ28" s="288"/>
      <c r="BR28" s="288"/>
      <c r="BS28" s="288"/>
      <c r="BT28" s="288"/>
      <c r="BU28" s="288"/>
      <c r="BV28" s="288"/>
      <c r="BW28" s="288"/>
      <c r="BX28" s="288"/>
      <c r="BY28" s="288"/>
      <c r="BZ28" s="288"/>
      <c r="CA28" s="288"/>
      <c r="CB28" s="288"/>
      <c r="CC28" s="288"/>
      <c r="CD28" s="288"/>
      <c r="CE28" s="288"/>
      <c r="CF28" s="288"/>
      <c r="CG28" s="288"/>
      <c r="CH28" s="288"/>
      <c r="CI28" s="288"/>
      <c r="CJ28" s="288"/>
      <c r="CK28" s="288"/>
      <c r="CL28" s="288"/>
      <c r="CM28" s="288"/>
      <c r="CN28" s="288"/>
      <c r="CO28" s="288"/>
      <c r="CP28" s="288"/>
      <c r="CQ28" s="288"/>
      <c r="CR28" s="288"/>
      <c r="CS28" s="288"/>
      <c r="CT28" s="288"/>
      <c r="CU28" s="288"/>
      <c r="CV28" s="288"/>
      <c r="CW28" s="288"/>
      <c r="CX28" s="288"/>
      <c r="CY28" s="288"/>
      <c r="CZ28" s="288"/>
      <c r="DA28" s="288"/>
      <c r="DB28" s="288"/>
      <c r="DC28" s="288"/>
      <c r="DD28" s="288"/>
      <c r="DE28" s="288"/>
      <c r="DF28" s="288"/>
      <c r="DG28" s="288"/>
      <c r="DH28" s="288"/>
      <c r="DI28" s="288"/>
      <c r="DJ28" s="288"/>
      <c r="DK28" s="288"/>
      <c r="DL28" s="288"/>
      <c r="DM28" s="288"/>
      <c r="DN28" s="288"/>
      <c r="DO28" s="288"/>
      <c r="DP28" s="288"/>
      <c r="DQ28" s="288"/>
      <c r="DR28" s="288"/>
      <c r="DS28" s="288"/>
      <c r="DT28" s="288"/>
      <c r="DU28" s="288"/>
      <c r="DV28" s="288"/>
      <c r="DW28" s="288"/>
      <c r="DX28" s="288"/>
      <c r="DY28" s="288"/>
      <c r="DZ28" s="288"/>
      <c r="EA28" s="288"/>
      <c r="EB28" s="288"/>
      <c r="EC28" s="288"/>
      <c r="ED28" s="288"/>
      <c r="EE28" s="288"/>
      <c r="EF28" s="288"/>
      <c r="EG28" s="288"/>
      <c r="EH28" s="288"/>
      <c r="EI28" s="288"/>
      <c r="EJ28" s="288"/>
      <c r="EK28" s="288"/>
      <c r="EL28" s="288"/>
      <c r="EM28" s="288"/>
      <c r="EN28" s="288"/>
      <c r="EO28" s="288"/>
      <c r="EP28" s="288"/>
      <c r="EQ28" s="288"/>
      <c r="ER28" s="288"/>
      <c r="ES28" s="288"/>
      <c r="ET28" s="288"/>
      <c r="EU28" s="288"/>
      <c r="EV28" s="288"/>
      <c r="EW28" s="288"/>
      <c r="EX28" s="288"/>
      <c r="EY28" s="288"/>
      <c r="EZ28" s="288"/>
      <c r="FA28" s="288"/>
      <c r="FB28" s="288"/>
      <c r="FC28" s="288"/>
      <c r="FD28" s="288"/>
      <c r="FE28" s="288"/>
      <c r="FF28" s="288"/>
      <c r="FG28" s="288"/>
      <c r="FH28" s="288"/>
      <c r="FI28" s="288"/>
      <c r="FJ28" s="288"/>
      <c r="FK28" s="288"/>
      <c r="FL28" s="288"/>
      <c r="FM28" s="288"/>
      <c r="FN28" s="288"/>
      <c r="FO28" s="288"/>
      <c r="FP28" s="288"/>
      <c r="FQ28" s="288"/>
      <c r="FR28" s="288"/>
      <c r="FS28" s="288"/>
      <c r="FT28" s="288"/>
      <c r="FU28" s="288"/>
      <c r="FV28" s="288"/>
      <c r="FW28" s="288"/>
      <c r="FX28" s="288"/>
      <c r="FY28" s="288"/>
      <c r="FZ28" s="288"/>
      <c r="GA28" s="288"/>
      <c r="GB28" s="288"/>
      <c r="GC28" s="288"/>
      <c r="GD28" s="288"/>
      <c r="GE28" s="288"/>
      <c r="GF28" s="288"/>
      <c r="GG28" s="288"/>
      <c r="GH28" s="288"/>
      <c r="GI28" s="288"/>
      <c r="GJ28" s="288"/>
      <c r="GK28" s="288"/>
      <c r="GL28" s="288"/>
      <c r="GM28" s="288"/>
      <c r="GN28" s="288"/>
      <c r="GO28" s="288"/>
      <c r="GP28" s="288"/>
      <c r="GQ28" s="288"/>
      <c r="GR28" s="288"/>
      <c r="GS28" s="288"/>
      <c r="GT28" s="288"/>
      <c r="GU28" s="288"/>
      <c r="GV28" s="288"/>
      <c r="GW28" s="288"/>
      <c r="GX28" s="288"/>
      <c r="GY28" s="288"/>
      <c r="GZ28" s="288"/>
      <c r="HA28" s="288"/>
      <c r="HB28" s="288"/>
      <c r="HC28" s="288"/>
      <c r="HD28" s="288"/>
      <c r="HE28" s="288"/>
      <c r="HF28" s="288"/>
      <c r="HG28" s="288"/>
      <c r="HH28" s="288"/>
      <c r="HI28" s="288"/>
      <c r="HJ28" s="288"/>
      <c r="HK28" s="288"/>
      <c r="HL28" s="288"/>
      <c r="HM28" s="288"/>
      <c r="HN28" s="288"/>
      <c r="HO28" s="288"/>
      <c r="HP28" s="288"/>
      <c r="HQ28" s="288"/>
      <c r="HR28" s="288"/>
      <c r="HS28" s="288"/>
      <c r="HT28" s="288"/>
      <c r="HU28" s="288"/>
      <c r="HV28" s="288"/>
      <c r="HW28" s="288"/>
      <c r="HX28" s="288"/>
      <c r="HY28" s="288"/>
      <c r="HZ28" s="288"/>
      <c r="IA28" s="288"/>
      <c r="IB28" s="288"/>
      <c r="IC28" s="288"/>
      <c r="ID28" s="288"/>
      <c r="IE28" s="288"/>
      <c r="IF28" s="288"/>
      <c r="IG28" s="288"/>
      <c r="IH28" s="288"/>
      <c r="II28" s="288"/>
      <c r="IJ28" s="288"/>
      <c r="IK28" s="288"/>
      <c r="IL28" s="288"/>
      <c r="IM28" s="288"/>
      <c r="IN28" s="288"/>
      <c r="IO28" s="288"/>
      <c r="IP28" s="288"/>
      <c r="IQ28" s="288"/>
      <c r="IR28" s="288"/>
      <c r="IS28" s="288"/>
      <c r="IT28" s="288"/>
    </row>
    <row r="29" spans="1:254" s="300" customFormat="1" ht="18.75" customHeight="1" x14ac:dyDescent="0.25">
      <c r="A29" s="297" t="s">
        <v>309</v>
      </c>
      <c r="B29" s="296">
        <v>18440</v>
      </c>
      <c r="C29" s="313">
        <v>177</v>
      </c>
      <c r="D29" s="314">
        <v>349</v>
      </c>
      <c r="E29" s="313">
        <v>9</v>
      </c>
      <c r="F29" s="314">
        <v>17</v>
      </c>
      <c r="G29" s="311">
        <v>428</v>
      </c>
      <c r="H29" s="312">
        <v>340</v>
      </c>
      <c r="I29" s="293" t="s">
        <v>310</v>
      </c>
      <c r="X29" s="292"/>
      <c r="Y29" s="296"/>
    </row>
    <row r="30" spans="1:254" s="299" customFormat="1" ht="18.75" customHeight="1" x14ac:dyDescent="0.25">
      <c r="A30" s="297" t="s">
        <v>312</v>
      </c>
      <c r="B30" s="296">
        <v>10673</v>
      </c>
      <c r="C30" s="313">
        <v>147</v>
      </c>
      <c r="D30" s="314">
        <v>281</v>
      </c>
      <c r="E30" s="313">
        <v>13</v>
      </c>
      <c r="F30" s="314">
        <v>23</v>
      </c>
      <c r="G30" s="311">
        <v>147</v>
      </c>
      <c r="H30" s="312">
        <v>229</v>
      </c>
      <c r="I30" s="293" t="s">
        <v>313</v>
      </c>
      <c r="X30" s="292"/>
      <c r="Y30" s="296"/>
    </row>
    <row r="31" spans="1:254" s="299" customFormat="1" ht="18.75" customHeight="1" x14ac:dyDescent="0.25">
      <c r="A31" s="301" t="s">
        <v>315</v>
      </c>
      <c r="B31" s="315">
        <v>28252</v>
      </c>
      <c r="C31" s="316">
        <v>300</v>
      </c>
      <c r="D31" s="317">
        <v>551</v>
      </c>
      <c r="E31" s="316">
        <v>9</v>
      </c>
      <c r="F31" s="317">
        <v>13</v>
      </c>
      <c r="G31" s="316">
        <v>375</v>
      </c>
      <c r="H31" s="318">
        <v>426</v>
      </c>
      <c r="I31" s="302" t="s">
        <v>316</v>
      </c>
      <c r="X31" s="292"/>
      <c r="Y31" s="296"/>
    </row>
    <row r="32" spans="1:254" s="303" customFormat="1" ht="17.25" customHeight="1" x14ac:dyDescent="0.2">
      <c r="A32" s="107" t="s">
        <v>318</v>
      </c>
      <c r="H32" s="304"/>
      <c r="X32" s="292"/>
      <c r="Y32" s="296"/>
    </row>
    <row r="33" spans="1:25" s="303" customFormat="1" ht="17.25" customHeight="1" x14ac:dyDescent="0.2">
      <c r="A33" s="305" t="s">
        <v>321</v>
      </c>
      <c r="F33" s="303" t="s">
        <v>1123</v>
      </c>
      <c r="H33" s="304"/>
      <c r="I33" s="306" t="s">
        <v>322</v>
      </c>
      <c r="X33" s="292"/>
      <c r="Y33" s="296"/>
    </row>
    <row r="34" spans="1:25" x14ac:dyDescent="0.25">
      <c r="X34" s="292"/>
      <c r="Y34" s="296"/>
    </row>
    <row r="35" spans="1:25" ht="17.25" x14ac:dyDescent="0.25">
      <c r="A35" s="305"/>
      <c r="I35" s="306"/>
      <c r="X35" s="292"/>
      <c r="Y35" s="296"/>
    </row>
    <row r="36" spans="1:25" s="616" customFormat="1" ht="21.75" x14ac:dyDescent="0.2">
      <c r="A36" s="895" t="s">
        <v>1072</v>
      </c>
      <c r="B36" s="895"/>
      <c r="C36" s="895"/>
      <c r="D36" s="895"/>
      <c r="E36" s="895"/>
      <c r="F36" s="895"/>
      <c r="G36" s="895"/>
      <c r="H36" s="895"/>
      <c r="I36" s="615"/>
    </row>
    <row r="37" spans="1:25" s="618" customFormat="1" ht="15.75" x14ac:dyDescent="0.2">
      <c r="A37" s="896" t="s">
        <v>1071</v>
      </c>
      <c r="B37" s="896"/>
      <c r="C37" s="896"/>
      <c r="D37" s="896"/>
      <c r="E37" s="896"/>
      <c r="F37" s="896"/>
      <c r="G37" s="896"/>
      <c r="H37" s="896"/>
      <c r="I37" s="617"/>
    </row>
    <row r="38" spans="1:25" s="268" customFormat="1" ht="6.75" customHeight="1" x14ac:dyDescent="0.2">
      <c r="A38" s="613"/>
      <c r="B38" s="613"/>
      <c r="C38" s="613"/>
      <c r="D38" s="613"/>
      <c r="E38" s="613"/>
      <c r="F38" s="613"/>
      <c r="G38" s="613"/>
      <c r="H38" s="613"/>
      <c r="I38" s="612"/>
    </row>
    <row r="39" spans="1:25" s="109" customFormat="1" ht="17.25" x14ac:dyDescent="0.45">
      <c r="A39" s="874" t="s">
        <v>244</v>
      </c>
      <c r="B39" s="836" t="s">
        <v>245</v>
      </c>
      <c r="C39" s="835" t="s">
        <v>246</v>
      </c>
      <c r="D39" s="837"/>
      <c r="E39" s="880" t="s">
        <v>247</v>
      </c>
      <c r="F39" s="881"/>
      <c r="G39" s="886" t="s">
        <v>249</v>
      </c>
      <c r="H39" s="888" t="s">
        <v>250</v>
      </c>
      <c r="I39" s="197"/>
    </row>
    <row r="40" spans="1:25" s="109" customFormat="1" ht="17.25" x14ac:dyDescent="0.45">
      <c r="A40" s="875"/>
      <c r="B40" s="877"/>
      <c r="C40" s="878"/>
      <c r="D40" s="879"/>
      <c r="E40" s="882"/>
      <c r="F40" s="883"/>
      <c r="G40" s="887"/>
      <c r="H40" s="889"/>
      <c r="I40" s="197"/>
    </row>
    <row r="41" spans="1:25" s="270" customFormat="1" ht="36" x14ac:dyDescent="0.25">
      <c r="A41" s="875"/>
      <c r="B41" s="269" t="s">
        <v>251</v>
      </c>
      <c r="C41" s="891" t="s">
        <v>252</v>
      </c>
      <c r="D41" s="892"/>
      <c r="E41" s="891" t="s">
        <v>253</v>
      </c>
      <c r="F41" s="892"/>
      <c r="G41" s="894" t="s">
        <v>254</v>
      </c>
      <c r="H41" s="889"/>
    </row>
    <row r="42" spans="1:25" s="274" customFormat="1" ht="12.75" x14ac:dyDescent="0.15">
      <c r="A42" s="875"/>
      <c r="B42" s="271" t="s">
        <v>255</v>
      </c>
      <c r="C42" s="272" t="s">
        <v>256</v>
      </c>
      <c r="D42" s="273" t="s">
        <v>257</v>
      </c>
      <c r="E42" s="272" t="s">
        <v>256</v>
      </c>
      <c r="F42" s="273" t="s">
        <v>258</v>
      </c>
      <c r="G42" s="894"/>
      <c r="H42" s="889"/>
    </row>
    <row r="43" spans="1:25" s="280" customFormat="1" ht="18.75" x14ac:dyDescent="0.25">
      <c r="A43" s="876"/>
      <c r="B43" s="275" t="s">
        <v>259</v>
      </c>
      <c r="C43" s="276" t="s">
        <v>260</v>
      </c>
      <c r="D43" s="277" t="s">
        <v>261</v>
      </c>
      <c r="E43" s="276" t="s">
        <v>262</v>
      </c>
      <c r="F43" s="277" t="s">
        <v>261</v>
      </c>
      <c r="G43" s="279"/>
      <c r="H43" s="890"/>
    </row>
    <row r="44" spans="1:25" s="288" customFormat="1" ht="18.75" x14ac:dyDescent="0.25">
      <c r="A44" s="281" t="s">
        <v>263</v>
      </c>
      <c r="B44" s="282">
        <f t="shared" ref="B44:F44" si="3">SUM(B45:B46)</f>
        <v>302104</v>
      </c>
      <c r="C44" s="283">
        <f t="shared" si="3"/>
        <v>2707</v>
      </c>
      <c r="D44" s="284">
        <f t="shared" si="3"/>
        <v>4553</v>
      </c>
      <c r="E44" s="283">
        <f t="shared" si="3"/>
        <v>100</v>
      </c>
      <c r="F44" s="284">
        <f t="shared" si="3"/>
        <v>141</v>
      </c>
      <c r="G44" s="286">
        <f>SUM(G45:G46)</f>
        <v>5601</v>
      </c>
      <c r="H44" s="287" t="s">
        <v>264</v>
      </c>
    </row>
    <row r="45" spans="1:25" s="290" customFormat="1" ht="18.75" x14ac:dyDescent="0.25">
      <c r="A45" s="289" t="s">
        <v>265</v>
      </c>
      <c r="B45" s="282">
        <v>49489</v>
      </c>
      <c r="C45" s="307">
        <v>1054</v>
      </c>
      <c r="D45" s="308">
        <v>1688</v>
      </c>
      <c r="E45" s="307">
        <v>26</v>
      </c>
      <c r="F45" s="308">
        <v>36</v>
      </c>
      <c r="G45" s="286">
        <v>1458</v>
      </c>
      <c r="H45" s="287" t="s">
        <v>266</v>
      </c>
    </row>
    <row r="46" spans="1:25" s="288" customFormat="1" ht="18.75" x14ac:dyDescent="0.25">
      <c r="A46" s="281" t="s">
        <v>267</v>
      </c>
      <c r="B46" s="285">
        <f t="shared" ref="B46:F46" si="4">SUM(B47:B66)</f>
        <v>252615</v>
      </c>
      <c r="C46" s="283">
        <f t="shared" si="4"/>
        <v>1653</v>
      </c>
      <c r="D46" s="284">
        <f t="shared" si="4"/>
        <v>2865</v>
      </c>
      <c r="E46" s="283">
        <f t="shared" si="4"/>
        <v>74</v>
      </c>
      <c r="F46" s="284">
        <f t="shared" si="4"/>
        <v>105</v>
      </c>
      <c r="G46" s="286">
        <f>SUM(G47:G66)</f>
        <v>4143</v>
      </c>
      <c r="H46" s="287" t="s">
        <v>268</v>
      </c>
    </row>
    <row r="47" spans="1:25" s="288" customFormat="1" ht="15.75" x14ac:dyDescent="0.25">
      <c r="A47" s="292" t="s">
        <v>269</v>
      </c>
      <c r="B47" s="296">
        <v>18659</v>
      </c>
      <c r="C47" s="309">
        <v>125</v>
      </c>
      <c r="D47" s="310">
        <v>200</v>
      </c>
      <c r="E47" s="309">
        <v>3</v>
      </c>
      <c r="F47" s="310">
        <v>3</v>
      </c>
      <c r="G47" s="312">
        <v>340</v>
      </c>
      <c r="H47" s="293" t="s">
        <v>270</v>
      </c>
    </row>
    <row r="48" spans="1:25" s="288" customFormat="1" ht="15.75" x14ac:dyDescent="0.25">
      <c r="A48" s="292" t="s">
        <v>271</v>
      </c>
      <c r="B48" s="296">
        <v>22166</v>
      </c>
      <c r="C48" s="313">
        <v>224</v>
      </c>
      <c r="D48" s="314">
        <v>374</v>
      </c>
      <c r="E48" s="313">
        <v>2</v>
      </c>
      <c r="F48" s="314">
        <v>2</v>
      </c>
      <c r="G48" s="312">
        <v>374</v>
      </c>
      <c r="H48" s="293" t="s">
        <v>272</v>
      </c>
    </row>
    <row r="49" spans="1:254" s="288" customFormat="1" ht="15.75" x14ac:dyDescent="0.25">
      <c r="A49" s="292" t="s">
        <v>273</v>
      </c>
      <c r="B49" s="296">
        <v>14630</v>
      </c>
      <c r="C49" s="313">
        <v>117</v>
      </c>
      <c r="D49" s="314">
        <v>189</v>
      </c>
      <c r="E49" s="313">
        <v>0</v>
      </c>
      <c r="F49" s="314">
        <v>0</v>
      </c>
      <c r="G49" s="312">
        <v>320</v>
      </c>
      <c r="H49" s="293" t="s">
        <v>274</v>
      </c>
    </row>
    <row r="50" spans="1:254" s="288" customFormat="1" ht="15.75" x14ac:dyDescent="0.25">
      <c r="A50" s="292" t="s">
        <v>275</v>
      </c>
      <c r="B50" s="296">
        <v>13115</v>
      </c>
      <c r="C50" s="313">
        <v>98</v>
      </c>
      <c r="D50" s="314">
        <v>165</v>
      </c>
      <c r="E50" s="313">
        <v>5</v>
      </c>
      <c r="F50" s="314">
        <v>6</v>
      </c>
      <c r="G50" s="312">
        <v>178</v>
      </c>
      <c r="H50" s="293" t="s">
        <v>276</v>
      </c>
    </row>
    <row r="51" spans="1:254" s="288" customFormat="1" ht="15.75" x14ac:dyDescent="0.25">
      <c r="A51" s="292" t="s">
        <v>277</v>
      </c>
      <c r="B51" s="296">
        <v>19277</v>
      </c>
      <c r="C51" s="313">
        <v>118</v>
      </c>
      <c r="D51" s="314">
        <v>210</v>
      </c>
      <c r="E51" s="313">
        <v>6</v>
      </c>
      <c r="F51" s="314">
        <v>6</v>
      </c>
      <c r="G51" s="312">
        <v>296</v>
      </c>
      <c r="H51" s="293" t="s">
        <v>278</v>
      </c>
    </row>
    <row r="52" spans="1:254" s="288" customFormat="1" ht="15.75" x14ac:dyDescent="0.25">
      <c r="A52" s="292" t="s">
        <v>279</v>
      </c>
      <c r="B52" s="296">
        <v>11950</v>
      </c>
      <c r="C52" s="313">
        <v>71</v>
      </c>
      <c r="D52" s="314">
        <v>118</v>
      </c>
      <c r="E52" s="313">
        <v>5</v>
      </c>
      <c r="F52" s="314">
        <v>5</v>
      </c>
      <c r="G52" s="312">
        <v>171</v>
      </c>
      <c r="H52" s="293" t="s">
        <v>280</v>
      </c>
    </row>
    <row r="53" spans="1:254" s="288" customFormat="1" ht="15.75" x14ac:dyDescent="0.25">
      <c r="A53" s="292" t="s">
        <v>281</v>
      </c>
      <c r="B53" s="296">
        <v>11097</v>
      </c>
      <c r="C53" s="313">
        <v>98</v>
      </c>
      <c r="D53" s="314">
        <v>151</v>
      </c>
      <c r="E53" s="313">
        <v>2</v>
      </c>
      <c r="F53" s="314">
        <v>2</v>
      </c>
      <c r="G53" s="312">
        <v>161</v>
      </c>
      <c r="H53" s="293" t="s">
        <v>282</v>
      </c>
    </row>
    <row r="54" spans="1:254" s="288" customFormat="1" ht="15.75" x14ac:dyDescent="0.25">
      <c r="A54" s="292" t="s">
        <v>283</v>
      </c>
      <c r="B54" s="296">
        <v>10660</v>
      </c>
      <c r="C54" s="313">
        <v>101</v>
      </c>
      <c r="D54" s="314">
        <v>185</v>
      </c>
      <c r="E54" s="313">
        <v>6</v>
      </c>
      <c r="F54" s="314">
        <v>6</v>
      </c>
      <c r="G54" s="312">
        <v>171</v>
      </c>
      <c r="H54" s="293" t="s">
        <v>284</v>
      </c>
    </row>
    <row r="55" spans="1:254" s="288" customFormat="1" ht="15.75" x14ac:dyDescent="0.25">
      <c r="A55" s="292" t="s">
        <v>285</v>
      </c>
      <c r="B55" s="296">
        <v>6537</v>
      </c>
      <c r="C55" s="313">
        <v>28</v>
      </c>
      <c r="D55" s="314">
        <v>51</v>
      </c>
      <c r="E55" s="313">
        <v>0</v>
      </c>
      <c r="F55" s="314">
        <v>0</v>
      </c>
      <c r="G55" s="312">
        <v>90</v>
      </c>
      <c r="H55" s="293" t="s">
        <v>286</v>
      </c>
      <c r="X55" s="1"/>
      <c r="Y55" s="294"/>
    </row>
    <row r="56" spans="1:254" s="288" customFormat="1" ht="15.75" x14ac:dyDescent="0.25">
      <c r="A56" s="292" t="s">
        <v>287</v>
      </c>
      <c r="B56" s="296">
        <v>9570</v>
      </c>
      <c r="C56" s="313">
        <v>36</v>
      </c>
      <c r="D56" s="314">
        <v>49</v>
      </c>
      <c r="E56" s="313">
        <v>4</v>
      </c>
      <c r="F56" s="314">
        <v>6</v>
      </c>
      <c r="G56" s="312">
        <v>197</v>
      </c>
      <c r="H56" s="293" t="s">
        <v>288</v>
      </c>
      <c r="X56" s="1"/>
      <c r="Y56" s="619">
        <v>2014</v>
      </c>
      <c r="Z56" s="288">
        <v>2015</v>
      </c>
    </row>
    <row r="57" spans="1:254" s="288" customFormat="1" ht="15.75" x14ac:dyDescent="0.25">
      <c r="A57" s="292" t="s">
        <v>289</v>
      </c>
      <c r="B57" s="296">
        <v>1770</v>
      </c>
      <c r="C57" s="313">
        <v>9</v>
      </c>
      <c r="D57" s="314">
        <v>16</v>
      </c>
      <c r="E57" s="313">
        <v>0</v>
      </c>
      <c r="F57" s="314">
        <v>0</v>
      </c>
      <c r="G57" s="312">
        <v>30</v>
      </c>
      <c r="H57" s="293" t="s">
        <v>290</v>
      </c>
      <c r="X57" s="295" t="s">
        <v>265</v>
      </c>
      <c r="Y57" s="282">
        <v>49489</v>
      </c>
      <c r="Z57" s="288">
        <v>52253</v>
      </c>
    </row>
    <row r="58" spans="1:254" s="288" customFormat="1" ht="15.75" x14ac:dyDescent="0.25">
      <c r="A58" s="292" t="s">
        <v>291</v>
      </c>
      <c r="B58" s="296">
        <v>6247</v>
      </c>
      <c r="C58" s="313">
        <v>32</v>
      </c>
      <c r="D58" s="314">
        <v>53</v>
      </c>
      <c r="E58" s="313">
        <v>2</v>
      </c>
      <c r="F58" s="314">
        <v>3</v>
      </c>
      <c r="G58" s="312">
        <v>72</v>
      </c>
      <c r="H58" s="293" t="s">
        <v>292</v>
      </c>
      <c r="X58" s="292" t="s">
        <v>293</v>
      </c>
      <c r="Y58" s="296">
        <v>18659</v>
      </c>
      <c r="Z58" s="288">
        <v>19492</v>
      </c>
    </row>
    <row r="59" spans="1:254" s="288" customFormat="1" ht="15.75" x14ac:dyDescent="0.25">
      <c r="A59" s="292" t="s">
        <v>294</v>
      </c>
      <c r="B59" s="296">
        <v>5176</v>
      </c>
      <c r="C59" s="313">
        <v>29</v>
      </c>
      <c r="D59" s="314">
        <v>51</v>
      </c>
      <c r="E59" s="313">
        <v>1</v>
      </c>
      <c r="F59" s="314">
        <v>5</v>
      </c>
      <c r="G59" s="312">
        <v>102</v>
      </c>
      <c r="H59" s="293" t="s">
        <v>295</v>
      </c>
      <c r="X59" s="292" t="s">
        <v>296</v>
      </c>
      <c r="Y59" s="296">
        <v>22166</v>
      </c>
      <c r="Z59" s="288">
        <v>23057</v>
      </c>
    </row>
    <row r="60" spans="1:254" s="288" customFormat="1" ht="15.75" x14ac:dyDescent="0.25">
      <c r="A60" s="292" t="s">
        <v>297</v>
      </c>
      <c r="B60" s="296">
        <v>6497</v>
      </c>
      <c r="C60" s="313">
        <v>51</v>
      </c>
      <c r="D60" s="314">
        <v>80</v>
      </c>
      <c r="E60" s="313">
        <v>2</v>
      </c>
      <c r="F60" s="314">
        <v>2</v>
      </c>
      <c r="G60" s="312">
        <v>85</v>
      </c>
      <c r="H60" s="293" t="s">
        <v>298</v>
      </c>
      <c r="X60" s="292" t="s">
        <v>299</v>
      </c>
      <c r="Y60" s="296">
        <v>14630</v>
      </c>
      <c r="Z60" s="288">
        <v>15572</v>
      </c>
    </row>
    <row r="61" spans="1:254" s="288" customFormat="1" ht="15.75" x14ac:dyDescent="0.25">
      <c r="A61" s="292" t="s">
        <v>300</v>
      </c>
      <c r="B61" s="296">
        <v>13508</v>
      </c>
      <c r="C61" s="313">
        <v>50</v>
      </c>
      <c r="D61" s="314">
        <v>83</v>
      </c>
      <c r="E61" s="313">
        <v>4</v>
      </c>
      <c r="F61" s="314">
        <v>5</v>
      </c>
      <c r="G61" s="312">
        <v>165</v>
      </c>
      <c r="H61" s="293" t="s">
        <v>301</v>
      </c>
      <c r="X61" s="292" t="s">
        <v>302</v>
      </c>
      <c r="Y61" s="296">
        <v>13115</v>
      </c>
      <c r="Z61" s="288">
        <v>14154</v>
      </c>
    </row>
    <row r="62" spans="1:254" s="298" customFormat="1" ht="18.75" customHeight="1" x14ac:dyDescent="0.25">
      <c r="A62" s="297" t="s">
        <v>303</v>
      </c>
      <c r="B62" s="296">
        <v>14567</v>
      </c>
      <c r="C62" s="313">
        <v>75</v>
      </c>
      <c r="D62" s="314">
        <v>113</v>
      </c>
      <c r="E62" s="313">
        <v>3</v>
      </c>
      <c r="F62" s="314">
        <v>6</v>
      </c>
      <c r="G62" s="312">
        <v>204</v>
      </c>
      <c r="H62" s="293" t="s">
        <v>304</v>
      </c>
      <c r="X62" s="292" t="s">
        <v>305</v>
      </c>
      <c r="Y62" s="296">
        <v>19277</v>
      </c>
      <c r="Z62" s="298">
        <v>20204</v>
      </c>
    </row>
    <row r="63" spans="1:254" s="299" customFormat="1" ht="18.75" customHeight="1" x14ac:dyDescent="0.25">
      <c r="A63" s="292" t="s">
        <v>306</v>
      </c>
      <c r="B63" s="296">
        <v>12163</v>
      </c>
      <c r="C63" s="313">
        <v>70</v>
      </c>
      <c r="D63" s="314">
        <v>137</v>
      </c>
      <c r="E63" s="313">
        <v>5</v>
      </c>
      <c r="F63" s="314">
        <v>5</v>
      </c>
      <c r="G63" s="312">
        <v>247</v>
      </c>
      <c r="H63" s="293" t="s">
        <v>307</v>
      </c>
      <c r="J63" s="288"/>
      <c r="K63" s="288"/>
      <c r="L63" s="288"/>
      <c r="M63" s="288"/>
      <c r="N63" s="288"/>
      <c r="O63" s="288"/>
      <c r="P63" s="288"/>
      <c r="Q63" s="288"/>
      <c r="R63" s="288"/>
      <c r="S63" s="288"/>
      <c r="T63" s="288"/>
      <c r="U63" s="288"/>
      <c r="V63" s="288"/>
      <c r="W63" s="288"/>
      <c r="X63" s="292" t="s">
        <v>308</v>
      </c>
      <c r="Y63" s="296">
        <v>11950</v>
      </c>
      <c r="Z63" s="288">
        <v>12455</v>
      </c>
      <c r="AA63" s="288"/>
      <c r="AB63" s="288"/>
      <c r="AC63" s="288"/>
      <c r="AD63" s="288"/>
      <c r="AE63" s="288"/>
      <c r="AF63" s="288"/>
      <c r="AG63" s="288"/>
      <c r="AH63" s="288"/>
      <c r="AI63" s="288"/>
      <c r="AJ63" s="288"/>
      <c r="AK63" s="288"/>
      <c r="AL63" s="288"/>
      <c r="AM63" s="288"/>
      <c r="AN63" s="288"/>
      <c r="AO63" s="288"/>
      <c r="AP63" s="288"/>
      <c r="AQ63" s="288"/>
      <c r="AR63" s="288"/>
      <c r="AS63" s="288"/>
      <c r="AT63" s="288"/>
      <c r="AU63" s="288"/>
      <c r="AV63" s="288"/>
      <c r="AW63" s="288"/>
      <c r="AX63" s="288"/>
      <c r="AY63" s="288"/>
      <c r="AZ63" s="288"/>
      <c r="BA63" s="288"/>
      <c r="BB63" s="288"/>
      <c r="BC63" s="288"/>
      <c r="BD63" s="288"/>
      <c r="BE63" s="288"/>
      <c r="BF63" s="288"/>
      <c r="BG63" s="288"/>
      <c r="BH63" s="288"/>
      <c r="BI63" s="288"/>
      <c r="BJ63" s="288"/>
      <c r="BK63" s="288"/>
      <c r="BL63" s="288"/>
      <c r="BM63" s="288"/>
      <c r="BN63" s="288"/>
      <c r="BO63" s="288"/>
      <c r="BP63" s="288"/>
      <c r="BQ63" s="288"/>
      <c r="BR63" s="288"/>
      <c r="BS63" s="288"/>
      <c r="BT63" s="288"/>
      <c r="BU63" s="288"/>
      <c r="BV63" s="288"/>
      <c r="BW63" s="288"/>
      <c r="BX63" s="288"/>
      <c r="BY63" s="288"/>
      <c r="BZ63" s="288"/>
      <c r="CA63" s="288"/>
      <c r="CB63" s="288"/>
      <c r="CC63" s="288"/>
      <c r="CD63" s="288"/>
      <c r="CE63" s="288"/>
      <c r="CF63" s="288"/>
      <c r="CG63" s="288"/>
      <c r="CH63" s="288"/>
      <c r="CI63" s="288"/>
      <c r="CJ63" s="288"/>
      <c r="CK63" s="288"/>
      <c r="CL63" s="288"/>
      <c r="CM63" s="288"/>
      <c r="CN63" s="288"/>
      <c r="CO63" s="288"/>
      <c r="CP63" s="288"/>
      <c r="CQ63" s="288"/>
      <c r="CR63" s="288"/>
      <c r="CS63" s="288"/>
      <c r="CT63" s="288"/>
      <c r="CU63" s="288"/>
      <c r="CV63" s="288"/>
      <c r="CW63" s="288"/>
      <c r="CX63" s="288"/>
      <c r="CY63" s="288"/>
      <c r="CZ63" s="288"/>
      <c r="DA63" s="288"/>
      <c r="DB63" s="288"/>
      <c r="DC63" s="288"/>
      <c r="DD63" s="288"/>
      <c r="DE63" s="288"/>
      <c r="DF63" s="288"/>
      <c r="DG63" s="288"/>
      <c r="DH63" s="288"/>
      <c r="DI63" s="288"/>
      <c r="DJ63" s="288"/>
      <c r="DK63" s="288"/>
      <c r="DL63" s="288"/>
      <c r="DM63" s="288"/>
      <c r="DN63" s="288"/>
      <c r="DO63" s="288"/>
      <c r="DP63" s="288"/>
      <c r="DQ63" s="288"/>
      <c r="DR63" s="288"/>
      <c r="DS63" s="288"/>
      <c r="DT63" s="288"/>
      <c r="DU63" s="288"/>
      <c r="DV63" s="288"/>
      <c r="DW63" s="288"/>
      <c r="DX63" s="288"/>
      <c r="DY63" s="288"/>
      <c r="DZ63" s="288"/>
      <c r="EA63" s="288"/>
      <c r="EB63" s="288"/>
      <c r="EC63" s="288"/>
      <c r="ED63" s="288"/>
      <c r="EE63" s="288"/>
      <c r="EF63" s="288"/>
      <c r="EG63" s="288"/>
      <c r="EH63" s="288"/>
      <c r="EI63" s="288"/>
      <c r="EJ63" s="288"/>
      <c r="EK63" s="288"/>
      <c r="EL63" s="288"/>
      <c r="EM63" s="288"/>
      <c r="EN63" s="288"/>
      <c r="EO63" s="288"/>
      <c r="EP63" s="288"/>
      <c r="EQ63" s="288"/>
      <c r="ER63" s="288"/>
      <c r="ES63" s="288"/>
      <c r="ET63" s="288"/>
      <c r="EU63" s="288"/>
      <c r="EV63" s="288"/>
      <c r="EW63" s="288"/>
      <c r="EX63" s="288"/>
      <c r="EY63" s="288"/>
      <c r="EZ63" s="288"/>
      <c r="FA63" s="288"/>
      <c r="FB63" s="288"/>
      <c r="FC63" s="288"/>
      <c r="FD63" s="288"/>
      <c r="FE63" s="288"/>
      <c r="FF63" s="288"/>
      <c r="FG63" s="288"/>
      <c r="FH63" s="288"/>
      <c r="FI63" s="288"/>
      <c r="FJ63" s="288"/>
      <c r="FK63" s="288"/>
      <c r="FL63" s="288"/>
      <c r="FM63" s="288"/>
      <c r="FN63" s="288"/>
      <c r="FO63" s="288"/>
      <c r="FP63" s="288"/>
      <c r="FQ63" s="288"/>
      <c r="FR63" s="288"/>
      <c r="FS63" s="288"/>
      <c r="FT63" s="288"/>
      <c r="FU63" s="288"/>
      <c r="FV63" s="288"/>
      <c r="FW63" s="288"/>
      <c r="FX63" s="288"/>
      <c r="FY63" s="288"/>
      <c r="FZ63" s="288"/>
      <c r="GA63" s="288"/>
      <c r="GB63" s="288"/>
      <c r="GC63" s="288"/>
      <c r="GD63" s="288"/>
      <c r="GE63" s="288"/>
      <c r="GF63" s="288"/>
      <c r="GG63" s="288"/>
      <c r="GH63" s="288"/>
      <c r="GI63" s="288"/>
      <c r="GJ63" s="288"/>
      <c r="GK63" s="288"/>
      <c r="GL63" s="288"/>
      <c r="GM63" s="288"/>
      <c r="GN63" s="288"/>
      <c r="GO63" s="288"/>
      <c r="GP63" s="288"/>
      <c r="GQ63" s="288"/>
      <c r="GR63" s="288"/>
      <c r="GS63" s="288"/>
      <c r="GT63" s="288"/>
      <c r="GU63" s="288"/>
      <c r="GV63" s="288"/>
      <c r="GW63" s="288"/>
      <c r="GX63" s="288"/>
      <c r="GY63" s="288"/>
      <c r="GZ63" s="288"/>
      <c r="HA63" s="288"/>
      <c r="HB63" s="288"/>
      <c r="HC63" s="288"/>
      <c r="HD63" s="288"/>
      <c r="HE63" s="288"/>
      <c r="HF63" s="288"/>
      <c r="HG63" s="288"/>
      <c r="HH63" s="288"/>
      <c r="HI63" s="288"/>
      <c r="HJ63" s="288"/>
      <c r="HK63" s="288"/>
      <c r="HL63" s="288"/>
      <c r="HM63" s="288"/>
      <c r="HN63" s="288"/>
      <c r="HO63" s="288"/>
      <c r="HP63" s="288"/>
      <c r="HQ63" s="288"/>
      <c r="HR63" s="288"/>
      <c r="HS63" s="288"/>
      <c r="HT63" s="288"/>
      <c r="HU63" s="288"/>
      <c r="HV63" s="288"/>
      <c r="HW63" s="288"/>
      <c r="HX63" s="288"/>
      <c r="HY63" s="288"/>
      <c r="HZ63" s="288"/>
      <c r="IA63" s="288"/>
      <c r="IB63" s="288"/>
      <c r="IC63" s="288"/>
      <c r="ID63" s="288"/>
      <c r="IE63" s="288"/>
      <c r="IF63" s="288"/>
      <c r="IG63" s="288"/>
      <c r="IH63" s="288"/>
      <c r="II63" s="288"/>
      <c r="IJ63" s="288"/>
      <c r="IK63" s="288"/>
      <c r="IL63" s="288"/>
      <c r="IM63" s="288"/>
      <c r="IN63" s="288"/>
      <c r="IO63" s="288"/>
      <c r="IP63" s="288"/>
      <c r="IQ63" s="288"/>
      <c r="IR63" s="288"/>
      <c r="IS63" s="288"/>
      <c r="IT63" s="288"/>
    </row>
    <row r="64" spans="1:254" s="300" customFormat="1" ht="18.75" customHeight="1" x14ac:dyDescent="0.25">
      <c r="A64" s="297" t="s">
        <v>309</v>
      </c>
      <c r="B64" s="296">
        <v>17520</v>
      </c>
      <c r="C64" s="313">
        <v>87</v>
      </c>
      <c r="D64" s="314">
        <v>179</v>
      </c>
      <c r="E64" s="313">
        <v>7</v>
      </c>
      <c r="F64" s="314">
        <v>12</v>
      </c>
      <c r="G64" s="312">
        <v>295</v>
      </c>
      <c r="H64" s="293" t="s">
        <v>310</v>
      </c>
      <c r="X64" s="292" t="s">
        <v>311</v>
      </c>
      <c r="Y64" s="296">
        <v>11097</v>
      </c>
      <c r="Z64" s="300">
        <v>11405</v>
      </c>
    </row>
    <row r="65" spans="1:26" s="299" customFormat="1" ht="18.75" customHeight="1" x14ac:dyDescent="0.25">
      <c r="A65" s="297" t="s">
        <v>312</v>
      </c>
      <c r="B65" s="296">
        <v>10203</v>
      </c>
      <c r="C65" s="313">
        <v>60</v>
      </c>
      <c r="D65" s="314">
        <v>127</v>
      </c>
      <c r="E65" s="313">
        <v>10</v>
      </c>
      <c r="F65" s="314">
        <v>21</v>
      </c>
      <c r="G65" s="312">
        <v>228</v>
      </c>
      <c r="H65" s="293" t="s">
        <v>313</v>
      </c>
      <c r="X65" s="292" t="s">
        <v>314</v>
      </c>
      <c r="Y65" s="296">
        <v>10660</v>
      </c>
      <c r="Z65" s="299">
        <v>11458</v>
      </c>
    </row>
    <row r="66" spans="1:26" s="299" customFormat="1" ht="18.75" customHeight="1" x14ac:dyDescent="0.25">
      <c r="A66" s="301" t="s">
        <v>315</v>
      </c>
      <c r="B66" s="315">
        <v>27303</v>
      </c>
      <c r="C66" s="316">
        <v>174</v>
      </c>
      <c r="D66" s="317">
        <v>334</v>
      </c>
      <c r="E66" s="316">
        <v>7</v>
      </c>
      <c r="F66" s="317">
        <v>10</v>
      </c>
      <c r="G66" s="318">
        <v>417</v>
      </c>
      <c r="H66" s="302" t="s">
        <v>316</v>
      </c>
      <c r="X66" s="292" t="s">
        <v>317</v>
      </c>
      <c r="Y66" s="296">
        <v>6537</v>
      </c>
      <c r="Z66" s="299">
        <v>6994</v>
      </c>
    </row>
    <row r="67" spans="1:26" s="303" customFormat="1" ht="17.25" customHeight="1" x14ac:dyDescent="0.2">
      <c r="A67" s="107" t="s">
        <v>318</v>
      </c>
      <c r="H67" s="304"/>
      <c r="X67" s="292" t="s">
        <v>319</v>
      </c>
      <c r="Y67" s="296">
        <v>9570</v>
      </c>
      <c r="Z67" s="303">
        <v>9969</v>
      </c>
    </row>
    <row r="68" spans="1:26" s="303" customFormat="1" ht="17.25" customHeight="1" x14ac:dyDescent="0.2">
      <c r="A68" s="166" t="s">
        <v>1048</v>
      </c>
      <c r="X68" s="292" t="s">
        <v>320</v>
      </c>
      <c r="Y68" s="296">
        <v>1770</v>
      </c>
      <c r="Z68" s="303">
        <v>2099</v>
      </c>
    </row>
    <row r="69" spans="1:26" ht="15" customHeight="1" x14ac:dyDescent="0.25">
      <c r="A69" s="305" t="s">
        <v>321</v>
      </c>
      <c r="H69" s="306" t="s">
        <v>322</v>
      </c>
      <c r="X69" s="292" t="s">
        <v>232</v>
      </c>
      <c r="Y69" s="296">
        <v>6247</v>
      </c>
      <c r="Z69" s="1">
        <v>6489</v>
      </c>
    </row>
    <row r="70" spans="1:26" ht="15" customHeight="1" x14ac:dyDescent="0.25">
      <c r="A70" s="305"/>
      <c r="I70" s="306"/>
      <c r="X70" s="292" t="s">
        <v>231</v>
      </c>
      <c r="Y70" s="296">
        <v>5176</v>
      </c>
      <c r="Z70" s="1">
        <v>5469</v>
      </c>
    </row>
    <row r="71" spans="1:26" ht="15" customHeight="1" x14ac:dyDescent="0.25">
      <c r="A71" s="305"/>
      <c r="I71" s="306"/>
      <c r="X71" s="292" t="s">
        <v>323</v>
      </c>
      <c r="Y71" s="296">
        <v>6497</v>
      </c>
      <c r="Z71" s="1">
        <v>6822</v>
      </c>
    </row>
    <row r="72" spans="1:26" ht="12" customHeight="1" x14ac:dyDescent="0.25">
      <c r="X72" s="292" t="s">
        <v>324</v>
      </c>
      <c r="Y72" s="296">
        <v>13508</v>
      </c>
      <c r="Z72" s="1">
        <v>14052</v>
      </c>
    </row>
    <row r="73" spans="1:26" x14ac:dyDescent="0.25">
      <c r="X73" s="297" t="s">
        <v>325</v>
      </c>
      <c r="Y73" s="296">
        <v>14567</v>
      </c>
      <c r="Z73" s="1">
        <v>15563</v>
      </c>
    </row>
    <row r="74" spans="1:26" x14ac:dyDescent="0.25">
      <c r="X74" s="292" t="s">
        <v>326</v>
      </c>
      <c r="Y74" s="296">
        <v>12163</v>
      </c>
      <c r="Z74" s="1">
        <v>12673</v>
      </c>
    </row>
    <row r="75" spans="1:26" x14ac:dyDescent="0.25">
      <c r="X75" s="292" t="s">
        <v>327</v>
      </c>
      <c r="Y75" s="296">
        <v>17520</v>
      </c>
      <c r="Z75" s="1">
        <v>18440</v>
      </c>
    </row>
    <row r="76" spans="1:26" x14ac:dyDescent="0.25">
      <c r="X76" s="292" t="s">
        <v>328</v>
      </c>
      <c r="Y76" s="296">
        <v>10203</v>
      </c>
      <c r="Z76" s="1">
        <v>10673</v>
      </c>
    </row>
    <row r="77" spans="1:26" x14ac:dyDescent="0.25">
      <c r="X77" s="301" t="s">
        <v>329</v>
      </c>
      <c r="Y77" s="296">
        <v>27303</v>
      </c>
      <c r="Z77" s="1">
        <v>28252</v>
      </c>
    </row>
    <row r="78" spans="1:26" x14ac:dyDescent="0.25">
      <c r="Y78" s="296"/>
    </row>
    <row r="79" spans="1:26" x14ac:dyDescent="0.25">
      <c r="Y79" s="315"/>
    </row>
    <row r="92" spans="8:8" x14ac:dyDescent="0.25">
      <c r="H92" s="1"/>
    </row>
  </sheetData>
  <sortState ref="A2:C25">
    <sortCondition ref="A2:A25"/>
  </sortState>
  <mergeCells count="24">
    <mergeCell ref="A39:A43"/>
    <mergeCell ref="B39:B40"/>
    <mergeCell ref="C39:D40"/>
    <mergeCell ref="E39:F40"/>
    <mergeCell ref="A36:H36"/>
    <mergeCell ref="A37:H37"/>
    <mergeCell ref="G39:G40"/>
    <mergeCell ref="H39:H43"/>
    <mergeCell ref="C41:D41"/>
    <mergeCell ref="E41:F41"/>
    <mergeCell ref="G41:G42"/>
    <mergeCell ref="A1:I1"/>
    <mergeCell ref="A2:I2"/>
    <mergeCell ref="A4:A8"/>
    <mergeCell ref="B4:B5"/>
    <mergeCell ref="C4:D5"/>
    <mergeCell ref="E4:F5"/>
    <mergeCell ref="G4:G5"/>
    <mergeCell ref="H4:H5"/>
    <mergeCell ref="I4:I8"/>
    <mergeCell ref="C6:D6"/>
    <mergeCell ref="E6:F6"/>
    <mergeCell ref="G6:G7"/>
    <mergeCell ref="H6:H7"/>
  </mergeCells>
  <pageMargins left="0.7" right="0.7" top="0.75" bottom="0.75" header="0.3" footer="0.3"/>
  <pageSetup paperSize="9" scale="81" orientation="landscape" horizontalDpi="4294967295" verticalDpi="4294967295" r:id="rId1"/>
  <rowBreaks count="2" manualBreakCount="2">
    <brk id="33" max="8" man="1"/>
    <brk id="69" max="8"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665"/>
  <sheetViews>
    <sheetView tabSelected="1" view="pageBreakPreview" topLeftCell="A163" zoomScaleNormal="100" zoomScaleSheetLayoutView="100" workbookViewId="0">
      <selection activeCell="E240" sqref="E240"/>
    </sheetView>
  </sheetViews>
  <sheetFormatPr defaultColWidth="9.140625" defaultRowHeight="15" x14ac:dyDescent="0.25"/>
  <cols>
    <col min="1" max="1" width="26.5703125" style="1" customWidth="1"/>
    <col min="2" max="2" width="12.42578125" style="370" customWidth="1"/>
    <col min="3" max="3" width="18.140625" style="1" customWidth="1"/>
    <col min="4" max="7" width="11.85546875" style="371" customWidth="1"/>
    <col min="8" max="8" width="14.5703125" style="371" customWidth="1"/>
    <col min="9" max="9" width="24" style="372" customWidth="1"/>
    <col min="10" max="10" width="27.42578125" style="1" customWidth="1"/>
    <col min="11" max="16384" width="9.140625" style="1"/>
  </cols>
  <sheetData>
    <row r="1" spans="1:10" s="319" customFormat="1" ht="6" customHeight="1" x14ac:dyDescent="0.2">
      <c r="B1" s="320"/>
      <c r="D1" s="321"/>
      <c r="E1" s="321"/>
      <c r="F1" s="321"/>
      <c r="G1" s="321"/>
      <c r="H1" s="321"/>
      <c r="I1" s="322"/>
    </row>
    <row r="2" spans="1:10" s="268" customFormat="1" ht="21" x14ac:dyDescent="0.2">
      <c r="A2" s="872" t="s">
        <v>1074</v>
      </c>
      <c r="B2" s="872"/>
      <c r="C2" s="872"/>
      <c r="D2" s="872"/>
      <c r="E2" s="872"/>
      <c r="F2" s="872"/>
      <c r="G2" s="872"/>
      <c r="H2" s="872"/>
      <c r="I2" s="872"/>
      <c r="J2" s="872"/>
    </row>
    <row r="3" spans="1:10" s="268" customFormat="1" x14ac:dyDescent="0.2">
      <c r="A3" s="897" t="s">
        <v>1073</v>
      </c>
      <c r="B3" s="897"/>
      <c r="C3" s="897"/>
      <c r="D3" s="897"/>
      <c r="E3" s="897"/>
      <c r="F3" s="897"/>
      <c r="G3" s="897"/>
      <c r="H3" s="897"/>
      <c r="I3" s="897"/>
      <c r="J3" s="897"/>
    </row>
    <row r="4" spans="1:10" s="109" customFormat="1" ht="17.25" x14ac:dyDescent="0.45">
      <c r="A4" s="323"/>
      <c r="B4" s="898" t="s">
        <v>2</v>
      </c>
      <c r="C4" s="836" t="s">
        <v>245</v>
      </c>
      <c r="D4" s="901" t="s">
        <v>246</v>
      </c>
      <c r="E4" s="901"/>
      <c r="F4" s="903" t="s">
        <v>247</v>
      </c>
      <c r="G4" s="903"/>
      <c r="H4" s="905" t="s">
        <v>248</v>
      </c>
      <c r="I4" s="907" t="s">
        <v>249</v>
      </c>
      <c r="J4" s="888" t="s">
        <v>250</v>
      </c>
    </row>
    <row r="5" spans="1:10" s="109" customFormat="1" ht="17.25" x14ac:dyDescent="0.45">
      <c r="A5" s="324"/>
      <c r="B5" s="899"/>
      <c r="C5" s="877"/>
      <c r="D5" s="902"/>
      <c r="E5" s="902"/>
      <c r="F5" s="904"/>
      <c r="G5" s="904"/>
      <c r="H5" s="906"/>
      <c r="I5" s="908"/>
      <c r="J5" s="889"/>
    </row>
    <row r="6" spans="1:10" s="327" customFormat="1" ht="25.5" x14ac:dyDescent="0.2">
      <c r="A6" s="325"/>
      <c r="B6" s="899"/>
      <c r="C6" s="326" t="s">
        <v>251</v>
      </c>
      <c r="D6" s="909" t="s">
        <v>252</v>
      </c>
      <c r="E6" s="909"/>
      <c r="F6" s="910" t="s">
        <v>253</v>
      </c>
      <c r="G6" s="911"/>
      <c r="H6" s="912" t="s">
        <v>330</v>
      </c>
      <c r="I6" s="914" t="s">
        <v>331</v>
      </c>
      <c r="J6" s="889"/>
    </row>
    <row r="7" spans="1:10" s="329" customFormat="1" ht="12.75" x14ac:dyDescent="0.2">
      <c r="A7" s="328" t="s">
        <v>244</v>
      </c>
      <c r="B7" s="899"/>
      <c r="C7" s="271" t="s">
        <v>255</v>
      </c>
      <c r="D7" s="272" t="s">
        <v>256</v>
      </c>
      <c r="E7" s="273" t="s">
        <v>257</v>
      </c>
      <c r="F7" s="271" t="s">
        <v>256</v>
      </c>
      <c r="G7" s="273" t="s">
        <v>258</v>
      </c>
      <c r="H7" s="912"/>
      <c r="I7" s="915"/>
      <c r="J7" s="889"/>
    </row>
    <row r="8" spans="1:10" s="280" customFormat="1" ht="18.75" x14ac:dyDescent="0.25">
      <c r="A8" s="330"/>
      <c r="B8" s="900"/>
      <c r="C8" s="331" t="s">
        <v>332</v>
      </c>
      <c r="D8" s="332" t="s">
        <v>260</v>
      </c>
      <c r="E8" s="333" t="s">
        <v>261</v>
      </c>
      <c r="F8" s="331" t="s">
        <v>262</v>
      </c>
      <c r="G8" s="333" t="s">
        <v>261</v>
      </c>
      <c r="H8" s="913"/>
      <c r="I8" s="916"/>
      <c r="J8" s="890"/>
    </row>
    <row r="9" spans="1:10" s="336" customFormat="1" ht="18.75" x14ac:dyDescent="0.2">
      <c r="A9" s="281" t="s">
        <v>263</v>
      </c>
      <c r="B9" s="285" t="e">
        <f>SUM(C9:I9)</f>
        <v>#VALUE!</v>
      </c>
      <c r="C9" s="285" t="e">
        <f t="shared" ref="C9:I9" si="0">C10+C11</f>
        <v>#VALUE!</v>
      </c>
      <c r="D9" s="334">
        <f t="shared" si="0"/>
        <v>3049</v>
      </c>
      <c r="E9" s="334">
        <f t="shared" si="0"/>
        <v>5230</v>
      </c>
      <c r="F9" s="334">
        <f t="shared" si="0"/>
        <v>107</v>
      </c>
      <c r="G9" s="334">
        <f t="shared" si="0"/>
        <v>151</v>
      </c>
      <c r="H9" s="334">
        <f t="shared" si="0"/>
        <v>5677</v>
      </c>
      <c r="I9" s="335">
        <f t="shared" si="0"/>
        <v>6176</v>
      </c>
      <c r="J9" s="287" t="s">
        <v>264</v>
      </c>
    </row>
    <row r="10" spans="1:10" s="336" customFormat="1" ht="18.75" x14ac:dyDescent="0.2">
      <c r="A10" s="289" t="s">
        <v>265</v>
      </c>
      <c r="B10" s="285">
        <f>SUM(C10:I10)</f>
        <v>58062</v>
      </c>
      <c r="C10" s="291">
        <v>52253</v>
      </c>
      <c r="D10" s="342">
        <v>931</v>
      </c>
      <c r="E10" s="342">
        <v>1468</v>
      </c>
      <c r="F10" s="342">
        <v>26</v>
      </c>
      <c r="G10" s="342">
        <v>35</v>
      </c>
      <c r="H10" s="311">
        <v>1724</v>
      </c>
      <c r="I10" s="342">
        <v>1625</v>
      </c>
      <c r="J10" s="287" t="s">
        <v>266</v>
      </c>
    </row>
    <row r="11" spans="1:10" s="336" customFormat="1" ht="18.75" x14ac:dyDescent="0.2">
      <c r="A11" s="281" t="s">
        <v>267</v>
      </c>
      <c r="B11" s="285" t="e">
        <f>SUM(C11:I11)</f>
        <v>#VALUE!</v>
      </c>
      <c r="C11" s="285" t="e">
        <f>C12+C28+C45+C61+C76+C94+C109+C116+C127+C137+C149+C156+C166+C173+C183+C198+C212+C224+C235+C238</f>
        <v>#VALUE!</v>
      </c>
      <c r="D11" s="334">
        <f t="shared" ref="D11:H11" si="1">D12+D28+D45+D61+D76+D94+D109+D116+D127+D137+D149+D156+D166+D173+D183+D198+D212+D224+D235+D238</f>
        <v>2118</v>
      </c>
      <c r="E11" s="334">
        <f t="shared" si="1"/>
        <v>3762</v>
      </c>
      <c r="F11" s="334">
        <f>F12+F26+F45+F61+F76+F94+F109+F116+F127+F137+F149+F156+F166+F173+F183+F198+F212+F224+F235+F238</f>
        <v>81</v>
      </c>
      <c r="G11" s="334">
        <f>G12+G26+G45+G61+G76+G94+G109+G116+G127+G137+G149+G156+G166+G173+G183+G198+G212+G224+G235+G238</f>
        <v>116</v>
      </c>
      <c r="H11" s="334">
        <f t="shared" si="1"/>
        <v>3953</v>
      </c>
      <c r="I11" s="334">
        <f>I12+I28+I45+I61+I76+I94+I109+I116+I127+I137+I149+I156+I166+I173+I183+I198+I212+I224+I235+I238</f>
        <v>4551</v>
      </c>
      <c r="J11" s="287" t="s">
        <v>268</v>
      </c>
    </row>
    <row r="12" spans="1:10" s="336" customFormat="1" ht="15.75" x14ac:dyDescent="0.2">
      <c r="A12" s="289" t="s">
        <v>269</v>
      </c>
      <c r="B12" s="285">
        <f t="shared" ref="B12:B26" si="2">SUM(C12:I12)</f>
        <v>20490</v>
      </c>
      <c r="C12" s="285">
        <f>SUM(C13:C26)</f>
        <v>19492</v>
      </c>
      <c r="D12" s="334">
        <f t="shared" ref="D12:H12" si="3">SUM(D13:D26)</f>
        <v>119</v>
      </c>
      <c r="E12" s="334">
        <f t="shared" si="3"/>
        <v>187</v>
      </c>
      <c r="F12" s="334">
        <f>SUM(F13:F26)</f>
        <v>3</v>
      </c>
      <c r="G12" s="334">
        <f>SUM(G13:G26)</f>
        <v>3</v>
      </c>
      <c r="H12" s="334">
        <f t="shared" si="3"/>
        <v>334</v>
      </c>
      <c r="I12" s="334">
        <f>SUM(I13:I26)</f>
        <v>352</v>
      </c>
      <c r="J12" s="337" t="s">
        <v>270</v>
      </c>
    </row>
    <row r="13" spans="1:10" s="338" customFormat="1" ht="15.75" x14ac:dyDescent="0.2">
      <c r="A13" s="292" t="s">
        <v>333</v>
      </c>
      <c r="B13" s="285">
        <f t="shared" si="2"/>
        <v>619</v>
      </c>
      <c r="C13" s="366">
        <v>588</v>
      </c>
      <c r="D13" s="346">
        <v>0</v>
      </c>
      <c r="E13" s="346">
        <v>0</v>
      </c>
      <c r="F13" s="346">
        <v>0</v>
      </c>
      <c r="G13" s="346">
        <v>0</v>
      </c>
      <c r="H13" s="340">
        <v>12</v>
      </c>
      <c r="I13" s="340">
        <v>19</v>
      </c>
      <c r="J13" s="293" t="s">
        <v>334</v>
      </c>
    </row>
    <row r="14" spans="1:10" s="338" customFormat="1" ht="15.75" x14ac:dyDescent="0.2">
      <c r="A14" s="292" t="s">
        <v>335</v>
      </c>
      <c r="B14" s="285">
        <f t="shared" si="2"/>
        <v>507</v>
      </c>
      <c r="C14" s="366">
        <v>472</v>
      </c>
      <c r="D14" s="346">
        <v>7</v>
      </c>
      <c r="E14" s="346">
        <v>14</v>
      </c>
      <c r="F14" s="346">
        <v>0</v>
      </c>
      <c r="G14" s="346">
        <v>0</v>
      </c>
      <c r="H14" s="340">
        <v>5</v>
      </c>
      <c r="I14" s="340">
        <v>9</v>
      </c>
      <c r="J14" s="293" t="s">
        <v>336</v>
      </c>
    </row>
    <row r="15" spans="1:10" s="338" customFormat="1" ht="15.75" x14ac:dyDescent="0.2">
      <c r="A15" s="292" t="s">
        <v>337</v>
      </c>
      <c r="B15" s="285">
        <f t="shared" si="2"/>
        <v>360</v>
      </c>
      <c r="C15" s="366">
        <v>340</v>
      </c>
      <c r="D15" s="346">
        <v>4</v>
      </c>
      <c r="E15" s="346">
        <v>6</v>
      </c>
      <c r="F15" s="346">
        <v>0</v>
      </c>
      <c r="G15" s="346">
        <v>0</v>
      </c>
      <c r="H15" s="340">
        <v>8</v>
      </c>
      <c r="I15" s="340">
        <v>2</v>
      </c>
      <c r="J15" s="293" t="s">
        <v>338</v>
      </c>
    </row>
    <row r="16" spans="1:10" s="338" customFormat="1" ht="15.75" x14ac:dyDescent="0.2">
      <c r="A16" s="292" t="s">
        <v>339</v>
      </c>
      <c r="B16" s="285">
        <f t="shared" si="2"/>
        <v>3131</v>
      </c>
      <c r="C16" s="366">
        <v>2963</v>
      </c>
      <c r="D16" s="346">
        <v>21</v>
      </c>
      <c r="E16" s="346">
        <v>35</v>
      </c>
      <c r="F16" s="346">
        <v>0</v>
      </c>
      <c r="G16" s="346">
        <v>0</v>
      </c>
      <c r="H16" s="340">
        <v>60</v>
      </c>
      <c r="I16" s="340">
        <v>52</v>
      </c>
      <c r="J16" s="293" t="s">
        <v>340</v>
      </c>
    </row>
    <row r="17" spans="1:21" s="338" customFormat="1" ht="15.75" x14ac:dyDescent="0.2">
      <c r="A17" s="292" t="s">
        <v>341</v>
      </c>
      <c r="B17" s="285">
        <f t="shared" si="2"/>
        <v>3106</v>
      </c>
      <c r="C17" s="366">
        <v>2906</v>
      </c>
      <c r="D17" s="346">
        <v>19</v>
      </c>
      <c r="E17" s="346">
        <v>35</v>
      </c>
      <c r="F17" s="346">
        <v>0</v>
      </c>
      <c r="G17" s="346">
        <v>0</v>
      </c>
      <c r="H17" s="340">
        <v>62</v>
      </c>
      <c r="I17" s="340">
        <v>84</v>
      </c>
      <c r="J17" s="293" t="s">
        <v>342</v>
      </c>
    </row>
    <row r="18" spans="1:21" s="338" customFormat="1" ht="15.75" x14ac:dyDescent="0.2">
      <c r="A18" s="292" t="s">
        <v>343</v>
      </c>
      <c r="B18" s="285">
        <f t="shared" si="2"/>
        <v>2051</v>
      </c>
      <c r="C18" s="366">
        <v>1941</v>
      </c>
      <c r="D18" s="346">
        <v>10</v>
      </c>
      <c r="E18" s="346">
        <v>15</v>
      </c>
      <c r="F18" s="346">
        <v>1</v>
      </c>
      <c r="G18" s="346">
        <v>1</v>
      </c>
      <c r="H18" s="340">
        <v>55</v>
      </c>
      <c r="I18" s="340">
        <v>28</v>
      </c>
      <c r="J18" s="293" t="s">
        <v>344</v>
      </c>
    </row>
    <row r="19" spans="1:21" s="338" customFormat="1" ht="15.75" x14ac:dyDescent="0.2">
      <c r="A19" s="292" t="s">
        <v>345</v>
      </c>
      <c r="B19" s="285">
        <f t="shared" si="2"/>
        <v>823</v>
      </c>
      <c r="C19" s="366">
        <v>786</v>
      </c>
      <c r="D19" s="346">
        <v>3</v>
      </c>
      <c r="E19" s="346">
        <v>6</v>
      </c>
      <c r="F19" s="346">
        <v>0</v>
      </c>
      <c r="G19" s="346">
        <v>0</v>
      </c>
      <c r="H19" s="340">
        <v>15</v>
      </c>
      <c r="I19" s="340">
        <v>13</v>
      </c>
      <c r="J19" s="293" t="s">
        <v>346</v>
      </c>
    </row>
    <row r="20" spans="1:21" s="338" customFormat="1" ht="15.75" x14ac:dyDescent="0.2">
      <c r="A20" s="292" t="s">
        <v>347</v>
      </c>
      <c r="B20" s="285">
        <f t="shared" si="2"/>
        <v>3659</v>
      </c>
      <c r="C20" s="366">
        <v>3518</v>
      </c>
      <c r="D20" s="346">
        <v>14</v>
      </c>
      <c r="E20" s="346">
        <v>18</v>
      </c>
      <c r="F20" s="346">
        <v>0</v>
      </c>
      <c r="G20" s="346">
        <v>0</v>
      </c>
      <c r="H20" s="340">
        <v>29</v>
      </c>
      <c r="I20" s="368">
        <v>80</v>
      </c>
      <c r="J20" s="293" t="s">
        <v>348</v>
      </c>
    </row>
    <row r="21" spans="1:21" s="338" customFormat="1" ht="15.75" x14ac:dyDescent="0.2">
      <c r="A21" s="292" t="s">
        <v>349</v>
      </c>
      <c r="B21" s="285">
        <f t="shared" si="2"/>
        <v>991</v>
      </c>
      <c r="C21" s="366">
        <v>947</v>
      </c>
      <c r="D21" s="346">
        <v>6</v>
      </c>
      <c r="E21" s="346">
        <v>10</v>
      </c>
      <c r="F21" s="346">
        <v>0</v>
      </c>
      <c r="G21" s="346">
        <v>0</v>
      </c>
      <c r="H21" s="340">
        <v>16</v>
      </c>
      <c r="I21" s="340">
        <v>12</v>
      </c>
      <c r="J21" s="293" t="s">
        <v>350</v>
      </c>
    </row>
    <row r="22" spans="1:21" s="338" customFormat="1" ht="15.75" x14ac:dyDescent="0.2">
      <c r="A22" s="292" t="s">
        <v>351</v>
      </c>
      <c r="B22" s="285">
        <f t="shared" si="2"/>
        <v>927</v>
      </c>
      <c r="C22" s="366">
        <v>894</v>
      </c>
      <c r="D22" s="346">
        <v>7</v>
      </c>
      <c r="E22" s="346">
        <v>12</v>
      </c>
      <c r="F22" s="346">
        <v>0</v>
      </c>
      <c r="G22" s="346">
        <v>0</v>
      </c>
      <c r="H22" s="340">
        <v>8</v>
      </c>
      <c r="I22" s="340">
        <v>6</v>
      </c>
      <c r="J22" s="293" t="s">
        <v>352</v>
      </c>
    </row>
    <row r="23" spans="1:21" s="338" customFormat="1" ht="15.75" x14ac:dyDescent="0.2">
      <c r="A23" s="292" t="s">
        <v>353</v>
      </c>
      <c r="B23" s="285">
        <f t="shared" si="2"/>
        <v>866</v>
      </c>
      <c r="C23" s="366">
        <v>831</v>
      </c>
      <c r="D23" s="346">
        <v>6</v>
      </c>
      <c r="E23" s="346">
        <v>7</v>
      </c>
      <c r="F23" s="346">
        <v>0</v>
      </c>
      <c r="G23" s="346">
        <v>0</v>
      </c>
      <c r="H23" s="340">
        <v>19</v>
      </c>
      <c r="I23" s="340">
        <v>3</v>
      </c>
      <c r="J23" s="293" t="s">
        <v>354</v>
      </c>
    </row>
    <row r="24" spans="1:21" s="338" customFormat="1" ht="15.75" x14ac:dyDescent="0.2">
      <c r="A24" s="292" t="s">
        <v>355</v>
      </c>
      <c r="B24" s="285">
        <f t="shared" si="2"/>
        <v>812</v>
      </c>
      <c r="C24" s="366">
        <v>772</v>
      </c>
      <c r="D24" s="346">
        <v>8</v>
      </c>
      <c r="E24" s="346">
        <v>10</v>
      </c>
      <c r="F24" s="346">
        <v>0</v>
      </c>
      <c r="G24" s="346">
        <v>0</v>
      </c>
      <c r="H24" s="340">
        <v>16</v>
      </c>
      <c r="I24" s="340">
        <v>6</v>
      </c>
      <c r="J24" s="293" t="s">
        <v>356</v>
      </c>
    </row>
    <row r="25" spans="1:21" s="338" customFormat="1" ht="15.75" x14ac:dyDescent="0.2">
      <c r="A25" s="292" t="s">
        <v>357</v>
      </c>
      <c r="B25" s="285">
        <f t="shared" si="2"/>
        <v>803</v>
      </c>
      <c r="C25" s="366">
        <v>786</v>
      </c>
      <c r="D25" s="346">
        <v>0</v>
      </c>
      <c r="E25" s="346">
        <v>0</v>
      </c>
      <c r="F25" s="346">
        <v>0</v>
      </c>
      <c r="G25" s="346">
        <v>0</v>
      </c>
      <c r="H25" s="340">
        <v>8</v>
      </c>
      <c r="I25" s="340">
        <v>9</v>
      </c>
      <c r="J25" s="293" t="s">
        <v>358</v>
      </c>
    </row>
    <row r="26" spans="1:21" s="338" customFormat="1" ht="15.75" x14ac:dyDescent="0.2">
      <c r="A26" s="297" t="s">
        <v>359</v>
      </c>
      <c r="B26" s="285">
        <f t="shared" si="2"/>
        <v>1835</v>
      </c>
      <c r="C26" s="366">
        <v>1748</v>
      </c>
      <c r="D26" s="346">
        <v>14</v>
      </c>
      <c r="E26" s="346">
        <v>19</v>
      </c>
      <c r="F26" s="346">
        <v>2</v>
      </c>
      <c r="G26" s="346">
        <v>2</v>
      </c>
      <c r="H26" s="340">
        <v>21</v>
      </c>
      <c r="I26" s="340">
        <v>29</v>
      </c>
      <c r="J26" s="293" t="s">
        <v>360</v>
      </c>
    </row>
    <row r="27" spans="1:21" s="338" customFormat="1" ht="15.75" x14ac:dyDescent="0.2">
      <c r="A27" s="297"/>
      <c r="B27" s="339"/>
      <c r="C27" s="348"/>
      <c r="D27" s="340"/>
      <c r="E27" s="340"/>
      <c r="F27" s="712"/>
      <c r="G27" s="341"/>
      <c r="H27" s="340"/>
      <c r="I27" s="342"/>
      <c r="J27" s="293"/>
    </row>
    <row r="28" spans="1:21" s="338" customFormat="1" ht="15.75" x14ac:dyDescent="0.2">
      <c r="A28" s="289" t="s">
        <v>271</v>
      </c>
      <c r="B28" s="285">
        <f t="shared" ref="B28:B43" si="4">SUM(C28:I28)</f>
        <v>24275</v>
      </c>
      <c r="C28" s="285">
        <f>SUM(C29:C43)</f>
        <v>23057</v>
      </c>
      <c r="D28" s="334">
        <f t="shared" ref="D28:H28" si="5">SUM(D29:D43)</f>
        <v>214</v>
      </c>
      <c r="E28" s="334">
        <f t="shared" si="5"/>
        <v>370</v>
      </c>
      <c r="F28" s="334">
        <f>SUM(F29:F43)</f>
        <v>2</v>
      </c>
      <c r="G28" s="334">
        <f>SUM(G29:G43)</f>
        <v>2</v>
      </c>
      <c r="H28" s="334">
        <f t="shared" si="5"/>
        <v>173</v>
      </c>
      <c r="I28" s="334">
        <f>SUM(I29:I43)</f>
        <v>457</v>
      </c>
      <c r="J28" s="337" t="s">
        <v>272</v>
      </c>
      <c r="K28" s="336"/>
      <c r="L28" s="336"/>
      <c r="M28" s="336"/>
      <c r="N28" s="336"/>
      <c r="O28" s="336"/>
      <c r="P28" s="336"/>
      <c r="Q28" s="336"/>
      <c r="R28" s="336"/>
      <c r="S28" s="336"/>
      <c r="T28" s="336"/>
      <c r="U28" s="336"/>
    </row>
    <row r="29" spans="1:21" s="338" customFormat="1" ht="15.75" x14ac:dyDescent="0.2">
      <c r="A29" s="292" t="s">
        <v>361</v>
      </c>
      <c r="B29" s="285">
        <f t="shared" si="4"/>
        <v>1874</v>
      </c>
      <c r="C29" s="366">
        <v>1771</v>
      </c>
      <c r="D29" s="367">
        <v>21</v>
      </c>
      <c r="E29" s="367">
        <v>35</v>
      </c>
      <c r="F29" s="346">
        <v>1</v>
      </c>
      <c r="G29" s="346">
        <v>1</v>
      </c>
      <c r="H29" s="340">
        <v>17</v>
      </c>
      <c r="I29" s="340">
        <v>28</v>
      </c>
      <c r="J29" s="293" t="s">
        <v>362</v>
      </c>
    </row>
    <row r="30" spans="1:21" s="338" customFormat="1" ht="15.75" x14ac:dyDescent="0.2">
      <c r="A30" s="292" t="s">
        <v>363</v>
      </c>
      <c r="B30" s="285">
        <f t="shared" si="4"/>
        <v>506</v>
      </c>
      <c r="C30" s="366">
        <v>493</v>
      </c>
      <c r="D30" s="367">
        <v>1</v>
      </c>
      <c r="E30" s="367">
        <v>1</v>
      </c>
      <c r="F30" s="346">
        <v>0</v>
      </c>
      <c r="G30" s="346">
        <v>0</v>
      </c>
      <c r="H30" s="340">
        <v>3</v>
      </c>
      <c r="I30" s="340">
        <v>8</v>
      </c>
      <c r="J30" s="293" t="s">
        <v>364</v>
      </c>
    </row>
    <row r="31" spans="1:21" s="338" customFormat="1" ht="15.75" x14ac:dyDescent="0.2">
      <c r="A31" s="292" t="s">
        <v>365</v>
      </c>
      <c r="B31" s="285">
        <f t="shared" si="4"/>
        <v>727</v>
      </c>
      <c r="C31" s="366">
        <v>712</v>
      </c>
      <c r="D31" s="367">
        <v>1</v>
      </c>
      <c r="E31" s="367">
        <v>1</v>
      </c>
      <c r="F31" s="346">
        <v>0</v>
      </c>
      <c r="G31" s="346">
        <v>0</v>
      </c>
      <c r="H31" s="340">
        <v>2</v>
      </c>
      <c r="I31" s="340">
        <v>11</v>
      </c>
      <c r="J31" s="293" t="s">
        <v>366</v>
      </c>
    </row>
    <row r="32" spans="1:21" s="338" customFormat="1" ht="15.75" x14ac:dyDescent="0.2">
      <c r="A32" s="292" t="s">
        <v>367</v>
      </c>
      <c r="B32" s="285">
        <f t="shared" si="4"/>
        <v>470</v>
      </c>
      <c r="C32" s="366">
        <v>459</v>
      </c>
      <c r="D32" s="367">
        <v>1</v>
      </c>
      <c r="E32" s="367">
        <v>2</v>
      </c>
      <c r="F32" s="346">
        <v>0</v>
      </c>
      <c r="G32" s="346">
        <v>0</v>
      </c>
      <c r="H32" s="340">
        <v>1</v>
      </c>
      <c r="I32" s="340">
        <v>7</v>
      </c>
      <c r="J32" s="293" t="s">
        <v>368</v>
      </c>
    </row>
    <row r="33" spans="1:10" s="338" customFormat="1" ht="15.75" x14ac:dyDescent="0.2">
      <c r="A33" s="292" t="s">
        <v>369</v>
      </c>
      <c r="B33" s="285">
        <f t="shared" si="4"/>
        <v>1658</v>
      </c>
      <c r="C33" s="366">
        <v>1576</v>
      </c>
      <c r="D33" s="367">
        <v>8</v>
      </c>
      <c r="E33" s="367">
        <v>13</v>
      </c>
      <c r="F33" s="346">
        <v>0</v>
      </c>
      <c r="G33" s="346">
        <v>0</v>
      </c>
      <c r="H33" s="340">
        <v>18</v>
      </c>
      <c r="I33" s="340">
        <v>43</v>
      </c>
      <c r="J33" s="293" t="s">
        <v>370</v>
      </c>
    </row>
    <row r="34" spans="1:10" s="338" customFormat="1" ht="15.75" x14ac:dyDescent="0.2">
      <c r="A34" s="292" t="s">
        <v>371</v>
      </c>
      <c r="B34" s="285">
        <f t="shared" si="4"/>
        <v>1178</v>
      </c>
      <c r="C34" s="366">
        <v>1132</v>
      </c>
      <c r="D34" s="367">
        <v>5</v>
      </c>
      <c r="E34" s="367">
        <v>9</v>
      </c>
      <c r="F34" s="346">
        <v>0</v>
      </c>
      <c r="G34" s="346">
        <v>0</v>
      </c>
      <c r="H34" s="340">
        <v>11</v>
      </c>
      <c r="I34" s="340">
        <v>21</v>
      </c>
      <c r="J34" s="293" t="s">
        <v>372</v>
      </c>
    </row>
    <row r="35" spans="1:10" s="338" customFormat="1" ht="15.75" x14ac:dyDescent="0.2">
      <c r="A35" s="292" t="s">
        <v>373</v>
      </c>
      <c r="B35" s="285">
        <f t="shared" si="4"/>
        <v>2403</v>
      </c>
      <c r="C35" s="366">
        <v>2274</v>
      </c>
      <c r="D35" s="367">
        <v>27</v>
      </c>
      <c r="E35" s="367">
        <v>53</v>
      </c>
      <c r="F35" s="346">
        <v>0</v>
      </c>
      <c r="G35" s="346">
        <v>0</v>
      </c>
      <c r="H35" s="340">
        <v>9</v>
      </c>
      <c r="I35" s="340">
        <v>40</v>
      </c>
      <c r="J35" s="293" t="s">
        <v>374</v>
      </c>
    </row>
    <row r="36" spans="1:10" s="338" customFormat="1" ht="15.75" x14ac:dyDescent="0.2">
      <c r="A36" s="297" t="s">
        <v>375</v>
      </c>
      <c r="B36" s="285">
        <f t="shared" si="4"/>
        <v>684</v>
      </c>
      <c r="C36" s="366">
        <v>647</v>
      </c>
      <c r="D36" s="367">
        <v>6</v>
      </c>
      <c r="E36" s="367">
        <v>11</v>
      </c>
      <c r="F36" s="346">
        <v>1</v>
      </c>
      <c r="G36" s="346">
        <v>1</v>
      </c>
      <c r="H36" s="340">
        <v>5</v>
      </c>
      <c r="I36" s="340">
        <v>13</v>
      </c>
      <c r="J36" s="293" t="s">
        <v>376</v>
      </c>
    </row>
    <row r="37" spans="1:10" s="338" customFormat="1" ht="15.75" x14ac:dyDescent="0.2">
      <c r="A37" s="292" t="s">
        <v>377</v>
      </c>
      <c r="B37" s="285">
        <f t="shared" si="4"/>
        <v>15</v>
      </c>
      <c r="C37" s="366">
        <v>4</v>
      </c>
      <c r="D37" s="367">
        <v>0</v>
      </c>
      <c r="E37" s="367">
        <v>0</v>
      </c>
      <c r="F37" s="346">
        <v>0</v>
      </c>
      <c r="G37" s="346">
        <v>0</v>
      </c>
      <c r="H37" s="340">
        <v>0</v>
      </c>
      <c r="I37" s="340">
        <v>11</v>
      </c>
      <c r="J37" s="293" t="s">
        <v>378</v>
      </c>
    </row>
    <row r="38" spans="1:10" s="338" customFormat="1" ht="15.75" x14ac:dyDescent="0.2">
      <c r="A38" s="292" t="s">
        <v>379</v>
      </c>
      <c r="B38" s="285">
        <f t="shared" si="4"/>
        <v>8813</v>
      </c>
      <c r="C38" s="366">
        <v>8297</v>
      </c>
      <c r="D38" s="367">
        <v>107</v>
      </c>
      <c r="E38" s="367">
        <v>177</v>
      </c>
      <c r="F38" s="346">
        <v>0</v>
      </c>
      <c r="G38" s="346">
        <v>0</v>
      </c>
      <c r="H38" s="340">
        <v>54</v>
      </c>
      <c r="I38" s="340">
        <v>178</v>
      </c>
      <c r="J38" s="293" t="s">
        <v>380</v>
      </c>
    </row>
    <row r="39" spans="1:10" s="338" customFormat="1" ht="15.75" x14ac:dyDescent="0.2">
      <c r="A39" s="292" t="s">
        <v>381</v>
      </c>
      <c r="B39" s="285">
        <f t="shared" si="4"/>
        <v>1344</v>
      </c>
      <c r="C39" s="366">
        <v>1276</v>
      </c>
      <c r="D39" s="367">
        <v>9</v>
      </c>
      <c r="E39" s="367">
        <v>21</v>
      </c>
      <c r="F39" s="346">
        <v>0</v>
      </c>
      <c r="G39" s="346">
        <v>0</v>
      </c>
      <c r="H39" s="340">
        <v>16</v>
      </c>
      <c r="I39" s="340">
        <v>22</v>
      </c>
      <c r="J39" s="293" t="s">
        <v>382</v>
      </c>
    </row>
    <row r="40" spans="1:10" s="338" customFormat="1" ht="15.75" x14ac:dyDescent="0.2">
      <c r="A40" s="292" t="s">
        <v>383</v>
      </c>
      <c r="B40" s="285">
        <f t="shared" si="4"/>
        <v>1289</v>
      </c>
      <c r="C40" s="366">
        <v>1225</v>
      </c>
      <c r="D40" s="367">
        <v>14</v>
      </c>
      <c r="E40" s="367">
        <v>23</v>
      </c>
      <c r="F40" s="346">
        <v>0</v>
      </c>
      <c r="G40" s="346">
        <v>0</v>
      </c>
      <c r="H40" s="340">
        <v>9</v>
      </c>
      <c r="I40" s="340">
        <v>18</v>
      </c>
      <c r="J40" s="293" t="s">
        <v>384</v>
      </c>
    </row>
    <row r="41" spans="1:10" s="338" customFormat="1" ht="15.75" x14ac:dyDescent="0.2">
      <c r="A41" s="292" t="s">
        <v>385</v>
      </c>
      <c r="B41" s="285">
        <f t="shared" si="4"/>
        <v>1733</v>
      </c>
      <c r="C41" s="366">
        <v>1656</v>
      </c>
      <c r="D41" s="367">
        <v>9</v>
      </c>
      <c r="E41" s="367">
        <v>16</v>
      </c>
      <c r="F41" s="346">
        <v>0</v>
      </c>
      <c r="G41" s="346">
        <v>0</v>
      </c>
      <c r="H41" s="340">
        <v>19</v>
      </c>
      <c r="I41" s="340">
        <v>33</v>
      </c>
      <c r="J41" s="293" t="s">
        <v>386</v>
      </c>
    </row>
    <row r="42" spans="1:10" s="338" customFormat="1" ht="15.75" x14ac:dyDescent="0.2">
      <c r="A42" s="292" t="s">
        <v>387</v>
      </c>
      <c r="B42" s="285">
        <f t="shared" si="4"/>
        <v>32</v>
      </c>
      <c r="C42" s="366">
        <v>31</v>
      </c>
      <c r="D42" s="367">
        <v>0</v>
      </c>
      <c r="E42" s="367">
        <v>0</v>
      </c>
      <c r="F42" s="346">
        <v>0</v>
      </c>
      <c r="G42" s="346">
        <v>0</v>
      </c>
      <c r="H42" s="340">
        <v>0</v>
      </c>
      <c r="I42" s="340">
        <v>1</v>
      </c>
      <c r="J42" s="293" t="s">
        <v>388</v>
      </c>
    </row>
    <row r="43" spans="1:10" s="338" customFormat="1" ht="15.75" x14ac:dyDescent="0.2">
      <c r="A43" s="297" t="s">
        <v>389</v>
      </c>
      <c r="B43" s="285">
        <f t="shared" si="4"/>
        <v>1549</v>
      </c>
      <c r="C43" s="366">
        <v>1504</v>
      </c>
      <c r="D43" s="367">
        <v>5</v>
      </c>
      <c r="E43" s="367">
        <v>8</v>
      </c>
      <c r="F43" s="346">
        <v>0</v>
      </c>
      <c r="G43" s="346">
        <v>0</v>
      </c>
      <c r="H43" s="340">
        <v>9</v>
      </c>
      <c r="I43" s="340">
        <v>23</v>
      </c>
      <c r="J43" s="293" t="s">
        <v>390</v>
      </c>
    </row>
    <row r="44" spans="1:10" s="338" customFormat="1" ht="12.75" x14ac:dyDescent="0.2">
      <c r="A44" s="297"/>
      <c r="B44" s="343"/>
      <c r="C44" s="621"/>
      <c r="D44" s="340"/>
      <c r="E44" s="340"/>
      <c r="F44" s="340"/>
      <c r="G44" s="340"/>
      <c r="H44" s="340"/>
      <c r="I44" s="342"/>
    </row>
    <row r="45" spans="1:10" s="338" customFormat="1" ht="15.75" x14ac:dyDescent="0.2">
      <c r="A45" s="289" t="s">
        <v>273</v>
      </c>
      <c r="B45" s="285">
        <f t="shared" ref="B45:B59" si="6">SUM(C45:I45)</f>
        <v>16354</v>
      </c>
      <c r="C45" s="285">
        <f>SUM(C46:C59)</f>
        <v>15572</v>
      </c>
      <c r="D45" s="334">
        <f t="shared" ref="D45:I45" si="7">SUM(D46:D59)</f>
        <v>106</v>
      </c>
      <c r="E45" s="334">
        <f t="shared" si="7"/>
        <v>171</v>
      </c>
      <c r="F45" s="334">
        <f>SUM(F46:F59)</f>
        <v>0</v>
      </c>
      <c r="G45" s="334">
        <f>SUM(G46:G59)</f>
        <v>0</v>
      </c>
      <c r="H45" s="334">
        <f>SUM(H46:H59)</f>
        <v>173</v>
      </c>
      <c r="I45" s="334">
        <f t="shared" si="7"/>
        <v>332</v>
      </c>
      <c r="J45" s="337" t="s">
        <v>274</v>
      </c>
    </row>
    <row r="46" spans="1:10" s="338" customFormat="1" ht="15.75" x14ac:dyDescent="0.2">
      <c r="A46" s="292" t="s">
        <v>391</v>
      </c>
      <c r="B46" s="285">
        <f t="shared" si="6"/>
        <v>1385</v>
      </c>
      <c r="C46" s="366">
        <v>1344</v>
      </c>
      <c r="D46" s="340">
        <v>5</v>
      </c>
      <c r="E46" s="340">
        <v>5</v>
      </c>
      <c r="F46" s="346">
        <v>0</v>
      </c>
      <c r="G46" s="346">
        <v>0</v>
      </c>
      <c r="H46" s="340">
        <v>12</v>
      </c>
      <c r="I46" s="340">
        <v>19</v>
      </c>
      <c r="J46" s="293" t="s">
        <v>392</v>
      </c>
    </row>
    <row r="47" spans="1:10" s="338" customFormat="1" ht="15.75" x14ac:dyDescent="0.2">
      <c r="A47" s="292" t="s">
        <v>393</v>
      </c>
      <c r="B47" s="285">
        <f t="shared" si="6"/>
        <v>435</v>
      </c>
      <c r="C47" s="366">
        <v>417</v>
      </c>
      <c r="D47" s="340">
        <v>2</v>
      </c>
      <c r="E47" s="340">
        <v>2</v>
      </c>
      <c r="F47" s="346">
        <v>0</v>
      </c>
      <c r="G47" s="346">
        <v>0</v>
      </c>
      <c r="H47" s="340">
        <v>4</v>
      </c>
      <c r="I47" s="340">
        <v>10</v>
      </c>
      <c r="J47" s="293" t="s">
        <v>394</v>
      </c>
    </row>
    <row r="48" spans="1:10" s="338" customFormat="1" ht="15.75" x14ac:dyDescent="0.2">
      <c r="A48" s="292" t="s">
        <v>395</v>
      </c>
      <c r="B48" s="285">
        <f t="shared" si="6"/>
        <v>720</v>
      </c>
      <c r="C48" s="366">
        <v>677</v>
      </c>
      <c r="D48" s="340">
        <v>8</v>
      </c>
      <c r="E48" s="340">
        <v>12</v>
      </c>
      <c r="F48" s="346">
        <v>0</v>
      </c>
      <c r="G48" s="346">
        <v>0</v>
      </c>
      <c r="H48" s="340">
        <v>10</v>
      </c>
      <c r="I48" s="340">
        <v>13</v>
      </c>
      <c r="J48" s="293" t="s">
        <v>396</v>
      </c>
    </row>
    <row r="49" spans="1:10" s="338" customFormat="1" ht="15.75" x14ac:dyDescent="0.2">
      <c r="A49" s="292" t="s">
        <v>397</v>
      </c>
      <c r="B49" s="285">
        <f t="shared" si="6"/>
        <v>1112</v>
      </c>
      <c r="C49" s="366">
        <v>1051</v>
      </c>
      <c r="D49" s="340">
        <v>8</v>
      </c>
      <c r="E49" s="340">
        <v>15</v>
      </c>
      <c r="F49" s="346">
        <v>0</v>
      </c>
      <c r="G49" s="346">
        <v>0</v>
      </c>
      <c r="H49" s="340">
        <v>11</v>
      </c>
      <c r="I49" s="340">
        <v>27</v>
      </c>
      <c r="J49" s="293" t="s">
        <v>398</v>
      </c>
    </row>
    <row r="50" spans="1:10" s="338" customFormat="1" ht="15.75" x14ac:dyDescent="0.2">
      <c r="A50" s="292" t="s">
        <v>399</v>
      </c>
      <c r="B50" s="285">
        <f t="shared" si="6"/>
        <v>951</v>
      </c>
      <c r="C50" s="366">
        <v>909</v>
      </c>
      <c r="D50" s="340">
        <v>4</v>
      </c>
      <c r="E50" s="340">
        <v>7</v>
      </c>
      <c r="F50" s="346">
        <v>0</v>
      </c>
      <c r="G50" s="346">
        <v>0</v>
      </c>
      <c r="H50" s="340">
        <v>16</v>
      </c>
      <c r="I50" s="340">
        <v>15</v>
      </c>
      <c r="J50" s="293" t="s">
        <v>400</v>
      </c>
    </row>
    <row r="51" spans="1:10" s="338" customFormat="1" ht="15.75" x14ac:dyDescent="0.2">
      <c r="A51" s="292" t="s">
        <v>401</v>
      </c>
      <c r="B51" s="285">
        <f t="shared" si="6"/>
        <v>630</v>
      </c>
      <c r="C51" s="366">
        <v>600</v>
      </c>
      <c r="D51" s="340">
        <v>0</v>
      </c>
      <c r="E51" s="340">
        <v>0</v>
      </c>
      <c r="F51" s="346">
        <v>0</v>
      </c>
      <c r="G51" s="346">
        <v>0</v>
      </c>
      <c r="H51" s="340">
        <v>8</v>
      </c>
      <c r="I51" s="340">
        <v>22</v>
      </c>
      <c r="J51" s="293" t="s">
        <v>402</v>
      </c>
    </row>
    <row r="52" spans="1:10" s="338" customFormat="1" ht="15.75" x14ac:dyDescent="0.2">
      <c r="A52" s="292" t="s">
        <v>403</v>
      </c>
      <c r="B52" s="285">
        <f t="shared" si="6"/>
        <v>1629</v>
      </c>
      <c r="C52" s="366">
        <v>1579</v>
      </c>
      <c r="D52" s="340">
        <v>7</v>
      </c>
      <c r="E52" s="340">
        <v>8</v>
      </c>
      <c r="F52" s="346">
        <v>0</v>
      </c>
      <c r="G52" s="346">
        <v>0</v>
      </c>
      <c r="H52" s="340">
        <v>12</v>
      </c>
      <c r="I52" s="340">
        <v>23</v>
      </c>
      <c r="J52" s="293" t="s">
        <v>404</v>
      </c>
    </row>
    <row r="53" spans="1:10" s="338" customFormat="1" ht="15.75" x14ac:dyDescent="0.2">
      <c r="A53" s="292" t="s">
        <v>405</v>
      </c>
      <c r="B53" s="285">
        <f t="shared" si="6"/>
        <v>553</v>
      </c>
      <c r="C53" s="366">
        <v>534</v>
      </c>
      <c r="D53" s="340">
        <v>3</v>
      </c>
      <c r="E53" s="340">
        <v>5</v>
      </c>
      <c r="F53" s="346">
        <v>0</v>
      </c>
      <c r="G53" s="346">
        <v>0</v>
      </c>
      <c r="H53" s="340">
        <v>6</v>
      </c>
      <c r="I53" s="340">
        <v>5</v>
      </c>
      <c r="J53" s="293" t="s">
        <v>406</v>
      </c>
    </row>
    <row r="54" spans="1:10" s="338" customFormat="1" ht="15.75" x14ac:dyDescent="0.2">
      <c r="A54" s="292" t="s">
        <v>407</v>
      </c>
      <c r="B54" s="285">
        <f t="shared" si="6"/>
        <v>841</v>
      </c>
      <c r="C54" s="366">
        <v>796</v>
      </c>
      <c r="D54" s="340">
        <v>7</v>
      </c>
      <c r="E54" s="340">
        <v>8</v>
      </c>
      <c r="F54" s="346">
        <v>0</v>
      </c>
      <c r="G54" s="346">
        <v>0</v>
      </c>
      <c r="H54" s="340">
        <v>13</v>
      </c>
      <c r="I54" s="340">
        <v>17</v>
      </c>
      <c r="J54" s="293" t="s">
        <v>408</v>
      </c>
    </row>
    <row r="55" spans="1:10" s="338" customFormat="1" ht="15.75" x14ac:dyDescent="0.2">
      <c r="A55" s="292" t="s">
        <v>409</v>
      </c>
      <c r="B55" s="285">
        <f t="shared" si="6"/>
        <v>712</v>
      </c>
      <c r="C55" s="366">
        <v>699</v>
      </c>
      <c r="D55" s="340">
        <v>3</v>
      </c>
      <c r="E55" s="340">
        <v>5</v>
      </c>
      <c r="F55" s="346">
        <v>0</v>
      </c>
      <c r="G55" s="346">
        <v>0</v>
      </c>
      <c r="H55" s="340">
        <v>2</v>
      </c>
      <c r="I55" s="340">
        <v>3</v>
      </c>
      <c r="J55" s="293" t="s">
        <v>410</v>
      </c>
    </row>
    <row r="56" spans="1:10" s="338" customFormat="1" ht="15.75" x14ac:dyDescent="0.2">
      <c r="A56" s="292" t="s">
        <v>411</v>
      </c>
      <c r="B56" s="285">
        <f t="shared" si="6"/>
        <v>1752</v>
      </c>
      <c r="C56" s="366">
        <v>1644</v>
      </c>
      <c r="D56" s="340">
        <v>7</v>
      </c>
      <c r="E56" s="340">
        <v>7</v>
      </c>
      <c r="F56" s="346">
        <v>0</v>
      </c>
      <c r="G56" s="346">
        <v>0</v>
      </c>
      <c r="H56" s="340">
        <v>33</v>
      </c>
      <c r="I56" s="340">
        <v>61</v>
      </c>
      <c r="J56" s="293" t="s">
        <v>412</v>
      </c>
    </row>
    <row r="57" spans="1:10" s="338" customFormat="1" ht="15.75" x14ac:dyDescent="0.2">
      <c r="A57" s="292" t="s">
        <v>413</v>
      </c>
      <c r="B57" s="285">
        <f t="shared" si="6"/>
        <v>1008</v>
      </c>
      <c r="C57" s="366">
        <v>970</v>
      </c>
      <c r="D57" s="340">
        <v>5</v>
      </c>
      <c r="E57" s="340">
        <v>7</v>
      </c>
      <c r="F57" s="346">
        <v>0</v>
      </c>
      <c r="G57" s="346">
        <v>0</v>
      </c>
      <c r="H57" s="340">
        <v>9</v>
      </c>
      <c r="I57" s="340">
        <v>17</v>
      </c>
      <c r="J57" s="293" t="s">
        <v>414</v>
      </c>
    </row>
    <row r="58" spans="1:10" s="338" customFormat="1" ht="15.75" x14ac:dyDescent="0.2">
      <c r="A58" s="292" t="s">
        <v>415</v>
      </c>
      <c r="B58" s="285">
        <f t="shared" si="6"/>
        <v>2300</v>
      </c>
      <c r="C58" s="366">
        <v>2174</v>
      </c>
      <c r="D58" s="340">
        <v>24</v>
      </c>
      <c r="E58" s="340">
        <v>46</v>
      </c>
      <c r="F58" s="346">
        <v>0</v>
      </c>
      <c r="G58" s="346">
        <v>0</v>
      </c>
      <c r="H58" s="340">
        <v>8</v>
      </c>
      <c r="I58" s="340">
        <v>48</v>
      </c>
      <c r="J58" s="293" t="s">
        <v>416</v>
      </c>
    </row>
    <row r="59" spans="1:10" s="338" customFormat="1" ht="15.75" x14ac:dyDescent="0.2">
      <c r="A59" s="292" t="s">
        <v>417</v>
      </c>
      <c r="B59" s="285">
        <f t="shared" si="6"/>
        <v>2326</v>
      </c>
      <c r="C59" s="366">
        <v>2178</v>
      </c>
      <c r="D59" s="340">
        <v>23</v>
      </c>
      <c r="E59" s="340">
        <v>44</v>
      </c>
      <c r="F59" s="346">
        <v>0</v>
      </c>
      <c r="G59" s="346">
        <v>0</v>
      </c>
      <c r="H59" s="340">
        <v>29</v>
      </c>
      <c r="I59" s="340">
        <v>52</v>
      </c>
      <c r="J59" s="345" t="s">
        <v>418</v>
      </c>
    </row>
    <row r="60" spans="1:10" s="338" customFormat="1" ht="12.75" x14ac:dyDescent="0.2">
      <c r="A60" s="297"/>
      <c r="B60" s="339"/>
      <c r="C60" s="348"/>
      <c r="D60" s="340"/>
      <c r="E60" s="340"/>
      <c r="F60" s="346"/>
      <c r="G60" s="346"/>
      <c r="H60" s="341"/>
      <c r="I60" s="342"/>
    </row>
    <row r="61" spans="1:10" s="338" customFormat="1" ht="15.75" x14ac:dyDescent="0.2">
      <c r="A61" s="289" t="s">
        <v>275</v>
      </c>
      <c r="B61" s="285">
        <f t="shared" ref="B61:B74" si="8">SUM(C61:I61)</f>
        <v>661</v>
      </c>
      <c r="C61" s="285" t="s">
        <v>1124</v>
      </c>
      <c r="D61" s="334">
        <f t="shared" ref="D61:I61" si="9">SUM(D62:D74)</f>
        <v>119</v>
      </c>
      <c r="E61" s="334">
        <f t="shared" si="9"/>
        <v>225</v>
      </c>
      <c r="F61" s="334">
        <f t="shared" si="9"/>
        <v>5</v>
      </c>
      <c r="G61" s="334">
        <f>SUM(G62:G74)</f>
        <v>7</v>
      </c>
      <c r="H61" s="334">
        <f t="shared" si="9"/>
        <v>120</v>
      </c>
      <c r="I61" s="334">
        <f t="shared" si="9"/>
        <v>185</v>
      </c>
      <c r="J61" s="337" t="s">
        <v>276</v>
      </c>
    </row>
    <row r="62" spans="1:10" s="338" customFormat="1" ht="15.75" x14ac:dyDescent="0.2">
      <c r="A62" s="292" t="s">
        <v>419</v>
      </c>
      <c r="B62" s="285">
        <f t="shared" si="8"/>
        <v>616</v>
      </c>
      <c r="C62" s="366">
        <v>592</v>
      </c>
      <c r="D62" s="340">
        <v>5</v>
      </c>
      <c r="E62" s="340">
        <v>9</v>
      </c>
      <c r="F62" s="346">
        <v>0</v>
      </c>
      <c r="G62" s="346">
        <v>0</v>
      </c>
      <c r="H62" s="340">
        <v>2</v>
      </c>
      <c r="I62" s="340">
        <v>8</v>
      </c>
      <c r="J62" s="293" t="s">
        <v>420</v>
      </c>
    </row>
    <row r="63" spans="1:10" s="338" customFormat="1" ht="15.75" x14ac:dyDescent="0.2">
      <c r="A63" s="292" t="s">
        <v>421</v>
      </c>
      <c r="B63" s="285">
        <f t="shared" si="8"/>
        <v>1603</v>
      </c>
      <c r="C63" s="366">
        <v>1538</v>
      </c>
      <c r="D63" s="340">
        <v>12</v>
      </c>
      <c r="E63" s="340">
        <v>26</v>
      </c>
      <c r="F63" s="346">
        <v>0</v>
      </c>
      <c r="G63" s="346">
        <v>0</v>
      </c>
      <c r="H63" s="340">
        <v>8</v>
      </c>
      <c r="I63" s="340">
        <v>19</v>
      </c>
      <c r="J63" s="293" t="s">
        <v>422</v>
      </c>
    </row>
    <row r="64" spans="1:10" s="338" customFormat="1" ht="15.75" x14ac:dyDescent="0.2">
      <c r="A64" s="292" t="s">
        <v>423</v>
      </c>
      <c r="B64" s="285">
        <f t="shared" si="8"/>
        <v>816</v>
      </c>
      <c r="C64" s="366">
        <v>783</v>
      </c>
      <c r="D64" s="340">
        <v>6</v>
      </c>
      <c r="E64" s="340">
        <v>12</v>
      </c>
      <c r="F64" s="346">
        <v>0</v>
      </c>
      <c r="G64" s="346">
        <v>0</v>
      </c>
      <c r="H64" s="340">
        <v>2</v>
      </c>
      <c r="I64" s="340">
        <v>13</v>
      </c>
      <c r="J64" s="293" t="s">
        <v>424</v>
      </c>
    </row>
    <row r="65" spans="1:10" s="338" customFormat="1" ht="15.75" x14ac:dyDescent="0.2">
      <c r="A65" s="292" t="s">
        <v>425</v>
      </c>
      <c r="B65" s="285">
        <f t="shared" si="8"/>
        <v>722</v>
      </c>
      <c r="C65" s="366">
        <v>704</v>
      </c>
      <c r="D65" s="340">
        <v>1</v>
      </c>
      <c r="E65" s="340">
        <v>4</v>
      </c>
      <c r="F65" s="346">
        <v>0</v>
      </c>
      <c r="G65" s="346">
        <v>0</v>
      </c>
      <c r="H65" s="340">
        <v>2</v>
      </c>
      <c r="I65" s="340">
        <v>11</v>
      </c>
      <c r="J65" s="293" t="s">
        <v>426</v>
      </c>
    </row>
    <row r="66" spans="1:10" s="338" customFormat="1" ht="15.75" x14ac:dyDescent="0.2">
      <c r="A66" s="292" t="s">
        <v>427</v>
      </c>
      <c r="B66" s="285">
        <f t="shared" si="8"/>
        <v>961</v>
      </c>
      <c r="C66" s="366">
        <v>929</v>
      </c>
      <c r="D66" s="340">
        <v>6</v>
      </c>
      <c r="E66" s="340">
        <v>12</v>
      </c>
      <c r="F66" s="346">
        <v>1</v>
      </c>
      <c r="G66" s="346">
        <v>1</v>
      </c>
      <c r="H66" s="340" t="s">
        <v>1123</v>
      </c>
      <c r="I66" s="340">
        <v>12</v>
      </c>
      <c r="J66" s="293" t="s">
        <v>428</v>
      </c>
    </row>
    <row r="67" spans="1:10" s="338" customFormat="1" ht="15.75" x14ac:dyDescent="0.2">
      <c r="A67" s="292" t="s">
        <v>429</v>
      </c>
      <c r="B67" s="285">
        <f t="shared" si="8"/>
        <v>1078</v>
      </c>
      <c r="C67" s="366">
        <v>1007</v>
      </c>
      <c r="D67" s="340">
        <v>18</v>
      </c>
      <c r="E67" s="340">
        <v>31</v>
      </c>
      <c r="F67" s="346">
        <v>0</v>
      </c>
      <c r="G67" s="346">
        <v>0</v>
      </c>
      <c r="H67" s="340">
        <v>8</v>
      </c>
      <c r="I67" s="340">
        <v>14</v>
      </c>
      <c r="J67" s="293" t="s">
        <v>430</v>
      </c>
    </row>
    <row r="68" spans="1:10" s="338" customFormat="1" ht="15.75" x14ac:dyDescent="0.2">
      <c r="A68" s="292" t="s">
        <v>431</v>
      </c>
      <c r="B68" s="285">
        <f t="shared" si="8"/>
        <v>841</v>
      </c>
      <c r="C68" s="366">
        <v>799</v>
      </c>
      <c r="D68" s="340">
        <v>11</v>
      </c>
      <c r="E68" s="340">
        <v>25</v>
      </c>
      <c r="F68" s="346">
        <v>0</v>
      </c>
      <c r="G68" s="346">
        <v>0</v>
      </c>
      <c r="H68" s="340">
        <v>1</v>
      </c>
      <c r="I68" s="340">
        <v>5</v>
      </c>
      <c r="J68" s="293" t="s">
        <v>432</v>
      </c>
    </row>
    <row r="69" spans="1:10" s="338" customFormat="1" ht="15.75" x14ac:dyDescent="0.2">
      <c r="A69" s="292" t="s">
        <v>433</v>
      </c>
      <c r="B69" s="285">
        <f t="shared" si="8"/>
        <v>1226</v>
      </c>
      <c r="C69" s="366">
        <v>1175</v>
      </c>
      <c r="D69" s="340">
        <v>8</v>
      </c>
      <c r="E69" s="340">
        <v>19</v>
      </c>
      <c r="F69" s="346">
        <v>0</v>
      </c>
      <c r="G69" s="346">
        <v>0</v>
      </c>
      <c r="H69" s="340">
        <v>3</v>
      </c>
      <c r="I69" s="340">
        <v>21</v>
      </c>
      <c r="J69" s="293" t="s">
        <v>434</v>
      </c>
    </row>
    <row r="70" spans="1:10" s="338" customFormat="1" ht="15.75" x14ac:dyDescent="0.2">
      <c r="A70" s="292" t="s">
        <v>435</v>
      </c>
      <c r="B70" s="285">
        <f t="shared" si="8"/>
        <v>369</v>
      </c>
      <c r="C70" s="366">
        <v>361</v>
      </c>
      <c r="D70" s="340">
        <v>1</v>
      </c>
      <c r="E70" s="340">
        <v>2</v>
      </c>
      <c r="F70" s="346">
        <v>0</v>
      </c>
      <c r="G70" s="346">
        <v>0</v>
      </c>
      <c r="H70" s="340">
        <v>2</v>
      </c>
      <c r="I70" s="340">
        <v>3</v>
      </c>
      <c r="J70" s="293" t="s">
        <v>436</v>
      </c>
    </row>
    <row r="71" spans="1:10" s="338" customFormat="1" ht="15.75" x14ac:dyDescent="0.2">
      <c r="A71" s="292" t="s">
        <v>437</v>
      </c>
      <c r="B71" s="285">
        <f t="shared" si="8"/>
        <v>1754</v>
      </c>
      <c r="C71" s="366">
        <v>1646</v>
      </c>
      <c r="D71" s="340">
        <v>18</v>
      </c>
      <c r="E71" s="340">
        <v>33</v>
      </c>
      <c r="F71" s="346">
        <v>1</v>
      </c>
      <c r="G71" s="346">
        <v>1</v>
      </c>
      <c r="H71" s="340">
        <v>31</v>
      </c>
      <c r="I71" s="340">
        <v>24</v>
      </c>
      <c r="J71" s="293" t="s">
        <v>438</v>
      </c>
    </row>
    <row r="72" spans="1:10" s="338" customFormat="1" ht="15.75" x14ac:dyDescent="0.2">
      <c r="A72" s="292" t="s">
        <v>439</v>
      </c>
      <c r="B72" s="285">
        <f t="shared" si="8"/>
        <v>2018</v>
      </c>
      <c r="C72" s="366">
        <v>1957</v>
      </c>
      <c r="D72" s="340">
        <v>9</v>
      </c>
      <c r="E72" s="340">
        <v>16</v>
      </c>
      <c r="F72" s="346">
        <v>0</v>
      </c>
      <c r="G72" s="346">
        <v>0</v>
      </c>
      <c r="H72" s="340">
        <v>20</v>
      </c>
      <c r="I72" s="340">
        <v>16</v>
      </c>
      <c r="J72" s="293" t="s">
        <v>440</v>
      </c>
    </row>
    <row r="73" spans="1:10" s="338" customFormat="1" ht="15.75" x14ac:dyDescent="0.2">
      <c r="A73" s="297" t="s">
        <v>441</v>
      </c>
      <c r="B73" s="285">
        <f t="shared" si="8"/>
        <v>440</v>
      </c>
      <c r="C73" s="366">
        <v>418</v>
      </c>
      <c r="D73" s="340">
        <v>2</v>
      </c>
      <c r="E73" s="340">
        <v>2</v>
      </c>
      <c r="F73" s="346">
        <v>0</v>
      </c>
      <c r="G73" s="346">
        <v>0</v>
      </c>
      <c r="H73" s="340">
        <v>16</v>
      </c>
      <c r="I73" s="340">
        <v>2</v>
      </c>
      <c r="J73" s="293" t="s">
        <v>442</v>
      </c>
    </row>
    <row r="74" spans="1:10" s="347" customFormat="1" ht="15.75" x14ac:dyDescent="0.2">
      <c r="A74" s="297" t="s">
        <v>443</v>
      </c>
      <c r="B74" s="285">
        <f t="shared" si="8"/>
        <v>2371</v>
      </c>
      <c r="C74" s="366">
        <v>2245</v>
      </c>
      <c r="D74" s="340">
        <v>22</v>
      </c>
      <c r="E74" s="340">
        <v>34</v>
      </c>
      <c r="F74" s="346">
        <v>3</v>
      </c>
      <c r="G74" s="346">
        <v>5</v>
      </c>
      <c r="H74" s="340">
        <v>25</v>
      </c>
      <c r="I74" s="340">
        <v>37</v>
      </c>
      <c r="J74" s="293" t="s">
        <v>444</v>
      </c>
    </row>
    <row r="75" spans="1:10" s="338" customFormat="1" ht="12.75" x14ac:dyDescent="0.2">
      <c r="A75" s="297"/>
      <c r="B75" s="343"/>
      <c r="C75" s="348"/>
      <c r="D75" s="340"/>
      <c r="E75" s="340"/>
      <c r="F75" s="340"/>
      <c r="G75" s="340"/>
      <c r="H75" s="340"/>
      <c r="I75" s="342"/>
    </row>
    <row r="76" spans="1:10" s="338" customFormat="1" ht="15.75" x14ac:dyDescent="0.2">
      <c r="A76" s="289" t="s">
        <v>277</v>
      </c>
      <c r="B76" s="285">
        <f t="shared" ref="B76:B92" si="10">SUM(C76:I76)</f>
        <v>21111</v>
      </c>
      <c r="C76" s="285">
        <f>SUM(C77:C92)</f>
        <v>20204</v>
      </c>
      <c r="D76" s="334">
        <f t="shared" ref="D76:I76" si="11">SUM(D77:D92)</f>
        <v>112</v>
      </c>
      <c r="E76" s="334">
        <f t="shared" si="11"/>
        <v>210</v>
      </c>
      <c r="F76" s="334">
        <f t="shared" si="11"/>
        <v>6</v>
      </c>
      <c r="G76" s="334">
        <f t="shared" si="11"/>
        <v>6</v>
      </c>
      <c r="H76" s="334">
        <f t="shared" si="11"/>
        <v>251</v>
      </c>
      <c r="I76" s="334">
        <f t="shared" si="11"/>
        <v>322</v>
      </c>
      <c r="J76" s="337" t="s">
        <v>278</v>
      </c>
    </row>
    <row r="77" spans="1:10" s="338" customFormat="1" ht="15.75" x14ac:dyDescent="0.2">
      <c r="A77" s="292" t="s">
        <v>445</v>
      </c>
      <c r="B77" s="285">
        <f t="shared" si="10"/>
        <v>2581</v>
      </c>
      <c r="C77" s="366">
        <v>2464</v>
      </c>
      <c r="D77" s="340">
        <v>13</v>
      </c>
      <c r="E77" s="340">
        <v>27</v>
      </c>
      <c r="F77" s="346">
        <v>1</v>
      </c>
      <c r="G77" s="346">
        <v>1</v>
      </c>
      <c r="H77" s="340">
        <v>39</v>
      </c>
      <c r="I77" s="340">
        <v>36</v>
      </c>
      <c r="J77" s="293" t="s">
        <v>446</v>
      </c>
    </row>
    <row r="78" spans="1:10" s="338" customFormat="1" ht="15.75" x14ac:dyDescent="0.2">
      <c r="A78" s="292" t="s">
        <v>447</v>
      </c>
      <c r="B78" s="285">
        <f t="shared" si="10"/>
        <v>524</v>
      </c>
      <c r="C78" s="366">
        <v>511</v>
      </c>
      <c r="D78" s="340">
        <v>2</v>
      </c>
      <c r="E78" s="340">
        <v>2</v>
      </c>
      <c r="F78" s="346">
        <v>0</v>
      </c>
      <c r="G78" s="346">
        <v>0</v>
      </c>
      <c r="H78" s="340">
        <v>3</v>
      </c>
      <c r="I78" s="340">
        <v>6</v>
      </c>
      <c r="J78" s="293" t="s">
        <v>448</v>
      </c>
    </row>
    <row r="79" spans="1:10" s="338" customFormat="1" ht="15.75" x14ac:dyDescent="0.2">
      <c r="A79" s="292" t="s">
        <v>449</v>
      </c>
      <c r="B79" s="285">
        <f t="shared" si="10"/>
        <v>845</v>
      </c>
      <c r="C79" s="366">
        <v>818</v>
      </c>
      <c r="D79" s="340">
        <v>1</v>
      </c>
      <c r="E79" s="340">
        <v>2</v>
      </c>
      <c r="F79" s="346">
        <v>1</v>
      </c>
      <c r="G79" s="346">
        <v>1</v>
      </c>
      <c r="H79" s="340">
        <v>13</v>
      </c>
      <c r="I79" s="340">
        <v>9</v>
      </c>
      <c r="J79" s="293" t="s">
        <v>450</v>
      </c>
    </row>
    <row r="80" spans="1:10" s="338" customFormat="1" ht="15.75" x14ac:dyDescent="0.2">
      <c r="A80" s="292" t="s">
        <v>451</v>
      </c>
      <c r="B80" s="285">
        <f t="shared" si="10"/>
        <v>468</v>
      </c>
      <c r="C80" s="366">
        <v>447</v>
      </c>
      <c r="D80" s="340">
        <v>3</v>
      </c>
      <c r="E80" s="340">
        <v>5</v>
      </c>
      <c r="F80" s="346">
        <v>0</v>
      </c>
      <c r="G80" s="346">
        <v>0</v>
      </c>
      <c r="H80" s="340">
        <v>2</v>
      </c>
      <c r="I80" s="340">
        <v>11</v>
      </c>
      <c r="J80" s="293" t="s">
        <v>452</v>
      </c>
    </row>
    <row r="81" spans="1:10" s="338" customFormat="1" ht="15.75" x14ac:dyDescent="0.2">
      <c r="A81" s="292" t="s">
        <v>453</v>
      </c>
      <c r="B81" s="285">
        <f t="shared" si="10"/>
        <v>1549</v>
      </c>
      <c r="C81" s="366">
        <v>1443</v>
      </c>
      <c r="D81" s="340">
        <v>12</v>
      </c>
      <c r="E81" s="340">
        <v>24</v>
      </c>
      <c r="F81" s="346">
        <v>1</v>
      </c>
      <c r="G81" s="346">
        <v>1</v>
      </c>
      <c r="H81" s="340">
        <v>30</v>
      </c>
      <c r="I81" s="340">
        <v>38</v>
      </c>
      <c r="J81" s="293" t="s">
        <v>454</v>
      </c>
    </row>
    <row r="82" spans="1:10" s="338" customFormat="1" ht="15.75" x14ac:dyDescent="0.2">
      <c r="A82" s="292" t="s">
        <v>455</v>
      </c>
      <c r="B82" s="285">
        <f t="shared" si="10"/>
        <v>4142</v>
      </c>
      <c r="C82" s="366">
        <v>4108</v>
      </c>
      <c r="D82" s="340">
        <v>0</v>
      </c>
      <c r="E82" s="340">
        <v>0</v>
      </c>
      <c r="F82" s="346">
        <v>1</v>
      </c>
      <c r="G82" s="346">
        <v>1</v>
      </c>
      <c r="H82" s="340">
        <v>26</v>
      </c>
      <c r="I82" s="340">
        <v>6</v>
      </c>
      <c r="J82" s="345" t="s">
        <v>456</v>
      </c>
    </row>
    <row r="83" spans="1:10" s="338" customFormat="1" ht="15.75" x14ac:dyDescent="0.2">
      <c r="A83" s="292" t="s">
        <v>457</v>
      </c>
      <c r="B83" s="285">
        <f t="shared" si="10"/>
        <v>110</v>
      </c>
      <c r="C83" s="366"/>
      <c r="D83" s="340">
        <v>22</v>
      </c>
      <c r="E83" s="340">
        <v>46</v>
      </c>
      <c r="F83" s="346">
        <v>0</v>
      </c>
      <c r="G83" s="346">
        <v>0</v>
      </c>
      <c r="H83" s="340">
        <v>0</v>
      </c>
      <c r="I83" s="340">
        <v>42</v>
      </c>
      <c r="J83" s="293" t="s">
        <v>458</v>
      </c>
    </row>
    <row r="84" spans="1:10" s="338" customFormat="1" ht="15.75" x14ac:dyDescent="0.2">
      <c r="A84" s="292" t="s">
        <v>459</v>
      </c>
      <c r="B84" s="285">
        <f t="shared" si="10"/>
        <v>1118</v>
      </c>
      <c r="C84" s="366">
        <v>1070</v>
      </c>
      <c r="D84" s="340">
        <v>7</v>
      </c>
      <c r="E84" s="340">
        <v>12</v>
      </c>
      <c r="F84" s="346">
        <v>0</v>
      </c>
      <c r="G84" s="346">
        <v>0</v>
      </c>
      <c r="H84" s="340">
        <v>22</v>
      </c>
      <c r="I84" s="340">
        <v>7</v>
      </c>
      <c r="J84" s="293" t="s">
        <v>460</v>
      </c>
    </row>
    <row r="85" spans="1:10" s="338" customFormat="1" ht="15.75" x14ac:dyDescent="0.2">
      <c r="A85" s="292" t="s">
        <v>461</v>
      </c>
      <c r="B85" s="285">
        <f t="shared" si="10"/>
        <v>779</v>
      </c>
      <c r="C85" s="366">
        <v>738</v>
      </c>
      <c r="D85" s="340">
        <v>7</v>
      </c>
      <c r="E85" s="340">
        <v>15</v>
      </c>
      <c r="F85" s="346">
        <v>0</v>
      </c>
      <c r="G85" s="346">
        <v>0</v>
      </c>
      <c r="H85" s="340">
        <v>9</v>
      </c>
      <c r="I85" s="340">
        <v>10</v>
      </c>
      <c r="J85" s="293" t="s">
        <v>462</v>
      </c>
    </row>
    <row r="86" spans="1:10" s="338" customFormat="1" ht="15.75" x14ac:dyDescent="0.2">
      <c r="A86" s="292" t="s">
        <v>463</v>
      </c>
      <c r="B86" s="285">
        <f t="shared" si="10"/>
        <v>818</v>
      </c>
      <c r="C86" s="366">
        <v>776</v>
      </c>
      <c r="D86" s="340">
        <v>8</v>
      </c>
      <c r="E86" s="340">
        <v>12</v>
      </c>
      <c r="F86" s="346">
        <v>1</v>
      </c>
      <c r="G86" s="346">
        <v>1</v>
      </c>
      <c r="H86" s="340">
        <v>7</v>
      </c>
      <c r="I86" s="340">
        <v>13</v>
      </c>
      <c r="J86" s="293" t="s">
        <v>464</v>
      </c>
    </row>
    <row r="87" spans="1:10" s="338" customFormat="1" ht="15.75" x14ac:dyDescent="0.2">
      <c r="A87" s="292" t="s">
        <v>465</v>
      </c>
      <c r="B87" s="285">
        <f t="shared" si="10"/>
        <v>2149</v>
      </c>
      <c r="C87" s="366">
        <v>2056</v>
      </c>
      <c r="D87" s="340">
        <v>14</v>
      </c>
      <c r="E87" s="340">
        <v>19</v>
      </c>
      <c r="F87" s="346">
        <v>1</v>
      </c>
      <c r="G87" s="346">
        <v>1</v>
      </c>
      <c r="H87" s="340">
        <v>25</v>
      </c>
      <c r="I87" s="340">
        <v>33</v>
      </c>
      <c r="J87" s="293" t="s">
        <v>466</v>
      </c>
    </row>
    <row r="88" spans="1:10" s="338" customFormat="1" ht="15.75" x14ac:dyDescent="0.2">
      <c r="A88" s="292" t="s">
        <v>467</v>
      </c>
      <c r="B88" s="285">
        <f t="shared" si="10"/>
        <v>1809</v>
      </c>
      <c r="C88" s="366">
        <v>1747</v>
      </c>
      <c r="D88" s="340">
        <v>3</v>
      </c>
      <c r="E88" s="340">
        <v>5</v>
      </c>
      <c r="F88" s="346">
        <v>0</v>
      </c>
      <c r="G88" s="346">
        <v>0</v>
      </c>
      <c r="H88" s="340">
        <v>12</v>
      </c>
      <c r="I88" s="340">
        <v>42</v>
      </c>
      <c r="J88" s="293" t="s">
        <v>468</v>
      </c>
    </row>
    <row r="89" spans="1:10" s="338" customFormat="1" ht="15.75" x14ac:dyDescent="0.2">
      <c r="A89" s="292" t="s">
        <v>469</v>
      </c>
      <c r="B89" s="285">
        <f t="shared" si="10"/>
        <v>396</v>
      </c>
      <c r="C89" s="366">
        <v>387</v>
      </c>
      <c r="D89" s="340">
        <v>1</v>
      </c>
      <c r="E89" s="340">
        <v>1</v>
      </c>
      <c r="F89" s="346">
        <v>0</v>
      </c>
      <c r="G89" s="346">
        <v>0</v>
      </c>
      <c r="H89" s="340">
        <v>3</v>
      </c>
      <c r="I89" s="340">
        <v>4</v>
      </c>
      <c r="J89" s="293" t="s">
        <v>470</v>
      </c>
    </row>
    <row r="90" spans="1:10" s="338" customFormat="1" ht="15.75" x14ac:dyDescent="0.2">
      <c r="A90" s="292" t="s">
        <v>471</v>
      </c>
      <c r="B90" s="285">
        <f t="shared" si="10"/>
        <v>1898</v>
      </c>
      <c r="C90" s="366">
        <v>1807</v>
      </c>
      <c r="D90" s="340">
        <v>6</v>
      </c>
      <c r="E90" s="340">
        <v>13</v>
      </c>
      <c r="F90" s="346">
        <v>0</v>
      </c>
      <c r="G90" s="346">
        <v>0</v>
      </c>
      <c r="H90" s="340">
        <v>42</v>
      </c>
      <c r="I90" s="340">
        <v>30</v>
      </c>
      <c r="J90" s="293" t="s">
        <v>472</v>
      </c>
    </row>
    <row r="91" spans="1:10" s="338" customFormat="1" ht="15.75" x14ac:dyDescent="0.2">
      <c r="A91" s="292" t="s">
        <v>473</v>
      </c>
      <c r="B91" s="285">
        <f t="shared" si="10"/>
        <v>556</v>
      </c>
      <c r="C91" s="366">
        <v>535</v>
      </c>
      <c r="D91" s="340">
        <v>2</v>
      </c>
      <c r="E91" s="340">
        <v>4</v>
      </c>
      <c r="F91" s="346">
        <v>0</v>
      </c>
      <c r="G91" s="346">
        <v>0</v>
      </c>
      <c r="H91" s="340">
        <v>6</v>
      </c>
      <c r="I91" s="340">
        <v>9</v>
      </c>
      <c r="J91" s="293" t="s">
        <v>474</v>
      </c>
    </row>
    <row r="92" spans="1:10" s="338" customFormat="1" ht="15.75" x14ac:dyDescent="0.2">
      <c r="A92" s="292" t="s">
        <v>475</v>
      </c>
      <c r="B92" s="285">
        <f t="shared" si="10"/>
        <v>1369</v>
      </c>
      <c r="C92" s="366">
        <v>1297</v>
      </c>
      <c r="D92" s="340">
        <v>11</v>
      </c>
      <c r="E92" s="340">
        <v>23</v>
      </c>
      <c r="F92" s="346">
        <v>0</v>
      </c>
      <c r="G92" s="346">
        <v>0</v>
      </c>
      <c r="H92" s="340">
        <v>12</v>
      </c>
      <c r="I92" s="340">
        <v>26</v>
      </c>
      <c r="J92" s="293" t="s">
        <v>476</v>
      </c>
    </row>
    <row r="93" spans="1:10" s="338" customFormat="1" ht="12.75" x14ac:dyDescent="0.2">
      <c r="A93" s="297"/>
      <c r="B93" s="343"/>
      <c r="C93" s="348"/>
      <c r="D93" s="340"/>
      <c r="E93" s="340"/>
      <c r="F93" s="346"/>
      <c r="G93" s="346"/>
      <c r="H93" s="340"/>
      <c r="I93" s="342"/>
    </row>
    <row r="94" spans="1:10" s="338" customFormat="1" ht="15.75" x14ac:dyDescent="0.2">
      <c r="A94" s="289" t="s">
        <v>279</v>
      </c>
      <c r="B94" s="285">
        <f t="shared" ref="B94:B107" si="12">SUM(C94:I94)</f>
        <v>12978</v>
      </c>
      <c r="C94" s="285">
        <f>SUM(C95:C107)</f>
        <v>12455</v>
      </c>
      <c r="D94" s="334">
        <f t="shared" ref="D94:I94" si="13">SUM(D95:D107)</f>
        <v>67</v>
      </c>
      <c r="E94" s="334">
        <f t="shared" si="13"/>
        <v>106</v>
      </c>
      <c r="F94" s="334">
        <f t="shared" si="13"/>
        <v>5</v>
      </c>
      <c r="G94" s="334">
        <f t="shared" si="13"/>
        <v>5</v>
      </c>
      <c r="H94" s="334">
        <f t="shared" si="13"/>
        <v>148</v>
      </c>
      <c r="I94" s="334">
        <f t="shared" si="13"/>
        <v>192</v>
      </c>
      <c r="J94" s="337" t="s">
        <v>280</v>
      </c>
    </row>
    <row r="95" spans="1:10" s="338" customFormat="1" ht="15.75" x14ac:dyDescent="0.2">
      <c r="A95" s="297" t="s">
        <v>477</v>
      </c>
      <c r="B95" s="285">
        <f t="shared" si="12"/>
        <v>591</v>
      </c>
      <c r="C95" s="366">
        <v>582</v>
      </c>
      <c r="D95" s="340">
        <v>0</v>
      </c>
      <c r="E95" s="340">
        <v>0</v>
      </c>
      <c r="F95" s="346">
        <v>0</v>
      </c>
      <c r="G95" s="346">
        <v>0</v>
      </c>
      <c r="H95" s="340">
        <v>4</v>
      </c>
      <c r="I95" s="340">
        <v>5</v>
      </c>
      <c r="J95" s="293" t="s">
        <v>478</v>
      </c>
    </row>
    <row r="96" spans="1:10" s="338" customFormat="1" ht="15.75" x14ac:dyDescent="0.2">
      <c r="A96" s="297" t="s">
        <v>479</v>
      </c>
      <c r="B96" s="285">
        <f t="shared" si="12"/>
        <v>493</v>
      </c>
      <c r="C96" s="366">
        <v>461</v>
      </c>
      <c r="D96" s="340">
        <v>8</v>
      </c>
      <c r="E96" s="340">
        <v>13</v>
      </c>
      <c r="F96" s="346">
        <v>0</v>
      </c>
      <c r="G96" s="346">
        <v>0</v>
      </c>
      <c r="H96" s="340">
        <v>7</v>
      </c>
      <c r="I96" s="340">
        <v>4</v>
      </c>
      <c r="J96" s="293" t="s">
        <v>480</v>
      </c>
    </row>
    <row r="97" spans="1:10" s="338" customFormat="1" ht="15.75" x14ac:dyDescent="0.2">
      <c r="A97" s="297" t="s">
        <v>481</v>
      </c>
      <c r="B97" s="285">
        <f t="shared" si="12"/>
        <v>1139</v>
      </c>
      <c r="C97" s="366">
        <v>1088</v>
      </c>
      <c r="D97" s="340">
        <v>8</v>
      </c>
      <c r="E97" s="340">
        <v>11</v>
      </c>
      <c r="F97" s="346">
        <v>1</v>
      </c>
      <c r="G97" s="346">
        <v>1</v>
      </c>
      <c r="H97" s="340">
        <v>5</v>
      </c>
      <c r="I97" s="340">
        <v>25</v>
      </c>
      <c r="J97" s="293" t="s">
        <v>482</v>
      </c>
    </row>
    <row r="98" spans="1:10" s="338" customFormat="1" ht="15.75" x14ac:dyDescent="0.2">
      <c r="A98" s="297" t="s">
        <v>483</v>
      </c>
      <c r="B98" s="285">
        <f t="shared" si="12"/>
        <v>443</v>
      </c>
      <c r="C98" s="366">
        <v>425</v>
      </c>
      <c r="D98" s="340">
        <v>3</v>
      </c>
      <c r="E98" s="340">
        <v>4</v>
      </c>
      <c r="F98" s="346">
        <v>0</v>
      </c>
      <c r="G98" s="346">
        <v>0</v>
      </c>
      <c r="H98" s="340">
        <v>6</v>
      </c>
      <c r="I98" s="340">
        <v>5</v>
      </c>
      <c r="J98" s="293" t="s">
        <v>484</v>
      </c>
    </row>
    <row r="99" spans="1:10" s="338" customFormat="1" ht="15.75" x14ac:dyDescent="0.2">
      <c r="A99" s="297" t="s">
        <v>485</v>
      </c>
      <c r="B99" s="285">
        <f t="shared" si="12"/>
        <v>468</v>
      </c>
      <c r="C99" s="366">
        <v>452</v>
      </c>
      <c r="D99" s="340">
        <v>0</v>
      </c>
      <c r="E99" s="340">
        <v>0</v>
      </c>
      <c r="F99" s="346">
        <v>0</v>
      </c>
      <c r="G99" s="346">
        <v>0</v>
      </c>
      <c r="H99" s="340">
        <v>7</v>
      </c>
      <c r="I99" s="340">
        <v>9</v>
      </c>
      <c r="J99" s="293" t="s">
        <v>486</v>
      </c>
    </row>
    <row r="100" spans="1:10" s="338" customFormat="1" ht="15.75" x14ac:dyDescent="0.2">
      <c r="A100" s="297" t="s">
        <v>487</v>
      </c>
      <c r="B100" s="285">
        <f t="shared" si="12"/>
        <v>1016</v>
      </c>
      <c r="C100" s="366">
        <v>977</v>
      </c>
      <c r="D100" s="340">
        <v>5</v>
      </c>
      <c r="E100" s="340">
        <v>8</v>
      </c>
      <c r="F100" s="346">
        <v>0</v>
      </c>
      <c r="G100" s="346">
        <v>0</v>
      </c>
      <c r="H100" s="340">
        <v>5</v>
      </c>
      <c r="I100" s="340">
        <v>21</v>
      </c>
      <c r="J100" s="293" t="s">
        <v>488</v>
      </c>
    </row>
    <row r="101" spans="1:10" s="338" customFormat="1" ht="15.75" x14ac:dyDescent="0.2">
      <c r="A101" s="297" t="s">
        <v>489</v>
      </c>
      <c r="B101" s="285">
        <f t="shared" si="12"/>
        <v>659</v>
      </c>
      <c r="C101" s="366">
        <v>624</v>
      </c>
      <c r="D101" s="340">
        <v>7</v>
      </c>
      <c r="E101" s="340">
        <v>14</v>
      </c>
      <c r="F101" s="346">
        <v>0</v>
      </c>
      <c r="G101" s="346">
        <v>0</v>
      </c>
      <c r="H101" s="340">
        <v>8</v>
      </c>
      <c r="I101" s="340">
        <v>6</v>
      </c>
      <c r="J101" s="293" t="s">
        <v>490</v>
      </c>
    </row>
    <row r="102" spans="1:10" s="338" customFormat="1" ht="15.75" x14ac:dyDescent="0.2">
      <c r="A102" s="297" t="s">
        <v>491</v>
      </c>
      <c r="B102" s="285">
        <f t="shared" si="12"/>
        <v>2949</v>
      </c>
      <c r="C102" s="366">
        <v>2816</v>
      </c>
      <c r="D102" s="340">
        <v>19</v>
      </c>
      <c r="E102" s="340">
        <v>27</v>
      </c>
      <c r="F102" s="346">
        <v>1</v>
      </c>
      <c r="G102" s="346">
        <v>1</v>
      </c>
      <c r="H102" s="340">
        <v>37</v>
      </c>
      <c r="I102" s="340">
        <v>48</v>
      </c>
      <c r="J102" s="293" t="s">
        <v>492</v>
      </c>
    </row>
    <row r="103" spans="1:10" s="338" customFormat="1" ht="15.75" x14ac:dyDescent="0.2">
      <c r="A103" s="297" t="s">
        <v>493</v>
      </c>
      <c r="B103" s="285">
        <f t="shared" si="12"/>
        <v>2643</v>
      </c>
      <c r="C103" s="366">
        <v>2542</v>
      </c>
      <c r="D103" s="340">
        <v>8</v>
      </c>
      <c r="E103" s="340">
        <v>12</v>
      </c>
      <c r="F103" s="346">
        <v>3</v>
      </c>
      <c r="G103" s="346">
        <v>3</v>
      </c>
      <c r="H103" s="340">
        <v>29</v>
      </c>
      <c r="I103" s="340">
        <v>46</v>
      </c>
      <c r="J103" s="293" t="s">
        <v>494</v>
      </c>
    </row>
    <row r="104" spans="1:10" s="338" customFormat="1" ht="15.75" x14ac:dyDescent="0.2">
      <c r="A104" s="297" t="s">
        <v>495</v>
      </c>
      <c r="B104" s="285">
        <f t="shared" si="12"/>
        <v>1278</v>
      </c>
      <c r="C104" s="366">
        <v>1226</v>
      </c>
      <c r="D104" s="340">
        <v>3</v>
      </c>
      <c r="E104" s="340">
        <v>5</v>
      </c>
      <c r="F104" s="346">
        <v>0</v>
      </c>
      <c r="G104" s="346">
        <v>0</v>
      </c>
      <c r="H104" s="340">
        <v>27</v>
      </c>
      <c r="I104" s="340">
        <v>17</v>
      </c>
      <c r="J104" s="293" t="s">
        <v>496</v>
      </c>
    </row>
    <row r="105" spans="1:10" s="338" customFormat="1" ht="15.75" x14ac:dyDescent="0.2">
      <c r="A105" s="297" t="s">
        <v>497</v>
      </c>
      <c r="B105" s="285">
        <f t="shared" si="12"/>
        <v>305</v>
      </c>
      <c r="C105" s="366">
        <v>300</v>
      </c>
      <c r="D105" s="340">
        <v>1</v>
      </c>
      <c r="E105" s="340">
        <v>1</v>
      </c>
      <c r="F105" s="346">
        <v>0</v>
      </c>
      <c r="G105" s="346">
        <v>0</v>
      </c>
      <c r="H105" s="340">
        <v>3</v>
      </c>
      <c r="I105" s="340">
        <v>0</v>
      </c>
      <c r="J105" s="293" t="s">
        <v>498</v>
      </c>
    </row>
    <row r="106" spans="1:10" s="338" customFormat="1" ht="15.75" x14ac:dyDescent="0.2">
      <c r="A106" s="297" t="s">
        <v>499</v>
      </c>
      <c r="B106" s="285">
        <f t="shared" si="12"/>
        <v>248</v>
      </c>
      <c r="C106" s="366">
        <v>243</v>
      </c>
      <c r="D106" s="340">
        <v>1</v>
      </c>
      <c r="E106" s="340">
        <v>1</v>
      </c>
      <c r="F106" s="346">
        <v>0</v>
      </c>
      <c r="G106" s="346">
        <v>0</v>
      </c>
      <c r="H106" s="340">
        <v>1</v>
      </c>
      <c r="I106" s="340">
        <v>2</v>
      </c>
      <c r="J106" s="293" t="s">
        <v>500</v>
      </c>
    </row>
    <row r="107" spans="1:10" s="338" customFormat="1" ht="15.75" x14ac:dyDescent="0.2">
      <c r="A107" s="297" t="s">
        <v>395</v>
      </c>
      <c r="B107" s="285">
        <f t="shared" si="12"/>
        <v>746</v>
      </c>
      <c r="C107" s="366">
        <v>719</v>
      </c>
      <c r="D107" s="340">
        <v>4</v>
      </c>
      <c r="E107" s="340">
        <v>10</v>
      </c>
      <c r="F107" s="346">
        <v>0</v>
      </c>
      <c r="G107" s="346">
        <v>0</v>
      </c>
      <c r="H107" s="340">
        <v>9</v>
      </c>
      <c r="I107" s="340">
        <v>4</v>
      </c>
      <c r="J107" s="293" t="s">
        <v>396</v>
      </c>
    </row>
    <row r="108" spans="1:10" s="347" customFormat="1" ht="12.75" x14ac:dyDescent="0.2">
      <c r="A108" s="297"/>
      <c r="B108" s="343"/>
      <c r="C108" s="348"/>
      <c r="D108" s="340"/>
      <c r="E108" s="340"/>
      <c r="F108" s="340"/>
      <c r="G108" s="340"/>
      <c r="H108" s="340"/>
      <c r="I108" s="342"/>
    </row>
    <row r="109" spans="1:10" s="338" customFormat="1" ht="15.75" x14ac:dyDescent="0.2">
      <c r="A109" s="289" t="s">
        <v>281</v>
      </c>
      <c r="B109" s="285">
        <f t="shared" ref="B109:B114" si="14">SUM(C109:I109)</f>
        <v>12096</v>
      </c>
      <c r="C109" s="285">
        <f>SUM(C110:C114)</f>
        <v>11405</v>
      </c>
      <c r="D109" s="334">
        <f t="shared" ref="D109:I109" si="15">SUM(D110:D114)</f>
        <v>108</v>
      </c>
      <c r="E109" s="334">
        <f t="shared" si="15"/>
        <v>162</v>
      </c>
      <c r="F109" s="334">
        <f t="shared" si="15"/>
        <v>3</v>
      </c>
      <c r="G109" s="334">
        <f t="shared" si="15"/>
        <v>4</v>
      </c>
      <c r="H109" s="334">
        <f t="shared" si="15"/>
        <v>225</v>
      </c>
      <c r="I109" s="334">
        <f t="shared" si="15"/>
        <v>189</v>
      </c>
      <c r="J109" s="337" t="s">
        <v>282</v>
      </c>
    </row>
    <row r="110" spans="1:10" s="338" customFormat="1" ht="15.75" x14ac:dyDescent="0.2">
      <c r="A110" s="292" t="s">
        <v>501</v>
      </c>
      <c r="B110" s="285">
        <f t="shared" si="14"/>
        <v>4436</v>
      </c>
      <c r="C110" s="366">
        <v>4205</v>
      </c>
      <c r="D110" s="340">
        <v>33</v>
      </c>
      <c r="E110" s="340">
        <v>45</v>
      </c>
      <c r="F110" s="346">
        <v>1</v>
      </c>
      <c r="G110" s="346">
        <v>1</v>
      </c>
      <c r="H110" s="340">
        <v>91</v>
      </c>
      <c r="I110" s="340">
        <v>60</v>
      </c>
      <c r="J110" s="293" t="s">
        <v>502</v>
      </c>
    </row>
    <row r="111" spans="1:10" s="338" customFormat="1" ht="15.75" x14ac:dyDescent="0.2">
      <c r="A111" s="292" t="s">
        <v>503</v>
      </c>
      <c r="B111" s="285">
        <f t="shared" si="14"/>
        <v>5155</v>
      </c>
      <c r="C111" s="366">
        <v>4810</v>
      </c>
      <c r="D111" s="340">
        <v>55</v>
      </c>
      <c r="E111" s="340">
        <v>86</v>
      </c>
      <c r="F111" s="346">
        <v>2</v>
      </c>
      <c r="G111" s="346">
        <v>3</v>
      </c>
      <c r="H111" s="340">
        <v>110</v>
      </c>
      <c r="I111" s="340">
        <v>89</v>
      </c>
      <c r="J111" s="293" t="s">
        <v>504</v>
      </c>
    </row>
    <row r="112" spans="1:10" s="338" customFormat="1" ht="15.75" x14ac:dyDescent="0.2">
      <c r="A112" s="292" t="s">
        <v>505</v>
      </c>
      <c r="B112" s="285">
        <f t="shared" si="14"/>
        <v>1867</v>
      </c>
      <c r="C112" s="366">
        <v>1778</v>
      </c>
      <c r="D112" s="340">
        <v>19</v>
      </c>
      <c r="E112" s="340">
        <v>30</v>
      </c>
      <c r="F112" s="346">
        <v>0</v>
      </c>
      <c r="G112" s="346">
        <v>0</v>
      </c>
      <c r="H112" s="340">
        <v>18</v>
      </c>
      <c r="I112" s="340">
        <v>22</v>
      </c>
      <c r="J112" s="293" t="s">
        <v>506</v>
      </c>
    </row>
    <row r="113" spans="1:10" s="338" customFormat="1" ht="15.75" x14ac:dyDescent="0.2">
      <c r="A113" s="292" t="s">
        <v>507</v>
      </c>
      <c r="B113" s="285">
        <f t="shared" si="14"/>
        <v>635</v>
      </c>
      <c r="C113" s="366">
        <v>612</v>
      </c>
      <c r="D113" s="340">
        <v>1</v>
      </c>
      <c r="E113" s="340">
        <v>1</v>
      </c>
      <c r="F113" s="346">
        <v>0</v>
      </c>
      <c r="G113" s="346">
        <v>0</v>
      </c>
      <c r="H113" s="340">
        <v>6</v>
      </c>
      <c r="I113" s="340">
        <v>15</v>
      </c>
      <c r="J113" s="293" t="s">
        <v>508</v>
      </c>
    </row>
    <row r="114" spans="1:10" s="338" customFormat="1" ht="15.75" x14ac:dyDescent="0.2">
      <c r="A114" s="292" t="s">
        <v>509</v>
      </c>
      <c r="B114" s="285">
        <f t="shared" si="14"/>
        <v>3</v>
      </c>
      <c r="C114" s="366">
        <v>0</v>
      </c>
      <c r="D114" s="340">
        <v>0</v>
      </c>
      <c r="E114" s="340">
        <v>0</v>
      </c>
      <c r="F114" s="346">
        <v>0</v>
      </c>
      <c r="G114" s="346">
        <v>0</v>
      </c>
      <c r="H114" s="340">
        <v>0</v>
      </c>
      <c r="I114" s="340">
        <v>3</v>
      </c>
      <c r="J114" s="293" t="s">
        <v>510</v>
      </c>
    </row>
    <row r="115" spans="1:10" s="338" customFormat="1" ht="12.75" x14ac:dyDescent="0.2">
      <c r="A115" s="297"/>
      <c r="B115" s="343"/>
      <c r="C115" s="348"/>
      <c r="D115" s="340"/>
      <c r="E115" s="340"/>
      <c r="F115" s="340"/>
      <c r="G115" s="340"/>
      <c r="H115" s="340"/>
      <c r="I115" s="342"/>
    </row>
    <row r="116" spans="1:10" s="338" customFormat="1" ht="15.75" x14ac:dyDescent="0.2">
      <c r="A116" s="289" t="s">
        <v>283</v>
      </c>
      <c r="B116" s="285">
        <f t="shared" ref="B116:B125" si="16">SUM(C116:I116)</f>
        <v>12171</v>
      </c>
      <c r="C116" s="285">
        <f>SUM(C117:C125)</f>
        <v>11458</v>
      </c>
      <c r="D116" s="334">
        <f t="shared" ref="D116:I116" si="17">SUM(D117:D125)</f>
        <v>115</v>
      </c>
      <c r="E116" s="334">
        <f t="shared" si="17"/>
        <v>193</v>
      </c>
      <c r="F116" s="334">
        <f t="shared" si="17"/>
        <v>6</v>
      </c>
      <c r="G116" s="334">
        <f t="shared" si="17"/>
        <v>6</v>
      </c>
      <c r="H116" s="334">
        <f t="shared" si="17"/>
        <v>192</v>
      </c>
      <c r="I116" s="334">
        <f t="shared" si="17"/>
        <v>201</v>
      </c>
      <c r="J116" s="337" t="s">
        <v>284</v>
      </c>
    </row>
    <row r="117" spans="1:10" s="338" customFormat="1" ht="15.75" x14ac:dyDescent="0.2">
      <c r="A117" s="292" t="s">
        <v>511</v>
      </c>
      <c r="B117" s="285">
        <f t="shared" si="16"/>
        <v>2254</v>
      </c>
      <c r="C117" s="366">
        <v>2066</v>
      </c>
      <c r="D117" s="340">
        <v>37</v>
      </c>
      <c r="E117" s="340">
        <v>53</v>
      </c>
      <c r="F117" s="346">
        <v>1</v>
      </c>
      <c r="G117" s="346">
        <v>1</v>
      </c>
      <c r="H117" s="340">
        <v>36</v>
      </c>
      <c r="I117" s="340">
        <v>60</v>
      </c>
      <c r="J117" s="293" t="s">
        <v>512</v>
      </c>
    </row>
    <row r="118" spans="1:10" s="338" customFormat="1" ht="15.75" x14ac:dyDescent="0.2">
      <c r="A118" s="292" t="s">
        <v>513</v>
      </c>
      <c r="B118" s="285">
        <f t="shared" si="16"/>
        <v>1278</v>
      </c>
      <c r="C118" s="366">
        <v>1213</v>
      </c>
      <c r="D118" s="340">
        <v>9</v>
      </c>
      <c r="E118" s="340">
        <v>14</v>
      </c>
      <c r="F118" s="346">
        <v>0</v>
      </c>
      <c r="G118" s="346">
        <v>0</v>
      </c>
      <c r="H118" s="340">
        <v>20</v>
      </c>
      <c r="I118" s="340">
        <v>22</v>
      </c>
      <c r="J118" s="293" t="s">
        <v>514</v>
      </c>
    </row>
    <row r="119" spans="1:10" s="338" customFormat="1" ht="15.75" x14ac:dyDescent="0.2">
      <c r="A119" s="292" t="s">
        <v>515</v>
      </c>
      <c r="B119" s="285">
        <f t="shared" si="16"/>
        <v>1135</v>
      </c>
      <c r="C119" s="366">
        <v>1082</v>
      </c>
      <c r="D119" s="340">
        <v>12</v>
      </c>
      <c r="E119" s="340">
        <v>21</v>
      </c>
      <c r="F119" s="346">
        <v>0</v>
      </c>
      <c r="G119" s="346">
        <v>0</v>
      </c>
      <c r="H119" s="340">
        <v>10</v>
      </c>
      <c r="I119" s="340">
        <v>10</v>
      </c>
      <c r="J119" s="293" t="s">
        <v>516</v>
      </c>
    </row>
    <row r="120" spans="1:10" s="338" customFormat="1" ht="15.75" x14ac:dyDescent="0.2">
      <c r="A120" s="292" t="s">
        <v>517</v>
      </c>
      <c r="B120" s="285">
        <f t="shared" si="16"/>
        <v>1425</v>
      </c>
      <c r="C120" s="366">
        <v>1345</v>
      </c>
      <c r="D120" s="340">
        <v>12</v>
      </c>
      <c r="E120" s="340">
        <v>21</v>
      </c>
      <c r="F120" s="346">
        <v>1</v>
      </c>
      <c r="G120" s="346">
        <v>1</v>
      </c>
      <c r="H120" s="340">
        <v>19</v>
      </c>
      <c r="I120" s="340">
        <v>26</v>
      </c>
      <c r="J120" s="293" t="s">
        <v>518</v>
      </c>
    </row>
    <row r="121" spans="1:10" s="338" customFormat="1" ht="15.75" x14ac:dyDescent="0.2">
      <c r="A121" s="292" t="s">
        <v>519</v>
      </c>
      <c r="B121" s="285">
        <f t="shared" si="16"/>
        <v>887</v>
      </c>
      <c r="C121" s="366">
        <v>859</v>
      </c>
      <c r="D121" s="340">
        <v>2</v>
      </c>
      <c r="E121" s="340">
        <v>3</v>
      </c>
      <c r="F121" s="346">
        <v>0</v>
      </c>
      <c r="G121" s="346">
        <v>0</v>
      </c>
      <c r="H121" s="340">
        <v>7</v>
      </c>
      <c r="I121" s="340">
        <v>16</v>
      </c>
      <c r="J121" s="293" t="s">
        <v>520</v>
      </c>
    </row>
    <row r="122" spans="1:10" s="338" customFormat="1" ht="15.75" x14ac:dyDescent="0.2">
      <c r="A122" s="292" t="s">
        <v>521</v>
      </c>
      <c r="B122" s="285">
        <f t="shared" si="16"/>
        <v>1014</v>
      </c>
      <c r="C122" s="366">
        <v>942</v>
      </c>
      <c r="D122" s="340">
        <v>13</v>
      </c>
      <c r="E122" s="340">
        <v>29</v>
      </c>
      <c r="F122" s="346">
        <v>0</v>
      </c>
      <c r="G122" s="346">
        <v>0</v>
      </c>
      <c r="H122" s="340">
        <v>23</v>
      </c>
      <c r="I122" s="340">
        <v>7</v>
      </c>
      <c r="J122" s="293" t="s">
        <v>522</v>
      </c>
    </row>
    <row r="123" spans="1:10" s="338" customFormat="1" ht="15.75" x14ac:dyDescent="0.2">
      <c r="A123" s="292" t="s">
        <v>523</v>
      </c>
      <c r="B123" s="285">
        <f t="shared" si="16"/>
        <v>780</v>
      </c>
      <c r="C123" s="366">
        <v>753</v>
      </c>
      <c r="D123" s="340">
        <v>4</v>
      </c>
      <c r="E123" s="340">
        <v>5</v>
      </c>
      <c r="F123" s="346">
        <v>0</v>
      </c>
      <c r="G123" s="346">
        <v>0</v>
      </c>
      <c r="H123" s="340">
        <v>12</v>
      </c>
      <c r="I123" s="340">
        <v>6</v>
      </c>
      <c r="J123" s="293" t="s">
        <v>524</v>
      </c>
    </row>
    <row r="124" spans="1:10" s="338" customFormat="1" ht="15.75" x14ac:dyDescent="0.2">
      <c r="A124" s="292" t="s">
        <v>525</v>
      </c>
      <c r="B124" s="285">
        <f t="shared" si="16"/>
        <v>1584</v>
      </c>
      <c r="C124" s="366">
        <v>1517</v>
      </c>
      <c r="D124" s="340">
        <v>9</v>
      </c>
      <c r="E124" s="340">
        <v>14</v>
      </c>
      <c r="F124" s="346">
        <v>1</v>
      </c>
      <c r="G124" s="346">
        <v>1</v>
      </c>
      <c r="H124" s="340">
        <v>29</v>
      </c>
      <c r="I124" s="340">
        <v>13</v>
      </c>
      <c r="J124" s="293" t="s">
        <v>526</v>
      </c>
    </row>
    <row r="125" spans="1:10" s="338" customFormat="1" ht="15.75" x14ac:dyDescent="0.2">
      <c r="A125" s="292" t="s">
        <v>527</v>
      </c>
      <c r="B125" s="285">
        <f t="shared" si="16"/>
        <v>1814</v>
      </c>
      <c r="C125" s="366">
        <v>1681</v>
      </c>
      <c r="D125" s="340">
        <v>17</v>
      </c>
      <c r="E125" s="340">
        <v>33</v>
      </c>
      <c r="F125" s="346">
        <v>3</v>
      </c>
      <c r="G125" s="346">
        <v>3</v>
      </c>
      <c r="H125" s="340">
        <v>36</v>
      </c>
      <c r="I125" s="340">
        <v>41</v>
      </c>
      <c r="J125" s="293" t="s">
        <v>528</v>
      </c>
    </row>
    <row r="126" spans="1:10" s="338" customFormat="1" ht="12.75" x14ac:dyDescent="0.2">
      <c r="A126" s="297"/>
      <c r="B126" s="343"/>
      <c r="C126" s="348"/>
      <c r="D126" s="340"/>
      <c r="E126" s="340"/>
      <c r="F126" s="340"/>
      <c r="G126" s="340"/>
      <c r="H126" s="340"/>
      <c r="I126" s="342"/>
    </row>
    <row r="127" spans="1:10" s="338" customFormat="1" ht="15.75" x14ac:dyDescent="0.2">
      <c r="A127" s="289" t="s">
        <v>285</v>
      </c>
      <c r="B127" s="285">
        <f t="shared" ref="B127:B135" si="18">SUM(C127:I127)</f>
        <v>7376</v>
      </c>
      <c r="C127" s="285">
        <f>SUM(C128:C135)</f>
        <v>6994</v>
      </c>
      <c r="D127" s="334">
        <f t="shared" ref="D127:I127" si="19">SUM(D128:D135)</f>
        <v>51</v>
      </c>
      <c r="E127" s="334">
        <f t="shared" si="19"/>
        <v>88</v>
      </c>
      <c r="F127" s="334">
        <f t="shared" si="19"/>
        <v>0</v>
      </c>
      <c r="G127" s="334">
        <f t="shared" si="19"/>
        <v>0</v>
      </c>
      <c r="H127" s="334">
        <f t="shared" si="19"/>
        <v>127</v>
      </c>
      <c r="I127" s="334">
        <f t="shared" si="19"/>
        <v>116</v>
      </c>
      <c r="J127" s="337" t="s">
        <v>286</v>
      </c>
    </row>
    <row r="128" spans="1:10" s="338" customFormat="1" ht="15.75" x14ac:dyDescent="0.2">
      <c r="A128" s="292" t="s">
        <v>529</v>
      </c>
      <c r="B128" s="285">
        <f t="shared" si="18"/>
        <v>1581</v>
      </c>
      <c r="C128" s="366">
        <v>1506</v>
      </c>
      <c r="D128" s="340">
        <v>11</v>
      </c>
      <c r="E128" s="340">
        <v>14</v>
      </c>
      <c r="F128" s="346">
        <v>0</v>
      </c>
      <c r="G128" s="346">
        <v>0</v>
      </c>
      <c r="H128" s="340">
        <v>14</v>
      </c>
      <c r="I128" s="340">
        <v>36</v>
      </c>
      <c r="J128" s="293" t="s">
        <v>530</v>
      </c>
    </row>
    <row r="129" spans="1:10" s="338" customFormat="1" ht="15.75" x14ac:dyDescent="0.2">
      <c r="A129" s="292" t="s">
        <v>531</v>
      </c>
      <c r="B129" s="285">
        <f t="shared" si="18"/>
        <v>1101</v>
      </c>
      <c r="C129" s="366">
        <v>1043</v>
      </c>
      <c r="D129" s="340">
        <v>12</v>
      </c>
      <c r="E129" s="340">
        <v>20</v>
      </c>
      <c r="F129" s="346">
        <v>0</v>
      </c>
      <c r="G129" s="346">
        <v>0</v>
      </c>
      <c r="H129" s="340">
        <v>13</v>
      </c>
      <c r="I129" s="340">
        <v>13</v>
      </c>
      <c r="J129" s="293" t="s">
        <v>532</v>
      </c>
    </row>
    <row r="130" spans="1:10" s="338" customFormat="1" ht="15.75" x14ac:dyDescent="0.2">
      <c r="A130" s="292" t="s">
        <v>533</v>
      </c>
      <c r="B130" s="285">
        <f t="shared" si="18"/>
        <v>937</v>
      </c>
      <c r="C130" s="366">
        <v>866</v>
      </c>
      <c r="D130" s="340">
        <v>8</v>
      </c>
      <c r="E130" s="340">
        <v>16</v>
      </c>
      <c r="F130" s="346">
        <v>0</v>
      </c>
      <c r="G130" s="346">
        <v>0</v>
      </c>
      <c r="H130" s="340">
        <v>25</v>
      </c>
      <c r="I130" s="340">
        <v>22</v>
      </c>
      <c r="J130" s="293" t="s">
        <v>534</v>
      </c>
    </row>
    <row r="131" spans="1:10" s="338" customFormat="1" ht="15.75" x14ac:dyDescent="0.2">
      <c r="A131" s="292" t="s">
        <v>535</v>
      </c>
      <c r="B131" s="285">
        <f t="shared" si="18"/>
        <v>893</v>
      </c>
      <c r="C131" s="366">
        <v>840</v>
      </c>
      <c r="D131" s="340">
        <v>3</v>
      </c>
      <c r="E131" s="340">
        <v>7</v>
      </c>
      <c r="F131" s="346">
        <v>0</v>
      </c>
      <c r="G131" s="346">
        <v>0</v>
      </c>
      <c r="H131" s="340">
        <v>27</v>
      </c>
      <c r="I131" s="340">
        <v>16</v>
      </c>
      <c r="J131" s="293" t="s">
        <v>536</v>
      </c>
    </row>
    <row r="132" spans="1:10" s="338" customFormat="1" ht="15.75" x14ac:dyDescent="0.2">
      <c r="A132" s="349" t="s">
        <v>537</v>
      </c>
      <c r="B132" s="285">
        <f t="shared" si="18"/>
        <v>677</v>
      </c>
      <c r="C132" s="366">
        <v>643</v>
      </c>
      <c r="D132" s="340">
        <v>7</v>
      </c>
      <c r="E132" s="340">
        <v>13</v>
      </c>
      <c r="F132" s="346">
        <v>0</v>
      </c>
      <c r="G132" s="346">
        <v>0</v>
      </c>
      <c r="H132" s="340">
        <v>10</v>
      </c>
      <c r="I132" s="340">
        <v>4</v>
      </c>
      <c r="J132" s="350" t="s">
        <v>538</v>
      </c>
    </row>
    <row r="133" spans="1:10" s="338" customFormat="1" ht="15.75" x14ac:dyDescent="0.2">
      <c r="A133" s="292" t="s">
        <v>539</v>
      </c>
      <c r="B133" s="285">
        <f t="shared" si="18"/>
        <v>747</v>
      </c>
      <c r="C133" s="366">
        <v>714</v>
      </c>
      <c r="D133" s="340">
        <v>6</v>
      </c>
      <c r="E133" s="340">
        <v>10</v>
      </c>
      <c r="F133" s="346">
        <v>0</v>
      </c>
      <c r="G133" s="346">
        <v>0</v>
      </c>
      <c r="H133" s="340">
        <v>9</v>
      </c>
      <c r="I133" s="340">
        <v>8</v>
      </c>
      <c r="J133" s="293" t="s">
        <v>540</v>
      </c>
    </row>
    <row r="134" spans="1:10" s="338" customFormat="1" ht="15.75" x14ac:dyDescent="0.2">
      <c r="A134" s="297" t="s">
        <v>489</v>
      </c>
      <c r="B134" s="285">
        <f t="shared" si="18"/>
        <v>686</v>
      </c>
      <c r="C134" s="366">
        <v>657</v>
      </c>
      <c r="D134" s="340">
        <v>2</v>
      </c>
      <c r="E134" s="340">
        <v>3</v>
      </c>
      <c r="F134" s="346">
        <v>0</v>
      </c>
      <c r="G134" s="346">
        <v>0</v>
      </c>
      <c r="H134" s="340">
        <v>14</v>
      </c>
      <c r="I134" s="340">
        <v>10</v>
      </c>
      <c r="J134" s="293" t="s">
        <v>490</v>
      </c>
    </row>
    <row r="135" spans="1:10" s="338" customFormat="1" ht="15.75" x14ac:dyDescent="0.2">
      <c r="A135" s="297" t="s">
        <v>541</v>
      </c>
      <c r="B135" s="285">
        <f t="shared" si="18"/>
        <v>754</v>
      </c>
      <c r="C135" s="366">
        <v>725</v>
      </c>
      <c r="D135" s="340">
        <v>2</v>
      </c>
      <c r="E135" s="340">
        <v>5</v>
      </c>
      <c r="F135" s="346">
        <v>0</v>
      </c>
      <c r="G135" s="346">
        <v>0</v>
      </c>
      <c r="H135" s="340">
        <v>15</v>
      </c>
      <c r="I135" s="340">
        <v>7</v>
      </c>
      <c r="J135" s="293" t="s">
        <v>542</v>
      </c>
    </row>
    <row r="136" spans="1:10" s="347" customFormat="1" ht="12.75" x14ac:dyDescent="0.2">
      <c r="A136" s="297"/>
      <c r="B136" s="343"/>
      <c r="C136" s="348"/>
      <c r="D136" s="340"/>
      <c r="E136" s="340"/>
      <c r="F136" s="340"/>
      <c r="G136" s="340"/>
      <c r="H136" s="340"/>
      <c r="I136" s="342"/>
    </row>
    <row r="137" spans="1:10" s="338" customFormat="1" ht="15.75" x14ac:dyDescent="0.2">
      <c r="A137" s="289" t="s">
        <v>287</v>
      </c>
      <c r="B137" s="285">
        <f t="shared" ref="B137:B147" si="20">SUM(C137:I137)</f>
        <v>10470</v>
      </c>
      <c r="C137" s="285">
        <f>SUM(C138:C147)</f>
        <v>9969</v>
      </c>
      <c r="D137" s="334">
        <f t="shared" ref="D137:I137" si="21">SUM(D138:D147)</f>
        <v>44</v>
      </c>
      <c r="E137" s="334">
        <f t="shared" si="21"/>
        <v>68</v>
      </c>
      <c r="F137" s="334">
        <f t="shared" si="21"/>
        <v>4</v>
      </c>
      <c r="G137" s="334">
        <f t="shared" si="21"/>
        <v>6</v>
      </c>
      <c r="H137" s="334">
        <f t="shared" si="21"/>
        <v>167</v>
      </c>
      <c r="I137" s="334">
        <f t="shared" si="21"/>
        <v>212</v>
      </c>
      <c r="J137" s="337" t="s">
        <v>288</v>
      </c>
    </row>
    <row r="138" spans="1:10" s="338" customFormat="1" ht="15.75" x14ac:dyDescent="0.2">
      <c r="A138" s="292" t="s">
        <v>543</v>
      </c>
      <c r="B138" s="285">
        <f t="shared" si="20"/>
        <v>662</v>
      </c>
      <c r="C138" s="366">
        <v>638</v>
      </c>
      <c r="D138" s="340">
        <v>4</v>
      </c>
      <c r="E138" s="340">
        <v>4</v>
      </c>
      <c r="F138" s="346">
        <v>0</v>
      </c>
      <c r="G138" s="346">
        <v>0</v>
      </c>
      <c r="H138" s="340">
        <v>11</v>
      </c>
      <c r="I138" s="340">
        <v>5</v>
      </c>
      <c r="J138" s="293" t="s">
        <v>544</v>
      </c>
    </row>
    <row r="139" spans="1:10" s="338" customFormat="1" ht="15.75" x14ac:dyDescent="0.2">
      <c r="A139" s="292" t="s">
        <v>545</v>
      </c>
      <c r="B139" s="285">
        <f t="shared" si="20"/>
        <v>1067</v>
      </c>
      <c r="C139" s="366">
        <v>975</v>
      </c>
      <c r="D139" s="340">
        <v>5</v>
      </c>
      <c r="E139" s="340">
        <v>6</v>
      </c>
      <c r="F139" s="346">
        <v>0</v>
      </c>
      <c r="G139" s="346">
        <v>0</v>
      </c>
      <c r="H139" s="340">
        <v>22</v>
      </c>
      <c r="I139" s="340">
        <v>59</v>
      </c>
      <c r="J139" s="293" t="s">
        <v>546</v>
      </c>
    </row>
    <row r="140" spans="1:10" s="338" customFormat="1" ht="15.75" x14ac:dyDescent="0.2">
      <c r="A140" s="292" t="s">
        <v>547</v>
      </c>
      <c r="B140" s="285">
        <f t="shared" si="20"/>
        <v>570</v>
      </c>
      <c r="C140" s="366">
        <v>541</v>
      </c>
      <c r="D140" s="340">
        <v>2</v>
      </c>
      <c r="E140" s="340">
        <v>3</v>
      </c>
      <c r="F140" s="346">
        <v>0</v>
      </c>
      <c r="G140" s="346">
        <v>0</v>
      </c>
      <c r="H140" s="340">
        <v>9</v>
      </c>
      <c r="I140" s="340">
        <v>15</v>
      </c>
      <c r="J140" s="293" t="s">
        <v>378</v>
      </c>
    </row>
    <row r="141" spans="1:10" s="338" customFormat="1" ht="15.75" x14ac:dyDescent="0.2">
      <c r="A141" s="292" t="s">
        <v>548</v>
      </c>
      <c r="B141" s="285">
        <f t="shared" si="20"/>
        <v>2277</v>
      </c>
      <c r="C141" s="366">
        <v>2191</v>
      </c>
      <c r="D141" s="340">
        <v>11</v>
      </c>
      <c r="E141" s="340">
        <v>19</v>
      </c>
      <c r="F141" s="346">
        <v>0</v>
      </c>
      <c r="G141" s="346">
        <v>0</v>
      </c>
      <c r="H141" s="340">
        <v>29</v>
      </c>
      <c r="I141" s="340">
        <v>27</v>
      </c>
      <c r="J141" s="293" t="s">
        <v>549</v>
      </c>
    </row>
    <row r="142" spans="1:10" s="338" customFormat="1" ht="15.75" x14ac:dyDescent="0.2">
      <c r="A142" s="292" t="s">
        <v>550</v>
      </c>
      <c r="B142" s="285">
        <f t="shared" si="20"/>
        <v>436</v>
      </c>
      <c r="C142" s="366">
        <v>419</v>
      </c>
      <c r="D142" s="340">
        <v>1</v>
      </c>
      <c r="E142" s="340">
        <v>2</v>
      </c>
      <c r="F142" s="346">
        <v>0</v>
      </c>
      <c r="G142" s="346">
        <v>0</v>
      </c>
      <c r="H142" s="340">
        <v>7</v>
      </c>
      <c r="I142" s="340">
        <v>7</v>
      </c>
      <c r="J142" s="293" t="s">
        <v>438</v>
      </c>
    </row>
    <row r="143" spans="1:10" s="338" customFormat="1" ht="15.75" x14ac:dyDescent="0.2">
      <c r="A143" s="349" t="s">
        <v>551</v>
      </c>
      <c r="B143" s="285">
        <f t="shared" si="20"/>
        <v>988</v>
      </c>
      <c r="C143" s="366">
        <v>938</v>
      </c>
      <c r="D143" s="340">
        <v>1</v>
      </c>
      <c r="E143" s="340">
        <v>1</v>
      </c>
      <c r="F143" s="346">
        <v>0</v>
      </c>
      <c r="G143" s="346">
        <v>0</v>
      </c>
      <c r="H143" s="340">
        <v>32</v>
      </c>
      <c r="I143" s="340">
        <v>16</v>
      </c>
      <c r="J143" s="293" t="s">
        <v>552</v>
      </c>
    </row>
    <row r="144" spans="1:10" s="338" customFormat="1" ht="15.75" x14ac:dyDescent="0.2">
      <c r="A144" s="349" t="s">
        <v>553</v>
      </c>
      <c r="B144" s="285">
        <f t="shared" si="20"/>
        <v>613</v>
      </c>
      <c r="C144" s="366">
        <v>580</v>
      </c>
      <c r="D144" s="340">
        <v>6</v>
      </c>
      <c r="E144" s="340">
        <v>9</v>
      </c>
      <c r="F144" s="346">
        <v>0</v>
      </c>
      <c r="G144" s="346">
        <v>0</v>
      </c>
      <c r="H144" s="340">
        <v>6</v>
      </c>
      <c r="I144" s="340">
        <v>12</v>
      </c>
      <c r="J144" s="350" t="s">
        <v>554</v>
      </c>
    </row>
    <row r="145" spans="1:10" s="338" customFormat="1" ht="15.75" x14ac:dyDescent="0.2">
      <c r="A145" s="292" t="s">
        <v>555</v>
      </c>
      <c r="B145" s="285">
        <f t="shared" si="20"/>
        <v>967</v>
      </c>
      <c r="C145" s="366">
        <v>927</v>
      </c>
      <c r="D145" s="340">
        <v>4</v>
      </c>
      <c r="E145" s="340">
        <v>6</v>
      </c>
      <c r="F145" s="346">
        <v>3</v>
      </c>
      <c r="G145" s="346">
        <v>3</v>
      </c>
      <c r="H145" s="340">
        <v>13</v>
      </c>
      <c r="I145" s="340">
        <v>11</v>
      </c>
      <c r="J145" s="293" t="s">
        <v>556</v>
      </c>
    </row>
    <row r="146" spans="1:10" s="338" customFormat="1" ht="15.75" x14ac:dyDescent="0.2">
      <c r="A146" s="292" t="s">
        <v>347</v>
      </c>
      <c r="B146" s="285">
        <f t="shared" si="20"/>
        <v>193</v>
      </c>
      <c r="C146" s="366">
        <v>184</v>
      </c>
      <c r="D146" s="340">
        <v>2</v>
      </c>
      <c r="E146" s="340">
        <v>3</v>
      </c>
      <c r="F146" s="346">
        <v>0</v>
      </c>
      <c r="G146" s="346">
        <v>0</v>
      </c>
      <c r="H146" s="340">
        <v>1</v>
      </c>
      <c r="I146" s="346">
        <v>3</v>
      </c>
      <c r="J146" s="293" t="s">
        <v>348</v>
      </c>
    </row>
    <row r="147" spans="1:10" s="338" customFormat="1" ht="15.75" x14ac:dyDescent="0.2">
      <c r="A147" s="292" t="s">
        <v>557</v>
      </c>
      <c r="B147" s="285">
        <f t="shared" si="20"/>
        <v>2697</v>
      </c>
      <c r="C147" s="366">
        <v>2576</v>
      </c>
      <c r="D147" s="340">
        <v>8</v>
      </c>
      <c r="E147" s="340">
        <v>15</v>
      </c>
      <c r="F147" s="346">
        <v>1</v>
      </c>
      <c r="G147" s="346">
        <v>3</v>
      </c>
      <c r="H147" s="340">
        <v>37</v>
      </c>
      <c r="I147" s="340">
        <v>57</v>
      </c>
      <c r="J147" s="293" t="s">
        <v>558</v>
      </c>
    </row>
    <row r="148" spans="1:10" s="338" customFormat="1" ht="12.75" x14ac:dyDescent="0.2">
      <c r="A148" s="292"/>
      <c r="B148" s="339"/>
      <c r="C148" s="348"/>
      <c r="D148" s="340"/>
      <c r="E148" s="340"/>
      <c r="F148" s="340"/>
      <c r="G148" s="340"/>
      <c r="H148" s="340"/>
      <c r="I148" s="342"/>
    </row>
    <row r="149" spans="1:10" s="338" customFormat="1" ht="15.75" x14ac:dyDescent="0.2">
      <c r="A149" s="289" t="s">
        <v>289</v>
      </c>
      <c r="B149" s="285">
        <f t="shared" ref="B149:B154" si="22">SUM(C149:I149)</f>
        <v>2176</v>
      </c>
      <c r="C149" s="285">
        <f>SUM(C150:C154)</f>
        <v>2099</v>
      </c>
      <c r="D149" s="334">
        <f t="shared" ref="D149:I149" si="23">SUM(D150:D154)</f>
        <v>10</v>
      </c>
      <c r="E149" s="334">
        <f t="shared" si="23"/>
        <v>19</v>
      </c>
      <c r="F149" s="334">
        <f t="shared" si="23"/>
        <v>0</v>
      </c>
      <c r="G149" s="334">
        <f t="shared" si="23"/>
        <v>0</v>
      </c>
      <c r="H149" s="334">
        <f t="shared" si="23"/>
        <v>23</v>
      </c>
      <c r="I149" s="334">
        <f t="shared" si="23"/>
        <v>25</v>
      </c>
      <c r="J149" s="337" t="s">
        <v>290</v>
      </c>
    </row>
    <row r="150" spans="1:10" s="338" customFormat="1" ht="15.75" x14ac:dyDescent="0.2">
      <c r="A150" s="292" t="s">
        <v>559</v>
      </c>
      <c r="B150" s="285">
        <f t="shared" si="22"/>
        <v>419</v>
      </c>
      <c r="C150" s="366">
        <v>393</v>
      </c>
      <c r="D150" s="340">
        <v>4</v>
      </c>
      <c r="E150" s="340">
        <v>7</v>
      </c>
      <c r="F150" s="346">
        <v>0</v>
      </c>
      <c r="G150" s="346">
        <v>0</v>
      </c>
      <c r="H150" s="340">
        <v>8</v>
      </c>
      <c r="I150" s="340">
        <v>7</v>
      </c>
      <c r="J150" s="293" t="s">
        <v>560</v>
      </c>
    </row>
    <row r="151" spans="1:10" s="338" customFormat="1" ht="15.75" x14ac:dyDescent="0.2">
      <c r="A151" s="292" t="s">
        <v>561</v>
      </c>
      <c r="B151" s="285">
        <f t="shared" si="22"/>
        <v>155</v>
      </c>
      <c r="C151" s="366">
        <v>153</v>
      </c>
      <c r="D151" s="340">
        <v>0</v>
      </c>
      <c r="E151" s="340">
        <v>0</v>
      </c>
      <c r="F151" s="346">
        <v>0</v>
      </c>
      <c r="G151" s="346">
        <v>0</v>
      </c>
      <c r="H151" s="340">
        <v>1</v>
      </c>
      <c r="I151" s="340">
        <v>1</v>
      </c>
      <c r="J151" s="293" t="s">
        <v>562</v>
      </c>
    </row>
    <row r="152" spans="1:10" s="338" customFormat="1" ht="15.75" x14ac:dyDescent="0.2">
      <c r="A152" s="292" t="s">
        <v>563</v>
      </c>
      <c r="B152" s="285">
        <f t="shared" si="22"/>
        <v>572</v>
      </c>
      <c r="C152" s="366">
        <v>559</v>
      </c>
      <c r="D152" s="340">
        <v>0</v>
      </c>
      <c r="E152" s="340">
        <v>0</v>
      </c>
      <c r="F152" s="346">
        <v>0</v>
      </c>
      <c r="G152" s="346">
        <v>0</v>
      </c>
      <c r="H152" s="340">
        <v>6</v>
      </c>
      <c r="I152" s="340">
        <v>7</v>
      </c>
      <c r="J152" s="293" t="s">
        <v>564</v>
      </c>
    </row>
    <row r="153" spans="1:10" s="338" customFormat="1" ht="15.75" x14ac:dyDescent="0.2">
      <c r="A153" s="292" t="s">
        <v>565</v>
      </c>
      <c r="B153" s="285">
        <f t="shared" si="22"/>
        <v>698</v>
      </c>
      <c r="C153" s="366">
        <v>665</v>
      </c>
      <c r="D153" s="340">
        <v>5</v>
      </c>
      <c r="E153" s="340">
        <v>11</v>
      </c>
      <c r="F153" s="346">
        <v>0</v>
      </c>
      <c r="G153" s="346">
        <v>0</v>
      </c>
      <c r="H153" s="340">
        <v>8</v>
      </c>
      <c r="I153" s="340">
        <v>9</v>
      </c>
      <c r="J153" s="293" t="s">
        <v>566</v>
      </c>
    </row>
    <row r="154" spans="1:10" s="338" customFormat="1" ht="15.75" x14ac:dyDescent="0.2">
      <c r="A154" s="292" t="s">
        <v>567</v>
      </c>
      <c r="B154" s="285">
        <f t="shared" si="22"/>
        <v>332</v>
      </c>
      <c r="C154" s="366">
        <v>329</v>
      </c>
      <c r="D154" s="340">
        <v>1</v>
      </c>
      <c r="E154" s="340">
        <v>1</v>
      </c>
      <c r="F154" s="346">
        <v>0</v>
      </c>
      <c r="G154" s="346">
        <v>0</v>
      </c>
      <c r="H154" s="340">
        <v>0</v>
      </c>
      <c r="I154" s="340">
        <v>1</v>
      </c>
      <c r="J154" s="293" t="s">
        <v>568</v>
      </c>
    </row>
    <row r="155" spans="1:10" s="338" customFormat="1" ht="12.75" x14ac:dyDescent="0.2">
      <c r="A155" s="297"/>
      <c r="B155" s="343"/>
      <c r="C155" s="348"/>
      <c r="D155" s="340"/>
      <c r="E155" s="340"/>
      <c r="F155" s="340"/>
      <c r="G155" s="340"/>
      <c r="H155" s="340"/>
      <c r="I155" s="342"/>
    </row>
    <row r="156" spans="1:10" s="338" customFormat="1" ht="15.75" x14ac:dyDescent="0.2">
      <c r="A156" s="289" t="s">
        <v>291</v>
      </c>
      <c r="B156" s="285">
        <f t="shared" ref="B156:B164" si="24">SUM(C156:I156)</f>
        <v>6754</v>
      </c>
      <c r="C156" s="285">
        <f>SUM(C157:C164)</f>
        <v>6489</v>
      </c>
      <c r="D156" s="334">
        <f>SUM(D157:D164)</f>
        <v>36</v>
      </c>
      <c r="E156" s="334">
        <f>SUM(E157:E164)</f>
        <v>66</v>
      </c>
      <c r="F156" s="334">
        <f t="shared" ref="F156:G156" si="25">SUM(F157:F164)</f>
        <v>1</v>
      </c>
      <c r="G156" s="334">
        <f t="shared" si="25"/>
        <v>2</v>
      </c>
      <c r="H156" s="334">
        <f>SUM(H157:H164)</f>
        <v>72</v>
      </c>
      <c r="I156" s="334">
        <f>SUM(I157:I164)</f>
        <v>88</v>
      </c>
      <c r="J156" s="337" t="s">
        <v>292</v>
      </c>
    </row>
    <row r="157" spans="1:10" s="338" customFormat="1" ht="15.75" x14ac:dyDescent="0.2">
      <c r="A157" s="297" t="s">
        <v>569</v>
      </c>
      <c r="B157" s="285">
        <f t="shared" si="24"/>
        <v>219</v>
      </c>
      <c r="C157" s="366">
        <v>211</v>
      </c>
      <c r="D157" s="340">
        <v>0</v>
      </c>
      <c r="E157" s="340">
        <v>0</v>
      </c>
      <c r="F157" s="346">
        <v>0</v>
      </c>
      <c r="G157" s="346">
        <v>0</v>
      </c>
      <c r="H157" s="340">
        <v>5</v>
      </c>
      <c r="I157" s="340">
        <v>3</v>
      </c>
      <c r="J157" s="293" t="s">
        <v>570</v>
      </c>
    </row>
    <row r="158" spans="1:10" s="338" customFormat="1" ht="15.75" x14ac:dyDescent="0.2">
      <c r="A158" s="297" t="s">
        <v>571</v>
      </c>
      <c r="B158" s="285">
        <f t="shared" si="24"/>
        <v>298</v>
      </c>
      <c r="C158" s="366">
        <v>284</v>
      </c>
      <c r="D158" s="340">
        <v>1</v>
      </c>
      <c r="E158" s="340">
        <v>2</v>
      </c>
      <c r="F158" s="346">
        <v>0</v>
      </c>
      <c r="G158" s="346">
        <v>0</v>
      </c>
      <c r="H158" s="340">
        <v>5</v>
      </c>
      <c r="I158" s="340">
        <v>6</v>
      </c>
      <c r="J158" s="293" t="s">
        <v>572</v>
      </c>
    </row>
    <row r="159" spans="1:10" s="338" customFormat="1" ht="15.75" x14ac:dyDescent="0.2">
      <c r="A159" s="297" t="s">
        <v>573</v>
      </c>
      <c r="B159" s="285">
        <f t="shared" si="24"/>
        <v>1698</v>
      </c>
      <c r="C159" s="366">
        <v>1602</v>
      </c>
      <c r="D159" s="340">
        <v>10</v>
      </c>
      <c r="E159" s="340">
        <v>18</v>
      </c>
      <c r="F159" s="346">
        <v>0</v>
      </c>
      <c r="G159" s="346">
        <v>0</v>
      </c>
      <c r="H159" s="340">
        <v>21</v>
      </c>
      <c r="I159" s="340">
        <v>47</v>
      </c>
      <c r="J159" s="293" t="s">
        <v>574</v>
      </c>
    </row>
    <row r="160" spans="1:10" s="338" customFormat="1" ht="15.75" x14ac:dyDescent="0.2">
      <c r="A160" s="297" t="s">
        <v>575</v>
      </c>
      <c r="B160" s="285">
        <f t="shared" si="24"/>
        <v>937</v>
      </c>
      <c r="C160" s="366">
        <v>892</v>
      </c>
      <c r="D160" s="340">
        <v>9</v>
      </c>
      <c r="E160" s="340">
        <v>20</v>
      </c>
      <c r="F160" s="346">
        <v>0</v>
      </c>
      <c r="G160" s="346">
        <v>0</v>
      </c>
      <c r="H160" s="340">
        <v>10</v>
      </c>
      <c r="I160" s="340">
        <v>6</v>
      </c>
      <c r="J160" s="293" t="s">
        <v>576</v>
      </c>
    </row>
    <row r="161" spans="1:10" s="338" customFormat="1" ht="15.75" x14ac:dyDescent="0.2">
      <c r="A161" s="297" t="s">
        <v>577</v>
      </c>
      <c r="B161" s="285">
        <f t="shared" si="24"/>
        <v>481</v>
      </c>
      <c r="C161" s="366">
        <v>471</v>
      </c>
      <c r="D161" s="340">
        <v>1</v>
      </c>
      <c r="E161" s="340">
        <v>2</v>
      </c>
      <c r="F161" s="346">
        <v>0</v>
      </c>
      <c r="G161" s="346">
        <v>0</v>
      </c>
      <c r="H161" s="340">
        <v>2</v>
      </c>
      <c r="I161" s="340">
        <v>5</v>
      </c>
      <c r="J161" s="293" t="s">
        <v>578</v>
      </c>
    </row>
    <row r="162" spans="1:10" s="338" customFormat="1" ht="15.75" x14ac:dyDescent="0.2">
      <c r="A162" s="297" t="s">
        <v>579</v>
      </c>
      <c r="B162" s="285">
        <f t="shared" si="24"/>
        <v>1294</v>
      </c>
      <c r="C162" s="366">
        <v>1251</v>
      </c>
      <c r="D162" s="340">
        <v>8</v>
      </c>
      <c r="E162" s="340">
        <v>10</v>
      </c>
      <c r="F162" s="346">
        <v>1</v>
      </c>
      <c r="G162" s="346">
        <v>2</v>
      </c>
      <c r="H162" s="340">
        <v>13</v>
      </c>
      <c r="I162" s="340">
        <v>9</v>
      </c>
      <c r="J162" s="293" t="s">
        <v>580</v>
      </c>
    </row>
    <row r="163" spans="1:10" s="338" customFormat="1" ht="15.75" x14ac:dyDescent="0.2">
      <c r="A163" s="297" t="s">
        <v>581</v>
      </c>
      <c r="B163" s="285">
        <f t="shared" si="24"/>
        <v>1147</v>
      </c>
      <c r="C163" s="366">
        <v>1118</v>
      </c>
      <c r="D163" s="340">
        <v>5</v>
      </c>
      <c r="E163" s="340">
        <v>9</v>
      </c>
      <c r="F163" s="346">
        <v>0</v>
      </c>
      <c r="G163" s="346">
        <v>0</v>
      </c>
      <c r="H163" s="340">
        <v>8</v>
      </c>
      <c r="I163" s="340">
        <v>7</v>
      </c>
      <c r="J163" s="293" t="s">
        <v>582</v>
      </c>
    </row>
    <row r="164" spans="1:10" s="338" customFormat="1" ht="15.75" x14ac:dyDescent="0.2">
      <c r="A164" s="297" t="s">
        <v>465</v>
      </c>
      <c r="B164" s="285">
        <f t="shared" si="24"/>
        <v>680</v>
      </c>
      <c r="C164" s="366">
        <v>660</v>
      </c>
      <c r="D164" s="340">
        <v>2</v>
      </c>
      <c r="E164" s="340">
        <v>5</v>
      </c>
      <c r="F164" s="346">
        <v>0</v>
      </c>
      <c r="G164" s="346">
        <v>0</v>
      </c>
      <c r="H164" s="340">
        <v>8</v>
      </c>
      <c r="I164" s="340">
        <v>5</v>
      </c>
      <c r="J164" s="293" t="s">
        <v>466</v>
      </c>
    </row>
    <row r="165" spans="1:10" s="347" customFormat="1" ht="12.75" x14ac:dyDescent="0.2">
      <c r="A165" s="297"/>
      <c r="B165" s="343"/>
      <c r="C165" s="348"/>
      <c r="F165" s="346"/>
      <c r="G165" s="346"/>
      <c r="H165" s="351"/>
      <c r="I165" s="342"/>
    </row>
    <row r="166" spans="1:10" s="338" customFormat="1" ht="15.75" x14ac:dyDescent="0.2">
      <c r="A166" s="289" t="s">
        <v>294</v>
      </c>
      <c r="B166" s="285">
        <f t="shared" ref="B166:B171" si="26">SUM(C166:I166)</f>
        <v>5785</v>
      </c>
      <c r="C166" s="285">
        <f>SUM(C167:C171)</f>
        <v>5469</v>
      </c>
      <c r="D166" s="334">
        <f t="shared" ref="D166:I166" si="27">SUM(D167:D171)</f>
        <v>34</v>
      </c>
      <c r="E166" s="334">
        <f t="shared" si="27"/>
        <v>59</v>
      </c>
      <c r="F166" s="334">
        <f t="shared" si="27"/>
        <v>1</v>
      </c>
      <c r="G166" s="334">
        <f t="shared" si="27"/>
        <v>4</v>
      </c>
      <c r="H166" s="334">
        <f t="shared" si="27"/>
        <v>100</v>
      </c>
      <c r="I166" s="334">
        <f t="shared" si="27"/>
        <v>118</v>
      </c>
      <c r="J166" s="337" t="s">
        <v>295</v>
      </c>
    </row>
    <row r="167" spans="1:10" s="338" customFormat="1" ht="15.75" x14ac:dyDescent="0.2">
      <c r="A167" s="292" t="s">
        <v>583</v>
      </c>
      <c r="B167" s="285">
        <f t="shared" si="26"/>
        <v>1174</v>
      </c>
      <c r="C167" s="366">
        <v>1112</v>
      </c>
      <c r="D167" s="340">
        <v>7</v>
      </c>
      <c r="E167" s="340">
        <v>12</v>
      </c>
      <c r="F167" s="346">
        <v>0</v>
      </c>
      <c r="G167" s="346">
        <v>0</v>
      </c>
      <c r="H167" s="340">
        <v>17</v>
      </c>
      <c r="I167" s="340">
        <v>26</v>
      </c>
      <c r="J167" s="293" t="s">
        <v>584</v>
      </c>
    </row>
    <row r="168" spans="1:10" s="338" customFormat="1" ht="15.75" x14ac:dyDescent="0.2">
      <c r="A168" s="292" t="s">
        <v>585</v>
      </c>
      <c r="B168" s="285">
        <f t="shared" si="26"/>
        <v>1267</v>
      </c>
      <c r="C168" s="366">
        <v>1208</v>
      </c>
      <c r="D168" s="340">
        <v>11</v>
      </c>
      <c r="E168" s="340">
        <v>13</v>
      </c>
      <c r="F168" s="346">
        <v>1</v>
      </c>
      <c r="G168" s="346">
        <v>4</v>
      </c>
      <c r="H168" s="340">
        <v>9</v>
      </c>
      <c r="I168" s="340">
        <v>21</v>
      </c>
      <c r="J168" s="293" t="s">
        <v>586</v>
      </c>
    </row>
    <row r="169" spans="1:10" s="338" customFormat="1" ht="15.75" x14ac:dyDescent="0.2">
      <c r="A169" s="292" t="s">
        <v>435</v>
      </c>
      <c r="B169" s="285">
        <f t="shared" si="26"/>
        <v>788</v>
      </c>
      <c r="C169" s="366">
        <v>753</v>
      </c>
      <c r="D169" s="340">
        <v>2</v>
      </c>
      <c r="E169" s="340">
        <v>2</v>
      </c>
      <c r="F169" s="346">
        <v>0</v>
      </c>
      <c r="G169" s="346">
        <v>0</v>
      </c>
      <c r="H169" s="340">
        <v>22</v>
      </c>
      <c r="I169" s="340">
        <v>9</v>
      </c>
      <c r="J169" s="293" t="s">
        <v>436</v>
      </c>
    </row>
    <row r="170" spans="1:10" s="338" customFormat="1" ht="15.75" x14ac:dyDescent="0.2">
      <c r="A170" s="292" t="s">
        <v>587</v>
      </c>
      <c r="B170" s="285">
        <f t="shared" si="26"/>
        <v>543</v>
      </c>
      <c r="C170" s="366">
        <v>510</v>
      </c>
      <c r="D170" s="340">
        <v>4</v>
      </c>
      <c r="E170" s="340">
        <v>7</v>
      </c>
      <c r="F170" s="346">
        <v>0</v>
      </c>
      <c r="G170" s="346">
        <v>0</v>
      </c>
      <c r="H170" s="340">
        <v>11</v>
      </c>
      <c r="I170" s="340">
        <v>11</v>
      </c>
      <c r="J170" s="293" t="s">
        <v>588</v>
      </c>
    </row>
    <row r="171" spans="1:10" s="338" customFormat="1" ht="15.75" x14ac:dyDescent="0.2">
      <c r="A171" s="292" t="s">
        <v>589</v>
      </c>
      <c r="B171" s="285">
        <f t="shared" si="26"/>
        <v>2013</v>
      </c>
      <c r="C171" s="366">
        <v>1886</v>
      </c>
      <c r="D171" s="340">
        <v>10</v>
      </c>
      <c r="E171" s="340">
        <v>25</v>
      </c>
      <c r="F171" s="346">
        <v>0</v>
      </c>
      <c r="G171" s="346">
        <v>0</v>
      </c>
      <c r="H171" s="340">
        <v>41</v>
      </c>
      <c r="I171" s="340">
        <v>51</v>
      </c>
      <c r="J171" s="293" t="s">
        <v>590</v>
      </c>
    </row>
    <row r="172" spans="1:10" s="338" customFormat="1" ht="12.75" x14ac:dyDescent="0.2">
      <c r="A172" s="297"/>
      <c r="B172" s="343"/>
      <c r="C172" s="348"/>
      <c r="D172" s="340"/>
      <c r="E172" s="340"/>
      <c r="F172" s="340"/>
      <c r="G172" s="340"/>
      <c r="H172" s="340"/>
      <c r="I172" s="342"/>
    </row>
    <row r="173" spans="1:10" s="338" customFormat="1" ht="15.75" x14ac:dyDescent="0.2">
      <c r="A173" s="289" t="s">
        <v>297</v>
      </c>
      <c r="B173" s="285">
        <f t="shared" ref="B173:B181" si="28">SUM(C173:I173)</f>
        <v>7196</v>
      </c>
      <c r="C173" s="285">
        <f>SUM(C174:C181)</f>
        <v>6822</v>
      </c>
      <c r="D173" s="334">
        <f t="shared" ref="D173:I173" si="29">SUM(D174:D181)</f>
        <v>57</v>
      </c>
      <c r="E173" s="334">
        <f t="shared" si="29"/>
        <v>92</v>
      </c>
      <c r="F173" s="334">
        <f t="shared" si="29"/>
        <v>1</v>
      </c>
      <c r="G173" s="334">
        <f t="shared" si="29"/>
        <v>1</v>
      </c>
      <c r="H173" s="334">
        <f t="shared" si="29"/>
        <v>130</v>
      </c>
      <c r="I173" s="334">
        <f t="shared" si="29"/>
        <v>93</v>
      </c>
      <c r="J173" s="337" t="s">
        <v>298</v>
      </c>
    </row>
    <row r="174" spans="1:10" s="338" customFormat="1" ht="15.75" x14ac:dyDescent="0.2">
      <c r="A174" s="292" t="s">
        <v>471</v>
      </c>
      <c r="B174" s="285">
        <f t="shared" si="28"/>
        <v>1279</v>
      </c>
      <c r="C174" s="366">
        <v>1224</v>
      </c>
      <c r="D174" s="340">
        <v>3</v>
      </c>
      <c r="E174" s="340">
        <v>4</v>
      </c>
      <c r="F174" s="346">
        <v>0</v>
      </c>
      <c r="G174" s="346">
        <v>0</v>
      </c>
      <c r="H174" s="340">
        <v>28</v>
      </c>
      <c r="I174" s="340">
        <v>20</v>
      </c>
      <c r="J174" s="293" t="s">
        <v>472</v>
      </c>
    </row>
    <row r="175" spans="1:10" s="338" customFormat="1" ht="15.75" x14ac:dyDescent="0.2">
      <c r="A175" s="292" t="s">
        <v>591</v>
      </c>
      <c r="B175" s="285">
        <f t="shared" si="28"/>
        <v>888</v>
      </c>
      <c r="C175" s="366">
        <v>837</v>
      </c>
      <c r="D175" s="340">
        <v>8</v>
      </c>
      <c r="E175" s="340">
        <v>15</v>
      </c>
      <c r="F175" s="346">
        <v>0</v>
      </c>
      <c r="G175" s="346">
        <v>0</v>
      </c>
      <c r="H175" s="340">
        <v>19</v>
      </c>
      <c r="I175" s="340">
        <v>9</v>
      </c>
      <c r="J175" s="293" t="s">
        <v>592</v>
      </c>
    </row>
    <row r="176" spans="1:10" s="338" customFormat="1" ht="15.75" x14ac:dyDescent="0.2">
      <c r="A176" s="292" t="s">
        <v>593</v>
      </c>
      <c r="B176" s="285">
        <f t="shared" si="28"/>
        <v>381</v>
      </c>
      <c r="C176" s="366">
        <v>350</v>
      </c>
      <c r="D176" s="340">
        <v>5</v>
      </c>
      <c r="E176" s="340">
        <v>8</v>
      </c>
      <c r="F176" s="346">
        <v>0</v>
      </c>
      <c r="G176" s="346">
        <v>0</v>
      </c>
      <c r="H176" s="340">
        <v>6</v>
      </c>
      <c r="I176" s="340">
        <v>12</v>
      </c>
      <c r="J176" s="293" t="s">
        <v>594</v>
      </c>
    </row>
    <row r="177" spans="1:10" s="338" customFormat="1" ht="15.75" x14ac:dyDescent="0.2">
      <c r="A177" s="292" t="s">
        <v>595</v>
      </c>
      <c r="B177" s="285">
        <f t="shared" si="28"/>
        <v>882</v>
      </c>
      <c r="C177" s="366">
        <v>830</v>
      </c>
      <c r="D177" s="340">
        <v>10</v>
      </c>
      <c r="E177" s="340">
        <v>16</v>
      </c>
      <c r="F177" s="346">
        <v>0</v>
      </c>
      <c r="G177" s="346">
        <v>0</v>
      </c>
      <c r="H177" s="340">
        <v>18</v>
      </c>
      <c r="I177" s="340">
        <v>8</v>
      </c>
      <c r="J177" s="293" t="s">
        <v>596</v>
      </c>
    </row>
    <row r="178" spans="1:10" s="338" customFormat="1" ht="15.75" x14ac:dyDescent="0.2">
      <c r="A178" s="292" t="s">
        <v>597</v>
      </c>
      <c r="B178" s="285">
        <f t="shared" si="28"/>
        <v>2</v>
      </c>
      <c r="C178" s="366">
        <v>2</v>
      </c>
      <c r="D178" s="340">
        <v>0</v>
      </c>
      <c r="E178" s="340">
        <v>0</v>
      </c>
      <c r="F178" s="346">
        <v>0</v>
      </c>
      <c r="G178" s="346">
        <v>0</v>
      </c>
      <c r="H178" s="340">
        <v>0</v>
      </c>
      <c r="I178" s="340">
        <v>0</v>
      </c>
      <c r="J178" s="345" t="s">
        <v>598</v>
      </c>
    </row>
    <row r="179" spans="1:10" s="338" customFormat="1" ht="15.75" x14ac:dyDescent="0.2">
      <c r="A179" s="292" t="s">
        <v>599</v>
      </c>
      <c r="B179" s="285">
        <f t="shared" si="28"/>
        <v>233</v>
      </c>
      <c r="C179" s="366">
        <v>225</v>
      </c>
      <c r="D179" s="340">
        <v>1</v>
      </c>
      <c r="E179" s="340">
        <v>2</v>
      </c>
      <c r="F179" s="346">
        <v>0</v>
      </c>
      <c r="G179" s="346">
        <v>0</v>
      </c>
      <c r="H179" s="340">
        <v>5</v>
      </c>
      <c r="I179" s="340">
        <v>0</v>
      </c>
      <c r="J179" s="293" t="s">
        <v>600</v>
      </c>
    </row>
    <row r="180" spans="1:10" s="338" customFormat="1" ht="15.75" x14ac:dyDescent="0.2">
      <c r="A180" s="292" t="s">
        <v>601</v>
      </c>
      <c r="B180" s="285">
        <f t="shared" si="28"/>
        <v>962</v>
      </c>
      <c r="C180" s="366">
        <v>925</v>
      </c>
      <c r="D180" s="340">
        <v>6</v>
      </c>
      <c r="E180" s="340">
        <v>9</v>
      </c>
      <c r="F180" s="346">
        <v>0</v>
      </c>
      <c r="G180" s="346">
        <v>0</v>
      </c>
      <c r="H180" s="340">
        <v>10</v>
      </c>
      <c r="I180" s="340">
        <v>12</v>
      </c>
      <c r="J180" s="293" t="s">
        <v>602</v>
      </c>
    </row>
    <row r="181" spans="1:10" s="338" customFormat="1" ht="15.75" x14ac:dyDescent="0.2">
      <c r="A181" s="292" t="s">
        <v>603</v>
      </c>
      <c r="B181" s="285">
        <f t="shared" si="28"/>
        <v>2569</v>
      </c>
      <c r="C181" s="366">
        <v>2429</v>
      </c>
      <c r="D181" s="340">
        <v>24</v>
      </c>
      <c r="E181" s="340">
        <v>38</v>
      </c>
      <c r="F181" s="346">
        <v>1</v>
      </c>
      <c r="G181" s="346">
        <v>1</v>
      </c>
      <c r="H181" s="340">
        <v>44</v>
      </c>
      <c r="I181" s="340">
        <v>32</v>
      </c>
      <c r="J181" s="293" t="s">
        <v>604</v>
      </c>
    </row>
    <row r="182" spans="1:10" s="338" customFormat="1" ht="12.75" x14ac:dyDescent="0.2">
      <c r="A182" s="292"/>
      <c r="B182" s="339"/>
      <c r="C182" s="348"/>
      <c r="D182" s="340"/>
      <c r="E182" s="340"/>
      <c r="F182" s="340"/>
      <c r="G182" s="340"/>
      <c r="H182" s="340"/>
      <c r="I182" s="342"/>
    </row>
    <row r="183" spans="1:10" s="338" customFormat="1" ht="15.75" x14ac:dyDescent="0.2">
      <c r="A183" s="289" t="s">
        <v>300</v>
      </c>
      <c r="B183" s="285">
        <f t="shared" ref="B183:B196" si="30">SUM(C183:I183)</f>
        <v>14699</v>
      </c>
      <c r="C183" s="285">
        <f>SUM(C184:C196)</f>
        <v>14052</v>
      </c>
      <c r="D183" s="334">
        <f t="shared" ref="D183:H183" si="31">SUM(D184:D196)</f>
        <v>78</v>
      </c>
      <c r="E183" s="334">
        <f t="shared" si="31"/>
        <v>135</v>
      </c>
      <c r="F183" s="334">
        <f t="shared" si="31"/>
        <v>4</v>
      </c>
      <c r="G183" s="334">
        <f t="shared" si="31"/>
        <v>5</v>
      </c>
      <c r="H183" s="334">
        <f t="shared" si="31"/>
        <v>256</v>
      </c>
      <c r="I183" s="334">
        <f>SUM(I184:I196)</f>
        <v>169</v>
      </c>
      <c r="J183" s="337" t="s">
        <v>301</v>
      </c>
    </row>
    <row r="184" spans="1:10" s="338" customFormat="1" ht="15.75" x14ac:dyDescent="0.2">
      <c r="A184" s="292" t="s">
        <v>605</v>
      </c>
      <c r="B184" s="285">
        <f t="shared" si="30"/>
        <v>557</v>
      </c>
      <c r="C184" s="366">
        <v>539</v>
      </c>
      <c r="D184" s="340">
        <v>1</v>
      </c>
      <c r="E184" s="340">
        <v>3</v>
      </c>
      <c r="F184" s="346">
        <v>0</v>
      </c>
      <c r="G184" s="346">
        <v>0</v>
      </c>
      <c r="H184" s="340">
        <v>7</v>
      </c>
      <c r="I184" s="342">
        <v>7</v>
      </c>
      <c r="J184" s="293" t="s">
        <v>606</v>
      </c>
    </row>
    <row r="185" spans="1:10" s="338" customFormat="1" ht="15.75" x14ac:dyDescent="0.2">
      <c r="A185" s="292" t="s">
        <v>607</v>
      </c>
      <c r="B185" s="285">
        <f t="shared" si="30"/>
        <v>1872</v>
      </c>
      <c r="C185" s="366">
        <v>1823</v>
      </c>
      <c r="D185" s="340">
        <v>5</v>
      </c>
      <c r="E185" s="340">
        <v>6</v>
      </c>
      <c r="F185" s="346">
        <v>0</v>
      </c>
      <c r="G185" s="346">
        <v>0</v>
      </c>
      <c r="H185" s="340">
        <v>31</v>
      </c>
      <c r="I185" s="340">
        <v>7</v>
      </c>
      <c r="J185" s="345" t="s">
        <v>608</v>
      </c>
    </row>
    <row r="186" spans="1:10" s="338" customFormat="1" ht="15.75" x14ac:dyDescent="0.2">
      <c r="A186" s="292" t="s">
        <v>609</v>
      </c>
      <c r="B186" s="285">
        <f t="shared" si="30"/>
        <v>1173</v>
      </c>
      <c r="C186" s="366">
        <v>1119</v>
      </c>
      <c r="D186" s="340">
        <v>2</v>
      </c>
      <c r="E186" s="340">
        <v>3</v>
      </c>
      <c r="F186" s="346">
        <v>0</v>
      </c>
      <c r="G186" s="346">
        <v>0</v>
      </c>
      <c r="H186" s="340">
        <v>34</v>
      </c>
      <c r="I186" s="340">
        <v>15</v>
      </c>
      <c r="J186" s="293" t="s">
        <v>610</v>
      </c>
    </row>
    <row r="187" spans="1:10" s="338" customFormat="1" ht="15.75" x14ac:dyDescent="0.2">
      <c r="A187" s="292" t="s">
        <v>611</v>
      </c>
      <c r="B187" s="285">
        <f t="shared" si="30"/>
        <v>806</v>
      </c>
      <c r="C187" s="366">
        <v>779</v>
      </c>
      <c r="D187" s="340">
        <v>2</v>
      </c>
      <c r="E187" s="340">
        <v>6</v>
      </c>
      <c r="F187" s="346">
        <v>0</v>
      </c>
      <c r="G187" s="346">
        <v>0</v>
      </c>
      <c r="H187" s="340">
        <v>10</v>
      </c>
      <c r="I187" s="340">
        <v>9</v>
      </c>
      <c r="J187" s="293" t="s">
        <v>612</v>
      </c>
    </row>
    <row r="188" spans="1:10" s="338" customFormat="1" ht="15.75" x14ac:dyDescent="0.2">
      <c r="A188" s="292" t="s">
        <v>527</v>
      </c>
      <c r="B188" s="285">
        <f t="shared" si="30"/>
        <v>1896</v>
      </c>
      <c r="C188" s="366">
        <v>1820</v>
      </c>
      <c r="D188" s="340">
        <v>13</v>
      </c>
      <c r="E188" s="340">
        <v>21</v>
      </c>
      <c r="F188" s="346">
        <v>1</v>
      </c>
      <c r="G188" s="346">
        <v>2</v>
      </c>
      <c r="H188" s="340">
        <v>27</v>
      </c>
      <c r="I188" s="340">
        <v>12</v>
      </c>
      <c r="J188" s="293" t="s">
        <v>528</v>
      </c>
    </row>
    <row r="189" spans="1:10" s="338" customFormat="1" ht="15.75" x14ac:dyDescent="0.2">
      <c r="A189" s="292" t="s">
        <v>613</v>
      </c>
      <c r="B189" s="285">
        <f t="shared" si="30"/>
        <v>630</v>
      </c>
      <c r="C189" s="366">
        <v>613</v>
      </c>
      <c r="D189" s="340">
        <v>1</v>
      </c>
      <c r="E189" s="340">
        <v>1</v>
      </c>
      <c r="F189" s="346">
        <v>0</v>
      </c>
      <c r="G189" s="346">
        <v>0</v>
      </c>
      <c r="H189" s="340">
        <v>9</v>
      </c>
      <c r="I189" s="340">
        <v>6</v>
      </c>
      <c r="J189" s="293" t="s">
        <v>614</v>
      </c>
    </row>
    <row r="190" spans="1:10" s="338" customFormat="1" ht="15.75" x14ac:dyDescent="0.2">
      <c r="A190" s="292" t="s">
        <v>615</v>
      </c>
      <c r="B190" s="285">
        <f t="shared" si="30"/>
        <v>390</v>
      </c>
      <c r="C190" s="366">
        <v>362</v>
      </c>
      <c r="D190" s="340">
        <v>1</v>
      </c>
      <c r="E190" s="340">
        <v>3</v>
      </c>
      <c r="F190" s="346">
        <v>0</v>
      </c>
      <c r="G190" s="346">
        <v>0</v>
      </c>
      <c r="H190" s="340">
        <v>16</v>
      </c>
      <c r="I190" s="340">
        <v>8</v>
      </c>
      <c r="J190" s="293" t="s">
        <v>616</v>
      </c>
    </row>
    <row r="191" spans="1:10" s="338" customFormat="1" ht="15.75" x14ac:dyDescent="0.2">
      <c r="A191" s="292" t="s">
        <v>617</v>
      </c>
      <c r="B191" s="285">
        <f t="shared" si="30"/>
        <v>1155</v>
      </c>
      <c r="C191" s="366">
        <v>1067</v>
      </c>
      <c r="D191" s="340">
        <v>16</v>
      </c>
      <c r="E191" s="340">
        <v>31</v>
      </c>
      <c r="F191" s="346">
        <v>0</v>
      </c>
      <c r="G191" s="346">
        <v>0</v>
      </c>
      <c r="H191" s="340">
        <v>24</v>
      </c>
      <c r="I191" s="340">
        <v>17</v>
      </c>
      <c r="J191" s="293" t="s">
        <v>618</v>
      </c>
    </row>
    <row r="192" spans="1:10" s="338" customFormat="1" ht="15.75" x14ac:dyDescent="0.2">
      <c r="A192" s="292" t="s">
        <v>619</v>
      </c>
      <c r="B192" s="285">
        <f t="shared" si="30"/>
        <v>593</v>
      </c>
      <c r="C192" s="366">
        <v>578</v>
      </c>
      <c r="D192" s="340">
        <v>1</v>
      </c>
      <c r="E192" s="340">
        <v>1</v>
      </c>
      <c r="F192" s="346">
        <v>0</v>
      </c>
      <c r="G192" s="346">
        <v>0</v>
      </c>
      <c r="H192" s="340">
        <v>4</v>
      </c>
      <c r="I192" s="340">
        <v>9</v>
      </c>
      <c r="J192" s="293" t="s">
        <v>620</v>
      </c>
    </row>
    <row r="193" spans="1:10" s="338" customFormat="1" ht="15.75" x14ac:dyDescent="0.2">
      <c r="A193" s="292" t="s">
        <v>621</v>
      </c>
      <c r="B193" s="285">
        <f t="shared" si="30"/>
        <v>2313</v>
      </c>
      <c r="C193" s="366">
        <v>2201</v>
      </c>
      <c r="D193" s="340">
        <v>10</v>
      </c>
      <c r="E193" s="340">
        <v>19</v>
      </c>
      <c r="F193" s="346">
        <v>1</v>
      </c>
      <c r="G193" s="346">
        <v>1</v>
      </c>
      <c r="H193" s="340">
        <v>49</v>
      </c>
      <c r="I193" s="340">
        <v>32</v>
      </c>
      <c r="J193" s="293" t="s">
        <v>622</v>
      </c>
    </row>
    <row r="194" spans="1:10" s="338" customFormat="1" ht="15.75" x14ac:dyDescent="0.2">
      <c r="A194" s="297" t="s">
        <v>623</v>
      </c>
      <c r="B194" s="285">
        <f t="shared" si="30"/>
        <v>1239</v>
      </c>
      <c r="C194" s="366">
        <v>1187</v>
      </c>
      <c r="D194" s="340">
        <v>12</v>
      </c>
      <c r="E194" s="340">
        <v>19</v>
      </c>
      <c r="F194" s="346">
        <v>0</v>
      </c>
      <c r="G194" s="346">
        <v>0</v>
      </c>
      <c r="H194" s="340">
        <v>3</v>
      </c>
      <c r="I194" s="340">
        <v>18</v>
      </c>
      <c r="J194" s="293" t="s">
        <v>624</v>
      </c>
    </row>
    <row r="195" spans="1:10" s="338" customFormat="1" ht="15.75" x14ac:dyDescent="0.2">
      <c r="A195" s="297" t="s">
        <v>625</v>
      </c>
      <c r="B195" s="285">
        <f t="shared" si="30"/>
        <v>1389</v>
      </c>
      <c r="C195" s="366">
        <v>1301</v>
      </c>
      <c r="D195" s="340">
        <v>11</v>
      </c>
      <c r="E195" s="340">
        <v>15</v>
      </c>
      <c r="F195" s="346">
        <v>1</v>
      </c>
      <c r="G195" s="346">
        <v>1</v>
      </c>
      <c r="H195" s="340">
        <v>37</v>
      </c>
      <c r="I195" s="340">
        <v>23</v>
      </c>
      <c r="J195" s="293" t="s">
        <v>626</v>
      </c>
    </row>
    <row r="196" spans="1:10" s="338" customFormat="1" ht="15.75" x14ac:dyDescent="0.2">
      <c r="A196" s="297" t="s">
        <v>545</v>
      </c>
      <c r="B196" s="285">
        <f t="shared" si="30"/>
        <v>686</v>
      </c>
      <c r="C196" s="366">
        <v>663</v>
      </c>
      <c r="D196" s="340">
        <v>3</v>
      </c>
      <c r="E196" s="340">
        <v>7</v>
      </c>
      <c r="F196" s="346">
        <v>1</v>
      </c>
      <c r="G196" s="346">
        <v>1</v>
      </c>
      <c r="H196" s="340">
        <v>5</v>
      </c>
      <c r="I196" s="340">
        <v>6</v>
      </c>
      <c r="J196" s="293" t="s">
        <v>546</v>
      </c>
    </row>
    <row r="197" spans="1:10" s="338" customFormat="1" ht="15.75" x14ac:dyDescent="0.2">
      <c r="A197" s="297"/>
      <c r="B197" s="285"/>
      <c r="C197" s="348"/>
      <c r="D197" s="340"/>
      <c r="E197" s="340"/>
      <c r="F197" s="346"/>
      <c r="G197" s="346"/>
      <c r="H197" s="340"/>
      <c r="I197" s="342"/>
      <c r="J197" s="293"/>
    </row>
    <row r="198" spans="1:10" s="347" customFormat="1" ht="15.75" x14ac:dyDescent="0.2">
      <c r="A198" s="352" t="s">
        <v>303</v>
      </c>
      <c r="B198" s="285">
        <f t="shared" ref="B198:B210" si="32">SUM(C198:I198)</f>
        <v>16493</v>
      </c>
      <c r="C198" s="285">
        <f>SUM(C199:C210)</f>
        <v>15563</v>
      </c>
      <c r="D198" s="334">
        <f t="shared" ref="D198:I198" si="33">SUM(D199:D210)</f>
        <v>164</v>
      </c>
      <c r="E198" s="334">
        <f t="shared" si="33"/>
        <v>307</v>
      </c>
      <c r="F198" s="334">
        <f t="shared" si="33"/>
        <v>3</v>
      </c>
      <c r="G198" s="334">
        <f t="shared" si="33"/>
        <v>6</v>
      </c>
      <c r="H198" s="334">
        <f t="shared" si="33"/>
        <v>212</v>
      </c>
      <c r="I198" s="334">
        <f t="shared" si="33"/>
        <v>238</v>
      </c>
      <c r="J198" s="337" t="s">
        <v>304</v>
      </c>
    </row>
    <row r="199" spans="1:10" s="338" customFormat="1" ht="15.75" x14ac:dyDescent="0.2">
      <c r="A199" s="297" t="s">
        <v>627</v>
      </c>
      <c r="B199" s="285">
        <f t="shared" si="32"/>
        <v>1194</v>
      </c>
      <c r="C199" s="366">
        <v>1128</v>
      </c>
      <c r="D199" s="340">
        <v>8</v>
      </c>
      <c r="E199" s="340">
        <v>12</v>
      </c>
      <c r="F199" s="346">
        <v>0</v>
      </c>
      <c r="G199" s="346">
        <v>0</v>
      </c>
      <c r="H199" s="340">
        <v>17</v>
      </c>
      <c r="I199" s="340">
        <v>29</v>
      </c>
      <c r="J199" s="293" t="s">
        <v>628</v>
      </c>
    </row>
    <row r="200" spans="1:10" s="338" customFormat="1" ht="15.75" x14ac:dyDescent="0.2">
      <c r="A200" s="297" t="s">
        <v>629</v>
      </c>
      <c r="B200" s="285">
        <f t="shared" si="32"/>
        <v>942</v>
      </c>
      <c r="C200" s="366">
        <v>896</v>
      </c>
      <c r="D200" s="340">
        <v>6</v>
      </c>
      <c r="E200" s="340">
        <v>15</v>
      </c>
      <c r="F200" s="346">
        <v>0</v>
      </c>
      <c r="G200" s="346">
        <v>0</v>
      </c>
      <c r="H200" s="340">
        <v>9</v>
      </c>
      <c r="I200" s="340">
        <v>16</v>
      </c>
      <c r="J200" s="293" t="s">
        <v>630</v>
      </c>
    </row>
    <row r="201" spans="1:10" s="338" customFormat="1" ht="15.75" x14ac:dyDescent="0.2">
      <c r="A201" s="292" t="s">
        <v>631</v>
      </c>
      <c r="B201" s="285">
        <f t="shared" si="32"/>
        <v>1033</v>
      </c>
      <c r="C201" s="366">
        <v>989</v>
      </c>
      <c r="D201" s="340">
        <v>4</v>
      </c>
      <c r="E201" s="340">
        <v>9</v>
      </c>
      <c r="F201" s="346">
        <v>0</v>
      </c>
      <c r="G201" s="346">
        <v>0</v>
      </c>
      <c r="H201" s="340">
        <v>8</v>
      </c>
      <c r="I201" s="340">
        <v>23</v>
      </c>
      <c r="J201" s="293" t="s">
        <v>632</v>
      </c>
    </row>
    <row r="202" spans="1:10" s="338" customFormat="1" ht="15.75" x14ac:dyDescent="0.2">
      <c r="A202" s="292" t="s">
        <v>633</v>
      </c>
      <c r="B202" s="285">
        <f t="shared" si="32"/>
        <v>277</v>
      </c>
      <c r="C202" s="366">
        <v>256</v>
      </c>
      <c r="D202" s="340">
        <v>3</v>
      </c>
      <c r="E202" s="340">
        <v>10</v>
      </c>
      <c r="F202" s="346">
        <v>0</v>
      </c>
      <c r="G202" s="346">
        <v>0</v>
      </c>
      <c r="H202" s="340">
        <v>4</v>
      </c>
      <c r="I202" s="340">
        <v>4</v>
      </c>
      <c r="J202" s="293" t="s">
        <v>634</v>
      </c>
    </row>
    <row r="203" spans="1:10" s="338" customFormat="1" ht="15.75" x14ac:dyDescent="0.2">
      <c r="A203" s="292" t="s">
        <v>635</v>
      </c>
      <c r="B203" s="285">
        <f t="shared" si="32"/>
        <v>895</v>
      </c>
      <c r="C203" s="366">
        <v>847</v>
      </c>
      <c r="D203" s="340">
        <v>11</v>
      </c>
      <c r="E203" s="340">
        <v>16</v>
      </c>
      <c r="F203" s="346">
        <v>0</v>
      </c>
      <c r="G203" s="346">
        <v>0</v>
      </c>
      <c r="H203" s="340">
        <v>15</v>
      </c>
      <c r="I203" s="340">
        <v>6</v>
      </c>
      <c r="J203" s="293" t="s">
        <v>636</v>
      </c>
    </row>
    <row r="204" spans="1:10" s="338" customFormat="1" ht="15.75" x14ac:dyDescent="0.2">
      <c r="A204" s="292" t="s">
        <v>637</v>
      </c>
      <c r="B204" s="285">
        <f t="shared" si="32"/>
        <v>4449</v>
      </c>
      <c r="C204" s="366">
        <v>4136</v>
      </c>
      <c r="D204" s="340">
        <v>55</v>
      </c>
      <c r="E204" s="340">
        <v>99</v>
      </c>
      <c r="F204" s="346">
        <v>3</v>
      </c>
      <c r="G204" s="346">
        <v>6</v>
      </c>
      <c r="H204" s="340">
        <v>76</v>
      </c>
      <c r="I204" s="340">
        <v>74</v>
      </c>
      <c r="J204" s="293" t="s">
        <v>638</v>
      </c>
    </row>
    <row r="205" spans="1:10" s="338" customFormat="1" ht="15.75" x14ac:dyDescent="0.2">
      <c r="A205" s="292" t="s">
        <v>639</v>
      </c>
      <c r="B205" s="285">
        <f t="shared" si="32"/>
        <v>1857</v>
      </c>
      <c r="C205" s="366">
        <v>1777</v>
      </c>
      <c r="D205" s="340">
        <v>16</v>
      </c>
      <c r="E205" s="340">
        <v>28</v>
      </c>
      <c r="F205" s="346">
        <v>0</v>
      </c>
      <c r="G205" s="346">
        <v>0</v>
      </c>
      <c r="H205" s="340">
        <v>15</v>
      </c>
      <c r="I205" s="340">
        <v>21</v>
      </c>
      <c r="J205" s="293" t="s">
        <v>640</v>
      </c>
    </row>
    <row r="206" spans="1:10" s="338" customFormat="1" ht="15.75" x14ac:dyDescent="0.2">
      <c r="A206" s="292" t="s">
        <v>641</v>
      </c>
      <c r="B206" s="285">
        <f t="shared" si="32"/>
        <v>2229</v>
      </c>
      <c r="C206" s="366">
        <v>2123</v>
      </c>
      <c r="D206" s="340">
        <v>16</v>
      </c>
      <c r="E206" s="340">
        <v>34</v>
      </c>
      <c r="F206" s="346">
        <v>0</v>
      </c>
      <c r="G206" s="346">
        <v>0</v>
      </c>
      <c r="H206" s="340">
        <v>39</v>
      </c>
      <c r="I206" s="340">
        <v>17</v>
      </c>
      <c r="J206" s="293" t="s">
        <v>642</v>
      </c>
    </row>
    <row r="207" spans="1:10" s="338" customFormat="1" ht="15.75" x14ac:dyDescent="0.2">
      <c r="A207" s="292" t="s">
        <v>643</v>
      </c>
      <c r="B207" s="285">
        <f t="shared" si="32"/>
        <v>405</v>
      </c>
      <c r="C207" s="366">
        <v>386</v>
      </c>
      <c r="D207" s="340">
        <v>2</v>
      </c>
      <c r="E207" s="340">
        <v>2</v>
      </c>
      <c r="F207" s="346">
        <v>0</v>
      </c>
      <c r="G207" s="346">
        <v>0</v>
      </c>
      <c r="H207" s="340">
        <v>4</v>
      </c>
      <c r="I207" s="340">
        <v>11</v>
      </c>
      <c r="J207" s="293" t="s">
        <v>644</v>
      </c>
    </row>
    <row r="208" spans="1:10" s="338" customFormat="1" ht="15.75" x14ac:dyDescent="0.2">
      <c r="A208" s="292" t="s">
        <v>645</v>
      </c>
      <c r="B208" s="285">
        <f t="shared" si="32"/>
        <v>1186</v>
      </c>
      <c r="C208" s="366">
        <v>1108</v>
      </c>
      <c r="D208" s="340">
        <v>18</v>
      </c>
      <c r="E208" s="340">
        <v>33</v>
      </c>
      <c r="F208" s="346">
        <v>0</v>
      </c>
      <c r="G208" s="346">
        <v>0</v>
      </c>
      <c r="H208" s="340">
        <v>12</v>
      </c>
      <c r="I208" s="340">
        <v>15</v>
      </c>
      <c r="J208" s="293" t="s">
        <v>646</v>
      </c>
    </row>
    <row r="209" spans="1:21" s="338" customFormat="1" ht="15.75" x14ac:dyDescent="0.2">
      <c r="A209" s="292" t="s">
        <v>647</v>
      </c>
      <c r="B209" s="285">
        <f t="shared" si="32"/>
        <v>1197</v>
      </c>
      <c r="C209" s="366">
        <v>1116</v>
      </c>
      <c r="D209" s="340">
        <v>22</v>
      </c>
      <c r="E209" s="340">
        <v>44</v>
      </c>
      <c r="F209" s="346">
        <v>0</v>
      </c>
      <c r="G209" s="346">
        <v>0</v>
      </c>
      <c r="H209" s="340">
        <v>6</v>
      </c>
      <c r="I209" s="340">
        <v>9</v>
      </c>
      <c r="J209" s="293" t="s">
        <v>648</v>
      </c>
    </row>
    <row r="210" spans="1:21" s="338" customFormat="1" ht="15.75" x14ac:dyDescent="0.2">
      <c r="A210" s="297" t="s">
        <v>649</v>
      </c>
      <c r="B210" s="285">
        <f t="shared" si="32"/>
        <v>829</v>
      </c>
      <c r="C210" s="366">
        <v>801</v>
      </c>
      <c r="D210" s="340">
        <v>3</v>
      </c>
      <c r="E210" s="340">
        <v>5</v>
      </c>
      <c r="F210" s="346">
        <v>0</v>
      </c>
      <c r="G210" s="346">
        <v>0</v>
      </c>
      <c r="H210" s="340">
        <v>7</v>
      </c>
      <c r="I210" s="340">
        <v>13</v>
      </c>
      <c r="J210" s="293" t="s">
        <v>650</v>
      </c>
    </row>
    <row r="211" spans="1:21" s="319" customFormat="1" ht="12.75" x14ac:dyDescent="0.2">
      <c r="A211" s="353"/>
      <c r="B211" s="354"/>
      <c r="C211" s="348"/>
      <c r="D211" s="340"/>
      <c r="E211" s="340"/>
      <c r="F211" s="340"/>
      <c r="G211" s="340"/>
      <c r="H211" s="340"/>
      <c r="I211" s="342"/>
      <c r="J211" s="338"/>
      <c r="K211" s="338"/>
      <c r="L211" s="338"/>
      <c r="M211" s="338"/>
      <c r="N211" s="338"/>
      <c r="O211" s="338"/>
      <c r="P211" s="338"/>
      <c r="Q211" s="338"/>
      <c r="R211" s="338"/>
      <c r="S211" s="338"/>
      <c r="T211" s="338"/>
      <c r="U211" s="338"/>
    </row>
    <row r="212" spans="1:21" s="319" customFormat="1" ht="15.75" x14ac:dyDescent="0.2">
      <c r="A212" s="289" t="s">
        <v>306</v>
      </c>
      <c r="B212" s="285">
        <f t="shared" ref="B212:B222" si="34">SUM(C212:I212)</f>
        <v>13435</v>
      </c>
      <c r="C212" s="285">
        <f>SUM(C213:C222)</f>
        <v>12673</v>
      </c>
      <c r="D212" s="334">
        <f t="shared" ref="D212:I212" si="35">SUM(D213:D222)</f>
        <v>60</v>
      </c>
      <c r="E212" s="334">
        <f t="shared" si="35"/>
        <v>123</v>
      </c>
      <c r="F212" s="334">
        <f t="shared" si="35"/>
        <v>6</v>
      </c>
      <c r="G212" s="334">
        <f t="shared" si="35"/>
        <v>6</v>
      </c>
      <c r="H212" s="334">
        <f t="shared" si="35"/>
        <v>300</v>
      </c>
      <c r="I212" s="334">
        <f t="shared" si="35"/>
        <v>267</v>
      </c>
      <c r="J212" s="337" t="s">
        <v>307</v>
      </c>
      <c r="K212" s="338"/>
      <c r="L212" s="338"/>
      <c r="M212" s="338"/>
      <c r="N212" s="338"/>
      <c r="O212" s="338"/>
      <c r="P212" s="338"/>
      <c r="Q212" s="338"/>
      <c r="R212" s="338"/>
      <c r="S212" s="338"/>
      <c r="T212" s="338"/>
      <c r="U212" s="338"/>
    </row>
    <row r="213" spans="1:21" s="319" customFormat="1" ht="15.75" x14ac:dyDescent="0.2">
      <c r="A213" s="297" t="s">
        <v>651</v>
      </c>
      <c r="B213" s="285">
        <f t="shared" si="34"/>
        <v>1566</v>
      </c>
      <c r="C213" s="366">
        <v>1498</v>
      </c>
      <c r="D213" s="340">
        <v>4</v>
      </c>
      <c r="E213" s="340">
        <v>5</v>
      </c>
      <c r="F213" s="346">
        <v>0</v>
      </c>
      <c r="G213" s="346">
        <v>0</v>
      </c>
      <c r="H213" s="340">
        <v>37</v>
      </c>
      <c r="I213" s="340">
        <v>22</v>
      </c>
      <c r="J213" s="293" t="s">
        <v>652</v>
      </c>
    </row>
    <row r="214" spans="1:21" s="319" customFormat="1" ht="15.75" x14ac:dyDescent="0.2">
      <c r="A214" s="297" t="s">
        <v>653</v>
      </c>
      <c r="B214" s="285">
        <f t="shared" si="34"/>
        <v>3409</v>
      </c>
      <c r="C214" s="366">
        <v>3218</v>
      </c>
      <c r="D214" s="340">
        <v>16</v>
      </c>
      <c r="E214" s="340">
        <v>30</v>
      </c>
      <c r="F214" s="346">
        <v>2</v>
      </c>
      <c r="G214" s="346">
        <v>2</v>
      </c>
      <c r="H214" s="340">
        <v>84</v>
      </c>
      <c r="I214" s="340">
        <v>57</v>
      </c>
      <c r="J214" s="293" t="s">
        <v>654</v>
      </c>
    </row>
    <row r="215" spans="1:21" s="319" customFormat="1" ht="15.75" x14ac:dyDescent="0.2">
      <c r="A215" s="297" t="s">
        <v>645</v>
      </c>
      <c r="B215" s="285">
        <f t="shared" si="34"/>
        <v>1441</v>
      </c>
      <c r="C215" s="366">
        <v>1361</v>
      </c>
      <c r="D215" s="340">
        <v>4</v>
      </c>
      <c r="E215" s="340">
        <v>11</v>
      </c>
      <c r="F215" s="346">
        <v>0</v>
      </c>
      <c r="G215" s="346">
        <v>0</v>
      </c>
      <c r="H215" s="340">
        <v>26</v>
      </c>
      <c r="I215" s="340">
        <v>39</v>
      </c>
      <c r="J215" s="293" t="s">
        <v>646</v>
      </c>
    </row>
    <row r="216" spans="1:21" s="319" customFormat="1" ht="15.75" x14ac:dyDescent="0.2">
      <c r="A216" s="297" t="s">
        <v>589</v>
      </c>
      <c r="B216" s="285">
        <f t="shared" si="34"/>
        <v>820</v>
      </c>
      <c r="C216" s="366">
        <v>774</v>
      </c>
      <c r="D216" s="340">
        <v>6</v>
      </c>
      <c r="E216" s="340">
        <v>13</v>
      </c>
      <c r="F216" s="346">
        <v>2</v>
      </c>
      <c r="G216" s="346">
        <v>2</v>
      </c>
      <c r="H216" s="340">
        <v>6</v>
      </c>
      <c r="I216" s="340">
        <v>17</v>
      </c>
      <c r="J216" s="293" t="s">
        <v>590</v>
      </c>
    </row>
    <row r="217" spans="1:21" s="319" customFormat="1" ht="15.75" x14ac:dyDescent="0.2">
      <c r="A217" s="297" t="s">
        <v>655</v>
      </c>
      <c r="B217" s="285">
        <f t="shared" si="34"/>
        <v>1950</v>
      </c>
      <c r="C217" s="366">
        <v>1805</v>
      </c>
      <c r="D217" s="340">
        <v>11</v>
      </c>
      <c r="E217" s="340">
        <v>25</v>
      </c>
      <c r="F217" s="346">
        <v>0</v>
      </c>
      <c r="G217" s="346">
        <v>0</v>
      </c>
      <c r="H217" s="340">
        <v>36</v>
      </c>
      <c r="I217" s="340">
        <v>73</v>
      </c>
      <c r="J217" s="293" t="s">
        <v>656</v>
      </c>
      <c r="K217" s="319" t="s">
        <v>1125</v>
      </c>
    </row>
    <row r="218" spans="1:21" s="319" customFormat="1" ht="15.75" x14ac:dyDescent="0.2">
      <c r="A218" s="297" t="s">
        <v>657</v>
      </c>
      <c r="B218" s="285">
        <f t="shared" si="34"/>
        <v>1195</v>
      </c>
      <c r="C218" s="366">
        <v>1123</v>
      </c>
      <c r="D218" s="340">
        <v>1</v>
      </c>
      <c r="E218" s="340">
        <v>1</v>
      </c>
      <c r="F218" s="346">
        <v>0</v>
      </c>
      <c r="G218" s="346">
        <v>0</v>
      </c>
      <c r="H218" s="340">
        <v>50</v>
      </c>
      <c r="I218" s="340">
        <v>20</v>
      </c>
      <c r="J218" s="293" t="s">
        <v>658</v>
      </c>
    </row>
    <row r="219" spans="1:21" s="319" customFormat="1" ht="15.75" x14ac:dyDescent="0.2">
      <c r="A219" s="297" t="s">
        <v>659</v>
      </c>
      <c r="B219" s="285">
        <f t="shared" si="34"/>
        <v>495</v>
      </c>
      <c r="C219" s="366">
        <v>472</v>
      </c>
      <c r="D219" s="340">
        <v>2</v>
      </c>
      <c r="E219" s="340">
        <v>5</v>
      </c>
      <c r="F219" s="346">
        <v>0</v>
      </c>
      <c r="G219" s="346">
        <v>0</v>
      </c>
      <c r="H219" s="340">
        <v>10</v>
      </c>
      <c r="I219" s="340">
        <v>6</v>
      </c>
      <c r="J219" s="293" t="s">
        <v>660</v>
      </c>
    </row>
    <row r="220" spans="1:21" s="319" customFormat="1" ht="15.75" x14ac:dyDescent="0.2">
      <c r="A220" s="297" t="s">
        <v>661</v>
      </c>
      <c r="B220" s="285">
        <f t="shared" si="34"/>
        <v>16</v>
      </c>
      <c r="C220" s="366">
        <v>14</v>
      </c>
      <c r="D220" s="340">
        <v>0</v>
      </c>
      <c r="E220" s="340">
        <v>0</v>
      </c>
      <c r="F220" s="346">
        <v>0</v>
      </c>
      <c r="G220" s="346">
        <v>0</v>
      </c>
      <c r="H220" s="340">
        <v>1</v>
      </c>
      <c r="I220" s="340">
        <v>1</v>
      </c>
      <c r="J220" s="293" t="s">
        <v>662</v>
      </c>
    </row>
    <row r="221" spans="1:21" s="319" customFormat="1" ht="15.75" x14ac:dyDescent="0.2">
      <c r="A221" s="297" t="s">
        <v>663</v>
      </c>
      <c r="B221" s="285">
        <f t="shared" si="34"/>
        <v>1625</v>
      </c>
      <c r="C221" s="366">
        <v>1549</v>
      </c>
      <c r="D221" s="340">
        <v>9</v>
      </c>
      <c r="E221" s="340">
        <v>19</v>
      </c>
      <c r="F221" s="346">
        <v>2</v>
      </c>
      <c r="G221" s="346">
        <v>2</v>
      </c>
      <c r="H221" s="340">
        <v>25</v>
      </c>
      <c r="I221" s="340">
        <v>19</v>
      </c>
      <c r="J221" s="293" t="s">
        <v>664</v>
      </c>
    </row>
    <row r="222" spans="1:21" s="319" customFormat="1" ht="15.75" x14ac:dyDescent="0.2">
      <c r="A222" s="297" t="s">
        <v>665</v>
      </c>
      <c r="B222" s="285">
        <f t="shared" si="34"/>
        <v>918</v>
      </c>
      <c r="C222" s="366">
        <v>859</v>
      </c>
      <c r="D222" s="340">
        <v>7</v>
      </c>
      <c r="E222" s="340">
        <v>14</v>
      </c>
      <c r="F222" s="346">
        <v>0</v>
      </c>
      <c r="G222" s="346">
        <v>0</v>
      </c>
      <c r="H222" s="340">
        <v>25</v>
      </c>
      <c r="I222" s="340">
        <v>13</v>
      </c>
      <c r="J222" s="293" t="s">
        <v>666</v>
      </c>
    </row>
    <row r="223" spans="1:21" s="319" customFormat="1" ht="15.75" x14ac:dyDescent="0.2">
      <c r="A223" s="297"/>
      <c r="B223" s="285"/>
      <c r="C223" s="348"/>
      <c r="D223" s="340"/>
      <c r="E223" s="340"/>
      <c r="F223" s="346"/>
      <c r="G223" s="346"/>
      <c r="H223" s="340"/>
      <c r="I223" s="342"/>
      <c r="J223" s="293"/>
    </row>
    <row r="224" spans="1:21" s="355" customFormat="1" ht="15.75" x14ac:dyDescent="0.2">
      <c r="A224" s="352" t="s">
        <v>309</v>
      </c>
      <c r="B224" s="285">
        <f t="shared" ref="B224:B233" si="36">SUM(C224:I224)</f>
        <v>19760</v>
      </c>
      <c r="C224" s="285">
        <f>SUM(C225:C233)</f>
        <v>18440</v>
      </c>
      <c r="D224" s="334">
        <f t="shared" ref="D224:I224" si="37">SUM(D225:D233)</f>
        <v>177</v>
      </c>
      <c r="E224" s="334">
        <f t="shared" si="37"/>
        <v>349</v>
      </c>
      <c r="F224" s="334">
        <f t="shared" si="37"/>
        <v>9</v>
      </c>
      <c r="G224" s="334">
        <f t="shared" si="37"/>
        <v>17</v>
      </c>
      <c r="H224" s="334">
        <f t="shared" si="37"/>
        <v>428</v>
      </c>
      <c r="I224" s="334">
        <f t="shared" si="37"/>
        <v>340</v>
      </c>
      <c r="J224" s="337" t="s">
        <v>310</v>
      </c>
    </row>
    <row r="225" spans="1:10" s="355" customFormat="1" ht="15.75" x14ac:dyDescent="0.2">
      <c r="A225" s="297" t="s">
        <v>667</v>
      </c>
      <c r="B225" s="285">
        <f t="shared" si="36"/>
        <v>1880</v>
      </c>
      <c r="C225" s="366">
        <v>1749</v>
      </c>
      <c r="D225" s="340">
        <v>14</v>
      </c>
      <c r="E225" s="340">
        <v>25</v>
      </c>
      <c r="F225" s="346">
        <v>0</v>
      </c>
      <c r="G225" s="346">
        <v>0</v>
      </c>
      <c r="H225" s="340">
        <v>40</v>
      </c>
      <c r="I225" s="340">
        <v>52</v>
      </c>
      <c r="J225" s="293" t="s">
        <v>668</v>
      </c>
    </row>
    <row r="226" spans="1:10" s="355" customFormat="1" ht="15.75" x14ac:dyDescent="0.2">
      <c r="A226" s="297" t="s">
        <v>669</v>
      </c>
      <c r="B226" s="285">
        <f t="shared" si="36"/>
        <v>1255</v>
      </c>
      <c r="C226" s="366">
        <v>1177</v>
      </c>
      <c r="D226" s="340">
        <v>9</v>
      </c>
      <c r="E226" s="340">
        <v>18</v>
      </c>
      <c r="F226" s="346">
        <v>1</v>
      </c>
      <c r="G226" s="346">
        <v>1</v>
      </c>
      <c r="H226" s="340">
        <v>30</v>
      </c>
      <c r="I226" s="340">
        <v>19</v>
      </c>
      <c r="J226" s="293" t="s">
        <v>670</v>
      </c>
    </row>
    <row r="227" spans="1:10" s="355" customFormat="1" ht="15.75" x14ac:dyDescent="0.2">
      <c r="A227" s="297" t="s">
        <v>671</v>
      </c>
      <c r="B227" s="285">
        <f t="shared" si="36"/>
        <v>1113</v>
      </c>
      <c r="C227" s="366">
        <v>1031</v>
      </c>
      <c r="D227" s="340">
        <v>12</v>
      </c>
      <c r="E227" s="340">
        <v>24</v>
      </c>
      <c r="F227" s="346">
        <v>1</v>
      </c>
      <c r="G227" s="346">
        <v>1</v>
      </c>
      <c r="H227" s="340">
        <v>14</v>
      </c>
      <c r="I227" s="340">
        <v>30</v>
      </c>
      <c r="J227" s="293" t="s">
        <v>672</v>
      </c>
    </row>
    <row r="228" spans="1:10" s="355" customFormat="1" ht="15.75" x14ac:dyDescent="0.2">
      <c r="A228" s="297" t="s">
        <v>673</v>
      </c>
      <c r="B228" s="285">
        <f t="shared" si="36"/>
        <v>2813</v>
      </c>
      <c r="C228" s="366">
        <v>2671</v>
      </c>
      <c r="D228" s="340">
        <v>21</v>
      </c>
      <c r="E228" s="340">
        <v>36</v>
      </c>
      <c r="F228" s="346">
        <v>1</v>
      </c>
      <c r="G228" s="346">
        <v>2</v>
      </c>
      <c r="H228" s="340">
        <v>50</v>
      </c>
      <c r="I228" s="340">
        <v>32</v>
      </c>
      <c r="J228" s="293" t="s">
        <v>674</v>
      </c>
    </row>
    <row r="229" spans="1:10" s="355" customFormat="1" ht="15.75" x14ac:dyDescent="0.2">
      <c r="A229" s="297" t="s">
        <v>675</v>
      </c>
      <c r="B229" s="285">
        <f t="shared" si="36"/>
        <v>1278</v>
      </c>
      <c r="C229" s="366">
        <v>1244</v>
      </c>
      <c r="D229" s="340">
        <v>2</v>
      </c>
      <c r="E229" s="340">
        <v>5</v>
      </c>
      <c r="F229" s="346">
        <v>0</v>
      </c>
      <c r="G229" s="346">
        <v>0</v>
      </c>
      <c r="H229" s="340">
        <v>16</v>
      </c>
      <c r="I229" s="340">
        <v>11</v>
      </c>
      <c r="J229" s="293" t="s">
        <v>676</v>
      </c>
    </row>
    <row r="230" spans="1:10" s="319" customFormat="1" ht="15.75" x14ac:dyDescent="0.2">
      <c r="A230" s="292" t="s">
        <v>447</v>
      </c>
      <c r="B230" s="285">
        <f t="shared" si="36"/>
        <v>1351</v>
      </c>
      <c r="C230" s="366">
        <v>1241</v>
      </c>
      <c r="D230" s="340">
        <v>12</v>
      </c>
      <c r="E230" s="340">
        <v>25</v>
      </c>
      <c r="F230" s="346">
        <v>0</v>
      </c>
      <c r="G230" s="346">
        <v>0</v>
      </c>
      <c r="H230" s="340">
        <v>53</v>
      </c>
      <c r="I230" s="340">
        <v>20</v>
      </c>
      <c r="J230" s="293" t="s">
        <v>448</v>
      </c>
    </row>
    <row r="231" spans="1:10" s="319" customFormat="1" ht="15.75" x14ac:dyDescent="0.2">
      <c r="A231" s="292" t="s">
        <v>677</v>
      </c>
      <c r="B231" s="285">
        <f t="shared" si="36"/>
        <v>1409</v>
      </c>
      <c r="C231" s="366">
        <v>1344</v>
      </c>
      <c r="D231" s="340">
        <v>12</v>
      </c>
      <c r="E231" s="340">
        <v>33</v>
      </c>
      <c r="F231" s="346">
        <v>0</v>
      </c>
      <c r="G231" s="346">
        <v>0</v>
      </c>
      <c r="H231" s="340">
        <v>12</v>
      </c>
      <c r="I231" s="340">
        <v>8</v>
      </c>
      <c r="J231" s="293" t="s">
        <v>678</v>
      </c>
    </row>
    <row r="232" spans="1:10" s="319" customFormat="1" ht="15.75" x14ac:dyDescent="0.2">
      <c r="A232" s="292" t="s">
        <v>679</v>
      </c>
      <c r="B232" s="285">
        <f t="shared" si="36"/>
        <v>1709</v>
      </c>
      <c r="C232" s="366">
        <v>1564</v>
      </c>
      <c r="D232" s="340">
        <v>20</v>
      </c>
      <c r="E232" s="340">
        <v>43</v>
      </c>
      <c r="F232" s="346">
        <v>1</v>
      </c>
      <c r="G232" s="346">
        <v>1</v>
      </c>
      <c r="H232" s="340">
        <v>37</v>
      </c>
      <c r="I232" s="340">
        <v>43</v>
      </c>
      <c r="J232" s="293" t="s">
        <v>680</v>
      </c>
    </row>
    <row r="233" spans="1:10" s="319" customFormat="1" ht="15.75" x14ac:dyDescent="0.2">
      <c r="A233" s="292" t="s">
        <v>561</v>
      </c>
      <c r="B233" s="285">
        <f t="shared" si="36"/>
        <v>6952</v>
      </c>
      <c r="C233" s="366">
        <v>6419</v>
      </c>
      <c r="D233" s="340">
        <v>75</v>
      </c>
      <c r="E233" s="340">
        <v>140</v>
      </c>
      <c r="F233" s="346">
        <v>5</v>
      </c>
      <c r="G233" s="346">
        <v>12</v>
      </c>
      <c r="H233" s="340">
        <v>176</v>
      </c>
      <c r="I233" s="340">
        <v>125</v>
      </c>
      <c r="J233" s="293" t="s">
        <v>562</v>
      </c>
    </row>
    <row r="234" spans="1:10" s="319" customFormat="1" ht="12.75" x14ac:dyDescent="0.2">
      <c r="A234" s="297"/>
      <c r="B234" s="343"/>
      <c r="C234" s="348"/>
      <c r="D234" s="340"/>
      <c r="E234" s="340"/>
      <c r="F234" s="340"/>
      <c r="G234" s="340"/>
      <c r="H234" s="340"/>
      <c r="I234" s="342"/>
      <c r="J234" s="338"/>
    </row>
    <row r="235" spans="1:10" s="319" customFormat="1" ht="15.75" x14ac:dyDescent="0.2">
      <c r="A235" s="352" t="s">
        <v>312</v>
      </c>
      <c r="B235" s="285">
        <f>SUM(C235:I235)</f>
        <v>11513</v>
      </c>
      <c r="C235" s="285">
        <f>SUM(C236)</f>
        <v>10673</v>
      </c>
      <c r="D235" s="334">
        <f t="shared" ref="D235:I235" si="38">SUM(D236)</f>
        <v>147</v>
      </c>
      <c r="E235" s="334">
        <f t="shared" si="38"/>
        <v>281</v>
      </c>
      <c r="F235" s="334">
        <f t="shared" si="38"/>
        <v>13</v>
      </c>
      <c r="G235" s="334">
        <f t="shared" si="38"/>
        <v>23</v>
      </c>
      <c r="H235" s="334">
        <f t="shared" si="38"/>
        <v>147</v>
      </c>
      <c r="I235" s="334">
        <f t="shared" si="38"/>
        <v>229</v>
      </c>
      <c r="J235" s="337" t="s">
        <v>313</v>
      </c>
    </row>
    <row r="236" spans="1:10" s="319" customFormat="1" ht="15.75" x14ac:dyDescent="0.2">
      <c r="A236" s="297" t="s">
        <v>681</v>
      </c>
      <c r="B236" s="285">
        <f>SUM(C236:I236)</f>
        <v>11513</v>
      </c>
      <c r="C236" s="366">
        <v>10673</v>
      </c>
      <c r="D236" s="340">
        <v>147</v>
      </c>
      <c r="E236" s="340">
        <v>281</v>
      </c>
      <c r="F236" s="346">
        <v>13</v>
      </c>
      <c r="G236" s="346">
        <v>23</v>
      </c>
      <c r="H236" s="340">
        <v>147</v>
      </c>
      <c r="I236" s="340">
        <v>229</v>
      </c>
      <c r="J236" s="293" t="s">
        <v>682</v>
      </c>
    </row>
    <row r="237" spans="1:10" s="319" customFormat="1" ht="12.75" x14ac:dyDescent="0.2">
      <c r="A237" s="297"/>
      <c r="B237" s="343"/>
      <c r="C237" s="348"/>
      <c r="D237" s="340"/>
      <c r="E237" s="340"/>
      <c r="F237" s="340"/>
      <c r="G237" s="340"/>
      <c r="H237" s="340"/>
      <c r="I237" s="342"/>
      <c r="J237" s="338"/>
    </row>
    <row r="238" spans="1:10" s="319" customFormat="1" ht="15.75" x14ac:dyDescent="0.2">
      <c r="A238" s="352" t="s">
        <v>315</v>
      </c>
      <c r="B238" s="285">
        <f t="shared" ref="B238:B244" si="39">SUM(C238:I238)</f>
        <v>29926</v>
      </c>
      <c r="C238" s="285">
        <f>SUM(C239:C244)</f>
        <v>28252</v>
      </c>
      <c r="D238" s="334">
        <f t="shared" ref="D238:I238" si="40">SUM(D239:D244)</f>
        <v>300</v>
      </c>
      <c r="E238" s="334">
        <f t="shared" si="40"/>
        <v>551</v>
      </c>
      <c r="F238" s="334">
        <f t="shared" si="40"/>
        <v>9</v>
      </c>
      <c r="G238" s="334">
        <f t="shared" si="40"/>
        <v>13</v>
      </c>
      <c r="H238" s="334">
        <f t="shared" si="40"/>
        <v>375</v>
      </c>
      <c r="I238" s="334">
        <f t="shared" si="40"/>
        <v>426</v>
      </c>
      <c r="J238" s="337" t="s">
        <v>316</v>
      </c>
    </row>
    <row r="239" spans="1:10" s="319" customFormat="1" ht="15.75" x14ac:dyDescent="0.2">
      <c r="A239" s="297" t="s">
        <v>471</v>
      </c>
      <c r="B239" s="285">
        <f t="shared" si="39"/>
        <v>2645</v>
      </c>
      <c r="C239" s="366">
        <v>2475</v>
      </c>
      <c r="D239" s="340">
        <v>36</v>
      </c>
      <c r="E239" s="340">
        <v>66</v>
      </c>
      <c r="F239" s="346">
        <v>0</v>
      </c>
      <c r="G239" s="346">
        <v>0</v>
      </c>
      <c r="H239" s="340">
        <v>29</v>
      </c>
      <c r="I239" s="340">
        <v>39</v>
      </c>
      <c r="J239" s="293" t="s">
        <v>472</v>
      </c>
    </row>
    <row r="240" spans="1:10" s="319" customFormat="1" ht="15.75" x14ac:dyDescent="0.2">
      <c r="A240" s="297" t="s">
        <v>647</v>
      </c>
      <c r="B240" s="285">
        <f t="shared" si="39"/>
        <v>14116</v>
      </c>
      <c r="C240" s="366">
        <v>13351</v>
      </c>
      <c r="D240" s="340">
        <v>135</v>
      </c>
      <c r="E240" s="340">
        <v>255</v>
      </c>
      <c r="F240" s="346">
        <v>4</v>
      </c>
      <c r="G240" s="346">
        <v>5</v>
      </c>
      <c r="H240" s="340">
        <v>154</v>
      </c>
      <c r="I240" s="340">
        <v>212</v>
      </c>
      <c r="J240" s="293" t="s">
        <v>648</v>
      </c>
    </row>
    <row r="241" spans="1:10" s="319" customFormat="1" ht="15.75" x14ac:dyDescent="0.2">
      <c r="A241" s="297" t="s">
        <v>683</v>
      </c>
      <c r="B241" s="285">
        <f t="shared" si="39"/>
        <v>3322</v>
      </c>
      <c r="C241" s="366">
        <v>3133</v>
      </c>
      <c r="D241" s="340">
        <v>33</v>
      </c>
      <c r="E241" s="340">
        <v>60</v>
      </c>
      <c r="F241" s="346">
        <v>2</v>
      </c>
      <c r="G241" s="346">
        <v>3</v>
      </c>
      <c r="H241" s="340">
        <v>28</v>
      </c>
      <c r="I241" s="340">
        <v>63</v>
      </c>
      <c r="J241" s="293" t="s">
        <v>684</v>
      </c>
    </row>
    <row r="242" spans="1:10" s="319" customFormat="1" ht="15.75" x14ac:dyDescent="0.2">
      <c r="A242" s="297" t="s">
        <v>397</v>
      </c>
      <c r="B242" s="285">
        <f t="shared" si="39"/>
        <v>4875</v>
      </c>
      <c r="C242" s="366">
        <v>4587</v>
      </c>
      <c r="D242" s="340">
        <v>55</v>
      </c>
      <c r="E242" s="340">
        <v>94</v>
      </c>
      <c r="F242" s="346">
        <v>3</v>
      </c>
      <c r="G242" s="346">
        <v>5</v>
      </c>
      <c r="H242" s="340">
        <v>72</v>
      </c>
      <c r="I242" s="340">
        <v>59</v>
      </c>
      <c r="J242" s="293" t="s">
        <v>398</v>
      </c>
    </row>
    <row r="243" spans="1:10" s="319" customFormat="1" ht="15.75" x14ac:dyDescent="0.2">
      <c r="A243" s="297" t="s">
        <v>685</v>
      </c>
      <c r="B243" s="285">
        <f t="shared" si="39"/>
        <v>1704</v>
      </c>
      <c r="C243" s="366">
        <v>1592</v>
      </c>
      <c r="D243" s="340">
        <v>20</v>
      </c>
      <c r="E243" s="340">
        <v>38</v>
      </c>
      <c r="F243" s="346">
        <v>0</v>
      </c>
      <c r="G243" s="346">
        <v>0</v>
      </c>
      <c r="H243" s="340">
        <v>29</v>
      </c>
      <c r="I243" s="340">
        <v>25</v>
      </c>
      <c r="J243" s="293" t="s">
        <v>686</v>
      </c>
    </row>
    <row r="244" spans="1:10" s="319" customFormat="1" ht="15.75" x14ac:dyDescent="0.2">
      <c r="A244" s="301" t="s">
        <v>687</v>
      </c>
      <c r="B244" s="356">
        <f t="shared" si="39"/>
        <v>3264</v>
      </c>
      <c r="C244" s="622">
        <v>3114</v>
      </c>
      <c r="D244" s="369">
        <v>21</v>
      </c>
      <c r="E244" s="369">
        <v>38</v>
      </c>
      <c r="F244" s="369">
        <v>0</v>
      </c>
      <c r="G244" s="369">
        <v>0</v>
      </c>
      <c r="H244" s="620">
        <v>63</v>
      </c>
      <c r="I244" s="369">
        <v>28</v>
      </c>
      <c r="J244" s="302" t="s">
        <v>688</v>
      </c>
    </row>
    <row r="245" spans="1:10" s="363" customFormat="1" ht="16.5" x14ac:dyDescent="0.2">
      <c r="A245" s="357" t="s">
        <v>689</v>
      </c>
      <c r="B245" s="358"/>
      <c r="C245" s="359"/>
      <c r="D245" s="360"/>
      <c r="E245" s="360"/>
      <c r="F245" s="360"/>
      <c r="G245" s="360"/>
      <c r="H245" s="360"/>
      <c r="I245" s="361"/>
      <c r="J245" s="362" t="s">
        <v>690</v>
      </c>
    </row>
    <row r="246" spans="1:10" s="363" customFormat="1" ht="16.5" x14ac:dyDescent="0.2">
      <c r="A246" s="357" t="s">
        <v>691</v>
      </c>
      <c r="B246" s="358"/>
      <c r="D246" s="364"/>
      <c r="E246" s="364"/>
      <c r="F246" s="364"/>
      <c r="G246" s="364"/>
      <c r="H246" s="364"/>
      <c r="I246" s="365"/>
      <c r="J246" s="362" t="s">
        <v>692</v>
      </c>
    </row>
    <row r="247" spans="1:10" s="363" customFormat="1" ht="16.5" x14ac:dyDescent="0.2">
      <c r="A247" s="357" t="s">
        <v>693</v>
      </c>
      <c r="B247" s="358"/>
      <c r="D247" s="364"/>
      <c r="E247" s="364"/>
      <c r="F247" s="364"/>
      <c r="G247" s="364"/>
      <c r="H247" s="364"/>
      <c r="I247" s="365"/>
      <c r="J247" s="362" t="s">
        <v>694</v>
      </c>
    </row>
    <row r="248" spans="1:10" s="363" customFormat="1" ht="17.25" x14ac:dyDescent="0.2">
      <c r="A248" s="305" t="s">
        <v>321</v>
      </c>
      <c r="B248" s="358"/>
      <c r="D248" s="364"/>
      <c r="E248" s="364"/>
      <c r="F248" s="364"/>
      <c r="G248" s="364"/>
      <c r="H248" s="364"/>
      <c r="I248" s="365"/>
      <c r="J248" s="306" t="s">
        <v>322</v>
      </c>
    </row>
    <row r="249" spans="1:10" s="319" customFormat="1" ht="12.75" x14ac:dyDescent="0.2">
      <c r="B249" s="320"/>
      <c r="D249" s="321"/>
      <c r="E249" s="321"/>
      <c r="F249" s="321"/>
      <c r="G249" s="321"/>
      <c r="H249" s="321"/>
      <c r="I249" s="322"/>
    </row>
    <row r="250" spans="1:10" s="319" customFormat="1" ht="12.75" x14ac:dyDescent="0.2">
      <c r="B250" s="320"/>
      <c r="D250" s="321"/>
      <c r="E250" s="321"/>
      <c r="F250" s="321"/>
      <c r="G250" s="321"/>
      <c r="H250" s="321"/>
      <c r="I250" s="322"/>
    </row>
    <row r="251" spans="1:10" s="268" customFormat="1" ht="21" x14ac:dyDescent="0.2">
      <c r="A251" s="872" t="s">
        <v>695</v>
      </c>
      <c r="B251" s="872"/>
      <c r="C251" s="872"/>
      <c r="D251" s="872"/>
      <c r="E251" s="872"/>
      <c r="F251" s="872"/>
      <c r="G251" s="872"/>
      <c r="H251" s="872"/>
      <c r="I251" s="872"/>
      <c r="J251" s="525"/>
    </row>
    <row r="252" spans="1:10" s="268" customFormat="1" x14ac:dyDescent="0.2">
      <c r="A252" s="897" t="s">
        <v>696</v>
      </c>
      <c r="B252" s="897"/>
      <c r="C252" s="897"/>
      <c r="D252" s="897"/>
      <c r="E252" s="897"/>
      <c r="F252" s="897"/>
      <c r="G252" s="897"/>
      <c r="H252" s="897"/>
      <c r="I252" s="897"/>
      <c r="J252" s="612"/>
    </row>
    <row r="253" spans="1:10" s="109" customFormat="1" ht="17.25" customHeight="1" x14ac:dyDescent="0.45">
      <c r="A253" s="323"/>
      <c r="B253" s="898" t="s">
        <v>2</v>
      </c>
      <c r="C253" s="836" t="s">
        <v>245</v>
      </c>
      <c r="D253" s="901" t="s">
        <v>246</v>
      </c>
      <c r="E253" s="901"/>
      <c r="F253" s="903" t="s">
        <v>247</v>
      </c>
      <c r="G253" s="903"/>
      <c r="H253" s="901" t="s">
        <v>249</v>
      </c>
      <c r="I253" s="888" t="s">
        <v>250</v>
      </c>
    </row>
    <row r="254" spans="1:10" s="109" customFormat="1" ht="17.25" customHeight="1" x14ac:dyDescent="0.45">
      <c r="A254" s="324"/>
      <c r="B254" s="899"/>
      <c r="C254" s="877"/>
      <c r="D254" s="902"/>
      <c r="E254" s="902"/>
      <c r="F254" s="904"/>
      <c r="G254" s="904"/>
      <c r="H254" s="918"/>
      <c r="I254" s="889"/>
    </row>
    <row r="255" spans="1:10" s="327" customFormat="1" ht="25.5" x14ac:dyDescent="0.2">
      <c r="A255" s="325"/>
      <c r="B255" s="899"/>
      <c r="C255" s="326" t="s">
        <v>251</v>
      </c>
      <c r="D255" s="909" t="s">
        <v>252</v>
      </c>
      <c r="E255" s="909"/>
      <c r="F255" s="910" t="s">
        <v>253</v>
      </c>
      <c r="G255" s="911"/>
      <c r="H255" s="902"/>
      <c r="I255" s="889"/>
    </row>
    <row r="256" spans="1:10" s="329" customFormat="1" ht="17.25" customHeight="1" x14ac:dyDescent="0.2">
      <c r="A256" s="328" t="s">
        <v>244</v>
      </c>
      <c r="B256" s="899"/>
      <c r="C256" s="271" t="s">
        <v>255</v>
      </c>
      <c r="D256" s="272" t="s">
        <v>256</v>
      </c>
      <c r="E256" s="273" t="s">
        <v>257</v>
      </c>
      <c r="F256" s="271" t="s">
        <v>256</v>
      </c>
      <c r="G256" s="273" t="s">
        <v>258</v>
      </c>
      <c r="H256" s="917" t="s">
        <v>331</v>
      </c>
      <c r="I256" s="889"/>
    </row>
    <row r="257" spans="1:9" s="280" customFormat="1" ht="17.25" customHeight="1" x14ac:dyDescent="0.25">
      <c r="A257" s="330"/>
      <c r="B257" s="900"/>
      <c r="C257" s="331" t="s">
        <v>332</v>
      </c>
      <c r="D257" s="332" t="s">
        <v>260</v>
      </c>
      <c r="E257" s="333" t="s">
        <v>261</v>
      </c>
      <c r="F257" s="331" t="s">
        <v>262</v>
      </c>
      <c r="G257" s="333" t="s">
        <v>261</v>
      </c>
      <c r="H257" s="909"/>
      <c r="I257" s="890"/>
    </row>
    <row r="258" spans="1:9" s="336" customFormat="1" ht="18.75" x14ac:dyDescent="0.2">
      <c r="A258" s="281" t="s">
        <v>263</v>
      </c>
      <c r="B258" s="285">
        <f t="shared" ref="B258:B275" si="41">SUM(C258:H258)</f>
        <v>315206</v>
      </c>
      <c r="C258" s="285">
        <f t="shared" ref="C258:G258" si="42">C259+C260</f>
        <v>302104</v>
      </c>
      <c r="D258" s="334">
        <f t="shared" si="42"/>
        <v>2707</v>
      </c>
      <c r="E258" s="334">
        <f t="shared" si="42"/>
        <v>4553</v>
      </c>
      <c r="F258" s="334">
        <f t="shared" si="42"/>
        <v>100</v>
      </c>
      <c r="G258" s="334">
        <f t="shared" si="42"/>
        <v>141</v>
      </c>
      <c r="H258" s="335">
        <f>H259+H260</f>
        <v>5601</v>
      </c>
      <c r="I258" s="287" t="s">
        <v>264</v>
      </c>
    </row>
    <row r="259" spans="1:9" s="336" customFormat="1" ht="18.75" x14ac:dyDescent="0.25">
      <c r="A259" s="289" t="s">
        <v>265</v>
      </c>
      <c r="B259" s="285">
        <f t="shared" si="41"/>
        <v>53751</v>
      </c>
      <c r="C259" s="291">
        <v>49489</v>
      </c>
      <c r="D259" s="342">
        <v>1054</v>
      </c>
      <c r="E259" s="342">
        <v>1688</v>
      </c>
      <c r="F259" s="342">
        <v>26</v>
      </c>
      <c r="G259" s="307">
        <v>36</v>
      </c>
      <c r="H259" s="713">
        <v>1458</v>
      </c>
      <c r="I259" s="287" t="s">
        <v>266</v>
      </c>
    </row>
    <row r="260" spans="1:9" s="336" customFormat="1" ht="18.75" x14ac:dyDescent="0.2">
      <c r="A260" s="281" t="s">
        <v>267</v>
      </c>
      <c r="B260" s="285">
        <f t="shared" si="41"/>
        <v>261455</v>
      </c>
      <c r="C260" s="285">
        <f>C261+C277+C294+C310+C325+C343+C358+C365+C376+C386+C398+C405+C415+C422+C432+C447+C461+C473+C484+C487</f>
        <v>252615</v>
      </c>
      <c r="D260" s="334">
        <f t="shared" ref="D260:G260" si="43">D261+D277+D294+D310+D325+D343+D358+D365+D376+D386+D398+D405+D415+D422+D432+D447+D461+D473+D484+D487</f>
        <v>1653</v>
      </c>
      <c r="E260" s="334">
        <f t="shared" si="43"/>
        <v>2865</v>
      </c>
      <c r="F260" s="334">
        <f t="shared" si="43"/>
        <v>74</v>
      </c>
      <c r="G260" s="334">
        <f t="shared" si="43"/>
        <v>105</v>
      </c>
      <c r="H260" s="334">
        <f>H261+H277+H294+H310+H325+H343+H358+H365+H376+H386+H398+H405+H415+H422+H432+H447+H461+H473+H484+H487</f>
        <v>4143</v>
      </c>
      <c r="I260" s="287" t="s">
        <v>268</v>
      </c>
    </row>
    <row r="261" spans="1:9" s="336" customFormat="1" ht="15.75" x14ac:dyDescent="0.2">
      <c r="A261" s="289" t="s">
        <v>269</v>
      </c>
      <c r="B261" s="285">
        <f t="shared" si="41"/>
        <v>19330</v>
      </c>
      <c r="C261" s="285">
        <f>SUM(C262:C275)</f>
        <v>18659</v>
      </c>
      <c r="D261" s="334">
        <f t="shared" ref="D261:G261" si="44">SUM(D262:D275)</f>
        <v>125</v>
      </c>
      <c r="E261" s="334">
        <f t="shared" si="44"/>
        <v>200</v>
      </c>
      <c r="F261" s="334">
        <f t="shared" si="44"/>
        <v>3</v>
      </c>
      <c r="G261" s="334">
        <f t="shared" si="44"/>
        <v>3</v>
      </c>
      <c r="H261" s="334">
        <f>SUM(H262:H275)</f>
        <v>340</v>
      </c>
      <c r="I261" s="337" t="s">
        <v>270</v>
      </c>
    </row>
    <row r="262" spans="1:9" s="338" customFormat="1" ht="15.75" x14ac:dyDescent="0.2">
      <c r="A262" s="292" t="s">
        <v>333</v>
      </c>
      <c r="B262" s="285">
        <f t="shared" si="41"/>
        <v>573</v>
      </c>
      <c r="C262" s="285">
        <v>554</v>
      </c>
      <c r="D262" s="346">
        <v>0</v>
      </c>
      <c r="E262" s="346">
        <v>0</v>
      </c>
      <c r="F262" s="346">
        <v>0</v>
      </c>
      <c r="G262" s="346">
        <v>0</v>
      </c>
      <c r="H262" s="340">
        <v>19</v>
      </c>
      <c r="I262" s="293" t="s">
        <v>334</v>
      </c>
    </row>
    <row r="263" spans="1:9" s="338" customFormat="1" ht="15.75" x14ac:dyDescent="0.2">
      <c r="A263" s="292" t="s">
        <v>335</v>
      </c>
      <c r="B263" s="285">
        <f t="shared" si="41"/>
        <v>456</v>
      </c>
      <c r="C263" s="285">
        <v>430</v>
      </c>
      <c r="D263" s="367">
        <v>6</v>
      </c>
      <c r="E263" s="367">
        <v>10</v>
      </c>
      <c r="F263" s="346">
        <v>0</v>
      </c>
      <c r="G263" s="346">
        <v>0</v>
      </c>
      <c r="H263" s="340">
        <v>10</v>
      </c>
      <c r="I263" s="293" t="s">
        <v>336</v>
      </c>
    </row>
    <row r="264" spans="1:9" s="338" customFormat="1" ht="15.75" x14ac:dyDescent="0.2">
      <c r="A264" s="292" t="s">
        <v>337</v>
      </c>
      <c r="B264" s="285">
        <f t="shared" si="41"/>
        <v>344</v>
      </c>
      <c r="C264" s="285">
        <v>323</v>
      </c>
      <c r="D264" s="367">
        <v>7</v>
      </c>
      <c r="E264" s="367">
        <v>10</v>
      </c>
      <c r="F264" s="346">
        <v>0</v>
      </c>
      <c r="G264" s="346">
        <v>0</v>
      </c>
      <c r="H264" s="340">
        <v>4</v>
      </c>
      <c r="I264" s="293" t="s">
        <v>338</v>
      </c>
    </row>
    <row r="265" spans="1:9" s="338" customFormat="1" ht="15.75" x14ac:dyDescent="0.2">
      <c r="A265" s="292" t="s">
        <v>339</v>
      </c>
      <c r="B265" s="285">
        <f t="shared" si="41"/>
        <v>2969</v>
      </c>
      <c r="C265" s="285">
        <v>2852</v>
      </c>
      <c r="D265" s="367">
        <v>23</v>
      </c>
      <c r="E265" s="367">
        <v>43</v>
      </c>
      <c r="F265" s="346">
        <v>0</v>
      </c>
      <c r="G265" s="346">
        <v>0</v>
      </c>
      <c r="H265" s="340">
        <v>51</v>
      </c>
      <c r="I265" s="293" t="s">
        <v>340</v>
      </c>
    </row>
    <row r="266" spans="1:9" s="338" customFormat="1" ht="15.75" x14ac:dyDescent="0.2">
      <c r="A266" s="292" t="s">
        <v>341</v>
      </c>
      <c r="B266" s="285">
        <f t="shared" si="41"/>
        <v>2933</v>
      </c>
      <c r="C266" s="285">
        <v>2810</v>
      </c>
      <c r="D266" s="367">
        <v>18</v>
      </c>
      <c r="E266" s="367">
        <v>30</v>
      </c>
      <c r="F266" s="346">
        <v>0</v>
      </c>
      <c r="G266" s="346">
        <v>0</v>
      </c>
      <c r="H266" s="340">
        <v>75</v>
      </c>
      <c r="I266" s="293" t="s">
        <v>342</v>
      </c>
    </row>
    <row r="267" spans="1:9" s="338" customFormat="1" ht="15.75" x14ac:dyDescent="0.2">
      <c r="A267" s="292" t="s">
        <v>343</v>
      </c>
      <c r="B267" s="285">
        <f t="shared" si="41"/>
        <v>1922</v>
      </c>
      <c r="C267" s="285">
        <v>1862</v>
      </c>
      <c r="D267" s="367">
        <v>11</v>
      </c>
      <c r="E267" s="367">
        <v>17</v>
      </c>
      <c r="F267" s="346">
        <v>1</v>
      </c>
      <c r="G267" s="346">
        <v>1</v>
      </c>
      <c r="H267" s="340">
        <v>30</v>
      </c>
      <c r="I267" s="293" t="s">
        <v>344</v>
      </c>
    </row>
    <row r="268" spans="1:9" s="338" customFormat="1" ht="15.75" x14ac:dyDescent="0.2">
      <c r="A268" s="292" t="s">
        <v>345</v>
      </c>
      <c r="B268" s="285">
        <f t="shared" si="41"/>
        <v>781</v>
      </c>
      <c r="C268" s="285">
        <v>761</v>
      </c>
      <c r="D268" s="367">
        <v>2</v>
      </c>
      <c r="E268" s="367">
        <v>4</v>
      </c>
      <c r="F268" s="346">
        <v>0</v>
      </c>
      <c r="G268" s="346">
        <v>0</v>
      </c>
      <c r="H268" s="340">
        <v>14</v>
      </c>
      <c r="I268" s="293" t="s">
        <v>346</v>
      </c>
    </row>
    <row r="269" spans="1:9" s="338" customFormat="1" ht="15.75" x14ac:dyDescent="0.2">
      <c r="A269" s="292" t="s">
        <v>347</v>
      </c>
      <c r="B269" s="285">
        <f t="shared" si="41"/>
        <v>3522</v>
      </c>
      <c r="C269" s="285">
        <v>3395</v>
      </c>
      <c r="D269" s="367">
        <v>17</v>
      </c>
      <c r="E269" s="367">
        <v>24</v>
      </c>
      <c r="F269" s="346">
        <v>0</v>
      </c>
      <c r="G269" s="346">
        <v>0</v>
      </c>
      <c r="H269" s="368">
        <v>86</v>
      </c>
      <c r="I269" s="293" t="s">
        <v>348</v>
      </c>
    </row>
    <row r="270" spans="1:9" s="338" customFormat="1" ht="15.75" x14ac:dyDescent="0.2">
      <c r="A270" s="292" t="s">
        <v>349</v>
      </c>
      <c r="B270" s="285">
        <f t="shared" si="41"/>
        <v>932</v>
      </c>
      <c r="C270" s="285">
        <v>909</v>
      </c>
      <c r="D270" s="367">
        <v>5</v>
      </c>
      <c r="E270" s="367">
        <v>6</v>
      </c>
      <c r="F270" s="346">
        <v>0</v>
      </c>
      <c r="G270" s="346">
        <v>0</v>
      </c>
      <c r="H270" s="340">
        <v>12</v>
      </c>
      <c r="I270" s="293" t="s">
        <v>350</v>
      </c>
    </row>
    <row r="271" spans="1:9" s="338" customFormat="1" ht="15.75" x14ac:dyDescent="0.2">
      <c r="A271" s="292" t="s">
        <v>351</v>
      </c>
      <c r="B271" s="285">
        <f t="shared" si="41"/>
        <v>874</v>
      </c>
      <c r="C271" s="285">
        <v>849</v>
      </c>
      <c r="D271" s="367">
        <v>7</v>
      </c>
      <c r="E271" s="367">
        <v>13</v>
      </c>
      <c r="F271" s="346">
        <v>0</v>
      </c>
      <c r="G271" s="346">
        <v>0</v>
      </c>
      <c r="H271" s="340">
        <v>5</v>
      </c>
      <c r="I271" s="293" t="s">
        <v>352</v>
      </c>
    </row>
    <row r="272" spans="1:9" s="338" customFormat="1" ht="15.75" x14ac:dyDescent="0.2">
      <c r="A272" s="292" t="s">
        <v>353</v>
      </c>
      <c r="B272" s="285">
        <f t="shared" si="41"/>
        <v>800</v>
      </c>
      <c r="C272" s="285">
        <v>782</v>
      </c>
      <c r="D272" s="367">
        <v>7</v>
      </c>
      <c r="E272" s="367">
        <v>8</v>
      </c>
      <c r="F272" s="346">
        <v>0</v>
      </c>
      <c r="G272" s="346">
        <v>0</v>
      </c>
      <c r="H272" s="340">
        <v>3</v>
      </c>
      <c r="I272" s="293" t="s">
        <v>354</v>
      </c>
    </row>
    <row r="273" spans="1:21" s="338" customFormat="1" ht="15.75" x14ac:dyDescent="0.2">
      <c r="A273" s="292" t="s">
        <v>355</v>
      </c>
      <c r="B273" s="285">
        <f t="shared" si="41"/>
        <v>764</v>
      </c>
      <c r="C273" s="285">
        <v>748</v>
      </c>
      <c r="D273" s="367">
        <v>3</v>
      </c>
      <c r="E273" s="367">
        <v>4</v>
      </c>
      <c r="F273" s="346">
        <v>0</v>
      </c>
      <c r="G273" s="346">
        <v>0</v>
      </c>
      <c r="H273" s="340">
        <v>9</v>
      </c>
      <c r="I273" s="293" t="s">
        <v>356</v>
      </c>
    </row>
    <row r="274" spans="1:21" s="338" customFormat="1" ht="15.75" x14ac:dyDescent="0.2">
      <c r="A274" s="292" t="s">
        <v>357</v>
      </c>
      <c r="B274" s="285">
        <f t="shared" si="41"/>
        <v>722</v>
      </c>
      <c r="C274" s="285">
        <v>711</v>
      </c>
      <c r="D274" s="367">
        <v>1</v>
      </c>
      <c r="E274" s="367">
        <v>2</v>
      </c>
      <c r="F274" s="346">
        <v>0</v>
      </c>
      <c r="G274" s="346">
        <v>0</v>
      </c>
      <c r="H274" s="340">
        <v>8</v>
      </c>
      <c r="I274" s="293" t="s">
        <v>358</v>
      </c>
    </row>
    <row r="275" spans="1:21" s="338" customFormat="1" ht="15.75" x14ac:dyDescent="0.2">
      <c r="A275" s="297" t="s">
        <v>359</v>
      </c>
      <c r="B275" s="285">
        <f t="shared" si="41"/>
        <v>1738</v>
      </c>
      <c r="C275" s="285">
        <v>1673</v>
      </c>
      <c r="D275" s="367">
        <v>18</v>
      </c>
      <c r="E275" s="367">
        <v>29</v>
      </c>
      <c r="F275" s="346">
        <v>2</v>
      </c>
      <c r="G275" s="346">
        <v>2</v>
      </c>
      <c r="H275" s="340">
        <v>14</v>
      </c>
      <c r="I275" s="293" t="s">
        <v>360</v>
      </c>
    </row>
    <row r="276" spans="1:21" s="338" customFormat="1" ht="15.75" x14ac:dyDescent="0.2">
      <c r="A276" s="297"/>
      <c r="B276" s="339"/>
      <c r="C276" s="311"/>
      <c r="D276" s="340"/>
      <c r="E276" s="340"/>
      <c r="F276" s="346"/>
      <c r="G276" s="346"/>
      <c r="H276" s="342"/>
      <c r="I276" s="293"/>
    </row>
    <row r="277" spans="1:21" s="338" customFormat="1" ht="15.75" x14ac:dyDescent="0.2">
      <c r="A277" s="289" t="s">
        <v>271</v>
      </c>
      <c r="B277" s="285">
        <f t="shared" ref="B277:B292" si="45">SUM(C277:H277)</f>
        <v>23142</v>
      </c>
      <c r="C277" s="285">
        <f>SUM(C278:C292)</f>
        <v>22166</v>
      </c>
      <c r="D277" s="334">
        <f>SUM(D278:D292)</f>
        <v>224</v>
      </c>
      <c r="E277" s="334">
        <f t="shared" ref="E277:G277" si="46">SUM(E278:E292)</f>
        <v>374</v>
      </c>
      <c r="F277" s="334">
        <f t="shared" si="46"/>
        <v>2</v>
      </c>
      <c r="G277" s="334">
        <f t="shared" si="46"/>
        <v>2</v>
      </c>
      <c r="H277" s="334">
        <f>SUM(H278:H292)</f>
        <v>374</v>
      </c>
      <c r="I277" s="337" t="s">
        <v>272</v>
      </c>
      <c r="K277" s="336"/>
      <c r="L277" s="336"/>
      <c r="M277" s="336"/>
      <c r="N277" s="336"/>
      <c r="O277" s="336"/>
      <c r="P277" s="336"/>
      <c r="Q277" s="336"/>
      <c r="R277" s="336"/>
      <c r="S277" s="336"/>
      <c r="T277" s="336"/>
      <c r="U277" s="336"/>
    </row>
    <row r="278" spans="1:21" s="338" customFormat="1" ht="15.75" x14ac:dyDescent="0.2">
      <c r="A278" s="292" t="s">
        <v>361</v>
      </c>
      <c r="B278" s="285">
        <f t="shared" si="45"/>
        <v>1826</v>
      </c>
      <c r="C278" s="285">
        <v>1734</v>
      </c>
      <c r="D278" s="367">
        <v>24</v>
      </c>
      <c r="E278" s="367">
        <v>41</v>
      </c>
      <c r="F278" s="346">
        <v>1</v>
      </c>
      <c r="G278" s="346">
        <v>1</v>
      </c>
      <c r="H278" s="340">
        <v>25</v>
      </c>
      <c r="I278" s="293" t="s">
        <v>362</v>
      </c>
    </row>
    <row r="279" spans="1:21" s="338" customFormat="1" ht="15.75" x14ac:dyDescent="0.2">
      <c r="A279" s="292" t="s">
        <v>363</v>
      </c>
      <c r="B279" s="285">
        <f t="shared" si="45"/>
        <v>463</v>
      </c>
      <c r="C279" s="285">
        <v>454</v>
      </c>
      <c r="D279" s="367">
        <v>1</v>
      </c>
      <c r="E279" s="367">
        <v>1</v>
      </c>
      <c r="F279" s="346">
        <v>0</v>
      </c>
      <c r="G279" s="346">
        <v>0</v>
      </c>
      <c r="H279" s="340">
        <v>7</v>
      </c>
      <c r="I279" s="293" t="s">
        <v>364</v>
      </c>
    </row>
    <row r="280" spans="1:21" s="338" customFormat="1" ht="15.75" x14ac:dyDescent="0.2">
      <c r="A280" s="292" t="s">
        <v>365</v>
      </c>
      <c r="B280" s="285">
        <f t="shared" si="45"/>
        <v>717</v>
      </c>
      <c r="C280" s="285">
        <v>702</v>
      </c>
      <c r="D280" s="367">
        <v>2</v>
      </c>
      <c r="E280" s="367">
        <v>2</v>
      </c>
      <c r="F280" s="346">
        <v>0</v>
      </c>
      <c r="G280" s="346">
        <v>0</v>
      </c>
      <c r="H280" s="340">
        <v>11</v>
      </c>
      <c r="I280" s="293" t="s">
        <v>366</v>
      </c>
    </row>
    <row r="281" spans="1:21" s="338" customFormat="1" ht="15.75" x14ac:dyDescent="0.2">
      <c r="A281" s="292" t="s">
        <v>367</v>
      </c>
      <c r="B281" s="285">
        <f t="shared" si="45"/>
        <v>436</v>
      </c>
      <c r="C281" s="285">
        <v>430</v>
      </c>
      <c r="D281" s="367">
        <v>0</v>
      </c>
      <c r="E281" s="367">
        <v>0</v>
      </c>
      <c r="F281" s="346">
        <v>0</v>
      </c>
      <c r="G281" s="346">
        <v>0</v>
      </c>
      <c r="H281" s="340">
        <v>6</v>
      </c>
      <c r="I281" s="293" t="s">
        <v>368</v>
      </c>
    </row>
    <row r="282" spans="1:21" s="338" customFormat="1" ht="15.75" x14ac:dyDescent="0.2">
      <c r="A282" s="292" t="s">
        <v>369</v>
      </c>
      <c r="B282" s="285">
        <f t="shared" si="45"/>
        <v>1543</v>
      </c>
      <c r="C282" s="285">
        <v>1485</v>
      </c>
      <c r="D282" s="367">
        <v>8</v>
      </c>
      <c r="E282" s="367">
        <v>12</v>
      </c>
      <c r="F282" s="346">
        <v>0</v>
      </c>
      <c r="G282" s="346">
        <v>0</v>
      </c>
      <c r="H282" s="340">
        <v>38</v>
      </c>
      <c r="I282" s="293" t="s">
        <v>370</v>
      </c>
    </row>
    <row r="283" spans="1:21" s="338" customFormat="1" ht="15.75" x14ac:dyDescent="0.2">
      <c r="A283" s="292" t="s">
        <v>371</v>
      </c>
      <c r="B283" s="285">
        <f t="shared" si="45"/>
        <v>1128</v>
      </c>
      <c r="C283" s="285">
        <v>1095</v>
      </c>
      <c r="D283" s="367">
        <v>6</v>
      </c>
      <c r="E283" s="367">
        <v>12</v>
      </c>
      <c r="F283" s="346">
        <v>0</v>
      </c>
      <c r="G283" s="346">
        <v>0</v>
      </c>
      <c r="H283" s="340">
        <v>15</v>
      </c>
      <c r="I283" s="293" t="s">
        <v>372</v>
      </c>
    </row>
    <row r="284" spans="1:21" s="338" customFormat="1" ht="15.75" x14ac:dyDescent="0.2">
      <c r="A284" s="292" t="s">
        <v>373</v>
      </c>
      <c r="B284" s="285">
        <f t="shared" si="45"/>
        <v>2295</v>
      </c>
      <c r="C284" s="285">
        <v>2181</v>
      </c>
      <c r="D284" s="367">
        <v>27</v>
      </c>
      <c r="E284" s="367">
        <v>50</v>
      </c>
      <c r="F284" s="346">
        <v>0</v>
      </c>
      <c r="G284" s="346">
        <v>0</v>
      </c>
      <c r="H284" s="340">
        <v>37</v>
      </c>
      <c r="I284" s="293" t="s">
        <v>374</v>
      </c>
    </row>
    <row r="285" spans="1:21" s="338" customFormat="1" ht="15.75" x14ac:dyDescent="0.2">
      <c r="A285" s="297" t="s">
        <v>375</v>
      </c>
      <c r="B285" s="285">
        <f t="shared" si="45"/>
        <v>627</v>
      </c>
      <c r="C285" s="285">
        <v>593</v>
      </c>
      <c r="D285" s="367">
        <v>8</v>
      </c>
      <c r="E285" s="367">
        <v>14</v>
      </c>
      <c r="F285" s="346">
        <v>1</v>
      </c>
      <c r="G285" s="346">
        <v>1</v>
      </c>
      <c r="H285" s="340">
        <v>10</v>
      </c>
      <c r="I285" s="293" t="s">
        <v>376</v>
      </c>
    </row>
    <row r="286" spans="1:21" s="338" customFormat="1" ht="15.75" x14ac:dyDescent="0.2">
      <c r="A286" s="292" t="s">
        <v>377</v>
      </c>
      <c r="B286" s="285">
        <f t="shared" si="45"/>
        <v>14</v>
      </c>
      <c r="C286" s="285">
        <v>4</v>
      </c>
      <c r="D286" s="367">
        <v>1</v>
      </c>
      <c r="E286" s="367">
        <v>1</v>
      </c>
      <c r="F286" s="346">
        <v>0</v>
      </c>
      <c r="G286" s="346">
        <v>0</v>
      </c>
      <c r="H286" s="340">
        <v>8</v>
      </c>
      <c r="I286" s="293" t="s">
        <v>378</v>
      </c>
    </row>
    <row r="287" spans="1:21" s="338" customFormat="1" ht="15.75" x14ac:dyDescent="0.2">
      <c r="A287" s="292" t="s">
        <v>379</v>
      </c>
      <c r="B287" s="285">
        <f t="shared" si="45"/>
        <v>8517</v>
      </c>
      <c r="C287" s="285">
        <v>8106</v>
      </c>
      <c r="D287" s="367">
        <v>103</v>
      </c>
      <c r="E287" s="367">
        <v>170</v>
      </c>
      <c r="F287" s="346">
        <v>0</v>
      </c>
      <c r="G287" s="346">
        <v>0</v>
      </c>
      <c r="H287" s="340">
        <v>138</v>
      </c>
      <c r="I287" s="293" t="s">
        <v>380</v>
      </c>
    </row>
    <row r="288" spans="1:21" s="338" customFormat="1" ht="15.75" x14ac:dyDescent="0.2">
      <c r="A288" s="292" t="s">
        <v>381</v>
      </c>
      <c r="B288" s="285">
        <f t="shared" si="45"/>
        <v>1294</v>
      </c>
      <c r="C288" s="285">
        <v>1232</v>
      </c>
      <c r="D288" s="367">
        <v>14</v>
      </c>
      <c r="E288" s="367">
        <v>26</v>
      </c>
      <c r="F288" s="346">
        <v>0</v>
      </c>
      <c r="G288" s="346">
        <v>0</v>
      </c>
      <c r="H288" s="340">
        <v>22</v>
      </c>
      <c r="I288" s="293" t="s">
        <v>382</v>
      </c>
    </row>
    <row r="289" spans="1:9" s="338" customFormat="1" ht="15.75" x14ac:dyDescent="0.2">
      <c r="A289" s="292" t="s">
        <v>383</v>
      </c>
      <c r="B289" s="285">
        <f t="shared" si="45"/>
        <v>1212</v>
      </c>
      <c r="C289" s="285">
        <v>1175</v>
      </c>
      <c r="D289" s="367">
        <v>10</v>
      </c>
      <c r="E289" s="367">
        <v>13</v>
      </c>
      <c r="F289" s="346">
        <v>0</v>
      </c>
      <c r="G289" s="346">
        <v>0</v>
      </c>
      <c r="H289" s="340">
        <v>14</v>
      </c>
      <c r="I289" s="293" t="s">
        <v>384</v>
      </c>
    </row>
    <row r="290" spans="1:9" s="338" customFormat="1" ht="15.75" x14ac:dyDescent="0.2">
      <c r="A290" s="292" t="s">
        <v>385</v>
      </c>
      <c r="B290" s="285">
        <f t="shared" si="45"/>
        <v>1610</v>
      </c>
      <c r="C290" s="285">
        <v>1547</v>
      </c>
      <c r="D290" s="367">
        <v>13</v>
      </c>
      <c r="E290" s="367">
        <v>22</v>
      </c>
      <c r="F290" s="346">
        <v>0</v>
      </c>
      <c r="G290" s="346">
        <v>0</v>
      </c>
      <c r="H290" s="340">
        <v>28</v>
      </c>
      <c r="I290" s="293" t="s">
        <v>386</v>
      </c>
    </row>
    <row r="291" spans="1:9" s="338" customFormat="1" ht="15.75" x14ac:dyDescent="0.2">
      <c r="A291" s="292" t="s">
        <v>387</v>
      </c>
      <c r="B291" s="285">
        <f t="shared" si="45"/>
        <v>38</v>
      </c>
      <c r="C291" s="285">
        <v>35</v>
      </c>
      <c r="D291" s="367">
        <v>1</v>
      </c>
      <c r="E291" s="367">
        <v>1</v>
      </c>
      <c r="F291" s="346">
        <v>0</v>
      </c>
      <c r="G291" s="346">
        <v>0</v>
      </c>
      <c r="H291" s="340">
        <v>1</v>
      </c>
      <c r="I291" s="293" t="s">
        <v>388</v>
      </c>
    </row>
    <row r="292" spans="1:9" s="338" customFormat="1" ht="15.75" x14ac:dyDescent="0.2">
      <c r="A292" s="297" t="s">
        <v>389</v>
      </c>
      <c r="B292" s="285">
        <f t="shared" si="45"/>
        <v>1422</v>
      </c>
      <c r="C292" s="285">
        <v>1393</v>
      </c>
      <c r="D292" s="367">
        <v>6</v>
      </c>
      <c r="E292" s="367">
        <v>9</v>
      </c>
      <c r="F292" s="346">
        <v>0</v>
      </c>
      <c r="G292" s="346">
        <v>0</v>
      </c>
      <c r="H292" s="340">
        <v>14</v>
      </c>
      <c r="I292" s="293" t="s">
        <v>390</v>
      </c>
    </row>
    <row r="293" spans="1:9" s="338" customFormat="1" ht="12.75" x14ac:dyDescent="0.2">
      <c r="A293" s="297"/>
      <c r="B293" s="343"/>
      <c r="C293" s="344"/>
      <c r="D293" s="340"/>
      <c r="E293" s="340"/>
      <c r="F293" s="340"/>
      <c r="G293" s="340"/>
      <c r="H293" s="342"/>
    </row>
    <row r="294" spans="1:9" s="338" customFormat="1" ht="15.75" x14ac:dyDescent="0.2">
      <c r="A294" s="289" t="s">
        <v>273</v>
      </c>
      <c r="B294" s="285">
        <f t="shared" ref="B294:B308" si="47">SUM(C294:H294)</f>
        <v>15256</v>
      </c>
      <c r="C294" s="285">
        <f>SUM(C295:C308)</f>
        <v>14630</v>
      </c>
      <c r="D294" s="334">
        <f t="shared" ref="D294:G294" si="48">SUM(D295:D308)</f>
        <v>117</v>
      </c>
      <c r="E294" s="334">
        <f t="shared" si="48"/>
        <v>189</v>
      </c>
      <c r="F294" s="334">
        <f t="shared" si="48"/>
        <v>0</v>
      </c>
      <c r="G294" s="334">
        <f t="shared" si="48"/>
        <v>0</v>
      </c>
      <c r="H294" s="334">
        <f>SUM(H295:H308)</f>
        <v>320</v>
      </c>
      <c r="I294" s="337" t="s">
        <v>274</v>
      </c>
    </row>
    <row r="295" spans="1:9" s="338" customFormat="1" ht="15.75" x14ac:dyDescent="0.2">
      <c r="A295" s="292" t="s">
        <v>391</v>
      </c>
      <c r="B295" s="285">
        <f t="shared" si="47"/>
        <v>1349</v>
      </c>
      <c r="C295" s="285">
        <v>1325</v>
      </c>
      <c r="D295" s="340">
        <v>4</v>
      </c>
      <c r="E295" s="340">
        <v>4</v>
      </c>
      <c r="F295" s="346">
        <v>0</v>
      </c>
      <c r="G295" s="346">
        <v>0</v>
      </c>
      <c r="H295" s="340">
        <v>16</v>
      </c>
      <c r="I295" s="293" t="s">
        <v>392</v>
      </c>
    </row>
    <row r="296" spans="1:9" s="338" customFormat="1" ht="15.75" x14ac:dyDescent="0.2">
      <c r="A296" s="292" t="s">
        <v>393</v>
      </c>
      <c r="B296" s="285">
        <f t="shared" si="47"/>
        <v>348</v>
      </c>
      <c r="C296" s="285">
        <v>335</v>
      </c>
      <c r="D296" s="340">
        <v>2</v>
      </c>
      <c r="E296" s="340">
        <v>4</v>
      </c>
      <c r="F296" s="346">
        <v>0</v>
      </c>
      <c r="G296" s="346">
        <v>0</v>
      </c>
      <c r="H296" s="340">
        <v>7</v>
      </c>
      <c r="I296" s="293" t="s">
        <v>394</v>
      </c>
    </row>
    <row r="297" spans="1:9" s="338" customFormat="1" ht="15.75" x14ac:dyDescent="0.2">
      <c r="A297" s="292" t="s">
        <v>395</v>
      </c>
      <c r="B297" s="285">
        <f t="shared" si="47"/>
        <v>669</v>
      </c>
      <c r="C297" s="285">
        <v>636</v>
      </c>
      <c r="D297" s="340">
        <v>8</v>
      </c>
      <c r="E297" s="340">
        <v>11</v>
      </c>
      <c r="F297" s="346">
        <v>0</v>
      </c>
      <c r="G297" s="346">
        <v>0</v>
      </c>
      <c r="H297" s="340">
        <v>14</v>
      </c>
      <c r="I297" s="293" t="s">
        <v>396</v>
      </c>
    </row>
    <row r="298" spans="1:9" s="338" customFormat="1" ht="15.75" x14ac:dyDescent="0.2">
      <c r="A298" s="292" t="s">
        <v>397</v>
      </c>
      <c r="B298" s="285">
        <f t="shared" si="47"/>
        <v>1022</v>
      </c>
      <c r="C298" s="285">
        <v>966</v>
      </c>
      <c r="D298" s="340">
        <v>8</v>
      </c>
      <c r="E298" s="340">
        <v>15</v>
      </c>
      <c r="F298" s="346">
        <v>0</v>
      </c>
      <c r="G298" s="346">
        <v>0</v>
      </c>
      <c r="H298" s="340">
        <v>33</v>
      </c>
      <c r="I298" s="293" t="s">
        <v>398</v>
      </c>
    </row>
    <row r="299" spans="1:9" s="338" customFormat="1" ht="15.75" x14ac:dyDescent="0.2">
      <c r="A299" s="292" t="s">
        <v>399</v>
      </c>
      <c r="B299" s="285">
        <f t="shared" si="47"/>
        <v>872</v>
      </c>
      <c r="C299" s="285">
        <v>830</v>
      </c>
      <c r="D299" s="340">
        <v>9</v>
      </c>
      <c r="E299" s="340">
        <v>17</v>
      </c>
      <c r="F299" s="346">
        <v>0</v>
      </c>
      <c r="G299" s="346">
        <v>0</v>
      </c>
      <c r="H299" s="340">
        <v>16</v>
      </c>
      <c r="I299" s="293" t="s">
        <v>400</v>
      </c>
    </row>
    <row r="300" spans="1:9" s="338" customFormat="1" ht="15.75" x14ac:dyDescent="0.2">
      <c r="A300" s="292" t="s">
        <v>401</v>
      </c>
      <c r="B300" s="285">
        <f t="shared" si="47"/>
        <v>609</v>
      </c>
      <c r="C300" s="285">
        <v>582</v>
      </c>
      <c r="D300" s="340">
        <v>4</v>
      </c>
      <c r="E300" s="340">
        <v>5</v>
      </c>
      <c r="F300" s="346">
        <v>0</v>
      </c>
      <c r="G300" s="346">
        <v>0</v>
      </c>
      <c r="H300" s="340">
        <v>18</v>
      </c>
      <c r="I300" s="293" t="s">
        <v>402</v>
      </c>
    </row>
    <row r="301" spans="1:9" s="338" customFormat="1" ht="15.75" x14ac:dyDescent="0.2">
      <c r="A301" s="292" t="s">
        <v>403</v>
      </c>
      <c r="B301" s="285">
        <f t="shared" si="47"/>
        <v>1559</v>
      </c>
      <c r="C301" s="285">
        <v>1518</v>
      </c>
      <c r="D301" s="340">
        <v>7</v>
      </c>
      <c r="E301" s="340">
        <v>8</v>
      </c>
      <c r="F301" s="346">
        <v>0</v>
      </c>
      <c r="G301" s="346">
        <v>0</v>
      </c>
      <c r="H301" s="340">
        <v>26</v>
      </c>
      <c r="I301" s="293" t="s">
        <v>404</v>
      </c>
    </row>
    <row r="302" spans="1:9" s="338" customFormat="1" ht="15.75" x14ac:dyDescent="0.2">
      <c r="A302" s="292" t="s">
        <v>405</v>
      </c>
      <c r="B302" s="285">
        <f t="shared" si="47"/>
        <v>434</v>
      </c>
      <c r="C302" s="285">
        <v>418</v>
      </c>
      <c r="D302" s="340">
        <v>3</v>
      </c>
      <c r="E302" s="340">
        <v>6</v>
      </c>
      <c r="F302" s="346">
        <v>0</v>
      </c>
      <c r="G302" s="346">
        <v>0</v>
      </c>
      <c r="H302" s="340">
        <v>7</v>
      </c>
      <c r="I302" s="293" t="s">
        <v>406</v>
      </c>
    </row>
    <row r="303" spans="1:9" s="338" customFormat="1" ht="15.75" x14ac:dyDescent="0.2">
      <c r="A303" s="292" t="s">
        <v>407</v>
      </c>
      <c r="B303" s="285">
        <f t="shared" si="47"/>
        <v>759</v>
      </c>
      <c r="C303" s="285">
        <v>725</v>
      </c>
      <c r="D303" s="340">
        <v>8</v>
      </c>
      <c r="E303" s="340">
        <v>11</v>
      </c>
      <c r="F303" s="346">
        <v>0</v>
      </c>
      <c r="G303" s="346">
        <v>0</v>
      </c>
      <c r="H303" s="340">
        <v>15</v>
      </c>
      <c r="I303" s="293" t="s">
        <v>408</v>
      </c>
    </row>
    <row r="304" spans="1:9" s="338" customFormat="1" ht="15.75" x14ac:dyDescent="0.2">
      <c r="A304" s="292" t="s">
        <v>409</v>
      </c>
      <c r="B304" s="285">
        <f t="shared" si="47"/>
        <v>629</v>
      </c>
      <c r="C304" s="285">
        <v>610</v>
      </c>
      <c r="D304" s="340">
        <v>6</v>
      </c>
      <c r="E304" s="340">
        <v>10</v>
      </c>
      <c r="F304" s="346">
        <v>0</v>
      </c>
      <c r="G304" s="346">
        <v>0</v>
      </c>
      <c r="H304" s="340">
        <v>3</v>
      </c>
      <c r="I304" s="293" t="s">
        <v>410</v>
      </c>
    </row>
    <row r="305" spans="1:9" s="338" customFormat="1" ht="15.75" x14ac:dyDescent="0.2">
      <c r="A305" s="292" t="s">
        <v>411</v>
      </c>
      <c r="B305" s="285">
        <f t="shared" si="47"/>
        <v>1669</v>
      </c>
      <c r="C305" s="285">
        <v>1598</v>
      </c>
      <c r="D305" s="340">
        <v>8</v>
      </c>
      <c r="E305" s="340">
        <v>9</v>
      </c>
      <c r="F305" s="346">
        <v>0</v>
      </c>
      <c r="G305" s="346">
        <v>0</v>
      </c>
      <c r="H305" s="340">
        <v>54</v>
      </c>
      <c r="I305" s="293" t="s">
        <v>412</v>
      </c>
    </row>
    <row r="306" spans="1:9" s="338" customFormat="1" ht="15.75" x14ac:dyDescent="0.2">
      <c r="A306" s="292" t="s">
        <v>413</v>
      </c>
      <c r="B306" s="285">
        <f t="shared" si="47"/>
        <v>957</v>
      </c>
      <c r="C306" s="285">
        <v>927</v>
      </c>
      <c r="D306" s="340">
        <v>5</v>
      </c>
      <c r="E306" s="340">
        <v>9</v>
      </c>
      <c r="F306" s="346">
        <v>0</v>
      </c>
      <c r="G306" s="346">
        <v>0</v>
      </c>
      <c r="H306" s="340">
        <v>16</v>
      </c>
      <c r="I306" s="293" t="s">
        <v>414</v>
      </c>
    </row>
    <row r="307" spans="1:9" s="338" customFormat="1" ht="15.75" x14ac:dyDescent="0.2">
      <c r="A307" s="292" t="s">
        <v>415</v>
      </c>
      <c r="B307" s="285">
        <f t="shared" si="47"/>
        <v>2155</v>
      </c>
      <c r="C307" s="285">
        <v>2056</v>
      </c>
      <c r="D307" s="340">
        <v>22</v>
      </c>
      <c r="E307" s="340">
        <v>40</v>
      </c>
      <c r="F307" s="346">
        <v>0</v>
      </c>
      <c r="G307" s="346">
        <v>0</v>
      </c>
      <c r="H307" s="340">
        <v>37</v>
      </c>
      <c r="I307" s="293" t="s">
        <v>416</v>
      </c>
    </row>
    <row r="308" spans="1:9" s="338" customFormat="1" ht="15.75" x14ac:dyDescent="0.2">
      <c r="A308" s="292" t="s">
        <v>417</v>
      </c>
      <c r="B308" s="285">
        <f t="shared" si="47"/>
        <v>2225</v>
      </c>
      <c r="C308" s="285">
        <v>2104</v>
      </c>
      <c r="D308" s="340">
        <v>23</v>
      </c>
      <c r="E308" s="340">
        <v>40</v>
      </c>
      <c r="F308" s="346">
        <v>0</v>
      </c>
      <c r="G308" s="346">
        <v>0</v>
      </c>
      <c r="H308" s="340">
        <v>58</v>
      </c>
      <c r="I308" s="345" t="s">
        <v>418</v>
      </c>
    </row>
    <row r="309" spans="1:9" s="338" customFormat="1" ht="12.75" x14ac:dyDescent="0.2">
      <c r="A309" s="297"/>
      <c r="B309" s="339"/>
      <c r="C309" s="311"/>
      <c r="D309" s="340"/>
      <c r="E309" s="340"/>
      <c r="F309" s="346"/>
      <c r="G309" s="346"/>
      <c r="H309" s="342"/>
    </row>
    <row r="310" spans="1:9" s="338" customFormat="1" ht="15.75" x14ac:dyDescent="0.2">
      <c r="A310" s="289" t="s">
        <v>275</v>
      </c>
      <c r="B310" s="285">
        <f t="shared" ref="B310:B323" si="49">SUM(C310:H310)</f>
        <v>13567</v>
      </c>
      <c r="C310" s="285">
        <f>SUM(C311:C323)</f>
        <v>13115</v>
      </c>
      <c r="D310" s="334">
        <f t="shared" ref="D310:G310" si="50">SUM(D311:D323)</f>
        <v>98</v>
      </c>
      <c r="E310" s="334">
        <f t="shared" si="50"/>
        <v>165</v>
      </c>
      <c r="F310" s="334">
        <f t="shared" si="50"/>
        <v>5</v>
      </c>
      <c r="G310" s="334">
        <f t="shared" si="50"/>
        <v>6</v>
      </c>
      <c r="H310" s="334">
        <f>SUM(H311:H323)</f>
        <v>178</v>
      </c>
      <c r="I310" s="337" t="s">
        <v>276</v>
      </c>
    </row>
    <row r="311" spans="1:9" s="338" customFormat="1" ht="15.75" x14ac:dyDescent="0.2">
      <c r="A311" s="292" t="s">
        <v>419</v>
      </c>
      <c r="B311" s="285">
        <f t="shared" si="49"/>
        <v>469</v>
      </c>
      <c r="C311" s="285">
        <v>449</v>
      </c>
      <c r="D311" s="340">
        <v>4</v>
      </c>
      <c r="E311" s="340">
        <v>8</v>
      </c>
      <c r="F311" s="346">
        <v>0</v>
      </c>
      <c r="G311" s="346">
        <v>0</v>
      </c>
      <c r="H311" s="340">
        <v>8</v>
      </c>
      <c r="I311" s="293" t="s">
        <v>420</v>
      </c>
    </row>
    <row r="312" spans="1:9" s="338" customFormat="1" ht="15.75" x14ac:dyDescent="0.2">
      <c r="A312" s="292" t="s">
        <v>421</v>
      </c>
      <c r="B312" s="285">
        <f t="shared" si="49"/>
        <v>1453</v>
      </c>
      <c r="C312" s="285">
        <v>1425</v>
      </c>
      <c r="D312" s="340">
        <v>4</v>
      </c>
      <c r="E312" s="340">
        <v>5</v>
      </c>
      <c r="F312" s="346">
        <v>0</v>
      </c>
      <c r="G312" s="346">
        <v>0</v>
      </c>
      <c r="H312" s="340">
        <v>19</v>
      </c>
      <c r="I312" s="293" t="s">
        <v>422</v>
      </c>
    </row>
    <row r="313" spans="1:9" s="338" customFormat="1" ht="15.75" x14ac:dyDescent="0.2">
      <c r="A313" s="292" t="s">
        <v>423</v>
      </c>
      <c r="B313" s="285">
        <f t="shared" si="49"/>
        <v>611</v>
      </c>
      <c r="C313" s="285">
        <v>585</v>
      </c>
      <c r="D313" s="340">
        <v>5</v>
      </c>
      <c r="E313" s="340">
        <v>10</v>
      </c>
      <c r="F313" s="346">
        <v>0</v>
      </c>
      <c r="G313" s="346">
        <v>0</v>
      </c>
      <c r="H313" s="340">
        <v>11</v>
      </c>
      <c r="I313" s="293" t="s">
        <v>424</v>
      </c>
    </row>
    <row r="314" spans="1:9" s="338" customFormat="1" ht="15.75" x14ac:dyDescent="0.2">
      <c r="A314" s="292" t="s">
        <v>425</v>
      </c>
      <c r="B314" s="285">
        <f t="shared" si="49"/>
        <v>695</v>
      </c>
      <c r="C314" s="285">
        <v>674</v>
      </c>
      <c r="D314" s="340">
        <v>2</v>
      </c>
      <c r="E314" s="340">
        <v>5</v>
      </c>
      <c r="F314" s="346">
        <v>0</v>
      </c>
      <c r="G314" s="346">
        <v>0</v>
      </c>
      <c r="H314" s="340">
        <v>14</v>
      </c>
      <c r="I314" s="293" t="s">
        <v>426</v>
      </c>
    </row>
    <row r="315" spans="1:9" s="338" customFormat="1" ht="15.75" x14ac:dyDescent="0.2">
      <c r="A315" s="292" t="s">
        <v>427</v>
      </c>
      <c r="B315" s="285">
        <f t="shared" si="49"/>
        <v>915</v>
      </c>
      <c r="C315" s="285">
        <v>887</v>
      </c>
      <c r="D315" s="340">
        <v>5</v>
      </c>
      <c r="E315" s="340">
        <v>7</v>
      </c>
      <c r="F315" s="346">
        <v>1</v>
      </c>
      <c r="G315" s="346">
        <v>1</v>
      </c>
      <c r="H315" s="340">
        <v>14</v>
      </c>
      <c r="I315" s="293" t="s">
        <v>428</v>
      </c>
    </row>
    <row r="316" spans="1:9" s="338" customFormat="1" ht="15.75" x14ac:dyDescent="0.2">
      <c r="A316" s="292" t="s">
        <v>429</v>
      </c>
      <c r="B316" s="285">
        <f t="shared" si="49"/>
        <v>997</v>
      </c>
      <c r="C316" s="285">
        <v>936</v>
      </c>
      <c r="D316" s="340">
        <v>19</v>
      </c>
      <c r="E316" s="340">
        <v>32</v>
      </c>
      <c r="F316" s="346">
        <v>0</v>
      </c>
      <c r="G316" s="346">
        <v>0</v>
      </c>
      <c r="H316" s="340">
        <v>10</v>
      </c>
      <c r="I316" s="293" t="s">
        <v>430</v>
      </c>
    </row>
    <row r="317" spans="1:9" s="338" customFormat="1" ht="15.75" x14ac:dyDescent="0.2">
      <c r="A317" s="292" t="s">
        <v>431</v>
      </c>
      <c r="B317" s="285">
        <f t="shared" si="49"/>
        <v>735</v>
      </c>
      <c r="C317" s="285">
        <v>710</v>
      </c>
      <c r="D317" s="340">
        <v>7</v>
      </c>
      <c r="E317" s="340">
        <v>15</v>
      </c>
      <c r="F317" s="346">
        <v>0</v>
      </c>
      <c r="G317" s="346">
        <v>0</v>
      </c>
      <c r="H317" s="340">
        <v>3</v>
      </c>
      <c r="I317" s="293" t="s">
        <v>432</v>
      </c>
    </row>
    <row r="318" spans="1:9" s="338" customFormat="1" ht="15.75" x14ac:dyDescent="0.2">
      <c r="A318" s="292" t="s">
        <v>433</v>
      </c>
      <c r="B318" s="285">
        <f t="shared" si="49"/>
        <v>1111</v>
      </c>
      <c r="C318" s="285">
        <v>1076</v>
      </c>
      <c r="D318" s="340">
        <v>2</v>
      </c>
      <c r="E318" s="340">
        <v>6</v>
      </c>
      <c r="F318" s="346">
        <v>1</v>
      </c>
      <c r="G318" s="346">
        <v>1</v>
      </c>
      <c r="H318" s="340">
        <v>25</v>
      </c>
      <c r="I318" s="293" t="s">
        <v>434</v>
      </c>
    </row>
    <row r="319" spans="1:9" s="338" customFormat="1" ht="15.75" x14ac:dyDescent="0.2">
      <c r="A319" s="292" t="s">
        <v>435</v>
      </c>
      <c r="B319" s="285">
        <f t="shared" si="49"/>
        <v>318</v>
      </c>
      <c r="C319" s="285">
        <v>311</v>
      </c>
      <c r="D319" s="340">
        <v>2</v>
      </c>
      <c r="E319" s="340">
        <v>3</v>
      </c>
      <c r="F319" s="346">
        <v>0</v>
      </c>
      <c r="G319" s="346">
        <v>0</v>
      </c>
      <c r="H319" s="340">
        <v>2</v>
      </c>
      <c r="I319" s="293" t="s">
        <v>436</v>
      </c>
    </row>
    <row r="320" spans="1:9" s="338" customFormat="1" ht="15.75" x14ac:dyDescent="0.2">
      <c r="A320" s="292" t="s">
        <v>437</v>
      </c>
      <c r="B320" s="285">
        <f t="shared" si="49"/>
        <v>1651</v>
      </c>
      <c r="C320" s="285">
        <v>1578</v>
      </c>
      <c r="D320" s="340">
        <v>17</v>
      </c>
      <c r="E320" s="340">
        <v>31</v>
      </c>
      <c r="F320" s="346">
        <v>1</v>
      </c>
      <c r="G320" s="346">
        <v>1</v>
      </c>
      <c r="H320" s="340">
        <v>23</v>
      </c>
      <c r="I320" s="293" t="s">
        <v>438</v>
      </c>
    </row>
    <row r="321" spans="1:9" s="338" customFormat="1" ht="15.75" x14ac:dyDescent="0.2">
      <c r="A321" s="292" t="s">
        <v>439</v>
      </c>
      <c r="B321" s="285">
        <f t="shared" si="49"/>
        <v>1914</v>
      </c>
      <c r="C321" s="285">
        <v>1881</v>
      </c>
      <c r="D321" s="340">
        <v>6</v>
      </c>
      <c r="E321" s="340">
        <v>10</v>
      </c>
      <c r="F321" s="346">
        <v>0</v>
      </c>
      <c r="G321" s="346">
        <v>0</v>
      </c>
      <c r="H321" s="340">
        <v>17</v>
      </c>
      <c r="I321" s="293" t="s">
        <v>440</v>
      </c>
    </row>
    <row r="322" spans="1:9" s="338" customFormat="1" ht="15.75" x14ac:dyDescent="0.2">
      <c r="A322" s="297" t="s">
        <v>441</v>
      </c>
      <c r="B322" s="285">
        <f t="shared" si="49"/>
        <v>405</v>
      </c>
      <c r="C322" s="285">
        <v>400</v>
      </c>
      <c r="D322" s="340">
        <v>2</v>
      </c>
      <c r="E322" s="340">
        <v>3</v>
      </c>
      <c r="F322" s="346">
        <v>0</v>
      </c>
      <c r="G322" s="346">
        <v>0</v>
      </c>
      <c r="H322" s="340">
        <v>0</v>
      </c>
      <c r="I322" s="293" t="s">
        <v>442</v>
      </c>
    </row>
    <row r="323" spans="1:9" s="347" customFormat="1" ht="15.75" x14ac:dyDescent="0.2">
      <c r="A323" s="297" t="s">
        <v>443</v>
      </c>
      <c r="B323" s="285">
        <f t="shared" si="49"/>
        <v>2293</v>
      </c>
      <c r="C323" s="285">
        <v>2203</v>
      </c>
      <c r="D323" s="340">
        <v>23</v>
      </c>
      <c r="E323" s="340">
        <v>30</v>
      </c>
      <c r="F323" s="346">
        <v>2</v>
      </c>
      <c r="G323" s="346">
        <v>3</v>
      </c>
      <c r="H323" s="340">
        <v>32</v>
      </c>
      <c r="I323" s="293" t="s">
        <v>444</v>
      </c>
    </row>
    <row r="324" spans="1:9" s="338" customFormat="1" ht="12.75" x14ac:dyDescent="0.2">
      <c r="A324" s="297"/>
      <c r="B324" s="343"/>
      <c r="C324" s="311"/>
      <c r="D324" s="340"/>
      <c r="E324" s="340"/>
      <c r="F324" s="340"/>
      <c r="G324" s="340"/>
      <c r="H324" s="342"/>
    </row>
    <row r="325" spans="1:9" s="338" customFormat="1" ht="15.75" x14ac:dyDescent="0.2">
      <c r="A325" s="289" t="s">
        <v>277</v>
      </c>
      <c r="B325" s="285">
        <f t="shared" ref="B325:B341" si="51">SUM(C325:H325)</f>
        <v>19913</v>
      </c>
      <c r="C325" s="285">
        <f>SUM(C326:C341)</f>
        <v>19277</v>
      </c>
      <c r="D325" s="334">
        <f t="shared" ref="D325:G325" si="52">SUM(D326:D341)</f>
        <v>118</v>
      </c>
      <c r="E325" s="334">
        <f t="shared" si="52"/>
        <v>210</v>
      </c>
      <c r="F325" s="334">
        <f t="shared" si="52"/>
        <v>6</v>
      </c>
      <c r="G325" s="334">
        <f t="shared" si="52"/>
        <v>6</v>
      </c>
      <c r="H325" s="334">
        <f>SUM(H326:H341)</f>
        <v>296</v>
      </c>
      <c r="I325" s="337" t="s">
        <v>278</v>
      </c>
    </row>
    <row r="326" spans="1:9" s="338" customFormat="1" ht="15.75" x14ac:dyDescent="0.2">
      <c r="A326" s="292" t="s">
        <v>445</v>
      </c>
      <c r="B326" s="285">
        <f t="shared" si="51"/>
        <v>2447</v>
      </c>
      <c r="C326" s="285">
        <v>2386</v>
      </c>
      <c r="D326" s="340">
        <v>11</v>
      </c>
      <c r="E326" s="340">
        <v>22</v>
      </c>
      <c r="F326" s="346">
        <v>1</v>
      </c>
      <c r="G326" s="346">
        <v>1</v>
      </c>
      <c r="H326" s="340">
        <v>26</v>
      </c>
      <c r="I326" s="293" t="s">
        <v>446</v>
      </c>
    </row>
    <row r="327" spans="1:9" s="338" customFormat="1" ht="15.75" x14ac:dyDescent="0.2">
      <c r="A327" s="292" t="s">
        <v>447</v>
      </c>
      <c r="B327" s="285">
        <f t="shared" si="51"/>
        <v>460</v>
      </c>
      <c r="C327" s="285">
        <v>454</v>
      </c>
      <c r="D327" s="340">
        <v>0</v>
      </c>
      <c r="E327" s="340">
        <v>0</v>
      </c>
      <c r="F327" s="346">
        <v>0</v>
      </c>
      <c r="G327" s="346">
        <v>0</v>
      </c>
      <c r="H327" s="340">
        <v>6</v>
      </c>
      <c r="I327" s="293" t="s">
        <v>448</v>
      </c>
    </row>
    <row r="328" spans="1:9" s="338" customFormat="1" ht="15.75" x14ac:dyDescent="0.2">
      <c r="A328" s="292" t="s">
        <v>449</v>
      </c>
      <c r="B328" s="285">
        <f t="shared" si="51"/>
        <v>808</v>
      </c>
      <c r="C328" s="285">
        <v>797</v>
      </c>
      <c r="D328" s="340">
        <v>2</v>
      </c>
      <c r="E328" s="340">
        <v>2</v>
      </c>
      <c r="F328" s="346">
        <v>1</v>
      </c>
      <c r="G328" s="346">
        <v>1</v>
      </c>
      <c r="H328" s="340">
        <v>5</v>
      </c>
      <c r="I328" s="293" t="s">
        <v>450</v>
      </c>
    </row>
    <row r="329" spans="1:9" s="338" customFormat="1" ht="15.75" x14ac:dyDescent="0.2">
      <c r="A329" s="292" t="s">
        <v>451</v>
      </c>
      <c r="B329" s="285">
        <f t="shared" si="51"/>
        <v>455</v>
      </c>
      <c r="C329" s="285">
        <v>429</v>
      </c>
      <c r="D329" s="340">
        <v>8</v>
      </c>
      <c r="E329" s="340">
        <v>8</v>
      </c>
      <c r="F329" s="346">
        <v>0</v>
      </c>
      <c r="G329" s="346">
        <v>0</v>
      </c>
      <c r="H329" s="340">
        <v>10</v>
      </c>
      <c r="I329" s="293" t="s">
        <v>452</v>
      </c>
    </row>
    <row r="330" spans="1:9" s="338" customFormat="1" ht="15.75" x14ac:dyDescent="0.2">
      <c r="A330" s="292" t="s">
        <v>453</v>
      </c>
      <c r="B330" s="285">
        <f t="shared" si="51"/>
        <v>1488</v>
      </c>
      <c r="C330" s="285">
        <v>1419</v>
      </c>
      <c r="D330" s="340">
        <v>11</v>
      </c>
      <c r="E330" s="340">
        <v>18</v>
      </c>
      <c r="F330" s="346">
        <v>0</v>
      </c>
      <c r="G330" s="346">
        <v>0</v>
      </c>
      <c r="H330" s="340">
        <v>40</v>
      </c>
      <c r="I330" s="293" t="s">
        <v>454</v>
      </c>
    </row>
    <row r="331" spans="1:9" s="338" customFormat="1" ht="15.75" x14ac:dyDescent="0.2">
      <c r="A331" s="292" t="s">
        <v>455</v>
      </c>
      <c r="B331" s="285">
        <f t="shared" si="51"/>
        <v>3963</v>
      </c>
      <c r="C331" s="285">
        <v>3873</v>
      </c>
      <c r="D331" s="340">
        <v>28</v>
      </c>
      <c r="E331" s="340">
        <v>57</v>
      </c>
      <c r="F331" s="346">
        <v>1</v>
      </c>
      <c r="G331" s="346">
        <v>1</v>
      </c>
      <c r="H331" s="340">
        <v>3</v>
      </c>
      <c r="I331" s="345" t="s">
        <v>456</v>
      </c>
    </row>
    <row r="332" spans="1:9" s="338" customFormat="1" ht="15.75" x14ac:dyDescent="0.2">
      <c r="A332" s="292" t="s">
        <v>457</v>
      </c>
      <c r="B332" s="285">
        <f t="shared" si="51"/>
        <v>41</v>
      </c>
      <c r="C332" s="285">
        <v>0</v>
      </c>
      <c r="D332" s="340">
        <v>0</v>
      </c>
      <c r="E332" s="340">
        <v>0</v>
      </c>
      <c r="F332" s="346">
        <v>0</v>
      </c>
      <c r="G332" s="346">
        <v>0</v>
      </c>
      <c r="H332" s="340">
        <v>41</v>
      </c>
      <c r="I332" s="293" t="s">
        <v>458</v>
      </c>
    </row>
    <row r="333" spans="1:9" s="338" customFormat="1" ht="15.75" x14ac:dyDescent="0.2">
      <c r="A333" s="292" t="s">
        <v>459</v>
      </c>
      <c r="B333" s="285">
        <f t="shared" si="51"/>
        <v>1059</v>
      </c>
      <c r="C333" s="285">
        <v>1032</v>
      </c>
      <c r="D333" s="340">
        <v>8</v>
      </c>
      <c r="E333" s="340">
        <v>9</v>
      </c>
      <c r="F333" s="346">
        <v>0</v>
      </c>
      <c r="G333" s="346">
        <v>0</v>
      </c>
      <c r="H333" s="340">
        <v>10</v>
      </c>
      <c r="I333" s="293" t="s">
        <v>460</v>
      </c>
    </row>
    <row r="334" spans="1:9" s="338" customFormat="1" ht="15.75" x14ac:dyDescent="0.2">
      <c r="A334" s="292" t="s">
        <v>461</v>
      </c>
      <c r="B334" s="285">
        <f t="shared" si="51"/>
        <v>730</v>
      </c>
      <c r="C334" s="285">
        <v>705</v>
      </c>
      <c r="D334" s="340">
        <v>6</v>
      </c>
      <c r="E334" s="340">
        <v>11</v>
      </c>
      <c r="F334" s="346">
        <v>0</v>
      </c>
      <c r="G334" s="346">
        <v>0</v>
      </c>
      <c r="H334" s="340">
        <v>8</v>
      </c>
      <c r="I334" s="293" t="s">
        <v>462</v>
      </c>
    </row>
    <row r="335" spans="1:9" s="338" customFormat="1" ht="15.75" x14ac:dyDescent="0.2">
      <c r="A335" s="292" t="s">
        <v>463</v>
      </c>
      <c r="B335" s="285">
        <f t="shared" si="51"/>
        <v>764</v>
      </c>
      <c r="C335" s="285">
        <v>731</v>
      </c>
      <c r="D335" s="340">
        <v>9</v>
      </c>
      <c r="E335" s="340">
        <v>12</v>
      </c>
      <c r="F335" s="346">
        <v>1</v>
      </c>
      <c r="G335" s="346">
        <v>1</v>
      </c>
      <c r="H335" s="340">
        <v>10</v>
      </c>
      <c r="I335" s="293" t="s">
        <v>464</v>
      </c>
    </row>
    <row r="336" spans="1:9" s="338" customFormat="1" ht="15.75" x14ac:dyDescent="0.2">
      <c r="A336" s="292" t="s">
        <v>465</v>
      </c>
      <c r="B336" s="285">
        <f t="shared" si="51"/>
        <v>2008</v>
      </c>
      <c r="C336" s="285">
        <v>1973</v>
      </c>
      <c r="D336" s="340">
        <v>1</v>
      </c>
      <c r="E336" s="340">
        <v>1</v>
      </c>
      <c r="F336" s="346">
        <v>1</v>
      </c>
      <c r="G336" s="346">
        <v>1</v>
      </c>
      <c r="H336" s="340">
        <v>31</v>
      </c>
      <c r="I336" s="293" t="s">
        <v>466</v>
      </c>
    </row>
    <row r="337" spans="1:9" s="338" customFormat="1" ht="15.75" x14ac:dyDescent="0.2">
      <c r="A337" s="292" t="s">
        <v>467</v>
      </c>
      <c r="B337" s="285">
        <f t="shared" si="51"/>
        <v>1705</v>
      </c>
      <c r="C337" s="285">
        <v>1654</v>
      </c>
      <c r="D337" s="340">
        <v>6</v>
      </c>
      <c r="E337" s="340">
        <v>12</v>
      </c>
      <c r="F337" s="346">
        <v>0</v>
      </c>
      <c r="G337" s="346">
        <v>0</v>
      </c>
      <c r="H337" s="340">
        <v>33</v>
      </c>
      <c r="I337" s="293" t="s">
        <v>468</v>
      </c>
    </row>
    <row r="338" spans="1:9" s="338" customFormat="1" ht="15.75" x14ac:dyDescent="0.2">
      <c r="A338" s="292" t="s">
        <v>469</v>
      </c>
      <c r="B338" s="285">
        <f t="shared" si="51"/>
        <v>330</v>
      </c>
      <c r="C338" s="285">
        <v>327</v>
      </c>
      <c r="D338" s="340">
        <v>0</v>
      </c>
      <c r="E338" s="340">
        <v>0</v>
      </c>
      <c r="F338" s="346">
        <v>0</v>
      </c>
      <c r="G338" s="346">
        <v>0</v>
      </c>
      <c r="H338" s="340">
        <v>3</v>
      </c>
      <c r="I338" s="293" t="s">
        <v>470</v>
      </c>
    </row>
    <row r="339" spans="1:9" s="338" customFormat="1" ht="15.75" x14ac:dyDescent="0.2">
      <c r="A339" s="292" t="s">
        <v>471</v>
      </c>
      <c r="B339" s="285">
        <f t="shared" si="51"/>
        <v>1815</v>
      </c>
      <c r="C339" s="285">
        <v>1736</v>
      </c>
      <c r="D339" s="340">
        <v>14</v>
      </c>
      <c r="E339" s="340">
        <v>28</v>
      </c>
      <c r="F339" s="346">
        <v>1</v>
      </c>
      <c r="G339" s="346">
        <v>1</v>
      </c>
      <c r="H339" s="340">
        <v>35</v>
      </c>
      <c r="I339" s="293" t="s">
        <v>472</v>
      </c>
    </row>
    <row r="340" spans="1:9" s="338" customFormat="1" ht="15.75" x14ac:dyDescent="0.2">
      <c r="A340" s="292" t="s">
        <v>473</v>
      </c>
      <c r="B340" s="285">
        <f t="shared" si="51"/>
        <v>513</v>
      </c>
      <c r="C340" s="285">
        <v>497</v>
      </c>
      <c r="D340" s="340">
        <v>2</v>
      </c>
      <c r="E340" s="340">
        <v>4</v>
      </c>
      <c r="F340" s="346">
        <v>0</v>
      </c>
      <c r="G340" s="346">
        <v>0</v>
      </c>
      <c r="H340" s="340">
        <v>10</v>
      </c>
      <c r="I340" s="293" t="s">
        <v>474</v>
      </c>
    </row>
    <row r="341" spans="1:9" s="338" customFormat="1" ht="15.75" x14ac:dyDescent="0.2">
      <c r="A341" s="292" t="s">
        <v>475</v>
      </c>
      <c r="B341" s="285">
        <f t="shared" si="51"/>
        <v>1327</v>
      </c>
      <c r="C341" s="285">
        <v>1264</v>
      </c>
      <c r="D341" s="340">
        <v>12</v>
      </c>
      <c r="E341" s="340">
        <v>26</v>
      </c>
      <c r="F341" s="346">
        <v>0</v>
      </c>
      <c r="G341" s="346">
        <v>0</v>
      </c>
      <c r="H341" s="340">
        <v>25</v>
      </c>
      <c r="I341" s="293" t="s">
        <v>476</v>
      </c>
    </row>
    <row r="342" spans="1:9" s="338" customFormat="1" ht="12.75" x14ac:dyDescent="0.2">
      <c r="A342" s="297"/>
      <c r="B342" s="343"/>
      <c r="C342" s="311"/>
      <c r="D342" s="340"/>
      <c r="E342" s="340"/>
      <c r="F342" s="346"/>
      <c r="G342" s="346"/>
      <c r="H342" s="342"/>
    </row>
    <row r="343" spans="1:9" s="338" customFormat="1" ht="15.75" x14ac:dyDescent="0.2">
      <c r="A343" s="289" t="s">
        <v>279</v>
      </c>
      <c r="B343" s="285">
        <f t="shared" ref="B343:B356" si="53">SUM(C343:H343)</f>
        <v>12320</v>
      </c>
      <c r="C343" s="285">
        <f>SUM(C344:C356)</f>
        <v>11950</v>
      </c>
      <c r="D343" s="334">
        <f t="shared" ref="D343:G343" si="54">SUM(D344:D356)</f>
        <v>71</v>
      </c>
      <c r="E343" s="334">
        <f t="shared" si="54"/>
        <v>118</v>
      </c>
      <c r="F343" s="334">
        <f t="shared" si="54"/>
        <v>5</v>
      </c>
      <c r="G343" s="334">
        <f t="shared" si="54"/>
        <v>5</v>
      </c>
      <c r="H343" s="334">
        <f>SUM(H344:H356)</f>
        <v>171</v>
      </c>
      <c r="I343" s="337" t="s">
        <v>280</v>
      </c>
    </row>
    <row r="344" spans="1:9" s="338" customFormat="1" ht="15.75" x14ac:dyDescent="0.2">
      <c r="A344" s="297" t="s">
        <v>477</v>
      </c>
      <c r="B344" s="285">
        <f t="shared" si="53"/>
        <v>552</v>
      </c>
      <c r="C344" s="285">
        <v>546</v>
      </c>
      <c r="D344" s="340">
        <v>0</v>
      </c>
      <c r="E344" s="340">
        <v>0</v>
      </c>
      <c r="F344" s="346">
        <v>0</v>
      </c>
      <c r="G344" s="346">
        <v>0</v>
      </c>
      <c r="H344" s="340">
        <v>6</v>
      </c>
      <c r="I344" s="293" t="s">
        <v>478</v>
      </c>
    </row>
    <row r="345" spans="1:9" s="338" customFormat="1" ht="15.75" x14ac:dyDescent="0.2">
      <c r="A345" s="297" t="s">
        <v>479</v>
      </c>
      <c r="B345" s="285">
        <f t="shared" si="53"/>
        <v>429</v>
      </c>
      <c r="C345" s="285">
        <v>409</v>
      </c>
      <c r="D345" s="340">
        <v>6</v>
      </c>
      <c r="E345" s="340">
        <v>11</v>
      </c>
      <c r="F345" s="346">
        <v>0</v>
      </c>
      <c r="G345" s="346">
        <v>0</v>
      </c>
      <c r="H345" s="340">
        <v>3</v>
      </c>
      <c r="I345" s="293" t="s">
        <v>480</v>
      </c>
    </row>
    <row r="346" spans="1:9" s="338" customFormat="1" ht="15.75" x14ac:dyDescent="0.2">
      <c r="A346" s="297" t="s">
        <v>481</v>
      </c>
      <c r="B346" s="285">
        <f t="shared" si="53"/>
        <v>1093</v>
      </c>
      <c r="C346" s="285">
        <v>1051</v>
      </c>
      <c r="D346" s="340">
        <v>7</v>
      </c>
      <c r="E346" s="340">
        <v>11</v>
      </c>
      <c r="F346" s="346">
        <v>1</v>
      </c>
      <c r="G346" s="346">
        <v>1</v>
      </c>
      <c r="H346" s="340">
        <v>22</v>
      </c>
      <c r="I346" s="293" t="s">
        <v>482</v>
      </c>
    </row>
    <row r="347" spans="1:9" s="338" customFormat="1" ht="15.75" x14ac:dyDescent="0.2">
      <c r="A347" s="297" t="s">
        <v>483</v>
      </c>
      <c r="B347" s="285">
        <f t="shared" si="53"/>
        <v>407</v>
      </c>
      <c r="C347" s="285">
        <v>393</v>
      </c>
      <c r="D347" s="340">
        <v>3</v>
      </c>
      <c r="E347" s="340">
        <v>4</v>
      </c>
      <c r="F347" s="346">
        <v>0</v>
      </c>
      <c r="G347" s="346">
        <v>0</v>
      </c>
      <c r="H347" s="340">
        <v>7</v>
      </c>
      <c r="I347" s="293" t="s">
        <v>484</v>
      </c>
    </row>
    <row r="348" spans="1:9" s="338" customFormat="1" ht="15.75" x14ac:dyDescent="0.2">
      <c r="A348" s="297" t="s">
        <v>485</v>
      </c>
      <c r="B348" s="285">
        <f t="shared" si="53"/>
        <v>443</v>
      </c>
      <c r="C348" s="285">
        <v>434</v>
      </c>
      <c r="D348" s="340">
        <v>0</v>
      </c>
      <c r="E348" s="340">
        <v>0</v>
      </c>
      <c r="F348" s="346">
        <v>0</v>
      </c>
      <c r="G348" s="346">
        <v>0</v>
      </c>
      <c r="H348" s="340">
        <v>9</v>
      </c>
      <c r="I348" s="293" t="s">
        <v>486</v>
      </c>
    </row>
    <row r="349" spans="1:9" s="338" customFormat="1" ht="15.75" x14ac:dyDescent="0.2">
      <c r="A349" s="297" t="s">
        <v>487</v>
      </c>
      <c r="B349" s="285">
        <f t="shared" si="53"/>
        <v>949</v>
      </c>
      <c r="C349" s="285">
        <v>922</v>
      </c>
      <c r="D349" s="340">
        <v>6</v>
      </c>
      <c r="E349" s="340">
        <v>9</v>
      </c>
      <c r="F349" s="346">
        <v>0</v>
      </c>
      <c r="G349" s="346">
        <v>0</v>
      </c>
      <c r="H349" s="340">
        <v>12</v>
      </c>
      <c r="I349" s="293" t="s">
        <v>488</v>
      </c>
    </row>
    <row r="350" spans="1:9" s="338" customFormat="1" ht="15.75" x14ac:dyDescent="0.2">
      <c r="A350" s="297" t="s">
        <v>489</v>
      </c>
      <c r="B350" s="285">
        <f t="shared" si="53"/>
        <v>626</v>
      </c>
      <c r="C350" s="285">
        <v>595</v>
      </c>
      <c r="D350" s="340">
        <v>8</v>
      </c>
      <c r="E350" s="340">
        <v>15</v>
      </c>
      <c r="F350" s="346">
        <v>0</v>
      </c>
      <c r="G350" s="346">
        <v>0</v>
      </c>
      <c r="H350" s="340">
        <v>8</v>
      </c>
      <c r="I350" s="293" t="s">
        <v>490</v>
      </c>
    </row>
    <row r="351" spans="1:9" s="338" customFormat="1" ht="15.75" x14ac:dyDescent="0.2">
      <c r="A351" s="297" t="s">
        <v>491</v>
      </c>
      <c r="B351" s="285">
        <f t="shared" si="53"/>
        <v>2793</v>
      </c>
      <c r="C351" s="285">
        <v>2715</v>
      </c>
      <c r="D351" s="340">
        <v>12</v>
      </c>
      <c r="E351" s="340">
        <v>18</v>
      </c>
      <c r="F351" s="346">
        <v>2</v>
      </c>
      <c r="G351" s="346">
        <v>2</v>
      </c>
      <c r="H351" s="340">
        <v>44</v>
      </c>
      <c r="I351" s="293" t="s">
        <v>492</v>
      </c>
    </row>
    <row r="352" spans="1:9" s="338" customFormat="1" ht="15.75" x14ac:dyDescent="0.2">
      <c r="A352" s="297" t="s">
        <v>493</v>
      </c>
      <c r="B352" s="285">
        <f t="shared" si="53"/>
        <v>2559</v>
      </c>
      <c r="C352" s="285">
        <v>2479</v>
      </c>
      <c r="D352" s="340">
        <v>15</v>
      </c>
      <c r="E352" s="340">
        <v>22</v>
      </c>
      <c r="F352" s="346">
        <v>2</v>
      </c>
      <c r="G352" s="346">
        <v>2</v>
      </c>
      <c r="H352" s="340">
        <v>39</v>
      </c>
      <c r="I352" s="293" t="s">
        <v>494</v>
      </c>
    </row>
    <row r="353" spans="1:9" s="338" customFormat="1" ht="15.75" x14ac:dyDescent="0.2">
      <c r="A353" s="297" t="s">
        <v>495</v>
      </c>
      <c r="B353" s="285">
        <f t="shared" si="53"/>
        <v>1239</v>
      </c>
      <c r="C353" s="285">
        <v>1204</v>
      </c>
      <c r="D353" s="340">
        <v>7</v>
      </c>
      <c r="E353" s="340">
        <v>13</v>
      </c>
      <c r="F353" s="346">
        <v>0</v>
      </c>
      <c r="G353" s="346">
        <v>0</v>
      </c>
      <c r="H353" s="340">
        <v>15</v>
      </c>
      <c r="I353" s="293" t="s">
        <v>496</v>
      </c>
    </row>
    <row r="354" spans="1:9" s="338" customFormat="1" ht="15.75" x14ac:dyDescent="0.2">
      <c r="A354" s="297" t="s">
        <v>497</v>
      </c>
      <c r="B354" s="285">
        <f t="shared" si="53"/>
        <v>284</v>
      </c>
      <c r="C354" s="285">
        <v>280</v>
      </c>
      <c r="D354" s="340">
        <v>1</v>
      </c>
      <c r="E354" s="340">
        <v>3</v>
      </c>
      <c r="F354" s="346">
        <v>0</v>
      </c>
      <c r="G354" s="346">
        <v>0</v>
      </c>
      <c r="H354" s="340">
        <v>0</v>
      </c>
      <c r="I354" s="293" t="s">
        <v>498</v>
      </c>
    </row>
    <row r="355" spans="1:9" s="338" customFormat="1" ht="15.75" x14ac:dyDescent="0.2">
      <c r="A355" s="297" t="s">
        <v>499</v>
      </c>
      <c r="B355" s="285">
        <f t="shared" si="53"/>
        <v>240</v>
      </c>
      <c r="C355" s="285">
        <v>234</v>
      </c>
      <c r="D355" s="340">
        <v>2</v>
      </c>
      <c r="E355" s="340">
        <v>2</v>
      </c>
      <c r="F355" s="346">
        <v>0</v>
      </c>
      <c r="G355" s="346">
        <v>0</v>
      </c>
      <c r="H355" s="340">
        <v>2</v>
      </c>
      <c r="I355" s="293" t="s">
        <v>500</v>
      </c>
    </row>
    <row r="356" spans="1:9" s="338" customFormat="1" ht="15.75" x14ac:dyDescent="0.2">
      <c r="A356" s="297" t="s">
        <v>395</v>
      </c>
      <c r="B356" s="285">
        <f t="shared" si="53"/>
        <v>706</v>
      </c>
      <c r="C356" s="285">
        <v>688</v>
      </c>
      <c r="D356" s="340">
        <v>4</v>
      </c>
      <c r="E356" s="340">
        <v>10</v>
      </c>
      <c r="F356" s="346">
        <v>0</v>
      </c>
      <c r="G356" s="346">
        <v>0</v>
      </c>
      <c r="H356" s="340">
        <v>4</v>
      </c>
      <c r="I356" s="293" t="s">
        <v>396</v>
      </c>
    </row>
    <row r="357" spans="1:9" s="347" customFormat="1" ht="12.75" x14ac:dyDescent="0.2">
      <c r="A357" s="297"/>
      <c r="B357" s="343"/>
      <c r="C357" s="348"/>
      <c r="D357" s="340"/>
      <c r="E357" s="340"/>
      <c r="F357" s="340"/>
      <c r="G357" s="340"/>
      <c r="H357" s="342"/>
    </row>
    <row r="358" spans="1:9" s="338" customFormat="1" ht="15.75" x14ac:dyDescent="0.2">
      <c r="A358" s="289" t="s">
        <v>281</v>
      </c>
      <c r="B358" s="285">
        <f t="shared" ref="B358:B363" si="55">SUM(C358:H358)</f>
        <v>11511</v>
      </c>
      <c r="C358" s="285">
        <f>SUM(C359:C363)</f>
        <v>11097</v>
      </c>
      <c r="D358" s="334">
        <f t="shared" ref="D358:G358" si="56">SUM(D359:D363)</f>
        <v>98</v>
      </c>
      <c r="E358" s="334">
        <f t="shared" si="56"/>
        <v>151</v>
      </c>
      <c r="F358" s="334">
        <f t="shared" si="56"/>
        <v>2</v>
      </c>
      <c r="G358" s="334">
        <f t="shared" si="56"/>
        <v>2</v>
      </c>
      <c r="H358" s="334">
        <f>SUM(H359:H363)</f>
        <v>161</v>
      </c>
      <c r="I358" s="337" t="s">
        <v>282</v>
      </c>
    </row>
    <row r="359" spans="1:9" s="338" customFormat="1" ht="15.75" x14ac:dyDescent="0.2">
      <c r="A359" s="292" t="s">
        <v>501</v>
      </c>
      <c r="B359" s="285">
        <f t="shared" si="55"/>
        <v>4228</v>
      </c>
      <c r="C359" s="285">
        <v>4101</v>
      </c>
      <c r="D359" s="340">
        <v>31</v>
      </c>
      <c r="E359" s="340">
        <v>41</v>
      </c>
      <c r="F359" s="346">
        <v>1</v>
      </c>
      <c r="G359" s="346">
        <v>1</v>
      </c>
      <c r="H359" s="340">
        <v>53</v>
      </c>
      <c r="I359" s="293" t="s">
        <v>502</v>
      </c>
    </row>
    <row r="360" spans="1:9" s="338" customFormat="1" ht="15.75" x14ac:dyDescent="0.2">
      <c r="A360" s="292" t="s">
        <v>503</v>
      </c>
      <c r="B360" s="285">
        <f t="shared" si="55"/>
        <v>4939</v>
      </c>
      <c r="C360" s="285">
        <v>4736</v>
      </c>
      <c r="D360" s="340">
        <v>47</v>
      </c>
      <c r="E360" s="340">
        <v>78</v>
      </c>
      <c r="F360" s="346">
        <v>1</v>
      </c>
      <c r="G360" s="346">
        <v>1</v>
      </c>
      <c r="H360" s="340">
        <v>76</v>
      </c>
      <c r="I360" s="293" t="s">
        <v>504</v>
      </c>
    </row>
    <row r="361" spans="1:9" s="338" customFormat="1" ht="15.75" x14ac:dyDescent="0.2">
      <c r="A361" s="292" t="s">
        <v>505</v>
      </c>
      <c r="B361" s="285">
        <f t="shared" si="55"/>
        <v>1791</v>
      </c>
      <c r="C361" s="285">
        <v>1726</v>
      </c>
      <c r="D361" s="340">
        <v>20</v>
      </c>
      <c r="E361" s="340">
        <v>32</v>
      </c>
      <c r="F361" s="346">
        <v>0</v>
      </c>
      <c r="G361" s="346">
        <v>0</v>
      </c>
      <c r="H361" s="340">
        <v>13</v>
      </c>
      <c r="I361" s="293" t="s">
        <v>506</v>
      </c>
    </row>
    <row r="362" spans="1:9" s="338" customFormat="1" ht="15.75" x14ac:dyDescent="0.2">
      <c r="A362" s="292" t="s">
        <v>507</v>
      </c>
      <c r="B362" s="285">
        <f t="shared" si="55"/>
        <v>549</v>
      </c>
      <c r="C362" s="285">
        <v>534</v>
      </c>
      <c r="D362" s="340"/>
      <c r="E362" s="340"/>
      <c r="F362" s="346">
        <v>0</v>
      </c>
      <c r="G362" s="346">
        <v>0</v>
      </c>
      <c r="H362" s="340">
        <v>15</v>
      </c>
      <c r="I362" s="293" t="s">
        <v>508</v>
      </c>
    </row>
    <row r="363" spans="1:9" s="338" customFormat="1" ht="15.75" x14ac:dyDescent="0.2">
      <c r="A363" s="292" t="s">
        <v>509</v>
      </c>
      <c r="B363" s="285">
        <f t="shared" si="55"/>
        <v>4</v>
      </c>
      <c r="C363" s="285"/>
      <c r="D363" s="340"/>
      <c r="E363" s="340"/>
      <c r="F363" s="346">
        <v>0</v>
      </c>
      <c r="G363" s="346">
        <v>0</v>
      </c>
      <c r="H363" s="340">
        <v>4</v>
      </c>
      <c r="I363" s="293" t="s">
        <v>510</v>
      </c>
    </row>
    <row r="364" spans="1:9" s="338" customFormat="1" ht="12.75" x14ac:dyDescent="0.2">
      <c r="A364" s="297"/>
      <c r="B364" s="343"/>
      <c r="C364" s="311"/>
      <c r="D364" s="340"/>
      <c r="E364" s="340"/>
      <c r="F364" s="340"/>
      <c r="G364" s="340"/>
      <c r="H364" s="342"/>
    </row>
    <row r="365" spans="1:9" s="338" customFormat="1" ht="15.75" x14ac:dyDescent="0.2">
      <c r="A365" s="289" t="s">
        <v>283</v>
      </c>
      <c r="B365" s="285">
        <f t="shared" ref="B365:B374" si="57">SUM(C365:H365)</f>
        <v>11129</v>
      </c>
      <c r="C365" s="285">
        <f>SUM(C366:C374)</f>
        <v>10660</v>
      </c>
      <c r="D365" s="334">
        <f t="shared" ref="D365:G365" si="58">SUM(D366:D374)</f>
        <v>101</v>
      </c>
      <c r="E365" s="334">
        <f t="shared" si="58"/>
        <v>185</v>
      </c>
      <c r="F365" s="334">
        <f t="shared" si="58"/>
        <v>6</v>
      </c>
      <c r="G365" s="334">
        <f t="shared" si="58"/>
        <v>6</v>
      </c>
      <c r="H365" s="334">
        <f>SUM(H366:H374)</f>
        <v>171</v>
      </c>
      <c r="I365" s="337" t="s">
        <v>284</v>
      </c>
    </row>
    <row r="366" spans="1:9" s="338" customFormat="1" ht="15.75" x14ac:dyDescent="0.2">
      <c r="A366" s="292" t="s">
        <v>511</v>
      </c>
      <c r="B366" s="285">
        <f t="shared" si="57"/>
        <v>2047</v>
      </c>
      <c r="C366" s="285">
        <v>1914</v>
      </c>
      <c r="D366" s="340">
        <v>30</v>
      </c>
      <c r="E366" s="340">
        <v>47</v>
      </c>
      <c r="F366" s="346">
        <v>1</v>
      </c>
      <c r="G366" s="346">
        <v>1</v>
      </c>
      <c r="H366" s="340">
        <v>54</v>
      </c>
      <c r="I366" s="293" t="s">
        <v>512</v>
      </c>
    </row>
    <row r="367" spans="1:9" s="338" customFormat="1" ht="15.75" x14ac:dyDescent="0.2">
      <c r="A367" s="292" t="s">
        <v>513</v>
      </c>
      <c r="B367" s="285">
        <f t="shared" si="57"/>
        <v>1194</v>
      </c>
      <c r="C367" s="285">
        <v>1147</v>
      </c>
      <c r="D367" s="340">
        <v>10</v>
      </c>
      <c r="E367" s="340">
        <v>19</v>
      </c>
      <c r="F367" s="346">
        <v>0</v>
      </c>
      <c r="G367" s="346">
        <v>0</v>
      </c>
      <c r="H367" s="340">
        <v>18</v>
      </c>
      <c r="I367" s="293" t="s">
        <v>514</v>
      </c>
    </row>
    <row r="368" spans="1:9" s="338" customFormat="1" ht="15.75" x14ac:dyDescent="0.2">
      <c r="A368" s="292" t="s">
        <v>515</v>
      </c>
      <c r="B368" s="285">
        <f t="shared" si="57"/>
        <v>1012</v>
      </c>
      <c r="C368" s="285">
        <v>971</v>
      </c>
      <c r="D368" s="340">
        <v>10</v>
      </c>
      <c r="E368" s="340">
        <v>19</v>
      </c>
      <c r="F368" s="346">
        <v>0</v>
      </c>
      <c r="G368" s="346">
        <v>0</v>
      </c>
      <c r="H368" s="340">
        <v>12</v>
      </c>
      <c r="I368" s="293" t="s">
        <v>516</v>
      </c>
    </row>
    <row r="369" spans="1:9" s="338" customFormat="1" ht="15.75" x14ac:dyDescent="0.2">
      <c r="A369" s="292" t="s">
        <v>517</v>
      </c>
      <c r="B369" s="285">
        <f t="shared" si="57"/>
        <v>1346</v>
      </c>
      <c r="C369" s="285">
        <v>1289</v>
      </c>
      <c r="D369" s="340">
        <v>13</v>
      </c>
      <c r="E369" s="340">
        <v>21</v>
      </c>
      <c r="F369" s="346">
        <v>1</v>
      </c>
      <c r="G369" s="346">
        <v>1</v>
      </c>
      <c r="H369" s="340">
        <v>21</v>
      </c>
      <c r="I369" s="293" t="s">
        <v>518</v>
      </c>
    </row>
    <row r="370" spans="1:9" s="338" customFormat="1" ht="15.75" x14ac:dyDescent="0.2">
      <c r="A370" s="292" t="s">
        <v>519</v>
      </c>
      <c r="B370" s="285">
        <f t="shared" si="57"/>
        <v>805</v>
      </c>
      <c r="C370" s="285">
        <v>788</v>
      </c>
      <c r="D370" s="340">
        <v>2</v>
      </c>
      <c r="E370" s="340">
        <v>3</v>
      </c>
      <c r="F370" s="346">
        <v>0</v>
      </c>
      <c r="G370" s="346">
        <v>0</v>
      </c>
      <c r="H370" s="340">
        <v>12</v>
      </c>
      <c r="I370" s="293" t="s">
        <v>520</v>
      </c>
    </row>
    <row r="371" spans="1:9" s="338" customFormat="1" ht="15.75" x14ac:dyDescent="0.2">
      <c r="A371" s="292" t="s">
        <v>521</v>
      </c>
      <c r="B371" s="285">
        <f t="shared" si="57"/>
        <v>920</v>
      </c>
      <c r="C371" s="285">
        <v>891</v>
      </c>
      <c r="D371" s="340">
        <v>7</v>
      </c>
      <c r="E371" s="340">
        <v>18</v>
      </c>
      <c r="F371" s="346">
        <v>0</v>
      </c>
      <c r="G371" s="346">
        <v>0</v>
      </c>
      <c r="H371" s="340">
        <v>4</v>
      </c>
      <c r="I371" s="293" t="s">
        <v>522</v>
      </c>
    </row>
    <row r="372" spans="1:9" s="338" customFormat="1" ht="15.75" x14ac:dyDescent="0.2">
      <c r="A372" s="292" t="s">
        <v>523</v>
      </c>
      <c r="B372" s="285">
        <f t="shared" si="57"/>
        <v>713</v>
      </c>
      <c r="C372" s="285">
        <v>701</v>
      </c>
      <c r="D372" s="340">
        <v>2</v>
      </c>
      <c r="E372" s="340">
        <v>3</v>
      </c>
      <c r="F372" s="346">
        <v>0</v>
      </c>
      <c r="G372" s="346">
        <v>0</v>
      </c>
      <c r="H372" s="340">
        <v>7</v>
      </c>
      <c r="I372" s="293" t="s">
        <v>524</v>
      </c>
    </row>
    <row r="373" spans="1:9" s="338" customFormat="1" ht="15.75" x14ac:dyDescent="0.2">
      <c r="A373" s="292" t="s">
        <v>525</v>
      </c>
      <c r="B373" s="285">
        <f t="shared" si="57"/>
        <v>1431</v>
      </c>
      <c r="C373" s="285">
        <v>1397</v>
      </c>
      <c r="D373" s="340">
        <v>7</v>
      </c>
      <c r="E373" s="340">
        <v>13</v>
      </c>
      <c r="F373" s="346">
        <v>1</v>
      </c>
      <c r="G373" s="346">
        <v>1</v>
      </c>
      <c r="H373" s="340">
        <v>12</v>
      </c>
      <c r="I373" s="293" t="s">
        <v>526</v>
      </c>
    </row>
    <row r="374" spans="1:9" s="338" customFormat="1" ht="15.75" x14ac:dyDescent="0.2">
      <c r="A374" s="292" t="s">
        <v>527</v>
      </c>
      <c r="B374" s="285">
        <f t="shared" si="57"/>
        <v>1661</v>
      </c>
      <c r="C374" s="285">
        <v>1562</v>
      </c>
      <c r="D374" s="340">
        <v>20</v>
      </c>
      <c r="E374" s="340">
        <v>42</v>
      </c>
      <c r="F374" s="346">
        <v>3</v>
      </c>
      <c r="G374" s="346">
        <v>3</v>
      </c>
      <c r="H374" s="340">
        <v>31</v>
      </c>
      <c r="I374" s="293" t="s">
        <v>528</v>
      </c>
    </row>
    <row r="375" spans="1:9" s="338" customFormat="1" ht="12.75" x14ac:dyDescent="0.2">
      <c r="A375" s="297"/>
      <c r="B375" s="343"/>
      <c r="C375" s="311"/>
      <c r="D375" s="340"/>
      <c r="E375" s="340"/>
      <c r="F375" s="340"/>
      <c r="G375" s="340"/>
      <c r="H375" s="342"/>
    </row>
    <row r="376" spans="1:9" s="338" customFormat="1" ht="15.75" x14ac:dyDescent="0.2">
      <c r="A376" s="289" t="s">
        <v>285</v>
      </c>
      <c r="B376" s="285">
        <f t="shared" ref="B376:B384" si="59">SUM(C376:H376)</f>
        <v>6706</v>
      </c>
      <c r="C376" s="285">
        <f>SUM(C377:C384)</f>
        <v>6537</v>
      </c>
      <c r="D376" s="334">
        <f t="shared" ref="D376:G376" si="60">SUM(D377:D384)</f>
        <v>28</v>
      </c>
      <c r="E376" s="334">
        <f t="shared" si="60"/>
        <v>51</v>
      </c>
      <c r="F376" s="334">
        <f t="shared" si="60"/>
        <v>0</v>
      </c>
      <c r="G376" s="334">
        <f t="shared" si="60"/>
        <v>0</v>
      </c>
      <c r="H376" s="334">
        <f>SUM(H377:H384)</f>
        <v>90</v>
      </c>
      <c r="I376" s="337" t="s">
        <v>286</v>
      </c>
    </row>
    <row r="377" spans="1:9" s="338" customFormat="1" ht="15.75" x14ac:dyDescent="0.2">
      <c r="A377" s="292" t="s">
        <v>529</v>
      </c>
      <c r="B377" s="285">
        <f t="shared" si="59"/>
        <v>1435</v>
      </c>
      <c r="C377" s="285">
        <v>1398</v>
      </c>
      <c r="D377" s="340">
        <v>2</v>
      </c>
      <c r="E377" s="340">
        <v>2</v>
      </c>
      <c r="F377" s="346">
        <v>0</v>
      </c>
      <c r="G377" s="346">
        <v>0</v>
      </c>
      <c r="H377" s="340">
        <v>33</v>
      </c>
      <c r="I377" s="293" t="s">
        <v>530</v>
      </c>
    </row>
    <row r="378" spans="1:9" s="338" customFormat="1" ht="15.75" x14ac:dyDescent="0.2">
      <c r="A378" s="292" t="s">
        <v>531</v>
      </c>
      <c r="B378" s="285">
        <f t="shared" si="59"/>
        <v>1020</v>
      </c>
      <c r="C378" s="285">
        <v>1004</v>
      </c>
      <c r="D378" s="340">
        <v>2</v>
      </c>
      <c r="E378" s="340">
        <v>3</v>
      </c>
      <c r="F378" s="346">
        <v>0</v>
      </c>
      <c r="G378" s="346">
        <v>0</v>
      </c>
      <c r="H378" s="340">
        <v>11</v>
      </c>
      <c r="I378" s="293" t="s">
        <v>532</v>
      </c>
    </row>
    <row r="379" spans="1:9" s="338" customFormat="1" ht="15.75" x14ac:dyDescent="0.2">
      <c r="A379" s="292" t="s">
        <v>533</v>
      </c>
      <c r="B379" s="285">
        <f t="shared" si="59"/>
        <v>845</v>
      </c>
      <c r="C379" s="285">
        <v>817</v>
      </c>
      <c r="D379" s="340">
        <v>6</v>
      </c>
      <c r="E379" s="340">
        <v>11</v>
      </c>
      <c r="F379" s="346">
        <v>0</v>
      </c>
      <c r="G379" s="346">
        <v>0</v>
      </c>
      <c r="H379" s="340">
        <v>11</v>
      </c>
      <c r="I379" s="293" t="s">
        <v>534</v>
      </c>
    </row>
    <row r="380" spans="1:9" s="338" customFormat="1" ht="15.75" x14ac:dyDescent="0.2">
      <c r="A380" s="292" t="s">
        <v>535</v>
      </c>
      <c r="B380" s="285">
        <f t="shared" si="59"/>
        <v>816</v>
      </c>
      <c r="C380" s="285">
        <v>794</v>
      </c>
      <c r="D380" s="340">
        <v>3</v>
      </c>
      <c r="E380" s="340">
        <v>7</v>
      </c>
      <c r="F380" s="346">
        <v>0</v>
      </c>
      <c r="G380" s="346">
        <v>0</v>
      </c>
      <c r="H380" s="340">
        <v>12</v>
      </c>
      <c r="I380" s="293" t="s">
        <v>536</v>
      </c>
    </row>
    <row r="381" spans="1:9" s="338" customFormat="1" ht="15.75" x14ac:dyDescent="0.2">
      <c r="A381" s="349" t="s">
        <v>537</v>
      </c>
      <c r="B381" s="285">
        <f t="shared" si="59"/>
        <v>613</v>
      </c>
      <c r="C381" s="285">
        <v>589</v>
      </c>
      <c r="D381" s="340">
        <v>6</v>
      </c>
      <c r="E381" s="340">
        <v>14</v>
      </c>
      <c r="F381" s="346">
        <v>0</v>
      </c>
      <c r="G381" s="346">
        <v>0</v>
      </c>
      <c r="H381" s="340">
        <v>4</v>
      </c>
      <c r="I381" s="350" t="s">
        <v>538</v>
      </c>
    </row>
    <row r="382" spans="1:9" s="338" customFormat="1" ht="15.75" x14ac:dyDescent="0.2">
      <c r="A382" s="292" t="s">
        <v>539</v>
      </c>
      <c r="B382" s="285">
        <f t="shared" si="59"/>
        <v>684</v>
      </c>
      <c r="C382" s="285">
        <v>670</v>
      </c>
      <c r="D382" s="340">
        <v>5</v>
      </c>
      <c r="E382" s="340">
        <v>5</v>
      </c>
      <c r="F382" s="346">
        <v>0</v>
      </c>
      <c r="G382" s="346">
        <v>0</v>
      </c>
      <c r="H382" s="340">
        <v>4</v>
      </c>
      <c r="I382" s="293" t="s">
        <v>540</v>
      </c>
    </row>
    <row r="383" spans="1:9" s="338" customFormat="1" ht="15.75" x14ac:dyDescent="0.2">
      <c r="A383" s="297" t="s">
        <v>489</v>
      </c>
      <c r="B383" s="285">
        <f t="shared" si="59"/>
        <v>615</v>
      </c>
      <c r="C383" s="285">
        <v>599</v>
      </c>
      <c r="D383" s="340">
        <v>2</v>
      </c>
      <c r="E383" s="340">
        <v>5</v>
      </c>
      <c r="F383" s="346">
        <v>0</v>
      </c>
      <c r="G383" s="346">
        <v>0</v>
      </c>
      <c r="H383" s="340">
        <v>9</v>
      </c>
      <c r="I383" s="293" t="s">
        <v>490</v>
      </c>
    </row>
    <row r="384" spans="1:9" s="338" customFormat="1" ht="15.75" x14ac:dyDescent="0.2">
      <c r="A384" s="297" t="s">
        <v>541</v>
      </c>
      <c r="B384" s="285">
        <f t="shared" si="59"/>
        <v>678</v>
      </c>
      <c r="C384" s="285">
        <v>666</v>
      </c>
      <c r="D384" s="340">
        <v>2</v>
      </c>
      <c r="E384" s="340">
        <v>4</v>
      </c>
      <c r="F384" s="346">
        <v>0</v>
      </c>
      <c r="G384" s="346">
        <v>0</v>
      </c>
      <c r="H384" s="340">
        <v>6</v>
      </c>
      <c r="I384" s="293" t="s">
        <v>542</v>
      </c>
    </row>
    <row r="385" spans="1:9" s="347" customFormat="1" ht="12.75" x14ac:dyDescent="0.2">
      <c r="A385" s="297"/>
      <c r="B385" s="343"/>
      <c r="C385" s="348"/>
      <c r="D385" s="340"/>
      <c r="E385" s="340"/>
      <c r="F385" s="340"/>
      <c r="G385" s="340"/>
      <c r="H385" s="342"/>
    </row>
    <row r="386" spans="1:9" s="338" customFormat="1" ht="15.75" x14ac:dyDescent="0.2">
      <c r="A386" s="289" t="s">
        <v>287</v>
      </c>
      <c r="B386" s="285">
        <f t="shared" ref="B386:B396" si="61">SUM(C386:H386)</f>
        <v>9862</v>
      </c>
      <c r="C386" s="285">
        <f>SUM(C387:C396)</f>
        <v>9570</v>
      </c>
      <c r="D386" s="334">
        <f t="shared" ref="D386:G386" si="62">SUM(D387:D396)</f>
        <v>36</v>
      </c>
      <c r="E386" s="334">
        <f t="shared" si="62"/>
        <v>49</v>
      </c>
      <c r="F386" s="334">
        <f t="shared" si="62"/>
        <v>4</v>
      </c>
      <c r="G386" s="334">
        <f t="shared" si="62"/>
        <v>6</v>
      </c>
      <c r="H386" s="334">
        <f>SUM(H387:H396)</f>
        <v>197</v>
      </c>
      <c r="I386" s="337" t="s">
        <v>288</v>
      </c>
    </row>
    <row r="387" spans="1:9" s="338" customFormat="1" ht="15.75" x14ac:dyDescent="0.2">
      <c r="A387" s="292" t="s">
        <v>543</v>
      </c>
      <c r="B387" s="285">
        <f t="shared" si="61"/>
        <v>633</v>
      </c>
      <c r="C387" s="285">
        <v>624</v>
      </c>
      <c r="D387" s="340">
        <v>1</v>
      </c>
      <c r="E387" s="340">
        <v>1</v>
      </c>
      <c r="F387" s="346">
        <v>0</v>
      </c>
      <c r="G387" s="346">
        <v>0</v>
      </c>
      <c r="H387" s="340">
        <v>7</v>
      </c>
      <c r="I387" s="293" t="s">
        <v>544</v>
      </c>
    </row>
    <row r="388" spans="1:9" s="338" customFormat="1" ht="15.75" x14ac:dyDescent="0.2">
      <c r="A388" s="292" t="s">
        <v>545</v>
      </c>
      <c r="B388" s="285">
        <f t="shared" si="61"/>
        <v>1002</v>
      </c>
      <c r="C388" s="285">
        <v>927</v>
      </c>
      <c r="D388" s="340">
        <v>6</v>
      </c>
      <c r="E388" s="340">
        <v>7</v>
      </c>
      <c r="F388" s="346">
        <v>0</v>
      </c>
      <c r="G388" s="346">
        <v>0</v>
      </c>
      <c r="H388" s="340">
        <v>62</v>
      </c>
      <c r="I388" s="293" t="s">
        <v>546</v>
      </c>
    </row>
    <row r="389" spans="1:9" s="338" customFormat="1" ht="15.75" x14ac:dyDescent="0.2">
      <c r="A389" s="292" t="s">
        <v>547</v>
      </c>
      <c r="B389" s="285">
        <f t="shared" si="61"/>
        <v>534</v>
      </c>
      <c r="C389" s="285">
        <v>519</v>
      </c>
      <c r="D389" s="340">
        <v>1</v>
      </c>
      <c r="E389" s="340">
        <v>2</v>
      </c>
      <c r="F389" s="346">
        <v>0</v>
      </c>
      <c r="G389" s="346">
        <v>0</v>
      </c>
      <c r="H389" s="340">
        <v>12</v>
      </c>
      <c r="I389" s="293" t="s">
        <v>378</v>
      </c>
    </row>
    <row r="390" spans="1:9" s="338" customFormat="1" ht="15.75" x14ac:dyDescent="0.2">
      <c r="A390" s="292" t="s">
        <v>548</v>
      </c>
      <c r="B390" s="285">
        <f t="shared" si="61"/>
        <v>2192</v>
      </c>
      <c r="C390" s="285">
        <v>2146</v>
      </c>
      <c r="D390" s="340">
        <v>10</v>
      </c>
      <c r="E390" s="340">
        <v>14</v>
      </c>
      <c r="F390" s="346">
        <v>0</v>
      </c>
      <c r="G390" s="346">
        <v>0</v>
      </c>
      <c r="H390" s="340">
        <v>22</v>
      </c>
      <c r="I390" s="293" t="s">
        <v>549</v>
      </c>
    </row>
    <row r="391" spans="1:9" s="338" customFormat="1" ht="15.75" x14ac:dyDescent="0.2">
      <c r="A391" s="292" t="s">
        <v>550</v>
      </c>
      <c r="B391" s="285">
        <f t="shared" si="61"/>
        <v>351</v>
      </c>
      <c r="C391" s="285">
        <v>343</v>
      </c>
      <c r="D391" s="340">
        <v>1</v>
      </c>
      <c r="E391" s="340">
        <v>2</v>
      </c>
      <c r="F391" s="346">
        <v>0</v>
      </c>
      <c r="G391" s="346">
        <v>0</v>
      </c>
      <c r="H391" s="340">
        <v>5</v>
      </c>
      <c r="I391" s="293" t="s">
        <v>438</v>
      </c>
    </row>
    <row r="392" spans="1:9" s="338" customFormat="1" ht="15.75" x14ac:dyDescent="0.2">
      <c r="A392" s="349" t="s">
        <v>551</v>
      </c>
      <c r="B392" s="285">
        <f t="shared" si="61"/>
        <v>898</v>
      </c>
      <c r="C392" s="285">
        <v>888</v>
      </c>
      <c r="D392" s="340">
        <v>1</v>
      </c>
      <c r="E392" s="340">
        <v>1</v>
      </c>
      <c r="F392" s="346">
        <v>0</v>
      </c>
      <c r="G392" s="346">
        <v>0</v>
      </c>
      <c r="H392" s="340">
        <v>8</v>
      </c>
      <c r="I392" s="293" t="s">
        <v>552</v>
      </c>
    </row>
    <row r="393" spans="1:9" s="338" customFormat="1" ht="15.75" x14ac:dyDescent="0.2">
      <c r="A393" s="349" t="s">
        <v>553</v>
      </c>
      <c r="B393" s="285">
        <f t="shared" si="61"/>
        <v>578</v>
      </c>
      <c r="C393" s="285">
        <v>554</v>
      </c>
      <c r="D393" s="340">
        <v>6</v>
      </c>
      <c r="E393" s="340">
        <v>8</v>
      </c>
      <c r="F393" s="346">
        <v>0</v>
      </c>
      <c r="G393" s="346">
        <v>0</v>
      </c>
      <c r="H393" s="340">
        <v>10</v>
      </c>
      <c r="I393" s="350" t="s">
        <v>554</v>
      </c>
    </row>
    <row r="394" spans="1:9" s="338" customFormat="1" ht="15.75" x14ac:dyDescent="0.2">
      <c r="A394" s="292" t="s">
        <v>555</v>
      </c>
      <c r="B394" s="285">
        <f t="shared" si="61"/>
        <v>927</v>
      </c>
      <c r="C394" s="285">
        <v>896</v>
      </c>
      <c r="D394" s="340">
        <v>5</v>
      </c>
      <c r="E394" s="340">
        <v>8</v>
      </c>
      <c r="F394" s="346">
        <v>3</v>
      </c>
      <c r="G394" s="346">
        <v>3</v>
      </c>
      <c r="H394" s="340">
        <v>12</v>
      </c>
      <c r="I394" s="293" t="s">
        <v>556</v>
      </c>
    </row>
    <row r="395" spans="1:9" s="338" customFormat="1" ht="15.75" x14ac:dyDescent="0.2">
      <c r="A395" s="292" t="s">
        <v>347</v>
      </c>
      <c r="B395" s="285">
        <f t="shared" si="61"/>
        <v>160</v>
      </c>
      <c r="C395" s="285">
        <v>156</v>
      </c>
      <c r="D395" s="340">
        <v>1</v>
      </c>
      <c r="E395" s="340">
        <v>1</v>
      </c>
      <c r="F395" s="346">
        <v>0</v>
      </c>
      <c r="G395" s="346">
        <v>0</v>
      </c>
      <c r="H395" s="346">
        <v>2</v>
      </c>
      <c r="I395" s="293" t="s">
        <v>348</v>
      </c>
    </row>
    <row r="396" spans="1:9" s="338" customFormat="1" ht="15.75" x14ac:dyDescent="0.2">
      <c r="A396" s="292" t="s">
        <v>557</v>
      </c>
      <c r="B396" s="285">
        <f t="shared" si="61"/>
        <v>2587</v>
      </c>
      <c r="C396" s="285">
        <v>2517</v>
      </c>
      <c r="D396" s="340">
        <v>4</v>
      </c>
      <c r="E396" s="340">
        <v>5</v>
      </c>
      <c r="F396" s="346">
        <v>1</v>
      </c>
      <c r="G396" s="346">
        <v>3</v>
      </c>
      <c r="H396" s="340">
        <v>57</v>
      </c>
      <c r="I396" s="293" t="s">
        <v>558</v>
      </c>
    </row>
    <row r="397" spans="1:9" s="338" customFormat="1" ht="12.75" x14ac:dyDescent="0.2">
      <c r="A397" s="292"/>
      <c r="B397" s="339"/>
      <c r="C397" s="311"/>
      <c r="D397" s="340"/>
      <c r="E397" s="340"/>
      <c r="F397" s="340"/>
      <c r="G397" s="340"/>
      <c r="H397" s="342"/>
    </row>
    <row r="398" spans="1:9" s="338" customFormat="1" ht="15.75" x14ac:dyDescent="0.2">
      <c r="A398" s="289" t="s">
        <v>289</v>
      </c>
      <c r="B398" s="285">
        <f t="shared" ref="B398:B403" si="63">SUM(C398:H398)</f>
        <v>1825</v>
      </c>
      <c r="C398" s="285">
        <f>SUM(C399:C403)</f>
        <v>1770</v>
      </c>
      <c r="D398" s="334">
        <f t="shared" ref="D398:G398" si="64">SUM(D399:D403)</f>
        <v>9</v>
      </c>
      <c r="E398" s="334">
        <f t="shared" si="64"/>
        <v>16</v>
      </c>
      <c r="F398" s="334">
        <f t="shared" si="64"/>
        <v>0</v>
      </c>
      <c r="G398" s="334">
        <f t="shared" si="64"/>
        <v>0</v>
      </c>
      <c r="H398" s="334">
        <f>SUM(H399:H403)</f>
        <v>30</v>
      </c>
      <c r="I398" s="337" t="s">
        <v>290</v>
      </c>
    </row>
    <row r="399" spans="1:9" s="338" customFormat="1" ht="15.75" x14ac:dyDescent="0.2">
      <c r="A399" s="292" t="s">
        <v>559</v>
      </c>
      <c r="B399" s="285">
        <f t="shared" si="63"/>
        <v>318</v>
      </c>
      <c r="C399" s="285">
        <v>299</v>
      </c>
      <c r="D399" s="340">
        <v>4</v>
      </c>
      <c r="E399" s="340">
        <v>7</v>
      </c>
      <c r="F399" s="346">
        <v>0</v>
      </c>
      <c r="G399" s="346">
        <v>0</v>
      </c>
      <c r="H399" s="340">
        <v>8</v>
      </c>
      <c r="I399" s="293" t="s">
        <v>560</v>
      </c>
    </row>
    <row r="400" spans="1:9" s="338" customFormat="1" ht="15.75" x14ac:dyDescent="0.2">
      <c r="A400" s="292" t="s">
        <v>561</v>
      </c>
      <c r="B400" s="285">
        <f t="shared" si="63"/>
        <v>128</v>
      </c>
      <c r="C400" s="285">
        <v>127</v>
      </c>
      <c r="D400" s="340">
        <v>0</v>
      </c>
      <c r="E400" s="340">
        <v>0</v>
      </c>
      <c r="F400" s="346">
        <v>0</v>
      </c>
      <c r="G400" s="346">
        <v>0</v>
      </c>
      <c r="H400" s="340">
        <v>1</v>
      </c>
      <c r="I400" s="293" t="s">
        <v>562</v>
      </c>
    </row>
    <row r="401" spans="1:9" s="338" customFormat="1" ht="15.75" x14ac:dyDescent="0.2">
      <c r="A401" s="292" t="s">
        <v>563</v>
      </c>
      <c r="B401" s="285">
        <f t="shared" si="63"/>
        <v>561</v>
      </c>
      <c r="C401" s="285">
        <v>554</v>
      </c>
      <c r="D401" s="340">
        <v>0</v>
      </c>
      <c r="E401" s="340">
        <v>0</v>
      </c>
      <c r="F401" s="346">
        <v>0</v>
      </c>
      <c r="G401" s="346">
        <v>0</v>
      </c>
      <c r="H401" s="340">
        <v>7</v>
      </c>
      <c r="I401" s="293" t="s">
        <v>564</v>
      </c>
    </row>
    <row r="402" spans="1:9" s="338" customFormat="1" ht="15.75" x14ac:dyDescent="0.2">
      <c r="A402" s="292" t="s">
        <v>565</v>
      </c>
      <c r="B402" s="285">
        <f t="shared" si="63"/>
        <v>522</v>
      </c>
      <c r="C402" s="285">
        <v>495</v>
      </c>
      <c r="D402" s="340">
        <v>5</v>
      </c>
      <c r="E402" s="340">
        <v>9</v>
      </c>
      <c r="F402" s="346">
        <v>0</v>
      </c>
      <c r="G402" s="346">
        <v>0</v>
      </c>
      <c r="H402" s="340">
        <v>13</v>
      </c>
      <c r="I402" s="293" t="s">
        <v>566</v>
      </c>
    </row>
    <row r="403" spans="1:9" s="338" customFormat="1" ht="15.75" x14ac:dyDescent="0.2">
      <c r="A403" s="292" t="s">
        <v>567</v>
      </c>
      <c r="B403" s="285">
        <f t="shared" si="63"/>
        <v>296</v>
      </c>
      <c r="C403" s="285">
        <v>295</v>
      </c>
      <c r="D403" s="340">
        <v>0</v>
      </c>
      <c r="E403" s="340">
        <v>0</v>
      </c>
      <c r="F403" s="346">
        <v>0</v>
      </c>
      <c r="G403" s="346">
        <v>0</v>
      </c>
      <c r="H403" s="340">
        <v>1</v>
      </c>
      <c r="I403" s="293" t="s">
        <v>568</v>
      </c>
    </row>
    <row r="404" spans="1:9" s="338" customFormat="1" ht="12.75" x14ac:dyDescent="0.2">
      <c r="A404" s="297"/>
      <c r="B404" s="343"/>
      <c r="C404" s="311"/>
      <c r="D404" s="340"/>
      <c r="E404" s="340"/>
      <c r="F404" s="340"/>
      <c r="G404" s="340"/>
      <c r="H404" s="342"/>
    </row>
    <row r="405" spans="1:9" s="338" customFormat="1" ht="15.75" x14ac:dyDescent="0.2">
      <c r="A405" s="289" t="s">
        <v>291</v>
      </c>
      <c r="B405" s="285">
        <f t="shared" ref="B405:B413" si="65">SUM(C405:H405)</f>
        <v>6409</v>
      </c>
      <c r="C405" s="285">
        <f>SUM(C406:C413)</f>
        <v>6247</v>
      </c>
      <c r="D405" s="334">
        <f t="shared" ref="D405:G405" si="66">SUM(D406:D413)</f>
        <v>32</v>
      </c>
      <c r="E405" s="334">
        <f t="shared" si="66"/>
        <v>53</v>
      </c>
      <c r="F405" s="334">
        <f t="shared" si="66"/>
        <v>2</v>
      </c>
      <c r="G405" s="334">
        <f t="shared" si="66"/>
        <v>3</v>
      </c>
      <c r="H405" s="334">
        <f>SUM(H406:H413)</f>
        <v>72</v>
      </c>
      <c r="I405" s="337" t="s">
        <v>292</v>
      </c>
    </row>
    <row r="406" spans="1:9" s="338" customFormat="1" ht="15.75" x14ac:dyDescent="0.2">
      <c r="A406" s="297" t="s">
        <v>569</v>
      </c>
      <c r="B406" s="285">
        <f t="shared" si="65"/>
        <v>191</v>
      </c>
      <c r="C406" s="285">
        <v>188</v>
      </c>
      <c r="D406" s="340">
        <v>0</v>
      </c>
      <c r="E406" s="340">
        <v>0</v>
      </c>
      <c r="F406" s="346">
        <v>0</v>
      </c>
      <c r="G406" s="346">
        <v>0</v>
      </c>
      <c r="H406" s="340">
        <v>3</v>
      </c>
      <c r="I406" s="293" t="s">
        <v>570</v>
      </c>
    </row>
    <row r="407" spans="1:9" s="338" customFormat="1" ht="15.75" x14ac:dyDescent="0.2">
      <c r="A407" s="297" t="s">
        <v>571</v>
      </c>
      <c r="B407" s="285">
        <f t="shared" si="65"/>
        <v>283</v>
      </c>
      <c r="C407" s="285">
        <v>276</v>
      </c>
      <c r="D407" s="340">
        <v>1</v>
      </c>
      <c r="E407" s="340">
        <v>2</v>
      </c>
      <c r="F407" s="346">
        <v>0</v>
      </c>
      <c r="G407" s="346">
        <v>0</v>
      </c>
      <c r="H407" s="340">
        <v>4</v>
      </c>
      <c r="I407" s="293" t="s">
        <v>572</v>
      </c>
    </row>
    <row r="408" spans="1:9" s="338" customFormat="1" ht="15.75" x14ac:dyDescent="0.2">
      <c r="A408" s="297" t="s">
        <v>573</v>
      </c>
      <c r="B408" s="285">
        <f t="shared" si="65"/>
        <v>1575</v>
      </c>
      <c r="C408" s="285">
        <v>1510</v>
      </c>
      <c r="D408" s="340">
        <v>9</v>
      </c>
      <c r="E408" s="340">
        <v>14</v>
      </c>
      <c r="F408" s="346">
        <v>0</v>
      </c>
      <c r="G408" s="346">
        <v>0</v>
      </c>
      <c r="H408" s="340">
        <v>42</v>
      </c>
      <c r="I408" s="293" t="s">
        <v>574</v>
      </c>
    </row>
    <row r="409" spans="1:9" s="338" customFormat="1" ht="15.75" x14ac:dyDescent="0.2">
      <c r="A409" s="297" t="s">
        <v>575</v>
      </c>
      <c r="B409" s="285">
        <f t="shared" si="65"/>
        <v>905</v>
      </c>
      <c r="C409" s="285">
        <v>879</v>
      </c>
      <c r="D409" s="340">
        <v>6</v>
      </c>
      <c r="E409" s="340">
        <v>12</v>
      </c>
      <c r="F409" s="346">
        <v>1</v>
      </c>
      <c r="G409" s="346">
        <v>1</v>
      </c>
      <c r="H409" s="340">
        <v>6</v>
      </c>
      <c r="I409" s="293" t="s">
        <v>576</v>
      </c>
    </row>
    <row r="410" spans="1:9" s="338" customFormat="1" ht="15.75" x14ac:dyDescent="0.2">
      <c r="A410" s="297" t="s">
        <v>577</v>
      </c>
      <c r="B410" s="285">
        <f t="shared" si="65"/>
        <v>450</v>
      </c>
      <c r="C410" s="285">
        <v>438</v>
      </c>
      <c r="D410" s="340">
        <v>3</v>
      </c>
      <c r="E410" s="340">
        <v>4</v>
      </c>
      <c r="F410" s="346">
        <v>0</v>
      </c>
      <c r="G410" s="346">
        <v>0</v>
      </c>
      <c r="H410" s="340">
        <v>5</v>
      </c>
      <c r="I410" s="293" t="s">
        <v>578</v>
      </c>
    </row>
    <row r="411" spans="1:9" s="338" customFormat="1" ht="15.75" x14ac:dyDescent="0.2">
      <c r="A411" s="297" t="s">
        <v>579</v>
      </c>
      <c r="B411" s="285">
        <f t="shared" si="65"/>
        <v>1252</v>
      </c>
      <c r="C411" s="285">
        <v>1229</v>
      </c>
      <c r="D411" s="340">
        <v>7</v>
      </c>
      <c r="E411" s="340">
        <v>9</v>
      </c>
      <c r="F411" s="346">
        <v>1</v>
      </c>
      <c r="G411" s="346">
        <v>2</v>
      </c>
      <c r="H411" s="340">
        <v>4</v>
      </c>
      <c r="I411" s="293" t="s">
        <v>580</v>
      </c>
    </row>
    <row r="412" spans="1:9" s="338" customFormat="1" ht="15.75" x14ac:dyDescent="0.2">
      <c r="A412" s="297" t="s">
        <v>581</v>
      </c>
      <c r="B412" s="285">
        <f t="shared" si="65"/>
        <v>1105</v>
      </c>
      <c r="C412" s="285">
        <v>1086</v>
      </c>
      <c r="D412" s="340">
        <v>5</v>
      </c>
      <c r="E412" s="340">
        <v>8</v>
      </c>
      <c r="F412" s="346">
        <v>0</v>
      </c>
      <c r="G412" s="346">
        <v>0</v>
      </c>
      <c r="H412" s="340">
        <v>6</v>
      </c>
      <c r="I412" s="293" t="s">
        <v>582</v>
      </c>
    </row>
    <row r="413" spans="1:9" s="338" customFormat="1" ht="15.75" x14ac:dyDescent="0.2">
      <c r="A413" s="297" t="s">
        <v>465</v>
      </c>
      <c r="B413" s="285">
        <f t="shared" si="65"/>
        <v>648</v>
      </c>
      <c r="C413" s="285">
        <v>641</v>
      </c>
      <c r="D413" s="340">
        <v>1</v>
      </c>
      <c r="E413" s="340">
        <v>4</v>
      </c>
      <c r="F413" s="346">
        <v>0</v>
      </c>
      <c r="G413" s="346">
        <v>0</v>
      </c>
      <c r="H413" s="340">
        <v>2</v>
      </c>
      <c r="I413" s="293" t="s">
        <v>466</v>
      </c>
    </row>
    <row r="414" spans="1:9" s="347" customFormat="1" ht="12.75" x14ac:dyDescent="0.2">
      <c r="A414" s="297"/>
      <c r="B414" s="343"/>
      <c r="C414" s="348"/>
      <c r="D414" s="340"/>
      <c r="E414" s="340"/>
      <c r="F414" s="346"/>
      <c r="G414" s="346"/>
      <c r="H414" s="342"/>
    </row>
    <row r="415" spans="1:9" s="338" customFormat="1" ht="15.75" x14ac:dyDescent="0.2">
      <c r="A415" s="289" t="s">
        <v>294</v>
      </c>
      <c r="B415" s="285">
        <f t="shared" ref="B415:B420" si="67">SUM(C415:H415)</f>
        <v>5364</v>
      </c>
      <c r="C415" s="285">
        <f>SUM(C416:C420)</f>
        <v>5176</v>
      </c>
      <c r="D415" s="334">
        <f t="shared" ref="D415:G415" si="68">SUM(D416:D420)</f>
        <v>29</v>
      </c>
      <c r="E415" s="334">
        <f t="shared" si="68"/>
        <v>51</v>
      </c>
      <c r="F415" s="334">
        <f t="shared" si="68"/>
        <v>1</v>
      </c>
      <c r="G415" s="334">
        <f t="shared" si="68"/>
        <v>5</v>
      </c>
      <c r="H415" s="334">
        <f>SUM(H416:H420)</f>
        <v>102</v>
      </c>
      <c r="I415" s="337" t="s">
        <v>295</v>
      </c>
    </row>
    <row r="416" spans="1:9" s="338" customFormat="1" ht="15.75" x14ac:dyDescent="0.2">
      <c r="A416" s="292" t="s">
        <v>583</v>
      </c>
      <c r="B416" s="285">
        <f t="shared" si="67"/>
        <v>1081</v>
      </c>
      <c r="C416" s="285">
        <v>1045</v>
      </c>
      <c r="D416" s="340">
        <v>5</v>
      </c>
      <c r="E416" s="340">
        <v>8</v>
      </c>
      <c r="F416" s="346">
        <v>0</v>
      </c>
      <c r="G416" s="346">
        <v>0</v>
      </c>
      <c r="H416" s="340">
        <v>23</v>
      </c>
      <c r="I416" s="293" t="s">
        <v>584</v>
      </c>
    </row>
    <row r="417" spans="1:9" s="338" customFormat="1" ht="15.75" x14ac:dyDescent="0.2">
      <c r="A417" s="292" t="s">
        <v>585</v>
      </c>
      <c r="B417" s="285">
        <f t="shared" si="67"/>
        <v>1199</v>
      </c>
      <c r="C417" s="285">
        <v>1149</v>
      </c>
      <c r="D417" s="340">
        <v>9</v>
      </c>
      <c r="E417" s="340">
        <v>12</v>
      </c>
      <c r="F417" s="346">
        <v>1</v>
      </c>
      <c r="G417" s="346">
        <v>5</v>
      </c>
      <c r="H417" s="340">
        <v>23</v>
      </c>
      <c r="I417" s="293" t="s">
        <v>586</v>
      </c>
    </row>
    <row r="418" spans="1:9" s="338" customFormat="1" ht="15.75" x14ac:dyDescent="0.2">
      <c r="A418" s="292" t="s">
        <v>435</v>
      </c>
      <c r="B418" s="285">
        <f t="shared" si="67"/>
        <v>707</v>
      </c>
      <c r="C418" s="285">
        <v>695</v>
      </c>
      <c r="D418" s="340">
        <v>1</v>
      </c>
      <c r="E418" s="340">
        <v>1</v>
      </c>
      <c r="F418" s="346">
        <v>0</v>
      </c>
      <c r="G418" s="346">
        <v>0</v>
      </c>
      <c r="H418" s="340">
        <v>10</v>
      </c>
      <c r="I418" s="293" t="s">
        <v>436</v>
      </c>
    </row>
    <row r="419" spans="1:9" s="338" customFormat="1" ht="15.75" x14ac:dyDescent="0.2">
      <c r="A419" s="292" t="s">
        <v>587</v>
      </c>
      <c r="B419" s="285">
        <f t="shared" si="67"/>
        <v>497</v>
      </c>
      <c r="C419" s="285">
        <v>484</v>
      </c>
      <c r="D419" s="340">
        <v>3</v>
      </c>
      <c r="E419" s="340">
        <v>5</v>
      </c>
      <c r="F419" s="346">
        <v>0</v>
      </c>
      <c r="G419" s="346">
        <v>0</v>
      </c>
      <c r="H419" s="340">
        <v>5</v>
      </c>
      <c r="I419" s="293" t="s">
        <v>588</v>
      </c>
    </row>
    <row r="420" spans="1:9" s="338" customFormat="1" ht="15.75" x14ac:dyDescent="0.2">
      <c r="A420" s="292" t="s">
        <v>589</v>
      </c>
      <c r="B420" s="285">
        <f t="shared" si="67"/>
        <v>1880</v>
      </c>
      <c r="C420" s="285">
        <v>1803</v>
      </c>
      <c r="D420" s="340">
        <v>11</v>
      </c>
      <c r="E420" s="340">
        <v>25</v>
      </c>
      <c r="F420" s="346">
        <v>0</v>
      </c>
      <c r="G420" s="346">
        <v>0</v>
      </c>
      <c r="H420" s="340">
        <v>41</v>
      </c>
      <c r="I420" s="293" t="s">
        <v>590</v>
      </c>
    </row>
    <row r="421" spans="1:9" s="338" customFormat="1" ht="12.75" x14ac:dyDescent="0.2">
      <c r="A421" s="297"/>
      <c r="B421" s="343"/>
      <c r="C421" s="311"/>
      <c r="D421" s="340"/>
      <c r="E421" s="340"/>
      <c r="F421" s="340"/>
      <c r="G421" s="340"/>
      <c r="H421" s="342"/>
    </row>
    <row r="422" spans="1:9" s="338" customFormat="1" ht="15.75" x14ac:dyDescent="0.2">
      <c r="A422" s="289" t="s">
        <v>297</v>
      </c>
      <c r="B422" s="285">
        <f t="shared" ref="B422:B430" si="69">SUM(C422:H422)</f>
        <v>6717</v>
      </c>
      <c r="C422" s="285">
        <f>SUM(C423:C430)</f>
        <v>6497</v>
      </c>
      <c r="D422" s="334">
        <f t="shared" ref="D422:G422" si="70">SUM(D423:D430)</f>
        <v>51</v>
      </c>
      <c r="E422" s="334">
        <f t="shared" si="70"/>
        <v>80</v>
      </c>
      <c r="F422" s="334">
        <f t="shared" si="70"/>
        <v>2</v>
      </c>
      <c r="G422" s="334">
        <f t="shared" si="70"/>
        <v>2</v>
      </c>
      <c r="H422" s="334">
        <f>SUM(H423:H430)</f>
        <v>85</v>
      </c>
      <c r="I422" s="337" t="s">
        <v>298</v>
      </c>
    </row>
    <row r="423" spans="1:9" s="338" customFormat="1" ht="15.75" x14ac:dyDescent="0.2">
      <c r="A423" s="292" t="s">
        <v>471</v>
      </c>
      <c r="B423" s="285">
        <f t="shared" si="69"/>
        <v>1206</v>
      </c>
      <c r="C423" s="285">
        <v>1186</v>
      </c>
      <c r="D423" s="340">
        <v>2</v>
      </c>
      <c r="E423" s="340">
        <v>3</v>
      </c>
      <c r="F423" s="346">
        <v>0</v>
      </c>
      <c r="G423" s="346">
        <v>0</v>
      </c>
      <c r="H423" s="340">
        <v>15</v>
      </c>
      <c r="I423" s="293" t="s">
        <v>472</v>
      </c>
    </row>
    <row r="424" spans="1:9" s="338" customFormat="1" ht="15.75" x14ac:dyDescent="0.2">
      <c r="A424" s="292" t="s">
        <v>591</v>
      </c>
      <c r="B424" s="285">
        <f t="shared" si="69"/>
        <v>765</v>
      </c>
      <c r="C424" s="285">
        <v>753</v>
      </c>
      <c r="D424" s="340">
        <v>1</v>
      </c>
      <c r="E424" s="340">
        <v>2</v>
      </c>
      <c r="F424" s="346">
        <v>0</v>
      </c>
      <c r="G424" s="346">
        <v>0</v>
      </c>
      <c r="H424" s="340">
        <v>9</v>
      </c>
      <c r="I424" s="293" t="s">
        <v>592</v>
      </c>
    </row>
    <row r="425" spans="1:9" s="338" customFormat="1" ht="15.75" x14ac:dyDescent="0.2">
      <c r="A425" s="292" t="s">
        <v>593</v>
      </c>
      <c r="B425" s="285">
        <f t="shared" si="69"/>
        <v>363</v>
      </c>
      <c r="C425" s="285">
        <v>340</v>
      </c>
      <c r="D425" s="340">
        <v>3</v>
      </c>
      <c r="E425" s="340">
        <v>6</v>
      </c>
      <c r="F425" s="346">
        <v>0</v>
      </c>
      <c r="G425" s="346">
        <v>0</v>
      </c>
      <c r="H425" s="340">
        <v>14</v>
      </c>
      <c r="I425" s="293" t="s">
        <v>594</v>
      </c>
    </row>
    <row r="426" spans="1:9" s="338" customFormat="1" ht="15.75" x14ac:dyDescent="0.2">
      <c r="A426" s="292" t="s">
        <v>595</v>
      </c>
      <c r="B426" s="285">
        <f t="shared" si="69"/>
        <v>852</v>
      </c>
      <c r="C426" s="285">
        <v>803</v>
      </c>
      <c r="D426" s="340">
        <v>16</v>
      </c>
      <c r="E426" s="340">
        <v>25</v>
      </c>
      <c r="F426" s="346">
        <v>1</v>
      </c>
      <c r="G426" s="346">
        <v>1</v>
      </c>
      <c r="H426" s="340">
        <v>6</v>
      </c>
      <c r="I426" s="293" t="s">
        <v>596</v>
      </c>
    </row>
    <row r="427" spans="1:9" s="338" customFormat="1" ht="15.75" x14ac:dyDescent="0.2">
      <c r="A427" s="292" t="s">
        <v>597</v>
      </c>
      <c r="B427" s="285">
        <f t="shared" si="69"/>
        <v>1</v>
      </c>
      <c r="C427" s="285">
        <v>1</v>
      </c>
      <c r="D427" s="340">
        <v>0</v>
      </c>
      <c r="E427" s="340">
        <v>0</v>
      </c>
      <c r="F427" s="346">
        <v>0</v>
      </c>
      <c r="G427" s="346">
        <v>0</v>
      </c>
      <c r="H427" s="340">
        <v>0</v>
      </c>
      <c r="I427" s="345" t="s">
        <v>598</v>
      </c>
    </row>
    <row r="428" spans="1:9" s="338" customFormat="1" ht="15.75" x14ac:dyDescent="0.2">
      <c r="A428" s="292" t="s">
        <v>599</v>
      </c>
      <c r="B428" s="285">
        <f t="shared" si="69"/>
        <v>281</v>
      </c>
      <c r="C428" s="285">
        <v>272</v>
      </c>
      <c r="D428" s="340">
        <v>3</v>
      </c>
      <c r="E428" s="340">
        <v>6</v>
      </c>
      <c r="F428" s="346">
        <v>0</v>
      </c>
      <c r="G428" s="346">
        <v>0</v>
      </c>
      <c r="H428" s="340">
        <v>0</v>
      </c>
      <c r="I428" s="293" t="s">
        <v>600</v>
      </c>
    </row>
    <row r="429" spans="1:9" s="338" customFormat="1" ht="15.75" x14ac:dyDescent="0.2">
      <c r="A429" s="292" t="s">
        <v>601</v>
      </c>
      <c r="B429" s="285">
        <f t="shared" si="69"/>
        <v>919</v>
      </c>
      <c r="C429" s="285">
        <v>880</v>
      </c>
      <c r="D429" s="340">
        <v>8</v>
      </c>
      <c r="E429" s="340">
        <v>14</v>
      </c>
      <c r="F429" s="346">
        <v>0</v>
      </c>
      <c r="G429" s="346">
        <v>0</v>
      </c>
      <c r="H429" s="340">
        <v>17</v>
      </c>
      <c r="I429" s="293" t="s">
        <v>602</v>
      </c>
    </row>
    <row r="430" spans="1:9" s="338" customFormat="1" ht="15.75" x14ac:dyDescent="0.2">
      <c r="A430" s="292" t="s">
        <v>603</v>
      </c>
      <c r="B430" s="285">
        <f t="shared" si="69"/>
        <v>2330</v>
      </c>
      <c r="C430" s="285">
        <v>2262</v>
      </c>
      <c r="D430" s="340">
        <v>18</v>
      </c>
      <c r="E430" s="340">
        <v>24</v>
      </c>
      <c r="F430" s="346">
        <v>1</v>
      </c>
      <c r="G430" s="346">
        <v>1</v>
      </c>
      <c r="H430" s="340">
        <v>24</v>
      </c>
      <c r="I430" s="293" t="s">
        <v>604</v>
      </c>
    </row>
    <row r="431" spans="1:9" s="338" customFormat="1" ht="12.75" x14ac:dyDescent="0.2">
      <c r="A431" s="292"/>
      <c r="B431" s="339"/>
      <c r="C431" s="311"/>
      <c r="D431" s="340"/>
      <c r="E431" s="340"/>
      <c r="F431" s="340"/>
      <c r="G431" s="340"/>
      <c r="H431" s="342"/>
    </row>
    <row r="432" spans="1:9" s="338" customFormat="1" ht="15.75" x14ac:dyDescent="0.2">
      <c r="A432" s="289" t="s">
        <v>300</v>
      </c>
      <c r="B432" s="285">
        <f t="shared" ref="B432:B445" si="71">SUM(C432:H432)</f>
        <v>13815</v>
      </c>
      <c r="C432" s="285">
        <f>SUM(C433:C445)</f>
        <v>13508</v>
      </c>
      <c r="D432" s="334">
        <f t="shared" ref="D432:G432" si="72">SUM(D433:D445)</f>
        <v>50</v>
      </c>
      <c r="E432" s="334">
        <f t="shared" si="72"/>
        <v>83</v>
      </c>
      <c r="F432" s="334">
        <f t="shared" si="72"/>
        <v>4</v>
      </c>
      <c r="G432" s="334">
        <f t="shared" si="72"/>
        <v>5</v>
      </c>
      <c r="H432" s="334">
        <f>SUM(H433:H445)</f>
        <v>165</v>
      </c>
      <c r="I432" s="337" t="s">
        <v>301</v>
      </c>
    </row>
    <row r="433" spans="1:9" s="338" customFormat="1" ht="15.75" x14ac:dyDescent="0.2">
      <c r="A433" s="292" t="s">
        <v>605</v>
      </c>
      <c r="B433" s="285">
        <f t="shared" si="71"/>
        <v>521</v>
      </c>
      <c r="C433" s="285">
        <v>515</v>
      </c>
      <c r="D433" s="340">
        <v>0</v>
      </c>
      <c r="E433" s="340">
        <v>0</v>
      </c>
      <c r="F433" s="346">
        <v>0</v>
      </c>
      <c r="G433" s="346">
        <v>0</v>
      </c>
      <c r="H433" s="342">
        <v>6</v>
      </c>
      <c r="I433" s="293" t="s">
        <v>606</v>
      </c>
    </row>
    <row r="434" spans="1:9" s="338" customFormat="1" ht="15.75" x14ac:dyDescent="0.2">
      <c r="A434" s="292" t="s">
        <v>607</v>
      </c>
      <c r="B434" s="285">
        <f t="shared" si="71"/>
        <v>1742</v>
      </c>
      <c r="C434" s="285">
        <v>1733</v>
      </c>
      <c r="D434" s="340">
        <v>2</v>
      </c>
      <c r="E434" s="340">
        <v>2</v>
      </c>
      <c r="F434" s="346">
        <v>0</v>
      </c>
      <c r="G434" s="346">
        <v>0</v>
      </c>
      <c r="H434" s="340">
        <v>5</v>
      </c>
      <c r="I434" s="345" t="s">
        <v>608</v>
      </c>
    </row>
    <row r="435" spans="1:9" s="338" customFormat="1" ht="15.75" x14ac:dyDescent="0.2">
      <c r="A435" s="292" t="s">
        <v>609</v>
      </c>
      <c r="B435" s="285">
        <f t="shared" si="71"/>
        <v>1089</v>
      </c>
      <c r="C435" s="285">
        <v>1065</v>
      </c>
      <c r="D435" s="340">
        <v>4</v>
      </c>
      <c r="E435" s="340">
        <v>5</v>
      </c>
      <c r="F435" s="346">
        <v>0</v>
      </c>
      <c r="G435" s="346">
        <v>0</v>
      </c>
      <c r="H435" s="340">
        <v>15</v>
      </c>
      <c r="I435" s="293" t="s">
        <v>610</v>
      </c>
    </row>
    <row r="436" spans="1:9" s="338" customFormat="1" ht="15.75" x14ac:dyDescent="0.2">
      <c r="A436" s="292" t="s">
        <v>611</v>
      </c>
      <c r="B436" s="285">
        <f t="shared" si="71"/>
        <v>719</v>
      </c>
      <c r="C436" s="285">
        <v>713</v>
      </c>
      <c r="D436" s="340">
        <v>0</v>
      </c>
      <c r="E436" s="340">
        <v>0</v>
      </c>
      <c r="F436" s="346">
        <v>0</v>
      </c>
      <c r="G436" s="346">
        <v>0</v>
      </c>
      <c r="H436" s="340">
        <v>6</v>
      </c>
      <c r="I436" s="293" t="s">
        <v>612</v>
      </c>
    </row>
    <row r="437" spans="1:9" s="338" customFormat="1" ht="15.75" x14ac:dyDescent="0.2">
      <c r="A437" s="292" t="s">
        <v>527</v>
      </c>
      <c r="B437" s="285">
        <f t="shared" si="71"/>
        <v>1784</v>
      </c>
      <c r="C437" s="285">
        <v>1769</v>
      </c>
      <c r="D437" s="340">
        <v>2</v>
      </c>
      <c r="E437" s="340">
        <v>5</v>
      </c>
      <c r="F437" s="346">
        <v>1</v>
      </c>
      <c r="G437" s="346">
        <v>2</v>
      </c>
      <c r="H437" s="340">
        <v>5</v>
      </c>
      <c r="I437" s="293" t="s">
        <v>528</v>
      </c>
    </row>
    <row r="438" spans="1:9" s="338" customFormat="1" ht="15.75" x14ac:dyDescent="0.2">
      <c r="A438" s="292" t="s">
        <v>613</v>
      </c>
      <c r="B438" s="285">
        <f t="shared" si="71"/>
        <v>596</v>
      </c>
      <c r="C438" s="285">
        <v>588</v>
      </c>
      <c r="D438" s="340">
        <v>1</v>
      </c>
      <c r="E438" s="340">
        <v>1</v>
      </c>
      <c r="F438" s="346">
        <v>0</v>
      </c>
      <c r="G438" s="346">
        <v>0</v>
      </c>
      <c r="H438" s="340">
        <v>6</v>
      </c>
      <c r="I438" s="293" t="s">
        <v>614</v>
      </c>
    </row>
    <row r="439" spans="1:9" s="338" customFormat="1" ht="15.75" x14ac:dyDescent="0.2">
      <c r="A439" s="292" t="s">
        <v>615</v>
      </c>
      <c r="B439" s="285">
        <f t="shared" si="71"/>
        <v>352</v>
      </c>
      <c r="C439" s="285">
        <v>343</v>
      </c>
      <c r="D439" s="340">
        <v>0</v>
      </c>
      <c r="E439" s="340">
        <v>0</v>
      </c>
      <c r="F439" s="346">
        <v>0</v>
      </c>
      <c r="G439" s="346">
        <v>0</v>
      </c>
      <c r="H439" s="340">
        <v>9</v>
      </c>
      <c r="I439" s="293" t="s">
        <v>616</v>
      </c>
    </row>
    <row r="440" spans="1:9" s="338" customFormat="1" ht="15.75" x14ac:dyDescent="0.2">
      <c r="A440" s="292" t="s">
        <v>617</v>
      </c>
      <c r="B440" s="285">
        <f t="shared" si="71"/>
        <v>1098</v>
      </c>
      <c r="C440" s="285">
        <v>1041</v>
      </c>
      <c r="D440" s="340">
        <v>12</v>
      </c>
      <c r="E440" s="340">
        <v>23</v>
      </c>
      <c r="F440" s="346">
        <v>0</v>
      </c>
      <c r="G440" s="346">
        <v>0</v>
      </c>
      <c r="H440" s="340">
        <v>22</v>
      </c>
      <c r="I440" s="293" t="s">
        <v>618</v>
      </c>
    </row>
    <row r="441" spans="1:9" s="338" customFormat="1" ht="15.75" x14ac:dyDescent="0.2">
      <c r="A441" s="292" t="s">
        <v>619</v>
      </c>
      <c r="B441" s="285">
        <f t="shared" si="71"/>
        <v>559</v>
      </c>
      <c r="C441" s="285">
        <v>548</v>
      </c>
      <c r="D441" s="340">
        <v>0</v>
      </c>
      <c r="E441" s="340">
        <v>0</v>
      </c>
      <c r="F441" s="346">
        <v>0</v>
      </c>
      <c r="G441" s="346">
        <v>0</v>
      </c>
      <c r="H441" s="340">
        <v>11</v>
      </c>
      <c r="I441" s="293" t="s">
        <v>620</v>
      </c>
    </row>
    <row r="442" spans="1:9" s="338" customFormat="1" ht="15.75" x14ac:dyDescent="0.2">
      <c r="A442" s="292" t="s">
        <v>621</v>
      </c>
      <c r="B442" s="285">
        <f t="shared" si="71"/>
        <v>2176</v>
      </c>
      <c r="C442" s="285">
        <v>2134</v>
      </c>
      <c r="D442" s="340">
        <v>4</v>
      </c>
      <c r="E442" s="340">
        <v>7</v>
      </c>
      <c r="F442" s="346">
        <v>1</v>
      </c>
      <c r="G442" s="346">
        <v>1</v>
      </c>
      <c r="H442" s="340">
        <v>29</v>
      </c>
      <c r="I442" s="293" t="s">
        <v>622</v>
      </c>
    </row>
    <row r="443" spans="1:9" s="338" customFormat="1" ht="15.75" x14ac:dyDescent="0.2">
      <c r="A443" s="297" t="s">
        <v>623</v>
      </c>
      <c r="B443" s="285">
        <f t="shared" si="71"/>
        <v>1208</v>
      </c>
      <c r="C443" s="285">
        <v>1169</v>
      </c>
      <c r="D443" s="340">
        <v>9</v>
      </c>
      <c r="E443" s="340">
        <v>15</v>
      </c>
      <c r="F443" s="346">
        <v>0</v>
      </c>
      <c r="G443" s="346">
        <v>0</v>
      </c>
      <c r="H443" s="340">
        <v>15</v>
      </c>
      <c r="I443" s="293" t="s">
        <v>624</v>
      </c>
    </row>
    <row r="444" spans="1:9" s="338" customFormat="1" ht="15.75" x14ac:dyDescent="0.2">
      <c r="A444" s="297" t="s">
        <v>625</v>
      </c>
      <c r="B444" s="285">
        <f t="shared" si="71"/>
        <v>1307</v>
      </c>
      <c r="C444" s="285">
        <v>1246</v>
      </c>
      <c r="D444" s="340">
        <v>12</v>
      </c>
      <c r="E444" s="340">
        <v>16</v>
      </c>
      <c r="F444" s="346">
        <v>1</v>
      </c>
      <c r="G444" s="346">
        <v>1</v>
      </c>
      <c r="H444" s="340">
        <v>31</v>
      </c>
      <c r="I444" s="293" t="s">
        <v>626</v>
      </c>
    </row>
    <row r="445" spans="1:9" s="338" customFormat="1" ht="15.75" x14ac:dyDescent="0.2">
      <c r="A445" s="297" t="s">
        <v>545</v>
      </c>
      <c r="B445" s="285">
        <f t="shared" si="71"/>
        <v>664</v>
      </c>
      <c r="C445" s="285">
        <v>644</v>
      </c>
      <c r="D445" s="340">
        <v>4</v>
      </c>
      <c r="E445" s="340">
        <v>9</v>
      </c>
      <c r="F445" s="346">
        <v>1</v>
      </c>
      <c r="G445" s="346">
        <v>1</v>
      </c>
      <c r="H445" s="340">
        <v>5</v>
      </c>
      <c r="I445" s="293" t="s">
        <v>546</v>
      </c>
    </row>
    <row r="446" spans="1:9" s="338" customFormat="1" ht="15.75" x14ac:dyDescent="0.2">
      <c r="A446" s="297"/>
      <c r="B446" s="285"/>
      <c r="C446" s="348"/>
      <c r="D446" s="340"/>
      <c r="E446" s="340"/>
      <c r="F446" s="346"/>
      <c r="G446" s="346"/>
      <c r="H446" s="342"/>
      <c r="I446" s="293"/>
    </row>
    <row r="447" spans="1:9" s="347" customFormat="1" ht="15.75" x14ac:dyDescent="0.2">
      <c r="A447" s="352" t="s">
        <v>303</v>
      </c>
      <c r="B447" s="285">
        <f t="shared" ref="B447:B459" si="73">SUM(C447:H447)</f>
        <v>14968</v>
      </c>
      <c r="C447" s="285">
        <f>SUM(C448:C459)</f>
        <v>14567</v>
      </c>
      <c r="D447" s="334">
        <f t="shared" ref="D447:G447" si="74">SUM(D448:D459)</f>
        <v>75</v>
      </c>
      <c r="E447" s="334">
        <f t="shared" si="74"/>
        <v>113</v>
      </c>
      <c r="F447" s="334">
        <f t="shared" si="74"/>
        <v>3</v>
      </c>
      <c r="G447" s="334">
        <f t="shared" si="74"/>
        <v>6</v>
      </c>
      <c r="H447" s="334">
        <f>SUM(H448:H459)</f>
        <v>204</v>
      </c>
      <c r="I447" s="337" t="s">
        <v>304</v>
      </c>
    </row>
    <row r="448" spans="1:9" s="338" customFormat="1" ht="15.75" x14ac:dyDescent="0.2">
      <c r="A448" s="297" t="s">
        <v>627</v>
      </c>
      <c r="B448" s="285">
        <f t="shared" si="73"/>
        <v>1055</v>
      </c>
      <c r="C448" s="285">
        <v>1009</v>
      </c>
      <c r="D448" s="340">
        <v>10</v>
      </c>
      <c r="E448" s="340">
        <v>15</v>
      </c>
      <c r="F448" s="346">
        <v>0</v>
      </c>
      <c r="G448" s="346">
        <v>0</v>
      </c>
      <c r="H448" s="340">
        <v>21</v>
      </c>
      <c r="I448" s="293" t="s">
        <v>628</v>
      </c>
    </row>
    <row r="449" spans="1:21" s="338" customFormat="1" ht="15.75" x14ac:dyDescent="0.2">
      <c r="A449" s="297" t="s">
        <v>629</v>
      </c>
      <c r="B449" s="285">
        <f t="shared" si="73"/>
        <v>903</v>
      </c>
      <c r="C449" s="285">
        <v>880</v>
      </c>
      <c r="D449" s="340">
        <v>4</v>
      </c>
      <c r="E449" s="340">
        <v>9</v>
      </c>
      <c r="F449" s="346">
        <v>0</v>
      </c>
      <c r="G449" s="346">
        <v>0</v>
      </c>
      <c r="H449" s="340">
        <v>10</v>
      </c>
      <c r="I449" s="293" t="s">
        <v>630</v>
      </c>
    </row>
    <row r="450" spans="1:21" s="338" customFormat="1" ht="15.75" x14ac:dyDescent="0.2">
      <c r="A450" s="292" t="s">
        <v>631</v>
      </c>
      <c r="B450" s="285">
        <f t="shared" si="73"/>
        <v>963</v>
      </c>
      <c r="C450" s="285">
        <v>934</v>
      </c>
      <c r="D450" s="340">
        <v>2</v>
      </c>
      <c r="E450" s="340">
        <v>6</v>
      </c>
      <c r="F450" s="346">
        <v>0</v>
      </c>
      <c r="G450" s="346">
        <v>0</v>
      </c>
      <c r="H450" s="340">
        <v>21</v>
      </c>
      <c r="I450" s="293" t="s">
        <v>632</v>
      </c>
    </row>
    <row r="451" spans="1:21" s="338" customFormat="1" ht="15.75" x14ac:dyDescent="0.2">
      <c r="A451" s="292" t="s">
        <v>633</v>
      </c>
      <c r="B451" s="285">
        <f t="shared" si="73"/>
        <v>261</v>
      </c>
      <c r="C451" s="285">
        <v>244</v>
      </c>
      <c r="D451" s="340">
        <v>5</v>
      </c>
      <c r="E451" s="340">
        <v>8</v>
      </c>
      <c r="F451" s="346">
        <v>0</v>
      </c>
      <c r="G451" s="346">
        <v>0</v>
      </c>
      <c r="H451" s="340">
        <v>4</v>
      </c>
      <c r="I451" s="293" t="s">
        <v>634</v>
      </c>
    </row>
    <row r="452" spans="1:21" s="338" customFormat="1" ht="15.75" x14ac:dyDescent="0.2">
      <c r="A452" s="292" t="s">
        <v>635</v>
      </c>
      <c r="B452" s="285">
        <f t="shared" si="73"/>
        <v>773</v>
      </c>
      <c r="C452" s="285">
        <v>755</v>
      </c>
      <c r="D452" s="340">
        <v>6</v>
      </c>
      <c r="E452" s="340">
        <v>10</v>
      </c>
      <c r="F452" s="346">
        <v>0</v>
      </c>
      <c r="G452" s="346">
        <v>0</v>
      </c>
      <c r="H452" s="340">
        <v>2</v>
      </c>
      <c r="I452" s="293" t="s">
        <v>636</v>
      </c>
    </row>
    <row r="453" spans="1:21" s="338" customFormat="1" ht="15.75" x14ac:dyDescent="0.2">
      <c r="A453" s="292" t="s">
        <v>637</v>
      </c>
      <c r="B453" s="285">
        <f t="shared" si="73"/>
        <v>4107</v>
      </c>
      <c r="C453" s="285">
        <v>3976</v>
      </c>
      <c r="D453" s="340">
        <v>28</v>
      </c>
      <c r="E453" s="340">
        <v>29</v>
      </c>
      <c r="F453" s="346">
        <v>3</v>
      </c>
      <c r="G453" s="346">
        <v>6</v>
      </c>
      <c r="H453" s="340">
        <v>65</v>
      </c>
      <c r="I453" s="293" t="s">
        <v>638</v>
      </c>
    </row>
    <row r="454" spans="1:21" s="338" customFormat="1" ht="15.75" x14ac:dyDescent="0.2">
      <c r="A454" s="292" t="s">
        <v>639</v>
      </c>
      <c r="B454" s="285">
        <f t="shared" si="73"/>
        <v>1726</v>
      </c>
      <c r="C454" s="285">
        <v>1699</v>
      </c>
      <c r="D454" s="340">
        <v>3</v>
      </c>
      <c r="E454" s="340">
        <v>3</v>
      </c>
      <c r="F454" s="346">
        <v>0</v>
      </c>
      <c r="G454" s="346">
        <v>0</v>
      </c>
      <c r="H454" s="340">
        <v>21</v>
      </c>
      <c r="I454" s="293" t="s">
        <v>640</v>
      </c>
    </row>
    <row r="455" spans="1:21" s="338" customFormat="1" ht="15.75" x14ac:dyDescent="0.2">
      <c r="A455" s="292" t="s">
        <v>641</v>
      </c>
      <c r="B455" s="285">
        <f t="shared" si="73"/>
        <v>2006</v>
      </c>
      <c r="C455" s="285">
        <v>1982</v>
      </c>
      <c r="D455" s="340">
        <v>2</v>
      </c>
      <c r="E455" s="340">
        <v>4</v>
      </c>
      <c r="F455" s="346">
        <v>0</v>
      </c>
      <c r="G455" s="346">
        <v>0</v>
      </c>
      <c r="H455" s="340">
        <v>18</v>
      </c>
      <c r="I455" s="293" t="s">
        <v>642</v>
      </c>
    </row>
    <row r="456" spans="1:21" s="338" customFormat="1" ht="15.75" x14ac:dyDescent="0.2">
      <c r="A456" s="292" t="s">
        <v>643</v>
      </c>
      <c r="B456" s="285">
        <f t="shared" si="73"/>
        <v>380</v>
      </c>
      <c r="C456" s="285">
        <v>367</v>
      </c>
      <c r="D456" s="340">
        <v>1</v>
      </c>
      <c r="E456" s="340">
        <v>1</v>
      </c>
      <c r="F456" s="346">
        <v>0</v>
      </c>
      <c r="G456" s="346">
        <v>0</v>
      </c>
      <c r="H456" s="340">
        <v>11</v>
      </c>
      <c r="I456" s="293" t="s">
        <v>644</v>
      </c>
    </row>
    <row r="457" spans="1:21" s="338" customFormat="1" ht="15.75" x14ac:dyDescent="0.2">
      <c r="A457" s="292" t="s">
        <v>645</v>
      </c>
      <c r="B457" s="285">
        <f t="shared" si="73"/>
        <v>972</v>
      </c>
      <c r="C457" s="285">
        <v>956</v>
      </c>
      <c r="D457" s="340">
        <v>1</v>
      </c>
      <c r="E457" s="340">
        <v>2</v>
      </c>
      <c r="F457" s="346">
        <v>0</v>
      </c>
      <c r="G457" s="346">
        <v>0</v>
      </c>
      <c r="H457" s="340">
        <v>13</v>
      </c>
      <c r="I457" s="293" t="s">
        <v>646</v>
      </c>
    </row>
    <row r="458" spans="1:21" s="338" customFormat="1" ht="15.75" x14ac:dyDescent="0.2">
      <c r="A458" s="292" t="s">
        <v>647</v>
      </c>
      <c r="B458" s="285">
        <f t="shared" si="73"/>
        <v>1080</v>
      </c>
      <c r="C458" s="285">
        <v>1040</v>
      </c>
      <c r="D458" s="340">
        <v>10</v>
      </c>
      <c r="E458" s="340">
        <v>22</v>
      </c>
      <c r="F458" s="346">
        <v>0</v>
      </c>
      <c r="G458" s="346">
        <v>0</v>
      </c>
      <c r="H458" s="340">
        <v>8</v>
      </c>
      <c r="I458" s="293" t="s">
        <v>648</v>
      </c>
    </row>
    <row r="459" spans="1:21" s="338" customFormat="1" ht="15.75" x14ac:dyDescent="0.2">
      <c r="A459" s="297" t="s">
        <v>649</v>
      </c>
      <c r="B459" s="285">
        <f t="shared" si="73"/>
        <v>742</v>
      </c>
      <c r="C459" s="285">
        <v>725</v>
      </c>
      <c r="D459" s="340">
        <v>3</v>
      </c>
      <c r="E459" s="340">
        <v>4</v>
      </c>
      <c r="F459" s="346">
        <v>0</v>
      </c>
      <c r="G459" s="346">
        <v>0</v>
      </c>
      <c r="H459" s="340">
        <v>10</v>
      </c>
      <c r="I459" s="293" t="s">
        <v>650</v>
      </c>
    </row>
    <row r="460" spans="1:21" s="319" customFormat="1" ht="12.75" x14ac:dyDescent="0.2">
      <c r="A460" s="353"/>
      <c r="B460" s="354"/>
      <c r="C460" s="311"/>
      <c r="D460" s="340"/>
      <c r="E460" s="340"/>
      <c r="F460" s="340"/>
      <c r="G460" s="340"/>
      <c r="H460" s="342"/>
      <c r="I460" s="338"/>
      <c r="K460" s="338"/>
      <c r="L460" s="338"/>
      <c r="M460" s="338"/>
      <c r="N460" s="338"/>
      <c r="O460" s="338"/>
      <c r="P460" s="338"/>
      <c r="Q460" s="338"/>
      <c r="R460" s="338"/>
      <c r="S460" s="338"/>
      <c r="T460" s="338"/>
      <c r="U460" s="338"/>
    </row>
    <row r="461" spans="1:21" s="319" customFormat="1" ht="15.75" x14ac:dyDescent="0.2">
      <c r="A461" s="289" t="s">
        <v>306</v>
      </c>
      <c r="B461" s="285">
        <f t="shared" ref="B461:B471" si="75">SUM(C461:H461)</f>
        <v>12627</v>
      </c>
      <c r="C461" s="285">
        <f>SUM(C462:C471)</f>
        <v>12163</v>
      </c>
      <c r="D461" s="334">
        <f t="shared" ref="D461:G461" si="76">SUM(D462:D471)</f>
        <v>70</v>
      </c>
      <c r="E461" s="334">
        <f t="shared" si="76"/>
        <v>137</v>
      </c>
      <c r="F461" s="334">
        <f t="shared" si="76"/>
        <v>5</v>
      </c>
      <c r="G461" s="334">
        <f t="shared" si="76"/>
        <v>5</v>
      </c>
      <c r="H461" s="334">
        <f>SUM(H462:H471)</f>
        <v>247</v>
      </c>
      <c r="I461" s="337" t="s">
        <v>307</v>
      </c>
      <c r="K461" s="338"/>
      <c r="L461" s="338"/>
      <c r="M461" s="338"/>
      <c r="N461" s="338"/>
      <c r="O461" s="338"/>
      <c r="P461" s="338"/>
      <c r="Q461" s="338"/>
      <c r="R461" s="338"/>
      <c r="S461" s="338"/>
      <c r="T461" s="338"/>
      <c r="U461" s="338"/>
    </row>
    <row r="462" spans="1:21" s="319" customFormat="1" ht="15.75" x14ac:dyDescent="0.2">
      <c r="A462" s="297" t="s">
        <v>651</v>
      </c>
      <c r="B462" s="285">
        <f t="shared" si="75"/>
        <v>1543</v>
      </c>
      <c r="C462" s="285">
        <v>1479</v>
      </c>
      <c r="D462" s="340">
        <v>16</v>
      </c>
      <c r="E462" s="340">
        <v>30</v>
      </c>
      <c r="F462" s="346">
        <v>0</v>
      </c>
      <c r="G462" s="346">
        <v>0</v>
      </c>
      <c r="H462" s="340">
        <v>18</v>
      </c>
      <c r="I462" s="293" t="s">
        <v>652</v>
      </c>
    </row>
    <row r="463" spans="1:21" s="319" customFormat="1" ht="15.75" x14ac:dyDescent="0.2">
      <c r="A463" s="297" t="s">
        <v>653</v>
      </c>
      <c r="B463" s="285">
        <f t="shared" si="75"/>
        <v>3188</v>
      </c>
      <c r="C463" s="285">
        <v>3094</v>
      </c>
      <c r="D463" s="340">
        <v>10</v>
      </c>
      <c r="E463" s="340">
        <v>20</v>
      </c>
      <c r="F463" s="346">
        <v>2</v>
      </c>
      <c r="G463" s="346">
        <v>2</v>
      </c>
      <c r="H463" s="340">
        <v>60</v>
      </c>
      <c r="I463" s="293" t="s">
        <v>654</v>
      </c>
    </row>
    <row r="464" spans="1:21" s="319" customFormat="1" ht="15.75" x14ac:dyDescent="0.2">
      <c r="A464" s="297" t="s">
        <v>645</v>
      </c>
      <c r="B464" s="285">
        <f t="shared" si="75"/>
        <v>1350</v>
      </c>
      <c r="C464" s="285">
        <v>1299</v>
      </c>
      <c r="D464" s="340">
        <v>6</v>
      </c>
      <c r="E464" s="340">
        <v>11</v>
      </c>
      <c r="F464" s="346">
        <v>0</v>
      </c>
      <c r="G464" s="346">
        <v>0</v>
      </c>
      <c r="H464" s="340">
        <v>34</v>
      </c>
      <c r="I464" s="293" t="s">
        <v>646</v>
      </c>
    </row>
    <row r="465" spans="1:9" s="319" customFormat="1" ht="15.75" x14ac:dyDescent="0.2">
      <c r="A465" s="297" t="s">
        <v>589</v>
      </c>
      <c r="B465" s="285">
        <f t="shared" si="75"/>
        <v>741</v>
      </c>
      <c r="C465" s="285">
        <v>715</v>
      </c>
      <c r="D465" s="340">
        <v>3</v>
      </c>
      <c r="E465" s="340">
        <v>7</v>
      </c>
      <c r="F465" s="346">
        <v>2</v>
      </c>
      <c r="G465" s="346">
        <v>2</v>
      </c>
      <c r="H465" s="340">
        <v>12</v>
      </c>
      <c r="I465" s="293" t="s">
        <v>590</v>
      </c>
    </row>
    <row r="466" spans="1:9" s="319" customFormat="1" ht="15.75" x14ac:dyDescent="0.2">
      <c r="A466" s="297" t="s">
        <v>655</v>
      </c>
      <c r="B466" s="285">
        <f t="shared" si="75"/>
        <v>1857</v>
      </c>
      <c r="C466" s="285">
        <v>1758</v>
      </c>
      <c r="D466" s="340">
        <v>9</v>
      </c>
      <c r="E466" s="340">
        <v>16</v>
      </c>
      <c r="F466" s="346">
        <v>0</v>
      </c>
      <c r="G466" s="346">
        <v>0</v>
      </c>
      <c r="H466" s="340">
        <v>74</v>
      </c>
      <c r="I466" s="293" t="s">
        <v>656</v>
      </c>
    </row>
    <row r="467" spans="1:9" s="319" customFormat="1" ht="15.75" x14ac:dyDescent="0.2">
      <c r="A467" s="297" t="s">
        <v>657</v>
      </c>
      <c r="B467" s="285">
        <f t="shared" si="75"/>
        <v>1073</v>
      </c>
      <c r="C467" s="285">
        <v>1048</v>
      </c>
      <c r="D467" s="340">
        <v>3</v>
      </c>
      <c r="E467" s="340">
        <v>5</v>
      </c>
      <c r="F467" s="346">
        <v>0</v>
      </c>
      <c r="G467" s="346">
        <v>0</v>
      </c>
      <c r="H467" s="340">
        <v>17</v>
      </c>
      <c r="I467" s="293" t="s">
        <v>658</v>
      </c>
    </row>
    <row r="468" spans="1:9" s="319" customFormat="1" ht="15.75" x14ac:dyDescent="0.2">
      <c r="A468" s="297" t="s">
        <v>659</v>
      </c>
      <c r="B468" s="285">
        <f t="shared" si="75"/>
        <v>450</v>
      </c>
      <c r="C468" s="285">
        <v>437</v>
      </c>
      <c r="D468" s="340">
        <v>3</v>
      </c>
      <c r="E468" s="340">
        <v>5</v>
      </c>
      <c r="F468" s="346">
        <v>0</v>
      </c>
      <c r="G468" s="346">
        <v>0</v>
      </c>
      <c r="H468" s="340">
        <v>5</v>
      </c>
      <c r="I468" s="293" t="s">
        <v>660</v>
      </c>
    </row>
    <row r="469" spans="1:9" s="319" customFormat="1" ht="15.75" x14ac:dyDescent="0.2">
      <c r="A469" s="297" t="s">
        <v>661</v>
      </c>
      <c r="B469" s="285">
        <f t="shared" si="75"/>
        <v>13</v>
      </c>
      <c r="C469" s="285">
        <v>12</v>
      </c>
      <c r="D469" s="340">
        <v>0</v>
      </c>
      <c r="E469" s="340">
        <v>0</v>
      </c>
      <c r="F469" s="346">
        <v>0</v>
      </c>
      <c r="G469" s="346">
        <v>0</v>
      </c>
      <c r="H469" s="340">
        <v>1</v>
      </c>
      <c r="I469" s="293" t="s">
        <v>662</v>
      </c>
    </row>
    <row r="470" spans="1:9" s="319" customFormat="1" ht="15.75" x14ac:dyDescent="0.2">
      <c r="A470" s="297" t="s">
        <v>663</v>
      </c>
      <c r="B470" s="285">
        <f t="shared" si="75"/>
        <v>1526</v>
      </c>
      <c r="C470" s="285">
        <v>1474</v>
      </c>
      <c r="D470" s="340">
        <v>10</v>
      </c>
      <c r="E470" s="340">
        <v>24</v>
      </c>
      <c r="F470" s="346">
        <v>1</v>
      </c>
      <c r="G470" s="346">
        <v>1</v>
      </c>
      <c r="H470" s="340">
        <v>16</v>
      </c>
      <c r="I470" s="293" t="s">
        <v>664</v>
      </c>
    </row>
    <row r="471" spans="1:9" s="319" customFormat="1" ht="15.75" x14ac:dyDescent="0.2">
      <c r="A471" s="297" t="s">
        <v>665</v>
      </c>
      <c r="B471" s="285">
        <f t="shared" si="75"/>
        <v>886</v>
      </c>
      <c r="C471" s="285">
        <v>847</v>
      </c>
      <c r="D471" s="340">
        <v>10</v>
      </c>
      <c r="E471" s="340">
        <v>19</v>
      </c>
      <c r="F471" s="346">
        <v>0</v>
      </c>
      <c r="G471" s="346">
        <v>0</v>
      </c>
      <c r="H471" s="340">
        <v>10</v>
      </c>
      <c r="I471" s="293" t="s">
        <v>666</v>
      </c>
    </row>
    <row r="472" spans="1:9" s="319" customFormat="1" ht="15.75" x14ac:dyDescent="0.2">
      <c r="A472" s="297"/>
      <c r="B472" s="285"/>
      <c r="C472" s="348"/>
      <c r="D472" s="340"/>
      <c r="E472" s="340"/>
      <c r="F472" s="346"/>
      <c r="G472" s="346"/>
      <c r="H472" s="342"/>
      <c r="I472" s="293"/>
    </row>
    <row r="473" spans="1:9" s="355" customFormat="1" ht="15.75" x14ac:dyDescent="0.2">
      <c r="A473" s="352" t="s">
        <v>309</v>
      </c>
      <c r="B473" s="285">
        <f t="shared" ref="B473:B482" si="77">SUM(C473:H473)</f>
        <v>18100</v>
      </c>
      <c r="C473" s="285">
        <f>SUM(C474:C482)</f>
        <v>17520</v>
      </c>
      <c r="D473" s="334">
        <f t="shared" ref="D473:G473" si="78">SUM(D474:D482)</f>
        <v>87</v>
      </c>
      <c r="E473" s="334">
        <f t="shared" si="78"/>
        <v>179</v>
      </c>
      <c r="F473" s="334">
        <f t="shared" si="78"/>
        <v>7</v>
      </c>
      <c r="G473" s="334">
        <f t="shared" si="78"/>
        <v>12</v>
      </c>
      <c r="H473" s="334">
        <f>SUM(H474:H482)</f>
        <v>295</v>
      </c>
      <c r="I473" s="337" t="s">
        <v>310</v>
      </c>
    </row>
    <row r="474" spans="1:9" s="355" customFormat="1" ht="15.75" x14ac:dyDescent="0.2">
      <c r="A474" s="297" t="s">
        <v>667</v>
      </c>
      <c r="B474" s="285">
        <f t="shared" si="77"/>
        <v>1732</v>
      </c>
      <c r="C474" s="285">
        <v>1644</v>
      </c>
      <c r="D474" s="340">
        <v>14</v>
      </c>
      <c r="E474" s="340">
        <v>29</v>
      </c>
      <c r="F474" s="346">
        <v>0</v>
      </c>
      <c r="G474" s="346">
        <v>0</v>
      </c>
      <c r="H474" s="340">
        <v>45</v>
      </c>
      <c r="I474" s="293" t="s">
        <v>668</v>
      </c>
    </row>
    <row r="475" spans="1:9" s="355" customFormat="1" ht="15.75" x14ac:dyDescent="0.2">
      <c r="A475" s="297" t="s">
        <v>669</v>
      </c>
      <c r="B475" s="285">
        <f t="shared" si="77"/>
        <v>1153</v>
      </c>
      <c r="C475" s="285">
        <v>1120</v>
      </c>
      <c r="D475" s="340">
        <v>5</v>
      </c>
      <c r="E475" s="340">
        <v>8</v>
      </c>
      <c r="F475" s="346">
        <v>0</v>
      </c>
      <c r="G475" s="346">
        <v>0</v>
      </c>
      <c r="H475" s="340">
        <v>20</v>
      </c>
      <c r="I475" s="293" t="s">
        <v>670</v>
      </c>
    </row>
    <row r="476" spans="1:9" s="355" customFormat="1" ht="15.75" x14ac:dyDescent="0.2">
      <c r="A476" s="297" t="s">
        <v>671</v>
      </c>
      <c r="B476" s="285">
        <f t="shared" si="77"/>
        <v>1008</v>
      </c>
      <c r="C476" s="285">
        <v>932</v>
      </c>
      <c r="D476" s="340">
        <v>16</v>
      </c>
      <c r="E476" s="340">
        <v>34</v>
      </c>
      <c r="F476" s="346">
        <v>1</v>
      </c>
      <c r="G476" s="346">
        <v>1</v>
      </c>
      <c r="H476" s="340">
        <v>24</v>
      </c>
      <c r="I476" s="293" t="s">
        <v>672</v>
      </c>
    </row>
    <row r="477" spans="1:9" s="355" customFormat="1" ht="15.75" x14ac:dyDescent="0.2">
      <c r="A477" s="297" t="s">
        <v>673</v>
      </c>
      <c r="B477" s="285">
        <f t="shared" si="77"/>
        <v>2673</v>
      </c>
      <c r="C477" s="285">
        <v>2592</v>
      </c>
      <c r="D477" s="340">
        <v>17</v>
      </c>
      <c r="E477" s="340">
        <v>30</v>
      </c>
      <c r="F477" s="346">
        <v>2</v>
      </c>
      <c r="G477" s="346">
        <v>2</v>
      </c>
      <c r="H477" s="340">
        <v>30</v>
      </c>
      <c r="I477" s="293" t="s">
        <v>674</v>
      </c>
    </row>
    <row r="478" spans="1:9" s="355" customFormat="1" ht="15.75" x14ac:dyDescent="0.2">
      <c r="A478" s="297" t="s">
        <v>675</v>
      </c>
      <c r="B478" s="285">
        <f t="shared" si="77"/>
        <v>1227</v>
      </c>
      <c r="C478" s="285">
        <v>1203</v>
      </c>
      <c r="D478" s="340">
        <v>5</v>
      </c>
      <c r="E478" s="340">
        <v>8</v>
      </c>
      <c r="F478" s="346">
        <v>0</v>
      </c>
      <c r="G478" s="346">
        <v>0</v>
      </c>
      <c r="H478" s="340">
        <v>11</v>
      </c>
      <c r="I478" s="293" t="s">
        <v>676</v>
      </c>
    </row>
    <row r="479" spans="1:9" s="319" customFormat="1" ht="15.75" x14ac:dyDescent="0.2">
      <c r="A479" s="292" t="s">
        <v>447</v>
      </c>
      <c r="B479" s="285">
        <f t="shared" si="77"/>
        <v>1246</v>
      </c>
      <c r="C479" s="285">
        <v>1197</v>
      </c>
      <c r="D479" s="340">
        <v>8</v>
      </c>
      <c r="E479" s="340">
        <v>19</v>
      </c>
      <c r="F479" s="346">
        <v>0</v>
      </c>
      <c r="G479" s="346">
        <v>0</v>
      </c>
      <c r="H479" s="340">
        <v>22</v>
      </c>
      <c r="I479" s="293" t="s">
        <v>448</v>
      </c>
    </row>
    <row r="480" spans="1:9" s="319" customFormat="1" ht="15.75" x14ac:dyDescent="0.2">
      <c r="A480" s="292" t="s">
        <v>677</v>
      </c>
      <c r="B480" s="285">
        <f t="shared" si="77"/>
        <v>1283</v>
      </c>
      <c r="C480" s="285">
        <v>1259</v>
      </c>
      <c r="D480" s="340">
        <v>5</v>
      </c>
      <c r="E480" s="340">
        <v>16</v>
      </c>
      <c r="F480" s="346">
        <v>0</v>
      </c>
      <c r="G480" s="346">
        <v>0</v>
      </c>
      <c r="H480" s="340">
        <v>3</v>
      </c>
      <c r="I480" s="293" t="s">
        <v>678</v>
      </c>
    </row>
    <row r="481" spans="1:9" s="319" customFormat="1" ht="15.75" x14ac:dyDescent="0.2">
      <c r="A481" s="292" t="s">
        <v>679</v>
      </c>
      <c r="B481" s="285">
        <f t="shared" si="77"/>
        <v>1413</v>
      </c>
      <c r="C481" s="285">
        <v>1375</v>
      </c>
      <c r="D481" s="340">
        <v>3</v>
      </c>
      <c r="E481" s="340">
        <v>6</v>
      </c>
      <c r="F481" s="346">
        <v>1</v>
      </c>
      <c r="G481" s="346">
        <v>1</v>
      </c>
      <c r="H481" s="340">
        <v>27</v>
      </c>
      <c r="I481" s="293" t="s">
        <v>680</v>
      </c>
    </row>
    <row r="482" spans="1:9" s="319" customFormat="1" ht="15.75" x14ac:dyDescent="0.2">
      <c r="A482" s="292" t="s">
        <v>561</v>
      </c>
      <c r="B482" s="285">
        <f t="shared" si="77"/>
        <v>6365</v>
      </c>
      <c r="C482" s="285">
        <v>6198</v>
      </c>
      <c r="D482" s="340">
        <v>14</v>
      </c>
      <c r="E482" s="340">
        <v>29</v>
      </c>
      <c r="F482" s="346">
        <v>3</v>
      </c>
      <c r="G482" s="346">
        <v>8</v>
      </c>
      <c r="H482" s="340">
        <v>113</v>
      </c>
      <c r="I482" s="293" t="s">
        <v>562</v>
      </c>
    </row>
    <row r="483" spans="1:9" s="319" customFormat="1" ht="12.75" x14ac:dyDescent="0.2">
      <c r="A483" s="297"/>
      <c r="B483" s="343"/>
      <c r="C483" s="348"/>
      <c r="D483" s="340"/>
      <c r="E483" s="340"/>
      <c r="F483" s="340"/>
      <c r="G483" s="340"/>
      <c r="H483" s="342"/>
      <c r="I483" s="338"/>
    </row>
    <row r="484" spans="1:9" s="319" customFormat="1" ht="15.75" x14ac:dyDescent="0.2">
      <c r="A484" s="352" t="s">
        <v>312</v>
      </c>
      <c r="B484" s="285">
        <f>SUM(C484:H484)</f>
        <v>10649</v>
      </c>
      <c r="C484" s="285">
        <f>SUM(C485)</f>
        <v>10203</v>
      </c>
      <c r="D484" s="334">
        <f t="shared" ref="D484:G484" si="79">SUM(D485)</f>
        <v>60</v>
      </c>
      <c r="E484" s="334">
        <f t="shared" si="79"/>
        <v>127</v>
      </c>
      <c r="F484" s="334">
        <f t="shared" si="79"/>
        <v>10</v>
      </c>
      <c r="G484" s="334">
        <f t="shared" si="79"/>
        <v>21</v>
      </c>
      <c r="H484" s="334">
        <f>SUM(H485)</f>
        <v>228</v>
      </c>
      <c r="I484" s="337" t="s">
        <v>313</v>
      </c>
    </row>
    <row r="485" spans="1:9" s="319" customFormat="1" ht="15.75" x14ac:dyDescent="0.2">
      <c r="A485" s="297" t="s">
        <v>681</v>
      </c>
      <c r="B485" s="285">
        <f>SUM(C485:H485)</f>
        <v>10649</v>
      </c>
      <c r="C485" s="285">
        <v>10203</v>
      </c>
      <c r="D485" s="340">
        <v>60</v>
      </c>
      <c r="E485" s="340">
        <v>127</v>
      </c>
      <c r="F485" s="346">
        <v>10</v>
      </c>
      <c r="G485" s="346">
        <v>21</v>
      </c>
      <c r="H485" s="340">
        <v>228</v>
      </c>
      <c r="I485" s="293" t="s">
        <v>682</v>
      </c>
    </row>
    <row r="486" spans="1:9" s="319" customFormat="1" ht="12.75" x14ac:dyDescent="0.2">
      <c r="A486" s="297"/>
      <c r="B486" s="343"/>
      <c r="C486" s="348"/>
      <c r="D486" s="340"/>
      <c r="E486" s="340"/>
      <c r="F486" s="340"/>
      <c r="G486" s="340"/>
      <c r="H486" s="342"/>
      <c r="I486" s="338"/>
    </row>
    <row r="487" spans="1:9" s="319" customFormat="1" ht="15.75" x14ac:dyDescent="0.2">
      <c r="A487" s="352" t="s">
        <v>315</v>
      </c>
      <c r="B487" s="285">
        <f t="shared" ref="B487:B493" si="80">SUM(C487:H487)</f>
        <v>28245</v>
      </c>
      <c r="C487" s="285">
        <f>SUM(C488:C493)</f>
        <v>27303</v>
      </c>
      <c r="D487" s="334">
        <f t="shared" ref="D487:G487" si="81">SUM(D488:D493)</f>
        <v>174</v>
      </c>
      <c r="E487" s="334">
        <f t="shared" si="81"/>
        <v>334</v>
      </c>
      <c r="F487" s="334">
        <f t="shared" si="81"/>
        <v>7</v>
      </c>
      <c r="G487" s="334">
        <f t="shared" si="81"/>
        <v>10</v>
      </c>
      <c r="H487" s="334">
        <f>SUM(H488:H493)</f>
        <v>417</v>
      </c>
      <c r="I487" s="337" t="s">
        <v>316</v>
      </c>
    </row>
    <row r="488" spans="1:9" s="319" customFormat="1" ht="15.75" x14ac:dyDescent="0.2">
      <c r="A488" s="297" t="s">
        <v>471</v>
      </c>
      <c r="B488" s="285">
        <f t="shared" si="80"/>
        <v>2446</v>
      </c>
      <c r="C488" s="285">
        <v>2408</v>
      </c>
      <c r="D488" s="340">
        <v>1</v>
      </c>
      <c r="E488" s="340">
        <v>2</v>
      </c>
      <c r="F488" s="346">
        <v>0</v>
      </c>
      <c r="G488" s="346">
        <v>0</v>
      </c>
      <c r="H488" s="340">
        <v>35</v>
      </c>
      <c r="I488" s="293" t="s">
        <v>472</v>
      </c>
    </row>
    <row r="489" spans="1:9" s="319" customFormat="1" ht="15.75" x14ac:dyDescent="0.2">
      <c r="A489" s="297" t="s">
        <v>647</v>
      </c>
      <c r="B489" s="285">
        <f t="shared" si="80"/>
        <v>13343</v>
      </c>
      <c r="C489" s="285">
        <v>12828</v>
      </c>
      <c r="D489" s="340">
        <v>93</v>
      </c>
      <c r="E489" s="340">
        <v>188</v>
      </c>
      <c r="F489" s="346">
        <v>4</v>
      </c>
      <c r="G489" s="346">
        <v>5</v>
      </c>
      <c r="H489" s="340">
        <v>225</v>
      </c>
      <c r="I489" s="293" t="s">
        <v>648</v>
      </c>
    </row>
    <row r="490" spans="1:9" s="319" customFormat="1" ht="15.75" x14ac:dyDescent="0.2">
      <c r="A490" s="297" t="s">
        <v>683</v>
      </c>
      <c r="B490" s="285">
        <f t="shared" si="80"/>
        <v>3073</v>
      </c>
      <c r="C490" s="285">
        <v>3008</v>
      </c>
      <c r="D490" s="340">
        <v>3</v>
      </c>
      <c r="E490" s="340">
        <v>7</v>
      </c>
      <c r="F490" s="346">
        <v>0</v>
      </c>
      <c r="G490" s="346">
        <v>0</v>
      </c>
      <c r="H490" s="340">
        <v>55</v>
      </c>
      <c r="I490" s="293" t="s">
        <v>684</v>
      </c>
    </row>
    <row r="491" spans="1:9" s="319" customFormat="1" ht="15.75" x14ac:dyDescent="0.2">
      <c r="A491" s="297" t="s">
        <v>397</v>
      </c>
      <c r="B491" s="285">
        <f t="shared" si="80"/>
        <v>4649</v>
      </c>
      <c r="C491" s="285">
        <v>4460</v>
      </c>
      <c r="D491" s="340">
        <v>49</v>
      </c>
      <c r="E491" s="340">
        <v>84</v>
      </c>
      <c r="F491" s="346">
        <v>3</v>
      </c>
      <c r="G491" s="346">
        <v>5</v>
      </c>
      <c r="H491" s="340">
        <v>48</v>
      </c>
      <c r="I491" s="293" t="s">
        <v>398</v>
      </c>
    </row>
    <row r="492" spans="1:9" s="319" customFormat="1" ht="15.75" x14ac:dyDescent="0.2">
      <c r="A492" s="297" t="s">
        <v>685</v>
      </c>
      <c r="B492" s="285">
        <f t="shared" si="80"/>
        <v>1632</v>
      </c>
      <c r="C492" s="285">
        <v>1564</v>
      </c>
      <c r="D492" s="340">
        <v>13</v>
      </c>
      <c r="E492" s="340">
        <v>24</v>
      </c>
      <c r="F492" s="346">
        <v>0</v>
      </c>
      <c r="G492" s="346">
        <v>0</v>
      </c>
      <c r="H492" s="340">
        <v>31</v>
      </c>
      <c r="I492" s="293" t="s">
        <v>686</v>
      </c>
    </row>
    <row r="493" spans="1:9" s="319" customFormat="1" ht="15.75" x14ac:dyDescent="0.2">
      <c r="A493" s="301" t="s">
        <v>687</v>
      </c>
      <c r="B493" s="356">
        <f t="shared" si="80"/>
        <v>3102</v>
      </c>
      <c r="C493" s="356">
        <v>3035</v>
      </c>
      <c r="D493" s="369">
        <v>15</v>
      </c>
      <c r="E493" s="369">
        <v>29</v>
      </c>
      <c r="F493" s="369">
        <v>0</v>
      </c>
      <c r="G493" s="369">
        <v>0</v>
      </c>
      <c r="H493" s="369">
        <v>23</v>
      </c>
      <c r="I493" s="302" t="s">
        <v>688</v>
      </c>
    </row>
    <row r="494" spans="1:9" s="363" customFormat="1" ht="16.5" x14ac:dyDescent="0.2">
      <c r="A494" s="357" t="s">
        <v>689</v>
      </c>
      <c r="B494" s="358"/>
      <c r="C494" s="359"/>
      <c r="D494" s="360"/>
      <c r="E494" s="360"/>
      <c r="F494" s="360"/>
      <c r="G494" s="360"/>
      <c r="H494" s="361"/>
      <c r="I494" s="362" t="s">
        <v>690</v>
      </c>
    </row>
    <row r="495" spans="1:9" s="363" customFormat="1" ht="16.5" x14ac:dyDescent="0.2">
      <c r="A495" s="357" t="s">
        <v>691</v>
      </c>
      <c r="B495" s="358"/>
      <c r="D495" s="364"/>
      <c r="E495" s="364"/>
      <c r="F495" s="364"/>
      <c r="G495" s="364"/>
      <c r="H495" s="365"/>
      <c r="I495" s="362" t="s">
        <v>692</v>
      </c>
    </row>
    <row r="496" spans="1:9" s="363" customFormat="1" ht="16.5" x14ac:dyDescent="0.2">
      <c r="A496" s="357" t="s">
        <v>693</v>
      </c>
      <c r="B496" s="358"/>
      <c r="D496" s="364"/>
      <c r="E496" s="364"/>
      <c r="F496" s="364"/>
      <c r="G496" s="364"/>
      <c r="H496" s="365"/>
      <c r="I496" s="362" t="s">
        <v>694</v>
      </c>
    </row>
    <row r="497" spans="1:9" s="363" customFormat="1" ht="17.25" x14ac:dyDescent="0.45">
      <c r="A497" s="166" t="s">
        <v>1115</v>
      </c>
      <c r="I497" s="109" t="s">
        <v>1114</v>
      </c>
    </row>
    <row r="498" spans="1:9" s="785" customFormat="1" ht="16.5" x14ac:dyDescent="0.2">
      <c r="A498" s="783" t="s">
        <v>321</v>
      </c>
      <c r="B498" s="784"/>
      <c r="D498" s="786"/>
      <c r="E498" s="786"/>
      <c r="F498" s="786"/>
      <c r="G498" s="786"/>
      <c r="H498" s="787"/>
      <c r="I498" s="788" t="s">
        <v>322</v>
      </c>
    </row>
    <row r="499" spans="1:9" x14ac:dyDescent="0.25">
      <c r="H499" s="372"/>
      <c r="I499" s="1"/>
    </row>
    <row r="500" spans="1:9" x14ac:dyDescent="0.25">
      <c r="H500" s="372"/>
      <c r="I500" s="1"/>
    </row>
    <row r="501" spans="1:9" x14ac:dyDescent="0.25">
      <c r="H501" s="372"/>
      <c r="I501" s="1"/>
    </row>
    <row r="502" spans="1:9" x14ac:dyDescent="0.25">
      <c r="H502" s="372"/>
      <c r="I502" s="1"/>
    </row>
    <row r="503" spans="1:9" x14ac:dyDescent="0.25">
      <c r="H503" s="372"/>
      <c r="I503" s="1"/>
    </row>
    <row r="504" spans="1:9" x14ac:dyDescent="0.25">
      <c r="H504" s="372"/>
      <c r="I504" s="1"/>
    </row>
    <row r="505" spans="1:9" x14ac:dyDescent="0.25">
      <c r="H505" s="372"/>
      <c r="I505" s="1"/>
    </row>
    <row r="506" spans="1:9" x14ac:dyDescent="0.25">
      <c r="H506" s="372"/>
      <c r="I506" s="1"/>
    </row>
    <row r="507" spans="1:9" x14ac:dyDescent="0.25">
      <c r="H507" s="372"/>
      <c r="I507" s="1"/>
    </row>
    <row r="508" spans="1:9" x14ac:dyDescent="0.25">
      <c r="H508" s="372"/>
      <c r="I508" s="1"/>
    </row>
    <row r="509" spans="1:9" x14ac:dyDescent="0.25">
      <c r="H509" s="372"/>
      <c r="I509" s="1"/>
    </row>
    <row r="510" spans="1:9" x14ac:dyDescent="0.25">
      <c r="H510" s="372"/>
      <c r="I510" s="1"/>
    </row>
    <row r="511" spans="1:9" x14ac:dyDescent="0.25">
      <c r="H511" s="372"/>
      <c r="I511" s="1"/>
    </row>
    <row r="512" spans="1:9" x14ac:dyDescent="0.25">
      <c r="H512" s="372"/>
      <c r="I512" s="1"/>
    </row>
    <row r="513" spans="8:9" x14ac:dyDescent="0.25">
      <c r="H513" s="372"/>
      <c r="I513" s="1"/>
    </row>
    <row r="514" spans="8:9" x14ac:dyDescent="0.25">
      <c r="H514" s="372"/>
      <c r="I514" s="1"/>
    </row>
    <row r="515" spans="8:9" x14ac:dyDescent="0.25">
      <c r="H515" s="372"/>
      <c r="I515" s="1"/>
    </row>
    <row r="516" spans="8:9" x14ac:dyDescent="0.25">
      <c r="H516" s="372"/>
      <c r="I516" s="1"/>
    </row>
    <row r="517" spans="8:9" x14ac:dyDescent="0.25">
      <c r="H517" s="372"/>
      <c r="I517" s="1"/>
    </row>
    <row r="518" spans="8:9" x14ac:dyDescent="0.25">
      <c r="H518" s="372"/>
      <c r="I518" s="1"/>
    </row>
    <row r="519" spans="8:9" x14ac:dyDescent="0.25">
      <c r="H519" s="372"/>
      <c r="I519" s="1"/>
    </row>
    <row r="520" spans="8:9" x14ac:dyDescent="0.25">
      <c r="H520" s="372"/>
      <c r="I520" s="1"/>
    </row>
    <row r="521" spans="8:9" x14ac:dyDescent="0.25">
      <c r="H521" s="372"/>
      <c r="I521" s="1"/>
    </row>
    <row r="522" spans="8:9" x14ac:dyDescent="0.25">
      <c r="H522" s="372"/>
      <c r="I522" s="1"/>
    </row>
    <row r="523" spans="8:9" x14ac:dyDescent="0.25">
      <c r="H523" s="372"/>
      <c r="I523" s="1"/>
    </row>
    <row r="524" spans="8:9" x14ac:dyDescent="0.25">
      <c r="H524" s="372"/>
      <c r="I524" s="1"/>
    </row>
    <row r="525" spans="8:9" x14ac:dyDescent="0.25">
      <c r="H525" s="372"/>
      <c r="I525" s="1"/>
    </row>
    <row r="526" spans="8:9" x14ac:dyDescent="0.25">
      <c r="H526" s="372"/>
      <c r="I526" s="1"/>
    </row>
    <row r="527" spans="8:9" x14ac:dyDescent="0.25">
      <c r="H527" s="372"/>
      <c r="I527" s="1"/>
    </row>
    <row r="528" spans="8:9" x14ac:dyDescent="0.25">
      <c r="H528" s="372"/>
      <c r="I528" s="1"/>
    </row>
    <row r="529" spans="8:9" x14ac:dyDescent="0.25">
      <c r="H529" s="372"/>
      <c r="I529" s="1"/>
    </row>
    <row r="530" spans="8:9" x14ac:dyDescent="0.25">
      <c r="H530" s="372"/>
      <c r="I530" s="1"/>
    </row>
    <row r="531" spans="8:9" x14ac:dyDescent="0.25">
      <c r="H531" s="372"/>
      <c r="I531" s="1"/>
    </row>
    <row r="532" spans="8:9" x14ac:dyDescent="0.25">
      <c r="H532" s="372"/>
      <c r="I532" s="1"/>
    </row>
    <row r="533" spans="8:9" x14ac:dyDescent="0.25">
      <c r="H533" s="372"/>
      <c r="I533" s="1"/>
    </row>
    <row r="534" spans="8:9" x14ac:dyDescent="0.25">
      <c r="H534" s="372"/>
      <c r="I534" s="1"/>
    </row>
    <row r="535" spans="8:9" x14ac:dyDescent="0.25">
      <c r="H535" s="372"/>
      <c r="I535" s="1"/>
    </row>
    <row r="536" spans="8:9" x14ac:dyDescent="0.25">
      <c r="H536" s="372"/>
      <c r="I536" s="1"/>
    </row>
    <row r="537" spans="8:9" x14ac:dyDescent="0.25">
      <c r="H537" s="372"/>
      <c r="I537" s="1"/>
    </row>
    <row r="538" spans="8:9" x14ac:dyDescent="0.25">
      <c r="H538" s="372"/>
      <c r="I538" s="1"/>
    </row>
    <row r="539" spans="8:9" x14ac:dyDescent="0.25">
      <c r="H539" s="372"/>
      <c r="I539" s="1"/>
    </row>
    <row r="540" spans="8:9" x14ac:dyDescent="0.25">
      <c r="H540" s="372"/>
      <c r="I540" s="1"/>
    </row>
    <row r="541" spans="8:9" x14ac:dyDescent="0.25">
      <c r="H541" s="372"/>
      <c r="I541" s="1"/>
    </row>
    <row r="542" spans="8:9" x14ac:dyDescent="0.25">
      <c r="H542" s="372"/>
      <c r="I542" s="1"/>
    </row>
    <row r="543" spans="8:9" x14ac:dyDescent="0.25">
      <c r="H543" s="372"/>
      <c r="I543" s="1"/>
    </row>
    <row r="544" spans="8:9" x14ac:dyDescent="0.25">
      <c r="H544" s="372"/>
      <c r="I544" s="1"/>
    </row>
    <row r="545" spans="8:9" x14ac:dyDescent="0.25">
      <c r="H545" s="372"/>
      <c r="I545" s="1"/>
    </row>
    <row r="546" spans="8:9" x14ac:dyDescent="0.25">
      <c r="H546" s="372"/>
      <c r="I546" s="1"/>
    </row>
    <row r="547" spans="8:9" x14ac:dyDescent="0.25">
      <c r="H547" s="372"/>
      <c r="I547" s="1"/>
    </row>
    <row r="548" spans="8:9" x14ac:dyDescent="0.25">
      <c r="H548" s="372"/>
      <c r="I548" s="1"/>
    </row>
    <row r="549" spans="8:9" x14ac:dyDescent="0.25">
      <c r="H549" s="372"/>
      <c r="I549" s="1"/>
    </row>
    <row r="550" spans="8:9" x14ac:dyDescent="0.25">
      <c r="H550" s="372"/>
      <c r="I550" s="1"/>
    </row>
    <row r="551" spans="8:9" x14ac:dyDescent="0.25">
      <c r="H551" s="372"/>
      <c r="I551" s="1"/>
    </row>
    <row r="552" spans="8:9" x14ac:dyDescent="0.25">
      <c r="H552" s="372"/>
      <c r="I552" s="1"/>
    </row>
    <row r="553" spans="8:9" x14ac:dyDescent="0.25">
      <c r="H553" s="372"/>
      <c r="I553" s="1"/>
    </row>
    <row r="554" spans="8:9" x14ac:dyDescent="0.25">
      <c r="H554" s="372"/>
      <c r="I554" s="1"/>
    </row>
    <row r="555" spans="8:9" x14ac:dyDescent="0.25">
      <c r="H555" s="372"/>
      <c r="I555" s="1"/>
    </row>
    <row r="556" spans="8:9" x14ac:dyDescent="0.25">
      <c r="H556" s="372"/>
      <c r="I556" s="1"/>
    </row>
    <row r="557" spans="8:9" x14ac:dyDescent="0.25">
      <c r="H557" s="372"/>
      <c r="I557" s="1"/>
    </row>
    <row r="558" spans="8:9" x14ac:dyDescent="0.25">
      <c r="H558" s="372"/>
      <c r="I558" s="1"/>
    </row>
    <row r="559" spans="8:9" x14ac:dyDescent="0.25">
      <c r="H559" s="372"/>
      <c r="I559" s="1"/>
    </row>
    <row r="560" spans="8:9" x14ac:dyDescent="0.25">
      <c r="H560" s="372"/>
      <c r="I560" s="1"/>
    </row>
    <row r="561" spans="8:9" x14ac:dyDescent="0.25">
      <c r="H561" s="372"/>
      <c r="I561" s="1"/>
    </row>
    <row r="562" spans="8:9" x14ac:dyDescent="0.25">
      <c r="H562" s="372"/>
      <c r="I562" s="1"/>
    </row>
    <row r="563" spans="8:9" x14ac:dyDescent="0.25">
      <c r="H563" s="372"/>
      <c r="I563" s="1"/>
    </row>
    <row r="564" spans="8:9" x14ac:dyDescent="0.25">
      <c r="H564" s="372"/>
      <c r="I564" s="1"/>
    </row>
    <row r="565" spans="8:9" x14ac:dyDescent="0.25">
      <c r="H565" s="372"/>
      <c r="I565" s="1"/>
    </row>
    <row r="566" spans="8:9" x14ac:dyDescent="0.25">
      <c r="H566" s="372"/>
      <c r="I566" s="1"/>
    </row>
    <row r="567" spans="8:9" x14ac:dyDescent="0.25">
      <c r="H567" s="372"/>
      <c r="I567" s="1"/>
    </row>
    <row r="568" spans="8:9" x14ac:dyDescent="0.25">
      <c r="H568" s="372"/>
      <c r="I568" s="1"/>
    </row>
    <row r="569" spans="8:9" x14ac:dyDescent="0.25">
      <c r="H569" s="372"/>
      <c r="I569" s="1"/>
    </row>
    <row r="570" spans="8:9" x14ac:dyDescent="0.25">
      <c r="H570" s="372"/>
      <c r="I570" s="1"/>
    </row>
    <row r="571" spans="8:9" x14ac:dyDescent="0.25">
      <c r="H571" s="372"/>
      <c r="I571" s="1"/>
    </row>
    <row r="572" spans="8:9" x14ac:dyDescent="0.25">
      <c r="H572" s="372"/>
      <c r="I572" s="1"/>
    </row>
    <row r="573" spans="8:9" x14ac:dyDescent="0.25">
      <c r="H573" s="372"/>
      <c r="I573" s="1"/>
    </row>
    <row r="574" spans="8:9" x14ac:dyDescent="0.25">
      <c r="H574" s="372"/>
      <c r="I574" s="1"/>
    </row>
    <row r="575" spans="8:9" x14ac:dyDescent="0.25">
      <c r="H575" s="372"/>
      <c r="I575" s="1"/>
    </row>
    <row r="576" spans="8:9" x14ac:dyDescent="0.25">
      <c r="H576" s="372"/>
      <c r="I576" s="1"/>
    </row>
    <row r="577" spans="8:9" x14ac:dyDescent="0.25">
      <c r="H577" s="372"/>
      <c r="I577" s="1"/>
    </row>
    <row r="578" spans="8:9" x14ac:dyDescent="0.25">
      <c r="H578" s="372"/>
      <c r="I578" s="1"/>
    </row>
    <row r="579" spans="8:9" x14ac:dyDescent="0.25">
      <c r="H579" s="372"/>
      <c r="I579" s="1"/>
    </row>
    <row r="580" spans="8:9" x14ac:dyDescent="0.25">
      <c r="H580" s="372"/>
      <c r="I580" s="1"/>
    </row>
    <row r="581" spans="8:9" x14ac:dyDescent="0.25">
      <c r="H581" s="372"/>
      <c r="I581" s="1"/>
    </row>
    <row r="582" spans="8:9" x14ac:dyDescent="0.25">
      <c r="H582" s="372"/>
      <c r="I582" s="1"/>
    </row>
    <row r="583" spans="8:9" x14ac:dyDescent="0.25">
      <c r="H583" s="372"/>
      <c r="I583" s="1"/>
    </row>
    <row r="584" spans="8:9" x14ac:dyDescent="0.25">
      <c r="H584" s="372"/>
      <c r="I584" s="1"/>
    </row>
    <row r="585" spans="8:9" x14ac:dyDescent="0.25">
      <c r="H585" s="372"/>
      <c r="I585" s="1"/>
    </row>
    <row r="586" spans="8:9" x14ac:dyDescent="0.25">
      <c r="H586" s="372"/>
      <c r="I586" s="1"/>
    </row>
    <row r="587" spans="8:9" x14ac:dyDescent="0.25">
      <c r="H587" s="372"/>
      <c r="I587" s="1"/>
    </row>
    <row r="588" spans="8:9" x14ac:dyDescent="0.25">
      <c r="H588" s="372"/>
      <c r="I588" s="1"/>
    </row>
    <row r="589" spans="8:9" x14ac:dyDescent="0.25">
      <c r="H589" s="372"/>
      <c r="I589" s="1"/>
    </row>
    <row r="590" spans="8:9" x14ac:dyDescent="0.25">
      <c r="H590" s="372"/>
      <c r="I590" s="1"/>
    </row>
    <row r="591" spans="8:9" x14ac:dyDescent="0.25">
      <c r="H591" s="372"/>
      <c r="I591" s="1"/>
    </row>
    <row r="592" spans="8:9" x14ac:dyDescent="0.25">
      <c r="H592" s="372"/>
      <c r="I592" s="1"/>
    </row>
    <row r="593" spans="8:9" x14ac:dyDescent="0.25">
      <c r="H593" s="372"/>
      <c r="I593" s="1"/>
    </row>
    <row r="594" spans="8:9" x14ac:dyDescent="0.25">
      <c r="H594" s="372"/>
      <c r="I594" s="1"/>
    </row>
    <row r="595" spans="8:9" x14ac:dyDescent="0.25">
      <c r="H595" s="372"/>
      <c r="I595" s="1"/>
    </row>
    <row r="596" spans="8:9" x14ac:dyDescent="0.25">
      <c r="H596" s="372"/>
      <c r="I596" s="1"/>
    </row>
    <row r="597" spans="8:9" x14ac:dyDescent="0.25">
      <c r="H597" s="372"/>
      <c r="I597" s="1"/>
    </row>
    <row r="598" spans="8:9" x14ac:dyDescent="0.25">
      <c r="H598" s="372"/>
      <c r="I598" s="1"/>
    </row>
    <row r="599" spans="8:9" x14ac:dyDescent="0.25">
      <c r="H599" s="372"/>
      <c r="I599" s="1"/>
    </row>
    <row r="600" spans="8:9" x14ac:dyDescent="0.25">
      <c r="H600" s="372"/>
      <c r="I600" s="1"/>
    </row>
    <row r="601" spans="8:9" x14ac:dyDescent="0.25">
      <c r="H601" s="372"/>
      <c r="I601" s="1"/>
    </row>
    <row r="602" spans="8:9" x14ac:dyDescent="0.25">
      <c r="H602" s="372"/>
      <c r="I602" s="1"/>
    </row>
    <row r="603" spans="8:9" x14ac:dyDescent="0.25">
      <c r="H603" s="372"/>
      <c r="I603" s="1"/>
    </row>
    <row r="604" spans="8:9" x14ac:dyDescent="0.25">
      <c r="H604" s="372"/>
      <c r="I604" s="1"/>
    </row>
    <row r="605" spans="8:9" x14ac:dyDescent="0.25">
      <c r="H605" s="372"/>
      <c r="I605" s="1"/>
    </row>
    <row r="606" spans="8:9" x14ac:dyDescent="0.25">
      <c r="H606" s="372"/>
      <c r="I606" s="1"/>
    </row>
    <row r="607" spans="8:9" x14ac:dyDescent="0.25">
      <c r="H607" s="372"/>
      <c r="I607" s="1"/>
    </row>
    <row r="608" spans="8:9" x14ac:dyDescent="0.25">
      <c r="H608" s="372"/>
      <c r="I608" s="1"/>
    </row>
    <row r="609" spans="8:9" x14ac:dyDescent="0.25">
      <c r="H609" s="372"/>
      <c r="I609" s="1"/>
    </row>
    <row r="610" spans="8:9" x14ac:dyDescent="0.25">
      <c r="H610" s="372"/>
      <c r="I610" s="1"/>
    </row>
    <row r="611" spans="8:9" x14ac:dyDescent="0.25">
      <c r="H611" s="372"/>
      <c r="I611" s="1"/>
    </row>
    <row r="612" spans="8:9" x14ac:dyDescent="0.25">
      <c r="H612" s="372"/>
      <c r="I612" s="1"/>
    </row>
    <row r="613" spans="8:9" x14ac:dyDescent="0.25">
      <c r="H613" s="372"/>
      <c r="I613" s="1"/>
    </row>
    <row r="614" spans="8:9" x14ac:dyDescent="0.25">
      <c r="H614" s="372"/>
      <c r="I614" s="1"/>
    </row>
    <row r="615" spans="8:9" x14ac:dyDescent="0.25">
      <c r="H615" s="372"/>
      <c r="I615" s="1"/>
    </row>
    <row r="616" spans="8:9" x14ac:dyDescent="0.25">
      <c r="H616" s="372"/>
      <c r="I616" s="1"/>
    </row>
    <row r="617" spans="8:9" x14ac:dyDescent="0.25">
      <c r="H617" s="372"/>
      <c r="I617" s="1"/>
    </row>
    <row r="618" spans="8:9" x14ac:dyDescent="0.25">
      <c r="H618" s="372"/>
      <c r="I618" s="1"/>
    </row>
    <row r="619" spans="8:9" x14ac:dyDescent="0.25">
      <c r="H619" s="372"/>
      <c r="I619" s="1"/>
    </row>
    <row r="620" spans="8:9" x14ac:dyDescent="0.25">
      <c r="H620" s="372"/>
      <c r="I620" s="1"/>
    </row>
    <row r="621" spans="8:9" x14ac:dyDescent="0.25">
      <c r="H621" s="372"/>
      <c r="I621" s="1"/>
    </row>
    <row r="622" spans="8:9" x14ac:dyDescent="0.25">
      <c r="H622" s="372"/>
      <c r="I622" s="1"/>
    </row>
    <row r="623" spans="8:9" x14ac:dyDescent="0.25">
      <c r="H623" s="372"/>
      <c r="I623" s="1"/>
    </row>
    <row r="624" spans="8:9" x14ac:dyDescent="0.25">
      <c r="H624" s="372"/>
      <c r="I624" s="1"/>
    </row>
    <row r="625" spans="8:9" x14ac:dyDescent="0.25">
      <c r="H625" s="372"/>
      <c r="I625" s="1"/>
    </row>
    <row r="626" spans="8:9" x14ac:dyDescent="0.25">
      <c r="H626" s="372"/>
      <c r="I626" s="1"/>
    </row>
    <row r="627" spans="8:9" x14ac:dyDescent="0.25">
      <c r="H627" s="372"/>
      <c r="I627" s="1"/>
    </row>
    <row r="628" spans="8:9" x14ac:dyDescent="0.25">
      <c r="H628" s="372"/>
      <c r="I628" s="1"/>
    </row>
    <row r="629" spans="8:9" x14ac:dyDescent="0.25">
      <c r="H629" s="372"/>
      <c r="I629" s="1"/>
    </row>
    <row r="630" spans="8:9" x14ac:dyDescent="0.25">
      <c r="H630" s="372"/>
      <c r="I630" s="1"/>
    </row>
    <row r="631" spans="8:9" x14ac:dyDescent="0.25">
      <c r="H631" s="372"/>
      <c r="I631" s="1"/>
    </row>
    <row r="632" spans="8:9" x14ac:dyDescent="0.25">
      <c r="H632" s="372"/>
      <c r="I632" s="1"/>
    </row>
    <row r="633" spans="8:9" x14ac:dyDescent="0.25">
      <c r="H633" s="372"/>
      <c r="I633" s="1"/>
    </row>
    <row r="634" spans="8:9" x14ac:dyDescent="0.25">
      <c r="H634" s="372"/>
      <c r="I634" s="1"/>
    </row>
    <row r="635" spans="8:9" x14ac:dyDescent="0.25">
      <c r="H635" s="372"/>
      <c r="I635" s="1"/>
    </row>
    <row r="636" spans="8:9" x14ac:dyDescent="0.25">
      <c r="H636" s="372"/>
      <c r="I636" s="1"/>
    </row>
    <row r="637" spans="8:9" x14ac:dyDescent="0.25">
      <c r="H637" s="372"/>
      <c r="I637" s="1"/>
    </row>
    <row r="638" spans="8:9" x14ac:dyDescent="0.25">
      <c r="H638" s="372"/>
      <c r="I638" s="1"/>
    </row>
    <row r="639" spans="8:9" x14ac:dyDescent="0.25">
      <c r="H639" s="372"/>
      <c r="I639" s="1"/>
    </row>
    <row r="640" spans="8:9" x14ac:dyDescent="0.25">
      <c r="H640" s="372"/>
      <c r="I640" s="1"/>
    </row>
    <row r="641" spans="8:9" x14ac:dyDescent="0.25">
      <c r="H641" s="372"/>
      <c r="I641" s="1"/>
    </row>
    <row r="642" spans="8:9" x14ac:dyDescent="0.25">
      <c r="H642" s="372"/>
      <c r="I642" s="1"/>
    </row>
    <row r="643" spans="8:9" x14ac:dyDescent="0.25">
      <c r="H643" s="372"/>
      <c r="I643" s="1"/>
    </row>
    <row r="644" spans="8:9" x14ac:dyDescent="0.25">
      <c r="H644" s="372"/>
      <c r="I644" s="1"/>
    </row>
    <row r="645" spans="8:9" x14ac:dyDescent="0.25">
      <c r="H645" s="372"/>
      <c r="I645" s="1"/>
    </row>
    <row r="646" spans="8:9" x14ac:dyDescent="0.25">
      <c r="H646" s="372"/>
      <c r="I646" s="1"/>
    </row>
    <row r="647" spans="8:9" x14ac:dyDescent="0.25">
      <c r="H647" s="372"/>
      <c r="I647" s="1"/>
    </row>
    <row r="648" spans="8:9" x14ac:dyDescent="0.25">
      <c r="H648" s="372"/>
      <c r="I648" s="1"/>
    </row>
    <row r="649" spans="8:9" x14ac:dyDescent="0.25">
      <c r="H649" s="372"/>
      <c r="I649" s="1"/>
    </row>
    <row r="650" spans="8:9" x14ac:dyDescent="0.25">
      <c r="H650" s="372"/>
      <c r="I650" s="1"/>
    </row>
    <row r="651" spans="8:9" x14ac:dyDescent="0.25">
      <c r="H651" s="372"/>
      <c r="I651" s="1"/>
    </row>
    <row r="652" spans="8:9" x14ac:dyDescent="0.25">
      <c r="H652" s="372"/>
      <c r="I652" s="1"/>
    </row>
    <row r="653" spans="8:9" x14ac:dyDescent="0.25">
      <c r="H653" s="372"/>
      <c r="I653" s="1"/>
    </row>
    <row r="654" spans="8:9" x14ac:dyDescent="0.25">
      <c r="H654" s="372"/>
      <c r="I654" s="1"/>
    </row>
    <row r="655" spans="8:9" x14ac:dyDescent="0.25">
      <c r="H655" s="372"/>
      <c r="I655" s="1"/>
    </row>
    <row r="656" spans="8:9" x14ac:dyDescent="0.25">
      <c r="H656" s="372"/>
      <c r="I656" s="1"/>
    </row>
    <row r="657" spans="8:9" x14ac:dyDescent="0.25">
      <c r="H657" s="372"/>
      <c r="I657" s="1"/>
    </row>
    <row r="658" spans="8:9" x14ac:dyDescent="0.25">
      <c r="H658" s="372"/>
      <c r="I658" s="1"/>
    </row>
    <row r="659" spans="8:9" x14ac:dyDescent="0.25">
      <c r="H659" s="372"/>
      <c r="I659" s="1"/>
    </row>
    <row r="660" spans="8:9" x14ac:dyDescent="0.25">
      <c r="H660" s="372"/>
      <c r="I660" s="1"/>
    </row>
    <row r="661" spans="8:9" x14ac:dyDescent="0.25">
      <c r="H661" s="372"/>
      <c r="I661" s="1"/>
    </row>
    <row r="662" spans="8:9" x14ac:dyDescent="0.25">
      <c r="H662" s="372"/>
      <c r="I662" s="1"/>
    </row>
    <row r="663" spans="8:9" x14ac:dyDescent="0.25">
      <c r="H663" s="372"/>
      <c r="I663" s="1"/>
    </row>
    <row r="664" spans="8:9" x14ac:dyDescent="0.25">
      <c r="H664" s="372"/>
      <c r="I664" s="1"/>
    </row>
    <row r="665" spans="8:9" x14ac:dyDescent="0.25">
      <c r="H665" s="372"/>
      <c r="I665" s="1"/>
    </row>
  </sheetData>
  <mergeCells count="24">
    <mergeCell ref="B253:B257"/>
    <mergeCell ref="C253:C254"/>
    <mergeCell ref="D253:E254"/>
    <mergeCell ref="F253:G254"/>
    <mergeCell ref="A251:I251"/>
    <mergeCell ref="A252:I252"/>
    <mergeCell ref="I253:I257"/>
    <mergeCell ref="D255:E255"/>
    <mergeCell ref="F255:G255"/>
    <mergeCell ref="H256:H257"/>
    <mergeCell ref="H253:H255"/>
    <mergeCell ref="A2:J2"/>
    <mergeCell ref="A3:J3"/>
    <mergeCell ref="B4:B8"/>
    <mergeCell ref="C4:C5"/>
    <mergeCell ref="D4:E5"/>
    <mergeCell ref="F4:G5"/>
    <mergeCell ref="H4:H5"/>
    <mergeCell ref="I4:I5"/>
    <mergeCell ref="J4:J8"/>
    <mergeCell ref="D6:E6"/>
    <mergeCell ref="F6:G6"/>
    <mergeCell ref="H6:H8"/>
    <mergeCell ref="I6:I8"/>
  </mergeCells>
  <pageMargins left="0.7" right="0.7" top="0.75" bottom="0.75" header="0.3" footer="0.3"/>
  <pageSetup paperSize="9" scale="68" orientation="landscape" r:id="rId1"/>
  <rowBreaks count="13" manualBreakCount="13">
    <brk id="41" max="9" man="1"/>
    <brk id="74" max="9" man="1"/>
    <brk id="111" max="9" man="1"/>
    <brk id="147" max="9" man="1"/>
    <brk id="181" max="9" man="1"/>
    <brk id="211" max="9" man="1"/>
    <brk id="248" max="9" man="1"/>
    <brk id="292" max="9" man="1"/>
    <brk id="323" max="9" man="1"/>
    <brk id="363" max="9" man="1"/>
    <brk id="396" max="9" man="1"/>
    <brk id="430" max="9" man="1"/>
    <brk id="459" max="9"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51"/>
  <sheetViews>
    <sheetView zoomScaleNormal="100" zoomScaleSheetLayoutView="73" workbookViewId="0">
      <selection activeCell="F25" sqref="F25"/>
    </sheetView>
  </sheetViews>
  <sheetFormatPr defaultColWidth="9.140625" defaultRowHeight="15" x14ac:dyDescent="0.25"/>
  <cols>
    <col min="1" max="1" width="10.85546875" style="384" customWidth="1"/>
    <col min="2" max="2" width="14.42578125" style="384" hidden="1" customWidth="1"/>
    <col min="3" max="3" width="17.140625" style="398" customWidth="1"/>
    <col min="4" max="4" width="16.85546875" style="384" customWidth="1"/>
    <col min="5" max="5" width="17.85546875" style="384" customWidth="1"/>
    <col min="6" max="7" width="19" style="384" customWidth="1"/>
    <col min="8" max="8" width="14.5703125" style="407" customWidth="1"/>
    <col min="9" max="9" width="5.7109375" style="384" customWidth="1"/>
    <col min="10" max="10" width="26.28515625" style="384" bestFit="1" customWidth="1"/>
    <col min="11" max="11" width="13.5703125" style="384" bestFit="1" customWidth="1"/>
    <col min="12" max="12" width="9.42578125" style="384" customWidth="1"/>
    <col min="13" max="16" width="15.28515625" style="384" customWidth="1"/>
    <col min="17" max="21" width="12" style="384" customWidth="1"/>
    <col min="22" max="22" width="10.140625" style="384" customWidth="1"/>
    <col min="23" max="16384" width="9.140625" style="384"/>
  </cols>
  <sheetData>
    <row r="1" spans="1:12" s="373" customFormat="1" ht="21" x14ac:dyDescent="0.2">
      <c r="A1" s="919" t="s">
        <v>1119</v>
      </c>
      <c r="B1" s="919"/>
      <c r="C1" s="919"/>
      <c r="D1" s="919"/>
      <c r="E1" s="919"/>
      <c r="F1" s="919"/>
      <c r="G1" s="919"/>
      <c r="H1" s="919"/>
    </row>
    <row r="2" spans="1:12" s="373" customFormat="1" x14ac:dyDescent="0.2">
      <c r="A2" s="920" t="s">
        <v>1116</v>
      </c>
      <c r="B2" s="920"/>
      <c r="C2" s="920"/>
      <c r="D2" s="920"/>
      <c r="E2" s="920"/>
      <c r="F2" s="920"/>
      <c r="G2" s="920"/>
      <c r="H2" s="920"/>
    </row>
    <row r="3" spans="1:12" s="376" customFormat="1" ht="12.75" x14ac:dyDescent="0.2">
      <c r="A3" s="374"/>
      <c r="B3" s="921" t="s">
        <v>697</v>
      </c>
      <c r="C3" s="922" t="s">
        <v>698</v>
      </c>
      <c r="D3" s="922" t="s">
        <v>699</v>
      </c>
      <c r="E3" s="922" t="s">
        <v>700</v>
      </c>
      <c r="F3" s="922" t="s">
        <v>701</v>
      </c>
      <c r="G3" s="922" t="s">
        <v>331</v>
      </c>
      <c r="H3" s="375"/>
    </row>
    <row r="4" spans="1:12" s="379" customFormat="1" ht="18.75" x14ac:dyDescent="0.2">
      <c r="A4" s="377" t="s">
        <v>22</v>
      </c>
      <c r="B4" s="921"/>
      <c r="C4" s="923"/>
      <c r="D4" s="923"/>
      <c r="E4" s="923"/>
      <c r="F4" s="924"/>
      <c r="G4" s="925"/>
      <c r="H4" s="378" t="s">
        <v>82</v>
      </c>
    </row>
    <row r="5" spans="1:12" ht="56.25" x14ac:dyDescent="0.25">
      <c r="A5" s="380"/>
      <c r="B5" s="921"/>
      <c r="C5" s="381" t="s">
        <v>332</v>
      </c>
      <c r="D5" s="381" t="s">
        <v>702</v>
      </c>
      <c r="E5" s="381" t="s">
        <v>247</v>
      </c>
      <c r="F5" s="382" t="s">
        <v>248</v>
      </c>
      <c r="G5" s="381" t="s">
        <v>249</v>
      </c>
      <c r="H5" s="383"/>
    </row>
    <row r="6" spans="1:12" s="391" customFormat="1" ht="18.75" x14ac:dyDescent="0.2">
      <c r="A6" s="385" t="s">
        <v>2</v>
      </c>
      <c r="B6" s="386">
        <f t="shared" ref="B6:E6" si="0">SUM(B7:B18)</f>
        <v>0</v>
      </c>
      <c r="C6" s="387">
        <f t="shared" si="0"/>
        <v>1400609841.9112999</v>
      </c>
      <c r="D6" s="387">
        <f t="shared" si="0"/>
        <v>62871000</v>
      </c>
      <c r="E6" s="388">
        <f t="shared" si="0"/>
        <v>2464500</v>
      </c>
      <c r="F6" s="388">
        <f>SUM(F7:F18)</f>
        <v>51002563.189999998</v>
      </c>
      <c r="G6" s="389">
        <f t="shared" ref="G6" si="1">SUM(G7:G18)</f>
        <v>154048000</v>
      </c>
      <c r="H6" s="390" t="s">
        <v>75</v>
      </c>
    </row>
    <row r="7" spans="1:12" s="391" customFormat="1" ht="18.75" x14ac:dyDescent="0.2">
      <c r="A7" s="392" t="s">
        <v>703</v>
      </c>
      <c r="B7" s="393"/>
      <c r="C7" s="399">
        <v>102826759.9895</v>
      </c>
      <c r="D7" s="399">
        <v>5872000</v>
      </c>
      <c r="E7" s="400">
        <v>214000</v>
      </c>
      <c r="F7" s="400">
        <v>1454038.5</v>
      </c>
      <c r="G7" s="401">
        <v>22463000</v>
      </c>
      <c r="H7" s="394" t="s">
        <v>83</v>
      </c>
    </row>
    <row r="8" spans="1:12" s="391" customFormat="1" ht="18.75" customHeight="1" x14ac:dyDescent="0.2">
      <c r="A8" s="392" t="s">
        <v>704</v>
      </c>
      <c r="B8" s="393"/>
      <c r="C8" s="399">
        <v>102375932.3681</v>
      </c>
      <c r="D8" s="399">
        <v>5465000</v>
      </c>
      <c r="E8" s="401">
        <v>200000</v>
      </c>
      <c r="F8" s="400">
        <v>2338731.58</v>
      </c>
      <c r="G8" s="399">
        <v>11456000</v>
      </c>
      <c r="H8" s="394" t="s">
        <v>84</v>
      </c>
      <c r="J8" s="758"/>
      <c r="K8" s="387"/>
    </row>
    <row r="9" spans="1:12" s="391" customFormat="1" ht="18.75" customHeight="1" x14ac:dyDescent="0.2">
      <c r="A9" s="392" t="s">
        <v>705</v>
      </c>
      <c r="B9" s="393"/>
      <c r="C9" s="399">
        <v>116454985.0644</v>
      </c>
      <c r="D9" s="399">
        <v>5311000</v>
      </c>
      <c r="E9" s="401">
        <v>204000</v>
      </c>
      <c r="F9" s="400">
        <v>2068380.29</v>
      </c>
      <c r="G9" s="399">
        <v>11620000</v>
      </c>
      <c r="H9" s="394" t="s">
        <v>706</v>
      </c>
      <c r="J9" s="758"/>
      <c r="K9" s="387"/>
    </row>
    <row r="10" spans="1:12" s="391" customFormat="1" ht="18.75" customHeight="1" x14ac:dyDescent="0.2">
      <c r="A10" s="392" t="s">
        <v>707</v>
      </c>
      <c r="B10" s="393"/>
      <c r="C10" s="399">
        <v>109914720.3662</v>
      </c>
      <c r="D10" s="399">
        <v>5350000</v>
      </c>
      <c r="E10" s="401">
        <v>205000</v>
      </c>
      <c r="F10" s="400">
        <v>3238492.84</v>
      </c>
      <c r="G10" s="399">
        <v>11730000</v>
      </c>
      <c r="H10" s="394" t="s">
        <v>708</v>
      </c>
      <c r="J10" s="758"/>
      <c r="K10" s="388"/>
    </row>
    <row r="11" spans="1:12" s="391" customFormat="1" ht="18.75" customHeight="1" x14ac:dyDescent="0.2">
      <c r="A11" s="392" t="s">
        <v>14</v>
      </c>
      <c r="B11" s="393"/>
      <c r="C11" s="399">
        <v>108293290.7855</v>
      </c>
      <c r="D11" s="399">
        <v>5284000</v>
      </c>
      <c r="E11" s="401">
        <v>207000</v>
      </c>
      <c r="F11" s="400">
        <v>3315489.32</v>
      </c>
      <c r="G11" s="399">
        <v>11782000</v>
      </c>
      <c r="H11" s="394" t="s">
        <v>87</v>
      </c>
      <c r="J11" s="758"/>
      <c r="K11" s="388"/>
    </row>
    <row r="12" spans="1:12" s="391" customFormat="1" ht="18.75" customHeight="1" x14ac:dyDescent="0.2">
      <c r="A12" s="392" t="s">
        <v>709</v>
      </c>
      <c r="B12" s="393"/>
      <c r="C12" s="399">
        <v>105109077.3258</v>
      </c>
      <c r="D12" s="402">
        <v>5182000</v>
      </c>
      <c r="E12" s="401">
        <v>211000</v>
      </c>
      <c r="F12" s="400">
        <v>4320493.41</v>
      </c>
      <c r="G12" s="399">
        <v>11929000</v>
      </c>
      <c r="H12" s="394" t="s">
        <v>88</v>
      </c>
      <c r="J12" s="758"/>
      <c r="K12" s="389"/>
    </row>
    <row r="13" spans="1:12" s="391" customFormat="1" ht="18.75" x14ac:dyDescent="0.2">
      <c r="A13" s="392" t="s">
        <v>710</v>
      </c>
      <c r="B13" s="393"/>
      <c r="C13" s="399">
        <v>97090065.586700007</v>
      </c>
      <c r="D13" s="399">
        <v>5160000</v>
      </c>
      <c r="E13" s="401">
        <v>205500</v>
      </c>
      <c r="F13" s="400">
        <v>2662839.5599999996</v>
      </c>
      <c r="G13" s="399">
        <v>12010000</v>
      </c>
      <c r="H13" s="394" t="s">
        <v>89</v>
      </c>
    </row>
    <row r="14" spans="1:12" s="391" customFormat="1" ht="18.75" x14ac:dyDescent="0.2">
      <c r="A14" s="392" t="s">
        <v>711</v>
      </c>
      <c r="B14" s="393"/>
      <c r="C14" s="399">
        <v>128407590.14380001</v>
      </c>
      <c r="D14" s="399">
        <v>5025000</v>
      </c>
      <c r="E14" s="401">
        <v>207000</v>
      </c>
      <c r="F14" s="400">
        <v>6187943.6500000004</v>
      </c>
      <c r="G14" s="403">
        <v>12090000</v>
      </c>
      <c r="H14" s="394" t="s">
        <v>90</v>
      </c>
      <c r="J14" s="391">
        <f>((F26/F6)-1)*100</f>
        <v>-30.071461551577762</v>
      </c>
      <c r="K14" s="391">
        <f>((G26/G6)-1)*100</f>
        <v>-16.962245533859576</v>
      </c>
      <c r="L14" s="391">
        <f>((D26/D6)-1)*100</f>
        <v>11.940322247140966</v>
      </c>
    </row>
    <row r="15" spans="1:12" s="391" customFormat="1" ht="18.75" x14ac:dyDescent="0.2">
      <c r="A15" s="392" t="s">
        <v>712</v>
      </c>
      <c r="B15" s="393"/>
      <c r="C15" s="399">
        <v>117586025.8855</v>
      </c>
      <c r="D15" s="399">
        <v>5031000</v>
      </c>
      <c r="E15" s="401">
        <v>204000</v>
      </c>
      <c r="F15" s="400">
        <v>5099561.7600000007</v>
      </c>
      <c r="G15" s="399">
        <v>12169000</v>
      </c>
      <c r="H15" s="394" t="s">
        <v>91</v>
      </c>
    </row>
    <row r="16" spans="1:12" s="391" customFormat="1" ht="18.75" x14ac:dyDescent="0.2">
      <c r="A16" s="392" t="s">
        <v>713</v>
      </c>
      <c r="B16" s="393"/>
      <c r="C16" s="399">
        <v>134194525.45479999</v>
      </c>
      <c r="D16" s="399">
        <v>5064000</v>
      </c>
      <c r="E16" s="401">
        <v>202000</v>
      </c>
      <c r="F16" s="400">
        <v>4697763.7200000007</v>
      </c>
      <c r="G16" s="399">
        <v>12217000</v>
      </c>
      <c r="H16" s="394" t="s">
        <v>92</v>
      </c>
    </row>
    <row r="17" spans="1:21" s="391" customFormat="1" ht="18.75" x14ac:dyDescent="0.2">
      <c r="A17" s="392" t="s">
        <v>714</v>
      </c>
      <c r="B17" s="393"/>
      <c r="C17" s="399">
        <v>132851804.4937</v>
      </c>
      <c r="D17" s="399">
        <v>5049000</v>
      </c>
      <c r="E17" s="401">
        <v>202000</v>
      </c>
      <c r="F17" s="400">
        <v>5816116.1800000006</v>
      </c>
      <c r="G17" s="399">
        <v>12227000</v>
      </c>
      <c r="H17" s="394" t="s">
        <v>95</v>
      </c>
    </row>
    <row r="18" spans="1:21" s="391" customFormat="1" ht="18.75" x14ac:dyDescent="0.2">
      <c r="A18" s="395" t="s">
        <v>715</v>
      </c>
      <c r="B18" s="396"/>
      <c r="C18" s="404">
        <v>145505064.44729999</v>
      </c>
      <c r="D18" s="404">
        <v>5078000</v>
      </c>
      <c r="E18" s="405">
        <v>203000</v>
      </c>
      <c r="F18" s="406">
        <v>9802712.379999999</v>
      </c>
      <c r="G18" s="405">
        <v>12355000</v>
      </c>
      <c r="H18" s="397" t="s">
        <v>93</v>
      </c>
    </row>
    <row r="19" spans="1:21" ht="17.25" x14ac:dyDescent="0.25">
      <c r="A19" s="305" t="s">
        <v>321</v>
      </c>
      <c r="G19" s="306"/>
      <c r="H19" s="306" t="s">
        <v>322</v>
      </c>
    </row>
    <row r="20" spans="1:21" ht="17.25" x14ac:dyDescent="0.25">
      <c r="A20" s="305"/>
      <c r="G20" s="306"/>
      <c r="H20" s="306"/>
    </row>
    <row r="21" spans="1:21" s="373" customFormat="1" ht="21" x14ac:dyDescent="0.2">
      <c r="A21" s="919" t="s">
        <v>1118</v>
      </c>
      <c r="B21" s="919"/>
      <c r="C21" s="919"/>
      <c r="D21" s="919"/>
      <c r="E21" s="919"/>
      <c r="F21" s="919"/>
      <c r="G21" s="919"/>
      <c r="H21" s="919"/>
    </row>
    <row r="22" spans="1:21" s="373" customFormat="1" x14ac:dyDescent="0.2">
      <c r="A22" s="920" t="s">
        <v>1117</v>
      </c>
      <c r="B22" s="920"/>
      <c r="C22" s="920"/>
      <c r="D22" s="920"/>
      <c r="E22" s="920"/>
      <c r="F22" s="920"/>
      <c r="G22" s="920"/>
      <c r="H22" s="920"/>
    </row>
    <row r="23" spans="1:21" s="376" customFormat="1" ht="12.75" x14ac:dyDescent="0.2">
      <c r="A23" s="374"/>
      <c r="B23" s="921" t="s">
        <v>697</v>
      </c>
      <c r="C23" s="922" t="s">
        <v>698</v>
      </c>
      <c r="D23" s="922" t="s">
        <v>699</v>
      </c>
      <c r="E23" s="922" t="s">
        <v>700</v>
      </c>
      <c r="F23" s="922" t="s">
        <v>701</v>
      </c>
      <c r="G23" s="922" t="s">
        <v>331</v>
      </c>
      <c r="H23" s="375"/>
    </row>
    <row r="24" spans="1:21" s="379" customFormat="1" ht="18.75" customHeight="1" x14ac:dyDescent="0.2">
      <c r="A24" s="377" t="s">
        <v>22</v>
      </c>
      <c r="B24" s="921"/>
      <c r="C24" s="923"/>
      <c r="D24" s="923"/>
      <c r="E24" s="923"/>
      <c r="F24" s="924"/>
      <c r="G24" s="925"/>
      <c r="H24" s="378" t="s">
        <v>82</v>
      </c>
    </row>
    <row r="25" spans="1:21" ht="56.25" x14ac:dyDescent="0.25">
      <c r="A25" s="380"/>
      <c r="B25" s="921"/>
      <c r="C25" s="381" t="s">
        <v>332</v>
      </c>
      <c r="D25" s="381" t="s">
        <v>702</v>
      </c>
      <c r="E25" s="381" t="s">
        <v>247</v>
      </c>
      <c r="F25" s="382" t="s">
        <v>248</v>
      </c>
      <c r="G25" s="381" t="s">
        <v>249</v>
      </c>
      <c r="H25" s="383"/>
    </row>
    <row r="26" spans="1:21" s="391" customFormat="1" ht="18.75" x14ac:dyDescent="0.2">
      <c r="A26" s="385" t="s">
        <v>2</v>
      </c>
      <c r="B26" s="386">
        <f t="shared" ref="B26" si="2">SUM(B27:B38)</f>
        <v>0</v>
      </c>
      <c r="C26" s="387">
        <v>1063054680.1289001</v>
      </c>
      <c r="D26" s="387">
        <f t="shared" ref="D26:G26" si="3">SUM(D27:D38)</f>
        <v>70378000</v>
      </c>
      <c r="E26" s="388">
        <f t="shared" si="3"/>
        <v>1807000</v>
      </c>
      <c r="F26" s="388">
        <f t="shared" si="3"/>
        <v>35665347.009999998</v>
      </c>
      <c r="G26" s="389">
        <f t="shared" si="3"/>
        <v>127918000</v>
      </c>
      <c r="H26" s="390" t="s">
        <v>75</v>
      </c>
    </row>
    <row r="27" spans="1:21" s="391" customFormat="1" ht="18.75" x14ac:dyDescent="0.2">
      <c r="A27" s="392" t="s">
        <v>703</v>
      </c>
      <c r="B27" s="393"/>
      <c r="C27" s="399">
        <v>71507013.916899994</v>
      </c>
      <c r="D27" s="399">
        <v>5732000</v>
      </c>
      <c r="E27" s="400">
        <v>120000</v>
      </c>
      <c r="F27" s="400">
        <v>2788222.01</v>
      </c>
      <c r="G27" s="401">
        <v>10054000</v>
      </c>
      <c r="H27" s="394" t="s">
        <v>83</v>
      </c>
    </row>
    <row r="28" spans="1:21" s="391" customFormat="1" ht="18.75" x14ac:dyDescent="0.2">
      <c r="A28" s="392" t="s">
        <v>704</v>
      </c>
      <c r="B28" s="393"/>
      <c r="C28" s="399">
        <v>68647704.368300006</v>
      </c>
      <c r="D28" s="399">
        <v>5849000</v>
      </c>
      <c r="E28" s="401">
        <v>132000</v>
      </c>
      <c r="F28" s="400">
        <v>3198083.37</v>
      </c>
      <c r="G28" s="399">
        <v>10092000</v>
      </c>
      <c r="H28" s="394" t="s">
        <v>84</v>
      </c>
    </row>
    <row r="29" spans="1:21" s="391" customFormat="1" ht="18.75" x14ac:dyDescent="0.2">
      <c r="A29" s="392" t="s">
        <v>705</v>
      </c>
      <c r="B29" s="393"/>
      <c r="C29" s="399">
        <v>83172173.539399996</v>
      </c>
      <c r="D29" s="399">
        <v>5943000</v>
      </c>
      <c r="E29" s="401">
        <v>133000</v>
      </c>
      <c r="F29" s="400">
        <v>3838894.52</v>
      </c>
      <c r="G29" s="399">
        <v>10190000</v>
      </c>
      <c r="H29" s="394" t="s">
        <v>706</v>
      </c>
    </row>
    <row r="30" spans="1:21" s="391" customFormat="1" ht="18.75" x14ac:dyDescent="0.2">
      <c r="A30" s="392" t="s">
        <v>707</v>
      </c>
      <c r="B30" s="393"/>
      <c r="C30" s="399">
        <v>90838982.835800007</v>
      </c>
      <c r="D30" s="399">
        <v>5952000</v>
      </c>
      <c r="E30" s="401">
        <v>130000</v>
      </c>
      <c r="F30" s="400">
        <v>4605669.63</v>
      </c>
      <c r="G30" s="399">
        <v>10506000</v>
      </c>
      <c r="H30" s="394" t="s">
        <v>708</v>
      </c>
    </row>
    <row r="31" spans="1:21" s="391" customFormat="1" ht="18.75" x14ac:dyDescent="0.2">
      <c r="A31" s="392" t="s">
        <v>14</v>
      </c>
      <c r="B31" s="393"/>
      <c r="C31" s="399">
        <v>88238865.856000006</v>
      </c>
      <c r="D31" s="399">
        <v>6011000</v>
      </c>
      <c r="E31" s="401">
        <v>140500</v>
      </c>
      <c r="F31" s="400">
        <v>4848054.2699999996</v>
      </c>
      <c r="G31" s="399">
        <v>10258000</v>
      </c>
      <c r="H31" s="394" t="s">
        <v>87</v>
      </c>
    </row>
    <row r="32" spans="1:21" s="391" customFormat="1" ht="18.75" x14ac:dyDescent="0.2">
      <c r="A32" s="392" t="s">
        <v>709</v>
      </c>
      <c r="B32" s="393"/>
      <c r="C32" s="399">
        <v>92530173.513099998</v>
      </c>
      <c r="D32" s="402">
        <v>6001000</v>
      </c>
      <c r="E32" s="401">
        <v>144500</v>
      </c>
      <c r="F32" s="400">
        <v>5820339.2000000002</v>
      </c>
      <c r="G32" s="399">
        <v>10644000</v>
      </c>
      <c r="H32" s="394" t="s">
        <v>88</v>
      </c>
      <c r="Q32" s="623" t="s">
        <v>698</v>
      </c>
      <c r="R32" s="623" t="s">
        <v>699</v>
      </c>
      <c r="S32" s="623" t="s">
        <v>700</v>
      </c>
      <c r="T32" s="623" t="s">
        <v>701</v>
      </c>
      <c r="U32" s="623" t="s">
        <v>331</v>
      </c>
    </row>
    <row r="33" spans="1:21" s="391" customFormat="1" ht="18.75" x14ac:dyDescent="0.2">
      <c r="A33" s="392" t="s">
        <v>710</v>
      </c>
      <c r="B33" s="393"/>
      <c r="C33" s="399">
        <v>70204999.621600002</v>
      </c>
      <c r="D33" s="399">
        <v>5995000</v>
      </c>
      <c r="E33" s="401">
        <v>145500</v>
      </c>
      <c r="F33" s="400">
        <v>3077483.2600000002</v>
      </c>
      <c r="G33" s="399">
        <v>10662000</v>
      </c>
      <c r="H33" s="394" t="s">
        <v>89</v>
      </c>
      <c r="P33" s="391">
        <v>2014</v>
      </c>
      <c r="Q33" s="391">
        <v>1400609841.9112999</v>
      </c>
      <c r="R33" s="391">
        <v>62871000</v>
      </c>
      <c r="S33" s="391">
        <v>2464500</v>
      </c>
      <c r="T33" s="391">
        <v>51002563.189999998</v>
      </c>
      <c r="U33" s="391">
        <v>154048000</v>
      </c>
    </row>
    <row r="34" spans="1:21" s="391" customFormat="1" ht="18.75" x14ac:dyDescent="0.2">
      <c r="A34" s="392" t="s">
        <v>711</v>
      </c>
      <c r="B34" s="393"/>
      <c r="C34" s="399">
        <v>90752356.448400006</v>
      </c>
      <c r="D34" s="399">
        <v>6019000</v>
      </c>
      <c r="E34" s="401">
        <v>145500</v>
      </c>
      <c r="F34" s="400">
        <v>2007296.1</v>
      </c>
      <c r="G34" s="403">
        <v>10790000</v>
      </c>
      <c r="H34" s="394" t="s">
        <v>90</v>
      </c>
      <c r="P34" s="391">
        <v>2015</v>
      </c>
      <c r="Q34" s="391">
        <v>1063054680.1289001</v>
      </c>
      <c r="R34" s="391">
        <v>70378000</v>
      </c>
      <c r="S34" s="391">
        <v>1807000</v>
      </c>
      <c r="T34" s="391">
        <v>35665347.009999998</v>
      </c>
      <c r="U34" s="391">
        <v>127918000</v>
      </c>
    </row>
    <row r="35" spans="1:21" s="391" customFormat="1" ht="18.75" x14ac:dyDescent="0.2">
      <c r="A35" s="392" t="s">
        <v>712</v>
      </c>
      <c r="B35" s="393"/>
      <c r="C35" s="399">
        <v>92938203.603499994</v>
      </c>
      <c r="D35" s="399">
        <v>6078000</v>
      </c>
      <c r="E35" s="401">
        <v>161500</v>
      </c>
      <c r="F35" s="400">
        <v>1984220.6300000001</v>
      </c>
      <c r="G35" s="399">
        <v>10950000</v>
      </c>
      <c r="H35" s="394" t="s">
        <v>91</v>
      </c>
      <c r="P35" s="391">
        <v>2014</v>
      </c>
      <c r="Q35" s="789">
        <f>Q33/1000000</f>
        <v>1400.6098419113</v>
      </c>
      <c r="R35" s="789">
        <f t="shared" ref="R35:U36" si="4">R33/1000000</f>
        <v>62.871000000000002</v>
      </c>
      <c r="S35" s="789">
        <f t="shared" si="4"/>
        <v>2.4645000000000001</v>
      </c>
      <c r="T35" s="789">
        <f t="shared" si="4"/>
        <v>51.002563189999996</v>
      </c>
      <c r="U35" s="789">
        <f t="shared" si="4"/>
        <v>154.048</v>
      </c>
    </row>
    <row r="36" spans="1:21" s="391" customFormat="1" ht="18.75" x14ac:dyDescent="0.2">
      <c r="A36" s="392" t="s">
        <v>713</v>
      </c>
      <c r="B36" s="393"/>
      <c r="C36" s="399">
        <v>93421217.438099995</v>
      </c>
      <c r="D36" s="399">
        <v>6211000</v>
      </c>
      <c r="E36" s="401">
        <v>181500</v>
      </c>
      <c r="F36" s="400">
        <v>1444449.87</v>
      </c>
      <c r="G36" s="399">
        <v>11306000</v>
      </c>
      <c r="H36" s="394" t="s">
        <v>92</v>
      </c>
      <c r="P36" s="391">
        <v>2015</v>
      </c>
      <c r="Q36" s="789">
        <f>Q34/1000000</f>
        <v>1063.0546801289001</v>
      </c>
      <c r="R36" s="789">
        <f t="shared" si="4"/>
        <v>70.378</v>
      </c>
      <c r="S36" s="789">
        <f t="shared" si="4"/>
        <v>1.8069999999999999</v>
      </c>
      <c r="T36" s="789">
        <f t="shared" si="4"/>
        <v>35.665347009999998</v>
      </c>
      <c r="U36" s="789">
        <f t="shared" si="4"/>
        <v>127.91800000000001</v>
      </c>
    </row>
    <row r="37" spans="1:21" s="391" customFormat="1" ht="18.75" x14ac:dyDescent="0.2">
      <c r="A37" s="392" t="s">
        <v>714</v>
      </c>
      <c r="B37" s="393"/>
      <c r="C37" s="399">
        <v>104077874.45200001</v>
      </c>
      <c r="D37" s="399">
        <v>6024000</v>
      </c>
      <c r="E37" s="401">
        <v>182000</v>
      </c>
      <c r="F37" s="400">
        <v>1108496.32</v>
      </c>
      <c r="G37" s="399">
        <v>11198000</v>
      </c>
      <c r="H37" s="394" t="s">
        <v>95</v>
      </c>
    </row>
    <row r="38" spans="1:21" s="391" customFormat="1" ht="18.75" x14ac:dyDescent="0.2">
      <c r="A38" s="395" t="s">
        <v>715</v>
      </c>
      <c r="B38" s="396"/>
      <c r="C38" s="404">
        <v>116725114.5358</v>
      </c>
      <c r="D38" s="404">
        <v>4563000</v>
      </c>
      <c r="E38" s="405">
        <v>191000</v>
      </c>
      <c r="F38" s="406">
        <v>944137.83</v>
      </c>
      <c r="G38" s="405">
        <v>11268000</v>
      </c>
      <c r="H38" s="397" t="s">
        <v>93</v>
      </c>
    </row>
    <row r="39" spans="1:21" ht="17.25" x14ac:dyDescent="0.25">
      <c r="A39" s="305" t="s">
        <v>321</v>
      </c>
      <c r="G39" s="306"/>
      <c r="H39" s="306" t="s">
        <v>322</v>
      </c>
    </row>
    <row r="40" spans="1:21" ht="17.25" x14ac:dyDescent="0.25">
      <c r="A40" s="305"/>
      <c r="G40" s="306"/>
      <c r="H40" s="306"/>
    </row>
    <row r="41" spans="1:21" ht="17.25" x14ac:dyDescent="0.25">
      <c r="A41" s="305"/>
      <c r="G41" s="306"/>
      <c r="H41" s="306"/>
    </row>
    <row r="42" spans="1:21" ht="17.25" x14ac:dyDescent="0.25">
      <c r="A42" s="305"/>
      <c r="G42" s="306"/>
      <c r="H42" s="306"/>
    </row>
    <row r="43" spans="1:21" ht="17.25" x14ac:dyDescent="0.25">
      <c r="A43" s="305"/>
      <c r="G43" s="306"/>
      <c r="H43" s="306"/>
    </row>
    <row r="47" spans="1:21" x14ac:dyDescent="0.25">
      <c r="N47" s="408"/>
      <c r="O47" s="139"/>
    </row>
    <row r="48" spans="1:21" x14ac:dyDescent="0.25">
      <c r="N48" s="408"/>
      <c r="O48" s="139"/>
    </row>
    <row r="49" spans="10:15" x14ac:dyDescent="0.25">
      <c r="N49" s="408"/>
      <c r="O49" s="139"/>
    </row>
    <row r="50" spans="10:15" x14ac:dyDescent="0.25">
      <c r="N50" s="408"/>
      <c r="O50" s="139"/>
    </row>
    <row r="51" spans="10:15" x14ac:dyDescent="0.25">
      <c r="J51" s="409"/>
      <c r="N51" s="408"/>
      <c r="O51" s="139"/>
    </row>
  </sheetData>
  <mergeCells count="16">
    <mergeCell ref="A21:H21"/>
    <mergeCell ref="A22:H22"/>
    <mergeCell ref="B23:B25"/>
    <mergeCell ref="C23:C24"/>
    <mergeCell ref="D23:D24"/>
    <mergeCell ref="E23:E24"/>
    <mergeCell ref="F23:F24"/>
    <mergeCell ref="G23:G24"/>
    <mergeCell ref="A1:H1"/>
    <mergeCell ref="A2:H2"/>
    <mergeCell ref="B3:B5"/>
    <mergeCell ref="C3:C4"/>
    <mergeCell ref="D3:D4"/>
    <mergeCell ref="E3:E4"/>
    <mergeCell ref="F3:F4"/>
    <mergeCell ref="G3:G4"/>
  </mergeCells>
  <conditionalFormatting sqref="C26">
    <cfRule type="duplicateValues" dxfId="9" priority="9"/>
    <cfRule type="duplicateValues" dxfId="8" priority="10"/>
  </conditionalFormatting>
  <conditionalFormatting sqref="C27:C38">
    <cfRule type="duplicateValues" dxfId="7" priority="7"/>
    <cfRule type="duplicateValues" dxfId="6" priority="8"/>
  </conditionalFormatting>
  <conditionalFormatting sqref="C6">
    <cfRule type="duplicateValues" dxfId="5" priority="5"/>
    <cfRule type="duplicateValues" dxfId="4" priority="6"/>
  </conditionalFormatting>
  <conditionalFormatting sqref="C7:C18">
    <cfRule type="duplicateValues" dxfId="3" priority="3"/>
    <cfRule type="duplicateValues" dxfId="2" priority="4"/>
  </conditionalFormatting>
  <conditionalFormatting sqref="K8">
    <cfRule type="duplicateValues" dxfId="1" priority="1"/>
    <cfRule type="duplicateValues" dxfId="0" priority="2"/>
  </conditionalFormatting>
  <pageMargins left="0.7" right="0.7" top="0.75" bottom="0.75" header="0.3" footer="0.3"/>
  <pageSetup paperSize="9" scale="6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V25"/>
  <sheetViews>
    <sheetView view="pageBreakPreview" topLeftCell="B16" zoomScaleNormal="100" zoomScaleSheetLayoutView="100" workbookViewId="0">
      <selection activeCell="I50" sqref="I50"/>
    </sheetView>
  </sheetViews>
  <sheetFormatPr defaultColWidth="9.140625" defaultRowHeight="18.75" customHeight="1" x14ac:dyDescent="0.25"/>
  <cols>
    <col min="1" max="1" width="11.7109375" style="1" customWidth="1"/>
    <col min="2" max="2" width="16.42578125" style="1" customWidth="1"/>
    <col min="3" max="8" width="14.7109375" style="1" customWidth="1"/>
    <col min="9" max="9" width="15.85546875" style="1" customWidth="1"/>
    <col min="10" max="13" width="9.140625" style="1"/>
    <col min="14" max="15" width="14.7109375" style="1" customWidth="1"/>
    <col min="16" max="20" width="9.140625" style="1"/>
    <col min="21" max="22" width="13.42578125" style="1" bestFit="1" customWidth="1"/>
    <col min="23" max="16384" width="9.140625" style="1"/>
  </cols>
  <sheetData>
    <row r="2" spans="1:9" ht="21" x14ac:dyDescent="0.25">
      <c r="A2" s="872" t="s">
        <v>1077</v>
      </c>
      <c r="B2" s="872"/>
      <c r="C2" s="872"/>
      <c r="D2" s="872"/>
      <c r="E2" s="872"/>
      <c r="F2" s="872"/>
      <c r="G2" s="872"/>
      <c r="H2" s="872"/>
      <c r="I2" s="872"/>
    </row>
    <row r="3" spans="1:9" ht="15" x14ac:dyDescent="0.25">
      <c r="A3" s="873" t="s">
        <v>1078</v>
      </c>
      <c r="B3" s="873"/>
      <c r="C3" s="873"/>
      <c r="D3" s="873"/>
      <c r="E3" s="873"/>
      <c r="F3" s="873"/>
      <c r="G3" s="873"/>
      <c r="H3" s="873"/>
      <c r="I3" s="873"/>
    </row>
    <row r="4" spans="1:9" s="38" customFormat="1" ht="45" x14ac:dyDescent="0.25">
      <c r="A4" s="926" t="s">
        <v>244</v>
      </c>
      <c r="B4" s="410" t="s">
        <v>716</v>
      </c>
      <c r="C4" s="411" t="s">
        <v>717</v>
      </c>
      <c r="D4" s="411" t="s">
        <v>54</v>
      </c>
      <c r="E4" s="411" t="s">
        <v>718</v>
      </c>
      <c r="F4" s="411" t="s">
        <v>719</v>
      </c>
      <c r="G4" s="412" t="s">
        <v>720</v>
      </c>
      <c r="H4" s="413" t="s">
        <v>721</v>
      </c>
      <c r="I4" s="799" t="s">
        <v>112</v>
      </c>
    </row>
    <row r="5" spans="1:9" s="38" customFormat="1" ht="37.5" x14ac:dyDescent="0.25">
      <c r="A5" s="927"/>
      <c r="B5" s="275" t="s">
        <v>722</v>
      </c>
      <c r="C5" s="414" t="s">
        <v>723</v>
      </c>
      <c r="D5" s="414" t="s">
        <v>724</v>
      </c>
      <c r="E5" s="414" t="s">
        <v>725</v>
      </c>
      <c r="F5" s="414" t="s">
        <v>726</v>
      </c>
      <c r="G5" s="275" t="s">
        <v>727</v>
      </c>
      <c r="H5" s="275" t="s">
        <v>728</v>
      </c>
      <c r="I5" s="801"/>
    </row>
    <row r="6" spans="1:9" s="418" customFormat="1" x14ac:dyDescent="0.25">
      <c r="A6" s="415" t="s">
        <v>263</v>
      </c>
      <c r="B6" s="416">
        <f>SUM(C6:H6)</f>
        <v>1400609841.8314998</v>
      </c>
      <c r="C6" s="416">
        <f t="shared" ref="C6:H6" si="0">C7+C8+C9</f>
        <v>913984781.45029998</v>
      </c>
      <c r="D6" s="416">
        <f t="shared" si="0"/>
        <v>355615300.89999998</v>
      </c>
      <c r="E6" s="416">
        <f t="shared" si="0"/>
        <v>22435986.039999999</v>
      </c>
      <c r="F6" s="416">
        <f t="shared" si="0"/>
        <v>29156242.75</v>
      </c>
      <c r="G6" s="416">
        <f t="shared" si="0"/>
        <v>77329802.691200003</v>
      </c>
      <c r="H6" s="416">
        <f t="shared" si="0"/>
        <v>2087728</v>
      </c>
      <c r="I6" s="417" t="s">
        <v>729</v>
      </c>
    </row>
    <row r="7" spans="1:9" s="421" customFormat="1" x14ac:dyDescent="0.25">
      <c r="A7" s="419" t="s">
        <v>265</v>
      </c>
      <c r="B7" s="416">
        <f>SUM(C7:H7)</f>
        <v>694778647.7112</v>
      </c>
      <c r="C7" s="432">
        <v>413691030.44999999</v>
      </c>
      <c r="D7" s="432">
        <v>154147532.47999999</v>
      </c>
      <c r="E7" s="432">
        <v>21361177.34</v>
      </c>
      <c r="F7" s="432">
        <v>26161376.75</v>
      </c>
      <c r="G7" s="432">
        <v>77329802.691200003</v>
      </c>
      <c r="H7" s="432">
        <v>2087728</v>
      </c>
      <c r="I7" s="420" t="s">
        <v>266</v>
      </c>
    </row>
    <row r="8" spans="1:9" s="421" customFormat="1" x14ac:dyDescent="0.25">
      <c r="A8" s="419" t="s">
        <v>267</v>
      </c>
      <c r="B8" s="387">
        <f>SUM(C8:H8)</f>
        <v>483525096.47310001</v>
      </c>
      <c r="C8" s="433">
        <v>277987653.3531</v>
      </c>
      <c r="D8" s="433">
        <v>201467768.41999999</v>
      </c>
      <c r="E8" s="433">
        <v>1074808.7</v>
      </c>
      <c r="F8" s="433">
        <v>2994866</v>
      </c>
      <c r="G8" s="433">
        <v>0</v>
      </c>
      <c r="H8" s="433">
        <v>0</v>
      </c>
      <c r="I8" s="422" t="s">
        <v>268</v>
      </c>
    </row>
    <row r="9" spans="1:9" s="421" customFormat="1" x14ac:dyDescent="0.25">
      <c r="A9" s="423" t="s">
        <v>730</v>
      </c>
      <c r="B9" s="424">
        <f>SUM(C9:H9)</f>
        <v>222306097.64719999</v>
      </c>
      <c r="C9" s="434">
        <v>222306097.64719999</v>
      </c>
      <c r="D9" s="434">
        <v>0</v>
      </c>
      <c r="E9" s="434">
        <v>0</v>
      </c>
      <c r="F9" s="434">
        <v>0</v>
      </c>
      <c r="G9" s="434">
        <v>0</v>
      </c>
      <c r="H9" s="434">
        <v>0</v>
      </c>
      <c r="I9" s="425" t="s">
        <v>731</v>
      </c>
    </row>
    <row r="10" spans="1:9" ht="17.25" x14ac:dyDescent="0.25">
      <c r="A10" s="426" t="s">
        <v>1049</v>
      </c>
      <c r="I10" s="306" t="s">
        <v>1050</v>
      </c>
    </row>
    <row r="11" spans="1:9" ht="17.25" x14ac:dyDescent="0.25">
      <c r="A11" s="305" t="s">
        <v>732</v>
      </c>
      <c r="I11" s="306" t="s">
        <v>322</v>
      </c>
    </row>
    <row r="12" spans="1:9" s="431" customFormat="1" ht="17.25" x14ac:dyDescent="0.25">
      <c r="A12" s="427" t="s">
        <v>733</v>
      </c>
      <c r="B12" s="428"/>
      <c r="C12" s="429"/>
      <c r="D12" s="430"/>
      <c r="E12" s="430"/>
      <c r="F12" s="430"/>
      <c r="G12" s="430"/>
      <c r="H12" s="430"/>
      <c r="I12" s="306" t="s">
        <v>734</v>
      </c>
    </row>
    <row r="15" spans="1:9" ht="21" x14ac:dyDescent="0.25">
      <c r="A15" s="872" t="s">
        <v>1076</v>
      </c>
      <c r="B15" s="872"/>
      <c r="C15" s="872"/>
      <c r="D15" s="872"/>
      <c r="E15" s="872"/>
      <c r="F15" s="872"/>
      <c r="G15" s="872"/>
      <c r="H15" s="872"/>
      <c r="I15" s="525"/>
    </row>
    <row r="16" spans="1:9" ht="15" x14ac:dyDescent="0.25">
      <c r="A16" s="897" t="s">
        <v>1075</v>
      </c>
      <c r="B16" s="897"/>
      <c r="C16" s="897"/>
      <c r="D16" s="897"/>
      <c r="E16" s="897"/>
      <c r="F16" s="897"/>
      <c r="G16" s="897"/>
      <c r="H16" s="897"/>
      <c r="I16" s="612"/>
    </row>
    <row r="17" spans="1:22" s="38" customFormat="1" ht="45" x14ac:dyDescent="0.25">
      <c r="A17" s="926" t="s">
        <v>244</v>
      </c>
      <c r="B17" s="410" t="s">
        <v>716</v>
      </c>
      <c r="C17" s="411" t="s">
        <v>717</v>
      </c>
      <c r="D17" s="411" t="s">
        <v>54</v>
      </c>
      <c r="E17" s="411" t="s">
        <v>718</v>
      </c>
      <c r="F17" s="411" t="s">
        <v>719</v>
      </c>
      <c r="G17" s="412" t="s">
        <v>720</v>
      </c>
      <c r="H17" s="799" t="s">
        <v>112</v>
      </c>
    </row>
    <row r="18" spans="1:22" s="38" customFormat="1" x14ac:dyDescent="0.25">
      <c r="A18" s="927"/>
      <c r="B18" s="275" t="s">
        <v>722</v>
      </c>
      <c r="C18" s="414" t="s">
        <v>723</v>
      </c>
      <c r="D18" s="414" t="s">
        <v>724</v>
      </c>
      <c r="E18" s="414" t="s">
        <v>725</v>
      </c>
      <c r="F18" s="414" t="s">
        <v>726</v>
      </c>
      <c r="G18" s="275" t="s">
        <v>727</v>
      </c>
      <c r="H18" s="801"/>
    </row>
    <row r="19" spans="1:22" s="418" customFormat="1" x14ac:dyDescent="0.25">
      <c r="A19" s="415" t="s">
        <v>263</v>
      </c>
      <c r="B19" s="416">
        <f>SUM(C19:G19)</f>
        <v>1063054680.1288999</v>
      </c>
      <c r="C19" s="416">
        <f>C20+C21+C22</f>
        <v>702918952.94270003</v>
      </c>
      <c r="D19" s="416">
        <f>D20+D21+D22</f>
        <v>251490148.69999999</v>
      </c>
      <c r="E19" s="416">
        <f>E20+E21+E22</f>
        <v>25939088.800000001</v>
      </c>
      <c r="F19" s="416">
        <f>F20+F21+F22</f>
        <v>17272151.5</v>
      </c>
      <c r="G19" s="416">
        <f>G20+G21+G22</f>
        <v>65434338.1862</v>
      </c>
      <c r="H19" s="417" t="s">
        <v>729</v>
      </c>
      <c r="U19" s="418">
        <v>2014</v>
      </c>
      <c r="V19" s="418">
        <v>2015</v>
      </c>
    </row>
    <row r="20" spans="1:22" s="421" customFormat="1" x14ac:dyDescent="0.25">
      <c r="A20" s="419" t="s">
        <v>265</v>
      </c>
      <c r="B20" s="416">
        <f>SUM(C20:G20)</f>
        <v>529844339.34140003</v>
      </c>
      <c r="C20" s="432">
        <v>310442295.6552</v>
      </c>
      <c r="D20" s="432">
        <v>113615224.23</v>
      </c>
      <c r="E20" s="432">
        <v>24661169.77</v>
      </c>
      <c r="F20" s="432">
        <v>15691311.5</v>
      </c>
      <c r="G20" s="432">
        <v>65434338.1862</v>
      </c>
      <c r="H20" s="420" t="s">
        <v>266</v>
      </c>
      <c r="T20" s="415" t="s">
        <v>263</v>
      </c>
      <c r="U20" s="421">
        <v>1063054680.1288999</v>
      </c>
      <c r="V20" s="38">
        <v>1400609841.8314998</v>
      </c>
    </row>
    <row r="21" spans="1:22" s="421" customFormat="1" x14ac:dyDescent="0.25">
      <c r="A21" s="419" t="s">
        <v>267</v>
      </c>
      <c r="B21" s="387">
        <f>SUM(C21:G21)</f>
        <v>364203693.46629995</v>
      </c>
      <c r="C21" s="433">
        <v>223470009.96629998</v>
      </c>
      <c r="D21" s="433">
        <v>137874924.47</v>
      </c>
      <c r="E21" s="433">
        <v>1277919.03</v>
      </c>
      <c r="F21" s="433">
        <v>1580840</v>
      </c>
      <c r="G21" s="433">
        <v>0</v>
      </c>
      <c r="H21" s="422" t="s">
        <v>268</v>
      </c>
      <c r="T21" s="419" t="s">
        <v>265</v>
      </c>
      <c r="U21" s="421">
        <v>529844339.34140003</v>
      </c>
      <c r="V21" s="38">
        <v>694778647.7112</v>
      </c>
    </row>
    <row r="22" spans="1:22" s="421" customFormat="1" x14ac:dyDescent="0.25">
      <c r="A22" s="423" t="s">
        <v>730</v>
      </c>
      <c r="B22" s="424">
        <f>SUM(C22:G22)</f>
        <v>169006647.32120001</v>
      </c>
      <c r="C22" s="434">
        <v>169006647.32120001</v>
      </c>
      <c r="D22" s="434">
        <v>0</v>
      </c>
      <c r="E22" s="434">
        <v>0</v>
      </c>
      <c r="F22" s="434">
        <v>0</v>
      </c>
      <c r="G22" s="434">
        <v>0</v>
      </c>
      <c r="H22" s="425" t="s">
        <v>731</v>
      </c>
      <c r="T22" s="419" t="s">
        <v>267</v>
      </c>
      <c r="U22" s="421">
        <v>364203693.46629995</v>
      </c>
      <c r="V22" s="418">
        <v>483525096.47310001</v>
      </c>
    </row>
    <row r="23" spans="1:22" ht="17.25" x14ac:dyDescent="0.25">
      <c r="A23" s="426" t="s">
        <v>1049</v>
      </c>
      <c r="H23" s="306" t="s">
        <v>1050</v>
      </c>
      <c r="T23" s="423" t="s">
        <v>730</v>
      </c>
      <c r="U23" s="1">
        <v>169006647.32120001</v>
      </c>
      <c r="V23" s="421">
        <v>222306097.64719999</v>
      </c>
    </row>
    <row r="24" spans="1:22" ht="17.25" x14ac:dyDescent="0.25">
      <c r="A24" s="305" t="s">
        <v>732</v>
      </c>
      <c r="H24" s="306" t="s">
        <v>322</v>
      </c>
    </row>
    <row r="25" spans="1:22" s="431" customFormat="1" ht="17.25" x14ac:dyDescent="0.25">
      <c r="A25" s="427" t="s">
        <v>733</v>
      </c>
      <c r="B25" s="428"/>
      <c r="C25" s="429"/>
      <c r="D25" s="430"/>
      <c r="E25" s="430"/>
      <c r="F25" s="430"/>
      <c r="G25" s="430"/>
      <c r="H25" s="306" t="s">
        <v>734</v>
      </c>
    </row>
  </sheetData>
  <mergeCells count="8">
    <mergeCell ref="A17:A18"/>
    <mergeCell ref="H17:H18"/>
    <mergeCell ref="A2:I2"/>
    <mergeCell ref="A3:I3"/>
    <mergeCell ref="A4:A5"/>
    <mergeCell ref="I4:I5"/>
    <mergeCell ref="A15:H15"/>
    <mergeCell ref="A16:H16"/>
  </mergeCells>
  <pageMargins left="0.7" right="0.7" top="0.75" bottom="0.75" header="0.3" footer="0.3"/>
  <pageSetup paperSize="9" scale="66" orientation="portrait" r:id="rId1"/>
  <colBreaks count="1" manualBreakCount="1">
    <brk id="9"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84"/>
  <sheetViews>
    <sheetView topLeftCell="A41" zoomScale="87" zoomScaleNormal="87" workbookViewId="0">
      <selection activeCell="J81" sqref="J81"/>
    </sheetView>
  </sheetViews>
  <sheetFormatPr defaultColWidth="9.140625" defaultRowHeight="15" x14ac:dyDescent="0.25"/>
  <cols>
    <col min="1" max="1" width="28.7109375" style="1" customWidth="1"/>
    <col min="2" max="2" width="18.28515625" style="1" customWidth="1"/>
    <col min="3" max="6" width="15.7109375" style="1" customWidth="1"/>
    <col min="7" max="8" width="18.28515625" style="1" customWidth="1"/>
    <col min="9" max="9" width="22" style="1" bestFit="1" customWidth="1"/>
    <col min="10" max="12" width="9.140625" style="1"/>
    <col min="13" max="13" width="10.7109375" style="1" customWidth="1"/>
    <col min="14" max="14" width="9.85546875" style="1" customWidth="1"/>
    <col min="15" max="15" width="15.28515625" style="1" customWidth="1"/>
    <col min="16" max="17" width="9.7109375" style="1" customWidth="1"/>
    <col min="18" max="18" width="8.85546875" style="1" customWidth="1"/>
    <col min="19" max="19" width="11.28515625" style="1" bestFit="1" customWidth="1"/>
    <col min="20" max="20" width="11" style="1" bestFit="1" customWidth="1"/>
    <col min="21" max="16384" width="9.140625" style="1"/>
  </cols>
  <sheetData>
    <row r="1" spans="1:19" ht="21" x14ac:dyDescent="0.55000000000000004">
      <c r="A1" s="930" t="s">
        <v>1082</v>
      </c>
      <c r="B1" s="930"/>
      <c r="C1" s="930"/>
      <c r="D1" s="930"/>
      <c r="E1" s="930"/>
      <c r="F1" s="930"/>
      <c r="G1" s="930"/>
      <c r="H1" s="930"/>
      <c r="I1" s="930"/>
    </row>
    <row r="2" spans="1:19" s="267" customFormat="1" x14ac:dyDescent="0.25">
      <c r="A2" s="931" t="s">
        <v>1081</v>
      </c>
      <c r="B2" s="931"/>
      <c r="C2" s="931"/>
      <c r="D2" s="931"/>
      <c r="E2" s="931"/>
      <c r="F2" s="931"/>
      <c r="G2" s="931"/>
      <c r="H2" s="931"/>
      <c r="I2" s="931"/>
    </row>
    <row r="3" spans="1:19" s="38" customFormat="1" ht="5.25" customHeight="1" x14ac:dyDescent="0.25">
      <c r="A3" s="628"/>
      <c r="B3" s="628"/>
      <c r="C3" s="628"/>
      <c r="D3" s="628"/>
      <c r="E3" s="628"/>
      <c r="F3" s="628"/>
      <c r="G3" s="628"/>
      <c r="H3" s="628"/>
      <c r="I3" s="628"/>
    </row>
    <row r="4" spans="1:19" s="38" customFormat="1" ht="30" x14ac:dyDescent="0.25">
      <c r="A4" s="926" t="s">
        <v>244</v>
      </c>
      <c r="B4" s="410" t="s">
        <v>716</v>
      </c>
      <c r="C4" s="411" t="s">
        <v>717</v>
      </c>
      <c r="D4" s="411" t="s">
        <v>54</v>
      </c>
      <c r="E4" s="411" t="s">
        <v>718</v>
      </c>
      <c r="F4" s="411" t="s">
        <v>719</v>
      </c>
      <c r="G4" s="412" t="s">
        <v>1054</v>
      </c>
      <c r="H4" s="413" t="s">
        <v>1051</v>
      </c>
      <c r="I4" s="928" t="s">
        <v>112</v>
      </c>
    </row>
    <row r="5" spans="1:19" s="38" customFormat="1" ht="18.75" x14ac:dyDescent="0.25">
      <c r="A5" s="927"/>
      <c r="B5" s="275" t="s">
        <v>722</v>
      </c>
      <c r="C5" s="414" t="s">
        <v>723</v>
      </c>
      <c r="D5" s="414" t="s">
        <v>724</v>
      </c>
      <c r="E5" s="414" t="s">
        <v>725</v>
      </c>
      <c r="F5" s="414" t="s">
        <v>726</v>
      </c>
      <c r="G5" s="275" t="s">
        <v>727</v>
      </c>
      <c r="H5" s="275" t="s">
        <v>728</v>
      </c>
      <c r="I5" s="929"/>
    </row>
    <row r="6" spans="1:19" s="418" customFormat="1" ht="18.75" x14ac:dyDescent="0.25">
      <c r="A6" s="415" t="s">
        <v>263</v>
      </c>
      <c r="B6" s="435">
        <f>SUM(B7:B8)+B29</f>
        <v>1400609841.8315001</v>
      </c>
      <c r="C6" s="435">
        <f>SUM(C7:C8)+C29</f>
        <v>913984781.45029998</v>
      </c>
      <c r="D6" s="435">
        <f>SUM(D7:D8)</f>
        <v>355615300.89999998</v>
      </c>
      <c r="E6" s="435">
        <f>SUM(E7:E8)</f>
        <v>22435986.039999999</v>
      </c>
      <c r="F6" s="435">
        <f>SUM(F7:F8)</f>
        <v>29156242.75</v>
      </c>
      <c r="G6" s="435">
        <f>SUM(G7:G8)</f>
        <v>77329802.691200003</v>
      </c>
      <c r="H6" s="435">
        <f>SUM(H7:H8)</f>
        <v>2087728</v>
      </c>
      <c r="I6" s="436" t="s">
        <v>729</v>
      </c>
    </row>
    <row r="7" spans="1:19" s="370" customFormat="1" ht="18.75" x14ac:dyDescent="0.25">
      <c r="A7" s="437" t="s">
        <v>265</v>
      </c>
      <c r="B7" s="438">
        <f>SUM(C7:H7)</f>
        <v>694778647.7112</v>
      </c>
      <c r="C7" s="438">
        <v>413691030.44999999</v>
      </c>
      <c r="D7" s="438">
        <v>154147532.47999999</v>
      </c>
      <c r="E7" s="438">
        <v>21361177.34</v>
      </c>
      <c r="F7" s="438">
        <v>26161376.75</v>
      </c>
      <c r="G7" s="438">
        <v>77329802.691200003</v>
      </c>
      <c r="H7" s="438">
        <v>2087728</v>
      </c>
      <c r="I7" s="436" t="s">
        <v>266</v>
      </c>
    </row>
    <row r="8" spans="1:19" s="370" customFormat="1" ht="18.75" x14ac:dyDescent="0.25">
      <c r="A8" s="437" t="s">
        <v>267</v>
      </c>
      <c r="B8" s="438">
        <f>SUM(B9:B28)</f>
        <v>483525096.47310001</v>
      </c>
      <c r="C8" s="438">
        <f>SUM(C9:C28)</f>
        <v>277987653.3531</v>
      </c>
      <c r="D8" s="438">
        <f t="shared" ref="D8:F8" si="0">SUM(D9:D28)</f>
        <v>201467768.41999999</v>
      </c>
      <c r="E8" s="438">
        <f t="shared" si="0"/>
        <v>1074808.7</v>
      </c>
      <c r="F8" s="438">
        <f t="shared" si="0"/>
        <v>2994866</v>
      </c>
      <c r="G8" s="433">
        <v>0</v>
      </c>
      <c r="H8" s="433">
        <v>0</v>
      </c>
      <c r="I8" s="436" t="s">
        <v>268</v>
      </c>
    </row>
    <row r="9" spans="1:19" ht="16.5" x14ac:dyDescent="0.25">
      <c r="A9" s="439" t="s">
        <v>269</v>
      </c>
      <c r="B9" s="440">
        <f>SUM(C9:G9)</f>
        <v>28247167.649999999</v>
      </c>
      <c r="C9" s="440">
        <v>15713160.02</v>
      </c>
      <c r="D9" s="440">
        <v>12534007.630000001</v>
      </c>
      <c r="E9" s="433">
        <v>0</v>
      </c>
      <c r="F9" s="433">
        <v>0</v>
      </c>
      <c r="G9" s="433">
        <v>0</v>
      </c>
      <c r="H9" s="433">
        <v>0</v>
      </c>
      <c r="I9" s="441" t="s">
        <v>735</v>
      </c>
    </row>
    <row r="10" spans="1:19" ht="16.5" x14ac:dyDescent="0.25">
      <c r="A10" s="439" t="s">
        <v>271</v>
      </c>
      <c r="B10" s="440">
        <f>SUM(C10:G10)</f>
        <v>55532820.670000002</v>
      </c>
      <c r="C10" s="440">
        <v>33622336.660000004</v>
      </c>
      <c r="D10" s="440">
        <v>21859388.809999995</v>
      </c>
      <c r="E10" s="440">
        <v>51095.199999999997</v>
      </c>
      <c r="F10" s="433">
        <v>0</v>
      </c>
      <c r="G10" s="433">
        <v>0</v>
      </c>
      <c r="H10" s="433">
        <v>0</v>
      </c>
      <c r="I10" s="441" t="s">
        <v>736</v>
      </c>
    </row>
    <row r="11" spans="1:19" ht="16.5" x14ac:dyDescent="0.25">
      <c r="A11" s="439" t="s">
        <v>273</v>
      </c>
      <c r="B11" s="440">
        <f t="shared" ref="B11:B28" si="1">SUM(C11:G11)</f>
        <v>22929493.009999998</v>
      </c>
      <c r="C11" s="440">
        <v>13544291.67</v>
      </c>
      <c r="D11" s="440">
        <v>9385201.339999998</v>
      </c>
      <c r="E11" s="433">
        <v>0</v>
      </c>
      <c r="F11" s="433">
        <v>0</v>
      </c>
      <c r="G11" s="433">
        <v>0</v>
      </c>
      <c r="H11" s="433">
        <v>0</v>
      </c>
      <c r="I11" s="441" t="s">
        <v>329</v>
      </c>
      <c r="J11" s="442"/>
    </row>
    <row r="12" spans="1:19" ht="16.5" x14ac:dyDescent="0.25">
      <c r="A12" s="439" t="s">
        <v>275</v>
      </c>
      <c r="B12" s="440">
        <f t="shared" si="1"/>
        <v>16282824.599999998</v>
      </c>
      <c r="C12" s="440">
        <v>9768059.1199999992</v>
      </c>
      <c r="D12" s="440">
        <v>6514765.4799999995</v>
      </c>
      <c r="E12" s="433">
        <v>0</v>
      </c>
      <c r="F12" s="433">
        <v>0</v>
      </c>
      <c r="G12" s="433">
        <v>0</v>
      </c>
      <c r="H12" s="433">
        <v>0</v>
      </c>
      <c r="I12" s="441" t="s">
        <v>737</v>
      </c>
    </row>
    <row r="13" spans="1:19" ht="16.5" x14ac:dyDescent="0.25">
      <c r="A13" s="439" t="s">
        <v>277</v>
      </c>
      <c r="B13" s="440">
        <f t="shared" si="1"/>
        <v>40394300.45099999</v>
      </c>
      <c r="C13" s="440">
        <v>25073534.640999995</v>
      </c>
      <c r="D13" s="440">
        <v>15320765.809999999</v>
      </c>
      <c r="E13" s="433">
        <v>0</v>
      </c>
      <c r="F13" s="433">
        <v>0</v>
      </c>
      <c r="G13" s="433">
        <v>0</v>
      </c>
      <c r="H13" s="433">
        <v>0</v>
      </c>
      <c r="I13" s="441" t="s">
        <v>738</v>
      </c>
    </row>
    <row r="14" spans="1:19" ht="16.5" x14ac:dyDescent="0.25">
      <c r="A14" s="439" t="s">
        <v>279</v>
      </c>
      <c r="B14" s="440">
        <f t="shared" si="1"/>
        <v>21675172.101</v>
      </c>
      <c r="C14" s="440">
        <v>11835448.811000001</v>
      </c>
      <c r="D14" s="440">
        <v>9839723.2899999991</v>
      </c>
      <c r="E14" s="433">
        <v>0</v>
      </c>
      <c r="F14" s="433">
        <v>0</v>
      </c>
      <c r="G14" s="433">
        <v>0</v>
      </c>
      <c r="H14" s="433">
        <v>0</v>
      </c>
      <c r="I14" s="441" t="s">
        <v>739</v>
      </c>
      <c r="L14" s="2"/>
      <c r="M14" s="2"/>
      <c r="N14" s="2"/>
      <c r="O14" s="2"/>
      <c r="P14" s="2"/>
      <c r="Q14" s="2"/>
      <c r="R14" s="2"/>
      <c r="S14" s="2"/>
    </row>
    <row r="15" spans="1:19" ht="16.5" x14ac:dyDescent="0.25">
      <c r="A15" s="439" t="s">
        <v>281</v>
      </c>
      <c r="B15" s="440">
        <f t="shared" si="1"/>
        <v>27147750.809999999</v>
      </c>
      <c r="C15" s="440">
        <v>11694488.709999999</v>
      </c>
      <c r="D15" s="440">
        <v>15453262.1</v>
      </c>
      <c r="E15" s="433">
        <v>0</v>
      </c>
      <c r="F15" s="433">
        <v>0</v>
      </c>
      <c r="G15" s="433">
        <v>0</v>
      </c>
      <c r="H15" s="433">
        <v>0</v>
      </c>
      <c r="I15" s="441" t="s">
        <v>325</v>
      </c>
      <c r="L15" s="2"/>
      <c r="M15" s="2"/>
      <c r="N15" s="2"/>
      <c r="O15" s="2"/>
      <c r="P15" s="2"/>
      <c r="Q15" s="2"/>
      <c r="R15" s="2"/>
      <c r="S15" s="2"/>
    </row>
    <row r="16" spans="1:19" ht="16.5" x14ac:dyDescent="0.25">
      <c r="A16" s="439" t="s">
        <v>740</v>
      </c>
      <c r="B16" s="440">
        <f t="shared" si="1"/>
        <v>12281541.289999999</v>
      </c>
      <c r="C16" s="440">
        <v>6905520.5899999999</v>
      </c>
      <c r="D16" s="440">
        <v>5376020.7000000002</v>
      </c>
      <c r="E16" s="433">
        <v>0</v>
      </c>
      <c r="F16" s="433">
        <v>0</v>
      </c>
      <c r="G16" s="433">
        <v>0</v>
      </c>
      <c r="H16" s="433">
        <v>0</v>
      </c>
      <c r="I16" s="441" t="s">
        <v>741</v>
      </c>
      <c r="L16" s="2"/>
      <c r="M16" s="443"/>
      <c r="N16" s="443"/>
      <c r="O16" s="443"/>
      <c r="P16" s="443"/>
      <c r="Q16" s="443"/>
      <c r="R16" s="443"/>
      <c r="S16" s="2"/>
    </row>
    <row r="17" spans="1:19" ht="19.149999999999999" customHeight="1" x14ac:dyDescent="0.25">
      <c r="A17" s="444" t="s">
        <v>285</v>
      </c>
      <c r="B17" s="440">
        <f t="shared" si="1"/>
        <v>7471919.1500000004</v>
      </c>
      <c r="C17" s="440">
        <v>4924094.5</v>
      </c>
      <c r="D17" s="440">
        <v>2547824.65</v>
      </c>
      <c r="E17" s="433">
        <v>0</v>
      </c>
      <c r="F17" s="433">
        <v>0</v>
      </c>
      <c r="G17" s="433">
        <v>0</v>
      </c>
      <c r="H17" s="433">
        <v>0</v>
      </c>
      <c r="I17" s="441" t="s">
        <v>742</v>
      </c>
      <c r="L17" s="2"/>
      <c r="M17" s="445"/>
      <c r="N17" s="446"/>
      <c r="O17" s="446"/>
      <c r="P17" s="446"/>
      <c r="Q17" s="446"/>
      <c r="R17" s="447"/>
      <c r="S17" s="447"/>
    </row>
    <row r="18" spans="1:19" ht="16.5" x14ac:dyDescent="0.25">
      <c r="A18" s="439" t="s">
        <v>287</v>
      </c>
      <c r="B18" s="440">
        <f t="shared" si="1"/>
        <v>17498120.030000001</v>
      </c>
      <c r="C18" s="440">
        <v>11172682.66</v>
      </c>
      <c r="D18" s="440">
        <v>6275211.3700000001</v>
      </c>
      <c r="E18" s="433">
        <v>0</v>
      </c>
      <c r="F18" s="459">
        <v>50226</v>
      </c>
      <c r="G18" s="433">
        <v>0</v>
      </c>
      <c r="H18" s="433">
        <v>0</v>
      </c>
      <c r="I18" s="441" t="s">
        <v>743</v>
      </c>
      <c r="L18" s="2"/>
      <c r="M18" s="448"/>
      <c r="N18" s="448"/>
      <c r="O18" s="448"/>
      <c r="P18" s="448"/>
      <c r="Q18" s="449"/>
      <c r="R18" s="450"/>
      <c r="S18" s="451"/>
    </row>
    <row r="19" spans="1:19" ht="16.5" x14ac:dyDescent="0.25">
      <c r="A19" s="439" t="s">
        <v>289</v>
      </c>
      <c r="B19" s="440">
        <f t="shared" si="1"/>
        <v>1773766.73</v>
      </c>
      <c r="C19" s="440">
        <v>884043.57</v>
      </c>
      <c r="D19" s="459">
        <v>889723.15999999992</v>
      </c>
      <c r="E19" s="433">
        <v>0</v>
      </c>
      <c r="F19" s="433">
        <v>0</v>
      </c>
      <c r="G19" s="433">
        <v>0</v>
      </c>
      <c r="H19" s="433">
        <v>0</v>
      </c>
      <c r="I19" s="441" t="s">
        <v>744</v>
      </c>
      <c r="L19" s="2"/>
      <c r="M19" s="443"/>
      <c r="N19" s="443"/>
      <c r="O19" s="443"/>
      <c r="P19" s="443"/>
      <c r="Q19" s="443"/>
      <c r="R19" s="443"/>
      <c r="S19" s="2"/>
    </row>
    <row r="20" spans="1:19" ht="16.5" x14ac:dyDescent="0.25">
      <c r="A20" s="439" t="s">
        <v>291</v>
      </c>
      <c r="B20" s="440">
        <f t="shared" si="1"/>
        <v>12610137.150000002</v>
      </c>
      <c r="C20" s="440">
        <v>6095790.5800000001</v>
      </c>
      <c r="D20" s="440">
        <v>6514346.5700000012</v>
      </c>
      <c r="E20" s="433">
        <v>0</v>
      </c>
      <c r="F20" s="433">
        <v>0</v>
      </c>
      <c r="G20" s="433">
        <v>0</v>
      </c>
      <c r="H20" s="433">
        <v>0</v>
      </c>
      <c r="I20" s="441" t="s">
        <v>745</v>
      </c>
      <c r="L20" s="2"/>
      <c r="M20" s="2"/>
      <c r="N20" s="2"/>
      <c r="O20" s="2"/>
      <c r="P20" s="2"/>
      <c r="Q20" s="2"/>
      <c r="R20" s="2"/>
      <c r="S20" s="2"/>
    </row>
    <row r="21" spans="1:19" ht="16.5" x14ac:dyDescent="0.25">
      <c r="A21" s="439" t="s">
        <v>294</v>
      </c>
      <c r="B21" s="440">
        <f t="shared" si="1"/>
        <v>9723321.2800000012</v>
      </c>
      <c r="C21" s="440">
        <v>5825414.6500000013</v>
      </c>
      <c r="D21" s="440">
        <v>3897906.63</v>
      </c>
      <c r="E21" s="433">
        <v>0</v>
      </c>
      <c r="F21" s="433">
        <v>0</v>
      </c>
      <c r="G21" s="433">
        <v>0</v>
      </c>
      <c r="H21" s="433">
        <v>0</v>
      </c>
      <c r="I21" s="441" t="s">
        <v>746</v>
      </c>
      <c r="L21" s="2"/>
      <c r="M21" s="2"/>
      <c r="N21" s="2"/>
      <c r="O21" s="2"/>
      <c r="P21" s="2"/>
      <c r="Q21" s="2"/>
      <c r="R21" s="2"/>
      <c r="S21" s="2"/>
    </row>
    <row r="22" spans="1:19" ht="16.5" x14ac:dyDescent="0.25">
      <c r="A22" s="439" t="s">
        <v>297</v>
      </c>
      <c r="B22" s="440">
        <f t="shared" si="1"/>
        <v>12434694.65</v>
      </c>
      <c r="C22" s="440">
        <v>8099793.9300000006</v>
      </c>
      <c r="D22" s="440">
        <v>4334900.72</v>
      </c>
      <c r="E22" s="433">
        <v>0</v>
      </c>
      <c r="F22" s="433">
        <v>0</v>
      </c>
      <c r="G22" s="433">
        <v>0</v>
      </c>
      <c r="H22" s="433">
        <v>0</v>
      </c>
      <c r="I22" s="441" t="s">
        <v>747</v>
      </c>
      <c r="L22" s="2"/>
      <c r="M22" s="2"/>
      <c r="N22" s="2"/>
      <c r="O22" s="2"/>
      <c r="P22" s="2"/>
      <c r="Q22" s="2"/>
      <c r="R22" s="2"/>
      <c r="S22" s="2"/>
    </row>
    <row r="23" spans="1:19" ht="16.5" x14ac:dyDescent="0.25">
      <c r="A23" s="439" t="s">
        <v>300</v>
      </c>
      <c r="B23" s="440">
        <f t="shared" si="1"/>
        <v>20505081.600000001</v>
      </c>
      <c r="C23" s="440">
        <v>13377832.940000003</v>
      </c>
      <c r="D23" s="440">
        <v>7127248.6600000001</v>
      </c>
      <c r="E23" s="433">
        <v>0</v>
      </c>
      <c r="F23" s="433">
        <v>0</v>
      </c>
      <c r="G23" s="433">
        <v>0</v>
      </c>
      <c r="H23" s="433">
        <v>0</v>
      </c>
      <c r="I23" s="441" t="s">
        <v>748</v>
      </c>
      <c r="L23" s="2"/>
      <c r="M23" s="2"/>
      <c r="N23" s="2"/>
      <c r="O23" s="2"/>
      <c r="P23" s="2"/>
      <c r="Q23" s="2"/>
      <c r="R23" s="2"/>
      <c r="S23" s="2"/>
    </row>
    <row r="24" spans="1:19" ht="16.5" x14ac:dyDescent="0.25">
      <c r="A24" s="439" t="s">
        <v>303</v>
      </c>
      <c r="B24" s="440">
        <f t="shared" si="1"/>
        <v>27347316.959999997</v>
      </c>
      <c r="C24" s="440">
        <v>17238421.009999998</v>
      </c>
      <c r="D24" s="440">
        <v>10108895.949999999</v>
      </c>
      <c r="E24" s="433">
        <v>0</v>
      </c>
      <c r="F24" s="433">
        <v>0</v>
      </c>
      <c r="G24" s="433">
        <v>0</v>
      </c>
      <c r="H24" s="433">
        <v>0</v>
      </c>
      <c r="I24" s="441" t="s">
        <v>749</v>
      </c>
      <c r="L24" s="2"/>
      <c r="M24" s="2"/>
      <c r="N24" s="2"/>
      <c r="O24" s="2"/>
      <c r="P24" s="2"/>
      <c r="Q24" s="2"/>
      <c r="R24" s="2"/>
      <c r="S24" s="2"/>
    </row>
    <row r="25" spans="1:19" ht="16.5" x14ac:dyDescent="0.25">
      <c r="A25" s="439" t="s">
        <v>306</v>
      </c>
      <c r="B25" s="440">
        <f t="shared" si="1"/>
        <v>21910210.289999999</v>
      </c>
      <c r="C25" s="440">
        <v>11041561.68</v>
      </c>
      <c r="D25" s="440">
        <v>10868648.609999999</v>
      </c>
      <c r="E25" s="433">
        <v>0</v>
      </c>
      <c r="F25" s="433">
        <v>0</v>
      </c>
      <c r="G25" s="433">
        <v>0</v>
      </c>
      <c r="H25" s="433">
        <v>0</v>
      </c>
      <c r="I25" s="441" t="s">
        <v>750</v>
      </c>
      <c r="L25" s="2"/>
      <c r="M25" s="2"/>
      <c r="N25" s="2"/>
      <c r="O25" s="2"/>
      <c r="P25" s="2"/>
      <c r="Q25" s="2"/>
      <c r="R25" s="2"/>
      <c r="S25" s="2"/>
    </row>
    <row r="26" spans="1:19" ht="16.5" x14ac:dyDescent="0.25">
      <c r="A26" s="439" t="s">
        <v>309</v>
      </c>
      <c r="B26" s="440">
        <f t="shared" si="1"/>
        <v>34260241.729999997</v>
      </c>
      <c r="C26" s="440">
        <v>22240725.609999999</v>
      </c>
      <c r="D26" s="440">
        <v>12019516.119999999</v>
      </c>
      <c r="E26" s="433">
        <v>0</v>
      </c>
      <c r="F26" s="433">
        <v>0</v>
      </c>
      <c r="G26" s="433">
        <v>0</v>
      </c>
      <c r="H26" s="433">
        <v>0</v>
      </c>
      <c r="I26" s="441" t="s">
        <v>751</v>
      </c>
      <c r="L26" s="2"/>
      <c r="M26" s="2"/>
      <c r="N26" s="2"/>
      <c r="O26" s="2"/>
      <c r="P26" s="2"/>
      <c r="Q26" s="2"/>
      <c r="R26" s="2"/>
      <c r="S26" s="2"/>
    </row>
    <row r="27" spans="1:19" ht="16.5" x14ac:dyDescent="0.25">
      <c r="A27" s="439" t="s">
        <v>312</v>
      </c>
      <c r="B27" s="440">
        <f t="shared" si="1"/>
        <v>19379941.390000001</v>
      </c>
      <c r="C27" s="440">
        <v>10966450.130000001</v>
      </c>
      <c r="D27" s="440">
        <v>7613545.8600000003</v>
      </c>
      <c r="E27" s="459">
        <v>164305.4</v>
      </c>
      <c r="F27" s="459">
        <v>635640</v>
      </c>
      <c r="G27" s="433">
        <v>0</v>
      </c>
      <c r="H27" s="433">
        <v>0</v>
      </c>
      <c r="I27" s="441" t="s">
        <v>302</v>
      </c>
      <c r="L27" s="2"/>
      <c r="M27" s="2"/>
      <c r="N27" s="2"/>
      <c r="O27" s="2"/>
      <c r="P27" s="2"/>
      <c r="Q27" s="2"/>
      <c r="R27" s="2"/>
      <c r="S27" s="2"/>
    </row>
    <row r="28" spans="1:19" ht="16.5" x14ac:dyDescent="0.25">
      <c r="A28" s="439" t="s">
        <v>315</v>
      </c>
      <c r="B28" s="440">
        <f t="shared" si="1"/>
        <v>74119274.931099996</v>
      </c>
      <c r="C28" s="440">
        <v>37964001.871100001</v>
      </c>
      <c r="D28" s="440">
        <v>32986864.960000001</v>
      </c>
      <c r="E28" s="440">
        <v>859408.1</v>
      </c>
      <c r="F28" s="459">
        <v>2309000</v>
      </c>
      <c r="G28" s="433">
        <v>0</v>
      </c>
      <c r="H28" s="433">
        <v>0</v>
      </c>
      <c r="I28" s="441" t="s">
        <v>752</v>
      </c>
      <c r="L28" s="2"/>
      <c r="M28" s="2"/>
      <c r="N28" s="2"/>
      <c r="O28" s="2"/>
      <c r="P28" s="2"/>
      <c r="Q28" s="2"/>
      <c r="R28" s="2"/>
      <c r="S28" s="2"/>
    </row>
    <row r="29" spans="1:19" ht="18.75" x14ac:dyDescent="0.25">
      <c r="A29" s="452" t="s">
        <v>753</v>
      </c>
      <c r="B29" s="624">
        <f>SUM(C29:G29)</f>
        <v>222306097.64719999</v>
      </c>
      <c r="C29" s="460">
        <v>222306097.64719999</v>
      </c>
      <c r="D29" s="434">
        <v>0</v>
      </c>
      <c r="E29" s="434">
        <v>0</v>
      </c>
      <c r="F29" s="434">
        <v>0</v>
      </c>
      <c r="G29" s="434">
        <v>0</v>
      </c>
      <c r="H29" s="434">
        <v>0</v>
      </c>
      <c r="I29" s="453" t="s">
        <v>754</v>
      </c>
      <c r="L29" s="2"/>
      <c r="M29" s="2"/>
      <c r="N29" s="2"/>
      <c r="O29" s="2"/>
      <c r="P29" s="2"/>
      <c r="Q29" s="2"/>
      <c r="R29" s="2"/>
      <c r="S29" s="2"/>
    </row>
    <row r="30" spans="1:19" s="455" customFormat="1" ht="12.75" customHeight="1" x14ac:dyDescent="0.25">
      <c r="A30" s="454" t="s">
        <v>1052</v>
      </c>
      <c r="I30" s="193"/>
      <c r="L30" s="456"/>
      <c r="M30" s="456"/>
      <c r="N30" s="456"/>
      <c r="O30" s="456"/>
      <c r="P30" s="456"/>
      <c r="Q30" s="456"/>
      <c r="R30" s="456"/>
      <c r="S30" s="456"/>
    </row>
    <row r="31" spans="1:19" s="455" customFormat="1" ht="17.25" x14ac:dyDescent="0.25">
      <c r="A31" s="627" t="s">
        <v>1053</v>
      </c>
      <c r="I31" s="193"/>
      <c r="L31" s="456"/>
      <c r="M31" s="456"/>
      <c r="N31" s="456"/>
      <c r="O31" s="456"/>
      <c r="P31" s="456"/>
      <c r="Q31" s="456"/>
      <c r="R31" s="456"/>
      <c r="S31" s="456"/>
    </row>
    <row r="32" spans="1:19" s="455" customFormat="1" ht="17.25" x14ac:dyDescent="0.25">
      <c r="A32" s="454"/>
      <c r="I32" s="193"/>
      <c r="L32" s="456"/>
      <c r="M32" s="456"/>
      <c r="N32" s="456"/>
      <c r="O32" s="456"/>
      <c r="P32" s="456"/>
      <c r="Q32" s="456"/>
      <c r="R32" s="456"/>
      <c r="S32" s="456"/>
    </row>
    <row r="33" spans="1:26" s="455" customFormat="1" ht="17.25" x14ac:dyDescent="0.25">
      <c r="A33" s="454"/>
      <c r="I33" s="193"/>
      <c r="L33" s="456"/>
      <c r="M33" s="456"/>
      <c r="N33" s="456"/>
      <c r="O33" s="456"/>
      <c r="P33" s="456"/>
      <c r="Q33" s="456"/>
      <c r="R33" s="456"/>
      <c r="S33" s="456"/>
    </row>
    <row r="34" spans="1:26" s="455" customFormat="1" ht="17.25" x14ac:dyDescent="0.25">
      <c r="A34" s="454"/>
      <c r="I34" s="193"/>
      <c r="L34" s="456"/>
      <c r="M34" s="456"/>
      <c r="N34" s="456"/>
      <c r="O34" s="456"/>
      <c r="P34" s="456"/>
      <c r="Q34" s="456"/>
      <c r="R34" s="456"/>
      <c r="S34" s="456"/>
    </row>
    <row r="35" spans="1:26" ht="21" customHeight="1" x14ac:dyDescent="0.55000000000000004">
      <c r="A35" s="930" t="s">
        <v>1080</v>
      </c>
      <c r="B35" s="930"/>
      <c r="C35" s="930"/>
      <c r="D35" s="930"/>
      <c r="E35" s="930"/>
      <c r="F35" s="930"/>
      <c r="G35" s="930"/>
      <c r="H35" s="930"/>
      <c r="I35" s="625"/>
      <c r="L35" s="2"/>
      <c r="M35" s="2"/>
      <c r="N35" s="2"/>
      <c r="O35" s="2"/>
      <c r="P35" s="2"/>
      <c r="Q35" s="2"/>
      <c r="R35" s="2"/>
      <c r="S35" s="2"/>
    </row>
    <row r="36" spans="1:26" s="38" customFormat="1" ht="20.25" customHeight="1" x14ac:dyDescent="0.25">
      <c r="A36" s="932" t="s">
        <v>1079</v>
      </c>
      <c r="B36" s="932"/>
      <c r="C36" s="932"/>
      <c r="D36" s="932"/>
      <c r="E36" s="932"/>
      <c r="F36" s="932"/>
      <c r="G36" s="932"/>
      <c r="H36" s="932"/>
      <c r="I36" s="626"/>
      <c r="L36" s="267"/>
      <c r="M36" s="267"/>
      <c r="N36" s="267"/>
      <c r="O36" s="267"/>
      <c r="P36" s="267"/>
      <c r="Q36" s="267"/>
      <c r="R36" s="267"/>
      <c r="S36" s="267"/>
    </row>
    <row r="37" spans="1:26" s="38" customFormat="1" ht="30" x14ac:dyDescent="0.25">
      <c r="A37" s="926" t="s">
        <v>244</v>
      </c>
      <c r="B37" s="410" t="s">
        <v>716</v>
      </c>
      <c r="C37" s="411" t="s">
        <v>717</v>
      </c>
      <c r="D37" s="411" t="s">
        <v>54</v>
      </c>
      <c r="E37" s="411" t="s">
        <v>718</v>
      </c>
      <c r="F37" s="411" t="s">
        <v>719</v>
      </c>
      <c r="G37" s="412" t="s">
        <v>720</v>
      </c>
      <c r="H37" s="928" t="s">
        <v>112</v>
      </c>
      <c r="I37" s="267"/>
      <c r="L37" s="267"/>
      <c r="M37" s="267"/>
      <c r="N37" s="267"/>
      <c r="O37" s="267"/>
      <c r="P37" s="267"/>
      <c r="Q37" s="267"/>
      <c r="R37" s="267"/>
      <c r="S37" s="267"/>
    </row>
    <row r="38" spans="1:26" s="38" customFormat="1" ht="18.75" x14ac:dyDescent="0.25">
      <c r="A38" s="927"/>
      <c r="B38" s="275" t="s">
        <v>722</v>
      </c>
      <c r="C38" s="414" t="s">
        <v>723</v>
      </c>
      <c r="D38" s="414" t="s">
        <v>724</v>
      </c>
      <c r="E38" s="414" t="s">
        <v>725</v>
      </c>
      <c r="F38" s="414" t="s">
        <v>726</v>
      </c>
      <c r="G38" s="275" t="s">
        <v>727</v>
      </c>
      <c r="H38" s="929"/>
      <c r="L38" s="267"/>
      <c r="M38" s="267"/>
      <c r="N38" s="267"/>
      <c r="O38" s="267"/>
      <c r="P38" s="267"/>
      <c r="Q38" s="267"/>
      <c r="R38" s="267"/>
      <c r="S38" s="267"/>
    </row>
    <row r="39" spans="1:26" s="418" customFormat="1" ht="18.75" x14ac:dyDescent="0.25">
      <c r="A39" s="415" t="s">
        <v>263</v>
      </c>
      <c r="B39" s="435">
        <f>SUM(B40:B41)+B62</f>
        <v>1063054680.1289001</v>
      </c>
      <c r="C39" s="435">
        <f>SUM(C40:C41)+C62</f>
        <v>702918952.94270003</v>
      </c>
      <c r="D39" s="435">
        <f>SUM(D40:D41)</f>
        <v>251490148.69999999</v>
      </c>
      <c r="E39" s="435">
        <f>SUM(E40:E41)</f>
        <v>25939088.800000001</v>
      </c>
      <c r="F39" s="435">
        <f>SUM(F40:F41)</f>
        <v>17272151.5</v>
      </c>
      <c r="G39" s="435">
        <f>SUM(G40:G41)</f>
        <v>65434338.1862</v>
      </c>
      <c r="H39" s="436" t="s">
        <v>729</v>
      </c>
      <c r="L39" s="457"/>
      <c r="M39" s="457"/>
      <c r="N39" s="457"/>
      <c r="O39" s="457"/>
      <c r="P39" s="457"/>
      <c r="Q39" s="457"/>
      <c r="R39" s="457"/>
      <c r="S39" s="457"/>
    </row>
    <row r="40" spans="1:26" s="370" customFormat="1" ht="18.75" x14ac:dyDescent="0.25">
      <c r="A40" s="437" t="s">
        <v>265</v>
      </c>
      <c r="B40" s="438">
        <f>SUM(C40:G40)</f>
        <v>529844339.34140003</v>
      </c>
      <c r="C40" s="438">
        <v>310442295.6552</v>
      </c>
      <c r="D40" s="438">
        <v>113615224.23</v>
      </c>
      <c r="E40" s="438">
        <v>24661169.77</v>
      </c>
      <c r="F40" s="438">
        <v>15691311.5</v>
      </c>
      <c r="G40" s="438">
        <v>65434338.1862</v>
      </c>
      <c r="H40" s="436" t="s">
        <v>266</v>
      </c>
      <c r="L40" s="458"/>
      <c r="M40" s="458"/>
      <c r="N40" s="458"/>
      <c r="O40" s="458"/>
      <c r="P40" s="458"/>
      <c r="Q40" s="458"/>
      <c r="R40" s="458"/>
      <c r="S40" s="458"/>
    </row>
    <row r="41" spans="1:26" s="370" customFormat="1" ht="18.75" x14ac:dyDescent="0.25">
      <c r="A41" s="437" t="s">
        <v>267</v>
      </c>
      <c r="B41" s="438">
        <f>SUM(B42:B61)</f>
        <v>364203693.46630001</v>
      </c>
      <c r="C41" s="438">
        <f t="shared" ref="C41:F41" si="2">SUM(C42:C61)</f>
        <v>223470009.96629998</v>
      </c>
      <c r="D41" s="438">
        <f t="shared" si="2"/>
        <v>137874924.47</v>
      </c>
      <c r="E41" s="438">
        <f t="shared" si="2"/>
        <v>1277919.03</v>
      </c>
      <c r="F41" s="438">
        <f t="shared" si="2"/>
        <v>1580840</v>
      </c>
      <c r="G41" s="433">
        <v>0</v>
      </c>
      <c r="H41" s="436" t="s">
        <v>268</v>
      </c>
      <c r="L41" s="458"/>
      <c r="M41" s="458"/>
      <c r="N41" s="458"/>
      <c r="O41" s="458"/>
      <c r="P41" s="458"/>
      <c r="Q41" s="458"/>
      <c r="R41" s="458"/>
      <c r="S41" s="458"/>
    </row>
    <row r="42" spans="1:26" ht="16.5" x14ac:dyDescent="0.25">
      <c r="A42" s="439" t="s">
        <v>269</v>
      </c>
      <c r="B42" s="440">
        <f>SUM(C42:G42)</f>
        <v>21476572.449999999</v>
      </c>
      <c r="C42" s="440">
        <v>12933880.609999999</v>
      </c>
      <c r="D42" s="440">
        <v>8542691.8399999999</v>
      </c>
      <c r="E42" s="433">
        <v>0</v>
      </c>
      <c r="F42" s="433">
        <v>0</v>
      </c>
      <c r="G42" s="433">
        <v>0</v>
      </c>
      <c r="H42" s="441" t="s">
        <v>735</v>
      </c>
      <c r="L42" s="2"/>
      <c r="M42" s="2"/>
      <c r="N42" s="2"/>
      <c r="O42" s="2"/>
      <c r="P42" s="2"/>
      <c r="Q42" s="2"/>
      <c r="R42" s="2"/>
      <c r="S42" s="2"/>
    </row>
    <row r="43" spans="1:26" ht="16.5" x14ac:dyDescent="0.25">
      <c r="A43" s="439" t="s">
        <v>271</v>
      </c>
      <c r="B43" s="440">
        <f>SUM(C43:G43)</f>
        <v>47757008.690000005</v>
      </c>
      <c r="C43" s="440">
        <v>28644297.970000006</v>
      </c>
      <c r="D43" s="440">
        <v>19003784.890000001</v>
      </c>
      <c r="E43" s="440">
        <v>108925.83</v>
      </c>
      <c r="F43" s="433">
        <v>0</v>
      </c>
      <c r="G43" s="433">
        <v>0</v>
      </c>
      <c r="H43" s="441" t="s">
        <v>736</v>
      </c>
      <c r="L43" s="2"/>
      <c r="M43" s="2"/>
      <c r="N43" s="2"/>
      <c r="O43" s="2"/>
      <c r="P43" s="2"/>
      <c r="Q43" s="2"/>
      <c r="R43" s="2"/>
      <c r="S43" s="2"/>
      <c r="U43" s="629" t="s">
        <v>717</v>
      </c>
      <c r="V43" s="629" t="s">
        <v>54</v>
      </c>
      <c r="W43" s="629" t="s">
        <v>718</v>
      </c>
      <c r="X43" s="629" t="s">
        <v>719</v>
      </c>
      <c r="Y43" s="412" t="s">
        <v>720</v>
      </c>
      <c r="Z43" s="630" t="s">
        <v>721</v>
      </c>
    </row>
    <row r="44" spans="1:26" ht="16.5" x14ac:dyDescent="0.25">
      <c r="A44" s="439" t="s">
        <v>273</v>
      </c>
      <c r="B44" s="440">
        <f t="shared" ref="B44:B61" si="3">SUM(C44:G44)</f>
        <v>18573633.77</v>
      </c>
      <c r="C44" s="440">
        <v>11923839.91</v>
      </c>
      <c r="D44" s="440">
        <v>6649793.8599999994</v>
      </c>
      <c r="E44" s="433">
        <v>0</v>
      </c>
      <c r="F44" s="433">
        <v>0</v>
      </c>
      <c r="G44" s="433">
        <v>0</v>
      </c>
      <c r="H44" s="441" t="s">
        <v>329</v>
      </c>
      <c r="J44" s="442"/>
      <c r="L44" s="2"/>
      <c r="M44" s="2"/>
      <c r="N44" s="2"/>
      <c r="O44" s="2"/>
      <c r="P44" s="2"/>
      <c r="Q44" s="2"/>
      <c r="R44" s="2"/>
      <c r="S44" s="2"/>
      <c r="T44" s="1">
        <f>SUM(U44:Z44)</f>
        <v>1400609841.8314998</v>
      </c>
      <c r="U44" s="1">
        <v>913984781.45029998</v>
      </c>
      <c r="V44" s="1">
        <v>355615300.89999998</v>
      </c>
      <c r="W44" s="1">
        <v>22435986.039999999</v>
      </c>
      <c r="X44" s="1">
        <v>29156242.75</v>
      </c>
      <c r="Y44" s="1">
        <v>77329802.691200003</v>
      </c>
      <c r="Z44" s="1">
        <v>2087728</v>
      </c>
    </row>
    <row r="45" spans="1:26" ht="16.5" x14ac:dyDescent="0.25">
      <c r="A45" s="439" t="s">
        <v>275</v>
      </c>
      <c r="B45" s="440">
        <f t="shared" si="3"/>
        <v>11788026.34</v>
      </c>
      <c r="C45" s="440">
        <v>8673606.7200000007</v>
      </c>
      <c r="D45" s="440">
        <v>3114419.62</v>
      </c>
      <c r="E45" s="433">
        <v>0</v>
      </c>
      <c r="F45" s="433">
        <v>0</v>
      </c>
      <c r="G45" s="433">
        <v>0</v>
      </c>
      <c r="H45" s="441" t="s">
        <v>737</v>
      </c>
      <c r="L45" s="2"/>
      <c r="M45" s="2"/>
      <c r="N45" s="2"/>
      <c r="O45" s="2"/>
      <c r="P45" s="2"/>
      <c r="Q45" s="2"/>
      <c r="R45" s="2"/>
      <c r="S45" s="2"/>
      <c r="U45" s="67">
        <f>U44/T44*100</f>
        <v>65.256201559681514</v>
      </c>
      <c r="V45" s="67">
        <f>V44/$T$44*100</f>
        <v>25.390032989842592</v>
      </c>
      <c r="W45" s="67">
        <f>W44/$T$44*100</f>
        <v>1.6018726536050683</v>
      </c>
      <c r="X45" s="67">
        <f t="shared" ref="X45:Z45" si="4">X44/$T$44*100</f>
        <v>2.0816819844614258</v>
      </c>
      <c r="Y45" s="67">
        <f t="shared" si="4"/>
        <v>5.5211523139149232</v>
      </c>
      <c r="Z45" s="67">
        <f t="shared" si="4"/>
        <v>0.14905849849448394</v>
      </c>
    </row>
    <row r="46" spans="1:26" ht="16.5" x14ac:dyDescent="0.25">
      <c r="A46" s="439" t="s">
        <v>277</v>
      </c>
      <c r="B46" s="440">
        <f t="shared" si="3"/>
        <v>29304498.352999996</v>
      </c>
      <c r="C46" s="440">
        <v>18880458.892999995</v>
      </c>
      <c r="D46" s="440">
        <v>10424039.460000001</v>
      </c>
      <c r="E46" s="433">
        <v>0</v>
      </c>
      <c r="F46" s="433">
        <v>0</v>
      </c>
      <c r="G46" s="433">
        <v>0</v>
      </c>
      <c r="H46" s="441" t="s">
        <v>738</v>
      </c>
      <c r="L46" s="2"/>
      <c r="M46" s="2"/>
      <c r="N46" s="2"/>
      <c r="O46" s="2"/>
      <c r="P46" s="2"/>
      <c r="Q46" s="2"/>
      <c r="R46" s="2"/>
      <c r="S46" s="2"/>
    </row>
    <row r="47" spans="1:26" ht="16.5" x14ac:dyDescent="0.25">
      <c r="A47" s="439" t="s">
        <v>279</v>
      </c>
      <c r="B47" s="440">
        <f t="shared" si="3"/>
        <v>15482386.66</v>
      </c>
      <c r="C47" s="440">
        <v>9709301.1600000001</v>
      </c>
      <c r="D47" s="440">
        <v>5773085.5</v>
      </c>
      <c r="E47" s="433">
        <v>0</v>
      </c>
      <c r="F47" s="433">
        <v>0</v>
      </c>
      <c r="G47" s="433">
        <v>0</v>
      </c>
      <c r="H47" s="441" t="s">
        <v>739</v>
      </c>
      <c r="L47" s="2"/>
      <c r="M47" s="2"/>
      <c r="N47" s="2"/>
      <c r="O47" s="2"/>
      <c r="P47" s="2"/>
      <c r="Q47" s="2"/>
      <c r="R47" s="2"/>
      <c r="S47" s="2"/>
    </row>
    <row r="48" spans="1:26" ht="16.5" x14ac:dyDescent="0.25">
      <c r="A48" s="439" t="s">
        <v>281</v>
      </c>
      <c r="B48" s="440">
        <f t="shared" si="3"/>
        <v>23688972.939999998</v>
      </c>
      <c r="C48" s="440">
        <v>10168784.33</v>
      </c>
      <c r="D48" s="440">
        <v>13520188.609999999</v>
      </c>
      <c r="E48" s="433">
        <v>0</v>
      </c>
      <c r="F48" s="433">
        <v>0</v>
      </c>
      <c r="G48" s="433">
        <v>0</v>
      </c>
      <c r="H48" s="441" t="s">
        <v>325</v>
      </c>
      <c r="L48" s="2"/>
      <c r="M48" s="2"/>
      <c r="N48" s="2"/>
      <c r="O48" s="2"/>
      <c r="P48" s="2"/>
      <c r="Q48" s="2"/>
      <c r="R48" s="2"/>
      <c r="S48" s="2"/>
    </row>
    <row r="49" spans="1:19" ht="16.5" x14ac:dyDescent="0.25">
      <c r="A49" s="439" t="s">
        <v>740</v>
      </c>
      <c r="B49" s="440">
        <f t="shared" si="3"/>
        <v>7724957.6299999999</v>
      </c>
      <c r="C49" s="440">
        <v>5498764.8799999999</v>
      </c>
      <c r="D49" s="440">
        <v>2226192.75</v>
      </c>
      <c r="E49" s="433">
        <v>0</v>
      </c>
      <c r="F49" s="433">
        <v>0</v>
      </c>
      <c r="G49" s="433">
        <v>0</v>
      </c>
      <c r="H49" s="441" t="s">
        <v>741</v>
      </c>
      <c r="L49" s="2"/>
      <c r="M49" s="443"/>
      <c r="N49" s="443"/>
      <c r="O49" s="443"/>
      <c r="P49" s="443"/>
      <c r="Q49" s="443"/>
      <c r="R49" s="443"/>
      <c r="S49" s="2"/>
    </row>
    <row r="50" spans="1:19" ht="19.149999999999999" customHeight="1" x14ac:dyDescent="0.25">
      <c r="A50" s="444" t="s">
        <v>285</v>
      </c>
      <c r="B50" s="440">
        <f t="shared" si="3"/>
        <v>3540685.44</v>
      </c>
      <c r="C50" s="440">
        <v>3415097.84</v>
      </c>
      <c r="D50" s="440">
        <v>125587.6</v>
      </c>
      <c r="E50" s="433">
        <v>0</v>
      </c>
      <c r="F50" s="433">
        <v>0</v>
      </c>
      <c r="G50" s="433">
        <v>0</v>
      </c>
      <c r="H50" s="441" t="s">
        <v>742</v>
      </c>
      <c r="L50" s="2"/>
      <c r="M50" s="445"/>
      <c r="N50" s="446"/>
      <c r="O50" s="446"/>
      <c r="P50" s="446"/>
      <c r="Q50" s="446"/>
      <c r="R50" s="447"/>
      <c r="S50" s="447"/>
    </row>
    <row r="51" spans="1:19" ht="16.5" x14ac:dyDescent="0.25">
      <c r="A51" s="439" t="s">
        <v>287</v>
      </c>
      <c r="B51" s="440">
        <f t="shared" si="3"/>
        <v>13156080.83</v>
      </c>
      <c r="C51" s="440">
        <v>8525877.4800000004</v>
      </c>
      <c r="D51" s="440">
        <v>4630203.3499999996</v>
      </c>
      <c r="E51" s="433">
        <v>0</v>
      </c>
      <c r="F51" s="433">
        <v>0</v>
      </c>
      <c r="G51" s="433">
        <v>0</v>
      </c>
      <c r="H51" s="441" t="s">
        <v>743</v>
      </c>
      <c r="L51" s="2"/>
      <c r="M51" s="448"/>
      <c r="N51" s="448"/>
      <c r="O51" s="448"/>
      <c r="P51" s="448"/>
      <c r="Q51" s="449"/>
      <c r="R51" s="450"/>
      <c r="S51" s="451"/>
    </row>
    <row r="52" spans="1:19" ht="16.5" x14ac:dyDescent="0.25">
      <c r="A52" s="439" t="s">
        <v>289</v>
      </c>
      <c r="B52" s="440">
        <f t="shared" si="3"/>
        <v>563786.18999999994</v>
      </c>
      <c r="C52" s="440">
        <v>527498.18999999994</v>
      </c>
      <c r="D52" s="459">
        <v>36288</v>
      </c>
      <c r="E52" s="433">
        <v>0</v>
      </c>
      <c r="F52" s="433">
        <v>0</v>
      </c>
      <c r="G52" s="433">
        <v>0</v>
      </c>
      <c r="H52" s="441" t="s">
        <v>744</v>
      </c>
      <c r="L52" s="2"/>
      <c r="M52" s="443"/>
      <c r="N52" s="443"/>
      <c r="O52" s="443"/>
      <c r="P52" s="443"/>
      <c r="Q52" s="443"/>
      <c r="R52" s="443"/>
      <c r="S52" s="2"/>
    </row>
    <row r="53" spans="1:19" ht="16.5" x14ac:dyDescent="0.25">
      <c r="A53" s="439" t="s">
        <v>291</v>
      </c>
      <c r="B53" s="440">
        <f t="shared" si="3"/>
        <v>9125266.5999999996</v>
      </c>
      <c r="C53" s="440">
        <v>5056702.2399999993</v>
      </c>
      <c r="D53" s="440">
        <v>4068564.36</v>
      </c>
      <c r="E53" s="433">
        <v>0</v>
      </c>
      <c r="F53" s="433">
        <v>0</v>
      </c>
      <c r="G53" s="433">
        <v>0</v>
      </c>
      <c r="H53" s="441" t="s">
        <v>745</v>
      </c>
      <c r="L53" s="2"/>
      <c r="M53" s="2"/>
      <c r="N53" s="2"/>
      <c r="O53" s="2"/>
      <c r="P53" s="2"/>
      <c r="Q53" s="2"/>
      <c r="R53" s="2"/>
      <c r="S53" s="2"/>
    </row>
    <row r="54" spans="1:19" ht="16.5" x14ac:dyDescent="0.25">
      <c r="A54" s="439" t="s">
        <v>294</v>
      </c>
      <c r="B54" s="440">
        <f t="shared" si="3"/>
        <v>6589192.25</v>
      </c>
      <c r="C54" s="440">
        <v>4084293.46</v>
      </c>
      <c r="D54" s="440">
        <v>2504898.79</v>
      </c>
      <c r="E54" s="433">
        <v>0</v>
      </c>
      <c r="F54" s="433">
        <v>0</v>
      </c>
      <c r="G54" s="433">
        <v>0</v>
      </c>
      <c r="H54" s="441" t="s">
        <v>746</v>
      </c>
      <c r="L54" s="2"/>
      <c r="M54" s="2"/>
      <c r="N54" s="2"/>
      <c r="O54" s="2"/>
      <c r="P54" s="2"/>
      <c r="Q54" s="2"/>
      <c r="R54" s="2"/>
      <c r="S54" s="2"/>
    </row>
    <row r="55" spans="1:19" ht="16.5" x14ac:dyDescent="0.25">
      <c r="A55" s="439" t="s">
        <v>297</v>
      </c>
      <c r="B55" s="440">
        <f t="shared" si="3"/>
        <v>9874084.1599999983</v>
      </c>
      <c r="C55" s="440">
        <v>6909047.2599999988</v>
      </c>
      <c r="D55" s="440">
        <v>2965036.9</v>
      </c>
      <c r="E55" s="433">
        <v>0</v>
      </c>
      <c r="F55" s="433">
        <v>0</v>
      </c>
      <c r="G55" s="433">
        <v>0</v>
      </c>
      <c r="H55" s="441" t="s">
        <v>747</v>
      </c>
      <c r="L55" s="2"/>
      <c r="M55" s="2"/>
      <c r="N55" s="2"/>
      <c r="O55" s="2"/>
      <c r="P55" s="2"/>
      <c r="Q55" s="2"/>
      <c r="R55" s="2"/>
      <c r="S55" s="2"/>
    </row>
    <row r="56" spans="1:19" ht="16.5" x14ac:dyDescent="0.25">
      <c r="A56" s="439" t="s">
        <v>300</v>
      </c>
      <c r="B56" s="440">
        <f t="shared" si="3"/>
        <v>15424283.25</v>
      </c>
      <c r="C56" s="440">
        <v>11001181.040000001</v>
      </c>
      <c r="D56" s="440">
        <v>4423102.21</v>
      </c>
      <c r="E56" s="433">
        <v>0</v>
      </c>
      <c r="F56" s="433">
        <v>0</v>
      </c>
      <c r="G56" s="433">
        <v>0</v>
      </c>
      <c r="H56" s="441" t="s">
        <v>748</v>
      </c>
      <c r="L56" s="2"/>
      <c r="M56" s="2"/>
      <c r="N56" s="2"/>
      <c r="O56" s="2"/>
      <c r="P56" s="2"/>
      <c r="Q56" s="2"/>
      <c r="R56" s="2"/>
      <c r="S56" s="2"/>
    </row>
    <row r="57" spans="1:19" ht="16.5" x14ac:dyDescent="0.25">
      <c r="A57" s="439" t="s">
        <v>303</v>
      </c>
      <c r="B57" s="440">
        <f t="shared" si="3"/>
        <v>19121149.300000001</v>
      </c>
      <c r="C57" s="440">
        <v>12087985.25</v>
      </c>
      <c r="D57" s="440">
        <v>7033164.0499999998</v>
      </c>
      <c r="E57" s="433">
        <v>0</v>
      </c>
      <c r="F57" s="433">
        <v>0</v>
      </c>
      <c r="G57" s="433">
        <v>0</v>
      </c>
      <c r="H57" s="441" t="s">
        <v>749</v>
      </c>
      <c r="L57" s="2"/>
      <c r="M57" s="2"/>
      <c r="N57" s="2"/>
      <c r="O57" s="2"/>
      <c r="P57" s="2"/>
      <c r="Q57" s="2"/>
      <c r="R57" s="2"/>
      <c r="S57" s="2"/>
    </row>
    <row r="58" spans="1:19" ht="16.5" x14ac:dyDescent="0.25">
      <c r="A58" s="439" t="s">
        <v>306</v>
      </c>
      <c r="B58" s="440">
        <f t="shared" si="3"/>
        <v>14483951.449999999</v>
      </c>
      <c r="C58" s="440">
        <v>8032216.6099999994</v>
      </c>
      <c r="D58" s="440">
        <v>6451734.8399999989</v>
      </c>
      <c r="E58" s="433">
        <v>0</v>
      </c>
      <c r="F58" s="433">
        <v>0</v>
      </c>
      <c r="G58" s="433">
        <v>0</v>
      </c>
      <c r="H58" s="441" t="s">
        <v>750</v>
      </c>
      <c r="L58" s="2"/>
      <c r="M58" s="2"/>
      <c r="N58" s="2"/>
      <c r="O58" s="2"/>
      <c r="P58" s="2"/>
      <c r="Q58" s="2"/>
      <c r="R58" s="2"/>
      <c r="S58" s="2"/>
    </row>
    <row r="59" spans="1:19" ht="16.5" x14ac:dyDescent="0.25">
      <c r="A59" s="439" t="s">
        <v>309</v>
      </c>
      <c r="B59" s="440">
        <f t="shared" si="3"/>
        <v>27642128.07</v>
      </c>
      <c r="C59" s="440">
        <v>17756560.309999999</v>
      </c>
      <c r="D59" s="440">
        <v>9885567.7599999998</v>
      </c>
      <c r="E59" s="433">
        <v>0</v>
      </c>
      <c r="F59" s="433">
        <v>0</v>
      </c>
      <c r="G59" s="433">
        <v>0</v>
      </c>
      <c r="H59" s="441" t="s">
        <v>751</v>
      </c>
      <c r="L59" s="2"/>
      <c r="M59" s="2"/>
      <c r="N59" s="2"/>
      <c r="O59" s="2"/>
      <c r="P59" s="2"/>
      <c r="Q59" s="2"/>
      <c r="R59" s="2"/>
      <c r="S59" s="2"/>
    </row>
    <row r="60" spans="1:19" ht="16.5" x14ac:dyDescent="0.25">
      <c r="A60" s="439" t="s">
        <v>312</v>
      </c>
      <c r="B60" s="440">
        <f t="shared" si="3"/>
        <v>12905259.859999999</v>
      </c>
      <c r="C60" s="440">
        <v>7370920.1299999999</v>
      </c>
      <c r="D60" s="440">
        <v>5020959.7300000004</v>
      </c>
      <c r="E60" s="433">
        <v>0</v>
      </c>
      <c r="F60" s="459">
        <v>513380</v>
      </c>
      <c r="G60" s="433">
        <v>0</v>
      </c>
      <c r="H60" s="441" t="s">
        <v>302</v>
      </c>
      <c r="L60" s="2"/>
      <c r="M60" s="2"/>
      <c r="N60" s="2"/>
      <c r="O60" s="2"/>
      <c r="P60" s="2"/>
      <c r="Q60" s="2"/>
      <c r="R60" s="2"/>
      <c r="S60" s="2"/>
    </row>
    <row r="61" spans="1:19" ht="16.5" x14ac:dyDescent="0.25">
      <c r="A61" s="439" t="s">
        <v>315</v>
      </c>
      <c r="B61" s="440">
        <f t="shared" si="3"/>
        <v>55981769.2333</v>
      </c>
      <c r="C61" s="440">
        <v>32269695.6833</v>
      </c>
      <c r="D61" s="440">
        <v>21475620.349999998</v>
      </c>
      <c r="E61" s="440">
        <v>1168993.2</v>
      </c>
      <c r="F61" s="459">
        <v>1067460</v>
      </c>
      <c r="G61" s="433">
        <v>0</v>
      </c>
      <c r="H61" s="441" t="s">
        <v>752</v>
      </c>
    </row>
    <row r="62" spans="1:19" ht="18.75" x14ac:dyDescent="0.25">
      <c r="A62" s="452" t="s">
        <v>753</v>
      </c>
      <c r="B62" s="624">
        <f>SUM(C62:G62)</f>
        <v>169006647.32120001</v>
      </c>
      <c r="C62" s="460">
        <v>169006647.32120001</v>
      </c>
      <c r="D62" s="434">
        <v>0</v>
      </c>
      <c r="E62" s="434">
        <v>0</v>
      </c>
      <c r="F62" s="434">
        <v>0</v>
      </c>
      <c r="G62" s="434">
        <v>0</v>
      </c>
      <c r="H62" s="453" t="s">
        <v>754</v>
      </c>
    </row>
    <row r="63" spans="1:19" s="455" customFormat="1" ht="12.75" customHeight="1" x14ac:dyDescent="0.25">
      <c r="A63" s="454" t="s">
        <v>1052</v>
      </c>
      <c r="I63" s="193"/>
    </row>
    <row r="64" spans="1:19" s="455" customFormat="1" ht="17.25" x14ac:dyDescent="0.25">
      <c r="A64" s="627" t="s">
        <v>1053</v>
      </c>
      <c r="I64" s="193"/>
    </row>
    <row r="65" spans="1:9" s="455" customFormat="1" ht="17.25" x14ac:dyDescent="0.25">
      <c r="A65" s="454"/>
      <c r="I65" s="193"/>
    </row>
    <row r="66" spans="1:9" s="455" customFormat="1" ht="17.25" x14ac:dyDescent="0.25">
      <c r="A66" s="454"/>
      <c r="I66" s="193"/>
    </row>
    <row r="74" spans="1:9" x14ac:dyDescent="0.25">
      <c r="A74" s="461"/>
      <c r="C74" s="462"/>
      <c r="D74" s="462"/>
      <c r="E74" s="462"/>
      <c r="F74" s="462"/>
      <c r="G74" s="462"/>
      <c r="H74" s="462"/>
    </row>
    <row r="75" spans="1:9" x14ac:dyDescent="0.25">
      <c r="A75" s="461"/>
      <c r="B75" s="463"/>
      <c r="C75" s="462"/>
      <c r="D75" s="462"/>
      <c r="E75" s="462"/>
      <c r="F75" s="462"/>
      <c r="G75" s="462"/>
      <c r="H75" s="462"/>
    </row>
    <row r="77" spans="1:9" x14ac:dyDescent="0.25">
      <c r="A77" s="461"/>
      <c r="B77" s="463"/>
      <c r="C77" s="462"/>
      <c r="D77" s="462"/>
      <c r="E77" s="462"/>
      <c r="F77" s="462"/>
      <c r="G77" s="462"/>
      <c r="H77" s="462"/>
    </row>
    <row r="78" spans="1:9" x14ac:dyDescent="0.25">
      <c r="G78" s="462"/>
      <c r="H78" s="462"/>
    </row>
    <row r="79" spans="1:9" x14ac:dyDescent="0.25">
      <c r="G79" s="462"/>
      <c r="H79" s="462"/>
    </row>
    <row r="80" spans="1:9" x14ac:dyDescent="0.25">
      <c r="G80" s="462"/>
      <c r="H80" s="462"/>
    </row>
    <row r="81" spans="7:8" x14ac:dyDescent="0.25">
      <c r="G81" s="462"/>
      <c r="H81" s="462"/>
    </row>
    <row r="82" spans="7:8" x14ac:dyDescent="0.25">
      <c r="G82" s="462"/>
      <c r="H82" s="462"/>
    </row>
    <row r="83" spans="7:8" x14ac:dyDescent="0.25">
      <c r="G83" s="462"/>
      <c r="H83" s="462"/>
    </row>
    <row r="84" spans="7:8" x14ac:dyDescent="0.25">
      <c r="G84" s="462"/>
      <c r="H84" s="462"/>
    </row>
  </sheetData>
  <mergeCells count="8">
    <mergeCell ref="A37:A38"/>
    <mergeCell ref="H37:H38"/>
    <mergeCell ref="A1:I1"/>
    <mergeCell ref="A2:I2"/>
    <mergeCell ref="A4:A5"/>
    <mergeCell ref="I4:I5"/>
    <mergeCell ref="A35:H35"/>
    <mergeCell ref="A36:H36"/>
  </mergeCells>
  <pageMargins left="0.7" right="0.7" top="0.75" bottom="0.75" header="0.3" footer="0.3"/>
  <pageSetup paperSize="9" scale="77" orientation="landscape" r:id="rId1"/>
  <rowBreaks count="2" manualBreakCount="2">
    <brk id="31" max="8" man="1"/>
    <brk id="65" max="8"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22"/>
  <sheetViews>
    <sheetView zoomScaleNormal="100" workbookViewId="0">
      <selection activeCell="B4" sqref="B4:B19"/>
    </sheetView>
  </sheetViews>
  <sheetFormatPr defaultColWidth="9.140625" defaultRowHeight="23.25" customHeight="1" x14ac:dyDescent="0.25"/>
  <cols>
    <col min="1" max="1" width="32.28515625" style="548" customWidth="1"/>
    <col min="2" max="2" width="16.140625" style="548" customWidth="1"/>
    <col min="3" max="6" width="14" style="557" customWidth="1"/>
    <col min="7" max="7" width="47.140625" style="548" customWidth="1"/>
    <col min="8" max="8" width="5.28515625" style="548" customWidth="1"/>
    <col min="9" max="9" width="6.85546875" style="548" customWidth="1"/>
    <col min="10" max="10" width="7" style="548" customWidth="1"/>
    <col min="11" max="11" width="6.7109375" style="548" customWidth="1"/>
    <col min="12" max="12" width="6" style="548" customWidth="1"/>
    <col min="13" max="13" width="6.42578125" style="548" customWidth="1"/>
    <col min="14" max="14" width="6.140625" style="548" customWidth="1"/>
    <col min="15" max="15" width="6.42578125" style="548" customWidth="1"/>
    <col min="16" max="16" width="16.28515625" style="548" bestFit="1" customWidth="1"/>
    <col min="17" max="16384" width="9.140625" style="548"/>
  </cols>
  <sheetData>
    <row r="1" spans="1:7" ht="23.25" customHeight="1" x14ac:dyDescent="0.25">
      <c r="A1" s="933" t="s">
        <v>1084</v>
      </c>
      <c r="B1" s="933"/>
      <c r="C1" s="933"/>
      <c r="D1" s="933"/>
      <c r="E1" s="933"/>
      <c r="F1" s="933"/>
      <c r="G1" s="933"/>
    </row>
    <row r="2" spans="1:7" ht="23.25" customHeight="1" x14ac:dyDescent="0.25">
      <c r="A2" s="934" t="s">
        <v>1083</v>
      </c>
      <c r="B2" s="934"/>
      <c r="C2" s="934"/>
      <c r="D2" s="934"/>
      <c r="E2" s="934"/>
      <c r="F2" s="934"/>
      <c r="G2" s="934"/>
    </row>
    <row r="3" spans="1:7" ht="30" customHeight="1" x14ac:dyDescent="0.25">
      <c r="A3" s="935" t="s">
        <v>755</v>
      </c>
      <c r="B3" s="937" t="s">
        <v>756</v>
      </c>
      <c r="C3" s="937"/>
      <c r="D3" s="937"/>
      <c r="E3" s="937"/>
      <c r="F3" s="937"/>
      <c r="G3" s="938" t="s">
        <v>757</v>
      </c>
    </row>
    <row r="4" spans="1:7" s="303" customFormat="1" ht="23.25" customHeight="1" x14ac:dyDescent="0.2">
      <c r="A4" s="936"/>
      <c r="B4" s="464">
        <v>2011</v>
      </c>
      <c r="C4" s="464">
        <v>2012</v>
      </c>
      <c r="D4" s="464">
        <v>2013</v>
      </c>
      <c r="E4" s="464">
        <v>2014</v>
      </c>
      <c r="F4" s="464">
        <v>2015</v>
      </c>
      <c r="G4" s="867"/>
    </row>
    <row r="5" spans="1:7" s="568" customFormat="1" ht="23.25" customHeight="1" x14ac:dyDescent="0.25">
      <c r="A5" s="465" t="s">
        <v>2</v>
      </c>
      <c r="B5" s="416">
        <f>SUM(B6:B21)</f>
        <v>267696665.63407031</v>
      </c>
      <c r="C5" s="790">
        <f>SUM(C6:C21)</f>
        <v>937199146.52999997</v>
      </c>
      <c r="D5" s="790">
        <f>SUM(D6:D21)</f>
        <v>730301988.74000394</v>
      </c>
      <c r="E5" s="416">
        <f>SUM(E6:E21)</f>
        <v>1063054680.1289001</v>
      </c>
      <c r="F5" s="416">
        <f>SUM(F6:F21)</f>
        <v>1400609841.9157999</v>
      </c>
      <c r="G5" s="466" t="s">
        <v>75</v>
      </c>
    </row>
    <row r="6" spans="1:7" s="568" customFormat="1" ht="23.25" customHeight="1" x14ac:dyDescent="0.25">
      <c r="A6" s="467" t="s">
        <v>758</v>
      </c>
      <c r="B6" s="468">
        <v>76552839.618887112</v>
      </c>
      <c r="C6" s="468">
        <v>542798715</v>
      </c>
      <c r="D6" s="468">
        <v>358842048</v>
      </c>
      <c r="E6" s="468">
        <v>457978292.29900002</v>
      </c>
      <c r="F6" s="468">
        <v>616252278.55999994</v>
      </c>
      <c r="G6" s="469" t="s">
        <v>759</v>
      </c>
    </row>
    <row r="7" spans="1:7" s="568" customFormat="1" ht="23.25" customHeight="1" x14ac:dyDescent="0.25">
      <c r="A7" s="467" t="s">
        <v>760</v>
      </c>
      <c r="B7" s="468">
        <v>56966349.493858904</v>
      </c>
      <c r="C7" s="468">
        <v>186005894</v>
      </c>
      <c r="D7" s="468">
        <v>152115805</v>
      </c>
      <c r="E7" s="468">
        <v>241051042.8951</v>
      </c>
      <c r="F7" s="468">
        <v>309109177.51999998</v>
      </c>
      <c r="G7" s="469" t="s">
        <v>761</v>
      </c>
    </row>
    <row r="8" spans="1:7" s="568" customFormat="1" ht="23.25" customHeight="1" x14ac:dyDescent="0.25">
      <c r="A8" s="470" t="s">
        <v>762</v>
      </c>
      <c r="B8" s="468">
        <v>2053951.05</v>
      </c>
      <c r="C8" s="468" t="s">
        <v>199</v>
      </c>
      <c r="D8" s="468" t="s">
        <v>199</v>
      </c>
      <c r="E8" s="468" t="s">
        <v>199</v>
      </c>
      <c r="F8" s="468" t="s">
        <v>199</v>
      </c>
      <c r="G8" s="469" t="s">
        <v>763</v>
      </c>
    </row>
    <row r="9" spans="1:7" s="568" customFormat="1" ht="23.25" customHeight="1" x14ac:dyDescent="0.25">
      <c r="A9" s="470" t="s">
        <v>764</v>
      </c>
      <c r="B9" s="468">
        <v>52858447.393858902</v>
      </c>
      <c r="C9" s="468" t="s">
        <v>199</v>
      </c>
      <c r="D9" s="468" t="s">
        <v>199</v>
      </c>
      <c r="E9" s="468" t="s">
        <v>199</v>
      </c>
      <c r="F9" s="468" t="s">
        <v>199</v>
      </c>
      <c r="G9" s="469" t="s">
        <v>765</v>
      </c>
    </row>
    <row r="10" spans="1:7" s="568" customFormat="1" ht="23.25" customHeight="1" x14ac:dyDescent="0.25">
      <c r="A10" s="471" t="s">
        <v>766</v>
      </c>
      <c r="B10" s="468">
        <f>19+52853747.0612086</f>
        <v>52853766.061208598</v>
      </c>
      <c r="C10" s="468">
        <v>138378283</v>
      </c>
      <c r="D10" s="468">
        <v>153659227.365554</v>
      </c>
      <c r="E10" s="468">
        <v>221737345.31999999</v>
      </c>
      <c r="F10" s="468">
        <v>318890471.87</v>
      </c>
      <c r="G10" s="469" t="s">
        <v>767</v>
      </c>
    </row>
    <row r="11" spans="1:7" s="568" customFormat="1" ht="23.25" customHeight="1" x14ac:dyDescent="0.25">
      <c r="A11" s="471" t="s">
        <v>768</v>
      </c>
      <c r="B11" s="468">
        <v>11795556.6332568</v>
      </c>
      <c r="C11" s="468">
        <v>26140297</v>
      </c>
      <c r="D11" s="468">
        <v>24841950.904449899</v>
      </c>
      <c r="E11" s="468">
        <v>29752803.379999999</v>
      </c>
      <c r="F11" s="468">
        <v>36724829.030000001</v>
      </c>
      <c r="G11" s="469" t="s">
        <v>769</v>
      </c>
    </row>
    <row r="12" spans="1:7" s="568" customFormat="1" ht="23.25" customHeight="1" x14ac:dyDescent="0.25">
      <c r="A12" s="467" t="s">
        <v>770</v>
      </c>
      <c r="B12" s="468">
        <v>24521.08</v>
      </c>
      <c r="C12" s="468">
        <v>5238819.22</v>
      </c>
      <c r="D12" s="468" t="s">
        <v>199</v>
      </c>
      <c r="E12" s="468" t="s">
        <v>199</v>
      </c>
      <c r="F12" s="468"/>
      <c r="G12" s="469" t="s">
        <v>771</v>
      </c>
    </row>
    <row r="13" spans="1:7" s="568" customFormat="1" ht="23.25" customHeight="1" x14ac:dyDescent="0.25">
      <c r="A13" s="467" t="s">
        <v>772</v>
      </c>
      <c r="B13" s="468">
        <v>5856988.8499999903</v>
      </c>
      <c r="C13" s="468">
        <v>18017991</v>
      </c>
      <c r="D13" s="468">
        <v>19691381.16</v>
      </c>
      <c r="E13" s="468">
        <v>28912582.77</v>
      </c>
      <c r="F13" s="468">
        <v>33979840.740000002</v>
      </c>
      <c r="G13" s="469" t="s">
        <v>773</v>
      </c>
    </row>
    <row r="14" spans="1:7" s="568" customFormat="1" ht="23.25" customHeight="1" x14ac:dyDescent="0.25">
      <c r="A14" s="467" t="s">
        <v>774</v>
      </c>
      <c r="B14" s="468">
        <v>1807798.1729999899</v>
      </c>
      <c r="C14" s="468">
        <v>4318216</v>
      </c>
      <c r="D14" s="468">
        <v>5262395.2199999895</v>
      </c>
      <c r="E14" s="468">
        <v>4354880.8285999997</v>
      </c>
      <c r="F14" s="468">
        <v>1597653.1602</v>
      </c>
      <c r="G14" s="469" t="s">
        <v>775</v>
      </c>
    </row>
    <row r="15" spans="1:7" s="568" customFormat="1" ht="23.25" customHeight="1" x14ac:dyDescent="0.25">
      <c r="A15" s="467" t="s">
        <v>776</v>
      </c>
      <c r="B15" s="468">
        <v>3455</v>
      </c>
      <c r="C15" s="468" t="s">
        <v>199</v>
      </c>
      <c r="D15" s="468" t="s">
        <v>199</v>
      </c>
      <c r="E15" s="468" t="s">
        <v>199</v>
      </c>
      <c r="F15" s="468" t="s">
        <v>199</v>
      </c>
      <c r="G15" s="469" t="s">
        <v>777</v>
      </c>
    </row>
    <row r="16" spans="1:7" s="568" customFormat="1" ht="23.25" customHeight="1" x14ac:dyDescent="0.25">
      <c r="A16" s="467" t="s">
        <v>778</v>
      </c>
      <c r="B16" s="468">
        <v>6839992.2800000003</v>
      </c>
      <c r="C16" s="468">
        <v>14872749</v>
      </c>
      <c r="D16" s="468">
        <v>15889181.09</v>
      </c>
      <c r="E16" s="468">
        <v>25939088.800000001</v>
      </c>
      <c r="F16" s="468">
        <v>22435986.039999999</v>
      </c>
      <c r="G16" s="469" t="s">
        <v>779</v>
      </c>
    </row>
    <row r="17" spans="1:10" s="568" customFormat="1" ht="23.25" customHeight="1" x14ac:dyDescent="0.25">
      <c r="A17" s="467" t="s">
        <v>780</v>
      </c>
      <c r="B17" s="468" t="s">
        <v>199</v>
      </c>
      <c r="C17" s="468" t="s">
        <v>199</v>
      </c>
      <c r="D17" s="468" t="s">
        <v>199</v>
      </c>
      <c r="E17" s="468">
        <v>1563</v>
      </c>
      <c r="F17" s="468">
        <v>7861.8544000000002</v>
      </c>
      <c r="G17" s="469" t="s">
        <v>781</v>
      </c>
    </row>
    <row r="18" spans="1:10" s="568" customFormat="1" ht="23.25" customHeight="1" x14ac:dyDescent="0.25">
      <c r="A18" s="467" t="s">
        <v>782</v>
      </c>
      <c r="B18" s="468" t="s">
        <v>199</v>
      </c>
      <c r="C18" s="468" t="s">
        <v>199</v>
      </c>
      <c r="D18" s="468" t="s">
        <v>199</v>
      </c>
      <c r="E18" s="468">
        <v>53327080.836199999</v>
      </c>
      <c r="F18" s="468">
        <v>61611743.141199999</v>
      </c>
      <c r="G18" s="469" t="s">
        <v>783</v>
      </c>
    </row>
    <row r="19" spans="1:10" s="568" customFormat="1" ht="23.25" customHeight="1" x14ac:dyDescent="0.25">
      <c r="A19" s="472" t="s">
        <v>784</v>
      </c>
      <c r="B19" s="404">
        <v>83000</v>
      </c>
      <c r="C19" s="404">
        <v>1428182.31</v>
      </c>
      <c r="D19" s="404" t="s">
        <v>199</v>
      </c>
      <c r="E19" s="404" t="s">
        <v>199</v>
      </c>
      <c r="F19" s="404">
        <v>0</v>
      </c>
      <c r="G19" s="473" t="s">
        <v>785</v>
      </c>
    </row>
    <row r="20" spans="1:10" s="568" customFormat="1" ht="23.25" customHeight="1" x14ac:dyDescent="0.25">
      <c r="A20" s="631" t="s">
        <v>733</v>
      </c>
      <c r="B20" s="631"/>
      <c r="C20" s="632"/>
      <c r="D20" s="632"/>
      <c r="E20" s="632"/>
      <c r="F20" s="632"/>
      <c r="G20" s="633" t="s">
        <v>786</v>
      </c>
      <c r="H20" s="474"/>
      <c r="I20" s="475"/>
      <c r="J20" s="476"/>
    </row>
    <row r="21" spans="1:10" ht="23.25" customHeight="1" x14ac:dyDescent="0.55000000000000004">
      <c r="A21" s="634" t="s">
        <v>321</v>
      </c>
      <c r="B21" s="634"/>
      <c r="C21" s="477"/>
      <c r="D21" s="477"/>
      <c r="E21" s="477"/>
      <c r="F21" s="477"/>
      <c r="G21" s="633" t="s">
        <v>322</v>
      </c>
      <c r="H21" s="478"/>
      <c r="I21" s="479"/>
      <c r="J21" s="480"/>
    </row>
    <row r="22" spans="1:10" ht="23.25" customHeight="1" x14ac:dyDescent="0.25">
      <c r="A22" s="481"/>
      <c r="B22" s="481"/>
      <c r="C22" s="482"/>
      <c r="D22" s="482"/>
      <c r="E22" s="482"/>
      <c r="F22" s="482"/>
      <c r="G22" s="633"/>
    </row>
  </sheetData>
  <mergeCells count="5">
    <mergeCell ref="A1:G1"/>
    <mergeCell ref="A2:G2"/>
    <mergeCell ref="A3:A4"/>
    <mergeCell ref="B3:F3"/>
    <mergeCell ref="G3:G4"/>
  </mergeCells>
  <pageMargins left="0.7" right="0.7" top="0.75" bottom="0.75" header="0.3" footer="0.3"/>
  <pageSetup paperSize="9" scale="86"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58"/>
  <sheetViews>
    <sheetView zoomScaleNormal="100" workbookViewId="0">
      <selection activeCell="B6" sqref="B6:C6"/>
    </sheetView>
  </sheetViews>
  <sheetFormatPr defaultColWidth="9.140625" defaultRowHeight="15" x14ac:dyDescent="0.25"/>
  <cols>
    <col min="1" max="1" width="25" style="280" customWidth="1"/>
    <col min="2" max="5" width="20.7109375" style="503" customWidth="1"/>
    <col min="6" max="6" width="30.5703125" style="280" customWidth="1"/>
    <col min="7" max="7" width="28.7109375" style="228" customWidth="1"/>
    <col min="8" max="8" width="27.140625" style="228" customWidth="1"/>
    <col min="9" max="9" width="11.28515625" style="280" customWidth="1"/>
    <col min="10" max="10" width="13.7109375" style="280" customWidth="1"/>
    <col min="11" max="16384" width="9.140625" style="280"/>
  </cols>
  <sheetData>
    <row r="1" spans="1:8" s="268" customFormat="1" ht="21" x14ac:dyDescent="0.2">
      <c r="A1" s="872" t="s">
        <v>1086</v>
      </c>
      <c r="B1" s="872"/>
      <c r="C1" s="872"/>
      <c r="D1" s="872"/>
      <c r="E1" s="872"/>
      <c r="F1" s="872"/>
    </row>
    <row r="2" spans="1:8" s="268" customFormat="1" x14ac:dyDescent="0.2">
      <c r="A2" s="897" t="s">
        <v>1085</v>
      </c>
      <c r="B2" s="897"/>
      <c r="C2" s="897"/>
      <c r="D2" s="897"/>
      <c r="E2" s="897"/>
      <c r="F2" s="897"/>
    </row>
    <row r="3" spans="1:8" s="479" customFormat="1" ht="21" x14ac:dyDescent="0.55000000000000004">
      <c r="A3" s="875" t="s">
        <v>244</v>
      </c>
      <c r="B3" s="939" t="s">
        <v>787</v>
      </c>
      <c r="C3" s="939"/>
      <c r="D3" s="939"/>
      <c r="E3" s="939"/>
      <c r="F3" s="940" t="s">
        <v>112</v>
      </c>
    </row>
    <row r="4" spans="1:8" s="483" customFormat="1" ht="12" x14ac:dyDescent="0.15">
      <c r="A4" s="875"/>
      <c r="B4" s="915">
        <v>2012</v>
      </c>
      <c r="C4" s="915">
        <v>2013</v>
      </c>
      <c r="D4" s="915">
        <v>2014</v>
      </c>
      <c r="E4" s="915">
        <v>2015</v>
      </c>
      <c r="F4" s="940"/>
    </row>
    <row r="5" spans="1:8" s="274" customFormat="1" ht="12" x14ac:dyDescent="0.15">
      <c r="A5" s="876"/>
      <c r="B5" s="916"/>
      <c r="C5" s="916"/>
      <c r="D5" s="916"/>
      <c r="E5" s="916"/>
      <c r="F5" s="941"/>
    </row>
    <row r="6" spans="1:8" s="487" customFormat="1" ht="19.5" x14ac:dyDescent="0.25">
      <c r="A6" s="484" t="s">
        <v>263</v>
      </c>
      <c r="B6" s="791">
        <f>B7+B8+B29</f>
        <v>782126477</v>
      </c>
      <c r="C6" s="791">
        <f>C7+C8+C29</f>
        <v>744921544.64999926</v>
      </c>
      <c r="D6" s="485">
        <f>D7+D8+D29</f>
        <v>1063054680.1289002</v>
      </c>
      <c r="E6" s="485">
        <f>E7+E8+E29</f>
        <v>1400609841.9116001</v>
      </c>
      <c r="F6" s="486" t="s">
        <v>264</v>
      </c>
    </row>
    <row r="7" spans="1:8" s="490" customFormat="1" ht="19.5" x14ac:dyDescent="0.25">
      <c r="A7" s="484" t="s">
        <v>788</v>
      </c>
      <c r="B7" s="485">
        <v>448843963</v>
      </c>
      <c r="C7" s="485">
        <v>403043430</v>
      </c>
      <c r="D7" s="485">
        <v>529844339.34140003</v>
      </c>
      <c r="E7" s="485">
        <v>694778647.79130006</v>
      </c>
      <c r="F7" s="486" t="s">
        <v>266</v>
      </c>
      <c r="G7" s="488"/>
      <c r="H7" s="489"/>
    </row>
    <row r="8" spans="1:8" s="490" customFormat="1" ht="19.5" x14ac:dyDescent="0.25">
      <c r="A8" s="484" t="s">
        <v>267</v>
      </c>
      <c r="B8" s="485">
        <f>SUM(B9:B28)</f>
        <v>264760139</v>
      </c>
      <c r="C8" s="485">
        <f>SUM(C9:C28)</f>
        <v>267510730.38999927</v>
      </c>
      <c r="D8" s="485">
        <f>SUM(D9:D28)</f>
        <v>364203693.46630007</v>
      </c>
      <c r="E8" s="485">
        <f>SUM(E9:E28)</f>
        <v>483525096.47309995</v>
      </c>
      <c r="F8" s="486" t="s">
        <v>268</v>
      </c>
      <c r="G8" s="488"/>
      <c r="H8" s="491"/>
    </row>
    <row r="9" spans="1:8" s="497" customFormat="1" ht="17.25" x14ac:dyDescent="0.25">
      <c r="A9" s="492" t="s">
        <v>269</v>
      </c>
      <c r="B9" s="493">
        <v>15101822</v>
      </c>
      <c r="C9" s="493">
        <v>16574727.689999968</v>
      </c>
      <c r="D9" s="493">
        <v>21476572.449999999</v>
      </c>
      <c r="E9" s="493">
        <v>28247167.650000002</v>
      </c>
      <c r="F9" s="494" t="s">
        <v>270</v>
      </c>
      <c r="G9" s="495"/>
      <c r="H9" s="496"/>
    </row>
    <row r="10" spans="1:8" s="497" customFormat="1" ht="17.25" x14ac:dyDescent="0.25">
      <c r="A10" s="492" t="s">
        <v>271</v>
      </c>
      <c r="B10" s="493">
        <v>41415958</v>
      </c>
      <c r="C10" s="493">
        <v>40695134.079999633</v>
      </c>
      <c r="D10" s="493">
        <v>47757008.690000005</v>
      </c>
      <c r="E10" s="493">
        <v>55532820.670000002</v>
      </c>
      <c r="F10" s="494" t="s">
        <v>272</v>
      </c>
      <c r="G10" s="496"/>
      <c r="H10" s="496"/>
    </row>
    <row r="11" spans="1:8" s="497" customFormat="1" ht="17.25" x14ac:dyDescent="0.25">
      <c r="A11" s="492" t="s">
        <v>273</v>
      </c>
      <c r="B11" s="493">
        <v>13338409</v>
      </c>
      <c r="C11" s="493">
        <v>13893985.419999985</v>
      </c>
      <c r="D11" s="493">
        <v>18573633.770000003</v>
      </c>
      <c r="E11" s="493">
        <v>22929493.010000002</v>
      </c>
      <c r="F11" s="494" t="s">
        <v>274</v>
      </c>
      <c r="G11" s="498"/>
      <c r="H11" s="496"/>
    </row>
    <row r="12" spans="1:8" s="497" customFormat="1" ht="17.25" x14ac:dyDescent="0.25">
      <c r="A12" s="492" t="s">
        <v>275</v>
      </c>
      <c r="B12" s="493">
        <v>9433955</v>
      </c>
      <c r="C12" s="493">
        <v>8314019.0199999837</v>
      </c>
      <c r="D12" s="493">
        <v>11788026.339999998</v>
      </c>
      <c r="E12" s="493">
        <v>16282824.6</v>
      </c>
      <c r="F12" s="494" t="s">
        <v>276</v>
      </c>
      <c r="G12" s="498"/>
      <c r="H12" s="496"/>
    </row>
    <row r="13" spans="1:8" s="497" customFormat="1" ht="17.25" x14ac:dyDescent="0.25">
      <c r="A13" s="492" t="s">
        <v>277</v>
      </c>
      <c r="B13" s="493">
        <v>19126765</v>
      </c>
      <c r="C13" s="493">
        <v>20668283.129999995</v>
      </c>
      <c r="D13" s="493">
        <v>29304498.352999996</v>
      </c>
      <c r="E13" s="493">
        <v>40394300.450999998</v>
      </c>
      <c r="F13" s="494" t="s">
        <v>278</v>
      </c>
      <c r="G13" s="498"/>
      <c r="H13" s="496"/>
    </row>
    <row r="14" spans="1:8" s="497" customFormat="1" ht="17.25" x14ac:dyDescent="0.25">
      <c r="A14" s="492" t="s">
        <v>279</v>
      </c>
      <c r="B14" s="493">
        <v>10273872</v>
      </c>
      <c r="C14" s="493">
        <v>9666175.0999999773</v>
      </c>
      <c r="D14" s="493">
        <v>15482386.66</v>
      </c>
      <c r="E14" s="493">
        <v>21675172.101000004</v>
      </c>
      <c r="F14" s="494" t="s">
        <v>280</v>
      </c>
      <c r="G14" s="498"/>
      <c r="H14" s="496"/>
    </row>
    <row r="15" spans="1:8" s="497" customFormat="1" ht="17.25" x14ac:dyDescent="0.25">
      <c r="A15" s="492" t="s">
        <v>281</v>
      </c>
      <c r="B15" s="493">
        <v>19693974</v>
      </c>
      <c r="C15" s="493">
        <v>17144245.799999915</v>
      </c>
      <c r="D15" s="493">
        <v>23688972.940000001</v>
      </c>
      <c r="E15" s="493">
        <v>27147750.810000002</v>
      </c>
      <c r="F15" s="494" t="s">
        <v>282</v>
      </c>
      <c r="G15" s="496"/>
      <c r="H15" s="496"/>
    </row>
    <row r="16" spans="1:8" s="497" customFormat="1" ht="17.25" x14ac:dyDescent="0.25">
      <c r="A16" s="492" t="s">
        <v>283</v>
      </c>
      <c r="B16" s="493">
        <v>4089031</v>
      </c>
      <c r="C16" s="493">
        <v>4086512.3099999996</v>
      </c>
      <c r="D16" s="493">
        <v>7724957.6299999999</v>
      </c>
      <c r="E16" s="493">
        <v>12281541.290000001</v>
      </c>
      <c r="F16" s="494" t="s">
        <v>284</v>
      </c>
      <c r="G16" s="498"/>
      <c r="H16" s="496"/>
    </row>
    <row r="17" spans="1:9" s="497" customFormat="1" ht="17.25" x14ac:dyDescent="0.25">
      <c r="A17" s="492" t="s">
        <v>285</v>
      </c>
      <c r="B17" s="493">
        <v>4155717</v>
      </c>
      <c r="C17" s="493">
        <v>3627549.2800000003</v>
      </c>
      <c r="D17" s="493">
        <v>3540685.44</v>
      </c>
      <c r="E17" s="493">
        <v>7471919.1500000004</v>
      </c>
      <c r="F17" s="494" t="s">
        <v>286</v>
      </c>
      <c r="G17" s="498"/>
      <c r="H17" s="496"/>
    </row>
    <row r="18" spans="1:9" s="497" customFormat="1" ht="17.25" x14ac:dyDescent="0.25">
      <c r="A18" s="492" t="s">
        <v>287</v>
      </c>
      <c r="B18" s="493">
        <v>8195340</v>
      </c>
      <c r="C18" s="493">
        <v>11106707.47999998</v>
      </c>
      <c r="D18" s="493">
        <v>13156080.83</v>
      </c>
      <c r="E18" s="493">
        <v>17498120.029999997</v>
      </c>
      <c r="F18" s="494" t="s">
        <v>288</v>
      </c>
      <c r="G18" s="496"/>
      <c r="H18" s="496"/>
    </row>
    <row r="19" spans="1:9" s="497" customFormat="1" ht="17.25" x14ac:dyDescent="0.25">
      <c r="A19" s="492" t="s">
        <v>289</v>
      </c>
      <c r="B19" s="493">
        <v>409251</v>
      </c>
      <c r="C19" s="493">
        <v>543378.02999999898</v>
      </c>
      <c r="D19" s="493">
        <v>563786.18999999994</v>
      </c>
      <c r="E19" s="493">
        <v>1773766.73</v>
      </c>
      <c r="F19" s="494" t="s">
        <v>290</v>
      </c>
      <c r="G19" s="496"/>
      <c r="H19" s="496"/>
      <c r="I19" s="496"/>
    </row>
    <row r="20" spans="1:9" s="497" customFormat="1" ht="17.25" x14ac:dyDescent="0.25">
      <c r="A20" s="492" t="s">
        <v>291</v>
      </c>
      <c r="B20" s="493">
        <v>4320592</v>
      </c>
      <c r="C20" s="493">
        <v>4438872.0499999886</v>
      </c>
      <c r="D20" s="493">
        <v>9125266.5999999996</v>
      </c>
      <c r="E20" s="493">
        <v>12610137.149999999</v>
      </c>
      <c r="F20" s="494" t="s">
        <v>292</v>
      </c>
      <c r="G20" s="496"/>
      <c r="H20" s="496"/>
    </row>
    <row r="21" spans="1:9" s="497" customFormat="1" ht="17.25" x14ac:dyDescent="0.25">
      <c r="A21" s="492" t="s">
        <v>294</v>
      </c>
      <c r="B21" s="493">
        <v>5387983</v>
      </c>
      <c r="C21" s="493">
        <v>4886885.8999999873</v>
      </c>
      <c r="D21" s="493">
        <v>6589192.25</v>
      </c>
      <c r="E21" s="493">
        <v>9723321.2799999993</v>
      </c>
      <c r="F21" s="494" t="s">
        <v>295</v>
      </c>
      <c r="G21" s="496"/>
      <c r="H21" s="496"/>
    </row>
    <row r="22" spans="1:9" s="497" customFormat="1" ht="17.25" x14ac:dyDescent="0.25">
      <c r="A22" s="492" t="s">
        <v>297</v>
      </c>
      <c r="B22" s="493">
        <v>9032373</v>
      </c>
      <c r="C22" s="493">
        <v>9196467.5899999663</v>
      </c>
      <c r="D22" s="493">
        <v>9874084.1600000001</v>
      </c>
      <c r="E22" s="493">
        <v>12434694.649999999</v>
      </c>
      <c r="F22" s="494" t="s">
        <v>298</v>
      </c>
      <c r="G22" s="498"/>
      <c r="H22" s="496"/>
    </row>
    <row r="23" spans="1:9" s="497" customFormat="1" ht="17.25" x14ac:dyDescent="0.25">
      <c r="A23" s="492" t="s">
        <v>300</v>
      </c>
      <c r="B23" s="493">
        <v>10105484</v>
      </c>
      <c r="C23" s="493">
        <v>10945367.059999999</v>
      </c>
      <c r="D23" s="493">
        <v>15424283.250000004</v>
      </c>
      <c r="E23" s="493">
        <v>20505081.599999994</v>
      </c>
      <c r="F23" s="494" t="s">
        <v>301</v>
      </c>
      <c r="G23" s="496"/>
      <c r="H23" s="496"/>
    </row>
    <row r="24" spans="1:9" s="497" customFormat="1" ht="17.25" x14ac:dyDescent="0.25">
      <c r="A24" s="492" t="s">
        <v>303</v>
      </c>
      <c r="B24" s="493">
        <v>12373132</v>
      </c>
      <c r="C24" s="493">
        <v>11644595.34999999</v>
      </c>
      <c r="D24" s="493">
        <v>19121149.300000001</v>
      </c>
      <c r="E24" s="493">
        <v>27347316.960000001</v>
      </c>
      <c r="F24" s="494" t="s">
        <v>304</v>
      </c>
      <c r="G24" s="498"/>
      <c r="H24" s="496"/>
    </row>
    <row r="25" spans="1:9" s="497" customFormat="1" ht="17.25" x14ac:dyDescent="0.25">
      <c r="A25" s="492" t="s">
        <v>306</v>
      </c>
      <c r="B25" s="493">
        <v>12513632</v>
      </c>
      <c r="C25" s="493">
        <v>11341319.889999969</v>
      </c>
      <c r="D25" s="493">
        <v>14483951.450000001</v>
      </c>
      <c r="E25" s="493">
        <v>21910210.289999999</v>
      </c>
      <c r="F25" s="494" t="s">
        <v>307</v>
      </c>
      <c r="G25" s="498"/>
      <c r="H25" s="496"/>
    </row>
    <row r="26" spans="1:9" s="497" customFormat="1" ht="17.25" x14ac:dyDescent="0.25">
      <c r="A26" s="492" t="s">
        <v>309</v>
      </c>
      <c r="B26" s="493">
        <v>21084401</v>
      </c>
      <c r="C26" s="493">
        <v>22821907.67999997</v>
      </c>
      <c r="D26" s="493">
        <v>27642128.069999993</v>
      </c>
      <c r="E26" s="493">
        <v>34260241.729999997</v>
      </c>
      <c r="F26" s="494" t="s">
        <v>310</v>
      </c>
      <c r="G26" s="498"/>
      <c r="H26" s="496"/>
    </row>
    <row r="27" spans="1:9" s="497" customFormat="1" ht="17.25" x14ac:dyDescent="0.25">
      <c r="A27" s="492" t="s">
        <v>312</v>
      </c>
      <c r="B27" s="493">
        <v>12733438</v>
      </c>
      <c r="C27" s="493">
        <v>10712175.139999989</v>
      </c>
      <c r="D27" s="493">
        <v>12905259.859999999</v>
      </c>
      <c r="E27" s="493">
        <v>19379941.390000001</v>
      </c>
      <c r="F27" s="494" t="s">
        <v>313</v>
      </c>
      <c r="G27" s="496"/>
      <c r="H27" s="496"/>
    </row>
    <row r="28" spans="1:9" s="497" customFormat="1" ht="17.25" x14ac:dyDescent="0.25">
      <c r="A28" s="492" t="s">
        <v>315</v>
      </c>
      <c r="B28" s="493">
        <v>31975010</v>
      </c>
      <c r="C28" s="493">
        <v>35202422.390000001</v>
      </c>
      <c r="D28" s="493">
        <v>55981769.233300008</v>
      </c>
      <c r="E28" s="493">
        <v>74119274.931099996</v>
      </c>
      <c r="F28" s="494" t="s">
        <v>316</v>
      </c>
      <c r="G28" s="496"/>
      <c r="H28" s="496"/>
    </row>
    <row r="29" spans="1:9" s="497" customFormat="1" ht="19.5" x14ac:dyDescent="0.25">
      <c r="A29" s="499" t="s">
        <v>789</v>
      </c>
      <c r="B29" s="500">
        <v>68522375</v>
      </c>
      <c r="C29" s="500">
        <v>74367384.260000005</v>
      </c>
      <c r="D29" s="500">
        <v>169006647.32120001</v>
      </c>
      <c r="E29" s="500">
        <v>222306097.64719999</v>
      </c>
      <c r="F29" s="501" t="s">
        <v>790</v>
      </c>
      <c r="G29" s="496"/>
      <c r="H29" s="496"/>
    </row>
    <row r="30" spans="1:9" ht="17.25" x14ac:dyDescent="0.25">
      <c r="A30" s="502" t="s">
        <v>791</v>
      </c>
      <c r="F30" s="504" t="s">
        <v>792</v>
      </c>
    </row>
    <row r="31" spans="1:9" ht="17.25" x14ac:dyDescent="0.25">
      <c r="A31" s="305" t="s">
        <v>321</v>
      </c>
      <c r="F31" s="306" t="s">
        <v>322</v>
      </c>
    </row>
    <row r="32" spans="1:9" ht="17.25" x14ac:dyDescent="0.25">
      <c r="A32" s="305"/>
      <c r="F32" s="306"/>
    </row>
    <row r="33" spans="1:11" ht="17.25" x14ac:dyDescent="0.25">
      <c r="A33" s="505"/>
      <c r="F33" s="306"/>
    </row>
    <row r="35" spans="1:11" x14ac:dyDescent="0.25">
      <c r="B35" s="280"/>
      <c r="C35" s="280"/>
      <c r="D35" s="280"/>
      <c r="E35" s="280"/>
      <c r="G35" s="280"/>
      <c r="H35" s="280"/>
      <c r="J35" s="506"/>
    </row>
    <row r="36" spans="1:11" x14ac:dyDescent="0.25">
      <c r="B36" s="280"/>
      <c r="C36" s="280"/>
      <c r="D36" s="280"/>
      <c r="E36" s="280"/>
      <c r="G36" s="280"/>
      <c r="H36" s="280"/>
      <c r="I36" s="295"/>
      <c r="J36" s="485"/>
    </row>
    <row r="37" spans="1:11" x14ac:dyDescent="0.25">
      <c r="B37" s="280"/>
      <c r="C37" s="280"/>
      <c r="D37" s="280"/>
      <c r="E37" s="280"/>
      <c r="G37" s="280"/>
      <c r="H37" s="280"/>
      <c r="J37" s="485"/>
    </row>
    <row r="38" spans="1:11" x14ac:dyDescent="0.25">
      <c r="B38" s="280"/>
      <c r="C38" s="280"/>
      <c r="D38" s="280"/>
      <c r="E38" s="280"/>
      <c r="G38" s="280"/>
      <c r="H38" s="280"/>
      <c r="I38" s="292" t="s">
        <v>293</v>
      </c>
      <c r="J38" s="280">
        <v>21476572.449999999</v>
      </c>
      <c r="K38" s="493">
        <v>28247167.650000002</v>
      </c>
    </row>
    <row r="39" spans="1:11" x14ac:dyDescent="0.25">
      <c r="B39" s="280"/>
      <c r="C39" s="280"/>
      <c r="D39" s="280"/>
      <c r="E39" s="280"/>
      <c r="G39" s="280"/>
      <c r="H39" s="280"/>
      <c r="I39" s="292" t="s">
        <v>296</v>
      </c>
      <c r="J39" s="280">
        <v>47757008.690000005</v>
      </c>
      <c r="K39" s="493">
        <v>55532820.670000002</v>
      </c>
    </row>
    <row r="40" spans="1:11" x14ac:dyDescent="0.25">
      <c r="B40" s="280"/>
      <c r="C40" s="280"/>
      <c r="D40" s="280"/>
      <c r="E40" s="280"/>
      <c r="G40" s="280"/>
      <c r="H40" s="280"/>
      <c r="I40" s="292" t="s">
        <v>299</v>
      </c>
      <c r="J40" s="280">
        <v>18573633.770000003</v>
      </c>
      <c r="K40" s="493">
        <v>22929493.010000002</v>
      </c>
    </row>
    <row r="41" spans="1:11" x14ac:dyDescent="0.25">
      <c r="B41" s="280"/>
      <c r="C41" s="280"/>
      <c r="D41" s="280"/>
      <c r="E41" s="280"/>
      <c r="G41" s="280"/>
      <c r="H41" s="280"/>
      <c r="I41" s="292" t="s">
        <v>302</v>
      </c>
      <c r="J41" s="280">
        <v>11788026.339999998</v>
      </c>
      <c r="K41" s="493">
        <v>16282824.6</v>
      </c>
    </row>
    <row r="42" spans="1:11" x14ac:dyDescent="0.25">
      <c r="B42" s="280"/>
      <c r="C42" s="280"/>
      <c r="D42" s="280"/>
      <c r="E42" s="280"/>
      <c r="G42" s="280"/>
      <c r="H42" s="280"/>
      <c r="I42" s="292" t="s">
        <v>305</v>
      </c>
      <c r="J42" s="280">
        <v>29304498.352999996</v>
      </c>
      <c r="K42" s="493">
        <v>40394300.450999998</v>
      </c>
    </row>
    <row r="43" spans="1:11" x14ac:dyDescent="0.25">
      <c r="B43" s="280"/>
      <c r="C43" s="280"/>
      <c r="D43" s="280"/>
      <c r="E43" s="280"/>
      <c r="G43" s="280"/>
      <c r="H43" s="280"/>
      <c r="I43" s="292" t="s">
        <v>308</v>
      </c>
      <c r="J43" s="280">
        <v>15482386.66</v>
      </c>
      <c r="K43" s="493">
        <v>21675172.101000004</v>
      </c>
    </row>
    <row r="44" spans="1:11" x14ac:dyDescent="0.25">
      <c r="B44" s="280"/>
      <c r="C44" s="280"/>
      <c r="D44" s="280"/>
      <c r="E44" s="280"/>
      <c r="G44" s="280"/>
      <c r="H44" s="280"/>
      <c r="I44" s="292" t="s">
        <v>311</v>
      </c>
      <c r="J44" s="280">
        <v>23688972.940000001</v>
      </c>
      <c r="K44" s="493">
        <v>27147750.810000002</v>
      </c>
    </row>
    <row r="45" spans="1:11" x14ac:dyDescent="0.25">
      <c r="B45" s="280"/>
      <c r="C45" s="280"/>
      <c r="D45" s="280"/>
      <c r="E45" s="280"/>
      <c r="G45" s="280"/>
      <c r="H45" s="280"/>
      <c r="I45" s="292" t="s">
        <v>314</v>
      </c>
      <c r="J45" s="280">
        <v>7724957.6299999999</v>
      </c>
      <c r="K45" s="493">
        <v>12281541.290000001</v>
      </c>
    </row>
    <row r="46" spans="1:11" x14ac:dyDescent="0.25">
      <c r="B46" s="280"/>
      <c r="C46" s="280"/>
      <c r="D46" s="280"/>
      <c r="E46" s="280"/>
      <c r="G46" s="280"/>
      <c r="H46" s="280"/>
      <c r="I46" s="292" t="s">
        <v>317</v>
      </c>
      <c r="J46" s="280">
        <v>3540685.44</v>
      </c>
      <c r="K46" s="493">
        <v>7471919.1500000004</v>
      </c>
    </row>
    <row r="47" spans="1:11" x14ac:dyDescent="0.25">
      <c r="B47" s="280"/>
      <c r="C47" s="280"/>
      <c r="D47" s="280"/>
      <c r="E47" s="280"/>
      <c r="G47" s="280"/>
      <c r="H47" s="280"/>
      <c r="I47" s="292" t="s">
        <v>319</v>
      </c>
      <c r="J47" s="280">
        <v>13156080.83</v>
      </c>
      <c r="K47" s="493">
        <v>17498120.029999997</v>
      </c>
    </row>
    <row r="48" spans="1:11" x14ac:dyDescent="0.25">
      <c r="B48" s="280"/>
      <c r="C48" s="280"/>
      <c r="D48" s="280"/>
      <c r="E48" s="280"/>
      <c r="G48" s="280"/>
      <c r="H48" s="280"/>
      <c r="I48" s="292" t="s">
        <v>320</v>
      </c>
      <c r="J48" s="280">
        <v>563786.18999999994</v>
      </c>
      <c r="K48" s="493">
        <v>1773766.73</v>
      </c>
    </row>
    <row r="49" spans="2:11" x14ac:dyDescent="0.25">
      <c r="B49" s="280"/>
      <c r="C49" s="280"/>
      <c r="D49" s="280"/>
      <c r="E49" s="280"/>
      <c r="G49" s="280"/>
      <c r="H49" s="280"/>
      <c r="I49" s="292" t="s">
        <v>232</v>
      </c>
      <c r="J49" s="280">
        <v>9125266.5999999996</v>
      </c>
      <c r="K49" s="493">
        <v>12610137.149999999</v>
      </c>
    </row>
    <row r="50" spans="2:11" x14ac:dyDescent="0.25">
      <c r="B50" s="280"/>
      <c r="C50" s="280"/>
      <c r="D50" s="280"/>
      <c r="E50" s="280"/>
      <c r="G50" s="280"/>
      <c r="H50" s="280"/>
      <c r="I50" s="292" t="s">
        <v>231</v>
      </c>
      <c r="J50" s="280">
        <v>6589192.25</v>
      </c>
      <c r="K50" s="493">
        <v>9723321.2799999993</v>
      </c>
    </row>
    <row r="51" spans="2:11" x14ac:dyDescent="0.25">
      <c r="B51" s="280"/>
      <c r="C51" s="280"/>
      <c r="D51" s="280"/>
      <c r="E51" s="280"/>
      <c r="G51" s="280"/>
      <c r="H51" s="280"/>
      <c r="I51" s="292" t="s">
        <v>323</v>
      </c>
      <c r="J51" s="280">
        <v>9874084.1600000001</v>
      </c>
      <c r="K51" s="493">
        <v>12434694.649999999</v>
      </c>
    </row>
    <row r="52" spans="2:11" x14ac:dyDescent="0.25">
      <c r="B52" s="280"/>
      <c r="C52" s="280"/>
      <c r="D52" s="280"/>
      <c r="E52" s="280"/>
      <c r="G52" s="280"/>
      <c r="H52" s="280"/>
      <c r="I52" s="292" t="s">
        <v>324</v>
      </c>
      <c r="J52" s="280">
        <v>15424283.250000004</v>
      </c>
      <c r="K52" s="493">
        <v>20505081.599999994</v>
      </c>
    </row>
    <row r="53" spans="2:11" x14ac:dyDescent="0.25">
      <c r="B53" s="280"/>
      <c r="C53" s="280"/>
      <c r="D53" s="280"/>
      <c r="E53" s="280"/>
      <c r="G53" s="280"/>
      <c r="H53" s="280"/>
      <c r="I53" s="297" t="s">
        <v>325</v>
      </c>
      <c r="J53" s="280">
        <v>19121149.300000001</v>
      </c>
      <c r="K53" s="493">
        <v>27347316.960000001</v>
      </c>
    </row>
    <row r="54" spans="2:11" x14ac:dyDescent="0.25">
      <c r="B54" s="280"/>
      <c r="C54" s="280"/>
      <c r="D54" s="280"/>
      <c r="E54" s="280"/>
      <c r="G54" s="280"/>
      <c r="H54" s="280"/>
      <c r="I54" s="292" t="s">
        <v>326</v>
      </c>
      <c r="J54" s="280">
        <v>14483951.450000001</v>
      </c>
      <c r="K54" s="493">
        <v>21910210.289999999</v>
      </c>
    </row>
    <row r="55" spans="2:11" x14ac:dyDescent="0.25">
      <c r="B55" s="280"/>
      <c r="C55" s="280"/>
      <c r="D55" s="280"/>
      <c r="E55" s="280"/>
      <c r="G55" s="280"/>
      <c r="H55" s="280"/>
      <c r="I55" s="292" t="s">
        <v>327</v>
      </c>
      <c r="J55" s="280">
        <v>27642128.069999993</v>
      </c>
      <c r="K55" s="493">
        <v>34260241.729999997</v>
      </c>
    </row>
    <row r="56" spans="2:11" x14ac:dyDescent="0.25">
      <c r="B56" s="280"/>
      <c r="C56" s="280"/>
      <c r="D56" s="280"/>
      <c r="E56" s="280"/>
      <c r="G56" s="280"/>
      <c r="H56" s="280"/>
      <c r="I56" s="292" t="s">
        <v>328</v>
      </c>
      <c r="J56" s="280">
        <v>12905259.859999999</v>
      </c>
      <c r="K56" s="493">
        <v>19379941.390000001</v>
      </c>
    </row>
    <row r="57" spans="2:11" x14ac:dyDescent="0.25">
      <c r="B57" s="280"/>
      <c r="C57" s="280"/>
      <c r="D57" s="280"/>
      <c r="E57" s="280"/>
      <c r="G57" s="280"/>
      <c r="H57" s="280"/>
      <c r="I57" s="301" t="s">
        <v>329</v>
      </c>
      <c r="J57" s="280">
        <v>55981769.233300008</v>
      </c>
      <c r="K57" s="493">
        <v>74119274.931099996</v>
      </c>
    </row>
    <row r="58" spans="2:11" x14ac:dyDescent="0.25">
      <c r="J58" s="280">
        <v>222306097.64719999</v>
      </c>
      <c r="K58" s="280">
        <v>169006647.32120001</v>
      </c>
    </row>
  </sheetData>
  <mergeCells count="9">
    <mergeCell ref="A1:F1"/>
    <mergeCell ref="A2:F2"/>
    <mergeCell ref="A3:A5"/>
    <mergeCell ref="B3:E3"/>
    <mergeCell ref="F3:F5"/>
    <mergeCell ref="B4:B5"/>
    <mergeCell ref="C4:C5"/>
    <mergeCell ref="D4:D5"/>
    <mergeCell ref="E4:E5"/>
  </mergeCells>
  <pageMargins left="0.7" right="0.7" top="0.75" bottom="0.75" header="0.3" footer="0.3"/>
  <pageSetup paperSize="9" scale="90" orientation="landscape" r:id="rId1"/>
  <rowBreaks count="1" manualBreakCount="1">
    <brk id="32" max="5"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R260"/>
  <sheetViews>
    <sheetView zoomScaleNormal="100" workbookViewId="0">
      <selection activeCell="H7" sqref="G7:H7"/>
    </sheetView>
  </sheetViews>
  <sheetFormatPr defaultColWidth="16.7109375" defaultRowHeight="15" x14ac:dyDescent="0.25"/>
  <cols>
    <col min="1" max="1" width="27.140625" style="649" customWidth="1"/>
    <col min="2" max="2" width="19.5703125" style="670" hidden="1" customWidth="1"/>
    <col min="3" max="3" width="19.7109375" style="649" hidden="1" customWidth="1"/>
    <col min="4" max="4" width="0.28515625" style="649" hidden="1" customWidth="1"/>
    <col min="5" max="5" width="12" style="649" hidden="1" customWidth="1"/>
    <col min="6" max="6" width="15.140625" style="649" customWidth="1"/>
    <col min="7" max="7" width="15.42578125" style="670" customWidth="1"/>
    <col min="8" max="8" width="15.42578125" style="557" customWidth="1"/>
    <col min="9" max="9" width="1.7109375" style="649" customWidth="1"/>
    <col min="10" max="10" width="14.7109375" style="670" customWidth="1"/>
    <col min="11" max="13" width="15.7109375" style="670" customWidth="1"/>
    <col min="14" max="14" width="27.7109375" style="649" customWidth="1"/>
    <col min="15" max="16" width="16.7109375" style="663"/>
    <col min="17" max="17" width="16.7109375" style="649"/>
    <col min="18" max="18" width="16.7109375" style="663"/>
    <col min="19" max="16384" width="16.7109375" style="649"/>
  </cols>
  <sheetData>
    <row r="1" spans="1:18" s="635" customFormat="1" ht="21" x14ac:dyDescent="0.2">
      <c r="A1" s="919" t="s">
        <v>1088</v>
      </c>
      <c r="B1" s="919"/>
      <c r="C1" s="919"/>
      <c r="D1" s="919"/>
      <c r="E1" s="919"/>
      <c r="F1" s="919"/>
      <c r="G1" s="919"/>
      <c r="H1" s="919"/>
      <c r="I1" s="919"/>
      <c r="J1" s="919"/>
      <c r="K1" s="919"/>
      <c r="L1" s="919"/>
      <c r="M1" s="919"/>
      <c r="N1" s="919"/>
    </row>
    <row r="2" spans="1:18" s="635" customFormat="1" x14ac:dyDescent="0.25">
      <c r="A2" s="944" t="s">
        <v>1087</v>
      </c>
      <c r="B2" s="944"/>
      <c r="C2" s="944"/>
      <c r="D2" s="944"/>
      <c r="E2" s="944"/>
      <c r="F2" s="944"/>
      <c r="G2" s="944"/>
      <c r="H2" s="944"/>
      <c r="I2" s="944"/>
      <c r="J2" s="944"/>
      <c r="K2" s="944"/>
      <c r="L2" s="944"/>
      <c r="M2" s="944"/>
      <c r="N2" s="944"/>
    </row>
    <row r="3" spans="1:18" s="635" customFormat="1" x14ac:dyDescent="0.25">
      <c r="A3" s="945" t="s">
        <v>244</v>
      </c>
      <c r="B3" s="948">
        <v>2010</v>
      </c>
      <c r="C3" s="948"/>
      <c r="D3" s="948"/>
      <c r="E3" s="636"/>
      <c r="F3" s="949">
        <v>2011</v>
      </c>
      <c r="G3" s="949"/>
      <c r="H3" s="949"/>
      <c r="I3" s="637"/>
      <c r="J3" s="638">
        <v>2012</v>
      </c>
      <c r="K3" s="638">
        <v>2013</v>
      </c>
      <c r="L3" s="638">
        <v>2014</v>
      </c>
      <c r="M3" s="638">
        <v>2015</v>
      </c>
      <c r="N3" s="950" t="s">
        <v>250</v>
      </c>
    </row>
    <row r="4" spans="1:18" s="479" customFormat="1" ht="21" customHeight="1" x14ac:dyDescent="0.55000000000000004">
      <c r="A4" s="946"/>
      <c r="B4" s="507" t="s">
        <v>75</v>
      </c>
      <c r="C4" s="507" t="s">
        <v>793</v>
      </c>
      <c r="D4" s="508" t="s">
        <v>794</v>
      </c>
      <c r="E4" s="508"/>
      <c r="F4" s="507" t="s">
        <v>75</v>
      </c>
      <c r="G4" s="507" t="s">
        <v>793</v>
      </c>
      <c r="H4" s="509" t="s">
        <v>794</v>
      </c>
      <c r="I4" s="508"/>
      <c r="J4" s="507" t="s">
        <v>332</v>
      </c>
      <c r="K4" s="507" t="s">
        <v>332</v>
      </c>
      <c r="L4" s="507" t="s">
        <v>332</v>
      </c>
      <c r="M4" s="507" t="s">
        <v>332</v>
      </c>
      <c r="N4" s="951"/>
    </row>
    <row r="5" spans="1:18" s="641" customFormat="1" ht="6" customHeight="1" x14ac:dyDescent="0.15">
      <c r="A5" s="946"/>
      <c r="B5" s="639"/>
      <c r="C5" s="942" t="s">
        <v>795</v>
      </c>
      <c r="D5" s="942" t="s">
        <v>796</v>
      </c>
      <c r="E5" s="640"/>
      <c r="F5" s="639"/>
      <c r="G5" s="942" t="s">
        <v>795</v>
      </c>
      <c r="H5" s="953" t="s">
        <v>796</v>
      </c>
      <c r="I5" s="640"/>
      <c r="J5" s="942" t="s">
        <v>698</v>
      </c>
      <c r="K5" s="942" t="s">
        <v>698</v>
      </c>
      <c r="L5" s="942" t="s">
        <v>698</v>
      </c>
      <c r="M5" s="942" t="s">
        <v>698</v>
      </c>
      <c r="N5" s="951"/>
    </row>
    <row r="6" spans="1:18" s="644" customFormat="1" ht="12.75" customHeight="1" x14ac:dyDescent="0.15">
      <c r="A6" s="947"/>
      <c r="B6" s="642" t="s">
        <v>697</v>
      </c>
      <c r="C6" s="943"/>
      <c r="D6" s="943"/>
      <c r="E6" s="643"/>
      <c r="F6" s="642" t="s">
        <v>697</v>
      </c>
      <c r="G6" s="943"/>
      <c r="H6" s="954"/>
      <c r="I6" s="643"/>
      <c r="J6" s="943"/>
      <c r="K6" s="943"/>
      <c r="L6" s="943"/>
      <c r="M6" s="943"/>
      <c r="N6" s="952"/>
    </row>
    <row r="7" spans="1:18" ht="17.25" x14ac:dyDescent="0.25">
      <c r="A7" s="645" t="s">
        <v>263</v>
      </c>
      <c r="B7" s="646">
        <f>SUM(C7:D7)</f>
        <v>127107179.7202</v>
      </c>
      <c r="C7" s="510">
        <f>C8+C9</f>
        <v>111065180.43000001</v>
      </c>
      <c r="D7" s="510">
        <f>SUM(D8:D9)</f>
        <v>16041999.290200001</v>
      </c>
      <c r="E7" s="510"/>
      <c r="F7" s="647">
        <f>SUM(G7:H7)</f>
        <v>212774081.04740971</v>
      </c>
      <c r="G7" s="510">
        <f>SUM(G8:G9)</f>
        <v>187281445.89584973</v>
      </c>
      <c r="H7" s="510">
        <f>SUM(H8:H9)</f>
        <v>25492635.151559971</v>
      </c>
      <c r="I7" s="510"/>
      <c r="J7" s="510">
        <f>SUM(J8:J9)+J253</f>
        <v>782126477</v>
      </c>
      <c r="K7" s="510">
        <f>SUM(K8:K9)+K253</f>
        <v>744921544.64999926</v>
      </c>
      <c r="L7" s="510">
        <f>SUM(L8:L9)+L253</f>
        <v>1063054680.1289001</v>
      </c>
      <c r="M7" s="510">
        <f>SUM(M8:M9)+M253</f>
        <v>1400609841.9116001</v>
      </c>
      <c r="N7" s="648" t="s">
        <v>264</v>
      </c>
      <c r="O7" s="649"/>
      <c r="P7" s="649"/>
      <c r="R7" s="649"/>
    </row>
    <row r="8" spans="1:18" s="652" customFormat="1" ht="17.25" x14ac:dyDescent="0.25">
      <c r="A8" s="645" t="s">
        <v>788</v>
      </c>
      <c r="B8" s="646">
        <f t="shared" ref="B8:B71" si="0">SUM(C8:D8)</f>
        <v>27547473.469999999</v>
      </c>
      <c r="C8" s="510">
        <v>23078892.969999999</v>
      </c>
      <c r="D8" s="510">
        <v>4468580.5</v>
      </c>
      <c r="E8" s="510"/>
      <c r="F8" s="647">
        <f t="shared" ref="F8:F71" si="1">SUM(G8:H8)</f>
        <v>42996360.71682369</v>
      </c>
      <c r="G8" s="510">
        <v>35973854.842263699</v>
      </c>
      <c r="H8" s="510">
        <v>7022505.8745599901</v>
      </c>
      <c r="I8" s="510"/>
      <c r="J8" s="510">
        <v>448843963</v>
      </c>
      <c r="K8" s="510">
        <v>403043430</v>
      </c>
      <c r="L8" s="510">
        <v>529844339.34140003</v>
      </c>
      <c r="M8" s="510">
        <v>694778647.79130006</v>
      </c>
      <c r="N8" s="648" t="s">
        <v>266</v>
      </c>
      <c r="O8" s="650"/>
      <c r="P8" s="651"/>
      <c r="R8" s="651"/>
    </row>
    <row r="9" spans="1:18" s="652" customFormat="1" ht="17.25" x14ac:dyDescent="0.25">
      <c r="A9" s="645" t="s">
        <v>267</v>
      </c>
      <c r="B9" s="646">
        <f t="shared" si="0"/>
        <v>99559706.250200003</v>
      </c>
      <c r="C9" s="510">
        <f t="shared" ref="C9:I9" si="2">C10+C28+C46+C64+C79+C98+C113+C120+C131+C141+C153+C160+C171+C178+C188+C203+C217+C229+C242+C245</f>
        <v>87986287.460000008</v>
      </c>
      <c r="D9" s="510">
        <f t="shared" si="2"/>
        <v>11573418.790200001</v>
      </c>
      <c r="E9" s="510"/>
      <c r="F9" s="647">
        <f t="shared" si="1"/>
        <v>169777720.33058602</v>
      </c>
      <c r="G9" s="510">
        <f t="shared" si="2"/>
        <v>151307591.05358604</v>
      </c>
      <c r="H9" s="510">
        <f t="shared" si="2"/>
        <v>18470129.27699998</v>
      </c>
      <c r="I9" s="510">
        <f t="shared" si="2"/>
        <v>0</v>
      </c>
      <c r="J9" s="510">
        <f>J10+J28+J46+J64+J79+J98+J113+J120+J131+J141+J153+J160+J171+J178+J188+J203+J217+J229+J242+J245</f>
        <v>264760139</v>
      </c>
      <c r="K9" s="510">
        <f>K10+K28+K46+K64+K79+K98+K113+K120+K131+K141+K153+K160+K171+K178+K188+K203+K217+K229+K242+K245</f>
        <v>267510730.38999927</v>
      </c>
      <c r="L9" s="510">
        <f>L10+L28+L46+L64+L79+L98+L113+L120+L131+L141+L153+L160+L171+L178+L188+L203+L217+L229+L242+L245</f>
        <v>364203693.46630001</v>
      </c>
      <c r="M9" s="510">
        <f>M10+M28+M46+M64+M79+M98+M113+M120+M131+M141+M153+M160+M171+M178+M188+M203+M217+M229+M242+M245</f>
        <v>483525096.47310001</v>
      </c>
      <c r="N9" s="648" t="s">
        <v>268</v>
      </c>
      <c r="O9" s="650"/>
      <c r="P9" s="653"/>
      <c r="R9" s="651"/>
    </row>
    <row r="10" spans="1:18" s="652" customFormat="1" x14ac:dyDescent="0.25">
      <c r="A10" s="654" t="s">
        <v>269</v>
      </c>
      <c r="B10" s="646">
        <f t="shared" si="0"/>
        <v>6769324.1445000004</v>
      </c>
      <c r="C10" s="387">
        <f>SUM(C11:C26)</f>
        <v>6095622.9400000004</v>
      </c>
      <c r="D10" s="387">
        <f>SUM(D11:D26)</f>
        <v>673701.20449999999</v>
      </c>
      <c r="E10" s="387"/>
      <c r="F10" s="647">
        <f t="shared" si="1"/>
        <v>11709674.216652982</v>
      </c>
      <c r="G10" s="387">
        <f>SUM(G11:G26)</f>
        <v>10045464.276652981</v>
      </c>
      <c r="H10" s="387">
        <f>SUM(H11:H26)</f>
        <v>1664209.9400000004</v>
      </c>
      <c r="I10" s="387"/>
      <c r="J10" s="387">
        <f>SUM(J11:J26)</f>
        <v>15101822</v>
      </c>
      <c r="K10" s="387">
        <f>SUM(K11:K26)</f>
        <v>16574727.689999968</v>
      </c>
      <c r="L10" s="387">
        <f>SUM(L11:L26)</f>
        <v>21476572.449999999</v>
      </c>
      <c r="M10" s="387">
        <f>SUM(M11:M26)</f>
        <v>28247167.650000002</v>
      </c>
      <c r="N10" s="655" t="s">
        <v>270</v>
      </c>
      <c r="O10" s="653"/>
      <c r="P10" s="651"/>
      <c r="R10" s="651"/>
    </row>
    <row r="11" spans="1:18" s="652" customFormat="1" x14ac:dyDescent="0.25">
      <c r="A11" s="656" t="s">
        <v>333</v>
      </c>
      <c r="B11" s="646">
        <f t="shared" si="0"/>
        <v>176859.8</v>
      </c>
      <c r="C11" s="433">
        <v>176859.8</v>
      </c>
      <c r="D11" s="433" t="s">
        <v>199</v>
      </c>
      <c r="E11" s="433"/>
      <c r="F11" s="647">
        <f t="shared" si="1"/>
        <v>386827.68</v>
      </c>
      <c r="G11" s="433">
        <v>277673.48</v>
      </c>
      <c r="H11" s="433">
        <v>109154.2</v>
      </c>
      <c r="I11" s="433"/>
      <c r="J11" s="433">
        <v>112222</v>
      </c>
      <c r="K11" s="433">
        <v>87669.930000000008</v>
      </c>
      <c r="L11" s="433">
        <v>110392</v>
      </c>
      <c r="M11" s="433">
        <v>303486.27</v>
      </c>
      <c r="N11" s="657" t="s">
        <v>334</v>
      </c>
      <c r="O11" s="650"/>
      <c r="P11" s="651"/>
      <c r="R11" s="651"/>
    </row>
    <row r="12" spans="1:18" s="652" customFormat="1" x14ac:dyDescent="0.25">
      <c r="A12" s="656" t="s">
        <v>335</v>
      </c>
      <c r="B12" s="646">
        <f t="shared" si="0"/>
        <v>68634.59</v>
      </c>
      <c r="C12" s="433">
        <v>68634.59</v>
      </c>
      <c r="D12" s="433" t="s">
        <v>199</v>
      </c>
      <c r="E12" s="433"/>
      <c r="F12" s="647">
        <f t="shared" si="1"/>
        <v>143225.93879999997</v>
      </c>
      <c r="G12" s="433">
        <v>143123.54999999999</v>
      </c>
      <c r="H12" s="433">
        <v>102.3888</v>
      </c>
      <c r="I12" s="433"/>
      <c r="J12" s="433">
        <v>323391</v>
      </c>
      <c r="K12" s="433">
        <v>255617.09</v>
      </c>
      <c r="L12" s="433">
        <v>411540.03</v>
      </c>
      <c r="M12" s="433">
        <v>677867.32</v>
      </c>
      <c r="N12" s="657" t="s">
        <v>336</v>
      </c>
      <c r="O12" s="650"/>
      <c r="P12" s="651"/>
      <c r="R12" s="651"/>
    </row>
    <row r="13" spans="1:18" s="652" customFormat="1" x14ac:dyDescent="0.25">
      <c r="A13" s="656" t="s">
        <v>1055</v>
      </c>
      <c r="B13" s="646">
        <f t="shared" si="0"/>
        <v>5506.5</v>
      </c>
      <c r="C13" s="433">
        <v>5506.5</v>
      </c>
      <c r="D13" s="433" t="s">
        <v>199</v>
      </c>
      <c r="E13" s="433"/>
      <c r="F13" s="647">
        <f t="shared" si="1"/>
        <v>4468.97</v>
      </c>
      <c r="G13" s="433">
        <v>4468.97</v>
      </c>
      <c r="H13" s="433" t="s">
        <v>199</v>
      </c>
      <c r="I13" s="433"/>
      <c r="J13" s="433">
        <v>0</v>
      </c>
      <c r="K13" s="433">
        <v>0</v>
      </c>
      <c r="L13" s="433">
        <v>0</v>
      </c>
      <c r="M13" s="433">
        <v>0</v>
      </c>
      <c r="N13" s="658" t="s">
        <v>1056</v>
      </c>
      <c r="O13" s="650"/>
      <c r="P13" s="651"/>
      <c r="R13" s="651"/>
    </row>
    <row r="14" spans="1:18" s="652" customFormat="1" x14ac:dyDescent="0.25">
      <c r="A14" s="656" t="s">
        <v>798</v>
      </c>
      <c r="B14" s="646">
        <f t="shared" si="0"/>
        <v>23352.75</v>
      </c>
      <c r="C14" s="433">
        <v>23352.75</v>
      </c>
      <c r="D14" s="433" t="s">
        <v>199</v>
      </c>
      <c r="E14" s="433"/>
      <c r="F14" s="647">
        <f t="shared" si="1"/>
        <v>33046.019999999997</v>
      </c>
      <c r="G14" s="433">
        <v>33046.019999999997</v>
      </c>
      <c r="H14" s="433" t="s">
        <v>199</v>
      </c>
      <c r="I14" s="433"/>
      <c r="J14" s="433">
        <v>0</v>
      </c>
      <c r="K14" s="433">
        <v>0</v>
      </c>
      <c r="L14" s="433">
        <v>0</v>
      </c>
      <c r="M14" s="433">
        <v>0</v>
      </c>
      <c r="N14" s="657" t="s">
        <v>799</v>
      </c>
      <c r="O14" s="650"/>
      <c r="P14" s="651"/>
      <c r="R14" s="651"/>
    </row>
    <row r="15" spans="1:18" s="652" customFormat="1" x14ac:dyDescent="0.25">
      <c r="A15" s="656" t="s">
        <v>337</v>
      </c>
      <c r="B15" s="646">
        <f t="shared" si="0"/>
        <v>79889.64</v>
      </c>
      <c r="C15" s="433">
        <v>79889.64</v>
      </c>
      <c r="D15" s="433" t="s">
        <v>199</v>
      </c>
      <c r="E15" s="433"/>
      <c r="F15" s="647">
        <f t="shared" si="1"/>
        <v>178770.93</v>
      </c>
      <c r="G15" s="433">
        <v>178770.93</v>
      </c>
      <c r="H15" s="433" t="s">
        <v>199</v>
      </c>
      <c r="I15" s="433"/>
      <c r="J15" s="433">
        <v>81426</v>
      </c>
      <c r="K15" s="433">
        <v>75261.3</v>
      </c>
      <c r="L15" s="433">
        <v>81191.06</v>
      </c>
      <c r="M15" s="433">
        <v>204972.37</v>
      </c>
      <c r="N15" s="657" t="s">
        <v>338</v>
      </c>
      <c r="O15" s="650"/>
      <c r="P15" s="651"/>
      <c r="R15" s="651"/>
    </row>
    <row r="16" spans="1:18" s="652" customFormat="1" x14ac:dyDescent="0.25">
      <c r="A16" s="656" t="s">
        <v>339</v>
      </c>
      <c r="B16" s="646">
        <f t="shared" si="0"/>
        <v>1298390.7024999999</v>
      </c>
      <c r="C16" s="433">
        <v>1150753.93</v>
      </c>
      <c r="D16" s="433">
        <v>147636.77249999999</v>
      </c>
      <c r="E16" s="433"/>
      <c r="F16" s="647">
        <f t="shared" si="1"/>
        <v>2664887.5546000004</v>
      </c>
      <c r="G16" s="433">
        <v>1943818.36</v>
      </c>
      <c r="H16" s="433">
        <v>721069.19460000005</v>
      </c>
      <c r="I16" s="433"/>
      <c r="J16" s="433">
        <v>1088883</v>
      </c>
      <c r="K16" s="433">
        <v>1582362.189999999</v>
      </c>
      <c r="L16" s="433">
        <v>3352948.96</v>
      </c>
      <c r="M16" s="433">
        <v>4703349.18</v>
      </c>
      <c r="N16" s="657" t="s">
        <v>340</v>
      </c>
      <c r="O16" s="650"/>
      <c r="P16" s="651"/>
      <c r="R16" s="651"/>
    </row>
    <row r="17" spans="1:18" s="652" customFormat="1" x14ac:dyDescent="0.25">
      <c r="A17" s="656" t="s">
        <v>341</v>
      </c>
      <c r="B17" s="646">
        <f t="shared" si="0"/>
        <v>351380.13</v>
      </c>
      <c r="C17" s="433">
        <v>351380.13</v>
      </c>
      <c r="D17" s="433" t="s">
        <v>199</v>
      </c>
      <c r="E17" s="433"/>
      <c r="F17" s="647">
        <f t="shared" si="1"/>
        <v>1034159.728999999</v>
      </c>
      <c r="G17" s="433">
        <v>838992.81299999903</v>
      </c>
      <c r="H17" s="433">
        <v>195166.916</v>
      </c>
      <c r="I17" s="433"/>
      <c r="J17" s="433">
        <v>2953756</v>
      </c>
      <c r="K17" s="433">
        <v>3143087.8599999901</v>
      </c>
      <c r="L17" s="433">
        <v>3699111.32</v>
      </c>
      <c r="M17" s="433">
        <v>4411492.28</v>
      </c>
      <c r="N17" s="657" t="s">
        <v>342</v>
      </c>
      <c r="O17" s="650"/>
      <c r="P17" s="651"/>
      <c r="R17" s="651"/>
    </row>
    <row r="18" spans="1:18" s="652" customFormat="1" x14ac:dyDescent="0.25">
      <c r="A18" s="656" t="s">
        <v>343</v>
      </c>
      <c r="B18" s="646">
        <f t="shared" si="0"/>
        <v>741781.37</v>
      </c>
      <c r="C18" s="433">
        <v>709437.02</v>
      </c>
      <c r="D18" s="433">
        <v>32344.35</v>
      </c>
      <c r="E18" s="433"/>
      <c r="F18" s="647">
        <f t="shared" si="1"/>
        <v>1157487.4705000001</v>
      </c>
      <c r="G18" s="433">
        <v>1031577.2825000001</v>
      </c>
      <c r="H18" s="433">
        <v>125910.18799999999</v>
      </c>
      <c r="I18" s="433"/>
      <c r="J18" s="433">
        <v>807570</v>
      </c>
      <c r="K18" s="433">
        <v>756694.43999999901</v>
      </c>
      <c r="L18" s="433">
        <v>1145015.6200000001</v>
      </c>
      <c r="M18" s="433">
        <v>1305014.24</v>
      </c>
      <c r="N18" s="657" t="s">
        <v>344</v>
      </c>
      <c r="O18" s="650"/>
      <c r="P18" s="651"/>
      <c r="R18" s="651"/>
    </row>
    <row r="19" spans="1:18" s="652" customFormat="1" x14ac:dyDescent="0.25">
      <c r="A19" s="656" t="s">
        <v>345</v>
      </c>
      <c r="B19" s="646">
        <f t="shared" si="0"/>
        <v>294653.87</v>
      </c>
      <c r="C19" s="433">
        <v>256130.61</v>
      </c>
      <c r="D19" s="433">
        <v>38523.26</v>
      </c>
      <c r="E19" s="433"/>
      <c r="F19" s="647">
        <f t="shared" si="1"/>
        <v>276735.34999999998</v>
      </c>
      <c r="G19" s="433">
        <v>276735.34999999998</v>
      </c>
      <c r="H19" s="433" t="s">
        <v>199</v>
      </c>
      <c r="I19" s="433"/>
      <c r="J19" s="433">
        <v>94094</v>
      </c>
      <c r="K19" s="433">
        <v>166718.16999999899</v>
      </c>
      <c r="L19" s="433">
        <v>223033.25</v>
      </c>
      <c r="M19" s="433">
        <v>206227.25</v>
      </c>
      <c r="N19" s="657" t="s">
        <v>346</v>
      </c>
      <c r="O19" s="651"/>
      <c r="P19" s="651"/>
      <c r="R19" s="651"/>
    </row>
    <row r="20" spans="1:18" s="652" customFormat="1" x14ac:dyDescent="0.25">
      <c r="A20" s="656" t="s">
        <v>347</v>
      </c>
      <c r="B20" s="646">
        <f t="shared" si="0"/>
        <v>1773084.3860000002</v>
      </c>
      <c r="C20" s="433">
        <v>1459030.85</v>
      </c>
      <c r="D20" s="433">
        <v>314053.53600000002</v>
      </c>
      <c r="E20" s="433"/>
      <c r="F20" s="647">
        <f t="shared" si="1"/>
        <v>2453377.6535999998</v>
      </c>
      <c r="G20" s="433">
        <v>2331551.2799999998</v>
      </c>
      <c r="H20" s="433">
        <v>121826.37360000001</v>
      </c>
      <c r="I20" s="433"/>
      <c r="J20" s="433">
        <v>8179745</v>
      </c>
      <c r="K20" s="433">
        <v>9098526.7899999805</v>
      </c>
      <c r="L20" s="433">
        <v>10578885.48</v>
      </c>
      <c r="M20" s="433">
        <v>13362402.58</v>
      </c>
      <c r="N20" s="657" t="s">
        <v>348</v>
      </c>
      <c r="O20" s="651"/>
      <c r="P20" s="651"/>
      <c r="R20" s="651"/>
    </row>
    <row r="21" spans="1:18" s="652" customFormat="1" x14ac:dyDescent="0.25">
      <c r="A21" s="656" t="s">
        <v>349</v>
      </c>
      <c r="B21" s="646">
        <f t="shared" si="0"/>
        <v>175538.826</v>
      </c>
      <c r="C21" s="433">
        <v>170473.36</v>
      </c>
      <c r="D21" s="433">
        <v>5065.4660000000003</v>
      </c>
      <c r="E21" s="433"/>
      <c r="F21" s="647">
        <f t="shared" si="1"/>
        <v>345699.15179999999</v>
      </c>
      <c r="G21" s="433">
        <v>273976.26</v>
      </c>
      <c r="H21" s="433">
        <v>71722.891799999998</v>
      </c>
      <c r="I21" s="433"/>
      <c r="J21" s="433">
        <v>121701</v>
      </c>
      <c r="K21" s="433">
        <v>107401.38</v>
      </c>
      <c r="L21" s="433">
        <v>242342.2</v>
      </c>
      <c r="M21" s="433">
        <v>514528.94</v>
      </c>
      <c r="N21" s="657" t="s">
        <v>350</v>
      </c>
      <c r="O21" s="651"/>
      <c r="P21" s="651"/>
      <c r="R21" s="651"/>
    </row>
    <row r="22" spans="1:18" s="652" customFormat="1" x14ac:dyDescent="0.25">
      <c r="A22" s="656" t="s">
        <v>351</v>
      </c>
      <c r="B22" s="646">
        <f t="shared" si="0"/>
        <v>261619.57</v>
      </c>
      <c r="C22" s="433">
        <v>214945.93</v>
      </c>
      <c r="D22" s="433">
        <v>46673.64</v>
      </c>
      <c r="E22" s="433"/>
      <c r="F22" s="647">
        <f t="shared" si="1"/>
        <v>334453.19999999902</v>
      </c>
      <c r="G22" s="433">
        <v>304453.19999999902</v>
      </c>
      <c r="H22" s="433">
        <v>30000</v>
      </c>
      <c r="I22" s="433"/>
      <c r="J22" s="433">
        <v>200319</v>
      </c>
      <c r="K22" s="433">
        <v>212756.69</v>
      </c>
      <c r="L22" s="433">
        <v>387950.96</v>
      </c>
      <c r="M22" s="433">
        <v>717320.22</v>
      </c>
      <c r="N22" s="657" t="s">
        <v>352</v>
      </c>
      <c r="O22" s="651"/>
      <c r="P22" s="651"/>
      <c r="R22" s="651"/>
    </row>
    <row r="23" spans="1:18" s="652" customFormat="1" x14ac:dyDescent="0.25">
      <c r="A23" s="656" t="s">
        <v>353</v>
      </c>
      <c r="B23" s="646">
        <f t="shared" si="0"/>
        <v>579951.42000000004</v>
      </c>
      <c r="C23" s="433">
        <v>490886.95</v>
      </c>
      <c r="D23" s="433">
        <v>89064.47</v>
      </c>
      <c r="E23" s="433"/>
      <c r="F23" s="647">
        <f t="shared" si="1"/>
        <v>825601.955752988</v>
      </c>
      <c r="G23" s="433">
        <v>746262.240152988</v>
      </c>
      <c r="H23" s="433">
        <v>79339.715599999996</v>
      </c>
      <c r="I23" s="433"/>
      <c r="J23" s="433">
        <v>101465</v>
      </c>
      <c r="K23" s="433">
        <v>96374.569999999992</v>
      </c>
      <c r="L23" s="433">
        <v>112240.23</v>
      </c>
      <c r="M23" s="433">
        <v>164197.39000000001</v>
      </c>
      <c r="N23" s="657" t="s">
        <v>354</v>
      </c>
      <c r="O23" s="651"/>
      <c r="P23" s="651"/>
      <c r="R23" s="651"/>
    </row>
    <row r="24" spans="1:18" s="652" customFormat="1" x14ac:dyDescent="0.25">
      <c r="A24" s="656" t="s">
        <v>355</v>
      </c>
      <c r="B24" s="646">
        <f t="shared" si="0"/>
        <v>302499.87</v>
      </c>
      <c r="C24" s="433">
        <v>302499.87</v>
      </c>
      <c r="D24" s="433" t="s">
        <v>199</v>
      </c>
      <c r="E24" s="433"/>
      <c r="F24" s="647">
        <f t="shared" si="1"/>
        <v>412799.74719999899</v>
      </c>
      <c r="G24" s="433">
        <v>408317.76999999897</v>
      </c>
      <c r="H24" s="433">
        <v>4481.9772000000003</v>
      </c>
      <c r="I24" s="433"/>
      <c r="J24" s="433">
        <v>39570</v>
      </c>
      <c r="K24" s="433">
        <v>54484.880000000005</v>
      </c>
      <c r="L24" s="433">
        <v>94363.97</v>
      </c>
      <c r="M24" s="433">
        <v>138161.99</v>
      </c>
      <c r="N24" s="657" t="s">
        <v>356</v>
      </c>
      <c r="O24" s="650"/>
      <c r="P24" s="651"/>
      <c r="R24" s="651"/>
    </row>
    <row r="25" spans="1:18" s="652" customFormat="1" x14ac:dyDescent="0.25">
      <c r="A25" s="656" t="s">
        <v>357</v>
      </c>
      <c r="B25" s="646">
        <f t="shared" si="0"/>
        <v>292081.84999999998</v>
      </c>
      <c r="C25" s="433">
        <v>292081.84999999998</v>
      </c>
      <c r="D25" s="433" t="s">
        <v>199</v>
      </c>
      <c r="E25" s="433"/>
      <c r="F25" s="647">
        <f t="shared" si="1"/>
        <v>513973.05439999897</v>
      </c>
      <c r="G25" s="433">
        <v>437241.40999999898</v>
      </c>
      <c r="H25" s="433">
        <v>76731.644400000005</v>
      </c>
      <c r="I25" s="433"/>
      <c r="J25" s="433">
        <v>101744</v>
      </c>
      <c r="K25" s="433">
        <v>92398.15</v>
      </c>
      <c r="L25" s="433">
        <v>126094.5</v>
      </c>
      <c r="M25" s="433">
        <v>148149.85999999999</v>
      </c>
      <c r="N25" s="657" t="s">
        <v>358</v>
      </c>
      <c r="O25" s="650"/>
      <c r="P25" s="651"/>
      <c r="R25" s="651"/>
    </row>
    <row r="26" spans="1:18" s="652" customFormat="1" x14ac:dyDescent="0.25">
      <c r="A26" s="656" t="s">
        <v>359</v>
      </c>
      <c r="B26" s="646">
        <f t="shared" si="0"/>
        <v>344098.87</v>
      </c>
      <c r="C26" s="433">
        <v>343759.16</v>
      </c>
      <c r="D26" s="433">
        <v>339.71</v>
      </c>
      <c r="E26" s="433"/>
      <c r="F26" s="647">
        <f t="shared" si="1"/>
        <v>944159.81099999801</v>
      </c>
      <c r="G26" s="433">
        <v>815455.36099999805</v>
      </c>
      <c r="H26" s="433">
        <v>128704.45</v>
      </c>
      <c r="I26" s="433"/>
      <c r="J26" s="433">
        <v>895936</v>
      </c>
      <c r="K26" s="433">
        <v>845374.24999999988</v>
      </c>
      <c r="L26" s="433">
        <v>911462.87</v>
      </c>
      <c r="M26" s="433">
        <v>1389997.76</v>
      </c>
      <c r="N26" s="657" t="s">
        <v>360</v>
      </c>
      <c r="O26" s="651"/>
      <c r="P26" s="651"/>
      <c r="R26" s="651"/>
    </row>
    <row r="27" spans="1:18" s="652" customFormat="1" ht="5.25" customHeight="1" x14ac:dyDescent="0.25">
      <c r="A27" s="656"/>
      <c r="B27" s="646"/>
      <c r="C27" s="433"/>
      <c r="D27" s="433"/>
      <c r="E27" s="433"/>
      <c r="F27" s="647"/>
      <c r="G27" s="433"/>
      <c r="H27" s="433"/>
      <c r="I27" s="433"/>
      <c r="J27" s="433"/>
      <c r="K27" s="433"/>
      <c r="L27" s="433"/>
      <c r="M27" s="433"/>
      <c r="N27" s="657"/>
      <c r="O27" s="651"/>
      <c r="P27" s="651"/>
      <c r="R27" s="651"/>
    </row>
    <row r="28" spans="1:18" s="652" customFormat="1" x14ac:dyDescent="0.25">
      <c r="A28" s="654" t="s">
        <v>271</v>
      </c>
      <c r="B28" s="646">
        <f t="shared" si="0"/>
        <v>7106429.0500000007</v>
      </c>
      <c r="C28" s="387">
        <f>SUM(C29:C44)</f>
        <v>6284627.4500000011</v>
      </c>
      <c r="D28" s="387">
        <f>SUM(D29:D44)</f>
        <v>821801.59999999986</v>
      </c>
      <c r="E28" s="387"/>
      <c r="F28" s="647">
        <f t="shared" si="1"/>
        <v>12000238.148601541</v>
      </c>
      <c r="G28" s="387">
        <f>SUM(G29:G44)</f>
        <v>9809041.0949015506</v>
      </c>
      <c r="H28" s="387">
        <f>SUM(H29:H44)</f>
        <v>2191197.0536999903</v>
      </c>
      <c r="I28" s="387"/>
      <c r="J28" s="387">
        <f>SUM(J29:J44)</f>
        <v>41415958</v>
      </c>
      <c r="K28" s="387">
        <f>SUM(K29:K44)</f>
        <v>40695134.079999633</v>
      </c>
      <c r="L28" s="387">
        <f>SUM(L29:L44)</f>
        <v>47757008.690000013</v>
      </c>
      <c r="M28" s="387">
        <f>SUM(M29:M44)</f>
        <v>55532820.669999994</v>
      </c>
      <c r="N28" s="655" t="s">
        <v>272</v>
      </c>
      <c r="O28" s="651"/>
      <c r="P28" s="651"/>
      <c r="R28" s="651"/>
    </row>
    <row r="29" spans="1:18" s="652" customFormat="1" x14ac:dyDescent="0.25">
      <c r="A29" s="656" t="s">
        <v>800</v>
      </c>
      <c r="B29" s="646">
        <f t="shared" si="0"/>
        <v>95314.95</v>
      </c>
      <c r="C29" s="433">
        <v>95314.95</v>
      </c>
      <c r="D29" s="433" t="s">
        <v>199</v>
      </c>
      <c r="E29" s="433"/>
      <c r="F29" s="647">
        <f t="shared" si="1"/>
        <v>63500.449999999903</v>
      </c>
      <c r="G29" s="433">
        <v>63500.449999999903</v>
      </c>
      <c r="H29" s="433" t="s">
        <v>199</v>
      </c>
      <c r="I29" s="433"/>
      <c r="J29" s="433">
        <v>0</v>
      </c>
      <c r="K29" s="433">
        <v>0</v>
      </c>
      <c r="L29" s="433">
        <v>0</v>
      </c>
      <c r="M29" s="433">
        <v>0</v>
      </c>
      <c r="N29" s="657" t="s">
        <v>801</v>
      </c>
      <c r="O29" s="650"/>
      <c r="P29" s="651"/>
      <c r="R29" s="651"/>
    </row>
    <row r="30" spans="1:18" s="652" customFormat="1" x14ac:dyDescent="0.25">
      <c r="A30" s="656" t="s">
        <v>361</v>
      </c>
      <c r="B30" s="646">
        <f t="shared" si="0"/>
        <v>452032.37</v>
      </c>
      <c r="C30" s="433">
        <v>367593.98</v>
      </c>
      <c r="D30" s="433">
        <v>84438.39</v>
      </c>
      <c r="E30" s="433"/>
      <c r="F30" s="647">
        <f t="shared" si="1"/>
        <v>694259.26839999901</v>
      </c>
      <c r="G30" s="433">
        <v>683395.56999999902</v>
      </c>
      <c r="H30" s="433">
        <v>10863.698399999999</v>
      </c>
      <c r="I30" s="433"/>
      <c r="J30" s="433">
        <v>682594</v>
      </c>
      <c r="K30" s="433">
        <v>745573.58</v>
      </c>
      <c r="L30" s="433">
        <v>1156690.17</v>
      </c>
      <c r="M30" s="433">
        <v>2103689.0299999998</v>
      </c>
      <c r="N30" s="657" t="s">
        <v>362</v>
      </c>
      <c r="O30" s="650"/>
      <c r="P30" s="651"/>
      <c r="R30" s="651"/>
    </row>
    <row r="31" spans="1:18" s="652" customFormat="1" x14ac:dyDescent="0.25">
      <c r="A31" s="656" t="s">
        <v>363</v>
      </c>
      <c r="B31" s="646">
        <f t="shared" si="0"/>
        <v>110033.47</v>
      </c>
      <c r="C31" s="433">
        <v>110033.47</v>
      </c>
      <c r="D31" s="433" t="s">
        <v>199</v>
      </c>
      <c r="E31" s="433"/>
      <c r="F31" s="647">
        <f t="shared" si="1"/>
        <v>192094.84999999902</v>
      </c>
      <c r="G31" s="433">
        <v>174370.71999999901</v>
      </c>
      <c r="H31" s="433">
        <v>17724.13</v>
      </c>
      <c r="I31" s="433"/>
      <c r="J31" s="433">
        <v>52867</v>
      </c>
      <c r="K31" s="433">
        <v>59868.97</v>
      </c>
      <c r="L31" s="433">
        <v>83180.509999999995</v>
      </c>
      <c r="M31" s="433">
        <v>183434.67</v>
      </c>
      <c r="N31" s="657" t="s">
        <v>364</v>
      </c>
      <c r="O31" s="650"/>
      <c r="P31" s="651"/>
      <c r="R31" s="651"/>
    </row>
    <row r="32" spans="1:18" s="652" customFormat="1" x14ac:dyDescent="0.25">
      <c r="A32" s="656" t="s">
        <v>365</v>
      </c>
      <c r="B32" s="646">
        <f t="shared" si="0"/>
        <v>256222.99</v>
      </c>
      <c r="C32" s="433">
        <v>206592.87</v>
      </c>
      <c r="D32" s="433">
        <v>49630.12</v>
      </c>
      <c r="E32" s="433"/>
      <c r="F32" s="647">
        <f t="shared" si="1"/>
        <v>503303.03020154894</v>
      </c>
      <c r="G32" s="433">
        <v>325417.06020154897</v>
      </c>
      <c r="H32" s="433">
        <v>177885.97</v>
      </c>
      <c r="I32" s="433"/>
      <c r="J32" s="433">
        <v>79964</v>
      </c>
      <c r="K32" s="433">
        <v>78356.459999999992</v>
      </c>
      <c r="L32" s="433">
        <v>78203.05</v>
      </c>
      <c r="M32" s="433">
        <v>71519.429999999993</v>
      </c>
      <c r="N32" s="657" t="s">
        <v>366</v>
      </c>
      <c r="O32" s="650"/>
      <c r="P32" s="651"/>
      <c r="R32" s="651"/>
    </row>
    <row r="33" spans="1:18" s="652" customFormat="1" x14ac:dyDescent="0.25">
      <c r="A33" s="656" t="s">
        <v>367</v>
      </c>
      <c r="B33" s="646">
        <f t="shared" si="0"/>
        <v>167705.93</v>
      </c>
      <c r="C33" s="433">
        <v>167705.93</v>
      </c>
      <c r="D33" s="433" t="s">
        <v>199</v>
      </c>
      <c r="E33" s="433"/>
      <c r="F33" s="647">
        <f t="shared" si="1"/>
        <v>102189.14</v>
      </c>
      <c r="G33" s="433">
        <v>102189.14</v>
      </c>
      <c r="H33" s="433" t="s">
        <v>199</v>
      </c>
      <c r="I33" s="433"/>
      <c r="J33" s="433">
        <v>91451</v>
      </c>
      <c r="K33" s="433">
        <v>99870</v>
      </c>
      <c r="L33" s="433">
        <v>153295</v>
      </c>
      <c r="M33" s="433">
        <v>215791.45</v>
      </c>
      <c r="N33" s="657" t="s">
        <v>368</v>
      </c>
      <c r="O33" s="650"/>
      <c r="P33" s="651"/>
      <c r="R33" s="651"/>
    </row>
    <row r="34" spans="1:18" s="652" customFormat="1" x14ac:dyDescent="0.25">
      <c r="A34" s="656" t="s">
        <v>369</v>
      </c>
      <c r="B34" s="646">
        <f t="shared" si="0"/>
        <v>104294.02</v>
      </c>
      <c r="C34" s="433">
        <v>104294.02</v>
      </c>
      <c r="D34" s="433" t="s">
        <v>199</v>
      </c>
      <c r="E34" s="433"/>
      <c r="F34" s="647">
        <f t="shared" si="1"/>
        <v>255633.66</v>
      </c>
      <c r="G34" s="433">
        <v>250403.66</v>
      </c>
      <c r="H34" s="433">
        <v>5230</v>
      </c>
      <c r="I34" s="433"/>
      <c r="J34" s="433">
        <v>228855</v>
      </c>
      <c r="K34" s="433">
        <v>308510.25</v>
      </c>
      <c r="L34" s="433">
        <v>334725</v>
      </c>
      <c r="M34" s="433">
        <v>589297.11</v>
      </c>
      <c r="N34" s="657" t="s">
        <v>370</v>
      </c>
      <c r="O34" s="650"/>
      <c r="P34" s="651"/>
      <c r="R34" s="651"/>
    </row>
    <row r="35" spans="1:18" s="652" customFormat="1" x14ac:dyDescent="0.25">
      <c r="A35" s="656" t="s">
        <v>371</v>
      </c>
      <c r="B35" s="646">
        <f t="shared" si="0"/>
        <v>214683.41999999998</v>
      </c>
      <c r="C35" s="433">
        <v>194455</v>
      </c>
      <c r="D35" s="433">
        <v>20228.419999999998</v>
      </c>
      <c r="E35" s="433"/>
      <c r="F35" s="647">
        <f t="shared" si="1"/>
        <v>387826.4</v>
      </c>
      <c r="G35" s="433">
        <v>357826.4</v>
      </c>
      <c r="H35" s="433">
        <v>30000</v>
      </c>
      <c r="I35" s="433"/>
      <c r="J35" s="433">
        <v>367892</v>
      </c>
      <c r="K35" s="433">
        <v>316773</v>
      </c>
      <c r="L35" s="433">
        <v>537847.75</v>
      </c>
      <c r="M35" s="433">
        <v>737642.33</v>
      </c>
      <c r="N35" s="657" t="s">
        <v>372</v>
      </c>
      <c r="O35" s="650"/>
      <c r="P35" s="651"/>
      <c r="R35" s="651"/>
    </row>
    <row r="36" spans="1:18" s="652" customFormat="1" x14ac:dyDescent="0.25">
      <c r="A36" s="656" t="s">
        <v>373</v>
      </c>
      <c r="B36" s="646">
        <f t="shared" si="0"/>
        <v>455976.73</v>
      </c>
      <c r="C36" s="433">
        <v>437107.68</v>
      </c>
      <c r="D36" s="433">
        <v>18869.05</v>
      </c>
      <c r="E36" s="433"/>
      <c r="F36" s="647">
        <f t="shared" si="1"/>
        <v>798275.07999999903</v>
      </c>
      <c r="G36" s="433">
        <v>662817.30999999901</v>
      </c>
      <c r="H36" s="433">
        <v>135457.76999999999</v>
      </c>
      <c r="I36" s="433"/>
      <c r="J36" s="433">
        <v>835174</v>
      </c>
      <c r="K36" s="433">
        <v>616901.66999999899</v>
      </c>
      <c r="L36" s="433">
        <v>857834.76</v>
      </c>
      <c r="M36" s="433">
        <v>1580819.32</v>
      </c>
      <c r="N36" s="657" t="s">
        <v>374</v>
      </c>
      <c r="O36" s="650"/>
      <c r="P36" s="651"/>
      <c r="R36" s="651"/>
    </row>
    <row r="37" spans="1:18" s="652" customFormat="1" x14ac:dyDescent="0.25">
      <c r="A37" s="656" t="s">
        <v>375</v>
      </c>
      <c r="B37" s="646">
        <f t="shared" si="0"/>
        <v>192051.53</v>
      </c>
      <c r="C37" s="433">
        <v>192051.53</v>
      </c>
      <c r="D37" s="433" t="s">
        <v>199</v>
      </c>
      <c r="E37" s="433"/>
      <c r="F37" s="647">
        <f t="shared" si="1"/>
        <v>354499.43299999897</v>
      </c>
      <c r="G37" s="433">
        <v>350700.83999999898</v>
      </c>
      <c r="H37" s="433">
        <v>3798.5929999999998</v>
      </c>
      <c r="I37" s="433"/>
      <c r="J37" s="433">
        <v>130348</v>
      </c>
      <c r="K37" s="433">
        <v>117230.5</v>
      </c>
      <c r="L37" s="433">
        <v>118700</v>
      </c>
      <c r="M37" s="433">
        <v>191866.23999999999</v>
      </c>
      <c r="N37" s="657" t="s">
        <v>376</v>
      </c>
      <c r="O37" s="650"/>
      <c r="P37" s="651"/>
      <c r="R37" s="651"/>
    </row>
    <row r="38" spans="1:18" s="652" customFormat="1" x14ac:dyDescent="0.25">
      <c r="A38" s="656" t="s">
        <v>377</v>
      </c>
      <c r="B38" s="646">
        <f t="shared" si="0"/>
        <v>91988.78</v>
      </c>
      <c r="C38" s="433">
        <v>91988.78</v>
      </c>
      <c r="D38" s="433" t="s">
        <v>199</v>
      </c>
      <c r="E38" s="433"/>
      <c r="F38" s="647">
        <f t="shared" si="1"/>
        <v>91237.419999999896</v>
      </c>
      <c r="G38" s="433">
        <v>56412.729999999901</v>
      </c>
      <c r="H38" s="433">
        <v>34824.69</v>
      </c>
      <c r="I38" s="433"/>
      <c r="J38" s="433">
        <v>0</v>
      </c>
      <c r="K38" s="433">
        <v>0</v>
      </c>
      <c r="L38" s="433">
        <v>0</v>
      </c>
      <c r="M38" s="433">
        <v>0</v>
      </c>
      <c r="N38" s="657" t="s">
        <v>378</v>
      </c>
      <c r="O38" s="651"/>
      <c r="P38" s="651"/>
      <c r="R38" s="651"/>
    </row>
    <row r="39" spans="1:18" s="652" customFormat="1" x14ac:dyDescent="0.25">
      <c r="A39" s="656" t="s">
        <v>379</v>
      </c>
      <c r="B39" s="646">
        <f t="shared" si="0"/>
        <v>3403955.4699999997</v>
      </c>
      <c r="C39" s="433">
        <v>2925725.28</v>
      </c>
      <c r="D39" s="433">
        <v>478230.19</v>
      </c>
      <c r="E39" s="433"/>
      <c r="F39" s="647">
        <f t="shared" si="1"/>
        <v>5494395.033499999</v>
      </c>
      <c r="G39" s="433">
        <v>4397129.5527000092</v>
      </c>
      <c r="H39" s="433">
        <v>1097265.48079999</v>
      </c>
      <c r="I39" s="433"/>
      <c r="J39" s="433">
        <v>37017744</v>
      </c>
      <c r="K39" s="433">
        <v>36509577.75999964</v>
      </c>
      <c r="L39" s="433">
        <v>42500703.460000001</v>
      </c>
      <c r="M39" s="433">
        <v>46939884.149999999</v>
      </c>
      <c r="N39" s="657" t="s">
        <v>380</v>
      </c>
      <c r="O39" s="650"/>
      <c r="P39" s="651"/>
      <c r="R39" s="651"/>
    </row>
    <row r="40" spans="1:18" s="652" customFormat="1" x14ac:dyDescent="0.25">
      <c r="A40" s="656" t="s">
        <v>381</v>
      </c>
      <c r="B40" s="646">
        <f t="shared" si="0"/>
        <v>198563.24</v>
      </c>
      <c r="C40" s="433">
        <v>197573.66</v>
      </c>
      <c r="D40" s="433">
        <v>989.58</v>
      </c>
      <c r="E40" s="433"/>
      <c r="F40" s="647">
        <f t="shared" si="1"/>
        <v>633238.87170000002</v>
      </c>
      <c r="G40" s="433">
        <v>451452.56</v>
      </c>
      <c r="H40" s="433">
        <v>181786.31169999999</v>
      </c>
      <c r="I40" s="433"/>
      <c r="J40" s="433">
        <v>248590</v>
      </c>
      <c r="K40" s="433">
        <v>243955.98</v>
      </c>
      <c r="L40" s="433">
        <v>290414.17</v>
      </c>
      <c r="M40" s="433">
        <v>460509.17</v>
      </c>
      <c r="N40" s="657" t="s">
        <v>382</v>
      </c>
      <c r="O40" s="650"/>
      <c r="P40" s="651"/>
      <c r="R40" s="651"/>
    </row>
    <row r="41" spans="1:18" s="652" customFormat="1" x14ac:dyDescent="0.25">
      <c r="A41" s="656" t="s">
        <v>383</v>
      </c>
      <c r="B41" s="646">
        <f t="shared" si="0"/>
        <v>189081.41</v>
      </c>
      <c r="C41" s="433">
        <v>189081.41</v>
      </c>
      <c r="D41" s="433" t="s">
        <v>199</v>
      </c>
      <c r="E41" s="433"/>
      <c r="F41" s="647">
        <f t="shared" si="1"/>
        <v>495462.94019999902</v>
      </c>
      <c r="G41" s="433">
        <v>359949.97199999902</v>
      </c>
      <c r="H41" s="433">
        <v>135512.9682</v>
      </c>
      <c r="I41" s="433"/>
      <c r="J41" s="433">
        <v>554206</v>
      </c>
      <c r="K41" s="433">
        <v>246971.9</v>
      </c>
      <c r="L41" s="433">
        <v>190844.34</v>
      </c>
      <c r="M41" s="433">
        <v>371840.32</v>
      </c>
      <c r="N41" s="657" t="s">
        <v>384</v>
      </c>
      <c r="O41" s="651"/>
      <c r="P41" s="651"/>
      <c r="R41" s="651"/>
    </row>
    <row r="42" spans="1:18" s="652" customFormat="1" x14ac:dyDescent="0.25">
      <c r="A42" s="656" t="s">
        <v>385</v>
      </c>
      <c r="B42" s="646">
        <f t="shared" si="0"/>
        <v>662232.36</v>
      </c>
      <c r="C42" s="433">
        <v>608307.62</v>
      </c>
      <c r="D42" s="433">
        <v>53924.74</v>
      </c>
      <c r="E42" s="433"/>
      <c r="F42" s="647">
        <f t="shared" si="1"/>
        <v>1251462.2147999979</v>
      </c>
      <c r="G42" s="433">
        <v>904769.56999999797</v>
      </c>
      <c r="H42" s="433">
        <v>346692.64480000001</v>
      </c>
      <c r="I42" s="433"/>
      <c r="J42" s="433">
        <v>243895</v>
      </c>
      <c r="K42" s="433">
        <v>405834.62</v>
      </c>
      <c r="L42" s="433">
        <v>362644.81</v>
      </c>
      <c r="M42" s="433">
        <v>668781.98</v>
      </c>
      <c r="N42" s="657" t="s">
        <v>386</v>
      </c>
      <c r="O42" s="651"/>
      <c r="P42" s="651"/>
      <c r="R42" s="651"/>
    </row>
    <row r="43" spans="1:18" s="652" customFormat="1" x14ac:dyDescent="0.25">
      <c r="A43" s="656" t="s">
        <v>387</v>
      </c>
      <c r="B43" s="646">
        <f t="shared" si="0"/>
        <v>107899.87</v>
      </c>
      <c r="C43" s="433">
        <v>107899.87</v>
      </c>
      <c r="D43" s="433" t="s">
        <v>199</v>
      </c>
      <c r="E43" s="433"/>
      <c r="F43" s="647">
        <f t="shared" si="1"/>
        <v>165431.25</v>
      </c>
      <c r="G43" s="433">
        <v>165431.25</v>
      </c>
      <c r="H43" s="433" t="s">
        <v>199</v>
      </c>
      <c r="I43" s="433"/>
      <c r="J43" s="433">
        <v>0</v>
      </c>
      <c r="K43" s="433">
        <v>0</v>
      </c>
      <c r="L43" s="433">
        <v>0</v>
      </c>
      <c r="M43" s="433">
        <v>0</v>
      </c>
      <c r="N43" s="657" t="s">
        <v>388</v>
      </c>
      <c r="O43" s="651"/>
      <c r="P43" s="651"/>
      <c r="R43" s="651"/>
    </row>
    <row r="44" spans="1:18" s="652" customFormat="1" x14ac:dyDescent="0.25">
      <c r="A44" s="656" t="s">
        <v>389</v>
      </c>
      <c r="B44" s="646">
        <f t="shared" si="0"/>
        <v>404392.51</v>
      </c>
      <c r="C44" s="433">
        <v>288901.40000000002</v>
      </c>
      <c r="D44" s="433">
        <v>115491.11</v>
      </c>
      <c r="E44" s="433"/>
      <c r="F44" s="647">
        <f t="shared" si="1"/>
        <v>517429.10680000001</v>
      </c>
      <c r="G44" s="433">
        <v>503274.31</v>
      </c>
      <c r="H44" s="433">
        <v>14154.7968</v>
      </c>
      <c r="I44" s="433"/>
      <c r="J44" s="433">
        <v>882378</v>
      </c>
      <c r="K44" s="433">
        <v>945709.39</v>
      </c>
      <c r="L44" s="433">
        <v>1091925.67</v>
      </c>
      <c r="M44" s="433">
        <v>1417745.47</v>
      </c>
      <c r="N44" s="657" t="s">
        <v>390</v>
      </c>
      <c r="O44" s="651"/>
      <c r="P44" s="651"/>
      <c r="R44" s="651"/>
    </row>
    <row r="45" spans="1:18" s="652" customFormat="1" ht="9.75" customHeight="1" x14ac:dyDescent="0.25">
      <c r="A45" s="656"/>
      <c r="B45" s="646"/>
      <c r="C45" s="433"/>
      <c r="D45" s="433"/>
      <c r="E45" s="433"/>
      <c r="F45" s="647"/>
      <c r="G45" s="433"/>
      <c r="H45" s="433"/>
      <c r="I45" s="433"/>
      <c r="J45" s="433"/>
      <c r="K45" s="433"/>
      <c r="L45" s="433"/>
      <c r="M45" s="433"/>
      <c r="N45" s="657"/>
      <c r="O45" s="651"/>
      <c r="P45" s="651"/>
      <c r="R45" s="651"/>
    </row>
    <row r="46" spans="1:18" s="652" customFormat="1" x14ac:dyDescent="0.25">
      <c r="A46" s="654" t="s">
        <v>273</v>
      </c>
      <c r="B46" s="646">
        <f t="shared" si="0"/>
        <v>3439443.8099999996</v>
      </c>
      <c r="C46" s="387">
        <f>SUM(C47:C62)</f>
        <v>3087992.8899999997</v>
      </c>
      <c r="D46" s="387">
        <f>SUM(D47:D62)</f>
        <v>351450.92</v>
      </c>
      <c r="E46" s="387"/>
      <c r="F46" s="647">
        <f t="shared" si="1"/>
        <v>5706671.2631579963</v>
      </c>
      <c r="G46" s="387">
        <f>SUM(G47:G62)</f>
        <v>4973565.9746579966</v>
      </c>
      <c r="H46" s="387">
        <f>SUM(H47:H62)</f>
        <v>733105.28850000002</v>
      </c>
      <c r="I46" s="387"/>
      <c r="J46" s="387">
        <f>SUM(J47:J62)</f>
        <v>13338409</v>
      </c>
      <c r="K46" s="387">
        <f>SUM(K47:K62)</f>
        <v>13893985.419999983</v>
      </c>
      <c r="L46" s="387">
        <f>SUM(L47:L62)</f>
        <v>18573633.77</v>
      </c>
      <c r="M46" s="387">
        <f>SUM(M47:M62)</f>
        <v>22929493.009999998</v>
      </c>
      <c r="N46" s="655" t="s">
        <v>274</v>
      </c>
      <c r="O46" s="650"/>
      <c r="P46" s="651"/>
      <c r="R46" s="651"/>
    </row>
    <row r="47" spans="1:18" s="652" customFormat="1" x14ac:dyDescent="0.25">
      <c r="A47" s="656" t="s">
        <v>391</v>
      </c>
      <c r="B47" s="646">
        <f t="shared" si="0"/>
        <v>325198.41000000003</v>
      </c>
      <c r="C47" s="433">
        <v>283675.89</v>
      </c>
      <c r="D47" s="433">
        <v>41522.519999999997</v>
      </c>
      <c r="E47" s="433"/>
      <c r="F47" s="647">
        <f t="shared" si="1"/>
        <v>496255.66079999891</v>
      </c>
      <c r="G47" s="433">
        <v>437757.27999999892</v>
      </c>
      <c r="H47" s="433">
        <v>58498.380799999999</v>
      </c>
      <c r="I47" s="433"/>
      <c r="J47" s="433">
        <v>1086023</v>
      </c>
      <c r="K47" s="433">
        <v>1247248.399999998</v>
      </c>
      <c r="L47" s="433">
        <v>1916814.11</v>
      </c>
      <c r="M47" s="433">
        <v>2005957.3</v>
      </c>
      <c r="N47" s="657" t="s">
        <v>392</v>
      </c>
      <c r="O47" s="650"/>
      <c r="P47" s="651"/>
      <c r="R47" s="651"/>
    </row>
    <row r="48" spans="1:18" s="652" customFormat="1" x14ac:dyDescent="0.25">
      <c r="A48" s="656" t="s">
        <v>393</v>
      </c>
      <c r="B48" s="646">
        <f t="shared" si="0"/>
        <v>99181.01</v>
      </c>
      <c r="C48" s="433">
        <v>99181.01</v>
      </c>
      <c r="D48" s="433" t="s">
        <v>199</v>
      </c>
      <c r="E48" s="433"/>
      <c r="F48" s="647">
        <f t="shared" si="1"/>
        <v>72402.23000000001</v>
      </c>
      <c r="G48" s="433">
        <v>72402.23000000001</v>
      </c>
      <c r="H48" s="433" t="s">
        <v>199</v>
      </c>
      <c r="I48" s="433"/>
      <c r="J48" s="433">
        <v>0</v>
      </c>
      <c r="K48" s="433">
        <v>0</v>
      </c>
      <c r="L48" s="433">
        <v>0</v>
      </c>
      <c r="M48" s="433">
        <v>146172.37</v>
      </c>
      <c r="N48" s="657" t="s">
        <v>394</v>
      </c>
      <c r="O48" s="650"/>
      <c r="P48" s="651"/>
      <c r="R48" s="651"/>
    </row>
    <row r="49" spans="1:18" s="652" customFormat="1" x14ac:dyDescent="0.25">
      <c r="A49" s="656" t="s">
        <v>395</v>
      </c>
      <c r="B49" s="646">
        <f t="shared" si="0"/>
        <v>125736.98</v>
      </c>
      <c r="C49" s="433">
        <v>125736.98</v>
      </c>
      <c r="D49" s="433" t="s">
        <v>199</v>
      </c>
      <c r="E49" s="433"/>
      <c r="F49" s="647">
        <f t="shared" si="1"/>
        <v>286547.14110000001</v>
      </c>
      <c r="G49" s="433">
        <v>238433.61</v>
      </c>
      <c r="H49" s="433">
        <v>48113.5311</v>
      </c>
      <c r="I49" s="433"/>
      <c r="J49" s="433">
        <v>143620</v>
      </c>
      <c r="K49" s="433">
        <v>60400</v>
      </c>
      <c r="L49" s="433">
        <v>162856.45000000001</v>
      </c>
      <c r="M49" s="433">
        <v>566642.56000000006</v>
      </c>
      <c r="N49" s="657" t="s">
        <v>396</v>
      </c>
      <c r="O49" s="650"/>
      <c r="P49" s="651"/>
      <c r="R49" s="651"/>
    </row>
    <row r="50" spans="1:18" s="652" customFormat="1" x14ac:dyDescent="0.25">
      <c r="A50" s="656" t="s">
        <v>397</v>
      </c>
      <c r="B50" s="646">
        <f t="shared" si="0"/>
        <v>217112.57</v>
      </c>
      <c r="C50" s="433">
        <v>198753.71</v>
      </c>
      <c r="D50" s="433">
        <v>18358.86</v>
      </c>
      <c r="E50" s="433"/>
      <c r="F50" s="647">
        <f t="shared" si="1"/>
        <v>250205.03000000003</v>
      </c>
      <c r="G50" s="433">
        <v>219512.05000000002</v>
      </c>
      <c r="H50" s="433">
        <v>30692.98</v>
      </c>
      <c r="I50" s="433"/>
      <c r="J50" s="433">
        <v>307166</v>
      </c>
      <c r="K50" s="433">
        <v>301428.179999999</v>
      </c>
      <c r="L50" s="433">
        <v>376774.56</v>
      </c>
      <c r="M50" s="433">
        <v>929150.15</v>
      </c>
      <c r="N50" s="657" t="s">
        <v>398</v>
      </c>
      <c r="O50" s="650"/>
      <c r="P50" s="651"/>
      <c r="R50" s="651"/>
    </row>
    <row r="51" spans="1:18" s="652" customFormat="1" x14ac:dyDescent="0.25">
      <c r="A51" s="656" t="s">
        <v>399</v>
      </c>
      <c r="B51" s="646">
        <f t="shared" si="0"/>
        <v>192012.15</v>
      </c>
      <c r="C51" s="433">
        <v>192012.15</v>
      </c>
      <c r="D51" s="433" t="s">
        <v>199</v>
      </c>
      <c r="E51" s="433"/>
      <c r="F51" s="647">
        <f t="shared" si="1"/>
        <v>231132.389999999</v>
      </c>
      <c r="G51" s="433">
        <v>231132.389999999</v>
      </c>
      <c r="H51" s="433" t="s">
        <v>199</v>
      </c>
      <c r="I51" s="433"/>
      <c r="J51" s="433">
        <v>189933</v>
      </c>
      <c r="K51" s="433">
        <v>166399.39000000001</v>
      </c>
      <c r="L51" s="433">
        <v>438753.18</v>
      </c>
      <c r="M51" s="433">
        <v>424495.77</v>
      </c>
      <c r="N51" s="657" t="s">
        <v>400</v>
      </c>
      <c r="O51" s="650"/>
      <c r="P51" s="651"/>
      <c r="R51" s="651"/>
    </row>
    <row r="52" spans="1:18" s="652" customFormat="1" x14ac:dyDescent="0.25">
      <c r="A52" s="656" t="s">
        <v>401</v>
      </c>
      <c r="B52" s="646">
        <f t="shared" si="0"/>
        <v>111720.7</v>
      </c>
      <c r="C52" s="433">
        <v>111720.7</v>
      </c>
      <c r="D52" s="433" t="s">
        <v>199</v>
      </c>
      <c r="E52" s="433"/>
      <c r="F52" s="647">
        <f t="shared" si="1"/>
        <v>304725.88219999999</v>
      </c>
      <c r="G52" s="433">
        <v>220927.28</v>
      </c>
      <c r="H52" s="433">
        <v>83798.602199999994</v>
      </c>
      <c r="I52" s="433"/>
      <c r="J52" s="433">
        <v>183294</v>
      </c>
      <c r="K52" s="433">
        <v>160865</v>
      </c>
      <c r="L52" s="433">
        <v>205963.96</v>
      </c>
      <c r="M52" s="433">
        <v>656631.29</v>
      </c>
      <c r="N52" s="657" t="s">
        <v>402</v>
      </c>
      <c r="O52" s="651"/>
      <c r="P52" s="651"/>
      <c r="R52" s="651"/>
    </row>
    <row r="53" spans="1:18" s="652" customFormat="1" x14ac:dyDescent="0.25">
      <c r="A53" s="656" t="s">
        <v>403</v>
      </c>
      <c r="B53" s="646">
        <f t="shared" si="0"/>
        <v>186580.43</v>
      </c>
      <c r="C53" s="433">
        <v>113420.44</v>
      </c>
      <c r="D53" s="433">
        <v>73159.990000000005</v>
      </c>
      <c r="E53" s="433"/>
      <c r="F53" s="647">
        <f t="shared" si="1"/>
        <v>300020.4942999999</v>
      </c>
      <c r="G53" s="433">
        <v>257836.22999999998</v>
      </c>
      <c r="H53" s="433">
        <v>42184.264299999901</v>
      </c>
      <c r="I53" s="433"/>
      <c r="J53" s="433">
        <v>634873</v>
      </c>
      <c r="K53" s="433">
        <v>984003.61</v>
      </c>
      <c r="L53" s="433">
        <v>1442908.87</v>
      </c>
      <c r="M53" s="433">
        <v>1660194.03</v>
      </c>
      <c r="N53" s="657" t="s">
        <v>404</v>
      </c>
      <c r="O53" s="651"/>
      <c r="P53" s="651"/>
      <c r="R53" s="651"/>
    </row>
    <row r="54" spans="1:18" s="652" customFormat="1" x14ac:dyDescent="0.25">
      <c r="A54" s="656" t="s">
        <v>405</v>
      </c>
      <c r="B54" s="646">
        <f t="shared" si="0"/>
        <v>42546.92</v>
      </c>
      <c r="C54" s="433">
        <v>42546.92</v>
      </c>
      <c r="D54" s="433" t="s">
        <v>199</v>
      </c>
      <c r="E54" s="433"/>
      <c r="F54" s="647">
        <f t="shared" si="1"/>
        <v>52669.2</v>
      </c>
      <c r="G54" s="433">
        <v>52669.2</v>
      </c>
      <c r="H54" s="433" t="s">
        <v>199</v>
      </c>
      <c r="I54" s="433"/>
      <c r="J54" s="433">
        <v>99001</v>
      </c>
      <c r="K54" s="433">
        <v>174935</v>
      </c>
      <c r="L54" s="433">
        <v>107673</v>
      </c>
      <c r="M54" s="433">
        <v>366538.72</v>
      </c>
      <c r="N54" s="657" t="s">
        <v>406</v>
      </c>
      <c r="O54" s="651"/>
      <c r="P54" s="651"/>
      <c r="R54" s="651"/>
    </row>
    <row r="55" spans="1:18" s="652" customFormat="1" x14ac:dyDescent="0.25">
      <c r="A55" s="656" t="s">
        <v>802</v>
      </c>
      <c r="B55" s="646">
        <f t="shared" si="0"/>
        <v>17582.77</v>
      </c>
      <c r="C55" s="433">
        <v>17582.77</v>
      </c>
      <c r="D55" s="433" t="s">
        <v>199</v>
      </c>
      <c r="E55" s="433"/>
      <c r="F55" s="647">
        <f t="shared" si="1"/>
        <v>15962.33</v>
      </c>
      <c r="G55" s="433">
        <v>15962.33</v>
      </c>
      <c r="H55" s="433" t="s">
        <v>199</v>
      </c>
      <c r="I55" s="433"/>
      <c r="J55" s="433">
        <v>0</v>
      </c>
      <c r="K55" s="433">
        <v>0</v>
      </c>
      <c r="L55" s="433">
        <v>0</v>
      </c>
      <c r="M55" s="433">
        <v>0</v>
      </c>
      <c r="N55" s="657" t="s">
        <v>803</v>
      </c>
      <c r="O55" s="650"/>
      <c r="P55" s="651"/>
      <c r="R55" s="651"/>
    </row>
    <row r="56" spans="1:18" s="652" customFormat="1" x14ac:dyDescent="0.25">
      <c r="A56" s="656" t="s">
        <v>407</v>
      </c>
      <c r="B56" s="646">
        <f t="shared" si="0"/>
        <v>219464.63</v>
      </c>
      <c r="C56" s="433">
        <v>218483.44</v>
      </c>
      <c r="D56" s="433">
        <v>981.19</v>
      </c>
      <c r="E56" s="433"/>
      <c r="F56" s="647">
        <f t="shared" si="1"/>
        <v>361479.13189999899</v>
      </c>
      <c r="G56" s="433">
        <v>293144.05999999901</v>
      </c>
      <c r="H56" s="433">
        <v>68335.071899999995</v>
      </c>
      <c r="I56" s="433"/>
      <c r="J56" s="433">
        <v>69069</v>
      </c>
      <c r="K56" s="433">
        <v>116065.69999999901</v>
      </c>
      <c r="L56" s="433">
        <v>120150</v>
      </c>
      <c r="M56" s="433">
        <v>354031.05</v>
      </c>
      <c r="N56" s="657" t="s">
        <v>408</v>
      </c>
      <c r="O56" s="650"/>
      <c r="P56" s="651"/>
      <c r="R56" s="651"/>
    </row>
    <row r="57" spans="1:18" s="652" customFormat="1" x14ac:dyDescent="0.25">
      <c r="A57" s="656" t="s">
        <v>409</v>
      </c>
      <c r="B57" s="646">
        <f t="shared" si="0"/>
        <v>151416.26999999999</v>
      </c>
      <c r="C57" s="433">
        <v>151416.26999999999</v>
      </c>
      <c r="D57" s="433" t="s">
        <v>199</v>
      </c>
      <c r="E57" s="433"/>
      <c r="F57" s="647">
        <f t="shared" si="1"/>
        <v>176584.59000000003</v>
      </c>
      <c r="G57" s="433">
        <v>176584.59000000003</v>
      </c>
      <c r="H57" s="433" t="s">
        <v>199</v>
      </c>
      <c r="I57" s="433"/>
      <c r="J57" s="433">
        <v>138175</v>
      </c>
      <c r="K57" s="433">
        <v>118986.5</v>
      </c>
      <c r="L57" s="433">
        <v>158963.49</v>
      </c>
      <c r="M57" s="433">
        <v>275149.17</v>
      </c>
      <c r="N57" s="657" t="s">
        <v>410</v>
      </c>
      <c r="O57" s="651"/>
      <c r="P57" s="651"/>
      <c r="R57" s="651"/>
    </row>
    <row r="58" spans="1:18" s="652" customFormat="1" x14ac:dyDescent="0.25">
      <c r="A58" s="656" t="s">
        <v>1057</v>
      </c>
      <c r="B58" s="646">
        <f t="shared" si="0"/>
        <v>1709.4</v>
      </c>
      <c r="C58" s="433">
        <v>1709.4</v>
      </c>
      <c r="D58" s="433" t="s">
        <v>199</v>
      </c>
      <c r="E58" s="433"/>
      <c r="F58" s="647">
        <f t="shared" si="1"/>
        <v>4254.03</v>
      </c>
      <c r="G58" s="433">
        <v>4254.03</v>
      </c>
      <c r="H58" s="433" t="s">
        <v>199</v>
      </c>
      <c r="I58" s="433"/>
      <c r="J58" s="433">
        <v>0</v>
      </c>
      <c r="K58" s="433">
        <v>0</v>
      </c>
      <c r="L58" s="433">
        <v>0</v>
      </c>
      <c r="M58" s="433">
        <v>0</v>
      </c>
      <c r="N58" s="657" t="s">
        <v>804</v>
      </c>
      <c r="O58" s="650"/>
      <c r="P58" s="651"/>
      <c r="R58" s="651"/>
    </row>
    <row r="59" spans="1:18" s="652" customFormat="1" x14ac:dyDescent="0.25">
      <c r="A59" s="656" t="s">
        <v>411</v>
      </c>
      <c r="B59" s="646">
        <f t="shared" si="0"/>
        <v>411988.62</v>
      </c>
      <c r="C59" s="433">
        <v>371201.37</v>
      </c>
      <c r="D59" s="433">
        <v>40787.25</v>
      </c>
      <c r="E59" s="433"/>
      <c r="F59" s="647">
        <f t="shared" si="1"/>
        <v>813036.5416999989</v>
      </c>
      <c r="G59" s="433">
        <v>704265.66749999893</v>
      </c>
      <c r="H59" s="433">
        <v>108770.87420000001</v>
      </c>
      <c r="I59" s="433"/>
      <c r="J59" s="433">
        <v>1632855</v>
      </c>
      <c r="K59" s="433">
        <v>1856062.5999999989</v>
      </c>
      <c r="L59" s="433">
        <v>2166089.8199999998</v>
      </c>
      <c r="M59" s="433">
        <v>2013241.44</v>
      </c>
      <c r="N59" s="657" t="s">
        <v>412</v>
      </c>
      <c r="O59" s="650"/>
      <c r="P59" s="651"/>
      <c r="R59" s="651"/>
    </row>
    <row r="60" spans="1:18" s="652" customFormat="1" x14ac:dyDescent="0.25">
      <c r="A60" s="656" t="s">
        <v>413</v>
      </c>
      <c r="B60" s="646">
        <f t="shared" si="0"/>
        <v>323222.73</v>
      </c>
      <c r="C60" s="433">
        <v>165116.44</v>
      </c>
      <c r="D60" s="433">
        <v>158106.29</v>
      </c>
      <c r="E60" s="433"/>
      <c r="F60" s="647">
        <f t="shared" si="1"/>
        <v>414222.67059999902</v>
      </c>
      <c r="G60" s="433">
        <v>348362.859999999</v>
      </c>
      <c r="H60" s="433">
        <v>65859.810599999997</v>
      </c>
      <c r="I60" s="433"/>
      <c r="J60" s="433">
        <v>485263</v>
      </c>
      <c r="K60" s="433">
        <v>460918</v>
      </c>
      <c r="L60" s="433">
        <v>640597</v>
      </c>
      <c r="M60" s="433">
        <v>981259.44</v>
      </c>
      <c r="N60" s="657" t="s">
        <v>414</v>
      </c>
      <c r="O60" s="651"/>
      <c r="P60" s="651"/>
      <c r="R60" s="651"/>
    </row>
    <row r="61" spans="1:18" s="652" customFormat="1" x14ac:dyDescent="0.25">
      <c r="A61" s="656" t="s">
        <v>415</v>
      </c>
      <c r="B61" s="646">
        <f t="shared" si="0"/>
        <v>573363.78</v>
      </c>
      <c r="C61" s="433">
        <v>558920.5</v>
      </c>
      <c r="D61" s="433">
        <v>14443.28</v>
      </c>
      <c r="E61" s="433"/>
      <c r="F61" s="647">
        <f t="shared" si="1"/>
        <v>923943.85675800091</v>
      </c>
      <c r="G61" s="433">
        <v>810504.41715800087</v>
      </c>
      <c r="H61" s="433">
        <v>113439.4396</v>
      </c>
      <c r="I61" s="433"/>
      <c r="J61" s="433">
        <v>5315465</v>
      </c>
      <c r="K61" s="433">
        <v>4147086.3599999901</v>
      </c>
      <c r="L61" s="433">
        <v>6108888.4500000002</v>
      </c>
      <c r="M61" s="433">
        <v>6901970.8300000001</v>
      </c>
      <c r="N61" s="657" t="s">
        <v>416</v>
      </c>
      <c r="O61" s="651"/>
      <c r="P61" s="651"/>
      <c r="R61" s="651"/>
    </row>
    <row r="62" spans="1:18" s="652" customFormat="1" x14ac:dyDescent="0.25">
      <c r="A62" s="656" t="s">
        <v>1058</v>
      </c>
      <c r="B62" s="646">
        <f t="shared" si="0"/>
        <v>440606.44</v>
      </c>
      <c r="C62" s="433">
        <v>436514.9</v>
      </c>
      <c r="D62" s="433">
        <v>4091.54</v>
      </c>
      <c r="E62" s="433"/>
      <c r="F62" s="647">
        <f t="shared" si="1"/>
        <v>1003230.083800001</v>
      </c>
      <c r="G62" s="433">
        <v>889817.75000000093</v>
      </c>
      <c r="H62" s="433">
        <v>113412.33379999999</v>
      </c>
      <c r="I62" s="433"/>
      <c r="J62" s="433">
        <v>3053672</v>
      </c>
      <c r="K62" s="433">
        <v>4099586.6799999988</v>
      </c>
      <c r="L62" s="433">
        <v>4727200.88</v>
      </c>
      <c r="M62" s="433">
        <v>5648058.8899999997</v>
      </c>
      <c r="N62" s="658" t="s">
        <v>1059</v>
      </c>
      <c r="O62" s="650"/>
      <c r="P62" s="651"/>
      <c r="R62" s="651"/>
    </row>
    <row r="63" spans="1:18" s="652" customFormat="1" x14ac:dyDescent="0.25">
      <c r="A63" s="656"/>
      <c r="B63" s="646"/>
      <c r="C63" s="433"/>
      <c r="D63" s="433"/>
      <c r="E63" s="433"/>
      <c r="F63" s="647"/>
      <c r="G63" s="433"/>
      <c r="H63" s="433"/>
      <c r="I63" s="433"/>
      <c r="J63" s="433"/>
      <c r="K63" s="433"/>
      <c r="L63" s="433"/>
      <c r="M63" s="433"/>
      <c r="N63" s="658"/>
      <c r="O63" s="650"/>
      <c r="P63" s="651"/>
      <c r="R63" s="651"/>
    </row>
    <row r="64" spans="1:18" s="652" customFormat="1" x14ac:dyDescent="0.25">
      <c r="A64" s="654" t="s">
        <v>275</v>
      </c>
      <c r="B64" s="646">
        <f t="shared" si="0"/>
        <v>3876037.1799999997</v>
      </c>
      <c r="C64" s="387">
        <f>SUM(C65:C77)</f>
        <v>3248051.12</v>
      </c>
      <c r="D64" s="387">
        <f>SUM(D65:D77)</f>
        <v>627986.05999999982</v>
      </c>
      <c r="E64" s="387"/>
      <c r="F64" s="647">
        <f t="shared" si="1"/>
        <v>6795547.7153829793</v>
      </c>
      <c r="G64" s="387">
        <f>SUM(G65:G77)</f>
        <v>5956733.4745829804</v>
      </c>
      <c r="H64" s="387">
        <f>SUM(H65:H77)</f>
        <v>838814.24079999886</v>
      </c>
      <c r="I64" s="387"/>
      <c r="J64" s="387">
        <f>SUM(J65:J77)</f>
        <v>9433955</v>
      </c>
      <c r="K64" s="387">
        <f>SUM(K65:K77)</f>
        <v>8314019.0199999837</v>
      </c>
      <c r="L64" s="387">
        <f>SUM(L65:L77)</f>
        <v>11788026.34</v>
      </c>
      <c r="M64" s="387">
        <f>SUM(M65:M77)</f>
        <v>16282824.600000001</v>
      </c>
      <c r="N64" s="655" t="s">
        <v>276</v>
      </c>
      <c r="O64" s="650"/>
      <c r="P64" s="651"/>
      <c r="R64" s="651"/>
    </row>
    <row r="65" spans="1:18" s="652" customFormat="1" x14ac:dyDescent="0.25">
      <c r="A65" s="656" t="s">
        <v>419</v>
      </c>
      <c r="B65" s="646">
        <f t="shared" si="0"/>
        <v>127116.98999999999</v>
      </c>
      <c r="C65" s="433">
        <v>102200.53</v>
      </c>
      <c r="D65" s="433">
        <v>24916.46</v>
      </c>
      <c r="E65" s="433"/>
      <c r="F65" s="647">
        <f t="shared" si="1"/>
        <v>203809.58879999898</v>
      </c>
      <c r="G65" s="433">
        <v>163830.68999999898</v>
      </c>
      <c r="H65" s="433">
        <v>39978.898800000003</v>
      </c>
      <c r="I65" s="433"/>
      <c r="J65" s="433">
        <v>24900</v>
      </c>
      <c r="K65" s="433">
        <v>300</v>
      </c>
      <c r="L65" s="433">
        <v>0</v>
      </c>
      <c r="M65" s="433">
        <v>148639.25</v>
      </c>
      <c r="N65" s="657" t="s">
        <v>420</v>
      </c>
      <c r="O65" s="650"/>
      <c r="P65" s="651"/>
      <c r="R65" s="651"/>
    </row>
    <row r="66" spans="1:18" s="652" customFormat="1" x14ac:dyDescent="0.25">
      <c r="A66" s="656" t="s">
        <v>421</v>
      </c>
      <c r="B66" s="646">
        <f t="shared" si="0"/>
        <v>253851.51999999999</v>
      </c>
      <c r="C66" s="433">
        <v>220708.05</v>
      </c>
      <c r="D66" s="433">
        <v>33143.47</v>
      </c>
      <c r="E66" s="433"/>
      <c r="F66" s="647">
        <f t="shared" si="1"/>
        <v>654656.55419999897</v>
      </c>
      <c r="G66" s="433">
        <v>510928.02999999898</v>
      </c>
      <c r="H66" s="433">
        <v>143728.52419999999</v>
      </c>
      <c r="I66" s="433"/>
      <c r="J66" s="433">
        <v>616072</v>
      </c>
      <c r="K66" s="433">
        <v>420101.81</v>
      </c>
      <c r="L66" s="433">
        <v>606837.87</v>
      </c>
      <c r="M66" s="433">
        <v>1061596.77</v>
      </c>
      <c r="N66" s="657" t="s">
        <v>422</v>
      </c>
      <c r="O66" s="650"/>
      <c r="P66" s="651"/>
      <c r="R66" s="651"/>
    </row>
    <row r="67" spans="1:18" s="652" customFormat="1" x14ac:dyDescent="0.25">
      <c r="A67" s="656" t="s">
        <v>423</v>
      </c>
      <c r="B67" s="646">
        <f t="shared" si="0"/>
        <v>141822.62</v>
      </c>
      <c r="C67" s="433">
        <v>141822.62</v>
      </c>
      <c r="D67" s="433" t="s">
        <v>199</v>
      </c>
      <c r="E67" s="433"/>
      <c r="F67" s="647">
        <f t="shared" si="1"/>
        <v>443631.25999999879</v>
      </c>
      <c r="G67" s="433">
        <v>313742.049999999</v>
      </c>
      <c r="H67" s="433">
        <v>129889.20999999979</v>
      </c>
      <c r="I67" s="433"/>
      <c r="J67" s="433">
        <v>128884</v>
      </c>
      <c r="K67" s="433">
        <v>124615.81</v>
      </c>
      <c r="L67" s="433">
        <v>47575.94</v>
      </c>
      <c r="M67" s="433">
        <v>299677.95</v>
      </c>
      <c r="N67" s="657" t="s">
        <v>424</v>
      </c>
      <c r="O67" s="650"/>
      <c r="P67" s="651"/>
      <c r="R67" s="651"/>
    </row>
    <row r="68" spans="1:18" s="652" customFormat="1" x14ac:dyDescent="0.25">
      <c r="A68" s="656" t="s">
        <v>425</v>
      </c>
      <c r="B68" s="646">
        <f t="shared" si="0"/>
        <v>151183.87</v>
      </c>
      <c r="C68" s="433">
        <v>151183.87</v>
      </c>
      <c r="D68" s="433" t="s">
        <v>199</v>
      </c>
      <c r="E68" s="433"/>
      <c r="F68" s="647">
        <f t="shared" si="1"/>
        <v>386659.141</v>
      </c>
      <c r="G68" s="433">
        <v>277079.76</v>
      </c>
      <c r="H68" s="433">
        <v>109579.38099999999</v>
      </c>
      <c r="I68" s="433"/>
      <c r="J68" s="433">
        <v>169487</v>
      </c>
      <c r="K68" s="433">
        <v>217228.53</v>
      </c>
      <c r="L68" s="433">
        <v>238740.26</v>
      </c>
      <c r="M68" s="433">
        <v>476223.97</v>
      </c>
      <c r="N68" s="657" t="s">
        <v>426</v>
      </c>
      <c r="O68" s="650"/>
      <c r="P68" s="651"/>
      <c r="R68" s="651"/>
    </row>
    <row r="69" spans="1:18" s="652" customFormat="1" x14ac:dyDescent="0.25">
      <c r="A69" s="656" t="s">
        <v>427</v>
      </c>
      <c r="B69" s="646">
        <f t="shared" si="0"/>
        <v>239921.02</v>
      </c>
      <c r="C69" s="433">
        <v>163436.04999999999</v>
      </c>
      <c r="D69" s="433">
        <v>76484.97</v>
      </c>
      <c r="E69" s="433"/>
      <c r="F69" s="647">
        <f t="shared" si="1"/>
        <v>282198.56</v>
      </c>
      <c r="G69" s="433">
        <v>282198.56</v>
      </c>
      <c r="H69" s="433" t="s">
        <v>199</v>
      </c>
      <c r="I69" s="433"/>
      <c r="J69" s="433">
        <v>146789</v>
      </c>
      <c r="K69" s="433">
        <v>199038.53</v>
      </c>
      <c r="L69" s="433">
        <v>371000</v>
      </c>
      <c r="M69" s="433">
        <v>488195.9</v>
      </c>
      <c r="N69" s="657" t="s">
        <v>428</v>
      </c>
      <c r="O69" s="650"/>
      <c r="P69" s="651"/>
      <c r="R69" s="651"/>
    </row>
    <row r="70" spans="1:18" s="652" customFormat="1" x14ac:dyDescent="0.25">
      <c r="A70" s="656" t="s">
        <v>429</v>
      </c>
      <c r="B70" s="646">
        <f t="shared" si="0"/>
        <v>137471.65</v>
      </c>
      <c r="C70" s="433">
        <v>137471.65</v>
      </c>
      <c r="D70" s="433" t="s">
        <v>199</v>
      </c>
      <c r="E70" s="433"/>
      <c r="F70" s="647">
        <f t="shared" si="1"/>
        <v>226202.19239999898</v>
      </c>
      <c r="G70" s="433">
        <v>220724.69999999899</v>
      </c>
      <c r="H70" s="433">
        <v>5477.4924000000001</v>
      </c>
      <c r="I70" s="433"/>
      <c r="J70" s="433">
        <v>121240</v>
      </c>
      <c r="K70" s="433">
        <v>0</v>
      </c>
      <c r="L70" s="433">
        <v>15900</v>
      </c>
      <c r="M70" s="433">
        <v>72492.61</v>
      </c>
      <c r="N70" s="657" t="s">
        <v>430</v>
      </c>
      <c r="O70" s="650"/>
      <c r="P70" s="651"/>
      <c r="R70" s="651"/>
    </row>
    <row r="71" spans="1:18" s="652" customFormat="1" x14ac:dyDescent="0.25">
      <c r="A71" s="656" t="s">
        <v>431</v>
      </c>
      <c r="B71" s="646">
        <f t="shared" si="0"/>
        <v>151077.76000000001</v>
      </c>
      <c r="C71" s="433">
        <v>111031.93</v>
      </c>
      <c r="D71" s="433">
        <v>40045.83</v>
      </c>
      <c r="E71" s="433"/>
      <c r="F71" s="647">
        <f t="shared" si="1"/>
        <v>384542.57759999897</v>
      </c>
      <c r="G71" s="433">
        <v>342753.01999999897</v>
      </c>
      <c r="H71" s="433">
        <v>41789.5576</v>
      </c>
      <c r="I71" s="433"/>
      <c r="J71" s="433">
        <v>112741</v>
      </c>
      <c r="K71" s="433">
        <v>106905.37</v>
      </c>
      <c r="L71" s="433">
        <v>180303.18</v>
      </c>
      <c r="M71" s="433">
        <v>367827</v>
      </c>
      <c r="N71" s="657" t="s">
        <v>432</v>
      </c>
      <c r="O71" s="650"/>
      <c r="P71" s="651"/>
      <c r="R71" s="651"/>
    </row>
    <row r="72" spans="1:18" s="652" customFormat="1" x14ac:dyDescent="0.25">
      <c r="A72" s="656" t="s">
        <v>433</v>
      </c>
      <c r="B72" s="646">
        <f t="shared" ref="B72:B135" si="3">SUM(C72:D72)</f>
        <v>163199.66</v>
      </c>
      <c r="C72" s="433">
        <v>163199.66</v>
      </c>
      <c r="D72" s="433" t="s">
        <v>199</v>
      </c>
      <c r="E72" s="433"/>
      <c r="F72" s="647">
        <f t="shared" ref="F72:F135" si="4">SUM(G72:H72)</f>
        <v>341228.36299999896</v>
      </c>
      <c r="G72" s="433">
        <v>331228.36299999896</v>
      </c>
      <c r="H72" s="433">
        <v>10000</v>
      </c>
      <c r="I72" s="433"/>
      <c r="J72" s="433">
        <v>112699</v>
      </c>
      <c r="K72" s="433">
        <v>134662.16999999899</v>
      </c>
      <c r="L72" s="433">
        <v>190654.24</v>
      </c>
      <c r="M72" s="433">
        <v>275196.34999999998</v>
      </c>
      <c r="N72" s="657" t="s">
        <v>434</v>
      </c>
      <c r="O72" s="650"/>
      <c r="P72" s="651"/>
      <c r="R72" s="651"/>
    </row>
    <row r="73" spans="1:18" s="652" customFormat="1" x14ac:dyDescent="0.25">
      <c r="A73" s="656" t="s">
        <v>435</v>
      </c>
      <c r="B73" s="646">
        <f t="shared" si="3"/>
        <v>138120.72999999998</v>
      </c>
      <c r="C73" s="433">
        <v>36751.64</v>
      </c>
      <c r="D73" s="433">
        <v>101369.09</v>
      </c>
      <c r="E73" s="433"/>
      <c r="F73" s="647">
        <f t="shared" si="4"/>
        <v>100711.25999999989</v>
      </c>
      <c r="G73" s="433">
        <v>100711.25999999989</v>
      </c>
      <c r="H73" s="433" t="s">
        <v>199</v>
      </c>
      <c r="I73" s="433"/>
      <c r="J73" s="433">
        <v>0</v>
      </c>
      <c r="K73" s="433">
        <v>0</v>
      </c>
      <c r="L73" s="433">
        <v>0</v>
      </c>
      <c r="M73" s="433">
        <v>45743.46</v>
      </c>
      <c r="N73" s="657" t="s">
        <v>436</v>
      </c>
      <c r="O73" s="651"/>
      <c r="P73" s="651"/>
      <c r="R73" s="651"/>
    </row>
    <row r="74" spans="1:18" s="652" customFormat="1" x14ac:dyDescent="0.25">
      <c r="A74" s="656" t="s">
        <v>437</v>
      </c>
      <c r="B74" s="646">
        <f t="shared" si="3"/>
        <v>742155.98</v>
      </c>
      <c r="C74" s="433">
        <v>469329.9</v>
      </c>
      <c r="D74" s="433">
        <v>272826.08</v>
      </c>
      <c r="E74" s="433"/>
      <c r="F74" s="647">
        <f t="shared" si="4"/>
        <v>648339.08158299793</v>
      </c>
      <c r="G74" s="433">
        <v>637579.00158299797</v>
      </c>
      <c r="H74" s="433">
        <v>10760.08</v>
      </c>
      <c r="I74" s="433"/>
      <c r="J74" s="433">
        <v>4128416</v>
      </c>
      <c r="K74" s="433">
        <v>2969093.61</v>
      </c>
      <c r="L74" s="433">
        <v>5003030.05</v>
      </c>
      <c r="M74" s="433">
        <v>6594631.7000000002</v>
      </c>
      <c r="N74" s="657" t="s">
        <v>438</v>
      </c>
      <c r="O74" s="651"/>
      <c r="P74" s="651"/>
      <c r="R74" s="651"/>
    </row>
    <row r="75" spans="1:18" s="652" customFormat="1" x14ac:dyDescent="0.25">
      <c r="A75" s="656" t="s">
        <v>439</v>
      </c>
      <c r="B75" s="646">
        <f t="shared" si="3"/>
        <v>858355.99</v>
      </c>
      <c r="C75" s="433">
        <v>804365.41</v>
      </c>
      <c r="D75" s="433">
        <v>53990.58</v>
      </c>
      <c r="E75" s="433"/>
      <c r="F75" s="647">
        <f t="shared" si="4"/>
        <v>1156920.1901999901</v>
      </c>
      <c r="G75" s="433">
        <v>1028781.22999999</v>
      </c>
      <c r="H75" s="433">
        <v>128138.9602</v>
      </c>
      <c r="I75" s="433"/>
      <c r="J75" s="433">
        <v>1797368</v>
      </c>
      <c r="K75" s="433">
        <v>2404751.50999999</v>
      </c>
      <c r="L75" s="433">
        <v>3187746.11</v>
      </c>
      <c r="M75" s="433">
        <v>3765359.72</v>
      </c>
      <c r="N75" s="657" t="s">
        <v>440</v>
      </c>
      <c r="O75" s="651"/>
      <c r="P75" s="651"/>
      <c r="R75" s="651"/>
    </row>
    <row r="76" spans="1:18" s="652" customFormat="1" x14ac:dyDescent="0.25">
      <c r="A76" s="656" t="s">
        <v>441</v>
      </c>
      <c r="B76" s="646">
        <f t="shared" si="3"/>
        <v>136551.04000000001</v>
      </c>
      <c r="C76" s="433">
        <v>136551.04000000001</v>
      </c>
      <c r="D76" s="433" t="s">
        <v>199</v>
      </c>
      <c r="E76" s="433"/>
      <c r="F76" s="647">
        <f t="shared" si="4"/>
        <v>754353.67119999893</v>
      </c>
      <c r="G76" s="433">
        <v>720924.87999999896</v>
      </c>
      <c r="H76" s="433">
        <v>33428.7912</v>
      </c>
      <c r="I76" s="433"/>
      <c r="J76" s="433">
        <v>0</v>
      </c>
      <c r="K76" s="433">
        <v>0</v>
      </c>
      <c r="L76" s="433">
        <v>9000</v>
      </c>
      <c r="M76" s="433">
        <v>128544.07</v>
      </c>
      <c r="N76" s="657" t="s">
        <v>442</v>
      </c>
      <c r="O76" s="651"/>
      <c r="P76" s="651"/>
      <c r="R76" s="651"/>
    </row>
    <row r="77" spans="1:18" s="652" customFormat="1" x14ac:dyDescent="0.25">
      <c r="A77" s="656" t="s">
        <v>443</v>
      </c>
      <c r="B77" s="646">
        <f t="shared" si="3"/>
        <v>635208.35</v>
      </c>
      <c r="C77" s="433">
        <v>609998.77</v>
      </c>
      <c r="D77" s="433">
        <v>25209.58</v>
      </c>
      <c r="E77" s="433"/>
      <c r="F77" s="647">
        <f t="shared" si="4"/>
        <v>1212295.275399999</v>
      </c>
      <c r="G77" s="433">
        <v>1026251.9299999999</v>
      </c>
      <c r="H77" s="433">
        <v>186043.345399999</v>
      </c>
      <c r="I77" s="433"/>
      <c r="J77" s="433">
        <v>2075359</v>
      </c>
      <c r="K77" s="433">
        <v>1737321.679999995</v>
      </c>
      <c r="L77" s="433">
        <v>1937238.69</v>
      </c>
      <c r="M77" s="433">
        <v>2558695.85</v>
      </c>
      <c r="N77" s="657" t="s">
        <v>444</v>
      </c>
      <c r="O77" s="650"/>
      <c r="P77" s="651"/>
      <c r="R77" s="651"/>
    </row>
    <row r="78" spans="1:18" s="652" customFormat="1" ht="8.25" customHeight="1" x14ac:dyDescent="0.25">
      <c r="A78" s="656"/>
      <c r="B78" s="646"/>
      <c r="C78" s="433"/>
      <c r="D78" s="433"/>
      <c r="E78" s="433"/>
      <c r="F78" s="647"/>
      <c r="G78" s="433"/>
      <c r="H78" s="433"/>
      <c r="I78" s="433"/>
      <c r="J78" s="433"/>
      <c r="K78" s="433"/>
      <c r="L78" s="433"/>
      <c r="M78" s="433"/>
      <c r="N78" s="657"/>
      <c r="O78" s="650"/>
      <c r="P78" s="651"/>
      <c r="R78" s="651"/>
    </row>
    <row r="79" spans="1:18" s="652" customFormat="1" x14ac:dyDescent="0.25">
      <c r="A79" s="654" t="s">
        <v>277</v>
      </c>
      <c r="B79" s="646">
        <f t="shared" si="3"/>
        <v>4840611.5375000006</v>
      </c>
      <c r="C79" s="387">
        <f>SUM(C80:C96)</f>
        <v>3877443.9800000004</v>
      </c>
      <c r="D79" s="387">
        <f>SUM(D80:D96)</f>
        <v>963167.55749999988</v>
      </c>
      <c r="E79" s="387"/>
      <c r="F79" s="647">
        <f t="shared" si="4"/>
        <v>8924217.2891959883</v>
      </c>
      <c r="G79" s="387">
        <f>SUM(G80:G96)</f>
        <v>7144658.7453959892</v>
      </c>
      <c r="H79" s="387">
        <f>SUM(H80:H96)</f>
        <v>1779558.5437999992</v>
      </c>
      <c r="I79" s="387"/>
      <c r="J79" s="387">
        <f>SUM(J80:J96)</f>
        <v>19126765</v>
      </c>
      <c r="K79" s="387">
        <f>SUM(K80:K96)</f>
        <v>20668283.130000003</v>
      </c>
      <c r="L79" s="387">
        <f>SUM(L80:L96)</f>
        <v>29304498.352999996</v>
      </c>
      <c r="M79" s="387">
        <f>SUM(M80:M96)</f>
        <v>40394300.451000005</v>
      </c>
      <c r="N79" s="655" t="s">
        <v>278</v>
      </c>
      <c r="O79" s="650"/>
      <c r="P79" s="651"/>
      <c r="R79" s="651"/>
    </row>
    <row r="80" spans="1:18" s="652" customFormat="1" x14ac:dyDescent="0.25">
      <c r="A80" s="656" t="s">
        <v>445</v>
      </c>
      <c r="B80" s="646">
        <f t="shared" si="3"/>
        <v>825964.42</v>
      </c>
      <c r="C80" s="433">
        <v>537470.52</v>
      </c>
      <c r="D80" s="433">
        <v>288493.90000000002</v>
      </c>
      <c r="E80" s="433"/>
      <c r="F80" s="647">
        <f t="shared" si="4"/>
        <v>1242715.9795999969</v>
      </c>
      <c r="G80" s="433">
        <v>963642.63999999803</v>
      </c>
      <c r="H80" s="433">
        <v>279073.33959999902</v>
      </c>
      <c r="I80" s="433"/>
      <c r="J80" s="433">
        <v>1849428</v>
      </c>
      <c r="K80" s="433">
        <v>2039674.01</v>
      </c>
      <c r="L80" s="433">
        <v>2308805</v>
      </c>
      <c r="M80" s="433">
        <v>2929837.51</v>
      </c>
      <c r="N80" s="657" t="s">
        <v>446</v>
      </c>
      <c r="O80" s="650"/>
      <c r="P80" s="651"/>
      <c r="R80" s="651"/>
    </row>
    <row r="81" spans="1:18" s="652" customFormat="1" x14ac:dyDescent="0.25">
      <c r="A81" s="656" t="s">
        <v>447</v>
      </c>
      <c r="B81" s="646">
        <f t="shared" si="3"/>
        <v>121122.81</v>
      </c>
      <c r="C81" s="433">
        <v>120024.06</v>
      </c>
      <c r="D81" s="433">
        <v>1098.75</v>
      </c>
      <c r="E81" s="433"/>
      <c r="F81" s="647">
        <f t="shared" si="4"/>
        <v>204407.88</v>
      </c>
      <c r="G81" s="433">
        <v>204407.88</v>
      </c>
      <c r="H81" s="433" t="s">
        <v>199</v>
      </c>
      <c r="I81" s="433"/>
      <c r="J81" s="433">
        <v>35277</v>
      </c>
      <c r="K81" s="433">
        <v>11215</v>
      </c>
      <c r="L81" s="433">
        <v>28645</v>
      </c>
      <c r="M81" s="433">
        <v>82831.460000000006</v>
      </c>
      <c r="N81" s="657" t="s">
        <v>448</v>
      </c>
      <c r="O81" s="650"/>
      <c r="P81" s="651"/>
      <c r="R81" s="651"/>
    </row>
    <row r="82" spans="1:18" s="652" customFormat="1" x14ac:dyDescent="0.25">
      <c r="A82" s="656" t="s">
        <v>449</v>
      </c>
      <c r="B82" s="646">
        <f t="shared" si="3"/>
        <v>374468.14</v>
      </c>
      <c r="C82" s="433">
        <v>363546.57</v>
      </c>
      <c r="D82" s="433">
        <v>10921.57</v>
      </c>
      <c r="E82" s="433"/>
      <c r="F82" s="647">
        <f t="shared" si="4"/>
        <v>667888.15419999894</v>
      </c>
      <c r="G82" s="433">
        <v>568710.09999999893</v>
      </c>
      <c r="H82" s="433">
        <v>99178.054199999999</v>
      </c>
      <c r="I82" s="433"/>
      <c r="J82" s="433">
        <v>133529</v>
      </c>
      <c r="K82" s="433">
        <v>141348.59</v>
      </c>
      <c r="L82" s="433">
        <v>241235.84</v>
      </c>
      <c r="M82" s="433">
        <v>448564.03</v>
      </c>
      <c r="N82" s="657" t="s">
        <v>450</v>
      </c>
      <c r="O82" s="650"/>
      <c r="P82" s="651"/>
      <c r="R82" s="651"/>
    </row>
    <row r="83" spans="1:18" s="652" customFormat="1" x14ac:dyDescent="0.25">
      <c r="A83" s="656" t="s">
        <v>451</v>
      </c>
      <c r="B83" s="646">
        <f t="shared" si="3"/>
        <v>90963.59</v>
      </c>
      <c r="C83" s="433">
        <v>90963.59</v>
      </c>
      <c r="D83" s="433" t="s">
        <v>199</v>
      </c>
      <c r="E83" s="433"/>
      <c r="F83" s="647">
        <f t="shared" si="4"/>
        <v>190556.429999999</v>
      </c>
      <c r="G83" s="433">
        <v>190556.429999999</v>
      </c>
      <c r="H83" s="433" t="s">
        <v>199</v>
      </c>
      <c r="I83" s="433"/>
      <c r="J83" s="433">
        <v>10400</v>
      </c>
      <c r="K83" s="433">
        <v>13030</v>
      </c>
      <c r="L83" s="433">
        <v>53005</v>
      </c>
      <c r="M83" s="433">
        <v>158479.45000000001</v>
      </c>
      <c r="N83" s="657" t="s">
        <v>452</v>
      </c>
      <c r="O83" s="650"/>
      <c r="P83" s="651"/>
      <c r="R83" s="651"/>
    </row>
    <row r="84" spans="1:18" s="652" customFormat="1" x14ac:dyDescent="0.25">
      <c r="A84" s="656" t="s">
        <v>453</v>
      </c>
      <c r="B84" s="646">
        <f t="shared" si="3"/>
        <v>418435.26</v>
      </c>
      <c r="C84" s="433">
        <v>375081.38</v>
      </c>
      <c r="D84" s="433">
        <v>43353.88</v>
      </c>
      <c r="E84" s="433"/>
      <c r="F84" s="647">
        <f t="shared" si="4"/>
        <v>654448.33639999898</v>
      </c>
      <c r="G84" s="433">
        <v>597821.31999999902</v>
      </c>
      <c r="H84" s="433">
        <v>56627.0164</v>
      </c>
      <c r="I84" s="433"/>
      <c r="J84" s="433">
        <v>13652116</v>
      </c>
      <c r="K84" s="433">
        <v>14039888.07</v>
      </c>
      <c r="L84" s="433">
        <v>19260786.272999998</v>
      </c>
      <c r="M84" s="433">
        <v>23992138.561000001</v>
      </c>
      <c r="N84" s="657" t="s">
        <v>454</v>
      </c>
      <c r="O84" s="650"/>
      <c r="P84" s="651"/>
      <c r="R84" s="651"/>
    </row>
    <row r="85" spans="1:18" s="652" customFormat="1" x14ac:dyDescent="0.25">
      <c r="A85" s="656" t="s">
        <v>1060</v>
      </c>
      <c r="B85" s="646">
        <f t="shared" si="3"/>
        <v>659099.12</v>
      </c>
      <c r="C85" s="433">
        <v>463014.19</v>
      </c>
      <c r="D85" s="433">
        <v>196084.93</v>
      </c>
      <c r="E85" s="433"/>
      <c r="F85" s="647">
        <f t="shared" si="4"/>
        <v>1596558.1193999979</v>
      </c>
      <c r="G85" s="433">
        <v>1028811.9699999979</v>
      </c>
      <c r="H85" s="433">
        <v>567746.14939999999</v>
      </c>
      <c r="I85" s="433"/>
      <c r="J85" s="433">
        <v>823948</v>
      </c>
      <c r="K85" s="433">
        <v>1040279.34</v>
      </c>
      <c r="L85" s="433">
        <v>1621450.36</v>
      </c>
      <c r="M85" s="433">
        <v>2303823.92</v>
      </c>
      <c r="N85" s="658" t="s">
        <v>1061</v>
      </c>
      <c r="O85" s="650"/>
      <c r="P85" s="651"/>
      <c r="R85" s="651"/>
    </row>
    <row r="86" spans="1:18" s="652" customFormat="1" x14ac:dyDescent="0.25">
      <c r="A86" s="656" t="s">
        <v>1062</v>
      </c>
      <c r="B86" s="646"/>
      <c r="C86" s="433" t="s">
        <v>199</v>
      </c>
      <c r="D86" s="433" t="s">
        <v>199</v>
      </c>
      <c r="E86" s="433"/>
      <c r="F86" s="647">
        <f t="shared" si="4"/>
        <v>1053.4000000000001</v>
      </c>
      <c r="G86" s="433">
        <v>1053.4000000000001</v>
      </c>
      <c r="H86" s="433" t="s">
        <v>199</v>
      </c>
      <c r="I86" s="433"/>
      <c r="J86" s="433">
        <v>0</v>
      </c>
      <c r="K86" s="433">
        <v>0</v>
      </c>
      <c r="L86" s="433">
        <v>427180.2</v>
      </c>
      <c r="M86" s="433">
        <v>1634144.96</v>
      </c>
      <c r="N86" s="657" t="s">
        <v>458</v>
      </c>
      <c r="O86" s="651"/>
      <c r="P86" s="651"/>
      <c r="R86" s="651"/>
    </row>
    <row r="87" spans="1:18" s="652" customFormat="1" x14ac:dyDescent="0.25">
      <c r="A87" s="656" t="s">
        <v>459</v>
      </c>
      <c r="B87" s="646">
        <f t="shared" si="3"/>
        <v>181520.484</v>
      </c>
      <c r="C87" s="433">
        <v>146034.29999999999</v>
      </c>
      <c r="D87" s="433">
        <v>35486.184000000001</v>
      </c>
      <c r="E87" s="433"/>
      <c r="F87" s="647">
        <f t="shared" si="4"/>
        <v>343342.03</v>
      </c>
      <c r="G87" s="433">
        <v>343342.03</v>
      </c>
      <c r="H87" s="433" t="s">
        <v>199</v>
      </c>
      <c r="I87" s="433"/>
      <c r="J87" s="433">
        <v>95961</v>
      </c>
      <c r="K87" s="433">
        <v>129157.3</v>
      </c>
      <c r="L87" s="433">
        <v>236449.36</v>
      </c>
      <c r="M87" s="433">
        <v>406044.4</v>
      </c>
      <c r="N87" s="657" t="s">
        <v>460</v>
      </c>
      <c r="O87" s="651"/>
      <c r="P87" s="651"/>
      <c r="R87" s="651"/>
    </row>
    <row r="88" spans="1:18" s="652" customFormat="1" x14ac:dyDescent="0.25">
      <c r="A88" s="656" t="s">
        <v>461</v>
      </c>
      <c r="B88" s="646">
        <f t="shared" si="3"/>
        <v>286652.65999999997</v>
      </c>
      <c r="C88" s="433">
        <v>286652.65999999997</v>
      </c>
      <c r="D88" s="433" t="s">
        <v>199</v>
      </c>
      <c r="E88" s="433"/>
      <c r="F88" s="647">
        <f t="shared" si="4"/>
        <v>691563.47080000001</v>
      </c>
      <c r="G88" s="433">
        <v>459170.18</v>
      </c>
      <c r="H88" s="433">
        <v>232393.29079999999</v>
      </c>
      <c r="I88" s="433"/>
      <c r="J88" s="433">
        <v>93113</v>
      </c>
      <c r="K88" s="433">
        <v>121477</v>
      </c>
      <c r="L88" s="433">
        <v>182173</v>
      </c>
      <c r="M88" s="433">
        <v>262477.98</v>
      </c>
      <c r="N88" s="657" t="s">
        <v>462</v>
      </c>
      <c r="O88" s="651"/>
      <c r="P88" s="651"/>
      <c r="R88" s="651"/>
    </row>
    <row r="89" spans="1:18" s="652" customFormat="1" x14ac:dyDescent="0.25">
      <c r="A89" s="656" t="s">
        <v>463</v>
      </c>
      <c r="B89" s="646">
        <f t="shared" si="3"/>
        <v>202623.31</v>
      </c>
      <c r="C89" s="433">
        <v>168976.35</v>
      </c>
      <c r="D89" s="433">
        <v>33646.959999999999</v>
      </c>
      <c r="E89" s="433"/>
      <c r="F89" s="647">
        <f t="shared" si="4"/>
        <v>460074.695396</v>
      </c>
      <c r="G89" s="433">
        <v>454484.945396</v>
      </c>
      <c r="H89" s="433">
        <v>5589.75</v>
      </c>
      <c r="I89" s="433"/>
      <c r="J89" s="433">
        <v>100080</v>
      </c>
      <c r="K89" s="433">
        <v>141250</v>
      </c>
      <c r="L89" s="433">
        <v>137990.70000000001</v>
      </c>
      <c r="M89" s="433">
        <v>455179.47</v>
      </c>
      <c r="N89" s="657" t="s">
        <v>464</v>
      </c>
      <c r="O89" s="651"/>
      <c r="P89" s="651"/>
      <c r="R89" s="651"/>
    </row>
    <row r="90" spans="1:18" s="652" customFormat="1" x14ac:dyDescent="0.25">
      <c r="A90" s="656" t="s">
        <v>465</v>
      </c>
      <c r="B90" s="646">
        <f t="shared" si="3"/>
        <v>373757.897</v>
      </c>
      <c r="C90" s="433">
        <v>303552.03999999998</v>
      </c>
      <c r="D90" s="433">
        <v>70205.857000000004</v>
      </c>
      <c r="E90" s="433"/>
      <c r="F90" s="647">
        <f t="shared" si="4"/>
        <v>547495.55700000003</v>
      </c>
      <c r="G90" s="433">
        <v>413419.76</v>
      </c>
      <c r="H90" s="433">
        <v>134075.79699999999</v>
      </c>
      <c r="I90" s="433"/>
      <c r="J90" s="433">
        <v>345215</v>
      </c>
      <c r="K90" s="433">
        <v>602496.59</v>
      </c>
      <c r="L90" s="433">
        <v>1194051.29</v>
      </c>
      <c r="M90" s="433">
        <v>1654839.11</v>
      </c>
      <c r="N90" s="657" t="s">
        <v>466</v>
      </c>
      <c r="O90" s="651"/>
      <c r="P90" s="651"/>
      <c r="R90" s="651"/>
    </row>
    <row r="91" spans="1:18" s="652" customFormat="1" x14ac:dyDescent="0.25">
      <c r="A91" s="656" t="s">
        <v>467</v>
      </c>
      <c r="B91" s="646">
        <f t="shared" si="3"/>
        <v>482286.29649999994</v>
      </c>
      <c r="C91" s="433">
        <v>350218.23</v>
      </c>
      <c r="D91" s="433">
        <v>132068.06649999999</v>
      </c>
      <c r="E91" s="433"/>
      <c r="F91" s="647">
        <f t="shared" si="4"/>
        <v>717131.282799999</v>
      </c>
      <c r="G91" s="433">
        <v>635068.50999999896</v>
      </c>
      <c r="H91" s="433">
        <v>82062.772800000006</v>
      </c>
      <c r="I91" s="433"/>
      <c r="J91" s="433">
        <v>359831</v>
      </c>
      <c r="K91" s="433">
        <v>429456.89999999898</v>
      </c>
      <c r="L91" s="433">
        <v>950579.85</v>
      </c>
      <c r="M91" s="433">
        <v>1759178.74</v>
      </c>
      <c r="N91" s="657" t="s">
        <v>468</v>
      </c>
      <c r="O91" s="651"/>
      <c r="P91" s="651"/>
      <c r="R91" s="651"/>
    </row>
    <row r="92" spans="1:18" s="652" customFormat="1" x14ac:dyDescent="0.25">
      <c r="A92" s="656" t="s">
        <v>469</v>
      </c>
      <c r="B92" s="646">
        <f t="shared" si="3"/>
        <v>53138.46</v>
      </c>
      <c r="C92" s="433">
        <v>53138.46</v>
      </c>
      <c r="D92" s="433" t="s">
        <v>199</v>
      </c>
      <c r="E92" s="433"/>
      <c r="F92" s="647">
        <f t="shared" si="4"/>
        <v>138737.89999999898</v>
      </c>
      <c r="G92" s="433">
        <v>138737.89999999898</v>
      </c>
      <c r="H92" s="433" t="s">
        <v>199</v>
      </c>
      <c r="I92" s="433"/>
      <c r="J92" s="433">
        <v>0</v>
      </c>
      <c r="K92" s="433">
        <v>0</v>
      </c>
      <c r="L92" s="433">
        <v>17940</v>
      </c>
      <c r="M92" s="433">
        <v>150063.57</v>
      </c>
      <c r="N92" s="657" t="s">
        <v>470</v>
      </c>
      <c r="O92" s="651"/>
      <c r="P92" s="651"/>
      <c r="R92" s="651"/>
    </row>
    <row r="93" spans="1:18" s="652" customFormat="1" x14ac:dyDescent="0.25">
      <c r="A93" s="656" t="s">
        <v>471</v>
      </c>
      <c r="B93" s="646">
        <f t="shared" si="3"/>
        <v>409513.37</v>
      </c>
      <c r="C93" s="433">
        <v>327452.68</v>
      </c>
      <c r="D93" s="433">
        <v>82060.69</v>
      </c>
      <c r="E93" s="433"/>
      <c r="F93" s="647">
        <f t="shared" si="4"/>
        <v>642085.41479999991</v>
      </c>
      <c r="G93" s="433">
        <v>549317.68999999994</v>
      </c>
      <c r="H93" s="433">
        <v>92767.724799999996</v>
      </c>
      <c r="I93" s="433"/>
      <c r="J93" s="433">
        <v>354403</v>
      </c>
      <c r="K93" s="433">
        <v>326252</v>
      </c>
      <c r="L93" s="433">
        <v>710064.3</v>
      </c>
      <c r="M93" s="433">
        <v>1206728.29</v>
      </c>
      <c r="N93" s="657" t="s">
        <v>472</v>
      </c>
      <c r="O93" s="650"/>
      <c r="P93" s="651"/>
      <c r="R93" s="651"/>
    </row>
    <row r="94" spans="1:18" s="652" customFormat="1" x14ac:dyDescent="0.25">
      <c r="A94" s="656" t="s">
        <v>473</v>
      </c>
      <c r="B94" s="646">
        <f t="shared" si="3"/>
        <v>152231.08000000002</v>
      </c>
      <c r="C94" s="433">
        <v>113461.91</v>
      </c>
      <c r="D94" s="433">
        <v>38769.17</v>
      </c>
      <c r="E94" s="433"/>
      <c r="F94" s="647">
        <f t="shared" si="4"/>
        <v>275820.99710000004</v>
      </c>
      <c r="G94" s="433">
        <v>156731.26</v>
      </c>
      <c r="H94" s="433">
        <v>119089.7371</v>
      </c>
      <c r="I94" s="433"/>
      <c r="J94" s="433">
        <v>81550</v>
      </c>
      <c r="K94" s="433">
        <v>136490</v>
      </c>
      <c r="L94" s="433">
        <v>209698.75</v>
      </c>
      <c r="M94" s="433">
        <v>217974.82</v>
      </c>
      <c r="N94" s="657" t="s">
        <v>474</v>
      </c>
      <c r="O94" s="650"/>
      <c r="P94" s="651"/>
      <c r="R94" s="651"/>
    </row>
    <row r="95" spans="1:18" s="652" customFormat="1" x14ac:dyDescent="0.25">
      <c r="A95" s="656" t="s">
        <v>475</v>
      </c>
      <c r="B95" s="646">
        <f t="shared" si="3"/>
        <v>206951.04000000001</v>
      </c>
      <c r="C95" s="433">
        <v>175973.44</v>
      </c>
      <c r="D95" s="433">
        <v>30977.599999999999</v>
      </c>
      <c r="E95" s="433"/>
      <c r="F95" s="647">
        <f t="shared" si="4"/>
        <v>540885.72169999999</v>
      </c>
      <c r="G95" s="433">
        <v>429930.81</v>
      </c>
      <c r="H95" s="433">
        <v>110954.9117</v>
      </c>
      <c r="I95" s="433"/>
      <c r="J95" s="433">
        <v>1191914</v>
      </c>
      <c r="K95" s="433">
        <v>1496268.33</v>
      </c>
      <c r="L95" s="433">
        <v>1724443.43</v>
      </c>
      <c r="M95" s="433">
        <v>2731994.18</v>
      </c>
      <c r="N95" s="657" t="s">
        <v>476</v>
      </c>
      <c r="O95" s="650"/>
      <c r="P95" s="651"/>
      <c r="R95" s="651"/>
    </row>
    <row r="96" spans="1:18" s="652" customFormat="1" ht="17.25" x14ac:dyDescent="0.25">
      <c r="A96" s="656" t="s">
        <v>807</v>
      </c>
      <c r="B96" s="646">
        <f t="shared" si="3"/>
        <v>1883.6</v>
      </c>
      <c r="C96" s="433">
        <v>1883.6</v>
      </c>
      <c r="D96" s="433" t="s">
        <v>199</v>
      </c>
      <c r="E96" s="433"/>
      <c r="F96" s="647">
        <f t="shared" si="4"/>
        <v>9451.9199999999892</v>
      </c>
      <c r="G96" s="433">
        <v>9451.9199999999892</v>
      </c>
      <c r="H96" s="433" t="s">
        <v>199</v>
      </c>
      <c r="I96" s="433"/>
      <c r="J96" s="433"/>
      <c r="K96" s="433">
        <v>0</v>
      </c>
      <c r="L96" s="433">
        <v>0</v>
      </c>
      <c r="M96" s="433">
        <v>0</v>
      </c>
      <c r="N96" s="659" t="s">
        <v>808</v>
      </c>
      <c r="O96" s="650"/>
      <c r="P96" s="651"/>
      <c r="R96" s="651"/>
    </row>
    <row r="97" spans="1:18" s="652" customFormat="1" ht="12" customHeight="1" x14ac:dyDescent="0.25">
      <c r="A97" s="656"/>
      <c r="B97" s="646"/>
      <c r="C97" s="433"/>
      <c r="D97" s="433"/>
      <c r="E97" s="433"/>
      <c r="F97" s="647"/>
      <c r="G97" s="433"/>
      <c r="H97" s="433"/>
      <c r="I97" s="433"/>
      <c r="J97" s="433"/>
      <c r="K97" s="433"/>
      <c r="L97" s="433"/>
      <c r="M97" s="433"/>
      <c r="N97" s="660"/>
      <c r="O97" s="650"/>
      <c r="P97" s="651"/>
      <c r="R97" s="651"/>
    </row>
    <row r="98" spans="1:18" s="652" customFormat="1" x14ac:dyDescent="0.25">
      <c r="A98" s="654" t="s">
        <v>279</v>
      </c>
      <c r="B98" s="646">
        <f t="shared" si="3"/>
        <v>4940124.7489999998</v>
      </c>
      <c r="C98" s="387">
        <f>SUM(C99:C111)</f>
        <v>4753614.66</v>
      </c>
      <c r="D98" s="387">
        <f>SUM(D99:D111)</f>
        <v>186510.08900000001</v>
      </c>
      <c r="E98" s="387"/>
      <c r="F98" s="647">
        <f t="shared" si="4"/>
        <v>9106537.9256169852</v>
      </c>
      <c r="G98" s="387">
        <f>SUM(G99:G111)</f>
        <v>8418459.732716985</v>
      </c>
      <c r="H98" s="387">
        <f>SUM(H99:H111)</f>
        <v>688078.19289999967</v>
      </c>
      <c r="I98" s="387"/>
      <c r="J98" s="387">
        <f>SUM(J99:J111)</f>
        <v>10273872</v>
      </c>
      <c r="K98" s="387">
        <f>SUM(K99:K111)</f>
        <v>9666175.0999999754</v>
      </c>
      <c r="L98" s="387">
        <f>SUM(L99:L111)</f>
        <v>15482386.66</v>
      </c>
      <c r="M98" s="387">
        <f>SUM(M99:M111)</f>
        <v>21675172.101000007</v>
      </c>
      <c r="N98" s="655" t="s">
        <v>280</v>
      </c>
      <c r="O98" s="650"/>
      <c r="P98" s="651"/>
      <c r="R98" s="651"/>
    </row>
    <row r="99" spans="1:18" s="652" customFormat="1" x14ac:dyDescent="0.25">
      <c r="A99" s="656" t="s">
        <v>477</v>
      </c>
      <c r="B99" s="646">
        <f t="shared" si="3"/>
        <v>300426.51</v>
      </c>
      <c r="C99" s="433">
        <v>253595.14</v>
      </c>
      <c r="D99" s="433">
        <v>46831.37</v>
      </c>
      <c r="E99" s="433"/>
      <c r="F99" s="647">
        <f t="shared" si="4"/>
        <v>557841.76759999886</v>
      </c>
      <c r="G99" s="433">
        <v>516712.53759999899</v>
      </c>
      <c r="H99" s="433">
        <v>41129.229999999901</v>
      </c>
      <c r="I99" s="433"/>
      <c r="J99" s="433">
        <v>174412</v>
      </c>
      <c r="K99" s="433">
        <v>158393.91999999899</v>
      </c>
      <c r="L99" s="433">
        <v>170837.14</v>
      </c>
      <c r="M99" s="433">
        <v>362232.12</v>
      </c>
      <c r="N99" s="657" t="s">
        <v>478</v>
      </c>
      <c r="O99" s="651"/>
      <c r="P99" s="651"/>
      <c r="R99" s="651"/>
    </row>
    <row r="100" spans="1:18" s="652" customFormat="1" x14ac:dyDescent="0.25">
      <c r="A100" s="656" t="s">
        <v>479</v>
      </c>
      <c r="B100" s="646">
        <f t="shared" si="3"/>
        <v>182871.33</v>
      </c>
      <c r="C100" s="433">
        <v>120476.45</v>
      </c>
      <c r="D100" s="433">
        <v>62394.879999999997</v>
      </c>
      <c r="E100" s="433"/>
      <c r="F100" s="647">
        <f t="shared" si="4"/>
        <v>195751.14</v>
      </c>
      <c r="G100" s="433">
        <v>165751.14000000001</v>
      </c>
      <c r="H100" s="433">
        <v>30000</v>
      </c>
      <c r="I100" s="433"/>
      <c r="J100" s="433">
        <v>8157</v>
      </c>
      <c r="K100" s="433">
        <v>6080.8199999999897</v>
      </c>
      <c r="L100" s="433">
        <v>61144.99</v>
      </c>
      <c r="M100" s="433">
        <v>383590.23</v>
      </c>
      <c r="N100" s="657" t="s">
        <v>480</v>
      </c>
      <c r="O100" s="651"/>
      <c r="P100" s="651"/>
      <c r="R100" s="651"/>
    </row>
    <row r="101" spans="1:18" s="652" customFormat="1" x14ac:dyDescent="0.25">
      <c r="A101" s="656" t="s">
        <v>481</v>
      </c>
      <c r="B101" s="646">
        <f t="shared" si="3"/>
        <v>190539.25</v>
      </c>
      <c r="C101" s="433">
        <v>190539.25</v>
      </c>
      <c r="D101" s="433" t="s">
        <v>199</v>
      </c>
      <c r="E101" s="433"/>
      <c r="F101" s="647">
        <f t="shared" si="4"/>
        <v>541776.57899999898</v>
      </c>
      <c r="G101" s="433">
        <v>511098.86999999901</v>
      </c>
      <c r="H101" s="433">
        <v>30677.708999999999</v>
      </c>
      <c r="I101" s="433"/>
      <c r="J101" s="433">
        <v>1049514</v>
      </c>
      <c r="K101" s="433">
        <v>1256411.8199999989</v>
      </c>
      <c r="L101" s="433">
        <v>1569339.82</v>
      </c>
      <c r="M101" s="433">
        <v>2128974.84</v>
      </c>
      <c r="N101" s="657" t="s">
        <v>482</v>
      </c>
      <c r="O101" s="651"/>
      <c r="P101" s="651"/>
      <c r="R101" s="651"/>
    </row>
    <row r="102" spans="1:18" s="652" customFormat="1" x14ac:dyDescent="0.25">
      <c r="A102" s="656" t="s">
        <v>483</v>
      </c>
      <c r="B102" s="646">
        <f t="shared" si="3"/>
        <v>104501.52</v>
      </c>
      <c r="C102" s="433">
        <v>104501.52</v>
      </c>
      <c r="D102" s="433" t="s">
        <v>199</v>
      </c>
      <c r="E102" s="433"/>
      <c r="F102" s="647">
        <f t="shared" si="4"/>
        <v>111956.22</v>
      </c>
      <c r="G102" s="433">
        <v>111956.22</v>
      </c>
      <c r="H102" s="433" t="s">
        <v>199</v>
      </c>
      <c r="I102" s="433"/>
      <c r="J102" s="433">
        <v>0</v>
      </c>
      <c r="K102" s="433">
        <v>12908.9</v>
      </c>
      <c r="L102" s="433">
        <v>45417.67</v>
      </c>
      <c r="M102" s="433">
        <v>174813.16</v>
      </c>
      <c r="N102" s="657" t="s">
        <v>484</v>
      </c>
      <c r="O102" s="651"/>
      <c r="P102" s="651"/>
      <c r="R102" s="651"/>
    </row>
    <row r="103" spans="1:18" s="652" customFormat="1" x14ac:dyDescent="0.25">
      <c r="A103" s="656" t="s">
        <v>485</v>
      </c>
      <c r="B103" s="646">
        <f t="shared" si="3"/>
        <v>124169.17</v>
      </c>
      <c r="C103" s="433">
        <v>124169.17</v>
      </c>
      <c r="D103" s="433" t="s">
        <v>199</v>
      </c>
      <c r="E103" s="433"/>
      <c r="F103" s="647">
        <f t="shared" si="4"/>
        <v>184167.20999999897</v>
      </c>
      <c r="G103" s="433">
        <v>184167.20999999897</v>
      </c>
      <c r="H103" s="433" t="s">
        <v>199</v>
      </c>
      <c r="I103" s="433"/>
      <c r="J103" s="433">
        <v>0</v>
      </c>
      <c r="K103" s="433">
        <v>12176.25</v>
      </c>
      <c r="L103" s="433">
        <v>71157.56</v>
      </c>
      <c r="M103" s="433">
        <v>218391.37</v>
      </c>
      <c r="N103" s="657" t="s">
        <v>486</v>
      </c>
      <c r="O103" s="651"/>
      <c r="P103" s="651"/>
      <c r="R103" s="651"/>
    </row>
    <row r="104" spans="1:18" s="652" customFormat="1" x14ac:dyDescent="0.25">
      <c r="A104" s="656" t="s">
        <v>487</v>
      </c>
      <c r="B104" s="646">
        <f t="shared" si="3"/>
        <v>441310.25999999995</v>
      </c>
      <c r="C104" s="433">
        <v>435253.16</v>
      </c>
      <c r="D104" s="433">
        <v>6057.1</v>
      </c>
      <c r="E104" s="433"/>
      <c r="F104" s="647">
        <f t="shared" si="4"/>
        <v>645127.01439999789</v>
      </c>
      <c r="G104" s="433">
        <v>589949.83299999801</v>
      </c>
      <c r="H104" s="433">
        <v>55177.181399999899</v>
      </c>
      <c r="I104" s="433"/>
      <c r="J104" s="433">
        <v>427213</v>
      </c>
      <c r="K104" s="433">
        <v>475620.15999999898</v>
      </c>
      <c r="L104" s="433">
        <v>431435.39</v>
      </c>
      <c r="M104" s="433">
        <v>1185989.03</v>
      </c>
      <c r="N104" s="657" t="s">
        <v>488</v>
      </c>
      <c r="O104" s="651"/>
      <c r="P104" s="651"/>
      <c r="R104" s="651"/>
    </row>
    <row r="105" spans="1:18" s="652" customFormat="1" x14ac:dyDescent="0.25">
      <c r="A105" s="656" t="s">
        <v>489</v>
      </c>
      <c r="B105" s="646">
        <f t="shared" si="3"/>
        <v>208395.23</v>
      </c>
      <c r="C105" s="433">
        <v>208395.23</v>
      </c>
      <c r="D105" s="433" t="s">
        <v>199</v>
      </c>
      <c r="E105" s="433"/>
      <c r="F105" s="647">
        <f t="shared" si="4"/>
        <v>261143.93549999999</v>
      </c>
      <c r="G105" s="433">
        <v>261143.93549999999</v>
      </c>
      <c r="H105" s="433" t="s">
        <v>199</v>
      </c>
      <c r="I105" s="433"/>
      <c r="J105" s="433">
        <v>108702</v>
      </c>
      <c r="K105" s="433">
        <v>172132.61</v>
      </c>
      <c r="L105" s="433">
        <v>248420</v>
      </c>
      <c r="M105" s="433">
        <v>359272.72</v>
      </c>
      <c r="N105" s="657" t="s">
        <v>490</v>
      </c>
      <c r="O105" s="651"/>
      <c r="P105" s="651"/>
      <c r="R105" s="651"/>
    </row>
    <row r="106" spans="1:18" s="652" customFormat="1" x14ac:dyDescent="0.25">
      <c r="A106" s="656" t="s">
        <v>491</v>
      </c>
      <c r="B106" s="646">
        <f t="shared" si="3"/>
        <v>1569465.6099999999</v>
      </c>
      <c r="C106" s="433">
        <v>1537200.92</v>
      </c>
      <c r="D106" s="433">
        <v>32264.69</v>
      </c>
      <c r="E106" s="433"/>
      <c r="F106" s="647">
        <f t="shared" si="4"/>
        <v>2130867.0562</v>
      </c>
      <c r="G106" s="433">
        <v>1975679.25</v>
      </c>
      <c r="H106" s="433">
        <v>155187.80619999999</v>
      </c>
      <c r="I106" s="433"/>
      <c r="J106" s="433">
        <v>5422842</v>
      </c>
      <c r="K106" s="433">
        <v>4906160.1999999899</v>
      </c>
      <c r="L106" s="433">
        <v>8875930.7599999998</v>
      </c>
      <c r="M106" s="433">
        <v>11092706.071</v>
      </c>
      <c r="N106" s="657" t="s">
        <v>492</v>
      </c>
      <c r="O106" s="651"/>
      <c r="P106" s="651"/>
      <c r="R106" s="651"/>
    </row>
    <row r="107" spans="1:18" s="652" customFormat="1" x14ac:dyDescent="0.25">
      <c r="A107" s="656" t="s">
        <v>493</v>
      </c>
      <c r="B107" s="646">
        <f t="shared" si="3"/>
        <v>928523.5</v>
      </c>
      <c r="C107" s="433">
        <v>902266.98</v>
      </c>
      <c r="D107" s="433">
        <v>26256.52</v>
      </c>
      <c r="E107" s="433"/>
      <c r="F107" s="647">
        <f t="shared" si="4"/>
        <v>2573988.8990170001</v>
      </c>
      <c r="G107" s="433">
        <v>2380017.6966170003</v>
      </c>
      <c r="H107" s="433">
        <v>193971.20240000001</v>
      </c>
      <c r="I107" s="433"/>
      <c r="J107" s="433">
        <v>2258058</v>
      </c>
      <c r="K107" s="433">
        <v>1716123.0799999898</v>
      </c>
      <c r="L107" s="433">
        <v>2619512.86</v>
      </c>
      <c r="M107" s="433">
        <v>3385799.49</v>
      </c>
      <c r="N107" s="657" t="s">
        <v>494</v>
      </c>
      <c r="O107" s="650"/>
      <c r="P107" s="651"/>
      <c r="R107" s="651"/>
    </row>
    <row r="108" spans="1:18" s="652" customFormat="1" x14ac:dyDescent="0.25">
      <c r="A108" s="656" t="s">
        <v>495</v>
      </c>
      <c r="B108" s="646">
        <f t="shared" si="3"/>
        <v>519784.56</v>
      </c>
      <c r="C108" s="433">
        <v>514579.96</v>
      </c>
      <c r="D108" s="433">
        <v>5204.6000000000004</v>
      </c>
      <c r="E108" s="433"/>
      <c r="F108" s="647">
        <f t="shared" si="4"/>
        <v>1196760.06069999</v>
      </c>
      <c r="G108" s="433">
        <v>1086358.1499999901</v>
      </c>
      <c r="H108" s="433">
        <v>110401.91069999999</v>
      </c>
      <c r="I108" s="433"/>
      <c r="J108" s="433">
        <v>511716</v>
      </c>
      <c r="K108" s="433">
        <v>544674.91999999993</v>
      </c>
      <c r="L108" s="433">
        <v>773734.9</v>
      </c>
      <c r="M108" s="433">
        <v>1305030.6000000001</v>
      </c>
      <c r="N108" s="657" t="s">
        <v>496</v>
      </c>
      <c r="O108" s="650"/>
      <c r="P108" s="651"/>
      <c r="R108" s="651"/>
    </row>
    <row r="109" spans="1:18" s="652" customFormat="1" x14ac:dyDescent="0.25">
      <c r="A109" s="656" t="s">
        <v>497</v>
      </c>
      <c r="B109" s="646">
        <f t="shared" si="3"/>
        <v>70688.27</v>
      </c>
      <c r="C109" s="433">
        <v>70688.27</v>
      </c>
      <c r="D109" s="433" t="s">
        <v>199</v>
      </c>
      <c r="E109" s="433"/>
      <c r="F109" s="647">
        <f t="shared" si="4"/>
        <v>201514.4632</v>
      </c>
      <c r="G109" s="433">
        <v>159981.31</v>
      </c>
      <c r="H109" s="433">
        <v>41533.153200000001</v>
      </c>
      <c r="I109" s="433"/>
      <c r="J109" s="433">
        <v>0</v>
      </c>
      <c r="K109" s="433">
        <v>1544.1599999999901</v>
      </c>
      <c r="L109" s="433">
        <v>5200</v>
      </c>
      <c r="M109" s="433">
        <v>60645.599999999999</v>
      </c>
      <c r="N109" s="657" t="s">
        <v>498</v>
      </c>
      <c r="O109" s="650"/>
      <c r="P109" s="651"/>
      <c r="R109" s="651"/>
    </row>
    <row r="110" spans="1:18" s="652" customFormat="1" x14ac:dyDescent="0.25">
      <c r="A110" s="656" t="s">
        <v>499</v>
      </c>
      <c r="B110" s="646">
        <f t="shared" si="3"/>
        <v>71372.548999999999</v>
      </c>
      <c r="C110" s="433">
        <v>63871.62</v>
      </c>
      <c r="D110" s="433">
        <v>7500.9290000000001</v>
      </c>
      <c r="E110" s="433"/>
      <c r="F110" s="647">
        <f t="shared" si="4"/>
        <v>160312.26999999999</v>
      </c>
      <c r="G110" s="433">
        <v>130312.26999999999</v>
      </c>
      <c r="H110" s="433">
        <v>30000</v>
      </c>
      <c r="I110" s="433"/>
      <c r="J110" s="433">
        <v>0</v>
      </c>
      <c r="K110" s="433">
        <v>100</v>
      </c>
      <c r="L110" s="433">
        <v>5240</v>
      </c>
      <c r="M110" s="433">
        <v>26717.51</v>
      </c>
      <c r="N110" s="657" t="s">
        <v>500</v>
      </c>
      <c r="O110" s="650"/>
      <c r="P110" s="651"/>
      <c r="R110" s="651"/>
    </row>
    <row r="111" spans="1:18" s="652" customFormat="1" x14ac:dyDescent="0.25">
      <c r="A111" s="656" t="s">
        <v>395</v>
      </c>
      <c r="B111" s="646">
        <f t="shared" si="3"/>
        <v>228076.99</v>
      </c>
      <c r="C111" s="433">
        <v>228076.99</v>
      </c>
      <c r="D111" s="433" t="s">
        <v>199</v>
      </c>
      <c r="E111" s="433"/>
      <c r="F111" s="647">
        <f t="shared" si="4"/>
        <v>345331.31</v>
      </c>
      <c r="G111" s="433">
        <v>345331.31</v>
      </c>
      <c r="H111" s="433"/>
      <c r="I111" s="433"/>
      <c r="J111" s="433">
        <v>313258</v>
      </c>
      <c r="K111" s="433">
        <v>403848.26</v>
      </c>
      <c r="L111" s="433">
        <v>605015.56999999995</v>
      </c>
      <c r="M111" s="433">
        <v>991009.36</v>
      </c>
      <c r="N111" s="657" t="s">
        <v>396</v>
      </c>
      <c r="O111" s="651"/>
      <c r="P111" s="651"/>
      <c r="R111" s="651"/>
    </row>
    <row r="112" spans="1:18" s="652" customFormat="1" ht="6" customHeight="1" x14ac:dyDescent="0.25">
      <c r="A112" s="656"/>
      <c r="B112" s="646"/>
      <c r="C112" s="433"/>
      <c r="D112" s="433"/>
      <c r="E112" s="433"/>
      <c r="F112" s="647"/>
      <c r="G112" s="433"/>
      <c r="H112" s="433"/>
      <c r="I112" s="433"/>
      <c r="J112" s="433"/>
      <c r="K112" s="433"/>
      <c r="L112" s="433"/>
      <c r="M112" s="433"/>
      <c r="N112" s="660"/>
      <c r="O112" s="651"/>
      <c r="P112" s="651"/>
      <c r="R112" s="651"/>
    </row>
    <row r="113" spans="1:18" s="652" customFormat="1" x14ac:dyDescent="0.25">
      <c r="A113" s="654" t="s">
        <v>281</v>
      </c>
      <c r="B113" s="646">
        <f t="shared" si="3"/>
        <v>6033668.5216999995</v>
      </c>
      <c r="C113" s="387">
        <f>SUM(C114:C118)</f>
        <v>5335350.8499999996</v>
      </c>
      <c r="D113" s="387">
        <f>SUM(D114:D117)</f>
        <v>698317.67170000006</v>
      </c>
      <c r="E113" s="387"/>
      <c r="F113" s="647">
        <f t="shared" si="4"/>
        <v>7587552.8982999995</v>
      </c>
      <c r="G113" s="387">
        <f>SUM(G114:G118)</f>
        <v>6887507.7994999997</v>
      </c>
      <c r="H113" s="387">
        <f>SUM(H114:H118)</f>
        <v>700045.09880000004</v>
      </c>
      <c r="I113" s="387"/>
      <c r="J113" s="387">
        <f>SUM(J114:J118)</f>
        <v>19693974</v>
      </c>
      <c r="K113" s="387">
        <f>SUM(K114:K118)</f>
        <v>17144245.799999919</v>
      </c>
      <c r="L113" s="387">
        <f>SUM(L114:L118)</f>
        <v>23688972.940000001</v>
      </c>
      <c r="M113" s="387">
        <f>SUM(M114:M118)</f>
        <v>27147750.809999999</v>
      </c>
      <c r="N113" s="655" t="s">
        <v>282</v>
      </c>
      <c r="O113" s="651"/>
      <c r="P113" s="651"/>
      <c r="R113" s="651"/>
    </row>
    <row r="114" spans="1:18" s="652" customFormat="1" x14ac:dyDescent="0.25">
      <c r="A114" s="656" t="s">
        <v>501</v>
      </c>
      <c r="B114" s="646">
        <f t="shared" si="3"/>
        <v>1991050.2417000001</v>
      </c>
      <c r="C114" s="433">
        <v>1558116.24</v>
      </c>
      <c r="D114" s="433">
        <v>432934.00170000002</v>
      </c>
      <c r="E114" s="433"/>
      <c r="F114" s="647">
        <f t="shared" si="4"/>
        <v>2487937.3207999999</v>
      </c>
      <c r="G114" s="433">
        <v>2145585.1949999998</v>
      </c>
      <c r="H114" s="433">
        <v>342352.12579999998</v>
      </c>
      <c r="I114" s="433"/>
      <c r="J114" s="433">
        <v>3810512</v>
      </c>
      <c r="K114" s="433">
        <v>4125961.3499999703</v>
      </c>
      <c r="L114" s="433">
        <v>5211588.9800000004</v>
      </c>
      <c r="M114" s="433">
        <v>5255065.95</v>
      </c>
      <c r="N114" s="657" t="s">
        <v>502</v>
      </c>
      <c r="O114" s="650"/>
      <c r="P114" s="651"/>
      <c r="R114" s="651"/>
    </row>
    <row r="115" spans="1:18" s="652" customFormat="1" x14ac:dyDescent="0.25">
      <c r="A115" s="656" t="s">
        <v>503</v>
      </c>
      <c r="B115" s="646">
        <f t="shared" si="3"/>
        <v>3209520.4540000004</v>
      </c>
      <c r="C115" s="433">
        <v>3046702.97</v>
      </c>
      <c r="D115" s="433">
        <v>162817.484</v>
      </c>
      <c r="E115" s="433"/>
      <c r="F115" s="647">
        <f t="shared" si="4"/>
        <v>3725337.2716000103</v>
      </c>
      <c r="G115" s="433">
        <v>3460259.0945000104</v>
      </c>
      <c r="H115" s="433">
        <v>265078.17709999997</v>
      </c>
      <c r="I115" s="433"/>
      <c r="J115" s="433">
        <v>12607569</v>
      </c>
      <c r="K115" s="433">
        <v>9868936.4599999487</v>
      </c>
      <c r="L115" s="433">
        <v>14589799.16</v>
      </c>
      <c r="M115" s="433">
        <v>18087255.73</v>
      </c>
      <c r="N115" s="657" t="s">
        <v>504</v>
      </c>
      <c r="O115" s="650"/>
      <c r="P115" s="651"/>
      <c r="R115" s="651"/>
    </row>
    <row r="116" spans="1:18" s="652" customFormat="1" x14ac:dyDescent="0.25">
      <c r="A116" s="656" t="s">
        <v>505</v>
      </c>
      <c r="B116" s="646">
        <f t="shared" si="3"/>
        <v>667227.326</v>
      </c>
      <c r="C116" s="433">
        <v>572319.22</v>
      </c>
      <c r="D116" s="433">
        <v>94908.106</v>
      </c>
      <c r="E116" s="433"/>
      <c r="F116" s="647">
        <f t="shared" si="4"/>
        <v>1196704.29589999</v>
      </c>
      <c r="G116" s="433">
        <v>1111622.1699999899</v>
      </c>
      <c r="H116" s="433">
        <v>85082.125899999999</v>
      </c>
      <c r="I116" s="433"/>
      <c r="J116" s="433">
        <v>3090679</v>
      </c>
      <c r="K116" s="433">
        <v>2906821.45</v>
      </c>
      <c r="L116" s="433">
        <v>3692388.03</v>
      </c>
      <c r="M116" s="433">
        <v>3325713.58</v>
      </c>
      <c r="N116" s="657" t="s">
        <v>506</v>
      </c>
      <c r="O116" s="650"/>
      <c r="P116" s="651"/>
      <c r="R116" s="651"/>
    </row>
    <row r="117" spans="1:18" s="652" customFormat="1" x14ac:dyDescent="0.25">
      <c r="A117" s="656" t="s">
        <v>507</v>
      </c>
      <c r="B117" s="646">
        <f t="shared" si="3"/>
        <v>165870.5</v>
      </c>
      <c r="C117" s="433">
        <v>158212.42000000001</v>
      </c>
      <c r="D117" s="433">
        <v>7658.08</v>
      </c>
      <c r="E117" s="433"/>
      <c r="F117" s="647">
        <f t="shared" si="4"/>
        <v>177326.21000000002</v>
      </c>
      <c r="G117" s="433">
        <v>169793.54</v>
      </c>
      <c r="H117" s="433">
        <v>7532.67</v>
      </c>
      <c r="I117" s="433"/>
      <c r="J117" s="433">
        <v>184529</v>
      </c>
      <c r="K117" s="433">
        <v>177945.59</v>
      </c>
      <c r="L117" s="433">
        <v>195196.77</v>
      </c>
      <c r="M117" s="433">
        <v>479715.55</v>
      </c>
      <c r="N117" s="657" t="s">
        <v>508</v>
      </c>
      <c r="O117" s="650"/>
      <c r="P117" s="651"/>
      <c r="R117" s="651"/>
    </row>
    <row r="118" spans="1:18" s="652" customFormat="1" x14ac:dyDescent="0.25">
      <c r="A118" s="656" t="s">
        <v>509</v>
      </c>
      <c r="B118" s="646"/>
      <c r="C118" s="433" t="s">
        <v>199</v>
      </c>
      <c r="D118" s="433" t="s">
        <v>199</v>
      </c>
      <c r="E118" s="433"/>
      <c r="F118" s="647">
        <f t="shared" si="4"/>
        <v>247.8</v>
      </c>
      <c r="G118" s="433">
        <v>247.8</v>
      </c>
      <c r="H118" s="433" t="s">
        <v>199</v>
      </c>
      <c r="I118" s="433"/>
      <c r="J118" s="433">
        <v>685</v>
      </c>
      <c r="K118" s="433">
        <v>64580.95</v>
      </c>
      <c r="L118" s="433"/>
      <c r="M118" s="433">
        <v>0</v>
      </c>
      <c r="N118" s="657" t="s">
        <v>510</v>
      </c>
      <c r="O118" s="650"/>
      <c r="P118" s="651"/>
      <c r="R118" s="651"/>
    </row>
    <row r="119" spans="1:18" s="652" customFormat="1" ht="7.5" customHeight="1" x14ac:dyDescent="0.25">
      <c r="A119" s="656"/>
      <c r="B119" s="646"/>
      <c r="C119" s="433"/>
      <c r="D119" s="433"/>
      <c r="E119" s="433"/>
      <c r="F119" s="647"/>
      <c r="G119" s="433"/>
      <c r="H119" s="433"/>
      <c r="I119" s="433"/>
      <c r="J119" s="433"/>
      <c r="K119" s="433"/>
      <c r="L119" s="433"/>
      <c r="M119" s="433"/>
      <c r="N119" s="660"/>
      <c r="O119" s="650"/>
      <c r="P119" s="651"/>
      <c r="R119" s="651"/>
    </row>
    <row r="120" spans="1:18" s="652" customFormat="1" x14ac:dyDescent="0.25">
      <c r="A120" s="654" t="s">
        <v>283</v>
      </c>
      <c r="B120" s="646">
        <f t="shared" si="3"/>
        <v>2697275.7549999999</v>
      </c>
      <c r="C120" s="387">
        <f>SUM(C121:C129)</f>
        <v>2495813.3199999998</v>
      </c>
      <c r="D120" s="387">
        <f>SUM(D121:D129)</f>
        <v>201462.43500000003</v>
      </c>
      <c r="E120" s="387"/>
      <c r="F120" s="647">
        <f t="shared" si="4"/>
        <v>4579405.779699997</v>
      </c>
      <c r="G120" s="387">
        <f>SUM(G121:G129)</f>
        <v>4075372.9319999972</v>
      </c>
      <c r="H120" s="387">
        <f>SUM(H121:H129)</f>
        <v>504032.84769999993</v>
      </c>
      <c r="I120" s="387"/>
      <c r="J120" s="387">
        <f>SUM(J121:J129)</f>
        <v>4089031</v>
      </c>
      <c r="K120" s="387">
        <f>SUM(K121:K129)</f>
        <v>4086512.3099999991</v>
      </c>
      <c r="L120" s="387">
        <f>SUM(L121:L129)</f>
        <v>7724957.6299999999</v>
      </c>
      <c r="M120" s="387">
        <f>SUM(M121:M129)</f>
        <v>12281541.290000001</v>
      </c>
      <c r="N120" s="655" t="s">
        <v>284</v>
      </c>
      <c r="O120" s="650"/>
      <c r="P120" s="651"/>
      <c r="R120" s="651"/>
    </row>
    <row r="121" spans="1:18" s="652" customFormat="1" x14ac:dyDescent="0.25">
      <c r="A121" s="656" t="s">
        <v>511</v>
      </c>
      <c r="B121" s="646">
        <f t="shared" si="3"/>
        <v>365078.86499999999</v>
      </c>
      <c r="C121" s="433">
        <v>323482.36</v>
      </c>
      <c r="D121" s="433">
        <v>41596.504999999997</v>
      </c>
      <c r="E121" s="433"/>
      <c r="F121" s="647">
        <f t="shared" si="4"/>
        <v>618353.82579999894</v>
      </c>
      <c r="G121" s="433">
        <v>614414.16999999899</v>
      </c>
      <c r="H121" s="433">
        <v>3939.6558</v>
      </c>
      <c r="I121" s="433"/>
      <c r="J121" s="433">
        <v>1502837</v>
      </c>
      <c r="K121" s="433">
        <v>965466.09000000008</v>
      </c>
      <c r="L121" s="433">
        <v>1686982.19</v>
      </c>
      <c r="M121" s="433">
        <v>2023441.13</v>
      </c>
      <c r="N121" s="657" t="s">
        <v>512</v>
      </c>
      <c r="O121" s="650"/>
      <c r="P121" s="651"/>
      <c r="R121" s="651"/>
    </row>
    <row r="122" spans="1:18" s="652" customFormat="1" x14ac:dyDescent="0.25">
      <c r="A122" s="656" t="s">
        <v>513</v>
      </c>
      <c r="B122" s="646">
        <f t="shared" si="3"/>
        <v>233139.88</v>
      </c>
      <c r="C122" s="433">
        <v>227974.1</v>
      </c>
      <c r="D122" s="433">
        <v>5165.78</v>
      </c>
      <c r="E122" s="433"/>
      <c r="F122" s="647">
        <f t="shared" si="4"/>
        <v>426777.78699999902</v>
      </c>
      <c r="G122" s="433">
        <v>425376.87999999902</v>
      </c>
      <c r="H122" s="433">
        <v>1400.9069999999999</v>
      </c>
      <c r="I122" s="433"/>
      <c r="J122" s="433">
        <v>299368</v>
      </c>
      <c r="K122" s="433">
        <v>542718.26</v>
      </c>
      <c r="L122" s="433">
        <v>785531.32</v>
      </c>
      <c r="M122" s="433">
        <v>880446.88</v>
      </c>
      <c r="N122" s="657" t="s">
        <v>514</v>
      </c>
      <c r="O122" s="651"/>
      <c r="P122" s="651"/>
      <c r="R122" s="651"/>
    </row>
    <row r="123" spans="1:18" s="652" customFormat="1" x14ac:dyDescent="0.25">
      <c r="A123" s="656" t="s">
        <v>515</v>
      </c>
      <c r="B123" s="646">
        <f t="shared" si="3"/>
        <v>288251.02</v>
      </c>
      <c r="C123" s="433">
        <v>192475.17</v>
      </c>
      <c r="D123" s="433">
        <v>95775.85</v>
      </c>
      <c r="E123" s="433"/>
      <c r="F123" s="647">
        <f t="shared" si="4"/>
        <v>490479.68999999994</v>
      </c>
      <c r="G123" s="433">
        <v>313259.32999999996</v>
      </c>
      <c r="H123" s="433">
        <v>177220.36</v>
      </c>
      <c r="I123" s="433"/>
      <c r="J123" s="433">
        <v>47308</v>
      </c>
      <c r="K123" s="433">
        <v>217667.25</v>
      </c>
      <c r="L123" s="433">
        <v>378379</v>
      </c>
      <c r="M123" s="433">
        <v>933943.47</v>
      </c>
      <c r="N123" s="657" t="s">
        <v>516</v>
      </c>
      <c r="O123" s="651"/>
      <c r="P123" s="651"/>
      <c r="R123" s="651"/>
    </row>
    <row r="124" spans="1:18" s="652" customFormat="1" x14ac:dyDescent="0.25">
      <c r="A124" s="656" t="s">
        <v>517</v>
      </c>
      <c r="B124" s="646">
        <f t="shared" si="3"/>
        <v>422997.52</v>
      </c>
      <c r="C124" s="433">
        <v>383877.71</v>
      </c>
      <c r="D124" s="433">
        <v>39119.81</v>
      </c>
      <c r="E124" s="433"/>
      <c r="F124" s="647">
        <f t="shared" si="4"/>
        <v>567946.89480000001</v>
      </c>
      <c r="G124" s="433">
        <v>517849.13199999998</v>
      </c>
      <c r="H124" s="433">
        <v>50097.762799999997</v>
      </c>
      <c r="I124" s="433"/>
      <c r="J124" s="433">
        <v>758702</v>
      </c>
      <c r="K124" s="433">
        <v>696462.35000000009</v>
      </c>
      <c r="L124" s="433">
        <v>1321672.06</v>
      </c>
      <c r="M124" s="433">
        <v>2358049.16</v>
      </c>
      <c r="N124" s="657" t="s">
        <v>518</v>
      </c>
      <c r="O124" s="651"/>
      <c r="P124" s="651"/>
      <c r="R124" s="651"/>
    </row>
    <row r="125" spans="1:18" s="652" customFormat="1" x14ac:dyDescent="0.25">
      <c r="A125" s="656" t="s">
        <v>519</v>
      </c>
      <c r="B125" s="646">
        <f t="shared" si="3"/>
        <v>211412.73</v>
      </c>
      <c r="C125" s="433">
        <v>211412.73</v>
      </c>
      <c r="D125" s="433" t="s">
        <v>199</v>
      </c>
      <c r="E125" s="433"/>
      <c r="F125" s="647">
        <f t="shared" si="4"/>
        <v>263496.51</v>
      </c>
      <c r="G125" s="433">
        <v>263496.51</v>
      </c>
      <c r="H125" s="433"/>
      <c r="I125" s="433"/>
      <c r="J125" s="433">
        <v>87875</v>
      </c>
      <c r="K125" s="433">
        <v>200325</v>
      </c>
      <c r="L125" s="433">
        <v>345484</v>
      </c>
      <c r="M125" s="433">
        <v>486100.11</v>
      </c>
      <c r="N125" s="657" t="s">
        <v>520</v>
      </c>
      <c r="O125" s="650"/>
      <c r="P125" s="651"/>
      <c r="R125" s="651"/>
    </row>
    <row r="126" spans="1:18" s="652" customFormat="1" x14ac:dyDescent="0.25">
      <c r="A126" s="656" t="s">
        <v>521</v>
      </c>
      <c r="B126" s="646">
        <f t="shared" si="3"/>
        <v>358777.88999999996</v>
      </c>
      <c r="C126" s="433">
        <v>348167.41</v>
      </c>
      <c r="D126" s="433">
        <v>10610.48</v>
      </c>
      <c r="E126" s="433"/>
      <c r="F126" s="647">
        <f t="shared" si="4"/>
        <v>678203.31960000005</v>
      </c>
      <c r="G126" s="433">
        <v>645545.6100000001</v>
      </c>
      <c r="H126" s="433">
        <v>32657.709599999998</v>
      </c>
      <c r="I126" s="433"/>
      <c r="J126" s="433">
        <v>43214</v>
      </c>
      <c r="K126" s="433">
        <v>179981.71999999898</v>
      </c>
      <c r="L126" s="433">
        <v>733764.13</v>
      </c>
      <c r="M126" s="433">
        <v>732587.88</v>
      </c>
      <c r="N126" s="657" t="s">
        <v>522</v>
      </c>
      <c r="O126" s="650"/>
      <c r="P126" s="651"/>
      <c r="R126" s="651"/>
    </row>
    <row r="127" spans="1:18" s="652" customFormat="1" x14ac:dyDescent="0.25">
      <c r="A127" s="656" t="s">
        <v>523</v>
      </c>
      <c r="B127" s="646">
        <f t="shared" si="3"/>
        <v>113760.14</v>
      </c>
      <c r="C127" s="433">
        <v>113760.14</v>
      </c>
      <c r="D127" s="433" t="s">
        <v>199</v>
      </c>
      <c r="E127" s="433"/>
      <c r="F127" s="647">
        <f t="shared" si="4"/>
        <v>291926.5184</v>
      </c>
      <c r="G127" s="433">
        <v>261858.51</v>
      </c>
      <c r="H127" s="433">
        <v>30068.008399999999</v>
      </c>
      <c r="I127" s="433"/>
      <c r="J127" s="433">
        <v>39909</v>
      </c>
      <c r="K127" s="433">
        <v>0</v>
      </c>
      <c r="L127" s="433">
        <v>188054.36</v>
      </c>
      <c r="M127" s="433">
        <v>311566.28000000003</v>
      </c>
      <c r="N127" s="657" t="s">
        <v>524</v>
      </c>
      <c r="O127" s="650"/>
      <c r="P127" s="651"/>
      <c r="R127" s="651"/>
    </row>
    <row r="128" spans="1:18" s="652" customFormat="1" x14ac:dyDescent="0.25">
      <c r="A128" s="656" t="s">
        <v>525</v>
      </c>
      <c r="B128" s="646">
        <f t="shared" si="3"/>
        <v>385384.01</v>
      </c>
      <c r="C128" s="433">
        <v>381929.03</v>
      </c>
      <c r="D128" s="433">
        <v>3454.98</v>
      </c>
      <c r="E128" s="433"/>
      <c r="F128" s="647">
        <f t="shared" si="4"/>
        <v>592539.11979999894</v>
      </c>
      <c r="G128" s="433">
        <v>515956.76999999897</v>
      </c>
      <c r="H128" s="433">
        <v>76582.349799999996</v>
      </c>
      <c r="I128" s="433"/>
      <c r="J128" s="433">
        <v>1084625</v>
      </c>
      <c r="K128" s="433">
        <v>945123</v>
      </c>
      <c r="L128" s="433">
        <v>1184284.1000000001</v>
      </c>
      <c r="M128" s="433">
        <v>1801720.99</v>
      </c>
      <c r="N128" s="657" t="s">
        <v>526</v>
      </c>
      <c r="O128" s="651"/>
      <c r="P128" s="651"/>
      <c r="R128" s="651"/>
    </row>
    <row r="129" spans="1:18" s="652" customFormat="1" x14ac:dyDescent="0.25">
      <c r="A129" s="656" t="s">
        <v>527</v>
      </c>
      <c r="B129" s="646">
        <f t="shared" si="3"/>
        <v>318473.7</v>
      </c>
      <c r="C129" s="433">
        <v>312734.67</v>
      </c>
      <c r="D129" s="433">
        <v>5739.03</v>
      </c>
      <c r="E129" s="433"/>
      <c r="F129" s="647">
        <f t="shared" si="4"/>
        <v>649682.11430000002</v>
      </c>
      <c r="G129" s="433">
        <v>517616.01999999996</v>
      </c>
      <c r="H129" s="433">
        <v>132066.0943</v>
      </c>
      <c r="I129" s="433"/>
      <c r="J129" s="433">
        <v>225193</v>
      </c>
      <c r="K129" s="433">
        <v>338768.64000000001</v>
      </c>
      <c r="L129" s="433">
        <v>1100806.47</v>
      </c>
      <c r="M129" s="433">
        <v>2753685.39</v>
      </c>
      <c r="N129" s="657" t="s">
        <v>528</v>
      </c>
      <c r="O129" s="651"/>
      <c r="P129" s="651"/>
      <c r="R129" s="651"/>
    </row>
    <row r="130" spans="1:18" s="652" customFormat="1" ht="7.5" customHeight="1" x14ac:dyDescent="0.25">
      <c r="A130" s="656"/>
      <c r="B130" s="646"/>
      <c r="C130" s="433"/>
      <c r="D130" s="433"/>
      <c r="E130" s="433"/>
      <c r="F130" s="647"/>
      <c r="G130" s="433"/>
      <c r="H130" s="433"/>
      <c r="I130" s="433"/>
      <c r="J130" s="433"/>
      <c r="K130" s="433"/>
      <c r="L130" s="433"/>
      <c r="M130" s="433"/>
      <c r="N130" s="660"/>
      <c r="O130" s="651"/>
      <c r="P130" s="651"/>
      <c r="R130" s="651"/>
    </row>
    <row r="131" spans="1:18" s="652" customFormat="1" x14ac:dyDescent="0.25">
      <c r="A131" s="654" t="s">
        <v>285</v>
      </c>
      <c r="B131" s="646">
        <f t="shared" si="3"/>
        <v>3604608.9539999999</v>
      </c>
      <c r="C131" s="387">
        <f>SUM(C132:C139)</f>
        <v>2775778.61</v>
      </c>
      <c r="D131" s="387">
        <f>SUM(D132:D139)</f>
        <v>828830.34400000004</v>
      </c>
      <c r="E131" s="387"/>
      <c r="F131" s="647">
        <f t="shared" si="4"/>
        <v>4425758.268899994</v>
      </c>
      <c r="G131" s="387">
        <f>SUM(G132:G139)</f>
        <v>3949250.7349999943</v>
      </c>
      <c r="H131" s="387">
        <f>SUM(H132:H139)</f>
        <v>476507.53389999992</v>
      </c>
      <c r="I131" s="387"/>
      <c r="J131" s="387">
        <f>SUM(J132:J139)</f>
        <v>4155717</v>
      </c>
      <c r="K131" s="387">
        <f>SUM(K132:K139)</f>
        <v>3627549.2800000003</v>
      </c>
      <c r="L131" s="387">
        <f>SUM(L132:L139)</f>
        <v>3540685.4400000004</v>
      </c>
      <c r="M131" s="387">
        <f>SUM(M132:M139)</f>
        <v>7471919.1500000004</v>
      </c>
      <c r="N131" s="655" t="s">
        <v>286</v>
      </c>
      <c r="O131" s="650"/>
      <c r="P131" s="651"/>
      <c r="R131" s="651"/>
    </row>
    <row r="132" spans="1:18" s="652" customFormat="1" x14ac:dyDescent="0.25">
      <c r="A132" s="656" t="s">
        <v>529</v>
      </c>
      <c r="B132" s="646">
        <f t="shared" si="3"/>
        <v>365312.98000000004</v>
      </c>
      <c r="C132" s="433">
        <v>289219.65000000002</v>
      </c>
      <c r="D132" s="433">
        <v>76093.33</v>
      </c>
      <c r="E132" s="433"/>
      <c r="F132" s="647">
        <f t="shared" si="4"/>
        <v>492691.45999999897</v>
      </c>
      <c r="G132" s="433">
        <v>469591.83999999898</v>
      </c>
      <c r="H132" s="433">
        <v>23099.62</v>
      </c>
      <c r="I132" s="433"/>
      <c r="J132" s="433">
        <v>699485</v>
      </c>
      <c r="K132" s="433">
        <v>754062.83000000007</v>
      </c>
      <c r="L132" s="433">
        <v>730184.88</v>
      </c>
      <c r="M132" s="433">
        <v>1616295.94</v>
      </c>
      <c r="N132" s="657" t="s">
        <v>530</v>
      </c>
      <c r="O132" s="650"/>
      <c r="P132" s="651"/>
      <c r="R132" s="651"/>
    </row>
    <row r="133" spans="1:18" s="652" customFormat="1" x14ac:dyDescent="0.25">
      <c r="A133" s="656" t="s">
        <v>531</v>
      </c>
      <c r="B133" s="646">
        <f t="shared" si="3"/>
        <v>473618.10499999998</v>
      </c>
      <c r="C133" s="433">
        <v>458643.97</v>
      </c>
      <c r="D133" s="433">
        <v>14974.135</v>
      </c>
      <c r="E133" s="433"/>
      <c r="F133" s="647">
        <f t="shared" si="4"/>
        <v>769290.54999999888</v>
      </c>
      <c r="G133" s="433">
        <v>691566.33999999904</v>
      </c>
      <c r="H133" s="433">
        <v>77724.209999999905</v>
      </c>
      <c r="I133" s="433"/>
      <c r="J133" s="433">
        <v>1432548</v>
      </c>
      <c r="K133" s="433">
        <v>1042876.26</v>
      </c>
      <c r="L133" s="433">
        <v>949970.55</v>
      </c>
      <c r="M133" s="433">
        <v>1979743.34</v>
      </c>
      <c r="N133" s="657" t="s">
        <v>532</v>
      </c>
      <c r="O133" s="650"/>
      <c r="P133" s="651"/>
      <c r="R133" s="651"/>
    </row>
    <row r="134" spans="1:18" s="652" customFormat="1" x14ac:dyDescent="0.25">
      <c r="A134" s="656" t="s">
        <v>533</v>
      </c>
      <c r="B134" s="646">
        <f t="shared" si="3"/>
        <v>772848.72900000005</v>
      </c>
      <c r="C134" s="433">
        <v>368747.49</v>
      </c>
      <c r="D134" s="433">
        <v>404101.239</v>
      </c>
      <c r="E134" s="433"/>
      <c r="F134" s="647">
        <f t="shared" si="4"/>
        <v>548013.09139999899</v>
      </c>
      <c r="G134" s="433">
        <v>418553.47999999899</v>
      </c>
      <c r="H134" s="433">
        <v>129459.61139999999</v>
      </c>
      <c r="I134" s="433"/>
      <c r="J134" s="433">
        <v>391073</v>
      </c>
      <c r="K134" s="433">
        <v>480687.19</v>
      </c>
      <c r="L134" s="433">
        <v>463996.78</v>
      </c>
      <c r="M134" s="433">
        <v>849612.67</v>
      </c>
      <c r="N134" s="657" t="s">
        <v>534</v>
      </c>
      <c r="O134" s="650"/>
      <c r="P134" s="651"/>
      <c r="R134" s="651"/>
    </row>
    <row r="135" spans="1:18" s="652" customFormat="1" x14ac:dyDescent="0.25">
      <c r="A135" s="656" t="s">
        <v>535</v>
      </c>
      <c r="B135" s="646">
        <f t="shared" si="3"/>
        <v>587146.02</v>
      </c>
      <c r="C135" s="433">
        <v>482441.23</v>
      </c>
      <c r="D135" s="433">
        <v>104704.79</v>
      </c>
      <c r="E135" s="433"/>
      <c r="F135" s="647">
        <f t="shared" si="4"/>
        <v>584699.68139999895</v>
      </c>
      <c r="G135" s="433">
        <v>584095.679999999</v>
      </c>
      <c r="H135" s="433">
        <v>604.00139999999999</v>
      </c>
      <c r="I135" s="433"/>
      <c r="J135" s="433">
        <v>385389</v>
      </c>
      <c r="K135" s="433">
        <v>296926.06</v>
      </c>
      <c r="L135" s="433">
        <v>330701.21000000002</v>
      </c>
      <c r="M135" s="433">
        <v>779524.99</v>
      </c>
      <c r="N135" s="657" t="s">
        <v>536</v>
      </c>
      <c r="O135" s="650"/>
      <c r="P135" s="651"/>
      <c r="R135" s="651"/>
    </row>
    <row r="136" spans="1:18" s="652" customFormat="1" x14ac:dyDescent="0.25">
      <c r="A136" s="656" t="s">
        <v>537</v>
      </c>
      <c r="B136" s="646">
        <f t="shared" ref="B136:B199" si="5">SUM(C136:D136)</f>
        <v>216816.9</v>
      </c>
      <c r="C136" s="433">
        <v>147020.4</v>
      </c>
      <c r="D136" s="433">
        <v>69796.5</v>
      </c>
      <c r="E136" s="433"/>
      <c r="F136" s="647">
        <f t="shared" ref="F136:F199" si="6">SUM(G136:H136)</f>
        <v>299710.70279999985</v>
      </c>
      <c r="G136" s="433">
        <v>252751.55999999988</v>
      </c>
      <c r="H136" s="433">
        <v>46959.142800000001</v>
      </c>
      <c r="I136" s="433"/>
      <c r="J136" s="433">
        <v>362562</v>
      </c>
      <c r="K136" s="433">
        <v>250024.97</v>
      </c>
      <c r="L136" s="433">
        <v>397867.6</v>
      </c>
      <c r="M136" s="433">
        <v>500225.26</v>
      </c>
      <c r="N136" s="661" t="s">
        <v>538</v>
      </c>
      <c r="O136" s="650"/>
      <c r="P136" s="651"/>
      <c r="R136" s="651"/>
    </row>
    <row r="137" spans="1:18" s="652" customFormat="1" x14ac:dyDescent="0.25">
      <c r="A137" s="656" t="s">
        <v>539</v>
      </c>
      <c r="B137" s="646">
        <f t="shared" si="5"/>
        <v>542594.98</v>
      </c>
      <c r="C137" s="433">
        <v>430143.74</v>
      </c>
      <c r="D137" s="433">
        <v>112451.24</v>
      </c>
      <c r="E137" s="433"/>
      <c r="F137" s="647">
        <f t="shared" si="6"/>
        <v>521592.01999999897</v>
      </c>
      <c r="G137" s="433">
        <v>491592.01999999897</v>
      </c>
      <c r="H137" s="433">
        <v>30000</v>
      </c>
      <c r="I137" s="433"/>
      <c r="J137" s="433">
        <v>324532</v>
      </c>
      <c r="K137" s="433">
        <v>334795.21999999997</v>
      </c>
      <c r="L137" s="433">
        <v>258494.18</v>
      </c>
      <c r="M137" s="433">
        <v>743912.91</v>
      </c>
      <c r="N137" s="657" t="s">
        <v>540</v>
      </c>
      <c r="O137" s="650"/>
      <c r="P137" s="651"/>
      <c r="R137" s="651"/>
    </row>
    <row r="138" spans="1:18" s="652" customFormat="1" x14ac:dyDescent="0.25">
      <c r="A138" s="656" t="s">
        <v>489</v>
      </c>
      <c r="B138" s="646">
        <f t="shared" si="5"/>
        <v>368697.59999999998</v>
      </c>
      <c r="C138" s="433">
        <v>321988.49</v>
      </c>
      <c r="D138" s="433">
        <v>46709.11</v>
      </c>
      <c r="E138" s="433"/>
      <c r="F138" s="647">
        <f t="shared" si="6"/>
        <v>733562.18030000001</v>
      </c>
      <c r="G138" s="433">
        <v>671406.8</v>
      </c>
      <c r="H138" s="433">
        <v>62155.380299999997</v>
      </c>
      <c r="I138" s="433"/>
      <c r="J138" s="433">
        <v>150683</v>
      </c>
      <c r="K138" s="433">
        <v>166159.70000000001</v>
      </c>
      <c r="L138" s="433">
        <v>161595.74</v>
      </c>
      <c r="M138" s="433">
        <v>368201.76</v>
      </c>
      <c r="N138" s="657" t="s">
        <v>490</v>
      </c>
      <c r="O138" s="651"/>
      <c r="P138" s="651"/>
      <c r="R138" s="651"/>
    </row>
    <row r="139" spans="1:18" s="652" customFormat="1" x14ac:dyDescent="0.25">
      <c r="A139" s="656" t="s">
        <v>541</v>
      </c>
      <c r="B139" s="646">
        <f t="shared" si="5"/>
        <v>277573.64</v>
      </c>
      <c r="C139" s="433">
        <v>277573.64</v>
      </c>
      <c r="D139" s="433" t="s">
        <v>199</v>
      </c>
      <c r="E139" s="433"/>
      <c r="F139" s="647">
        <f t="shared" si="6"/>
        <v>476198.58299999905</v>
      </c>
      <c r="G139" s="433">
        <v>369693.01499999902</v>
      </c>
      <c r="H139" s="433">
        <v>106505.568</v>
      </c>
      <c r="I139" s="433"/>
      <c r="J139" s="433">
        <v>409445</v>
      </c>
      <c r="K139" s="433">
        <v>302017.05</v>
      </c>
      <c r="L139" s="433">
        <v>247874.5</v>
      </c>
      <c r="M139" s="433">
        <v>634402.28</v>
      </c>
      <c r="N139" s="657" t="s">
        <v>542</v>
      </c>
      <c r="O139" s="651"/>
      <c r="P139" s="651"/>
      <c r="R139" s="651"/>
    </row>
    <row r="140" spans="1:18" s="652" customFormat="1" ht="6" customHeight="1" x14ac:dyDescent="0.25">
      <c r="A140" s="656"/>
      <c r="B140" s="646"/>
      <c r="C140" s="433"/>
      <c r="D140" s="433"/>
      <c r="E140" s="433"/>
      <c r="F140" s="647"/>
      <c r="G140" s="433"/>
      <c r="H140" s="433"/>
      <c r="I140" s="433"/>
      <c r="J140" s="433"/>
      <c r="K140" s="433"/>
      <c r="L140" s="433"/>
      <c r="M140" s="433"/>
      <c r="N140" s="660"/>
      <c r="O140" s="651"/>
      <c r="P140" s="651"/>
      <c r="R140" s="651"/>
    </row>
    <row r="141" spans="1:18" s="652" customFormat="1" x14ac:dyDescent="0.25">
      <c r="A141" s="654" t="s">
        <v>287</v>
      </c>
      <c r="B141" s="646">
        <f t="shared" si="5"/>
        <v>3663797.27</v>
      </c>
      <c r="C141" s="387">
        <f>SUM(C142:C151)</f>
        <v>3417506.75</v>
      </c>
      <c r="D141" s="387">
        <f>SUM(D142:D151)</f>
        <v>246290.52</v>
      </c>
      <c r="E141" s="387"/>
      <c r="F141" s="647">
        <f t="shared" si="6"/>
        <v>5932681.1008999944</v>
      </c>
      <c r="G141" s="387">
        <f>SUM(G142:G151)</f>
        <v>5807767.5759999948</v>
      </c>
      <c r="H141" s="387">
        <f>SUM(H142:H151)</f>
        <v>124913.5248999999</v>
      </c>
      <c r="I141" s="387"/>
      <c r="J141" s="387">
        <f>SUM(J142:J151)</f>
        <v>8195340</v>
      </c>
      <c r="K141" s="387">
        <f>SUM(K142:K151)</f>
        <v>11106707.47999998</v>
      </c>
      <c r="L141" s="387">
        <f>SUM(L142:L151)</f>
        <v>13156080.829999998</v>
      </c>
      <c r="M141" s="387">
        <f>SUM(M142:M151)</f>
        <v>17498120.029999997</v>
      </c>
      <c r="N141" s="655" t="s">
        <v>288</v>
      </c>
      <c r="O141" s="651"/>
      <c r="P141" s="651"/>
      <c r="R141" s="651"/>
    </row>
    <row r="142" spans="1:18" s="652" customFormat="1" x14ac:dyDescent="0.25">
      <c r="A142" s="656" t="s">
        <v>543</v>
      </c>
      <c r="B142" s="646">
        <f t="shared" si="5"/>
        <v>303953.52</v>
      </c>
      <c r="C142" s="433">
        <v>230041.23</v>
      </c>
      <c r="D142" s="433">
        <v>73912.289999999994</v>
      </c>
      <c r="E142" s="433"/>
      <c r="F142" s="647">
        <f t="shared" si="6"/>
        <v>321424.80999999901</v>
      </c>
      <c r="G142" s="433">
        <v>321424.80999999901</v>
      </c>
      <c r="H142" s="433" t="s">
        <v>199</v>
      </c>
      <c r="I142" s="433"/>
      <c r="J142" s="433">
        <v>14035</v>
      </c>
      <c r="K142" s="433">
        <v>32965</v>
      </c>
      <c r="L142" s="433">
        <v>221711</v>
      </c>
      <c r="M142" s="433">
        <v>482694.29</v>
      </c>
      <c r="N142" s="657" t="s">
        <v>544</v>
      </c>
      <c r="O142" s="651"/>
      <c r="P142" s="651"/>
      <c r="R142" s="651"/>
    </row>
    <row r="143" spans="1:18" s="652" customFormat="1" x14ac:dyDescent="0.25">
      <c r="A143" s="656" t="s">
        <v>545</v>
      </c>
      <c r="B143" s="646">
        <f t="shared" si="5"/>
        <v>400792.54000000004</v>
      </c>
      <c r="C143" s="433">
        <v>399510.53</v>
      </c>
      <c r="D143" s="433">
        <v>1282.01</v>
      </c>
      <c r="E143" s="433"/>
      <c r="F143" s="647">
        <f t="shared" si="6"/>
        <v>683394.77719999896</v>
      </c>
      <c r="G143" s="433">
        <v>662153.23999999894</v>
      </c>
      <c r="H143" s="433">
        <v>21241.537199999999</v>
      </c>
      <c r="I143" s="433"/>
      <c r="J143" s="433">
        <v>89739</v>
      </c>
      <c r="K143" s="433">
        <v>761843.49</v>
      </c>
      <c r="L143" s="433">
        <v>855463.42</v>
      </c>
      <c r="M143" s="433">
        <v>767029.33</v>
      </c>
      <c r="N143" s="657" t="s">
        <v>546</v>
      </c>
      <c r="O143" s="651"/>
      <c r="P143" s="651"/>
      <c r="R143" s="651"/>
    </row>
    <row r="144" spans="1:18" s="652" customFormat="1" x14ac:dyDescent="0.25">
      <c r="A144" s="656" t="s">
        <v>547</v>
      </c>
      <c r="B144" s="646">
        <f t="shared" si="5"/>
        <v>113562.22</v>
      </c>
      <c r="C144" s="433">
        <v>95578.15</v>
      </c>
      <c r="D144" s="433">
        <v>17984.07</v>
      </c>
      <c r="E144" s="433"/>
      <c r="F144" s="647">
        <f t="shared" si="6"/>
        <v>166490.16999999899</v>
      </c>
      <c r="G144" s="433">
        <v>166490.16999999899</v>
      </c>
      <c r="H144" s="433" t="s">
        <v>199</v>
      </c>
      <c r="I144" s="433"/>
      <c r="J144" s="433">
        <v>0</v>
      </c>
      <c r="K144" s="433">
        <v>20972</v>
      </c>
      <c r="L144" s="433">
        <v>62825</v>
      </c>
      <c r="M144" s="433">
        <v>139067.81</v>
      </c>
      <c r="N144" s="657" t="s">
        <v>378</v>
      </c>
      <c r="O144" s="651"/>
      <c r="P144" s="651"/>
      <c r="R144" s="651"/>
    </row>
    <row r="145" spans="1:18" s="652" customFormat="1" x14ac:dyDescent="0.25">
      <c r="A145" s="656" t="s">
        <v>548</v>
      </c>
      <c r="B145" s="646">
        <f t="shared" si="5"/>
        <v>1285025.1100000001</v>
      </c>
      <c r="C145" s="433">
        <v>1191059.6000000001</v>
      </c>
      <c r="D145" s="433">
        <v>93965.51</v>
      </c>
      <c r="E145" s="433"/>
      <c r="F145" s="647">
        <f t="shared" si="6"/>
        <v>1627508.5776</v>
      </c>
      <c r="G145" s="433">
        <v>1623825.2</v>
      </c>
      <c r="H145" s="433">
        <v>3683.3775999999998</v>
      </c>
      <c r="I145" s="433"/>
      <c r="J145" s="433">
        <v>5181989</v>
      </c>
      <c r="K145" s="433">
        <v>6080175.8999999901</v>
      </c>
      <c r="L145" s="433">
        <v>6375648.2599999998</v>
      </c>
      <c r="M145" s="433">
        <v>8354922.8300000001</v>
      </c>
      <c r="N145" s="657" t="s">
        <v>549</v>
      </c>
      <c r="O145" s="651"/>
      <c r="P145" s="651"/>
      <c r="R145" s="651"/>
    </row>
    <row r="146" spans="1:18" s="652" customFormat="1" x14ac:dyDescent="0.25">
      <c r="A146" s="656" t="s">
        <v>550</v>
      </c>
      <c r="B146" s="646">
        <f t="shared" si="5"/>
        <v>152373.95000000001</v>
      </c>
      <c r="C146" s="433">
        <v>152373.95000000001</v>
      </c>
      <c r="D146" s="433" t="s">
        <v>199</v>
      </c>
      <c r="E146" s="433"/>
      <c r="F146" s="647">
        <f t="shared" si="6"/>
        <v>183495.609999999</v>
      </c>
      <c r="G146" s="433">
        <v>183495.609999999</v>
      </c>
      <c r="H146" s="433" t="s">
        <v>199</v>
      </c>
      <c r="I146" s="433"/>
      <c r="J146" s="433">
        <v>0</v>
      </c>
      <c r="K146" s="433">
        <v>0</v>
      </c>
      <c r="L146" s="433">
        <v>7496</v>
      </c>
      <c r="M146" s="433">
        <v>108285.86</v>
      </c>
      <c r="N146" s="657" t="s">
        <v>809</v>
      </c>
      <c r="O146" s="651"/>
      <c r="P146" s="651"/>
      <c r="R146" s="651"/>
    </row>
    <row r="147" spans="1:18" s="652" customFormat="1" x14ac:dyDescent="0.25">
      <c r="A147" s="656" t="s">
        <v>551</v>
      </c>
      <c r="B147" s="646">
        <f t="shared" si="5"/>
        <v>363914.94</v>
      </c>
      <c r="C147" s="433">
        <v>330387.75</v>
      </c>
      <c r="D147" s="433">
        <v>33527.19</v>
      </c>
      <c r="E147" s="433"/>
      <c r="F147" s="647">
        <f t="shared" si="6"/>
        <v>986925.2510999979</v>
      </c>
      <c r="G147" s="433">
        <v>896787.25099999795</v>
      </c>
      <c r="H147" s="433">
        <v>90138.000099999903</v>
      </c>
      <c r="I147" s="433"/>
      <c r="J147" s="433">
        <v>255731</v>
      </c>
      <c r="K147" s="433">
        <v>358272.14999999898</v>
      </c>
      <c r="L147" s="433">
        <v>549895.6</v>
      </c>
      <c r="M147" s="433">
        <v>1298788.7</v>
      </c>
      <c r="N147" s="657" t="s">
        <v>552</v>
      </c>
      <c r="O147" s="651"/>
      <c r="P147" s="651"/>
      <c r="R147" s="651"/>
    </row>
    <row r="148" spans="1:18" s="652" customFormat="1" x14ac:dyDescent="0.25">
      <c r="A148" s="656" t="s">
        <v>553</v>
      </c>
      <c r="B148" s="646">
        <f t="shared" si="5"/>
        <v>275525.31</v>
      </c>
      <c r="C148" s="433">
        <v>270223.90999999997</v>
      </c>
      <c r="D148" s="433">
        <v>5301.4</v>
      </c>
      <c r="E148" s="433"/>
      <c r="F148" s="647">
        <f t="shared" si="6"/>
        <v>477361.45500000002</v>
      </c>
      <c r="G148" s="433">
        <v>477361.45500000002</v>
      </c>
      <c r="H148" s="433" t="s">
        <v>199</v>
      </c>
      <c r="I148" s="433"/>
      <c r="J148" s="433">
        <v>51976</v>
      </c>
      <c r="K148" s="433">
        <v>258152.94</v>
      </c>
      <c r="L148" s="433">
        <v>351441</v>
      </c>
      <c r="M148" s="433">
        <v>804038.71</v>
      </c>
      <c r="N148" s="661" t="s">
        <v>554</v>
      </c>
      <c r="O148" s="651"/>
      <c r="P148" s="651"/>
      <c r="R148" s="651"/>
    </row>
    <row r="149" spans="1:18" s="652" customFormat="1" x14ac:dyDescent="0.25">
      <c r="A149" s="656" t="s">
        <v>555</v>
      </c>
      <c r="B149" s="646">
        <f t="shared" si="5"/>
        <v>278728.98</v>
      </c>
      <c r="C149" s="433">
        <v>278728.98</v>
      </c>
      <c r="D149" s="433" t="s">
        <v>199</v>
      </c>
      <c r="E149" s="433"/>
      <c r="F149" s="647">
        <f t="shared" si="6"/>
        <v>479197.04</v>
      </c>
      <c r="G149" s="433">
        <v>470773.86</v>
      </c>
      <c r="H149" s="433">
        <v>8423.18</v>
      </c>
      <c r="I149" s="433"/>
      <c r="J149" s="433">
        <v>62584</v>
      </c>
      <c r="K149" s="433">
        <v>366525</v>
      </c>
      <c r="L149" s="433">
        <v>817824.87</v>
      </c>
      <c r="M149" s="433">
        <v>1276878.81</v>
      </c>
      <c r="N149" s="657" t="s">
        <v>556</v>
      </c>
      <c r="O149" s="651"/>
      <c r="P149" s="651"/>
      <c r="R149" s="651"/>
    </row>
    <row r="150" spans="1:18" s="652" customFormat="1" x14ac:dyDescent="0.25">
      <c r="A150" s="656" t="s">
        <v>347</v>
      </c>
      <c r="B150" s="646">
        <f t="shared" si="5"/>
        <v>26740.84</v>
      </c>
      <c r="C150" s="433">
        <v>26740.84</v>
      </c>
      <c r="D150" s="433" t="s">
        <v>199</v>
      </c>
      <c r="E150" s="433"/>
      <c r="F150" s="647">
        <f t="shared" si="6"/>
        <v>32183.109999999899</v>
      </c>
      <c r="G150" s="433">
        <v>32183.109999999899</v>
      </c>
      <c r="H150" s="433" t="s">
        <v>199</v>
      </c>
      <c r="I150" s="433"/>
      <c r="J150" s="433">
        <v>0</v>
      </c>
      <c r="K150" s="433">
        <v>0</v>
      </c>
      <c r="L150" s="433">
        <v>0</v>
      </c>
      <c r="M150" s="433">
        <v>199985.2</v>
      </c>
      <c r="N150" s="657" t="s">
        <v>348</v>
      </c>
      <c r="O150" s="651"/>
      <c r="P150" s="651"/>
      <c r="Q150" s="651"/>
      <c r="R150" s="651"/>
    </row>
    <row r="151" spans="1:18" s="652" customFormat="1" x14ac:dyDescent="0.25">
      <c r="A151" s="656" t="s">
        <v>557</v>
      </c>
      <c r="B151" s="646">
        <f t="shared" si="5"/>
        <v>463179.86</v>
      </c>
      <c r="C151" s="433">
        <v>442861.81</v>
      </c>
      <c r="D151" s="433">
        <v>20318.05</v>
      </c>
      <c r="E151" s="433"/>
      <c r="F151" s="647">
        <f t="shared" si="6"/>
        <v>974700.3</v>
      </c>
      <c r="G151" s="433">
        <v>973272.87</v>
      </c>
      <c r="H151" s="433">
        <v>1427.43</v>
      </c>
      <c r="I151" s="433"/>
      <c r="J151" s="433">
        <v>2539286</v>
      </c>
      <c r="K151" s="433">
        <v>3227800.9999999898</v>
      </c>
      <c r="L151" s="433">
        <v>3913775.68</v>
      </c>
      <c r="M151" s="433">
        <v>4066428.49</v>
      </c>
      <c r="N151" s="657" t="s">
        <v>558</v>
      </c>
      <c r="O151" s="651"/>
      <c r="P151" s="651"/>
      <c r="Q151" s="651"/>
      <c r="R151" s="651"/>
    </row>
    <row r="152" spans="1:18" s="652" customFormat="1" ht="9" customHeight="1" x14ac:dyDescent="0.25">
      <c r="A152" s="656"/>
      <c r="B152" s="646"/>
      <c r="C152" s="433"/>
      <c r="D152" s="433"/>
      <c r="E152" s="433"/>
      <c r="F152" s="647"/>
      <c r="G152" s="433"/>
      <c r="H152" s="433"/>
      <c r="I152" s="433"/>
      <c r="J152" s="433"/>
      <c r="K152" s="433"/>
      <c r="L152" s="433"/>
      <c r="M152" s="433"/>
      <c r="N152" s="660"/>
      <c r="O152" s="651"/>
      <c r="P152" s="651"/>
      <c r="Q152" s="651"/>
      <c r="R152" s="651"/>
    </row>
    <row r="153" spans="1:18" s="652" customFormat="1" x14ac:dyDescent="0.25">
      <c r="A153" s="654" t="s">
        <v>289</v>
      </c>
      <c r="B153" s="646">
        <f t="shared" si="5"/>
        <v>643440.08000000007</v>
      </c>
      <c r="C153" s="387">
        <f>SUM(C154:C158)</f>
        <v>643440.08000000007</v>
      </c>
      <c r="D153" s="387">
        <v>0</v>
      </c>
      <c r="E153" s="387"/>
      <c r="F153" s="647">
        <f t="shared" si="6"/>
        <v>1323878.6352116792</v>
      </c>
      <c r="G153" s="387">
        <f>SUM(G154:G158)</f>
        <v>1069243.0408116791</v>
      </c>
      <c r="H153" s="387">
        <f>SUM(H154:H158)</f>
        <v>254635.59440000003</v>
      </c>
      <c r="I153" s="387"/>
      <c r="J153" s="387">
        <f>SUM(J154:J158)</f>
        <v>409251</v>
      </c>
      <c r="K153" s="387">
        <f>SUM(K154:K158)</f>
        <v>543378.02999999898</v>
      </c>
      <c r="L153" s="387">
        <f>SUM(L154:L158)</f>
        <v>563786.18999999994</v>
      </c>
      <c r="M153" s="387">
        <f>SUM(M154:M158)</f>
        <v>1773766.73</v>
      </c>
      <c r="N153" s="655" t="s">
        <v>290</v>
      </c>
      <c r="O153" s="651"/>
      <c r="P153" s="651"/>
      <c r="Q153" s="651"/>
      <c r="R153" s="651"/>
    </row>
    <row r="154" spans="1:18" s="652" customFormat="1" x14ac:dyDescent="0.25">
      <c r="A154" s="656" t="s">
        <v>559</v>
      </c>
      <c r="B154" s="646">
        <f t="shared" si="5"/>
        <v>138394.12</v>
      </c>
      <c r="C154" s="433">
        <v>138394.12</v>
      </c>
      <c r="D154" s="433" t="s">
        <v>199</v>
      </c>
      <c r="E154" s="433"/>
      <c r="F154" s="647">
        <f t="shared" si="6"/>
        <v>289928.99639999901</v>
      </c>
      <c r="G154" s="433">
        <v>159848.80999999898</v>
      </c>
      <c r="H154" s="433">
        <v>130080.18640000001</v>
      </c>
      <c r="I154" s="433"/>
      <c r="J154" s="433">
        <v>0</v>
      </c>
      <c r="K154" s="433">
        <v>7863.24</v>
      </c>
      <c r="L154" s="433">
        <v>0</v>
      </c>
      <c r="M154" s="433">
        <v>101094.57</v>
      </c>
      <c r="N154" s="657" t="s">
        <v>560</v>
      </c>
      <c r="O154" s="650"/>
      <c r="P154" s="651"/>
      <c r="R154" s="651"/>
    </row>
    <row r="155" spans="1:18" s="652" customFormat="1" x14ac:dyDescent="0.25">
      <c r="A155" s="656" t="s">
        <v>561</v>
      </c>
      <c r="B155" s="646">
        <f t="shared" si="5"/>
        <v>89580.23</v>
      </c>
      <c r="C155" s="433">
        <v>89580.23</v>
      </c>
      <c r="D155" s="433" t="s">
        <v>199</v>
      </c>
      <c r="E155" s="433"/>
      <c r="F155" s="647">
        <f t="shared" si="6"/>
        <v>196834.22200000001</v>
      </c>
      <c r="G155" s="433">
        <v>117537.87</v>
      </c>
      <c r="H155" s="433">
        <v>79296.351999999999</v>
      </c>
      <c r="I155" s="433"/>
      <c r="J155" s="433">
        <v>0</v>
      </c>
      <c r="K155" s="433">
        <v>0</v>
      </c>
      <c r="L155" s="433">
        <v>0</v>
      </c>
      <c r="M155" s="433">
        <v>3016.7</v>
      </c>
      <c r="N155" s="657" t="s">
        <v>562</v>
      </c>
      <c r="O155" s="651"/>
      <c r="P155" s="651"/>
      <c r="R155" s="651"/>
    </row>
    <row r="156" spans="1:18" s="652" customFormat="1" x14ac:dyDescent="0.25">
      <c r="A156" s="656" t="s">
        <v>563</v>
      </c>
      <c r="B156" s="646">
        <f t="shared" si="5"/>
        <v>274026.86</v>
      </c>
      <c r="C156" s="433">
        <v>274026.86</v>
      </c>
      <c r="D156" s="433" t="s">
        <v>199</v>
      </c>
      <c r="E156" s="433"/>
      <c r="F156" s="647">
        <f t="shared" si="6"/>
        <v>389925.16999999899</v>
      </c>
      <c r="G156" s="433">
        <v>374925.16999999899</v>
      </c>
      <c r="H156" s="433">
        <v>15000</v>
      </c>
      <c r="I156" s="433"/>
      <c r="J156" s="433">
        <v>401102</v>
      </c>
      <c r="K156" s="433">
        <v>527651.549999999</v>
      </c>
      <c r="L156" s="433">
        <v>555286.18999999994</v>
      </c>
      <c r="M156" s="433">
        <v>1353638.3</v>
      </c>
      <c r="N156" s="657" t="s">
        <v>564</v>
      </c>
      <c r="O156" s="650"/>
      <c r="P156" s="651"/>
      <c r="R156" s="651"/>
    </row>
    <row r="157" spans="1:18" s="652" customFormat="1" x14ac:dyDescent="0.25">
      <c r="A157" s="656" t="s">
        <v>565</v>
      </c>
      <c r="B157" s="646">
        <f t="shared" si="5"/>
        <v>80719.31</v>
      </c>
      <c r="C157" s="433">
        <v>80719.31</v>
      </c>
      <c r="D157" s="433" t="s">
        <v>199</v>
      </c>
      <c r="E157" s="433"/>
      <c r="F157" s="647">
        <f t="shared" si="6"/>
        <v>310783.39</v>
      </c>
      <c r="G157" s="433">
        <v>280783.39</v>
      </c>
      <c r="H157" s="433">
        <v>30000</v>
      </c>
      <c r="I157" s="433"/>
      <c r="J157" s="433">
        <v>8149</v>
      </c>
      <c r="K157" s="433">
        <v>7863.24</v>
      </c>
      <c r="L157" s="433">
        <v>8500</v>
      </c>
      <c r="M157" s="433">
        <v>264335.27</v>
      </c>
      <c r="N157" s="657" t="s">
        <v>566</v>
      </c>
      <c r="O157" s="650"/>
      <c r="P157" s="651"/>
      <c r="R157" s="651"/>
    </row>
    <row r="158" spans="1:18" s="652" customFormat="1" x14ac:dyDescent="0.25">
      <c r="A158" s="656" t="s">
        <v>567</v>
      </c>
      <c r="B158" s="646">
        <f t="shared" si="5"/>
        <v>60719.56</v>
      </c>
      <c r="C158" s="433">
        <v>60719.56</v>
      </c>
      <c r="D158" s="433" t="s">
        <v>199</v>
      </c>
      <c r="E158" s="433"/>
      <c r="F158" s="647">
        <f t="shared" si="6"/>
        <v>136406.85681168101</v>
      </c>
      <c r="G158" s="433">
        <v>136147.80081168099</v>
      </c>
      <c r="H158" s="433">
        <v>259.05599999999998</v>
      </c>
      <c r="I158" s="433"/>
      <c r="J158" s="433">
        <v>0</v>
      </c>
      <c r="K158" s="433">
        <v>0</v>
      </c>
      <c r="L158" s="433">
        <v>0</v>
      </c>
      <c r="M158" s="433">
        <v>51681.89</v>
      </c>
      <c r="N158" s="657" t="s">
        <v>568</v>
      </c>
      <c r="O158" s="651"/>
      <c r="P158" s="651"/>
      <c r="R158" s="651"/>
    </row>
    <row r="159" spans="1:18" s="652" customFormat="1" ht="12" customHeight="1" x14ac:dyDescent="0.25">
      <c r="A159" s="656"/>
      <c r="B159" s="646"/>
      <c r="C159" s="433"/>
      <c r="D159" s="433"/>
      <c r="E159" s="433"/>
      <c r="F159" s="647"/>
      <c r="G159" s="433"/>
      <c r="H159" s="433"/>
      <c r="I159" s="433"/>
      <c r="J159" s="433"/>
      <c r="K159" s="433"/>
      <c r="L159" s="433"/>
      <c r="M159" s="433"/>
      <c r="N159" s="660"/>
      <c r="O159" s="651"/>
      <c r="P159" s="651"/>
      <c r="R159" s="651"/>
    </row>
    <row r="160" spans="1:18" s="652" customFormat="1" x14ac:dyDescent="0.25">
      <c r="A160" s="654" t="s">
        <v>291</v>
      </c>
      <c r="B160" s="646">
        <f t="shared" si="5"/>
        <v>2220109.7739999997</v>
      </c>
      <c r="C160" s="387">
        <f>SUM(C161:C169)</f>
        <v>2030050.4499999997</v>
      </c>
      <c r="D160" s="387">
        <f>SUM(D161:D169)</f>
        <v>190059.32399999999</v>
      </c>
      <c r="E160" s="387"/>
      <c r="F160" s="647">
        <f t="shared" si="6"/>
        <v>4245618.8515999932</v>
      </c>
      <c r="G160" s="387">
        <f>SUM(G161:G169)</f>
        <v>3682169.5319999945</v>
      </c>
      <c r="H160" s="387">
        <f>SUM(H161:H169)</f>
        <v>563449.31959999888</v>
      </c>
      <c r="I160" s="387"/>
      <c r="J160" s="387">
        <f>SUM(J161:J169)</f>
        <v>4320592</v>
      </c>
      <c r="K160" s="387">
        <f>SUM(K161:K169)</f>
        <v>4438872.0499999886</v>
      </c>
      <c r="L160" s="387">
        <f>SUM(L161:L169)</f>
        <v>9125266.5999999978</v>
      </c>
      <c r="M160" s="387">
        <f>SUM(M161:M169)</f>
        <v>12610137.149999997</v>
      </c>
      <c r="N160" s="655" t="s">
        <v>292</v>
      </c>
      <c r="O160" s="651"/>
      <c r="P160" s="651"/>
      <c r="R160" s="651"/>
    </row>
    <row r="161" spans="1:18" s="652" customFormat="1" x14ac:dyDescent="0.25">
      <c r="A161" s="656" t="s">
        <v>569</v>
      </c>
      <c r="B161" s="646">
        <f t="shared" si="5"/>
        <v>79846.039999999994</v>
      </c>
      <c r="C161" s="433">
        <v>79846.039999999994</v>
      </c>
      <c r="D161" s="433" t="s">
        <v>199</v>
      </c>
      <c r="E161" s="433"/>
      <c r="F161" s="647">
        <f t="shared" si="6"/>
        <v>131811.41999999899</v>
      </c>
      <c r="G161" s="433">
        <v>131811.41999999899</v>
      </c>
      <c r="H161" s="433" t="s">
        <v>199</v>
      </c>
      <c r="I161" s="433"/>
      <c r="J161" s="433">
        <v>0</v>
      </c>
      <c r="K161" s="433">
        <v>0</v>
      </c>
      <c r="L161" s="433">
        <v>0</v>
      </c>
      <c r="M161" s="433">
        <v>57095.32</v>
      </c>
      <c r="N161" s="657" t="s">
        <v>570</v>
      </c>
      <c r="O161" s="650"/>
      <c r="P161" s="651"/>
      <c r="R161" s="651"/>
    </row>
    <row r="162" spans="1:18" s="652" customFormat="1" x14ac:dyDescent="0.25">
      <c r="A162" s="656" t="s">
        <v>1063</v>
      </c>
      <c r="B162" s="646">
        <f t="shared" si="5"/>
        <v>20072.3</v>
      </c>
      <c r="C162" s="433">
        <v>20072.3</v>
      </c>
      <c r="D162" s="433" t="s">
        <v>199</v>
      </c>
      <c r="E162" s="433"/>
      <c r="F162" s="647">
        <f t="shared" si="6"/>
        <v>42366.559999999998</v>
      </c>
      <c r="G162" s="433">
        <v>42366.559999999998</v>
      </c>
      <c r="H162" s="433" t="s">
        <v>199</v>
      </c>
      <c r="I162" s="433"/>
      <c r="J162" s="433">
        <v>0</v>
      </c>
      <c r="K162" s="433">
        <v>0</v>
      </c>
      <c r="L162" s="433">
        <v>0</v>
      </c>
      <c r="M162" s="433">
        <v>0</v>
      </c>
      <c r="N162" s="657" t="s">
        <v>810</v>
      </c>
      <c r="O162" s="650"/>
      <c r="P162" s="651"/>
      <c r="R162" s="651"/>
    </row>
    <row r="163" spans="1:18" s="652" customFormat="1" x14ac:dyDescent="0.25">
      <c r="A163" s="656" t="s">
        <v>571</v>
      </c>
      <c r="B163" s="646">
        <f t="shared" si="5"/>
        <v>133548.18</v>
      </c>
      <c r="C163" s="433">
        <v>133548.18</v>
      </c>
      <c r="D163" s="433" t="s">
        <v>199</v>
      </c>
      <c r="E163" s="433"/>
      <c r="F163" s="647">
        <f t="shared" si="6"/>
        <v>195845.99</v>
      </c>
      <c r="G163" s="433">
        <v>162199.54999999999</v>
      </c>
      <c r="H163" s="433">
        <v>33646.44</v>
      </c>
      <c r="I163" s="433"/>
      <c r="J163" s="433">
        <v>0</v>
      </c>
      <c r="K163" s="433">
        <v>0</v>
      </c>
      <c r="L163" s="433">
        <v>100</v>
      </c>
      <c r="M163" s="433">
        <v>79088.02</v>
      </c>
      <c r="N163" s="657" t="s">
        <v>572</v>
      </c>
      <c r="O163" s="650"/>
      <c r="P163" s="651"/>
      <c r="R163" s="651"/>
    </row>
    <row r="164" spans="1:18" s="652" customFormat="1" x14ac:dyDescent="0.25">
      <c r="A164" s="656" t="s">
        <v>573</v>
      </c>
      <c r="B164" s="646">
        <f t="shared" si="5"/>
        <v>319658.02999999997</v>
      </c>
      <c r="C164" s="433">
        <v>314413.15999999997</v>
      </c>
      <c r="D164" s="433">
        <v>5244.87</v>
      </c>
      <c r="E164" s="433"/>
      <c r="F164" s="647">
        <f t="shared" si="6"/>
        <v>682773.37599999912</v>
      </c>
      <c r="G164" s="433">
        <v>661856.91699999908</v>
      </c>
      <c r="H164" s="433">
        <v>20916.458999999999</v>
      </c>
      <c r="I164" s="433"/>
      <c r="J164" s="433">
        <v>581593</v>
      </c>
      <c r="K164" s="433">
        <v>473074.62</v>
      </c>
      <c r="L164" s="433">
        <v>932544.02</v>
      </c>
      <c r="M164" s="433">
        <v>1294933.77</v>
      </c>
      <c r="N164" s="657" t="s">
        <v>574</v>
      </c>
      <c r="O164" s="650"/>
      <c r="P164" s="651"/>
      <c r="R164" s="651"/>
    </row>
    <row r="165" spans="1:18" s="652" customFormat="1" x14ac:dyDescent="0.25">
      <c r="A165" s="656" t="s">
        <v>575</v>
      </c>
      <c r="B165" s="646">
        <f t="shared" si="5"/>
        <v>378055.15400000004</v>
      </c>
      <c r="C165" s="433">
        <v>363618.64</v>
      </c>
      <c r="D165" s="433">
        <v>14436.513999999999</v>
      </c>
      <c r="E165" s="433"/>
      <c r="F165" s="647">
        <f t="shared" si="6"/>
        <v>735869.22279999894</v>
      </c>
      <c r="G165" s="433">
        <v>687833.19999999902</v>
      </c>
      <c r="H165" s="433">
        <v>48036.022799999904</v>
      </c>
      <c r="I165" s="433"/>
      <c r="J165" s="433">
        <v>2570482</v>
      </c>
      <c r="K165" s="433">
        <v>3036526.8399999901</v>
      </c>
      <c r="L165" s="433">
        <v>7143463.2699999996</v>
      </c>
      <c r="M165" s="433">
        <v>9167843.1999999993</v>
      </c>
      <c r="N165" s="657" t="s">
        <v>576</v>
      </c>
      <c r="O165" s="650"/>
      <c r="P165" s="651"/>
      <c r="R165" s="651"/>
    </row>
    <row r="166" spans="1:18" s="652" customFormat="1" x14ac:dyDescent="0.25">
      <c r="A166" s="656" t="s">
        <v>577</v>
      </c>
      <c r="B166" s="646">
        <f t="shared" si="5"/>
        <v>117970.88</v>
      </c>
      <c r="C166" s="433">
        <v>117970.88</v>
      </c>
      <c r="D166" s="433" t="s">
        <v>199</v>
      </c>
      <c r="E166" s="433"/>
      <c r="F166" s="647">
        <f t="shared" si="6"/>
        <v>171330.36</v>
      </c>
      <c r="G166" s="433">
        <v>141330.35999999999</v>
      </c>
      <c r="H166" s="433">
        <v>30000</v>
      </c>
      <c r="I166" s="433"/>
      <c r="J166" s="433">
        <v>0</v>
      </c>
      <c r="K166" s="433">
        <v>0</v>
      </c>
      <c r="L166" s="433">
        <v>18035</v>
      </c>
      <c r="M166" s="433">
        <v>225582.82</v>
      </c>
      <c r="N166" s="657" t="s">
        <v>578</v>
      </c>
      <c r="O166" s="650"/>
      <c r="P166" s="651"/>
      <c r="R166" s="651"/>
    </row>
    <row r="167" spans="1:18" s="652" customFormat="1" x14ac:dyDescent="0.25">
      <c r="A167" s="656" t="s">
        <v>579</v>
      </c>
      <c r="B167" s="646">
        <f t="shared" si="5"/>
        <v>562654.94999999995</v>
      </c>
      <c r="C167" s="433">
        <v>494246.85</v>
      </c>
      <c r="D167" s="433">
        <v>68408.100000000006</v>
      </c>
      <c r="E167" s="433"/>
      <c r="F167" s="647">
        <f t="shared" si="6"/>
        <v>841043.73459999997</v>
      </c>
      <c r="G167" s="433">
        <v>681684.5</v>
      </c>
      <c r="H167" s="433">
        <v>159359.2346</v>
      </c>
      <c r="I167" s="433"/>
      <c r="J167" s="433">
        <v>239650</v>
      </c>
      <c r="K167" s="433">
        <v>261462.72999999899</v>
      </c>
      <c r="L167" s="433">
        <v>472559.9</v>
      </c>
      <c r="M167" s="433">
        <v>633070.78</v>
      </c>
      <c r="N167" s="657" t="s">
        <v>580</v>
      </c>
      <c r="O167" s="650"/>
      <c r="P167" s="651"/>
      <c r="R167" s="651"/>
    </row>
    <row r="168" spans="1:18" s="652" customFormat="1" x14ac:dyDescent="0.25">
      <c r="A168" s="656" t="s">
        <v>581</v>
      </c>
      <c r="B168" s="646">
        <f t="shared" si="5"/>
        <v>291718.84999999998</v>
      </c>
      <c r="C168" s="433">
        <v>230873.5</v>
      </c>
      <c r="D168" s="433">
        <v>60845.35</v>
      </c>
      <c r="E168" s="433"/>
      <c r="F168" s="647">
        <f t="shared" si="6"/>
        <v>845591.46039999893</v>
      </c>
      <c r="G168" s="433">
        <v>678492.82999999891</v>
      </c>
      <c r="H168" s="433">
        <v>167098.63039999999</v>
      </c>
      <c r="I168" s="433"/>
      <c r="J168" s="433">
        <v>704152</v>
      </c>
      <c r="K168" s="433">
        <v>448606.67999999988</v>
      </c>
      <c r="L168" s="433">
        <v>374490.37</v>
      </c>
      <c r="M168" s="433">
        <v>708228.21</v>
      </c>
      <c r="N168" s="657" t="s">
        <v>582</v>
      </c>
      <c r="O168" s="650"/>
      <c r="P168" s="651"/>
      <c r="R168" s="651"/>
    </row>
    <row r="169" spans="1:18" s="652" customFormat="1" x14ac:dyDescent="0.25">
      <c r="A169" s="656" t="s">
        <v>465</v>
      </c>
      <c r="B169" s="646">
        <f t="shared" si="5"/>
        <v>316585.39</v>
      </c>
      <c r="C169" s="433">
        <v>275460.90000000002</v>
      </c>
      <c r="D169" s="433">
        <v>41124.49</v>
      </c>
      <c r="E169" s="433"/>
      <c r="F169" s="647">
        <f t="shared" si="6"/>
        <v>598986.72779999801</v>
      </c>
      <c r="G169" s="433">
        <v>494594.19499999902</v>
      </c>
      <c r="H169" s="433">
        <v>104392.532799999</v>
      </c>
      <c r="I169" s="433"/>
      <c r="J169" s="433">
        <v>224715</v>
      </c>
      <c r="K169" s="433">
        <v>219201.18</v>
      </c>
      <c r="L169" s="433">
        <v>184074.04</v>
      </c>
      <c r="M169" s="433">
        <v>444295.03</v>
      </c>
      <c r="N169" s="657" t="s">
        <v>466</v>
      </c>
      <c r="O169" s="651"/>
      <c r="P169" s="651"/>
      <c r="R169" s="651"/>
    </row>
    <row r="170" spans="1:18" s="652" customFormat="1" ht="8.25" customHeight="1" x14ac:dyDescent="0.25">
      <c r="A170" s="656"/>
      <c r="B170" s="646"/>
      <c r="C170" s="433"/>
      <c r="D170" s="433"/>
      <c r="E170" s="433"/>
      <c r="F170" s="647"/>
      <c r="G170" s="433"/>
      <c r="H170" s="433"/>
      <c r="I170" s="433"/>
      <c r="J170" s="433"/>
      <c r="K170" s="433"/>
      <c r="L170" s="433"/>
      <c r="M170" s="433"/>
      <c r="N170" s="660"/>
      <c r="O170" s="651"/>
      <c r="P170" s="651"/>
      <c r="R170" s="651"/>
    </row>
    <row r="171" spans="1:18" s="652" customFormat="1" x14ac:dyDescent="0.25">
      <c r="A171" s="654" t="s">
        <v>294</v>
      </c>
      <c r="B171" s="646">
        <f t="shared" si="5"/>
        <v>1172738.3570000001</v>
      </c>
      <c r="C171" s="387">
        <f>SUM(C172:C176)</f>
        <v>1089725.73</v>
      </c>
      <c r="D171" s="387">
        <f>SUM(D172:D176)</f>
        <v>83012.627000000008</v>
      </c>
      <c r="E171" s="387"/>
      <c r="F171" s="647">
        <f t="shared" si="6"/>
        <v>2302572.4065384828</v>
      </c>
      <c r="G171" s="387">
        <f>SUM(G172:G176)</f>
        <v>1665373.4041384831</v>
      </c>
      <c r="H171" s="387">
        <f>SUM(H172:H176)</f>
        <v>637199.00239999988</v>
      </c>
      <c r="I171" s="387"/>
      <c r="J171" s="387">
        <f>SUM(J172:J176)</f>
        <v>5387983</v>
      </c>
      <c r="K171" s="387">
        <f>SUM(K172:K176)</f>
        <v>4886885.8999999883</v>
      </c>
      <c r="L171" s="387">
        <f>SUM(L172:L176)</f>
        <v>6589192.25</v>
      </c>
      <c r="M171" s="387">
        <f>SUM(M172:M176)</f>
        <v>9723321.2799999993</v>
      </c>
      <c r="N171" s="655" t="s">
        <v>295</v>
      </c>
      <c r="O171" s="651"/>
      <c r="P171" s="651"/>
      <c r="R171" s="651"/>
    </row>
    <row r="172" spans="1:18" s="652" customFormat="1" x14ac:dyDescent="0.25">
      <c r="A172" s="656" t="s">
        <v>583</v>
      </c>
      <c r="B172" s="646">
        <f t="shared" si="5"/>
        <v>190682.79</v>
      </c>
      <c r="C172" s="433">
        <v>169580.39</v>
      </c>
      <c r="D172" s="433">
        <v>21102.400000000001</v>
      </c>
      <c r="E172" s="433"/>
      <c r="F172" s="647">
        <f t="shared" si="6"/>
        <v>260898.48</v>
      </c>
      <c r="G172" s="433">
        <v>260898.48</v>
      </c>
      <c r="H172" s="433" t="s">
        <v>199</v>
      </c>
      <c r="I172" s="433"/>
      <c r="J172" s="433">
        <v>2992848</v>
      </c>
      <c r="K172" s="433">
        <v>2531224.21999999</v>
      </c>
      <c r="L172" s="433">
        <v>3006325.82</v>
      </c>
      <c r="M172" s="433">
        <v>4783051.7699999996</v>
      </c>
      <c r="N172" s="657" t="s">
        <v>584</v>
      </c>
      <c r="O172" s="651"/>
      <c r="P172" s="651"/>
      <c r="R172" s="651"/>
    </row>
    <row r="173" spans="1:18" s="652" customFormat="1" x14ac:dyDescent="0.25">
      <c r="A173" s="656" t="s">
        <v>585</v>
      </c>
      <c r="B173" s="646">
        <f t="shared" si="5"/>
        <v>289691.23700000002</v>
      </c>
      <c r="C173" s="433">
        <v>242753.01</v>
      </c>
      <c r="D173" s="433">
        <v>46938.226999999999</v>
      </c>
      <c r="E173" s="433"/>
      <c r="F173" s="647">
        <f t="shared" si="6"/>
        <v>619503.7247999988</v>
      </c>
      <c r="G173" s="433">
        <v>394740.32999999897</v>
      </c>
      <c r="H173" s="433">
        <v>224763.39479999989</v>
      </c>
      <c r="I173" s="433"/>
      <c r="J173" s="433">
        <v>555958</v>
      </c>
      <c r="K173" s="433">
        <v>699732.179999999</v>
      </c>
      <c r="L173" s="433">
        <v>773280.33</v>
      </c>
      <c r="M173" s="433">
        <v>1461210.3</v>
      </c>
      <c r="N173" s="657" t="s">
        <v>586</v>
      </c>
      <c r="O173" s="651"/>
      <c r="P173" s="651"/>
      <c r="R173" s="651"/>
    </row>
    <row r="174" spans="1:18" s="652" customFormat="1" x14ac:dyDescent="0.25">
      <c r="A174" s="656" t="s">
        <v>435</v>
      </c>
      <c r="B174" s="646">
        <f t="shared" si="5"/>
        <v>160131.85</v>
      </c>
      <c r="C174" s="433">
        <v>157040.87</v>
      </c>
      <c r="D174" s="433">
        <v>3090.98</v>
      </c>
      <c r="E174" s="433"/>
      <c r="F174" s="647">
        <f t="shared" si="6"/>
        <v>519402.874138485</v>
      </c>
      <c r="G174" s="433">
        <v>360072.38413848501</v>
      </c>
      <c r="H174" s="433">
        <v>159330.49</v>
      </c>
      <c r="I174" s="433"/>
      <c r="J174" s="433">
        <v>497440</v>
      </c>
      <c r="K174" s="433">
        <v>432365.08999999898</v>
      </c>
      <c r="L174" s="433">
        <v>602066.24</v>
      </c>
      <c r="M174" s="433">
        <v>782428.6</v>
      </c>
      <c r="N174" s="657" t="s">
        <v>436</v>
      </c>
      <c r="O174" s="650"/>
      <c r="P174" s="651"/>
      <c r="R174" s="651"/>
    </row>
    <row r="175" spans="1:18" s="652" customFormat="1" x14ac:dyDescent="0.25">
      <c r="A175" s="656" t="s">
        <v>587</v>
      </c>
      <c r="B175" s="646">
        <f t="shared" si="5"/>
        <v>175281.19999999998</v>
      </c>
      <c r="C175" s="433">
        <v>163400.18</v>
      </c>
      <c r="D175" s="433">
        <v>11881.02</v>
      </c>
      <c r="E175" s="433"/>
      <c r="F175" s="647">
        <f t="shared" si="6"/>
        <v>189325.40999999898</v>
      </c>
      <c r="G175" s="433">
        <v>158074.43999999898</v>
      </c>
      <c r="H175" s="433">
        <v>31250.97</v>
      </c>
      <c r="I175" s="433"/>
      <c r="J175" s="433">
        <v>84815</v>
      </c>
      <c r="K175" s="433">
        <v>80600.51999999999</v>
      </c>
      <c r="L175" s="433">
        <v>198613.37</v>
      </c>
      <c r="M175" s="433">
        <v>318410.55</v>
      </c>
      <c r="N175" s="657" t="s">
        <v>588</v>
      </c>
      <c r="O175" s="650"/>
      <c r="P175" s="651"/>
      <c r="R175" s="651"/>
    </row>
    <row r="176" spans="1:18" s="652" customFormat="1" x14ac:dyDescent="0.25">
      <c r="A176" s="656" t="s">
        <v>589</v>
      </c>
      <c r="B176" s="646">
        <f t="shared" si="5"/>
        <v>356951.28</v>
      </c>
      <c r="C176" s="433">
        <v>356951.28</v>
      </c>
      <c r="D176" s="433" t="s">
        <v>199</v>
      </c>
      <c r="E176" s="433"/>
      <c r="F176" s="647">
        <f t="shared" si="6"/>
        <v>713441.91759999993</v>
      </c>
      <c r="G176" s="433">
        <v>491587.7699999999</v>
      </c>
      <c r="H176" s="433">
        <v>221854.1476</v>
      </c>
      <c r="I176" s="433"/>
      <c r="J176" s="433">
        <v>1256922</v>
      </c>
      <c r="K176" s="433">
        <v>1142963.8900000001</v>
      </c>
      <c r="L176" s="433">
        <v>2008906.49</v>
      </c>
      <c r="M176" s="433">
        <v>2378220.06</v>
      </c>
      <c r="N176" s="657" t="s">
        <v>590</v>
      </c>
      <c r="O176" s="650"/>
      <c r="P176" s="651"/>
      <c r="R176" s="651"/>
    </row>
    <row r="177" spans="1:18" s="652" customFormat="1" ht="9.75" customHeight="1" x14ac:dyDescent="0.25">
      <c r="A177" s="656"/>
      <c r="B177" s="646"/>
      <c r="C177" s="433"/>
      <c r="D177" s="433"/>
      <c r="E177" s="433"/>
      <c r="F177" s="647"/>
      <c r="G177" s="433"/>
      <c r="H177" s="433"/>
      <c r="I177" s="433"/>
      <c r="J177" s="433"/>
      <c r="K177" s="433"/>
      <c r="L177" s="433"/>
      <c r="M177" s="433"/>
      <c r="N177" s="660"/>
      <c r="O177" s="650"/>
      <c r="P177" s="651"/>
      <c r="R177" s="651"/>
    </row>
    <row r="178" spans="1:18" s="652" customFormat="1" x14ac:dyDescent="0.25">
      <c r="A178" s="654" t="s">
        <v>297</v>
      </c>
      <c r="B178" s="646">
        <f t="shared" si="5"/>
        <v>2486260.4210000001</v>
      </c>
      <c r="C178" s="387">
        <f>SUM(C179:C186)</f>
        <v>2308653.12</v>
      </c>
      <c r="D178" s="387">
        <f>SUM(D179:D186)</f>
        <v>177607.30100000001</v>
      </c>
      <c r="E178" s="387"/>
      <c r="F178" s="647">
        <f t="shared" si="6"/>
        <v>4238458.5711005405</v>
      </c>
      <c r="G178" s="387">
        <f>SUM(G179:G186)</f>
        <v>3747889.6093005417</v>
      </c>
      <c r="H178" s="387">
        <f>SUM(H179:H186)</f>
        <v>490568.961799999</v>
      </c>
      <c r="I178" s="387"/>
      <c r="J178" s="387">
        <f>SUM(J179:J186)</f>
        <v>9032373</v>
      </c>
      <c r="K178" s="387">
        <f>SUM(K179:K186)</f>
        <v>9196467.5899999663</v>
      </c>
      <c r="L178" s="387">
        <f>SUM(L179:L186)</f>
        <v>9874084.1600000001</v>
      </c>
      <c r="M178" s="387">
        <f>SUM(M179:M186)</f>
        <v>12434694.649999999</v>
      </c>
      <c r="N178" s="655" t="s">
        <v>298</v>
      </c>
      <c r="O178" s="650"/>
      <c r="P178" s="651"/>
      <c r="R178" s="651"/>
    </row>
    <row r="179" spans="1:18" s="652" customFormat="1" x14ac:dyDescent="0.25">
      <c r="A179" s="656" t="s">
        <v>471</v>
      </c>
      <c r="B179" s="646">
        <f t="shared" si="5"/>
        <v>227173.11000000002</v>
      </c>
      <c r="C179" s="433">
        <v>224692.57</v>
      </c>
      <c r="D179" s="433">
        <v>2480.54</v>
      </c>
      <c r="E179" s="433"/>
      <c r="F179" s="647">
        <f t="shared" si="6"/>
        <v>650423.88099999796</v>
      </c>
      <c r="G179" s="433">
        <v>504279.28999999899</v>
      </c>
      <c r="H179" s="433">
        <v>146144.590999999</v>
      </c>
      <c r="I179" s="433"/>
      <c r="J179" s="433">
        <v>497160</v>
      </c>
      <c r="K179" s="433">
        <v>650387.50999999896</v>
      </c>
      <c r="L179" s="433">
        <v>860300.08</v>
      </c>
      <c r="M179" s="433">
        <v>1096727.83</v>
      </c>
      <c r="N179" s="657" t="s">
        <v>472</v>
      </c>
      <c r="O179" s="650"/>
      <c r="P179" s="651"/>
      <c r="R179" s="651"/>
    </row>
    <row r="180" spans="1:18" s="652" customFormat="1" x14ac:dyDescent="0.25">
      <c r="A180" s="656" t="s">
        <v>591</v>
      </c>
      <c r="B180" s="646">
        <f t="shared" si="5"/>
        <v>224709.73</v>
      </c>
      <c r="C180" s="433">
        <v>224709.73</v>
      </c>
      <c r="D180" s="433" t="s">
        <v>199</v>
      </c>
      <c r="E180" s="433"/>
      <c r="F180" s="647">
        <f t="shared" si="6"/>
        <v>218430.63210000002</v>
      </c>
      <c r="G180" s="433">
        <v>218430.63210000002</v>
      </c>
      <c r="H180" s="433" t="s">
        <v>199</v>
      </c>
      <c r="I180" s="433"/>
      <c r="J180" s="433">
        <v>496261</v>
      </c>
      <c r="K180" s="433">
        <v>540969.38999999897</v>
      </c>
      <c r="L180" s="433">
        <v>487061.5</v>
      </c>
      <c r="M180" s="433">
        <v>949103.09</v>
      </c>
      <c r="N180" s="657" t="s">
        <v>592</v>
      </c>
      <c r="O180" s="650"/>
      <c r="P180" s="651"/>
      <c r="R180" s="651"/>
    </row>
    <row r="181" spans="1:18" s="652" customFormat="1" x14ac:dyDescent="0.25">
      <c r="A181" s="656" t="s">
        <v>593</v>
      </c>
      <c r="B181" s="646">
        <f t="shared" si="5"/>
        <v>212856.98099999997</v>
      </c>
      <c r="C181" s="433">
        <v>147979.60999999999</v>
      </c>
      <c r="D181" s="433">
        <v>64877.370999999999</v>
      </c>
      <c r="E181" s="433"/>
      <c r="F181" s="647">
        <f t="shared" si="6"/>
        <v>122735.14</v>
      </c>
      <c r="G181" s="433">
        <v>117446.08</v>
      </c>
      <c r="H181" s="433">
        <v>5289.06</v>
      </c>
      <c r="I181" s="433"/>
      <c r="J181" s="433">
        <v>0</v>
      </c>
      <c r="K181" s="433">
        <v>0</v>
      </c>
      <c r="L181" s="433">
        <v>0</v>
      </c>
      <c r="M181" s="433">
        <v>140576</v>
      </c>
      <c r="N181" s="657" t="s">
        <v>594</v>
      </c>
      <c r="O181" s="650"/>
      <c r="P181" s="651"/>
      <c r="R181" s="651"/>
    </row>
    <row r="182" spans="1:18" s="652" customFormat="1" x14ac:dyDescent="0.25">
      <c r="A182" s="656" t="s">
        <v>595</v>
      </c>
      <c r="B182" s="646">
        <f t="shared" si="5"/>
        <v>230527.78</v>
      </c>
      <c r="C182" s="433">
        <v>208902.99</v>
      </c>
      <c r="D182" s="433">
        <v>21624.79</v>
      </c>
      <c r="E182" s="433"/>
      <c r="F182" s="647">
        <f t="shared" si="6"/>
        <v>528105.16189999995</v>
      </c>
      <c r="G182" s="433">
        <v>500560.2635</v>
      </c>
      <c r="H182" s="433">
        <v>27544.898399999998</v>
      </c>
      <c r="I182" s="433"/>
      <c r="J182" s="433">
        <v>502601</v>
      </c>
      <c r="K182" s="433">
        <v>881236.86999999906</v>
      </c>
      <c r="L182" s="433">
        <v>880391.22</v>
      </c>
      <c r="M182" s="433">
        <v>1145420.03</v>
      </c>
      <c r="N182" s="657" t="s">
        <v>596</v>
      </c>
      <c r="O182" s="650"/>
      <c r="P182" s="651"/>
      <c r="R182" s="651"/>
    </row>
    <row r="183" spans="1:18" s="652" customFormat="1" x14ac:dyDescent="0.25">
      <c r="A183" s="656" t="s">
        <v>1064</v>
      </c>
      <c r="B183" s="646">
        <f t="shared" si="5"/>
        <v>56792.59</v>
      </c>
      <c r="C183" s="433">
        <v>56792.59</v>
      </c>
      <c r="D183" s="433" t="s">
        <v>199</v>
      </c>
      <c r="E183" s="433"/>
      <c r="F183" s="647">
        <f t="shared" si="6"/>
        <v>19760.439999999999</v>
      </c>
      <c r="G183" s="433">
        <v>19760.439999999999</v>
      </c>
      <c r="H183" s="433" t="s">
        <v>199</v>
      </c>
      <c r="I183" s="433"/>
      <c r="J183" s="433">
        <v>0</v>
      </c>
      <c r="K183" s="433">
        <v>0</v>
      </c>
      <c r="L183" s="433">
        <v>0</v>
      </c>
      <c r="M183" s="433">
        <v>0</v>
      </c>
      <c r="N183" s="658" t="s">
        <v>1065</v>
      </c>
      <c r="O183" s="650"/>
      <c r="P183" s="651"/>
      <c r="R183" s="651"/>
    </row>
    <row r="184" spans="1:18" s="652" customFormat="1" x14ac:dyDescent="0.25">
      <c r="A184" s="656" t="s">
        <v>599</v>
      </c>
      <c r="B184" s="646">
        <f t="shared" si="5"/>
        <v>111142.02</v>
      </c>
      <c r="C184" s="433">
        <v>111142.02</v>
      </c>
      <c r="D184" s="433" t="s">
        <v>199</v>
      </c>
      <c r="E184" s="433"/>
      <c r="F184" s="647">
        <f t="shared" si="6"/>
        <v>142810.43</v>
      </c>
      <c r="G184" s="433">
        <v>142810.43</v>
      </c>
      <c r="H184" s="433" t="s">
        <v>199</v>
      </c>
      <c r="I184" s="433"/>
      <c r="J184" s="433">
        <v>0</v>
      </c>
      <c r="K184" s="433">
        <v>0</v>
      </c>
      <c r="L184" s="433">
        <v>0</v>
      </c>
      <c r="M184" s="433">
        <v>0</v>
      </c>
      <c r="N184" s="657" t="s">
        <v>600</v>
      </c>
      <c r="O184" s="651"/>
      <c r="P184" s="651"/>
      <c r="R184" s="651"/>
    </row>
    <row r="185" spans="1:18" s="652" customFormat="1" x14ac:dyDescent="0.25">
      <c r="A185" s="656" t="s">
        <v>601</v>
      </c>
      <c r="B185" s="646">
        <f t="shared" si="5"/>
        <v>301203.11</v>
      </c>
      <c r="C185" s="433">
        <v>279246.01</v>
      </c>
      <c r="D185" s="433">
        <v>21957.1</v>
      </c>
      <c r="E185" s="433"/>
      <c r="F185" s="647">
        <f t="shared" si="6"/>
        <v>428686.40080154303</v>
      </c>
      <c r="G185" s="433">
        <v>398686.40080154303</v>
      </c>
      <c r="H185" s="433">
        <v>30000</v>
      </c>
      <c r="I185" s="433"/>
      <c r="J185" s="433">
        <v>0</v>
      </c>
      <c r="K185" s="433">
        <v>210411.08999999991</v>
      </c>
      <c r="L185" s="433">
        <v>342079.06</v>
      </c>
      <c r="M185" s="433">
        <v>574582.66</v>
      </c>
      <c r="N185" s="657" t="s">
        <v>602</v>
      </c>
      <c r="O185" s="651"/>
      <c r="P185" s="651"/>
      <c r="R185" s="651"/>
    </row>
    <row r="186" spans="1:18" s="652" customFormat="1" x14ac:dyDescent="0.25">
      <c r="A186" s="656" t="s">
        <v>603</v>
      </c>
      <c r="B186" s="646">
        <f t="shared" si="5"/>
        <v>1121855.1000000001</v>
      </c>
      <c r="C186" s="433">
        <v>1055187.6000000001</v>
      </c>
      <c r="D186" s="433">
        <v>66667.5</v>
      </c>
      <c r="E186" s="433"/>
      <c r="F186" s="647">
        <f t="shared" si="6"/>
        <v>2127506.4852990001</v>
      </c>
      <c r="G186" s="433">
        <v>1845916.072899</v>
      </c>
      <c r="H186" s="433">
        <v>281590.41239999997</v>
      </c>
      <c r="I186" s="433"/>
      <c r="J186" s="433">
        <v>7536351</v>
      </c>
      <c r="K186" s="433">
        <v>6913462.7299999697</v>
      </c>
      <c r="L186" s="433">
        <v>7304252.2999999998</v>
      </c>
      <c r="M186" s="433">
        <v>8528285.0399999991</v>
      </c>
      <c r="N186" s="657" t="s">
        <v>604</v>
      </c>
      <c r="O186" s="651"/>
      <c r="P186" s="651"/>
      <c r="R186" s="651"/>
    </row>
    <row r="187" spans="1:18" s="652" customFormat="1" ht="8.25" customHeight="1" x14ac:dyDescent="0.25">
      <c r="A187" s="656"/>
      <c r="B187" s="646"/>
      <c r="C187" s="433"/>
      <c r="D187" s="433"/>
      <c r="E187" s="433"/>
      <c r="F187" s="647"/>
      <c r="G187" s="433"/>
      <c r="H187" s="433"/>
      <c r="I187" s="433"/>
      <c r="J187" s="433"/>
      <c r="K187" s="433"/>
      <c r="L187" s="433"/>
      <c r="M187" s="433"/>
      <c r="N187" s="660"/>
      <c r="O187" s="651"/>
      <c r="P187" s="651"/>
      <c r="R187" s="651"/>
    </row>
    <row r="188" spans="1:18" s="652" customFormat="1" x14ac:dyDescent="0.25">
      <c r="A188" s="654" t="s">
        <v>300</v>
      </c>
      <c r="B188" s="646">
        <f t="shared" si="5"/>
        <v>5273164.8800000008</v>
      </c>
      <c r="C188" s="387">
        <f>SUM(C189:C201)</f>
        <v>4583103.4300000006</v>
      </c>
      <c r="D188" s="387">
        <f>SUM(D189:D201)</f>
        <v>690061.45000000007</v>
      </c>
      <c r="E188" s="387"/>
      <c r="F188" s="647">
        <f t="shared" si="6"/>
        <v>7668957.2865999807</v>
      </c>
      <c r="G188" s="387">
        <f>SUM(G189:G201)</f>
        <v>6823349.6430999823</v>
      </c>
      <c r="H188" s="387">
        <f>SUM(H189:H201)</f>
        <v>845607.64349999884</v>
      </c>
      <c r="I188" s="387"/>
      <c r="J188" s="387">
        <f>SUM(J189:J201)</f>
        <v>10105484</v>
      </c>
      <c r="K188" s="387">
        <f>SUM(K189:K201)</f>
        <v>10945367.059999997</v>
      </c>
      <c r="L188" s="387">
        <f>SUM(L189:L201)</f>
        <v>15424283.250000002</v>
      </c>
      <c r="M188" s="387">
        <f>SUM(M189:M201)</f>
        <v>20505081.599999998</v>
      </c>
      <c r="N188" s="655" t="s">
        <v>301</v>
      </c>
      <c r="O188" s="651"/>
      <c r="P188" s="651"/>
      <c r="R188" s="651"/>
    </row>
    <row r="189" spans="1:18" s="652" customFormat="1" x14ac:dyDescent="0.25">
      <c r="A189" s="656" t="s">
        <v>605</v>
      </c>
      <c r="B189" s="646">
        <f t="shared" si="5"/>
        <v>286887.51</v>
      </c>
      <c r="C189" s="433">
        <v>257265.53</v>
      </c>
      <c r="D189" s="433">
        <v>29621.98</v>
      </c>
      <c r="E189" s="433"/>
      <c r="F189" s="647">
        <f t="shared" si="6"/>
        <v>253235.41949999999</v>
      </c>
      <c r="G189" s="433">
        <v>231332.2395</v>
      </c>
      <c r="H189" s="433">
        <v>21903.18</v>
      </c>
      <c r="I189" s="433"/>
      <c r="J189" s="433">
        <v>182534</v>
      </c>
      <c r="K189" s="433">
        <v>261581.84999999992</v>
      </c>
      <c r="L189" s="433">
        <v>542764.73</v>
      </c>
      <c r="M189" s="433">
        <v>537529.36</v>
      </c>
      <c r="N189" s="657" t="s">
        <v>606</v>
      </c>
      <c r="O189" s="650"/>
      <c r="P189" s="651"/>
      <c r="R189" s="651"/>
    </row>
    <row r="190" spans="1:18" s="652" customFormat="1" x14ac:dyDescent="0.25">
      <c r="A190" s="656" t="s">
        <v>1066</v>
      </c>
      <c r="B190" s="646">
        <f t="shared" si="5"/>
        <v>907625.91</v>
      </c>
      <c r="C190" s="433">
        <v>747663.79</v>
      </c>
      <c r="D190" s="433">
        <v>159962.12</v>
      </c>
      <c r="E190" s="433"/>
      <c r="F190" s="647">
        <f t="shared" si="6"/>
        <v>850289.42569999909</v>
      </c>
      <c r="G190" s="433">
        <v>726723.51999999909</v>
      </c>
      <c r="H190" s="433">
        <v>123565.9057</v>
      </c>
      <c r="I190" s="433"/>
      <c r="J190" s="433">
        <v>491137</v>
      </c>
      <c r="K190" s="433">
        <v>609866.99999999895</v>
      </c>
      <c r="L190" s="433">
        <v>1017088.8</v>
      </c>
      <c r="M190" s="433">
        <v>1626901.82</v>
      </c>
      <c r="N190" s="658" t="s">
        <v>1067</v>
      </c>
      <c r="O190" s="650"/>
      <c r="P190" s="651"/>
      <c r="R190" s="651"/>
    </row>
    <row r="191" spans="1:18" s="652" customFormat="1" x14ac:dyDescent="0.25">
      <c r="A191" s="656" t="s">
        <v>609</v>
      </c>
      <c r="B191" s="646">
        <f t="shared" si="5"/>
        <v>348579.53</v>
      </c>
      <c r="C191" s="433">
        <v>276543.88</v>
      </c>
      <c r="D191" s="433">
        <v>72035.649999999994</v>
      </c>
      <c r="E191" s="433"/>
      <c r="F191" s="647">
        <f t="shared" si="6"/>
        <v>527176.29079999891</v>
      </c>
      <c r="G191" s="433">
        <v>495368.44999999896</v>
      </c>
      <c r="H191" s="433">
        <v>31807.8407999999</v>
      </c>
      <c r="I191" s="433"/>
      <c r="J191" s="433">
        <v>59071</v>
      </c>
      <c r="K191" s="433">
        <v>250836.9</v>
      </c>
      <c r="L191" s="433">
        <v>413280.34</v>
      </c>
      <c r="M191" s="433">
        <v>878553.08</v>
      </c>
      <c r="N191" s="657" t="s">
        <v>610</v>
      </c>
      <c r="O191" s="650"/>
      <c r="P191" s="651"/>
      <c r="R191" s="651"/>
    </row>
    <row r="192" spans="1:18" s="652" customFormat="1" x14ac:dyDescent="0.25">
      <c r="A192" s="656" t="s">
        <v>611</v>
      </c>
      <c r="B192" s="646">
        <f t="shared" si="5"/>
        <v>224981.45</v>
      </c>
      <c r="C192" s="433">
        <v>224981.45</v>
      </c>
      <c r="D192" s="433" t="s">
        <v>199</v>
      </c>
      <c r="E192" s="433"/>
      <c r="F192" s="647">
        <f t="shared" si="6"/>
        <v>267666.05</v>
      </c>
      <c r="G192" s="433">
        <v>267666.05</v>
      </c>
      <c r="H192" s="433" t="s">
        <v>199</v>
      </c>
      <c r="I192" s="433"/>
      <c r="J192" s="433">
        <v>112893</v>
      </c>
      <c r="K192" s="433">
        <v>175945.98</v>
      </c>
      <c r="L192" s="433">
        <v>176222.38</v>
      </c>
      <c r="M192" s="433">
        <v>665202.23</v>
      </c>
      <c r="N192" s="657" t="s">
        <v>612</v>
      </c>
      <c r="O192" s="650"/>
      <c r="P192" s="651"/>
      <c r="R192" s="651"/>
    </row>
    <row r="193" spans="1:18" s="652" customFormat="1" x14ac:dyDescent="0.25">
      <c r="A193" s="656" t="s">
        <v>527</v>
      </c>
      <c r="B193" s="646">
        <f t="shared" si="5"/>
        <v>652466.61</v>
      </c>
      <c r="C193" s="433">
        <v>571729.22</v>
      </c>
      <c r="D193" s="433">
        <v>80737.39</v>
      </c>
      <c r="E193" s="433"/>
      <c r="F193" s="647">
        <f t="shared" si="6"/>
        <v>1136876.8776999889</v>
      </c>
      <c r="G193" s="433">
        <v>1027172.98149999</v>
      </c>
      <c r="H193" s="433">
        <v>109703.896199999</v>
      </c>
      <c r="I193" s="433"/>
      <c r="J193" s="433">
        <v>765075</v>
      </c>
      <c r="K193" s="433">
        <v>1471504.0399999998</v>
      </c>
      <c r="L193" s="433">
        <v>1890259.22</v>
      </c>
      <c r="M193" s="433">
        <v>2367729.7799999998</v>
      </c>
      <c r="N193" s="657" t="s">
        <v>528</v>
      </c>
      <c r="O193" s="650"/>
      <c r="P193" s="651"/>
      <c r="R193" s="651"/>
    </row>
    <row r="194" spans="1:18" s="652" customFormat="1" x14ac:dyDescent="0.25">
      <c r="A194" s="656" t="s">
        <v>613</v>
      </c>
      <c r="B194" s="646">
        <f t="shared" si="5"/>
        <v>419818.59</v>
      </c>
      <c r="C194" s="433">
        <v>411008.39</v>
      </c>
      <c r="D194" s="433">
        <v>8810.2000000000007</v>
      </c>
      <c r="E194" s="433"/>
      <c r="F194" s="647">
        <f t="shared" si="6"/>
        <v>657030.89339999901</v>
      </c>
      <c r="G194" s="433">
        <v>597262.27499999898</v>
      </c>
      <c r="H194" s="433">
        <v>59768.618399999999</v>
      </c>
      <c r="I194" s="433"/>
      <c r="J194" s="433">
        <v>117000</v>
      </c>
      <c r="K194" s="433">
        <v>112995</v>
      </c>
      <c r="L194" s="433">
        <v>193481.8</v>
      </c>
      <c r="M194" s="433">
        <v>484320.08</v>
      </c>
      <c r="N194" s="657" t="s">
        <v>614</v>
      </c>
      <c r="O194" s="650"/>
      <c r="P194" s="651"/>
      <c r="R194" s="651"/>
    </row>
    <row r="195" spans="1:18" s="652" customFormat="1" x14ac:dyDescent="0.25">
      <c r="A195" s="656" t="s">
        <v>615</v>
      </c>
      <c r="B195" s="646">
        <f t="shared" si="5"/>
        <v>30045.65</v>
      </c>
      <c r="C195" s="433">
        <v>30045.65</v>
      </c>
      <c r="D195" s="433" t="s">
        <v>199</v>
      </c>
      <c r="E195" s="433"/>
      <c r="F195" s="647">
        <f t="shared" si="6"/>
        <v>73975.099999999889</v>
      </c>
      <c r="G195" s="433">
        <v>73975.099999999889</v>
      </c>
      <c r="H195" s="433" t="s">
        <v>199</v>
      </c>
      <c r="I195" s="433"/>
      <c r="J195" s="433">
        <v>0</v>
      </c>
      <c r="K195" s="433">
        <v>0</v>
      </c>
      <c r="L195" s="433">
        <v>29710.12</v>
      </c>
      <c r="M195" s="433">
        <v>136854.35999999999</v>
      </c>
      <c r="N195" s="657" t="s">
        <v>616</v>
      </c>
      <c r="O195" s="650"/>
      <c r="P195" s="651"/>
      <c r="R195" s="651"/>
    </row>
    <row r="196" spans="1:18" s="652" customFormat="1" x14ac:dyDescent="0.25">
      <c r="A196" s="656" t="s">
        <v>617</v>
      </c>
      <c r="B196" s="646">
        <f t="shared" si="5"/>
        <v>205696.47999999998</v>
      </c>
      <c r="C196" s="433">
        <v>204422.71</v>
      </c>
      <c r="D196" s="433">
        <v>1273.77</v>
      </c>
      <c r="E196" s="433"/>
      <c r="F196" s="647">
        <f t="shared" si="6"/>
        <v>311366.92</v>
      </c>
      <c r="G196" s="433">
        <v>302803.03999999998</v>
      </c>
      <c r="H196" s="433">
        <v>8563.8799999999992</v>
      </c>
      <c r="I196" s="433"/>
      <c r="J196" s="433">
        <v>673999</v>
      </c>
      <c r="K196" s="433">
        <v>891753.40999999992</v>
      </c>
      <c r="L196" s="433">
        <v>1274485.23</v>
      </c>
      <c r="M196" s="433">
        <v>1633334.55</v>
      </c>
      <c r="N196" s="657" t="s">
        <v>618</v>
      </c>
      <c r="O196" s="651"/>
      <c r="P196" s="651"/>
      <c r="R196" s="651"/>
    </row>
    <row r="197" spans="1:18" s="652" customFormat="1" x14ac:dyDescent="0.25">
      <c r="A197" s="656" t="s">
        <v>619</v>
      </c>
      <c r="B197" s="646">
        <f t="shared" si="5"/>
        <v>159545.29999999999</v>
      </c>
      <c r="C197" s="433">
        <v>86359.84</v>
      </c>
      <c r="D197" s="433">
        <v>73185.460000000006</v>
      </c>
      <c r="E197" s="433"/>
      <c r="F197" s="647">
        <f t="shared" si="6"/>
        <v>266035.28999999899</v>
      </c>
      <c r="G197" s="433">
        <v>149273.52999999898</v>
      </c>
      <c r="H197" s="433">
        <v>116761.76</v>
      </c>
      <c r="I197" s="433"/>
      <c r="J197" s="433">
        <v>46546</v>
      </c>
      <c r="K197" s="433">
        <v>71298.05</v>
      </c>
      <c r="L197" s="433">
        <v>172272.83</v>
      </c>
      <c r="M197" s="433">
        <v>259761.18</v>
      </c>
      <c r="N197" s="657" t="s">
        <v>620</v>
      </c>
      <c r="O197" s="651"/>
      <c r="P197" s="651"/>
      <c r="R197" s="651"/>
    </row>
    <row r="198" spans="1:18" s="652" customFormat="1" x14ac:dyDescent="0.25">
      <c r="A198" s="656" t="s">
        <v>621</v>
      </c>
      <c r="B198" s="646">
        <f t="shared" si="5"/>
        <v>935121.27</v>
      </c>
      <c r="C198" s="433">
        <v>832428.76</v>
      </c>
      <c r="D198" s="433">
        <v>102692.51</v>
      </c>
      <c r="E198" s="433"/>
      <c r="F198" s="647">
        <f t="shared" si="6"/>
        <v>1225811.6100999988</v>
      </c>
      <c r="G198" s="433">
        <v>994631.37009999889</v>
      </c>
      <c r="H198" s="433">
        <v>231180.24</v>
      </c>
      <c r="I198" s="433"/>
      <c r="J198" s="433">
        <v>912981</v>
      </c>
      <c r="K198" s="433">
        <v>721180.66</v>
      </c>
      <c r="L198" s="433">
        <v>981325.06</v>
      </c>
      <c r="M198" s="433">
        <v>1566689.44</v>
      </c>
      <c r="N198" s="657" t="s">
        <v>622</v>
      </c>
      <c r="O198" s="651"/>
      <c r="P198" s="651"/>
      <c r="R198" s="651"/>
    </row>
    <row r="199" spans="1:18" s="652" customFormat="1" x14ac:dyDescent="0.25">
      <c r="A199" s="656" t="s">
        <v>623</v>
      </c>
      <c r="B199" s="646">
        <f t="shared" si="5"/>
        <v>436118.07</v>
      </c>
      <c r="C199" s="433">
        <v>351053.28</v>
      </c>
      <c r="D199" s="433">
        <v>85064.79</v>
      </c>
      <c r="E199" s="433"/>
      <c r="F199" s="647">
        <f t="shared" si="6"/>
        <v>710749.78319999785</v>
      </c>
      <c r="G199" s="433">
        <v>622237.38999999792</v>
      </c>
      <c r="H199" s="433">
        <v>88512.393199999904</v>
      </c>
      <c r="I199" s="433"/>
      <c r="J199" s="433">
        <v>6490953</v>
      </c>
      <c r="K199" s="433">
        <v>6133083.5700000003</v>
      </c>
      <c r="L199" s="433">
        <v>8383508.1100000003</v>
      </c>
      <c r="M199" s="433">
        <v>9184973.7599999998</v>
      </c>
      <c r="N199" s="657" t="s">
        <v>624</v>
      </c>
      <c r="O199" s="651"/>
      <c r="P199" s="651"/>
      <c r="R199" s="651"/>
    </row>
    <row r="200" spans="1:18" s="652" customFormat="1" x14ac:dyDescent="0.25">
      <c r="A200" s="656" t="s">
        <v>625</v>
      </c>
      <c r="B200" s="646">
        <f t="shared" ref="B200:B254" si="7">SUM(C200:D200)</f>
        <v>390819.11</v>
      </c>
      <c r="C200" s="433">
        <v>390819.11</v>
      </c>
      <c r="D200" s="433" t="s">
        <v>199</v>
      </c>
      <c r="E200" s="433"/>
      <c r="F200" s="647">
        <f t="shared" ref="F200:F254" si="8">SUM(G200:H200)</f>
        <v>944265.16</v>
      </c>
      <c r="G200" s="433">
        <v>944265.16</v>
      </c>
      <c r="H200" s="433" t="s">
        <v>199</v>
      </c>
      <c r="I200" s="433"/>
      <c r="J200" s="433">
        <v>108780</v>
      </c>
      <c r="K200" s="433">
        <v>120971.12</v>
      </c>
      <c r="L200" s="433">
        <v>180192.5</v>
      </c>
      <c r="M200" s="433">
        <v>665196.06000000006</v>
      </c>
      <c r="N200" s="657" t="s">
        <v>626</v>
      </c>
      <c r="O200" s="651"/>
      <c r="P200" s="651"/>
      <c r="R200" s="651"/>
    </row>
    <row r="201" spans="1:18" s="652" customFormat="1" x14ac:dyDescent="0.25">
      <c r="A201" s="656" t="s">
        <v>545</v>
      </c>
      <c r="B201" s="646">
        <f t="shared" si="7"/>
        <v>275459.40000000002</v>
      </c>
      <c r="C201" s="433">
        <v>198781.82</v>
      </c>
      <c r="D201" s="433">
        <v>76677.58</v>
      </c>
      <c r="E201" s="433"/>
      <c r="F201" s="647">
        <f t="shared" si="8"/>
        <v>444478.46619999991</v>
      </c>
      <c r="G201" s="433">
        <v>390638.53699999989</v>
      </c>
      <c r="H201" s="433">
        <v>53839.929199999999</v>
      </c>
      <c r="I201" s="433"/>
      <c r="J201" s="433">
        <v>144515</v>
      </c>
      <c r="K201" s="433">
        <v>124349.47999999901</v>
      </c>
      <c r="L201" s="433">
        <v>169692.13</v>
      </c>
      <c r="M201" s="433">
        <v>498035.9</v>
      </c>
      <c r="N201" s="657" t="s">
        <v>546</v>
      </c>
      <c r="O201" s="651"/>
      <c r="P201" s="651"/>
      <c r="R201" s="651"/>
    </row>
    <row r="202" spans="1:18" s="652" customFormat="1" ht="9" customHeight="1" x14ac:dyDescent="0.25">
      <c r="A202" s="656"/>
      <c r="B202" s="646"/>
      <c r="C202" s="433"/>
      <c r="D202" s="433"/>
      <c r="E202" s="433"/>
      <c r="F202" s="647"/>
      <c r="G202" s="433"/>
      <c r="H202" s="433"/>
      <c r="I202" s="433"/>
      <c r="J202" s="433"/>
      <c r="K202" s="433"/>
      <c r="L202" s="433"/>
      <c r="M202" s="433"/>
      <c r="N202" s="657"/>
      <c r="O202" s="651"/>
      <c r="P202" s="651"/>
      <c r="R202" s="651"/>
    </row>
    <row r="203" spans="1:18" s="652" customFormat="1" x14ac:dyDescent="0.25">
      <c r="A203" s="654" t="s">
        <v>303</v>
      </c>
      <c r="B203" s="646">
        <f t="shared" si="7"/>
        <v>3092723.3610000005</v>
      </c>
      <c r="C203" s="387">
        <f>SUM(C204:C215)</f>
        <v>2627929.0500000003</v>
      </c>
      <c r="D203" s="387">
        <f>SUM(D204:D215)</f>
        <v>464794.31099999999</v>
      </c>
      <c r="E203" s="387"/>
      <c r="F203" s="647">
        <f t="shared" si="8"/>
        <v>4448510.1711999858</v>
      </c>
      <c r="G203" s="387">
        <f>SUM(G204:G215)</f>
        <v>4039115.5589999864</v>
      </c>
      <c r="H203" s="387">
        <f>SUM(H204:H215)</f>
        <v>409394.6121999998</v>
      </c>
      <c r="I203" s="387"/>
      <c r="J203" s="387">
        <f>SUM(J204:J215)</f>
        <v>12373132</v>
      </c>
      <c r="K203" s="387">
        <f>SUM(K204:K215)</f>
        <v>11644595.34999999</v>
      </c>
      <c r="L203" s="387">
        <f>SUM(L204:L215)</f>
        <v>19121149.299999997</v>
      </c>
      <c r="M203" s="387">
        <f>SUM(M204:M215)</f>
        <v>27347316.960000001</v>
      </c>
      <c r="N203" s="655" t="s">
        <v>304</v>
      </c>
      <c r="O203" s="650"/>
      <c r="P203" s="651"/>
      <c r="R203" s="651"/>
    </row>
    <row r="204" spans="1:18" s="652" customFormat="1" x14ac:dyDescent="0.25">
      <c r="A204" s="656" t="s">
        <v>627</v>
      </c>
      <c r="B204" s="646">
        <f t="shared" si="7"/>
        <v>341051.11</v>
      </c>
      <c r="C204" s="433">
        <v>341051.11</v>
      </c>
      <c r="D204" s="433" t="s">
        <v>199</v>
      </c>
      <c r="E204" s="433"/>
      <c r="F204" s="647">
        <f t="shared" si="8"/>
        <v>572876.99499999895</v>
      </c>
      <c r="G204" s="433">
        <v>496460.25499999896</v>
      </c>
      <c r="H204" s="433">
        <v>76416.740000000005</v>
      </c>
      <c r="I204" s="433"/>
      <c r="J204" s="433">
        <v>345331</v>
      </c>
      <c r="K204" s="433">
        <v>405092.25</v>
      </c>
      <c r="L204" s="433">
        <v>354237.1</v>
      </c>
      <c r="M204" s="433">
        <v>870215.65</v>
      </c>
      <c r="N204" s="657" t="s">
        <v>628</v>
      </c>
      <c r="O204" s="650"/>
      <c r="P204" s="651"/>
      <c r="R204" s="651"/>
    </row>
    <row r="205" spans="1:18" s="652" customFormat="1" x14ac:dyDescent="0.25">
      <c r="A205" s="656" t="s">
        <v>629</v>
      </c>
      <c r="B205" s="646">
        <f t="shared" si="7"/>
        <v>276108.13</v>
      </c>
      <c r="C205" s="433">
        <v>154474.17000000001</v>
      </c>
      <c r="D205" s="433">
        <v>121633.96</v>
      </c>
      <c r="E205" s="433"/>
      <c r="F205" s="647">
        <f t="shared" si="8"/>
        <v>258156.81999999899</v>
      </c>
      <c r="G205" s="433">
        <v>228156.81999999899</v>
      </c>
      <c r="H205" s="433">
        <v>30000</v>
      </c>
      <c r="I205" s="433"/>
      <c r="J205" s="433">
        <v>135135</v>
      </c>
      <c r="K205" s="433">
        <v>137025</v>
      </c>
      <c r="L205" s="433">
        <v>211830</v>
      </c>
      <c r="M205" s="433">
        <v>300491.92</v>
      </c>
      <c r="N205" s="657" t="s">
        <v>630</v>
      </c>
      <c r="O205" s="650"/>
      <c r="P205" s="651"/>
      <c r="R205" s="651"/>
    </row>
    <row r="206" spans="1:18" s="652" customFormat="1" x14ac:dyDescent="0.25">
      <c r="A206" s="656" t="s">
        <v>631</v>
      </c>
      <c r="B206" s="646">
        <f t="shared" si="7"/>
        <v>376808.52099999995</v>
      </c>
      <c r="C206" s="433">
        <v>203228.27</v>
      </c>
      <c r="D206" s="433">
        <v>173580.25099999999</v>
      </c>
      <c r="E206" s="433"/>
      <c r="F206" s="647">
        <f t="shared" si="8"/>
        <v>324165.50999999989</v>
      </c>
      <c r="G206" s="433">
        <v>263007.89</v>
      </c>
      <c r="H206" s="433">
        <v>61157.619999999901</v>
      </c>
      <c r="I206" s="433"/>
      <c r="J206" s="433">
        <v>457350</v>
      </c>
      <c r="K206" s="433">
        <v>257660.3</v>
      </c>
      <c r="L206" s="433">
        <v>214381.1</v>
      </c>
      <c r="M206" s="433">
        <v>452842.75</v>
      </c>
      <c r="N206" s="657" t="s">
        <v>632</v>
      </c>
      <c r="O206" s="650"/>
      <c r="P206" s="651"/>
      <c r="R206" s="651"/>
    </row>
    <row r="207" spans="1:18" s="652" customFormat="1" x14ac:dyDescent="0.25">
      <c r="A207" s="656" t="s">
        <v>633</v>
      </c>
      <c r="B207" s="646">
        <f t="shared" si="7"/>
        <v>121987.88</v>
      </c>
      <c r="C207" s="433">
        <v>103930.78</v>
      </c>
      <c r="D207" s="433">
        <v>18057.099999999999</v>
      </c>
      <c r="E207" s="433"/>
      <c r="F207" s="647">
        <f t="shared" si="8"/>
        <v>156843.57999999999</v>
      </c>
      <c r="G207" s="433">
        <v>123434.37</v>
      </c>
      <c r="H207" s="433">
        <v>33409.21</v>
      </c>
      <c r="I207" s="433"/>
      <c r="J207" s="433">
        <v>8060</v>
      </c>
      <c r="K207" s="433">
        <v>14305</v>
      </c>
      <c r="L207" s="433">
        <v>27820</v>
      </c>
      <c r="M207" s="433">
        <v>145192.95999999999</v>
      </c>
      <c r="N207" s="657" t="s">
        <v>634</v>
      </c>
      <c r="O207" s="651"/>
      <c r="P207" s="651"/>
      <c r="R207" s="651"/>
    </row>
    <row r="208" spans="1:18" s="652" customFormat="1" x14ac:dyDescent="0.25">
      <c r="A208" s="656" t="s">
        <v>635</v>
      </c>
      <c r="B208" s="646">
        <f t="shared" si="7"/>
        <v>87244.51999999999</v>
      </c>
      <c r="C208" s="433">
        <v>69028.7</v>
      </c>
      <c r="D208" s="433">
        <v>18215.82</v>
      </c>
      <c r="E208" s="433"/>
      <c r="F208" s="647">
        <f t="shared" si="8"/>
        <v>84160.56</v>
      </c>
      <c r="G208" s="433">
        <v>84160.56</v>
      </c>
      <c r="H208" s="433" t="s">
        <v>199</v>
      </c>
      <c r="I208" s="433"/>
      <c r="J208" s="433">
        <v>0</v>
      </c>
      <c r="K208" s="433">
        <v>0</v>
      </c>
      <c r="L208" s="433">
        <v>0</v>
      </c>
      <c r="M208" s="433">
        <v>0</v>
      </c>
      <c r="N208" s="657" t="s">
        <v>636</v>
      </c>
      <c r="O208" s="651"/>
      <c r="P208" s="651"/>
      <c r="R208" s="651"/>
    </row>
    <row r="209" spans="1:18" s="652" customFormat="1" x14ac:dyDescent="0.25">
      <c r="A209" s="656" t="s">
        <v>637</v>
      </c>
      <c r="B209" s="646">
        <f t="shared" si="7"/>
        <v>681776.43</v>
      </c>
      <c r="C209" s="433">
        <v>556819.66</v>
      </c>
      <c r="D209" s="433">
        <v>124956.77</v>
      </c>
      <c r="E209" s="433"/>
      <c r="F209" s="647">
        <f t="shared" si="8"/>
        <v>1091122.77659999</v>
      </c>
      <c r="G209" s="433">
        <v>1015383.8199999901</v>
      </c>
      <c r="H209" s="433">
        <v>75738.956599999903</v>
      </c>
      <c r="I209" s="433"/>
      <c r="J209" s="433">
        <v>9655443</v>
      </c>
      <c r="K209" s="433">
        <v>9643918.3599999901</v>
      </c>
      <c r="L209" s="433">
        <v>15696148.060000001</v>
      </c>
      <c r="M209" s="433">
        <v>19583745.210000001</v>
      </c>
      <c r="N209" s="657" t="s">
        <v>638</v>
      </c>
      <c r="O209" s="651"/>
      <c r="P209" s="651"/>
      <c r="R209" s="651"/>
    </row>
    <row r="210" spans="1:18" s="652" customFormat="1" x14ac:dyDescent="0.25">
      <c r="A210" s="656" t="s">
        <v>639</v>
      </c>
      <c r="B210" s="646">
        <f t="shared" si="7"/>
        <v>249022.58</v>
      </c>
      <c r="C210" s="433">
        <v>249022.58</v>
      </c>
      <c r="D210" s="433" t="s">
        <v>199</v>
      </c>
      <c r="E210" s="433"/>
      <c r="F210" s="647">
        <f t="shared" si="8"/>
        <v>602862.973</v>
      </c>
      <c r="G210" s="433">
        <v>567649.01399999997</v>
      </c>
      <c r="H210" s="433">
        <v>35213.959000000003</v>
      </c>
      <c r="I210" s="433"/>
      <c r="J210" s="433">
        <v>589046</v>
      </c>
      <c r="K210" s="433">
        <v>571017</v>
      </c>
      <c r="L210" s="433">
        <v>1071238.1000000001</v>
      </c>
      <c r="M210" s="433">
        <v>2398890.2000000002</v>
      </c>
      <c r="N210" s="657" t="s">
        <v>640</v>
      </c>
      <c r="O210" s="651"/>
      <c r="P210" s="651"/>
      <c r="R210" s="651"/>
    </row>
    <row r="211" spans="1:18" s="652" customFormat="1" x14ac:dyDescent="0.25">
      <c r="A211" s="656" t="s">
        <v>641</v>
      </c>
      <c r="B211" s="646">
        <f t="shared" si="7"/>
        <v>468558.56</v>
      </c>
      <c r="C211" s="433">
        <v>468558.56</v>
      </c>
      <c r="D211" s="433" t="s">
        <v>199</v>
      </c>
      <c r="E211" s="433"/>
      <c r="F211" s="647">
        <f t="shared" si="8"/>
        <v>605286.42099999997</v>
      </c>
      <c r="G211" s="433">
        <v>554182.62</v>
      </c>
      <c r="H211" s="433">
        <v>51103.800999999999</v>
      </c>
      <c r="I211" s="433"/>
      <c r="J211" s="433">
        <v>626787</v>
      </c>
      <c r="K211" s="433">
        <v>93419</v>
      </c>
      <c r="L211" s="433">
        <v>559235.9</v>
      </c>
      <c r="M211" s="433">
        <v>1723098.92</v>
      </c>
      <c r="N211" s="657" t="s">
        <v>642</v>
      </c>
      <c r="O211" s="650"/>
      <c r="P211" s="651"/>
      <c r="R211" s="651"/>
    </row>
    <row r="212" spans="1:18" s="652" customFormat="1" x14ac:dyDescent="0.25">
      <c r="A212" s="656" t="s">
        <v>643</v>
      </c>
      <c r="B212" s="646">
        <f t="shared" si="7"/>
        <v>139884.62</v>
      </c>
      <c r="C212" s="433">
        <v>135454.37</v>
      </c>
      <c r="D212" s="433">
        <v>4430.25</v>
      </c>
      <c r="E212" s="433"/>
      <c r="F212" s="647">
        <f t="shared" si="8"/>
        <v>216450.300599999</v>
      </c>
      <c r="G212" s="433">
        <v>206813.87999999899</v>
      </c>
      <c r="H212" s="433">
        <v>9636.4205999999995</v>
      </c>
      <c r="I212" s="433"/>
      <c r="J212" s="433">
        <v>2810</v>
      </c>
      <c r="K212" s="433">
        <v>5140</v>
      </c>
      <c r="L212" s="433">
        <v>2320</v>
      </c>
      <c r="M212" s="433">
        <v>8440</v>
      </c>
      <c r="N212" s="657" t="s">
        <v>644</v>
      </c>
      <c r="O212" s="650"/>
      <c r="P212" s="651"/>
      <c r="R212" s="651"/>
    </row>
    <row r="213" spans="1:18" s="652" customFormat="1" x14ac:dyDescent="0.25">
      <c r="A213" s="656" t="s">
        <v>645</v>
      </c>
      <c r="B213" s="646">
        <f t="shared" si="7"/>
        <v>192724.84</v>
      </c>
      <c r="C213" s="433">
        <v>188804.68</v>
      </c>
      <c r="D213" s="433">
        <v>3920.16</v>
      </c>
      <c r="E213" s="433"/>
      <c r="F213" s="647">
        <f t="shared" si="8"/>
        <v>327782.32539999904</v>
      </c>
      <c r="G213" s="433">
        <v>297670.03999999905</v>
      </c>
      <c r="H213" s="433">
        <v>30112.285400000001</v>
      </c>
      <c r="I213" s="433"/>
      <c r="J213" s="433">
        <v>228009</v>
      </c>
      <c r="K213" s="433">
        <v>87960</v>
      </c>
      <c r="L213" s="433">
        <v>24490</v>
      </c>
      <c r="M213" s="433">
        <v>0</v>
      </c>
      <c r="N213" s="657" t="s">
        <v>646</v>
      </c>
      <c r="O213" s="650"/>
      <c r="P213" s="651"/>
      <c r="R213" s="651"/>
    </row>
    <row r="214" spans="1:18" s="652" customFormat="1" x14ac:dyDescent="0.25">
      <c r="A214" s="656" t="s">
        <v>647</v>
      </c>
      <c r="B214" s="646">
        <f t="shared" si="7"/>
        <v>124672.12</v>
      </c>
      <c r="C214" s="433">
        <v>124672.12</v>
      </c>
      <c r="D214" s="433" t="s">
        <v>199</v>
      </c>
      <c r="E214" s="433"/>
      <c r="F214" s="647">
        <f t="shared" si="8"/>
        <v>139146.68059999999</v>
      </c>
      <c r="G214" s="433">
        <v>132702.19999999998</v>
      </c>
      <c r="H214" s="433">
        <v>6444.4805999999999</v>
      </c>
      <c r="I214" s="433"/>
      <c r="J214" s="433">
        <v>203336</v>
      </c>
      <c r="K214" s="433">
        <v>320373.43999999901</v>
      </c>
      <c r="L214" s="433">
        <v>830349.04</v>
      </c>
      <c r="M214" s="433">
        <v>1365877.1</v>
      </c>
      <c r="N214" s="657" t="s">
        <v>648</v>
      </c>
      <c r="O214" s="650"/>
      <c r="P214" s="651"/>
      <c r="R214" s="651"/>
    </row>
    <row r="215" spans="1:18" s="652" customFormat="1" x14ac:dyDescent="0.25">
      <c r="A215" s="656" t="s">
        <v>649</v>
      </c>
      <c r="B215" s="646">
        <f t="shared" si="7"/>
        <v>32884.050000000003</v>
      </c>
      <c r="C215" s="433">
        <v>32884.050000000003</v>
      </c>
      <c r="D215" s="433" t="s">
        <v>199</v>
      </c>
      <c r="E215" s="433"/>
      <c r="F215" s="647">
        <f t="shared" si="8"/>
        <v>69655.228999999992</v>
      </c>
      <c r="G215" s="433">
        <v>69494.09</v>
      </c>
      <c r="H215" s="433">
        <v>161.13900000000001</v>
      </c>
      <c r="I215" s="433"/>
      <c r="J215" s="433">
        <v>121825</v>
      </c>
      <c r="K215" s="433">
        <v>108685</v>
      </c>
      <c r="L215" s="433">
        <v>129100</v>
      </c>
      <c r="M215" s="433">
        <v>498522.25</v>
      </c>
      <c r="N215" s="657" t="s">
        <v>650</v>
      </c>
      <c r="O215" s="650"/>
      <c r="P215" s="651"/>
      <c r="R215" s="651"/>
    </row>
    <row r="216" spans="1:18" s="652" customFormat="1" ht="9" customHeight="1" x14ac:dyDescent="0.25">
      <c r="A216" s="656"/>
      <c r="B216" s="646"/>
      <c r="C216" s="433"/>
      <c r="D216" s="433"/>
      <c r="E216" s="433"/>
      <c r="F216" s="647"/>
      <c r="G216" s="433"/>
      <c r="H216" s="433"/>
      <c r="I216" s="433"/>
      <c r="J216" s="433"/>
      <c r="K216" s="433"/>
      <c r="L216" s="433"/>
      <c r="M216" s="433"/>
      <c r="N216" s="660"/>
      <c r="O216" s="650"/>
      <c r="P216" s="651"/>
      <c r="R216" s="651"/>
    </row>
    <row r="217" spans="1:18" s="652" customFormat="1" x14ac:dyDescent="0.25">
      <c r="A217" s="654" t="s">
        <v>306</v>
      </c>
      <c r="B217" s="646">
        <f t="shared" si="7"/>
        <v>4713745.459999999</v>
      </c>
      <c r="C217" s="387">
        <f>SUM(C218:C227)</f>
        <v>4269452.209999999</v>
      </c>
      <c r="D217" s="387">
        <f>SUM(D218:D227)</f>
        <v>444293.25000000006</v>
      </c>
      <c r="E217" s="387"/>
      <c r="F217" s="647">
        <f t="shared" si="8"/>
        <v>12854042.360984365</v>
      </c>
      <c r="G217" s="387">
        <f>SUM(G218:G227)</f>
        <v>11965537.605484365</v>
      </c>
      <c r="H217" s="387">
        <f>SUM(H218:H227)</f>
        <v>888504.75549999974</v>
      </c>
      <c r="I217" s="387"/>
      <c r="J217" s="387">
        <f>SUM(J218:J227)</f>
        <v>12513632</v>
      </c>
      <c r="K217" s="387">
        <f>SUM(K218:K227)</f>
        <v>11341319.889999971</v>
      </c>
      <c r="L217" s="387">
        <f>SUM(L218:L227)</f>
        <v>14483951.450000003</v>
      </c>
      <c r="M217" s="387">
        <f>SUM(M218:M227)</f>
        <v>21910210.289999995</v>
      </c>
      <c r="N217" s="655" t="s">
        <v>307</v>
      </c>
      <c r="O217" s="650"/>
      <c r="P217" s="651"/>
      <c r="R217" s="651"/>
    </row>
    <row r="218" spans="1:18" s="652" customFormat="1" x14ac:dyDescent="0.25">
      <c r="A218" s="656" t="s">
        <v>651</v>
      </c>
      <c r="B218" s="646">
        <f t="shared" si="7"/>
        <v>602479.97</v>
      </c>
      <c r="C218" s="433">
        <v>594736.81999999995</v>
      </c>
      <c r="D218" s="433">
        <v>7743.15</v>
      </c>
      <c r="E218" s="433"/>
      <c r="F218" s="647">
        <f t="shared" si="8"/>
        <v>1546398.9179999901</v>
      </c>
      <c r="G218" s="433">
        <v>1381759.74999999</v>
      </c>
      <c r="H218" s="433">
        <v>164639.16800000001</v>
      </c>
      <c r="I218" s="433"/>
      <c r="J218" s="433">
        <v>478526</v>
      </c>
      <c r="K218" s="433">
        <v>643839.23999999906</v>
      </c>
      <c r="L218" s="433">
        <v>1271232.72</v>
      </c>
      <c r="M218" s="433">
        <v>1902744.76</v>
      </c>
      <c r="N218" s="657" t="s">
        <v>652</v>
      </c>
      <c r="O218" s="650"/>
      <c r="P218" s="651"/>
      <c r="R218" s="651"/>
    </row>
    <row r="219" spans="1:18" s="652" customFormat="1" x14ac:dyDescent="0.25">
      <c r="A219" s="656" t="s">
        <v>653</v>
      </c>
      <c r="B219" s="646">
        <f t="shared" si="7"/>
        <v>1371081.91</v>
      </c>
      <c r="C219" s="433">
        <v>1251189.23</v>
      </c>
      <c r="D219" s="433">
        <v>119892.68</v>
      </c>
      <c r="E219" s="433"/>
      <c r="F219" s="647">
        <f t="shared" si="8"/>
        <v>4136083.8196713999</v>
      </c>
      <c r="G219" s="433">
        <v>3952787.1342714</v>
      </c>
      <c r="H219" s="433">
        <v>183296.68539999999</v>
      </c>
      <c r="I219" s="433"/>
      <c r="J219" s="433">
        <v>8803306</v>
      </c>
      <c r="K219" s="433">
        <v>7091069.9499999806</v>
      </c>
      <c r="L219" s="433">
        <v>8045464.4100000001</v>
      </c>
      <c r="M219" s="433">
        <v>12387461.039999999</v>
      </c>
      <c r="N219" s="657" t="s">
        <v>654</v>
      </c>
      <c r="O219" s="650"/>
      <c r="P219" s="651"/>
      <c r="R219" s="651"/>
    </row>
    <row r="220" spans="1:18" s="652" customFormat="1" x14ac:dyDescent="0.25">
      <c r="A220" s="656" t="s">
        <v>645</v>
      </c>
      <c r="B220" s="646">
        <f t="shared" si="7"/>
        <v>404822.66</v>
      </c>
      <c r="C220" s="433">
        <v>373546.05</v>
      </c>
      <c r="D220" s="433">
        <v>31276.61</v>
      </c>
      <c r="E220" s="433"/>
      <c r="F220" s="647">
        <f t="shared" si="8"/>
        <v>1440294.3425999898</v>
      </c>
      <c r="G220" s="433">
        <v>1306010.6099999899</v>
      </c>
      <c r="H220" s="433">
        <v>134283.73259999999</v>
      </c>
      <c r="I220" s="433"/>
      <c r="J220" s="433">
        <v>462173</v>
      </c>
      <c r="K220" s="433">
        <v>359672.98000000004</v>
      </c>
      <c r="L220" s="433">
        <v>533551.99</v>
      </c>
      <c r="M220" s="433">
        <v>1287144.67</v>
      </c>
      <c r="N220" s="657" t="s">
        <v>646</v>
      </c>
      <c r="O220" s="651"/>
      <c r="P220" s="651"/>
      <c r="R220" s="651"/>
    </row>
    <row r="221" spans="1:18" s="652" customFormat="1" x14ac:dyDescent="0.25">
      <c r="A221" s="656" t="s">
        <v>589</v>
      </c>
      <c r="B221" s="646">
        <f t="shared" si="7"/>
        <v>431709.21</v>
      </c>
      <c r="C221" s="433">
        <v>340469.77</v>
      </c>
      <c r="D221" s="433">
        <v>91239.44</v>
      </c>
      <c r="E221" s="433"/>
      <c r="F221" s="647">
        <f t="shared" si="8"/>
        <v>800180.99939999892</v>
      </c>
      <c r="G221" s="433">
        <v>641253.37999999896</v>
      </c>
      <c r="H221" s="433">
        <v>158927.6194</v>
      </c>
      <c r="I221" s="433"/>
      <c r="J221" s="433">
        <v>87324</v>
      </c>
      <c r="K221" s="433">
        <v>25000</v>
      </c>
      <c r="L221" s="433">
        <v>45870.5</v>
      </c>
      <c r="M221" s="433">
        <v>420942.12</v>
      </c>
      <c r="N221" s="657" t="s">
        <v>590</v>
      </c>
      <c r="O221" s="651"/>
      <c r="P221" s="651"/>
      <c r="R221" s="651"/>
    </row>
    <row r="222" spans="1:18" s="652" customFormat="1" x14ac:dyDescent="0.25">
      <c r="A222" s="656" t="s">
        <v>655</v>
      </c>
      <c r="B222" s="646">
        <f t="shared" si="7"/>
        <v>652667.75</v>
      </c>
      <c r="C222" s="433">
        <v>565925.72</v>
      </c>
      <c r="D222" s="433">
        <v>86742.03</v>
      </c>
      <c r="E222" s="433"/>
      <c r="F222" s="647">
        <f t="shared" si="8"/>
        <v>1744171.61681299</v>
      </c>
      <c r="G222" s="433">
        <v>1656426.4112129901</v>
      </c>
      <c r="H222" s="433">
        <v>87745.205599999899</v>
      </c>
      <c r="I222" s="433"/>
      <c r="J222" s="433">
        <v>2205185</v>
      </c>
      <c r="K222" s="433">
        <v>2487061.6299999901</v>
      </c>
      <c r="L222" s="433">
        <v>2810854.07</v>
      </c>
      <c r="M222" s="433">
        <v>3087984.56</v>
      </c>
      <c r="N222" s="657" t="s">
        <v>656</v>
      </c>
      <c r="O222" s="651"/>
      <c r="P222" s="651"/>
      <c r="R222" s="651"/>
    </row>
    <row r="223" spans="1:18" s="652" customFormat="1" x14ac:dyDescent="0.25">
      <c r="A223" s="656" t="s">
        <v>657</v>
      </c>
      <c r="B223" s="646">
        <f t="shared" si="7"/>
        <v>523705.82</v>
      </c>
      <c r="C223" s="433">
        <v>523102.92</v>
      </c>
      <c r="D223" s="433">
        <v>602.9</v>
      </c>
      <c r="E223" s="433"/>
      <c r="F223" s="647">
        <f t="shared" si="8"/>
        <v>993414.31879999896</v>
      </c>
      <c r="G223" s="433">
        <v>977402.03999999899</v>
      </c>
      <c r="H223" s="433">
        <v>16012.2788</v>
      </c>
      <c r="I223" s="433"/>
      <c r="J223" s="433">
        <v>258947</v>
      </c>
      <c r="K223" s="433">
        <v>244927.28999999989</v>
      </c>
      <c r="L223" s="433">
        <v>548321.14</v>
      </c>
      <c r="M223" s="433">
        <v>941583.4</v>
      </c>
      <c r="N223" s="657" t="s">
        <v>658</v>
      </c>
      <c r="O223" s="651"/>
      <c r="P223" s="651"/>
      <c r="R223" s="651"/>
    </row>
    <row r="224" spans="1:18" s="652" customFormat="1" x14ac:dyDescent="0.25">
      <c r="A224" s="656" t="s">
        <v>659</v>
      </c>
      <c r="B224" s="646">
        <f t="shared" si="7"/>
        <v>94640.07</v>
      </c>
      <c r="C224" s="433">
        <v>94640.07</v>
      </c>
      <c r="D224" s="433" t="s">
        <v>199</v>
      </c>
      <c r="E224" s="433"/>
      <c r="F224" s="647">
        <f t="shared" si="8"/>
        <v>332388.68</v>
      </c>
      <c r="G224" s="433">
        <v>332388.68</v>
      </c>
      <c r="H224" s="433" t="s">
        <v>199</v>
      </c>
      <c r="I224" s="433"/>
      <c r="J224" s="433">
        <v>0</v>
      </c>
      <c r="K224" s="433">
        <v>0</v>
      </c>
      <c r="L224" s="433">
        <v>52324</v>
      </c>
      <c r="M224" s="433">
        <v>242502.02</v>
      </c>
      <c r="N224" s="657" t="s">
        <v>660</v>
      </c>
      <c r="O224" s="651"/>
      <c r="P224" s="651"/>
      <c r="R224" s="651"/>
    </row>
    <row r="225" spans="1:18" s="652" customFormat="1" ht="15.75" x14ac:dyDescent="0.25">
      <c r="A225" s="656" t="s">
        <v>1068</v>
      </c>
      <c r="B225" s="646">
        <f t="shared" si="7"/>
        <v>52367.08</v>
      </c>
      <c r="C225" s="433">
        <v>52367.08</v>
      </c>
      <c r="D225" s="433" t="s">
        <v>199</v>
      </c>
      <c r="E225" s="433"/>
      <c r="F225" s="647">
        <f t="shared" si="8"/>
        <v>69022.16</v>
      </c>
      <c r="G225" s="433">
        <v>69022.16</v>
      </c>
      <c r="H225" s="433" t="s">
        <v>199</v>
      </c>
      <c r="I225" s="433"/>
      <c r="J225" s="433">
        <v>0</v>
      </c>
      <c r="K225" s="433">
        <v>0</v>
      </c>
      <c r="L225" s="433">
        <v>0</v>
      </c>
      <c r="M225" s="433">
        <v>0</v>
      </c>
      <c r="N225" s="657" t="s">
        <v>662</v>
      </c>
      <c r="O225" s="651"/>
      <c r="P225" s="651"/>
      <c r="R225" s="651"/>
    </row>
    <row r="226" spans="1:18" s="652" customFormat="1" x14ac:dyDescent="0.25">
      <c r="A226" s="656" t="s">
        <v>663</v>
      </c>
      <c r="B226" s="646">
        <f t="shared" si="7"/>
        <v>377754.76</v>
      </c>
      <c r="C226" s="433">
        <v>271316.8</v>
      </c>
      <c r="D226" s="433">
        <v>106437.96</v>
      </c>
      <c r="E226" s="433"/>
      <c r="F226" s="647">
        <f t="shared" si="8"/>
        <v>1011406.8821999979</v>
      </c>
      <c r="G226" s="433">
        <v>931839.26999999792</v>
      </c>
      <c r="H226" s="433">
        <v>79567.612200000003</v>
      </c>
      <c r="I226" s="433"/>
      <c r="J226" s="433">
        <v>218171</v>
      </c>
      <c r="K226" s="433">
        <v>480062.55000000005</v>
      </c>
      <c r="L226" s="433">
        <v>1157432.6200000001</v>
      </c>
      <c r="M226" s="433">
        <v>1342849.49</v>
      </c>
      <c r="N226" s="657" t="s">
        <v>664</v>
      </c>
      <c r="O226" s="651"/>
      <c r="P226" s="651"/>
      <c r="R226" s="651"/>
    </row>
    <row r="227" spans="1:18" s="652" customFormat="1" x14ac:dyDescent="0.25">
      <c r="A227" s="656" t="s">
        <v>665</v>
      </c>
      <c r="B227" s="646">
        <f t="shared" si="7"/>
        <v>202516.23</v>
      </c>
      <c r="C227" s="433">
        <v>202157.75</v>
      </c>
      <c r="D227" s="433">
        <v>358.48</v>
      </c>
      <c r="E227" s="433"/>
      <c r="F227" s="647">
        <f t="shared" si="8"/>
        <v>780680.62349999789</v>
      </c>
      <c r="G227" s="433">
        <v>716648.16999999795</v>
      </c>
      <c r="H227" s="433">
        <v>64032.453500000003</v>
      </c>
      <c r="I227" s="433"/>
      <c r="J227" s="433">
        <v>0</v>
      </c>
      <c r="K227" s="433">
        <v>9686.25</v>
      </c>
      <c r="L227" s="433">
        <v>18900</v>
      </c>
      <c r="M227" s="433">
        <v>296998.23</v>
      </c>
      <c r="N227" s="657" t="s">
        <v>666</v>
      </c>
      <c r="O227" s="650"/>
      <c r="P227" s="651"/>
      <c r="R227" s="651"/>
    </row>
    <row r="228" spans="1:18" s="652" customFormat="1" ht="8.25" customHeight="1" x14ac:dyDescent="0.25">
      <c r="A228" s="656"/>
      <c r="B228" s="646"/>
      <c r="C228" s="433"/>
      <c r="D228" s="433"/>
      <c r="E228" s="433"/>
      <c r="F228" s="647"/>
      <c r="G228" s="433"/>
      <c r="H228" s="433"/>
      <c r="I228" s="433"/>
      <c r="J228" s="433"/>
      <c r="K228" s="433"/>
      <c r="L228" s="433"/>
      <c r="M228" s="433"/>
      <c r="N228" s="660"/>
      <c r="O228" s="650"/>
      <c r="P228" s="651"/>
      <c r="R228" s="651"/>
    </row>
    <row r="229" spans="1:18" s="652" customFormat="1" x14ac:dyDescent="0.25">
      <c r="A229" s="654" t="s">
        <v>309</v>
      </c>
      <c r="B229" s="646">
        <f t="shared" si="7"/>
        <v>7785487.5720000006</v>
      </c>
      <c r="C229" s="387">
        <f>SUM(C230:C240)</f>
        <v>6336523.6699999999</v>
      </c>
      <c r="D229" s="387">
        <f>SUM(D230:D240)</f>
        <v>1448963.9020000002</v>
      </c>
      <c r="E229" s="387"/>
      <c r="F229" s="647">
        <f t="shared" si="8"/>
        <v>14291553.258515356</v>
      </c>
      <c r="G229" s="387">
        <f>SUM(G230:G240)</f>
        <v>12637781.478315357</v>
      </c>
      <c r="H229" s="387">
        <f>SUM(H230:H240)</f>
        <v>1653771.780199999</v>
      </c>
      <c r="I229" s="387"/>
      <c r="J229" s="387">
        <f>SUM(J230:J240)</f>
        <v>21084401</v>
      </c>
      <c r="K229" s="387">
        <f>SUM(K230:K240)</f>
        <v>22821907.679999966</v>
      </c>
      <c r="L229" s="387">
        <f>SUM(L230:L240)</f>
        <v>27642128.07</v>
      </c>
      <c r="M229" s="387">
        <f>SUM(M230:M240)</f>
        <v>34260241.729999997</v>
      </c>
      <c r="N229" s="655" t="s">
        <v>310</v>
      </c>
      <c r="O229" s="650"/>
      <c r="P229" s="651"/>
      <c r="R229" s="651"/>
    </row>
    <row r="230" spans="1:18" s="652" customFormat="1" x14ac:dyDescent="0.25">
      <c r="A230" s="656" t="s">
        <v>667</v>
      </c>
      <c r="B230" s="646">
        <f t="shared" si="7"/>
        <v>659375.09</v>
      </c>
      <c r="C230" s="433">
        <v>609928.84</v>
      </c>
      <c r="D230" s="433">
        <v>49446.25</v>
      </c>
      <c r="E230" s="433"/>
      <c r="F230" s="647">
        <f t="shared" si="8"/>
        <v>1633275.7461999899</v>
      </c>
      <c r="G230" s="433">
        <v>1595313.1699999899</v>
      </c>
      <c r="H230" s="433">
        <v>37962.576200000003</v>
      </c>
      <c r="I230" s="433"/>
      <c r="J230" s="433">
        <v>369626</v>
      </c>
      <c r="K230" s="433">
        <v>331956.89999999898</v>
      </c>
      <c r="L230" s="433">
        <v>363036.92</v>
      </c>
      <c r="M230" s="433">
        <v>1050945.76</v>
      </c>
      <c r="N230" s="657" t="s">
        <v>668</v>
      </c>
      <c r="O230" s="650"/>
      <c r="P230" s="651"/>
      <c r="R230" s="651"/>
    </row>
    <row r="231" spans="1:18" s="652" customFormat="1" x14ac:dyDescent="0.25">
      <c r="A231" s="656" t="s">
        <v>669</v>
      </c>
      <c r="B231" s="646">
        <f t="shared" si="7"/>
        <v>434972.23</v>
      </c>
      <c r="C231" s="433">
        <v>357076.93</v>
      </c>
      <c r="D231" s="433">
        <v>77895.3</v>
      </c>
      <c r="E231" s="433"/>
      <c r="F231" s="647">
        <f t="shared" si="8"/>
        <v>783735.27499999898</v>
      </c>
      <c r="G231" s="433">
        <v>662451.49999999895</v>
      </c>
      <c r="H231" s="433">
        <v>121283.77499999999</v>
      </c>
      <c r="I231" s="433"/>
      <c r="J231" s="433">
        <v>208038</v>
      </c>
      <c r="K231" s="433">
        <v>175574.42999999991</v>
      </c>
      <c r="L231" s="433">
        <v>252771.9</v>
      </c>
      <c r="M231" s="433">
        <v>566139.19999999995</v>
      </c>
      <c r="N231" s="657" t="s">
        <v>670</v>
      </c>
      <c r="O231" s="650"/>
      <c r="P231" s="651"/>
      <c r="R231" s="651"/>
    </row>
    <row r="232" spans="1:18" s="652" customFormat="1" x14ac:dyDescent="0.25">
      <c r="A232" s="656" t="s">
        <v>671</v>
      </c>
      <c r="B232" s="646">
        <f t="shared" si="7"/>
        <v>403086.14</v>
      </c>
      <c r="C232" s="433">
        <v>338667.17</v>
      </c>
      <c r="D232" s="433">
        <v>64418.97</v>
      </c>
      <c r="E232" s="433"/>
      <c r="F232" s="647">
        <f t="shared" si="8"/>
        <v>851230.11499999999</v>
      </c>
      <c r="G232" s="433">
        <v>784166.99</v>
      </c>
      <c r="H232" s="433">
        <v>67063.125</v>
      </c>
      <c r="I232" s="433"/>
      <c r="J232" s="433">
        <v>402010</v>
      </c>
      <c r="K232" s="433">
        <v>329456</v>
      </c>
      <c r="L232" s="433">
        <v>345834</v>
      </c>
      <c r="M232" s="433">
        <v>679513.03</v>
      </c>
      <c r="N232" s="657" t="s">
        <v>672</v>
      </c>
      <c r="O232" s="650"/>
      <c r="P232" s="651"/>
      <c r="R232" s="651"/>
    </row>
    <row r="233" spans="1:18" s="652" customFormat="1" x14ac:dyDescent="0.25">
      <c r="A233" s="656" t="s">
        <v>673</v>
      </c>
      <c r="B233" s="646">
        <f t="shared" si="7"/>
        <v>1392094.4640000002</v>
      </c>
      <c r="C233" s="433">
        <v>1063787.0900000001</v>
      </c>
      <c r="D233" s="433">
        <v>328307.37400000001</v>
      </c>
      <c r="E233" s="433"/>
      <c r="F233" s="647">
        <f t="shared" si="8"/>
        <v>1688043.5009999999</v>
      </c>
      <c r="G233" s="433">
        <v>1616470.8</v>
      </c>
      <c r="H233" s="433">
        <v>71572.700999999899</v>
      </c>
      <c r="I233" s="433"/>
      <c r="J233" s="433">
        <v>2522616</v>
      </c>
      <c r="K233" s="433">
        <v>1718540.8099999982</v>
      </c>
      <c r="L233" s="433">
        <v>2491722.0699999998</v>
      </c>
      <c r="M233" s="433">
        <v>2867595.38</v>
      </c>
      <c r="N233" s="657" t="s">
        <v>674</v>
      </c>
      <c r="O233" s="651"/>
      <c r="P233" s="651"/>
      <c r="R233" s="651"/>
    </row>
    <row r="234" spans="1:18" s="652" customFormat="1" x14ac:dyDescent="0.25">
      <c r="A234" s="656" t="s">
        <v>675</v>
      </c>
      <c r="B234" s="646">
        <f t="shared" si="7"/>
        <v>823764.23</v>
      </c>
      <c r="C234" s="433">
        <v>787774.52</v>
      </c>
      <c r="D234" s="433">
        <v>35989.71</v>
      </c>
      <c r="E234" s="433"/>
      <c r="F234" s="647">
        <f t="shared" si="8"/>
        <v>1548179.7209153988</v>
      </c>
      <c r="G234" s="433">
        <v>1409166.3783153999</v>
      </c>
      <c r="H234" s="433">
        <v>139013.34259999901</v>
      </c>
      <c r="I234" s="433"/>
      <c r="J234" s="433">
        <v>241984</v>
      </c>
      <c r="K234" s="433">
        <v>155049.00999999989</v>
      </c>
      <c r="L234" s="433">
        <v>390537.85</v>
      </c>
      <c r="M234" s="433">
        <v>1054781.5</v>
      </c>
      <c r="N234" s="657" t="s">
        <v>676</v>
      </c>
      <c r="O234" s="651"/>
      <c r="P234" s="651"/>
      <c r="R234" s="651"/>
    </row>
    <row r="235" spans="1:18" s="652" customFormat="1" x14ac:dyDescent="0.25">
      <c r="A235" s="656" t="s">
        <v>447</v>
      </c>
      <c r="B235" s="646">
        <f t="shared" si="7"/>
        <v>572678.07999999996</v>
      </c>
      <c r="C235" s="433">
        <v>359943.05</v>
      </c>
      <c r="D235" s="433">
        <v>212735.03</v>
      </c>
      <c r="E235" s="433"/>
      <c r="F235" s="647">
        <f t="shared" si="8"/>
        <v>494524.38679999905</v>
      </c>
      <c r="G235" s="433">
        <v>441270.40999999904</v>
      </c>
      <c r="H235" s="433">
        <v>53253.976799999997</v>
      </c>
      <c r="I235" s="433"/>
      <c r="J235" s="433">
        <v>225998</v>
      </c>
      <c r="K235" s="433">
        <v>174779.52000000002</v>
      </c>
      <c r="L235" s="433">
        <v>507327.83</v>
      </c>
      <c r="M235" s="433">
        <v>926156.72</v>
      </c>
      <c r="N235" s="657" t="s">
        <v>448</v>
      </c>
      <c r="O235" s="651"/>
      <c r="P235" s="651"/>
      <c r="R235" s="651"/>
    </row>
    <row r="236" spans="1:18" s="652" customFormat="1" x14ac:dyDescent="0.25">
      <c r="A236" s="656" t="s">
        <v>677</v>
      </c>
      <c r="B236" s="646">
        <f t="shared" si="7"/>
        <v>369891.37</v>
      </c>
      <c r="C236" s="433">
        <v>366619.07</v>
      </c>
      <c r="D236" s="433">
        <v>3272.3</v>
      </c>
      <c r="E236" s="433"/>
      <c r="F236" s="647">
        <f t="shared" si="8"/>
        <v>683232.20039999997</v>
      </c>
      <c r="G236" s="433">
        <v>543176.80999999994</v>
      </c>
      <c r="H236" s="433">
        <v>140055.3904</v>
      </c>
      <c r="I236" s="433"/>
      <c r="J236" s="433">
        <v>431452</v>
      </c>
      <c r="K236" s="433">
        <v>383148.80000000005</v>
      </c>
      <c r="L236" s="433">
        <v>958469.15</v>
      </c>
      <c r="M236" s="433">
        <v>1322924.8799999999</v>
      </c>
      <c r="N236" s="657" t="s">
        <v>678</v>
      </c>
      <c r="O236" s="651"/>
      <c r="P236" s="651"/>
      <c r="R236" s="651"/>
    </row>
    <row r="237" spans="1:18" s="652" customFormat="1" x14ac:dyDescent="0.25">
      <c r="A237" s="656" t="s">
        <v>679</v>
      </c>
      <c r="B237" s="646">
        <f t="shared" si="7"/>
        <v>695933.58</v>
      </c>
      <c r="C237" s="433">
        <v>474926.36</v>
      </c>
      <c r="D237" s="433">
        <v>221007.22</v>
      </c>
      <c r="E237" s="433"/>
      <c r="F237" s="647">
        <f t="shared" si="8"/>
        <v>1038667.7789999999</v>
      </c>
      <c r="G237" s="433">
        <v>808862.42999999993</v>
      </c>
      <c r="H237" s="433">
        <v>229805.34899999999</v>
      </c>
      <c r="I237" s="433"/>
      <c r="J237" s="433">
        <v>412998</v>
      </c>
      <c r="K237" s="433">
        <v>458538.46999999991</v>
      </c>
      <c r="L237" s="433">
        <v>394652.61</v>
      </c>
      <c r="M237" s="433">
        <v>1020507.97</v>
      </c>
      <c r="N237" s="657" t="s">
        <v>680</v>
      </c>
      <c r="O237" s="651"/>
      <c r="P237" s="651"/>
      <c r="R237" s="651"/>
    </row>
    <row r="238" spans="1:18" s="652" customFormat="1" x14ac:dyDescent="0.25">
      <c r="A238" s="656" t="s">
        <v>813</v>
      </c>
      <c r="B238" s="646">
        <f t="shared" si="7"/>
        <v>2894.5</v>
      </c>
      <c r="C238" s="433">
        <v>2894.5</v>
      </c>
      <c r="D238" s="433" t="s">
        <v>199</v>
      </c>
      <c r="E238" s="433"/>
      <c r="F238" s="647">
        <f t="shared" si="8"/>
        <v>11453.48</v>
      </c>
      <c r="G238" s="433">
        <v>11453.48</v>
      </c>
      <c r="H238" s="433" t="s">
        <v>199</v>
      </c>
      <c r="I238" s="433"/>
      <c r="J238" s="433">
        <v>0</v>
      </c>
      <c r="K238" s="433">
        <v>0</v>
      </c>
      <c r="L238" s="433">
        <v>0</v>
      </c>
      <c r="M238" s="433">
        <v>0</v>
      </c>
      <c r="N238" s="657" t="s">
        <v>814</v>
      </c>
      <c r="O238" s="651"/>
      <c r="P238" s="651"/>
      <c r="R238" s="651"/>
    </row>
    <row r="239" spans="1:18" s="652" customFormat="1" x14ac:dyDescent="0.25">
      <c r="A239" s="656" t="s">
        <v>815</v>
      </c>
      <c r="B239" s="646"/>
      <c r="C239" s="433" t="s">
        <v>199</v>
      </c>
      <c r="D239" s="433" t="s">
        <v>199</v>
      </c>
      <c r="E239" s="433"/>
      <c r="F239" s="647">
        <f t="shared" si="8"/>
        <v>0</v>
      </c>
      <c r="G239" s="433" t="s">
        <v>199</v>
      </c>
      <c r="H239" s="433" t="s">
        <v>199</v>
      </c>
      <c r="I239" s="433"/>
      <c r="J239" s="433">
        <v>0</v>
      </c>
      <c r="K239" s="433">
        <v>0</v>
      </c>
      <c r="L239" s="433">
        <v>0</v>
      </c>
      <c r="M239" s="433">
        <v>0</v>
      </c>
      <c r="N239" s="657" t="s">
        <v>816</v>
      </c>
      <c r="O239" s="651"/>
      <c r="P239" s="651"/>
      <c r="R239" s="651"/>
    </row>
    <row r="240" spans="1:18" s="652" customFormat="1" x14ac:dyDescent="0.25">
      <c r="A240" s="656" t="s">
        <v>561</v>
      </c>
      <c r="B240" s="646">
        <f t="shared" si="7"/>
        <v>2430797.8879999998</v>
      </c>
      <c r="C240" s="433">
        <v>1974906.14</v>
      </c>
      <c r="D240" s="433">
        <v>455891.74800000002</v>
      </c>
      <c r="E240" s="433"/>
      <c r="F240" s="647">
        <f t="shared" si="8"/>
        <v>5559211.0541999713</v>
      </c>
      <c r="G240" s="433">
        <v>4765449.5099999709</v>
      </c>
      <c r="H240" s="433">
        <v>793761.5442</v>
      </c>
      <c r="I240" s="433"/>
      <c r="J240" s="433">
        <v>16269679</v>
      </c>
      <c r="K240" s="433">
        <v>19094863.739999969</v>
      </c>
      <c r="L240" s="433">
        <v>21937775.739999998</v>
      </c>
      <c r="M240" s="433">
        <v>24771677.289999999</v>
      </c>
      <c r="N240" s="657" t="s">
        <v>562</v>
      </c>
      <c r="O240" s="651"/>
      <c r="P240" s="651"/>
      <c r="R240" s="651"/>
    </row>
    <row r="241" spans="1:18" s="652" customFormat="1" ht="11.25" customHeight="1" x14ac:dyDescent="0.25">
      <c r="A241" s="656"/>
      <c r="B241" s="646"/>
      <c r="C241" s="433"/>
      <c r="D241" s="433"/>
      <c r="E241" s="433"/>
      <c r="F241" s="647"/>
      <c r="G241" s="433"/>
      <c r="H241" s="433"/>
      <c r="I241" s="433"/>
      <c r="J241" s="433"/>
      <c r="K241" s="433"/>
      <c r="L241" s="433"/>
      <c r="M241" s="433"/>
      <c r="N241" s="660"/>
      <c r="O241" s="651"/>
      <c r="P241" s="651"/>
      <c r="R241" s="651"/>
    </row>
    <row r="242" spans="1:18" s="652" customFormat="1" x14ac:dyDescent="0.25">
      <c r="A242" s="654" t="s">
        <v>312</v>
      </c>
      <c r="B242" s="646">
        <f t="shared" si="7"/>
        <v>4335884.8</v>
      </c>
      <c r="C242" s="387">
        <v>4031233.16</v>
      </c>
      <c r="D242" s="387">
        <v>304651.64</v>
      </c>
      <c r="E242" s="387"/>
      <c r="F242" s="647">
        <f t="shared" si="8"/>
        <v>6345405.6915599992</v>
      </c>
      <c r="G242" s="387">
        <f>SUM(G243)</f>
        <v>5648552.5923600001</v>
      </c>
      <c r="H242" s="387">
        <f>SUM(H243)</f>
        <v>696853.09919999901</v>
      </c>
      <c r="I242" s="387"/>
      <c r="J242" s="387">
        <f>SUM(J243)</f>
        <v>12733438</v>
      </c>
      <c r="K242" s="387">
        <f>SUM(K243)</f>
        <v>10712175.139999989</v>
      </c>
      <c r="L242" s="387">
        <f>SUM(L243)</f>
        <v>12905259.859999999</v>
      </c>
      <c r="M242" s="387">
        <f>SUM(M243)</f>
        <v>19379941.390000001</v>
      </c>
      <c r="N242" s="655" t="s">
        <v>313</v>
      </c>
      <c r="O242" s="651"/>
      <c r="P242" s="651"/>
      <c r="R242" s="651"/>
    </row>
    <row r="243" spans="1:18" s="652" customFormat="1" x14ac:dyDescent="0.25">
      <c r="A243" s="656" t="s">
        <v>681</v>
      </c>
      <c r="B243" s="646">
        <f t="shared" si="7"/>
        <v>4335884.8</v>
      </c>
      <c r="C243" s="433">
        <v>4031233.16</v>
      </c>
      <c r="D243" s="433">
        <v>304651.64</v>
      </c>
      <c r="E243" s="433"/>
      <c r="F243" s="647">
        <f t="shared" si="8"/>
        <v>6345405.6915599992</v>
      </c>
      <c r="G243" s="433">
        <v>5648552.5923600001</v>
      </c>
      <c r="H243" s="433">
        <v>696853.09919999901</v>
      </c>
      <c r="I243" s="433"/>
      <c r="J243" s="433">
        <v>12733438</v>
      </c>
      <c r="K243" s="433">
        <v>10712175.139999989</v>
      </c>
      <c r="L243" s="433">
        <v>12905259.859999999</v>
      </c>
      <c r="M243" s="433">
        <v>19379941.390000001</v>
      </c>
      <c r="N243" s="657" t="s">
        <v>682</v>
      </c>
      <c r="O243" s="651"/>
      <c r="P243" s="651"/>
      <c r="R243" s="651"/>
    </row>
    <row r="244" spans="1:18" s="652" customFormat="1" ht="8.25" customHeight="1" x14ac:dyDescent="0.25">
      <c r="A244" s="656"/>
      <c r="B244" s="646"/>
      <c r="C244" s="433"/>
      <c r="D244" s="433"/>
      <c r="E244" s="433"/>
      <c r="F244" s="647"/>
      <c r="G244" s="433"/>
      <c r="H244" s="433"/>
      <c r="I244" s="433"/>
      <c r="J244" s="433"/>
      <c r="K244" s="433"/>
      <c r="L244" s="433"/>
      <c r="M244" s="433"/>
      <c r="N244" s="660"/>
      <c r="O244" s="651"/>
      <c r="P244" s="651"/>
      <c r="R244" s="651"/>
    </row>
    <row r="245" spans="1:18" s="652" customFormat="1" x14ac:dyDescent="0.25">
      <c r="A245" s="654" t="s">
        <v>315</v>
      </c>
      <c r="B245" s="646">
        <f t="shared" si="7"/>
        <v>20864830.573500004</v>
      </c>
      <c r="C245" s="387">
        <f>SUM(C246:C251)</f>
        <v>18694373.990000002</v>
      </c>
      <c r="D245" s="387">
        <f>SUM(D246:D251)</f>
        <v>2170456.5835000002</v>
      </c>
      <c r="E245" s="387"/>
      <c r="F245" s="647">
        <f t="shared" si="8"/>
        <v>35290438.490867175</v>
      </c>
      <c r="G245" s="387">
        <f>SUM(G246:G251)</f>
        <v>32960756.247667179</v>
      </c>
      <c r="H245" s="387">
        <f>SUM(H246:H251)</f>
        <v>2329682.2431999971</v>
      </c>
      <c r="I245" s="387"/>
      <c r="J245" s="387">
        <f>SUM(J246:J251)</f>
        <v>31975010</v>
      </c>
      <c r="K245" s="387">
        <f>SUM(K246:K251)</f>
        <v>35202422.389999956</v>
      </c>
      <c r="L245" s="387">
        <f>SUM(L246:L251)</f>
        <v>55981769.233300008</v>
      </c>
      <c r="M245" s="387">
        <f>SUM(M246:M251)</f>
        <v>74119274.931099996</v>
      </c>
      <c r="N245" s="655" t="s">
        <v>316</v>
      </c>
      <c r="O245" s="651"/>
      <c r="P245" s="651"/>
      <c r="R245" s="651"/>
    </row>
    <row r="246" spans="1:18" s="652" customFormat="1" x14ac:dyDescent="0.25">
      <c r="A246" s="656" t="s">
        <v>471</v>
      </c>
      <c r="B246" s="646">
        <f t="shared" si="7"/>
        <v>1273805.1059999999</v>
      </c>
      <c r="C246" s="433">
        <v>1164795.5</v>
      </c>
      <c r="D246" s="433">
        <v>109009.606</v>
      </c>
      <c r="E246" s="433"/>
      <c r="F246" s="647">
        <f t="shared" si="8"/>
        <v>2547104.8849757789</v>
      </c>
      <c r="G246" s="433">
        <v>2362524.3951757797</v>
      </c>
      <c r="H246" s="433">
        <v>184580.48979999899</v>
      </c>
      <c r="I246" s="433"/>
      <c r="J246" s="433">
        <v>9922</v>
      </c>
      <c r="K246" s="433">
        <v>1242020.03999999</v>
      </c>
      <c r="L246" s="433">
        <v>3005819.96</v>
      </c>
      <c r="M246" s="433">
        <v>3478400.98</v>
      </c>
      <c r="N246" s="657" t="s">
        <v>472</v>
      </c>
      <c r="O246" s="651"/>
      <c r="P246" s="651"/>
      <c r="R246" s="651"/>
    </row>
    <row r="247" spans="1:18" s="652" customFormat="1" x14ac:dyDescent="0.25">
      <c r="A247" s="656" t="s">
        <v>647</v>
      </c>
      <c r="B247" s="646">
        <f t="shared" si="7"/>
        <v>10713981.645</v>
      </c>
      <c r="C247" s="433">
        <v>10091944.060000001</v>
      </c>
      <c r="D247" s="433">
        <v>622037.58499999996</v>
      </c>
      <c r="E247" s="433"/>
      <c r="F247" s="647">
        <f t="shared" si="8"/>
        <v>17585881.120895401</v>
      </c>
      <c r="G247" s="433">
        <v>16663859.2132954</v>
      </c>
      <c r="H247" s="433">
        <v>922021.90760000004</v>
      </c>
      <c r="I247" s="433"/>
      <c r="J247" s="433">
        <v>24382733</v>
      </c>
      <c r="K247" s="433">
        <v>25195131.329999998</v>
      </c>
      <c r="L247" s="433">
        <v>41976292.043300003</v>
      </c>
      <c r="M247" s="433">
        <v>53183566.141099997</v>
      </c>
      <c r="N247" s="657" t="s">
        <v>648</v>
      </c>
      <c r="O247" s="651"/>
      <c r="P247" s="651"/>
      <c r="R247" s="651"/>
    </row>
    <row r="248" spans="1:18" s="652" customFormat="1" x14ac:dyDescent="0.25">
      <c r="A248" s="656" t="s">
        <v>683</v>
      </c>
      <c r="B248" s="646">
        <f t="shared" si="7"/>
        <v>1824777.08</v>
      </c>
      <c r="C248" s="433">
        <v>1600496.97</v>
      </c>
      <c r="D248" s="433">
        <v>224280.11</v>
      </c>
      <c r="E248" s="433"/>
      <c r="F248" s="647">
        <f t="shared" si="8"/>
        <v>3302755.4562960193</v>
      </c>
      <c r="G248" s="433">
        <v>3016740.28919602</v>
      </c>
      <c r="H248" s="433">
        <v>286015.16709999903</v>
      </c>
      <c r="I248" s="433"/>
      <c r="J248" s="433">
        <v>1031556</v>
      </c>
      <c r="K248" s="433">
        <v>1496770.7299999902</v>
      </c>
      <c r="L248" s="433">
        <v>3425764.24</v>
      </c>
      <c r="M248" s="433">
        <v>3679508.85</v>
      </c>
      <c r="N248" s="657" t="s">
        <v>684</v>
      </c>
      <c r="O248" s="651"/>
      <c r="P248" s="651"/>
      <c r="R248" s="651"/>
    </row>
    <row r="249" spans="1:18" s="652" customFormat="1" x14ac:dyDescent="0.25">
      <c r="A249" s="656" t="s">
        <v>397</v>
      </c>
      <c r="B249" s="646">
        <f t="shared" si="7"/>
        <v>2822103.4824999999</v>
      </c>
      <c r="C249" s="433">
        <v>2677766.58</v>
      </c>
      <c r="D249" s="433">
        <v>144336.9025</v>
      </c>
      <c r="E249" s="433"/>
      <c r="F249" s="647">
        <f t="shared" si="8"/>
        <v>5230856.3788999999</v>
      </c>
      <c r="G249" s="433">
        <v>4838291.28</v>
      </c>
      <c r="H249" s="433">
        <v>392565.09889999998</v>
      </c>
      <c r="I249" s="433"/>
      <c r="J249" s="433">
        <v>2645557</v>
      </c>
      <c r="K249" s="433">
        <v>2532301.7299999897</v>
      </c>
      <c r="L249" s="433">
        <v>2742664.45</v>
      </c>
      <c r="M249" s="433">
        <v>8542310.2300000004</v>
      </c>
      <c r="N249" s="657" t="s">
        <v>398</v>
      </c>
      <c r="O249" s="651"/>
      <c r="P249" s="651"/>
      <c r="R249" s="651"/>
    </row>
    <row r="250" spans="1:18" x14ac:dyDescent="0.25">
      <c r="A250" s="662" t="s">
        <v>685</v>
      </c>
      <c r="B250" s="646">
        <f t="shared" si="7"/>
        <v>1690609.25</v>
      </c>
      <c r="C250" s="432">
        <v>841555.58</v>
      </c>
      <c r="D250" s="432">
        <v>849053.67</v>
      </c>
      <c r="E250" s="432"/>
      <c r="F250" s="647">
        <f t="shared" si="8"/>
        <v>2081858.6559999899</v>
      </c>
      <c r="G250" s="432">
        <v>1976824.9099999899</v>
      </c>
      <c r="H250" s="432">
        <v>105033.746</v>
      </c>
      <c r="I250" s="432"/>
      <c r="J250" s="432">
        <v>2795404</v>
      </c>
      <c r="K250" s="432">
        <v>2644507.62</v>
      </c>
      <c r="L250" s="432">
        <v>1827831.24</v>
      </c>
      <c r="M250" s="432">
        <v>2083316.76</v>
      </c>
      <c r="N250" s="657" t="s">
        <v>686</v>
      </c>
    </row>
    <row r="251" spans="1:18" x14ac:dyDescent="0.25">
      <c r="A251" s="656" t="s">
        <v>687</v>
      </c>
      <c r="B251" s="646">
        <f t="shared" si="7"/>
        <v>2539554.0099999998</v>
      </c>
      <c r="C251" s="433">
        <v>2317815.2999999998</v>
      </c>
      <c r="D251" s="433">
        <v>221738.71</v>
      </c>
      <c r="E251" s="433"/>
      <c r="F251" s="647">
        <f t="shared" si="8"/>
        <v>4541981.9937999891</v>
      </c>
      <c r="G251" s="433">
        <v>4102516.1599999899</v>
      </c>
      <c r="H251" s="433">
        <v>439465.83379999897</v>
      </c>
      <c r="I251" s="433"/>
      <c r="J251" s="433">
        <v>1109838</v>
      </c>
      <c r="K251" s="433">
        <v>2091690.9399999899</v>
      </c>
      <c r="L251" s="433">
        <v>3003397.3</v>
      </c>
      <c r="M251" s="433">
        <v>3152171.97</v>
      </c>
      <c r="N251" s="657" t="s">
        <v>688</v>
      </c>
    </row>
    <row r="252" spans="1:18" x14ac:dyDescent="0.25">
      <c r="A252" s="656"/>
      <c r="B252" s="646"/>
      <c r="C252" s="433"/>
      <c r="D252" s="433"/>
      <c r="E252" s="433"/>
      <c r="F252" s="647">
        <f t="shared" si="8"/>
        <v>0</v>
      </c>
      <c r="G252" s="433"/>
      <c r="H252" s="433"/>
      <c r="I252" s="433"/>
      <c r="J252" s="433"/>
      <c r="K252" s="433"/>
      <c r="L252" s="433"/>
      <c r="M252" s="433"/>
      <c r="N252" s="657"/>
    </row>
    <row r="253" spans="1:18" ht="17.25" x14ac:dyDescent="0.25">
      <c r="A253" s="654" t="s">
        <v>817</v>
      </c>
      <c r="B253" s="646">
        <f t="shared" si="7"/>
        <v>4335884.8</v>
      </c>
      <c r="C253" s="387">
        <v>4031233.16</v>
      </c>
      <c r="D253" s="387">
        <v>304651.64</v>
      </c>
      <c r="E253" s="387"/>
      <c r="F253" s="647">
        <f t="shared" si="8"/>
        <v>6345405.6915599992</v>
      </c>
      <c r="G253" s="387">
        <f>SUM(G254)</f>
        <v>5648552.5923600001</v>
      </c>
      <c r="H253" s="387">
        <f>SUM(H254)</f>
        <v>696853.09919999901</v>
      </c>
      <c r="I253" s="387"/>
      <c r="J253" s="387">
        <v>68522375</v>
      </c>
      <c r="K253" s="387">
        <v>74367384.260000005</v>
      </c>
      <c r="L253" s="387">
        <f>SUM(L254)</f>
        <v>169006647.32120001</v>
      </c>
      <c r="M253" s="387">
        <f>SUM(M254)</f>
        <v>222306097.64719999</v>
      </c>
      <c r="N253" s="648" t="s">
        <v>790</v>
      </c>
    </row>
    <row r="254" spans="1:18" ht="17.25" x14ac:dyDescent="0.25">
      <c r="A254" s="664" t="s">
        <v>817</v>
      </c>
      <c r="B254" s="665">
        <f t="shared" si="7"/>
        <v>4335884.8</v>
      </c>
      <c r="C254" s="434">
        <v>4031233.16</v>
      </c>
      <c r="D254" s="434">
        <v>304651.64</v>
      </c>
      <c r="E254" s="434"/>
      <c r="F254" s="666">
        <f t="shared" si="8"/>
        <v>6345405.6915599992</v>
      </c>
      <c r="G254" s="434">
        <v>5648552.5923600001</v>
      </c>
      <c r="H254" s="434">
        <v>696853.09919999901</v>
      </c>
      <c r="I254" s="434"/>
      <c r="J254" s="434">
        <v>68522375</v>
      </c>
      <c r="K254" s="434">
        <v>74367384.260000005</v>
      </c>
      <c r="L254" s="434">
        <v>169006647.32120001</v>
      </c>
      <c r="M254" s="434">
        <v>222306097.64719999</v>
      </c>
      <c r="N254" s="667" t="s">
        <v>790</v>
      </c>
    </row>
    <row r="255" spans="1:18" x14ac:dyDescent="0.25">
      <c r="A255" s="668" t="s">
        <v>818</v>
      </c>
      <c r="B255" s="669"/>
      <c r="N255" s="671" t="s">
        <v>819</v>
      </c>
    </row>
    <row r="256" spans="1:18" x14ac:dyDescent="0.25">
      <c r="A256" s="668" t="s">
        <v>820</v>
      </c>
      <c r="B256" s="669"/>
      <c r="N256" s="671" t="s">
        <v>821</v>
      </c>
    </row>
    <row r="257" spans="1:14" s="649" customFormat="1" x14ac:dyDescent="0.25">
      <c r="A257" s="668" t="s">
        <v>822</v>
      </c>
      <c r="B257" s="669"/>
      <c r="G257" s="670"/>
      <c r="H257" s="557"/>
      <c r="J257" s="670"/>
      <c r="K257" s="670"/>
      <c r="L257" s="670"/>
      <c r="M257" s="670"/>
      <c r="N257" s="671" t="s">
        <v>823</v>
      </c>
    </row>
    <row r="258" spans="1:14" s="649" customFormat="1" ht="17.25" x14ac:dyDescent="0.25">
      <c r="A258" s="668" t="s">
        <v>791</v>
      </c>
      <c r="B258" s="669"/>
      <c r="G258" s="670"/>
      <c r="H258" s="557"/>
      <c r="J258" s="670"/>
      <c r="K258" s="670"/>
      <c r="L258" s="670"/>
      <c r="M258" s="670"/>
      <c r="N258" s="672" t="s">
        <v>792</v>
      </c>
    </row>
    <row r="259" spans="1:14" s="649" customFormat="1" ht="17.25" x14ac:dyDescent="0.25">
      <c r="A259" s="673" t="s">
        <v>321</v>
      </c>
      <c r="B259" s="674"/>
      <c r="G259" s="670"/>
      <c r="H259" s="557"/>
      <c r="J259" s="670"/>
      <c r="K259" s="670"/>
      <c r="L259" s="670"/>
      <c r="M259" s="670"/>
      <c r="N259" s="633" t="s">
        <v>322</v>
      </c>
    </row>
    <row r="260" spans="1:14" s="649" customFormat="1" ht="17.25" x14ac:dyDescent="0.25">
      <c r="A260" s="675"/>
      <c r="B260" s="676"/>
      <c r="G260" s="670"/>
      <c r="H260" s="557"/>
      <c r="J260" s="670"/>
      <c r="K260" s="670"/>
      <c r="L260" s="670"/>
      <c r="M260" s="670"/>
      <c r="N260" s="633"/>
    </row>
  </sheetData>
  <mergeCells count="14">
    <mergeCell ref="J5:J6"/>
    <mergeCell ref="K5:K6"/>
    <mergeCell ref="L5:L6"/>
    <mergeCell ref="M5:M6"/>
    <mergeCell ref="A1:N1"/>
    <mergeCell ref="A2:N2"/>
    <mergeCell ref="A3:A6"/>
    <mergeCell ref="B3:D3"/>
    <mergeCell ref="F3:H3"/>
    <mergeCell ref="N3:N6"/>
    <mergeCell ref="C5:C6"/>
    <mergeCell ref="D5:D6"/>
    <mergeCell ref="G5:G6"/>
    <mergeCell ref="H5:H6"/>
  </mergeCells>
  <pageMargins left="0.7" right="0.7" top="0.75" bottom="0.75" header="0.3" footer="0.3"/>
  <pageSetup paperSize="9" scale="71" orientation="landscape" r:id="rId1"/>
  <rowBreaks count="4" manualBreakCount="4">
    <brk id="86" max="13" man="1"/>
    <brk id="129" max="13" man="1"/>
    <brk id="215" max="13" man="1"/>
    <brk id="259" max="1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52"/>
  <sheetViews>
    <sheetView topLeftCell="B1" zoomScaleNormal="100" workbookViewId="0">
      <selection activeCell="N6" sqref="N6"/>
    </sheetView>
  </sheetViews>
  <sheetFormatPr defaultColWidth="9.140625" defaultRowHeight="15" x14ac:dyDescent="0.25"/>
  <cols>
    <col min="1" max="1" width="12.28515625" style="548" customWidth="1"/>
    <col min="2" max="2" width="11.42578125" style="548" customWidth="1"/>
    <col min="3" max="3" width="9.28515625" style="548" customWidth="1"/>
    <col min="4" max="5" width="11.28515625" style="548" customWidth="1"/>
    <col min="6" max="8" width="11" style="548" customWidth="1"/>
    <col min="9" max="15" width="13" style="548" customWidth="1"/>
    <col min="16" max="16" width="11.85546875" style="548" customWidth="1"/>
    <col min="17" max="19" width="9.140625" style="548"/>
    <col min="20" max="20" width="51.7109375" style="548" customWidth="1"/>
    <col min="21" max="21" width="11" style="548" customWidth="1"/>
    <col min="22" max="22" width="9.140625" style="548"/>
    <col min="23" max="23" width="9.28515625" style="548" bestFit="1" customWidth="1"/>
    <col min="24" max="24" width="15.28515625" style="548" customWidth="1"/>
    <col min="25" max="26" width="12.5703125" style="548" bestFit="1" customWidth="1"/>
    <col min="27" max="27" width="15.7109375" style="548" customWidth="1"/>
    <col min="28" max="16384" width="9.140625" style="548"/>
  </cols>
  <sheetData>
    <row r="1" spans="1:16" ht="21" x14ac:dyDescent="0.25">
      <c r="A1" s="919" t="s">
        <v>1097</v>
      </c>
      <c r="B1" s="919"/>
      <c r="C1" s="919"/>
      <c r="D1" s="919"/>
      <c r="E1" s="919"/>
      <c r="F1" s="919"/>
      <c r="G1" s="919"/>
      <c r="H1" s="919"/>
      <c r="I1" s="919"/>
      <c r="J1" s="919"/>
      <c r="K1" s="919"/>
      <c r="L1" s="919"/>
      <c r="M1" s="919"/>
      <c r="N1" s="919"/>
      <c r="O1" s="919"/>
      <c r="P1" s="919"/>
    </row>
    <row r="2" spans="1:16" x14ac:dyDescent="0.25">
      <c r="A2" s="920" t="s">
        <v>1089</v>
      </c>
      <c r="B2" s="920"/>
      <c r="C2" s="920"/>
      <c r="D2" s="920"/>
      <c r="E2" s="920"/>
      <c r="F2" s="920"/>
      <c r="G2" s="920"/>
      <c r="H2" s="920"/>
      <c r="I2" s="920"/>
      <c r="J2" s="920"/>
      <c r="K2" s="920"/>
      <c r="L2" s="920"/>
      <c r="M2" s="920"/>
      <c r="N2" s="920"/>
      <c r="O2" s="920"/>
      <c r="P2" s="920"/>
    </row>
    <row r="3" spans="1:16" x14ac:dyDescent="0.25">
      <c r="A3" s="677"/>
      <c r="B3" s="955" t="s">
        <v>824</v>
      </c>
      <c r="C3" s="955"/>
      <c r="D3" s="955"/>
      <c r="E3" s="955"/>
      <c r="F3" s="955"/>
      <c r="G3" s="955"/>
      <c r="H3" s="956"/>
      <c r="I3" s="955" t="s">
        <v>825</v>
      </c>
      <c r="J3" s="955"/>
      <c r="K3" s="955"/>
      <c r="L3" s="955"/>
      <c r="M3" s="955"/>
      <c r="N3" s="516"/>
      <c r="O3" s="516"/>
      <c r="P3" s="678"/>
    </row>
    <row r="4" spans="1:16" x14ac:dyDescent="0.25">
      <c r="A4" s="679" t="s">
        <v>22</v>
      </c>
      <c r="B4" s="957"/>
      <c r="C4" s="957"/>
      <c r="D4" s="957"/>
      <c r="E4" s="957"/>
      <c r="F4" s="957"/>
      <c r="G4" s="957"/>
      <c r="H4" s="958"/>
      <c r="I4" s="957"/>
      <c r="J4" s="957"/>
      <c r="K4" s="957"/>
      <c r="L4" s="957"/>
      <c r="M4" s="957"/>
      <c r="N4" s="516"/>
      <c r="O4" s="516"/>
      <c r="P4" s="680" t="s">
        <v>826</v>
      </c>
    </row>
    <row r="5" spans="1:16" x14ac:dyDescent="0.25">
      <c r="A5" s="681"/>
      <c r="B5" s="517">
        <v>2009</v>
      </c>
      <c r="C5" s="517">
        <v>2010</v>
      </c>
      <c r="D5" s="517">
        <v>2011</v>
      </c>
      <c r="E5" s="517">
        <v>2012</v>
      </c>
      <c r="F5" s="517">
        <v>2013</v>
      </c>
      <c r="G5" s="517">
        <v>2014</v>
      </c>
      <c r="H5" s="518">
        <v>2015</v>
      </c>
      <c r="I5" s="517">
        <v>2009</v>
      </c>
      <c r="J5" s="517">
        <v>2010</v>
      </c>
      <c r="K5" s="517">
        <v>2011</v>
      </c>
      <c r="L5" s="517">
        <v>2012</v>
      </c>
      <c r="M5" s="517">
        <v>2013</v>
      </c>
      <c r="N5" s="517">
        <v>2014</v>
      </c>
      <c r="O5" s="517">
        <v>2015</v>
      </c>
      <c r="P5" s="682"/>
    </row>
    <row r="6" spans="1:16" s="299" customFormat="1" ht="21" x14ac:dyDescent="0.25">
      <c r="A6" s="683" t="s">
        <v>2</v>
      </c>
      <c r="B6" s="253"/>
      <c r="C6" s="253"/>
      <c r="D6" s="253"/>
      <c r="E6" s="253"/>
      <c r="F6" s="684"/>
      <c r="G6" s="685"/>
      <c r="H6" s="694"/>
      <c r="I6" s="253">
        <f t="shared" ref="I6:O6" si="0">SUM(I7:I18)</f>
        <v>16428.009999999998</v>
      </c>
      <c r="J6" s="685">
        <f t="shared" si="0"/>
        <v>81096471.260000005</v>
      </c>
      <c r="K6" s="685">
        <f t="shared" si="0"/>
        <v>162828114.16</v>
      </c>
      <c r="L6" s="685">
        <f t="shared" si="0"/>
        <v>249768103.04999998</v>
      </c>
      <c r="M6" s="685">
        <f t="shared" si="0"/>
        <v>299661096.44</v>
      </c>
      <c r="N6" s="685">
        <f t="shared" si="0"/>
        <v>349220698.38999999</v>
      </c>
      <c r="O6" s="685">
        <f t="shared" si="0"/>
        <v>180614696.01000002</v>
      </c>
      <c r="P6" s="519" t="s">
        <v>75</v>
      </c>
    </row>
    <row r="7" spans="1:16" s="299" customFormat="1" ht="21" x14ac:dyDescent="0.25">
      <c r="A7" s="686" t="s">
        <v>703</v>
      </c>
      <c r="B7" s="254">
        <v>0</v>
      </c>
      <c r="C7" s="254">
        <v>15260</v>
      </c>
      <c r="D7" s="254">
        <v>13828</v>
      </c>
      <c r="E7" s="254">
        <v>18448</v>
      </c>
      <c r="F7" s="684">
        <v>21040</v>
      </c>
      <c r="G7" s="688">
        <v>23287</v>
      </c>
      <c r="H7" s="695">
        <v>25137</v>
      </c>
      <c r="I7" s="254">
        <v>0</v>
      </c>
      <c r="J7" s="687">
        <v>3675101.03</v>
      </c>
      <c r="K7" s="688">
        <v>5991574.0199999996</v>
      </c>
      <c r="L7" s="688">
        <v>16241186.130000001</v>
      </c>
      <c r="M7" s="688">
        <v>23576999.190000001</v>
      </c>
      <c r="N7" s="688">
        <v>23170714.699999999</v>
      </c>
      <c r="O7" s="688">
        <v>18871576.670000002</v>
      </c>
      <c r="P7" s="520" t="s">
        <v>83</v>
      </c>
    </row>
    <row r="8" spans="1:16" s="299" customFormat="1" ht="21" x14ac:dyDescent="0.25">
      <c r="A8" s="686" t="s">
        <v>704</v>
      </c>
      <c r="B8" s="254">
        <v>0</v>
      </c>
      <c r="C8" s="254">
        <v>15592</v>
      </c>
      <c r="D8" s="254">
        <v>13973</v>
      </c>
      <c r="E8" s="254">
        <v>18752</v>
      </c>
      <c r="F8" s="684">
        <v>21187</v>
      </c>
      <c r="G8" s="687">
        <v>23500</v>
      </c>
      <c r="H8" s="696">
        <v>25134</v>
      </c>
      <c r="I8" s="254">
        <v>0</v>
      </c>
      <c r="J8" s="687">
        <v>3818073.97</v>
      </c>
      <c r="K8" s="687">
        <v>7006150.7400000002</v>
      </c>
      <c r="L8" s="687">
        <v>16236949.930000002</v>
      </c>
      <c r="M8" s="687">
        <v>25423379.049999997</v>
      </c>
      <c r="N8" s="687">
        <v>24382093.82</v>
      </c>
      <c r="O8" s="687">
        <v>11560674.26</v>
      </c>
      <c r="P8" s="520" t="s">
        <v>84</v>
      </c>
    </row>
    <row r="9" spans="1:16" s="299" customFormat="1" ht="21" x14ac:dyDescent="0.25">
      <c r="A9" s="686" t="s">
        <v>705</v>
      </c>
      <c r="B9" s="254">
        <v>0</v>
      </c>
      <c r="C9" s="254">
        <v>7051</v>
      </c>
      <c r="D9" s="254">
        <v>14118</v>
      </c>
      <c r="E9" s="254">
        <v>18955</v>
      </c>
      <c r="F9" s="684">
        <v>21409</v>
      </c>
      <c r="G9" s="687">
        <v>23717</v>
      </c>
      <c r="H9" s="696">
        <v>25064</v>
      </c>
      <c r="I9" s="254">
        <v>0</v>
      </c>
      <c r="J9" s="687">
        <v>1923741.08</v>
      </c>
      <c r="K9" s="687">
        <v>8594709.7699999996</v>
      </c>
      <c r="L9" s="687">
        <v>19734226.190000001</v>
      </c>
      <c r="M9" s="687">
        <v>24115700.030000001</v>
      </c>
      <c r="N9" s="687">
        <v>65018059.100000001</v>
      </c>
      <c r="O9" s="687">
        <v>11961755.039999999</v>
      </c>
      <c r="P9" s="520" t="s">
        <v>706</v>
      </c>
    </row>
    <row r="10" spans="1:16" s="299" customFormat="1" ht="21" x14ac:dyDescent="0.25">
      <c r="A10" s="686" t="s">
        <v>707</v>
      </c>
      <c r="B10" s="254">
        <v>0</v>
      </c>
      <c r="C10" s="254">
        <v>7061</v>
      </c>
      <c r="D10" s="254">
        <v>14339</v>
      </c>
      <c r="E10" s="254">
        <v>19216</v>
      </c>
      <c r="F10" s="684">
        <v>21668</v>
      </c>
      <c r="G10" s="687">
        <v>21668</v>
      </c>
      <c r="H10" s="696">
        <v>25031</v>
      </c>
      <c r="I10" s="254">
        <v>0</v>
      </c>
      <c r="J10" s="687">
        <v>6335718.8600000003</v>
      </c>
      <c r="K10" s="687">
        <v>11379902.270000001</v>
      </c>
      <c r="L10" s="687">
        <v>21819287.130000003</v>
      </c>
      <c r="M10" s="687">
        <v>26785585.260000002</v>
      </c>
      <c r="N10" s="687">
        <v>26571752.030000001</v>
      </c>
      <c r="O10" s="687">
        <v>14237831.629999999</v>
      </c>
      <c r="P10" s="520" t="s">
        <v>708</v>
      </c>
    </row>
    <row r="11" spans="1:16" s="299" customFormat="1" ht="21" x14ac:dyDescent="0.25">
      <c r="A11" s="686" t="s">
        <v>14</v>
      </c>
      <c r="B11" s="254">
        <v>0</v>
      </c>
      <c r="C11" s="254">
        <v>21918</v>
      </c>
      <c r="D11" s="254">
        <v>14703</v>
      </c>
      <c r="E11" s="254">
        <v>19500</v>
      </c>
      <c r="F11" s="684">
        <v>21833</v>
      </c>
      <c r="G11" s="687">
        <v>24034</v>
      </c>
      <c r="H11" s="696">
        <v>25763</v>
      </c>
      <c r="I11" s="254">
        <v>0</v>
      </c>
      <c r="J11" s="687">
        <v>11387176.5</v>
      </c>
      <c r="K11" s="687">
        <v>14222947.969999999</v>
      </c>
      <c r="L11" s="687">
        <v>20194573.960000001</v>
      </c>
      <c r="M11" s="687">
        <v>25105942.079999998</v>
      </c>
      <c r="N11" s="687">
        <v>27344862.630000003</v>
      </c>
      <c r="O11" s="687">
        <v>15232383.639999999</v>
      </c>
      <c r="P11" s="520" t="s">
        <v>87</v>
      </c>
    </row>
    <row r="12" spans="1:16" s="299" customFormat="1" ht="21" x14ac:dyDescent="0.25">
      <c r="A12" s="686" t="s">
        <v>709</v>
      </c>
      <c r="B12" s="254">
        <v>0</v>
      </c>
      <c r="C12" s="254">
        <v>22088</v>
      </c>
      <c r="D12" s="254">
        <v>15283</v>
      </c>
      <c r="E12" s="254">
        <v>19773</v>
      </c>
      <c r="F12" s="684">
        <v>22076</v>
      </c>
      <c r="G12" s="687">
        <v>24257</v>
      </c>
      <c r="H12" s="696">
        <v>25609</v>
      </c>
      <c r="I12" s="254">
        <v>0</v>
      </c>
      <c r="J12" s="687">
        <v>10939317.609999999</v>
      </c>
      <c r="K12" s="687">
        <v>14988565.709999999</v>
      </c>
      <c r="L12" s="687">
        <v>19212565.370000001</v>
      </c>
      <c r="M12" s="687">
        <v>23797281.960000001</v>
      </c>
      <c r="N12" s="687">
        <v>27437953.34</v>
      </c>
      <c r="O12" s="687">
        <v>16698376.539999999</v>
      </c>
      <c r="P12" s="520" t="s">
        <v>88</v>
      </c>
    </row>
    <row r="13" spans="1:16" s="299" customFormat="1" ht="21" x14ac:dyDescent="0.25">
      <c r="A13" s="686" t="s">
        <v>710</v>
      </c>
      <c r="B13" s="254">
        <v>0</v>
      </c>
      <c r="C13" s="254">
        <v>22306</v>
      </c>
      <c r="D13" s="254">
        <v>15897</v>
      </c>
      <c r="E13" s="254">
        <v>19992</v>
      </c>
      <c r="F13" s="684">
        <v>22100</v>
      </c>
      <c r="G13" s="687">
        <v>24359</v>
      </c>
      <c r="H13" s="696">
        <v>25607</v>
      </c>
      <c r="I13" s="254">
        <v>0</v>
      </c>
      <c r="J13" s="687">
        <v>9423440.8000000007</v>
      </c>
      <c r="K13" s="687">
        <v>15542391.540000001</v>
      </c>
      <c r="L13" s="687">
        <v>21257866.91</v>
      </c>
      <c r="M13" s="687">
        <v>24663570.309999999</v>
      </c>
      <c r="N13" s="687">
        <v>27536963.569999997</v>
      </c>
      <c r="O13" s="687">
        <v>17014342.27</v>
      </c>
      <c r="P13" s="520" t="s">
        <v>89</v>
      </c>
    </row>
    <row r="14" spans="1:16" s="299" customFormat="1" ht="21" x14ac:dyDescent="0.25">
      <c r="A14" s="686" t="s">
        <v>711</v>
      </c>
      <c r="B14" s="254">
        <v>0</v>
      </c>
      <c r="C14" s="254">
        <v>22641</v>
      </c>
      <c r="D14" s="254">
        <v>16459</v>
      </c>
      <c r="E14" s="254">
        <v>20166</v>
      </c>
      <c r="F14" s="684">
        <v>22282</v>
      </c>
      <c r="G14" s="687">
        <v>24533</v>
      </c>
      <c r="H14" s="696">
        <v>25626</v>
      </c>
      <c r="I14" s="254">
        <v>0</v>
      </c>
      <c r="J14" s="687">
        <v>10121275.789999999</v>
      </c>
      <c r="K14" s="687">
        <v>16716160.379999999</v>
      </c>
      <c r="L14" s="687">
        <v>23152349.690000005</v>
      </c>
      <c r="M14" s="687">
        <v>28058201.270000003</v>
      </c>
      <c r="N14" s="687">
        <v>27542726.530000001</v>
      </c>
      <c r="O14" s="687">
        <v>14637041.91</v>
      </c>
      <c r="P14" s="520" t="s">
        <v>90</v>
      </c>
    </row>
    <row r="15" spans="1:16" s="299" customFormat="1" ht="21" x14ac:dyDescent="0.25">
      <c r="A15" s="686" t="s">
        <v>712</v>
      </c>
      <c r="B15" s="254">
        <v>0</v>
      </c>
      <c r="C15" s="254">
        <v>12737</v>
      </c>
      <c r="D15" s="254">
        <v>16943</v>
      </c>
      <c r="E15" s="254">
        <v>20369</v>
      </c>
      <c r="F15" s="684">
        <v>22547</v>
      </c>
      <c r="G15" s="687">
        <v>24772</v>
      </c>
      <c r="H15" s="696">
        <v>25626</v>
      </c>
      <c r="I15" s="254">
        <v>0</v>
      </c>
      <c r="J15" s="687">
        <v>7714696.9199999999</v>
      </c>
      <c r="K15" s="687">
        <v>17181948.870000001</v>
      </c>
      <c r="L15" s="687">
        <v>23158927.82</v>
      </c>
      <c r="M15" s="687">
        <v>25737894.149999999</v>
      </c>
      <c r="N15" s="687">
        <v>26488280.200000003</v>
      </c>
      <c r="O15" s="687">
        <v>14637041.91</v>
      </c>
      <c r="P15" s="520" t="s">
        <v>91</v>
      </c>
    </row>
    <row r="16" spans="1:16" s="299" customFormat="1" ht="21" x14ac:dyDescent="0.25">
      <c r="A16" s="686" t="s">
        <v>713</v>
      </c>
      <c r="B16" s="254">
        <v>0</v>
      </c>
      <c r="C16" s="254">
        <v>13005</v>
      </c>
      <c r="D16" s="254">
        <v>17538</v>
      </c>
      <c r="E16" s="254">
        <v>20507</v>
      </c>
      <c r="F16" s="684">
        <v>22766</v>
      </c>
      <c r="G16" s="687">
        <v>24875</v>
      </c>
      <c r="H16" s="696">
        <v>25642</v>
      </c>
      <c r="I16" s="254">
        <v>0</v>
      </c>
      <c r="J16" s="687">
        <v>4830417.5199999996</v>
      </c>
      <c r="K16" s="687">
        <v>18260447.02</v>
      </c>
      <c r="L16" s="687">
        <v>23234616.149999999</v>
      </c>
      <c r="M16" s="687">
        <v>27060128.909999996</v>
      </c>
      <c r="N16" s="687">
        <v>26944673.18</v>
      </c>
      <c r="O16" s="687">
        <v>15266487.300000001</v>
      </c>
      <c r="P16" s="520" t="s">
        <v>92</v>
      </c>
    </row>
    <row r="17" spans="1:16" s="299" customFormat="1" ht="21" x14ac:dyDescent="0.25">
      <c r="A17" s="686" t="s">
        <v>714</v>
      </c>
      <c r="B17" s="254">
        <v>15</v>
      </c>
      <c r="C17" s="254">
        <v>13544</v>
      </c>
      <c r="D17" s="254">
        <v>17804</v>
      </c>
      <c r="E17" s="254">
        <v>20638</v>
      </c>
      <c r="F17" s="684">
        <v>22882</v>
      </c>
      <c r="G17" s="687">
        <v>25024</v>
      </c>
      <c r="H17" s="696">
        <v>25714</v>
      </c>
      <c r="I17" s="254">
        <v>4700.78</v>
      </c>
      <c r="J17" s="687">
        <v>5559527.5899999999</v>
      </c>
      <c r="K17" s="687">
        <v>17630859.52</v>
      </c>
      <c r="L17" s="687">
        <v>22063582.949999999</v>
      </c>
      <c r="M17" s="687">
        <v>23175859.02</v>
      </c>
      <c r="N17" s="687">
        <v>24549554.030000001</v>
      </c>
      <c r="O17" s="687">
        <v>15648041.789999999</v>
      </c>
      <c r="P17" s="520" t="s">
        <v>95</v>
      </c>
    </row>
    <row r="18" spans="1:16" s="299" customFormat="1" ht="21" x14ac:dyDescent="0.25">
      <c r="A18" s="689" t="s">
        <v>715</v>
      </c>
      <c r="B18" s="550">
        <v>43</v>
      </c>
      <c r="C18" s="550">
        <v>13696</v>
      </c>
      <c r="D18" s="550">
        <v>18072</v>
      </c>
      <c r="E18" s="550">
        <v>20719</v>
      </c>
      <c r="F18" s="690">
        <v>22973</v>
      </c>
      <c r="G18" s="550">
        <v>24925</v>
      </c>
      <c r="H18" s="570">
        <v>25470</v>
      </c>
      <c r="I18" s="550">
        <v>11727.23</v>
      </c>
      <c r="J18" s="550">
        <v>5367983.59</v>
      </c>
      <c r="K18" s="550">
        <v>15312456.35</v>
      </c>
      <c r="L18" s="550">
        <v>23461970.82</v>
      </c>
      <c r="M18" s="550">
        <v>22160555.210000001</v>
      </c>
      <c r="N18" s="550">
        <v>22233065.260000002</v>
      </c>
      <c r="O18" s="550">
        <v>14849143.050000001</v>
      </c>
      <c r="P18" s="521" t="s">
        <v>93</v>
      </c>
    </row>
    <row r="19" spans="1:16" ht="18.75" x14ac:dyDescent="0.5">
      <c r="A19" s="522" t="s">
        <v>827</v>
      </c>
      <c r="P19" s="22" t="s">
        <v>828</v>
      </c>
    </row>
    <row r="20" spans="1:16" ht="17.25" x14ac:dyDescent="0.25">
      <c r="A20" s="673" t="s">
        <v>321</v>
      </c>
      <c r="B20" s="523"/>
      <c r="C20" s="523"/>
      <c r="D20" s="523"/>
      <c r="E20" s="523"/>
      <c r="F20" s="523"/>
      <c r="G20" s="523"/>
      <c r="H20" s="523"/>
      <c r="I20" s="523"/>
      <c r="J20" s="691"/>
      <c r="P20" s="633" t="s">
        <v>322</v>
      </c>
    </row>
    <row r="21" spans="1:16" ht="17.25" x14ac:dyDescent="0.25">
      <c r="B21" s="675"/>
      <c r="C21" s="675"/>
      <c r="D21" s="675"/>
      <c r="E21" s="675"/>
      <c r="F21" s="675"/>
      <c r="G21" s="675"/>
      <c r="H21" s="675"/>
      <c r="I21" s="649"/>
      <c r="J21" s="649"/>
      <c r="K21" s="633"/>
      <c r="L21" s="633"/>
      <c r="M21" s="633"/>
      <c r="N21" s="633"/>
      <c r="O21" s="633"/>
    </row>
    <row r="41" spans="1:27" x14ac:dyDescent="0.25">
      <c r="W41" s="548" t="s">
        <v>26</v>
      </c>
      <c r="X41" s="548" t="s">
        <v>829</v>
      </c>
    </row>
    <row r="42" spans="1:27" x14ac:dyDescent="0.25">
      <c r="W42" s="548">
        <v>2009</v>
      </c>
      <c r="X42" s="692">
        <v>16428.009999999998</v>
      </c>
    </row>
    <row r="43" spans="1:27" x14ac:dyDescent="0.25">
      <c r="W43" s="548">
        <v>2010</v>
      </c>
      <c r="X43" s="692">
        <v>81096471.260000005</v>
      </c>
    </row>
    <row r="44" spans="1:27" x14ac:dyDescent="0.25">
      <c r="W44" s="548">
        <v>2011</v>
      </c>
      <c r="X44" s="692">
        <v>162828114.16</v>
      </c>
    </row>
    <row r="45" spans="1:27" x14ac:dyDescent="0.25">
      <c r="W45" s="548">
        <v>2012</v>
      </c>
      <c r="X45" s="692">
        <v>249768103.04999998</v>
      </c>
    </row>
    <row r="46" spans="1:27" x14ac:dyDescent="0.25">
      <c r="W46" s="650"/>
      <c r="X46" s="650"/>
    </row>
    <row r="47" spans="1:27" x14ac:dyDescent="0.25">
      <c r="W47" s="650"/>
      <c r="X47" s="650"/>
    </row>
    <row r="48" spans="1:27" x14ac:dyDescent="0.25">
      <c r="A48" s="524"/>
      <c r="B48" s="208"/>
      <c r="V48" s="548" t="s">
        <v>26</v>
      </c>
      <c r="W48" s="548">
        <v>2009</v>
      </c>
      <c r="X48" s="548">
        <v>2010</v>
      </c>
      <c r="Y48" s="548">
        <v>2011</v>
      </c>
      <c r="Z48" s="548">
        <v>2012</v>
      </c>
      <c r="AA48" s="548">
        <v>2013</v>
      </c>
    </row>
    <row r="49" spans="1:27" x14ac:dyDescent="0.25">
      <c r="A49" s="524"/>
      <c r="B49" s="693"/>
      <c r="V49" s="548" t="s">
        <v>829</v>
      </c>
      <c r="W49" s="692">
        <v>16428.009999999998</v>
      </c>
      <c r="X49" s="692">
        <v>81096471.260000005</v>
      </c>
      <c r="Y49" s="692">
        <v>162828114.16</v>
      </c>
      <c r="Z49" s="692">
        <v>249768103.04999998</v>
      </c>
      <c r="AA49" s="548">
        <v>776542835.3599999</v>
      </c>
    </row>
    <row r="50" spans="1:27" x14ac:dyDescent="0.25">
      <c r="A50" s="524"/>
      <c r="B50" s="693"/>
    </row>
    <row r="51" spans="1:27" x14ac:dyDescent="0.25">
      <c r="A51" s="524"/>
      <c r="B51" s="693"/>
    </row>
    <row r="52" spans="1:27" x14ac:dyDescent="0.25">
      <c r="A52" s="650"/>
      <c r="B52" s="650"/>
    </row>
  </sheetData>
  <mergeCells count="4">
    <mergeCell ref="A1:P1"/>
    <mergeCell ref="A2:P2"/>
    <mergeCell ref="B3:H4"/>
    <mergeCell ref="I3:M4"/>
  </mergeCells>
  <pageMargins left="0.7" right="0.7" top="0.75" bottom="0.75" header="0.3" footer="0.3"/>
  <pageSetup paperSize="9" scale="68" orientation="landscape" r:id="rId1"/>
  <rowBreaks count="1" manualBreakCount="1">
    <brk id="20" max="15"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X54"/>
  <sheetViews>
    <sheetView zoomScaleNormal="100" workbookViewId="0">
      <selection activeCell="P8" sqref="N8:P8"/>
    </sheetView>
  </sheetViews>
  <sheetFormatPr defaultColWidth="9.140625" defaultRowHeight="15" x14ac:dyDescent="0.25"/>
  <cols>
    <col min="1" max="1" width="27.42578125" style="1" customWidth="1"/>
    <col min="2" max="4" width="11.85546875" style="1" hidden="1" customWidth="1"/>
    <col min="5" max="16" width="11.85546875" style="1" customWidth="1"/>
    <col min="17" max="17" width="29.42578125" style="1" customWidth="1"/>
    <col min="18" max="18" width="5.140625" style="1" customWidth="1"/>
    <col min="19" max="16384" width="9.140625" style="1"/>
  </cols>
  <sheetData>
    <row r="1" spans="1:50" ht="18.600000000000001" customHeight="1" x14ac:dyDescent="0.25">
      <c r="A1" s="872" t="s">
        <v>1091</v>
      </c>
      <c r="B1" s="872"/>
      <c r="C1" s="872"/>
      <c r="D1" s="872"/>
      <c r="E1" s="872"/>
      <c r="F1" s="872"/>
      <c r="G1" s="872"/>
      <c r="H1" s="872"/>
      <c r="I1" s="872"/>
      <c r="J1" s="872"/>
      <c r="K1" s="872"/>
      <c r="L1" s="872"/>
      <c r="M1" s="872"/>
      <c r="N1" s="872"/>
      <c r="O1" s="872"/>
      <c r="P1" s="872"/>
      <c r="Q1" s="872"/>
      <c r="R1" s="525"/>
      <c r="S1" s="525"/>
    </row>
    <row r="2" spans="1:50" ht="15.6" customHeight="1" x14ac:dyDescent="0.25">
      <c r="A2" s="814" t="s">
        <v>1090</v>
      </c>
      <c r="B2" s="814"/>
      <c r="C2" s="814"/>
      <c r="D2" s="814"/>
      <c r="E2" s="814"/>
      <c r="F2" s="814"/>
      <c r="G2" s="814"/>
      <c r="H2" s="814"/>
      <c r="I2" s="814"/>
      <c r="J2" s="814"/>
      <c r="K2" s="814"/>
      <c r="L2" s="814"/>
      <c r="M2" s="814"/>
      <c r="N2" s="814"/>
      <c r="O2" s="814"/>
      <c r="P2" s="814"/>
      <c r="Q2" s="814"/>
      <c r="R2" s="526"/>
      <c r="S2" s="526"/>
      <c r="T2" s="526"/>
      <c r="U2" s="526"/>
      <c r="V2" s="526"/>
      <c r="W2" s="526"/>
      <c r="X2" s="526"/>
      <c r="Y2" s="526"/>
      <c r="Z2" s="526"/>
      <c r="AA2" s="526"/>
      <c r="AB2" s="526"/>
      <c r="AC2" s="526"/>
      <c r="AD2" s="526"/>
    </row>
    <row r="3" spans="1:50" ht="8.4499999999999993" customHeight="1" x14ac:dyDescent="0.25"/>
    <row r="4" spans="1:50" s="527" customFormat="1" ht="18.600000000000001" customHeight="1" x14ac:dyDescent="0.25">
      <c r="A4" s="959" t="s">
        <v>267</v>
      </c>
      <c r="B4" s="962" t="s">
        <v>830</v>
      </c>
      <c r="C4" s="962"/>
      <c r="D4" s="962"/>
      <c r="E4" s="962"/>
      <c r="F4" s="962"/>
      <c r="G4" s="962"/>
      <c r="H4" s="962"/>
      <c r="I4" s="962"/>
      <c r="J4" s="962"/>
      <c r="K4" s="962"/>
      <c r="L4" s="962"/>
      <c r="M4" s="962"/>
      <c r="N4" s="962"/>
      <c r="O4" s="962"/>
      <c r="P4" s="962"/>
      <c r="Q4" s="963" t="s">
        <v>268</v>
      </c>
    </row>
    <row r="5" spans="1:50" s="431" customFormat="1" ht="22.15" customHeight="1" x14ac:dyDescent="0.25">
      <c r="A5" s="960"/>
      <c r="B5" s="528" t="s">
        <v>831</v>
      </c>
      <c r="C5" s="528" t="s">
        <v>832</v>
      </c>
      <c r="D5" s="529" t="s">
        <v>833</v>
      </c>
      <c r="E5" s="528" t="s">
        <v>834</v>
      </c>
      <c r="F5" s="528" t="s">
        <v>835</v>
      </c>
      <c r="G5" s="528" t="s">
        <v>200</v>
      </c>
      <c r="H5" s="530" t="s">
        <v>834</v>
      </c>
      <c r="I5" s="528" t="s">
        <v>835</v>
      </c>
      <c r="J5" s="528" t="s">
        <v>2</v>
      </c>
      <c r="K5" s="530" t="s">
        <v>834</v>
      </c>
      <c r="L5" s="528" t="s">
        <v>835</v>
      </c>
      <c r="M5" s="529" t="s">
        <v>200</v>
      </c>
      <c r="N5" s="530" t="s">
        <v>834</v>
      </c>
      <c r="O5" s="528" t="s">
        <v>835</v>
      </c>
      <c r="P5" s="528" t="s">
        <v>2</v>
      </c>
      <c r="Q5" s="964"/>
      <c r="R5" s="531"/>
      <c r="S5" s="531"/>
      <c r="T5" s="531"/>
      <c r="U5" s="531"/>
      <c r="V5" s="531"/>
      <c r="W5" s="531"/>
      <c r="X5" s="531"/>
      <c r="Y5" s="531"/>
      <c r="Z5" s="531"/>
      <c r="AA5" s="531"/>
      <c r="AB5" s="531"/>
      <c r="AC5" s="531"/>
      <c r="AD5" s="531"/>
      <c r="AE5" s="531"/>
      <c r="AF5" s="531"/>
      <c r="AG5" s="531"/>
      <c r="AH5" s="531"/>
      <c r="AI5" s="531"/>
      <c r="AJ5" s="531"/>
      <c r="AK5" s="531"/>
      <c r="AL5" s="531"/>
      <c r="AM5" s="531"/>
      <c r="AN5" s="531"/>
      <c r="AO5" s="531"/>
      <c r="AP5" s="531"/>
      <c r="AQ5" s="531"/>
      <c r="AR5" s="531"/>
      <c r="AS5" s="531"/>
      <c r="AT5" s="531"/>
      <c r="AU5" s="531"/>
      <c r="AV5" s="531"/>
      <c r="AW5" s="531"/>
      <c r="AX5" s="531"/>
    </row>
    <row r="6" spans="1:50" s="431" customFormat="1" ht="19.899999999999999" customHeight="1" x14ac:dyDescent="0.25">
      <c r="A6" s="960"/>
      <c r="B6" s="532" t="s">
        <v>836</v>
      </c>
      <c r="C6" s="532" t="s">
        <v>837</v>
      </c>
      <c r="D6" s="533" t="s">
        <v>838</v>
      </c>
      <c r="E6" s="534" t="s">
        <v>836</v>
      </c>
      <c r="F6" s="534" t="s">
        <v>837</v>
      </c>
      <c r="G6" s="534" t="s">
        <v>838</v>
      </c>
      <c r="H6" s="535" t="s">
        <v>836</v>
      </c>
      <c r="I6" s="534" t="s">
        <v>837</v>
      </c>
      <c r="J6" s="534" t="s">
        <v>838</v>
      </c>
      <c r="K6" s="535" t="s">
        <v>836</v>
      </c>
      <c r="L6" s="534" t="s">
        <v>837</v>
      </c>
      <c r="M6" s="536" t="s">
        <v>838</v>
      </c>
      <c r="N6" s="535" t="s">
        <v>836</v>
      </c>
      <c r="O6" s="534" t="s">
        <v>837</v>
      </c>
      <c r="P6" s="534" t="s">
        <v>838</v>
      </c>
      <c r="Q6" s="964"/>
      <c r="R6" s="531"/>
      <c r="S6" s="531"/>
      <c r="T6" s="531"/>
      <c r="U6" s="531"/>
      <c r="V6" s="531"/>
      <c r="W6" s="531"/>
      <c r="X6" s="531"/>
      <c r="Y6" s="531"/>
      <c r="Z6" s="531"/>
      <c r="AA6" s="531"/>
      <c r="AB6" s="531"/>
      <c r="AC6" s="531"/>
      <c r="AD6" s="531"/>
      <c r="AE6" s="531"/>
      <c r="AF6" s="531"/>
      <c r="AG6" s="531"/>
      <c r="AH6" s="531"/>
      <c r="AI6" s="531"/>
      <c r="AJ6" s="531"/>
      <c r="AK6" s="531"/>
      <c r="AL6" s="531"/>
      <c r="AM6" s="531"/>
      <c r="AN6" s="531"/>
      <c r="AO6" s="531"/>
      <c r="AP6" s="531"/>
      <c r="AQ6" s="531"/>
      <c r="AR6" s="531"/>
      <c r="AS6" s="531"/>
      <c r="AT6" s="531"/>
      <c r="AU6" s="531"/>
      <c r="AV6" s="531"/>
      <c r="AW6" s="531"/>
      <c r="AX6" s="531"/>
    </row>
    <row r="7" spans="1:50" s="471" customFormat="1" x14ac:dyDescent="0.25">
      <c r="A7" s="961"/>
      <c r="B7" s="966">
        <v>2011</v>
      </c>
      <c r="C7" s="966"/>
      <c r="D7" s="966"/>
      <c r="E7" s="967">
        <v>2012</v>
      </c>
      <c r="F7" s="967"/>
      <c r="G7" s="968"/>
      <c r="H7" s="969">
        <v>2013</v>
      </c>
      <c r="I7" s="966"/>
      <c r="J7" s="966"/>
      <c r="K7" s="970">
        <v>2014</v>
      </c>
      <c r="L7" s="967"/>
      <c r="M7" s="968"/>
      <c r="N7" s="969">
        <v>2015</v>
      </c>
      <c r="O7" s="966"/>
      <c r="P7" s="966"/>
      <c r="Q7" s="965"/>
      <c r="R7" s="303"/>
      <c r="S7" s="531"/>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3"/>
      <c r="AS7" s="303"/>
      <c r="AT7" s="303"/>
      <c r="AU7" s="303"/>
      <c r="AV7" s="303"/>
      <c r="AW7" s="303"/>
      <c r="AX7" s="303"/>
    </row>
    <row r="8" spans="1:50" s="527" customFormat="1" ht="21" x14ac:dyDescent="0.25">
      <c r="A8" s="537" t="s">
        <v>263</v>
      </c>
      <c r="B8" s="253">
        <f>B10+B9</f>
        <v>48781</v>
      </c>
      <c r="C8" s="208">
        <f>C10+C9</f>
        <v>3377</v>
      </c>
      <c r="D8" s="538">
        <f>SUM(B8:C8)</f>
        <v>52158</v>
      </c>
      <c r="E8" s="208">
        <v>57596</v>
      </c>
      <c r="F8" s="208">
        <v>4255</v>
      </c>
      <c r="G8" s="253">
        <f>SUM(E8:F8)</f>
        <v>61851</v>
      </c>
      <c r="H8" s="539">
        <f>SUM(H9:H10)</f>
        <v>62204</v>
      </c>
      <c r="I8" s="208">
        <f>SUM(I9:I10)</f>
        <v>5048</v>
      </c>
      <c r="J8" s="253">
        <f>SUM(H8:I8)</f>
        <v>67252</v>
      </c>
      <c r="K8" s="539">
        <f>SUM(K9:K10)</f>
        <v>66656</v>
      </c>
      <c r="L8" s="208">
        <f>SUM(L9:L10)</f>
        <v>5641</v>
      </c>
      <c r="M8" s="253">
        <f>SUM(K8:L8)</f>
        <v>72297</v>
      </c>
      <c r="N8" s="539">
        <f>SUM(N9:N10)</f>
        <v>66883</v>
      </c>
      <c r="O8" s="208">
        <f>SUM(O9:O10)</f>
        <v>6133</v>
      </c>
      <c r="P8" s="253">
        <f>SUM(N8:O8)</f>
        <v>73016</v>
      </c>
      <c r="Q8" s="540" t="s">
        <v>264</v>
      </c>
      <c r="R8" s="531"/>
      <c r="S8" s="531"/>
      <c r="T8" s="531"/>
      <c r="U8" s="531"/>
      <c r="V8" s="531"/>
      <c r="W8" s="531"/>
      <c r="X8" s="531"/>
      <c r="Y8" s="531"/>
      <c r="Z8" s="531"/>
      <c r="AA8" s="531"/>
      <c r="AB8" s="531"/>
      <c r="AC8" s="531"/>
      <c r="AD8" s="531"/>
      <c r="AE8" s="531"/>
      <c r="AF8" s="531"/>
      <c r="AG8" s="531"/>
      <c r="AH8" s="531"/>
      <c r="AI8" s="531"/>
      <c r="AJ8" s="531"/>
      <c r="AK8" s="531"/>
      <c r="AL8" s="531"/>
      <c r="AM8" s="531"/>
      <c r="AN8" s="531"/>
      <c r="AO8" s="531"/>
      <c r="AP8" s="531"/>
      <c r="AQ8" s="531"/>
      <c r="AR8" s="531"/>
      <c r="AS8" s="531"/>
      <c r="AT8" s="531"/>
      <c r="AU8" s="531"/>
      <c r="AV8" s="531"/>
      <c r="AW8" s="531"/>
      <c r="AX8" s="531"/>
    </row>
    <row r="9" spans="1:50" s="527" customFormat="1" ht="21" x14ac:dyDescent="0.25">
      <c r="A9" s="541" t="s">
        <v>788</v>
      </c>
      <c r="B9" s="208">
        <v>18072</v>
      </c>
      <c r="C9" s="208">
        <v>0</v>
      </c>
      <c r="D9" s="538">
        <f t="shared" ref="D9:D30" si="0">SUM(B9:C9)</f>
        <v>18072</v>
      </c>
      <c r="E9" s="208">
        <v>20719</v>
      </c>
      <c r="F9" s="542">
        <v>0</v>
      </c>
      <c r="G9" s="208">
        <f t="shared" ref="G9" si="1">SUM(E9:F9)</f>
        <v>20719</v>
      </c>
      <c r="H9" s="539">
        <v>22973</v>
      </c>
      <c r="I9" s="208">
        <v>0</v>
      </c>
      <c r="J9" s="208">
        <f t="shared" ref="J9:J30" si="2">SUM(H9:I9)</f>
        <v>22973</v>
      </c>
      <c r="K9" s="539">
        <v>24925</v>
      </c>
      <c r="L9" s="208">
        <v>0</v>
      </c>
      <c r="M9" s="208">
        <f t="shared" ref="M9:M30" si="3">SUM(K9:L9)</f>
        <v>24925</v>
      </c>
      <c r="N9" s="539">
        <v>25470</v>
      </c>
      <c r="O9" s="208">
        <v>0</v>
      </c>
      <c r="P9" s="208">
        <f t="shared" ref="P9:P30" si="4">SUM(N9:O9)</f>
        <v>25470</v>
      </c>
      <c r="Q9" s="543" t="s">
        <v>266</v>
      </c>
      <c r="R9" s="531"/>
      <c r="S9" s="531"/>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c r="AR9" s="531"/>
      <c r="AS9" s="531"/>
      <c r="AT9" s="531"/>
      <c r="AU9" s="531"/>
      <c r="AV9" s="531"/>
      <c r="AW9" s="531"/>
      <c r="AX9" s="531"/>
    </row>
    <row r="10" spans="1:50" s="531" customFormat="1" ht="21" x14ac:dyDescent="0.25">
      <c r="A10" s="541" t="s">
        <v>267</v>
      </c>
      <c r="B10" s="208">
        <f>SUM(B11:B30)</f>
        <v>30709</v>
      </c>
      <c r="C10" s="208">
        <f>SUM(C11:C30)</f>
        <v>3377</v>
      </c>
      <c r="D10" s="538">
        <f t="shared" si="0"/>
        <v>34086</v>
      </c>
      <c r="E10" s="208">
        <v>36877</v>
      </c>
      <c r="F10" s="542">
        <v>4255</v>
      </c>
      <c r="G10" s="208">
        <f>SUM(E10:F10)</f>
        <v>41132</v>
      </c>
      <c r="H10" s="539">
        <f>SUM(H11:H30)</f>
        <v>39231</v>
      </c>
      <c r="I10" s="208">
        <f>SUM(I11:I30)</f>
        <v>5048</v>
      </c>
      <c r="J10" s="208">
        <f t="shared" si="2"/>
        <v>44279</v>
      </c>
      <c r="K10" s="539">
        <f>SUM(K11:K30)</f>
        <v>41731</v>
      </c>
      <c r="L10" s="208">
        <f>SUM(L11:L30)</f>
        <v>5641</v>
      </c>
      <c r="M10" s="208">
        <f>SUM(K10:L10)</f>
        <v>47372</v>
      </c>
      <c r="N10" s="539">
        <f>SUM(N11:N30)</f>
        <v>41413</v>
      </c>
      <c r="O10" s="208">
        <f>SUM(O11:O30)</f>
        <v>6133</v>
      </c>
      <c r="P10" s="208">
        <f t="shared" si="4"/>
        <v>47546</v>
      </c>
      <c r="Q10" s="543" t="s">
        <v>268</v>
      </c>
    </row>
    <row r="11" spans="1:50" s="548" customFormat="1" ht="18" x14ac:dyDescent="0.25">
      <c r="A11" s="544" t="s">
        <v>269</v>
      </c>
      <c r="B11" s="254">
        <v>2597</v>
      </c>
      <c r="C11" s="254">
        <v>178</v>
      </c>
      <c r="D11" s="538">
        <f t="shared" si="0"/>
        <v>2775</v>
      </c>
      <c r="E11" s="254">
        <v>3146</v>
      </c>
      <c r="F11" s="545">
        <v>260</v>
      </c>
      <c r="G11" s="208">
        <f>SUM(E11:F11)</f>
        <v>3406</v>
      </c>
      <c r="H11" s="546">
        <v>3124</v>
      </c>
      <c r="I11" s="254">
        <v>282</v>
      </c>
      <c r="J11" s="208">
        <f t="shared" si="2"/>
        <v>3406</v>
      </c>
      <c r="K11" s="546">
        <v>2747</v>
      </c>
      <c r="L11" s="254">
        <v>318</v>
      </c>
      <c r="M11" s="208">
        <f t="shared" si="3"/>
        <v>3065</v>
      </c>
      <c r="N11" s="546">
        <v>3203</v>
      </c>
      <c r="O11" s="254">
        <v>412</v>
      </c>
      <c r="P11" s="208">
        <f t="shared" si="4"/>
        <v>3615</v>
      </c>
      <c r="Q11" s="547" t="s">
        <v>270</v>
      </c>
      <c r="S11" s="531"/>
    </row>
    <row r="12" spans="1:50" s="548" customFormat="1" ht="18" x14ac:dyDescent="0.25">
      <c r="A12" s="544" t="s">
        <v>271</v>
      </c>
      <c r="B12" s="254">
        <v>3719</v>
      </c>
      <c r="C12" s="254">
        <v>326</v>
      </c>
      <c r="D12" s="538">
        <f t="shared" si="0"/>
        <v>4045</v>
      </c>
      <c r="E12" s="254">
        <v>3961</v>
      </c>
      <c r="F12" s="545">
        <v>368</v>
      </c>
      <c r="G12" s="208">
        <f t="shared" ref="G12:G30" si="5">SUM(E12:F12)</f>
        <v>4329</v>
      </c>
      <c r="H12" s="546">
        <v>4063</v>
      </c>
      <c r="I12" s="254">
        <v>529</v>
      </c>
      <c r="J12" s="208">
        <f t="shared" si="2"/>
        <v>4592</v>
      </c>
      <c r="K12" s="546">
        <v>4120</v>
      </c>
      <c r="L12" s="254">
        <v>647</v>
      </c>
      <c r="M12" s="208">
        <f t="shared" si="3"/>
        <v>4767</v>
      </c>
      <c r="N12" s="546">
        <v>4135</v>
      </c>
      <c r="O12" s="254">
        <v>754</v>
      </c>
      <c r="P12" s="208">
        <f t="shared" si="4"/>
        <v>4889</v>
      </c>
      <c r="Q12" s="547" t="s">
        <v>272</v>
      </c>
      <c r="S12" s="531"/>
    </row>
    <row r="13" spans="1:50" s="548" customFormat="1" ht="18" x14ac:dyDescent="0.25">
      <c r="A13" s="544" t="s">
        <v>273</v>
      </c>
      <c r="B13" s="254">
        <v>1512</v>
      </c>
      <c r="C13" s="254">
        <v>123</v>
      </c>
      <c r="D13" s="538">
        <f t="shared" si="0"/>
        <v>1635</v>
      </c>
      <c r="E13" s="254">
        <v>2130</v>
      </c>
      <c r="F13" s="545">
        <v>267</v>
      </c>
      <c r="G13" s="208">
        <f t="shared" si="5"/>
        <v>2397</v>
      </c>
      <c r="H13" s="546">
        <v>2543</v>
      </c>
      <c r="I13" s="254">
        <v>321</v>
      </c>
      <c r="J13" s="208">
        <f t="shared" si="2"/>
        <v>2864</v>
      </c>
      <c r="K13" s="546">
        <v>2424</v>
      </c>
      <c r="L13" s="254">
        <v>397</v>
      </c>
      <c r="M13" s="208">
        <f t="shared" si="3"/>
        <v>2821</v>
      </c>
      <c r="N13" s="546">
        <v>2421</v>
      </c>
      <c r="O13" s="254">
        <v>408</v>
      </c>
      <c r="P13" s="208">
        <f t="shared" si="4"/>
        <v>2829</v>
      </c>
      <c r="Q13" s="547" t="s">
        <v>274</v>
      </c>
      <c r="S13" s="531"/>
    </row>
    <row r="14" spans="1:50" s="548" customFormat="1" ht="18" x14ac:dyDescent="0.25">
      <c r="A14" s="544" t="s">
        <v>275</v>
      </c>
      <c r="B14" s="254">
        <v>2220</v>
      </c>
      <c r="C14" s="254">
        <v>251</v>
      </c>
      <c r="D14" s="538">
        <f t="shared" si="0"/>
        <v>2471</v>
      </c>
      <c r="E14" s="254">
        <v>2402</v>
      </c>
      <c r="F14" s="545">
        <v>317</v>
      </c>
      <c r="G14" s="208">
        <f t="shared" si="5"/>
        <v>2719</v>
      </c>
      <c r="H14" s="546">
        <v>2418</v>
      </c>
      <c r="I14" s="254">
        <v>300</v>
      </c>
      <c r="J14" s="208">
        <f t="shared" si="2"/>
        <v>2718</v>
      </c>
      <c r="K14" s="546">
        <v>2430</v>
      </c>
      <c r="L14" s="254">
        <v>328</v>
      </c>
      <c r="M14" s="208">
        <f t="shared" si="3"/>
        <v>2758</v>
      </c>
      <c r="N14" s="546">
        <v>2201</v>
      </c>
      <c r="O14" s="254">
        <v>362</v>
      </c>
      <c r="P14" s="208">
        <f t="shared" si="4"/>
        <v>2563</v>
      </c>
      <c r="Q14" s="547" t="s">
        <v>276</v>
      </c>
      <c r="S14" s="531"/>
    </row>
    <row r="15" spans="1:50" s="548" customFormat="1" ht="18" x14ac:dyDescent="0.25">
      <c r="A15" s="544" t="s">
        <v>277</v>
      </c>
      <c r="B15" s="254">
        <v>2678</v>
      </c>
      <c r="C15" s="254">
        <v>278</v>
      </c>
      <c r="D15" s="538">
        <f t="shared" si="0"/>
        <v>2956</v>
      </c>
      <c r="E15" s="254">
        <v>2872</v>
      </c>
      <c r="F15" s="545">
        <v>355</v>
      </c>
      <c r="G15" s="208">
        <f t="shared" si="5"/>
        <v>3227</v>
      </c>
      <c r="H15" s="546">
        <v>2240</v>
      </c>
      <c r="I15" s="254">
        <v>278</v>
      </c>
      <c r="J15" s="208">
        <f t="shared" si="2"/>
        <v>2518</v>
      </c>
      <c r="K15" s="546">
        <v>2337</v>
      </c>
      <c r="L15" s="254">
        <v>324</v>
      </c>
      <c r="M15" s="208">
        <f t="shared" si="3"/>
        <v>2661</v>
      </c>
      <c r="N15" s="546">
        <v>2584</v>
      </c>
      <c r="O15" s="254">
        <v>374</v>
      </c>
      <c r="P15" s="208">
        <f t="shared" si="4"/>
        <v>2958</v>
      </c>
      <c r="Q15" s="547" t="s">
        <v>278</v>
      </c>
      <c r="S15" s="531"/>
    </row>
    <row r="16" spans="1:50" s="548" customFormat="1" ht="18" x14ac:dyDescent="0.25">
      <c r="A16" s="544" t="s">
        <v>839</v>
      </c>
      <c r="B16" s="254">
        <v>1551</v>
      </c>
      <c r="C16" s="254">
        <v>171</v>
      </c>
      <c r="D16" s="538">
        <f t="shared" si="0"/>
        <v>1722</v>
      </c>
      <c r="E16" s="254">
        <v>2255</v>
      </c>
      <c r="F16" s="545">
        <v>295</v>
      </c>
      <c r="G16" s="208">
        <f t="shared" si="5"/>
        <v>2550</v>
      </c>
      <c r="H16" s="546">
        <v>2321</v>
      </c>
      <c r="I16" s="254">
        <v>312</v>
      </c>
      <c r="J16" s="208">
        <f t="shared" si="2"/>
        <v>2633</v>
      </c>
      <c r="K16" s="546">
        <v>2367</v>
      </c>
      <c r="L16" s="254">
        <v>342</v>
      </c>
      <c r="M16" s="208">
        <f t="shared" si="3"/>
        <v>2709</v>
      </c>
      <c r="N16" s="546">
        <v>2377</v>
      </c>
      <c r="O16" s="254">
        <v>352</v>
      </c>
      <c r="P16" s="208">
        <f t="shared" si="4"/>
        <v>2729</v>
      </c>
      <c r="Q16" s="547" t="s">
        <v>280</v>
      </c>
      <c r="S16" s="531"/>
    </row>
    <row r="17" spans="1:17" s="548" customFormat="1" ht="18" x14ac:dyDescent="0.25">
      <c r="A17" s="544" t="s">
        <v>840</v>
      </c>
      <c r="B17" s="254">
        <v>1772</v>
      </c>
      <c r="C17" s="254">
        <v>115</v>
      </c>
      <c r="D17" s="538">
        <f t="shared" si="0"/>
        <v>1887</v>
      </c>
      <c r="E17" s="254">
        <v>1897</v>
      </c>
      <c r="F17" s="545">
        <v>153</v>
      </c>
      <c r="G17" s="208">
        <f t="shared" si="5"/>
        <v>2050</v>
      </c>
      <c r="H17" s="546">
        <v>2041</v>
      </c>
      <c r="I17" s="254">
        <v>182</v>
      </c>
      <c r="J17" s="208">
        <f t="shared" si="2"/>
        <v>2223</v>
      </c>
      <c r="K17" s="546">
        <v>1829</v>
      </c>
      <c r="L17" s="254">
        <v>238</v>
      </c>
      <c r="M17" s="208">
        <f t="shared" si="3"/>
        <v>2067</v>
      </c>
      <c r="N17" s="546">
        <v>1877</v>
      </c>
      <c r="O17" s="254">
        <v>254</v>
      </c>
      <c r="P17" s="208">
        <f t="shared" si="4"/>
        <v>2131</v>
      </c>
      <c r="Q17" s="547" t="s">
        <v>282</v>
      </c>
    </row>
    <row r="18" spans="1:17" s="548" customFormat="1" ht="18" x14ac:dyDescent="0.25">
      <c r="A18" s="544" t="s">
        <v>841</v>
      </c>
      <c r="B18" s="254">
        <v>314</v>
      </c>
      <c r="C18" s="254">
        <v>0</v>
      </c>
      <c r="D18" s="538">
        <f t="shared" si="0"/>
        <v>314</v>
      </c>
      <c r="E18" s="254">
        <v>576</v>
      </c>
      <c r="F18" s="545">
        <v>0</v>
      </c>
      <c r="G18" s="208">
        <f t="shared" si="5"/>
        <v>576</v>
      </c>
      <c r="H18" s="546">
        <v>572</v>
      </c>
      <c r="I18" s="254">
        <v>0</v>
      </c>
      <c r="J18" s="208">
        <f t="shared" si="2"/>
        <v>572</v>
      </c>
      <c r="K18" s="546">
        <v>1881</v>
      </c>
      <c r="L18" s="254">
        <v>0</v>
      </c>
      <c r="M18" s="208">
        <f t="shared" si="3"/>
        <v>1881</v>
      </c>
      <c r="N18" s="546">
        <v>574</v>
      </c>
      <c r="O18" s="254">
        <v>0</v>
      </c>
      <c r="P18" s="208">
        <f t="shared" si="4"/>
        <v>574</v>
      </c>
      <c r="Q18" s="547" t="s">
        <v>284</v>
      </c>
    </row>
    <row r="19" spans="1:17" s="548" customFormat="1" ht="18" x14ac:dyDescent="0.25">
      <c r="A19" s="544" t="s">
        <v>285</v>
      </c>
      <c r="B19" s="254">
        <v>263</v>
      </c>
      <c r="C19" s="254">
        <v>0</v>
      </c>
      <c r="D19" s="538">
        <f t="shared" si="0"/>
        <v>263</v>
      </c>
      <c r="E19" s="254">
        <v>777</v>
      </c>
      <c r="F19" s="545">
        <v>0</v>
      </c>
      <c r="G19" s="208">
        <f t="shared" si="5"/>
        <v>777</v>
      </c>
      <c r="H19" s="546">
        <v>812</v>
      </c>
      <c r="I19" s="254">
        <v>0</v>
      </c>
      <c r="J19" s="208">
        <f t="shared" si="2"/>
        <v>812</v>
      </c>
      <c r="K19" s="546">
        <v>852</v>
      </c>
      <c r="L19" s="254">
        <v>0</v>
      </c>
      <c r="M19" s="208">
        <f t="shared" si="3"/>
        <v>852</v>
      </c>
      <c r="N19" s="546">
        <v>1291</v>
      </c>
      <c r="O19" s="254">
        <v>0</v>
      </c>
      <c r="P19" s="208">
        <f t="shared" si="4"/>
        <v>1291</v>
      </c>
      <c r="Q19" s="547" t="s">
        <v>286</v>
      </c>
    </row>
    <row r="20" spans="1:17" s="548" customFormat="1" ht="18" x14ac:dyDescent="0.25">
      <c r="A20" s="544" t="s">
        <v>287</v>
      </c>
      <c r="B20" s="254">
        <v>0</v>
      </c>
      <c r="C20" s="254">
        <v>0</v>
      </c>
      <c r="D20" s="538">
        <f t="shared" si="0"/>
        <v>0</v>
      </c>
      <c r="E20" s="254">
        <v>566</v>
      </c>
      <c r="F20" s="545">
        <v>0</v>
      </c>
      <c r="G20" s="208">
        <f t="shared" si="5"/>
        <v>566</v>
      </c>
      <c r="H20" s="546">
        <v>616</v>
      </c>
      <c r="I20" s="254">
        <v>0</v>
      </c>
      <c r="J20" s="208">
        <f t="shared" si="2"/>
        <v>616</v>
      </c>
      <c r="K20" s="546">
        <v>1082</v>
      </c>
      <c r="L20" s="254">
        <v>0</v>
      </c>
      <c r="M20" s="208">
        <f t="shared" si="3"/>
        <v>1082</v>
      </c>
      <c r="N20" s="546">
        <v>942</v>
      </c>
      <c r="O20" s="254">
        <v>0</v>
      </c>
      <c r="P20" s="208">
        <f t="shared" si="4"/>
        <v>942</v>
      </c>
      <c r="Q20" s="547" t="s">
        <v>288</v>
      </c>
    </row>
    <row r="21" spans="1:17" s="548" customFormat="1" ht="18" x14ac:dyDescent="0.25">
      <c r="A21" s="544" t="s">
        <v>289</v>
      </c>
      <c r="B21" s="254">
        <v>66</v>
      </c>
      <c r="C21" s="254">
        <v>0</v>
      </c>
      <c r="D21" s="538">
        <f t="shared" si="0"/>
        <v>66</v>
      </c>
      <c r="E21" s="254">
        <v>312</v>
      </c>
      <c r="F21" s="545">
        <v>0</v>
      </c>
      <c r="G21" s="208">
        <f t="shared" si="5"/>
        <v>312</v>
      </c>
      <c r="H21" s="546">
        <v>333</v>
      </c>
      <c r="I21" s="254">
        <v>0</v>
      </c>
      <c r="J21" s="208">
        <f t="shared" si="2"/>
        <v>333</v>
      </c>
      <c r="K21" s="546">
        <v>861</v>
      </c>
      <c r="L21" s="254">
        <v>0</v>
      </c>
      <c r="M21" s="208">
        <f t="shared" si="3"/>
        <v>861</v>
      </c>
      <c r="N21" s="546">
        <v>377</v>
      </c>
      <c r="O21" s="254">
        <v>0</v>
      </c>
      <c r="P21" s="208">
        <f t="shared" si="4"/>
        <v>377</v>
      </c>
      <c r="Q21" s="547" t="s">
        <v>290</v>
      </c>
    </row>
    <row r="22" spans="1:17" s="548" customFormat="1" ht="18" x14ac:dyDescent="0.25">
      <c r="A22" s="544" t="s">
        <v>291</v>
      </c>
      <c r="B22" s="254">
        <v>45</v>
      </c>
      <c r="C22" s="254">
        <v>7</v>
      </c>
      <c r="D22" s="538">
        <f t="shared" si="0"/>
        <v>52</v>
      </c>
      <c r="E22" s="254">
        <v>552</v>
      </c>
      <c r="F22" s="545">
        <v>59</v>
      </c>
      <c r="G22" s="208">
        <f t="shared" si="5"/>
        <v>611</v>
      </c>
      <c r="H22" s="546">
        <v>1114</v>
      </c>
      <c r="I22" s="254">
        <v>136</v>
      </c>
      <c r="J22" s="208">
        <f t="shared" si="2"/>
        <v>1250</v>
      </c>
      <c r="K22" s="546">
        <v>1103</v>
      </c>
      <c r="L22" s="254">
        <v>176</v>
      </c>
      <c r="M22" s="208">
        <f t="shared" si="3"/>
        <v>1279</v>
      </c>
      <c r="N22" s="546">
        <v>1115</v>
      </c>
      <c r="O22" s="254">
        <v>184</v>
      </c>
      <c r="P22" s="208">
        <f t="shared" si="4"/>
        <v>1299</v>
      </c>
      <c r="Q22" s="547" t="s">
        <v>292</v>
      </c>
    </row>
    <row r="23" spans="1:17" s="548" customFormat="1" ht="18" x14ac:dyDescent="0.25">
      <c r="A23" s="544" t="s">
        <v>842</v>
      </c>
      <c r="B23" s="254">
        <v>62</v>
      </c>
      <c r="C23" s="254">
        <v>8</v>
      </c>
      <c r="D23" s="538">
        <f t="shared" si="0"/>
        <v>70</v>
      </c>
      <c r="E23" s="254">
        <v>67</v>
      </c>
      <c r="F23" s="545">
        <v>8</v>
      </c>
      <c r="G23" s="208">
        <f t="shared" si="5"/>
        <v>75</v>
      </c>
      <c r="H23" s="546">
        <v>188</v>
      </c>
      <c r="I23" s="254">
        <v>23</v>
      </c>
      <c r="J23" s="208">
        <f t="shared" si="2"/>
        <v>211</v>
      </c>
      <c r="K23" s="546">
        <v>559</v>
      </c>
      <c r="L23" s="254">
        <v>74</v>
      </c>
      <c r="M23" s="208">
        <f t="shared" si="3"/>
        <v>633</v>
      </c>
      <c r="N23" s="546">
        <v>566</v>
      </c>
      <c r="O23" s="254">
        <v>77</v>
      </c>
      <c r="P23" s="208">
        <f t="shared" si="4"/>
        <v>643</v>
      </c>
      <c r="Q23" s="547" t="s">
        <v>295</v>
      </c>
    </row>
    <row r="24" spans="1:17" s="548" customFormat="1" ht="18" x14ac:dyDescent="0.25">
      <c r="A24" s="544" t="s">
        <v>297</v>
      </c>
      <c r="B24" s="254">
        <v>623</v>
      </c>
      <c r="C24" s="254">
        <v>65</v>
      </c>
      <c r="D24" s="538">
        <f t="shared" si="0"/>
        <v>688</v>
      </c>
      <c r="E24" s="254">
        <v>928</v>
      </c>
      <c r="F24" s="545">
        <v>93</v>
      </c>
      <c r="G24" s="208">
        <f t="shared" si="5"/>
        <v>1021</v>
      </c>
      <c r="H24" s="546">
        <v>1242</v>
      </c>
      <c r="I24" s="254">
        <v>128</v>
      </c>
      <c r="J24" s="208">
        <f t="shared" si="2"/>
        <v>1370</v>
      </c>
      <c r="K24" s="546">
        <v>1266</v>
      </c>
      <c r="L24" s="254">
        <v>148</v>
      </c>
      <c r="M24" s="208">
        <f t="shared" si="3"/>
        <v>1414</v>
      </c>
      <c r="N24" s="546">
        <v>1316</v>
      </c>
      <c r="O24" s="254">
        <v>152</v>
      </c>
      <c r="P24" s="208">
        <f t="shared" si="4"/>
        <v>1468</v>
      </c>
      <c r="Q24" s="547" t="s">
        <v>298</v>
      </c>
    </row>
    <row r="25" spans="1:17" s="548" customFormat="1" ht="18" x14ac:dyDescent="0.25">
      <c r="A25" s="544" t="s">
        <v>300</v>
      </c>
      <c r="B25" s="254">
        <v>1327</v>
      </c>
      <c r="C25" s="254">
        <v>158</v>
      </c>
      <c r="D25" s="538">
        <f t="shared" si="0"/>
        <v>1485</v>
      </c>
      <c r="E25" s="254">
        <v>1421</v>
      </c>
      <c r="F25" s="545">
        <v>176</v>
      </c>
      <c r="G25" s="208">
        <f t="shared" si="5"/>
        <v>1597</v>
      </c>
      <c r="H25" s="546">
        <v>2172</v>
      </c>
      <c r="I25" s="254">
        <v>346</v>
      </c>
      <c r="J25" s="208">
        <f t="shared" si="2"/>
        <v>2518</v>
      </c>
      <c r="K25" s="546">
        <v>2317</v>
      </c>
      <c r="L25" s="254">
        <v>406</v>
      </c>
      <c r="M25" s="208">
        <f t="shared" si="3"/>
        <v>2723</v>
      </c>
      <c r="N25" s="546">
        <v>2323</v>
      </c>
      <c r="O25" s="254">
        <v>407</v>
      </c>
      <c r="P25" s="208">
        <f t="shared" si="4"/>
        <v>2730</v>
      </c>
      <c r="Q25" s="547" t="s">
        <v>301</v>
      </c>
    </row>
    <row r="26" spans="1:17" s="548" customFormat="1" ht="18" x14ac:dyDescent="0.25">
      <c r="A26" s="544" t="s">
        <v>303</v>
      </c>
      <c r="B26" s="254">
        <v>1941</v>
      </c>
      <c r="C26" s="254">
        <v>246</v>
      </c>
      <c r="D26" s="538">
        <f t="shared" si="0"/>
        <v>2187</v>
      </c>
      <c r="E26" s="254">
        <v>2338</v>
      </c>
      <c r="F26" s="545">
        <v>293</v>
      </c>
      <c r="G26" s="208">
        <f t="shared" si="5"/>
        <v>2631</v>
      </c>
      <c r="H26" s="546">
        <v>2825</v>
      </c>
      <c r="I26" s="254">
        <v>479</v>
      </c>
      <c r="J26" s="208">
        <f t="shared" si="2"/>
        <v>3304</v>
      </c>
      <c r="K26" s="546">
        <v>2820</v>
      </c>
      <c r="L26" s="254">
        <v>426</v>
      </c>
      <c r="M26" s="208">
        <f t="shared" si="3"/>
        <v>3246</v>
      </c>
      <c r="N26" s="546">
        <v>2807</v>
      </c>
      <c r="O26" s="254">
        <v>458</v>
      </c>
      <c r="P26" s="208">
        <f t="shared" si="4"/>
        <v>3265</v>
      </c>
      <c r="Q26" s="547" t="s">
        <v>304</v>
      </c>
    </row>
    <row r="27" spans="1:17" s="548" customFormat="1" ht="18" x14ac:dyDescent="0.25">
      <c r="A27" s="544" t="s">
        <v>306</v>
      </c>
      <c r="B27" s="254">
        <v>1644</v>
      </c>
      <c r="C27" s="254">
        <v>179</v>
      </c>
      <c r="D27" s="538">
        <f t="shared" si="0"/>
        <v>1823</v>
      </c>
      <c r="E27" s="254">
        <v>1958</v>
      </c>
      <c r="F27" s="545">
        <v>241</v>
      </c>
      <c r="G27" s="208">
        <f t="shared" si="5"/>
        <v>2199</v>
      </c>
      <c r="H27" s="546">
        <v>1660</v>
      </c>
      <c r="I27" s="254">
        <v>204</v>
      </c>
      <c r="J27" s="208">
        <f t="shared" si="2"/>
        <v>1864</v>
      </c>
      <c r="K27" s="546">
        <v>1550</v>
      </c>
      <c r="L27" s="254">
        <v>204</v>
      </c>
      <c r="M27" s="208">
        <f t="shared" si="3"/>
        <v>1754</v>
      </c>
      <c r="N27" s="546">
        <v>1987</v>
      </c>
      <c r="O27" s="254">
        <v>252</v>
      </c>
      <c r="P27" s="208">
        <f t="shared" si="4"/>
        <v>2239</v>
      </c>
      <c r="Q27" s="547" t="s">
        <v>307</v>
      </c>
    </row>
    <row r="28" spans="1:17" s="548" customFormat="1" ht="18" x14ac:dyDescent="0.25">
      <c r="A28" s="544" t="s">
        <v>309</v>
      </c>
      <c r="B28" s="254">
        <v>2675</v>
      </c>
      <c r="C28" s="254">
        <v>327</v>
      </c>
      <c r="D28" s="538">
        <f t="shared" si="0"/>
        <v>3002</v>
      </c>
      <c r="E28" s="254">
        <v>2688</v>
      </c>
      <c r="F28" s="545">
        <v>307</v>
      </c>
      <c r="G28" s="208">
        <f t="shared" si="5"/>
        <v>2995</v>
      </c>
      <c r="H28" s="546">
        <v>2680</v>
      </c>
      <c r="I28" s="254">
        <v>344</v>
      </c>
      <c r="J28" s="208">
        <f t="shared" si="2"/>
        <v>3024</v>
      </c>
      <c r="K28" s="546">
        <v>2844</v>
      </c>
      <c r="L28" s="254">
        <v>394</v>
      </c>
      <c r="M28" s="208">
        <f t="shared" si="3"/>
        <v>3238</v>
      </c>
      <c r="N28" s="546">
        <v>2869</v>
      </c>
      <c r="O28" s="254">
        <v>431</v>
      </c>
      <c r="P28" s="208">
        <f t="shared" si="4"/>
        <v>3300</v>
      </c>
      <c r="Q28" s="547" t="s">
        <v>310</v>
      </c>
    </row>
    <row r="29" spans="1:17" s="548" customFormat="1" ht="18" x14ac:dyDescent="0.25">
      <c r="A29" s="544" t="s">
        <v>312</v>
      </c>
      <c r="B29" s="254">
        <v>1576</v>
      </c>
      <c r="C29" s="254">
        <v>248</v>
      </c>
      <c r="D29" s="538">
        <f t="shared" si="0"/>
        <v>1824</v>
      </c>
      <c r="E29" s="254">
        <v>1815</v>
      </c>
      <c r="F29" s="254">
        <v>336</v>
      </c>
      <c r="G29" s="208">
        <f t="shared" si="5"/>
        <v>2151</v>
      </c>
      <c r="H29" s="546">
        <v>1840</v>
      </c>
      <c r="I29" s="254">
        <v>357</v>
      </c>
      <c r="J29" s="208">
        <f t="shared" si="2"/>
        <v>2197</v>
      </c>
      <c r="K29" s="546">
        <v>1885</v>
      </c>
      <c r="L29" s="254">
        <v>385</v>
      </c>
      <c r="M29" s="208">
        <f t="shared" si="3"/>
        <v>2270</v>
      </c>
      <c r="N29" s="546">
        <v>1904</v>
      </c>
      <c r="O29" s="254">
        <v>384</v>
      </c>
      <c r="P29" s="208">
        <f t="shared" si="4"/>
        <v>2288</v>
      </c>
      <c r="Q29" s="547" t="s">
        <v>313</v>
      </c>
    </row>
    <row r="30" spans="1:17" s="548" customFormat="1" ht="15.75" x14ac:dyDescent="0.25">
      <c r="A30" s="549" t="s">
        <v>315</v>
      </c>
      <c r="B30" s="550">
        <v>4124</v>
      </c>
      <c r="C30" s="550">
        <v>697</v>
      </c>
      <c r="D30" s="551">
        <f t="shared" si="0"/>
        <v>4821</v>
      </c>
      <c r="E30" s="550">
        <v>4216</v>
      </c>
      <c r="F30" s="550">
        <v>727</v>
      </c>
      <c r="G30" s="209">
        <f t="shared" si="5"/>
        <v>4943</v>
      </c>
      <c r="H30" s="552">
        <v>4427</v>
      </c>
      <c r="I30" s="550">
        <v>827</v>
      </c>
      <c r="J30" s="209">
        <f t="shared" si="2"/>
        <v>5254</v>
      </c>
      <c r="K30" s="552">
        <v>4457</v>
      </c>
      <c r="L30" s="550">
        <v>834</v>
      </c>
      <c r="M30" s="209">
        <f t="shared" si="3"/>
        <v>5291</v>
      </c>
      <c r="N30" s="552">
        <v>4544</v>
      </c>
      <c r="O30" s="550">
        <v>872</v>
      </c>
      <c r="P30" s="209">
        <f t="shared" si="4"/>
        <v>5416</v>
      </c>
      <c r="Q30" s="553" t="s">
        <v>316</v>
      </c>
    </row>
    <row r="31" spans="1:17" s="548" customFormat="1" ht="17.25" x14ac:dyDescent="0.25">
      <c r="A31" s="554" t="s">
        <v>321</v>
      </c>
      <c r="B31" s="555"/>
      <c r="C31" s="555"/>
      <c r="D31" s="555"/>
      <c r="E31" s="555"/>
      <c r="F31" s="555"/>
      <c r="G31" s="556"/>
      <c r="H31" s="555"/>
      <c r="I31" s="555"/>
      <c r="J31" s="556"/>
      <c r="K31" s="556"/>
      <c r="L31" s="556"/>
      <c r="M31" s="556"/>
      <c r="N31" s="556"/>
      <c r="O31" s="556"/>
      <c r="P31" s="556"/>
      <c r="Q31" s="306" t="s">
        <v>322</v>
      </c>
    </row>
    <row r="32" spans="1:17" s="548" customFormat="1" ht="18.75" x14ac:dyDescent="0.3">
      <c r="B32" s="557"/>
      <c r="C32" s="557"/>
      <c r="D32" s="557"/>
      <c r="E32" s="557"/>
      <c r="F32" s="557"/>
      <c r="G32" s="558"/>
      <c r="H32" s="557"/>
      <c r="I32" s="557"/>
      <c r="J32" s="558"/>
      <c r="K32" s="558"/>
      <c r="L32" s="558"/>
      <c r="M32" s="558"/>
      <c r="N32" s="558"/>
      <c r="O32" s="558"/>
      <c r="P32" s="558"/>
    </row>
    <row r="33" spans="1:16" s="531" customFormat="1" ht="18.75" x14ac:dyDescent="0.3">
      <c r="A33" s="559"/>
      <c r="B33" s="557"/>
      <c r="C33" s="557"/>
      <c r="D33" s="557"/>
      <c r="E33" s="557"/>
      <c r="F33" s="557"/>
      <c r="G33" s="558"/>
      <c r="H33" s="557"/>
      <c r="I33" s="557"/>
      <c r="J33" s="558"/>
      <c r="K33" s="558"/>
      <c r="L33" s="558"/>
      <c r="M33" s="558"/>
      <c r="N33" s="558"/>
      <c r="O33" s="558"/>
      <c r="P33" s="558"/>
    </row>
    <row r="34" spans="1:16" s="531" customFormat="1" ht="18.75" x14ac:dyDescent="0.3">
      <c r="A34" s="559"/>
      <c r="B34" s="557"/>
      <c r="C34" s="557"/>
      <c r="D34" s="557"/>
      <c r="E34" s="557"/>
      <c r="F34" s="557"/>
      <c r="G34" s="558"/>
      <c r="H34" s="557"/>
      <c r="I34" s="557"/>
      <c r="J34" s="558"/>
      <c r="K34" s="558"/>
      <c r="L34" s="558"/>
      <c r="M34" s="558"/>
      <c r="N34" s="558"/>
      <c r="O34" s="558"/>
      <c r="P34" s="558"/>
    </row>
    <row r="35" spans="1:16" s="531" customFormat="1" ht="18.75" x14ac:dyDescent="0.3">
      <c r="A35" s="559"/>
      <c r="B35" s="557"/>
      <c r="C35" s="557"/>
      <c r="D35" s="557"/>
      <c r="E35" s="557"/>
      <c r="F35" s="557"/>
      <c r="G35" s="558"/>
      <c r="H35" s="557"/>
      <c r="I35" s="557"/>
      <c r="J35" s="558"/>
      <c r="K35" s="558"/>
      <c r="L35" s="558"/>
      <c r="M35" s="558"/>
      <c r="N35" s="558"/>
      <c r="O35" s="558"/>
      <c r="P35" s="558"/>
    </row>
    <row r="36" spans="1:16" s="531" customFormat="1" ht="18.75" x14ac:dyDescent="0.3">
      <c r="A36" s="559"/>
      <c r="B36" s="557"/>
      <c r="C36" s="557"/>
      <c r="D36" s="557"/>
      <c r="E36" s="557"/>
      <c r="F36" s="557"/>
      <c r="G36" s="558"/>
      <c r="H36" s="557"/>
      <c r="I36" s="557"/>
      <c r="J36" s="558"/>
      <c r="K36" s="558"/>
      <c r="L36" s="558"/>
      <c r="M36" s="558"/>
      <c r="N36" s="558"/>
      <c r="O36" s="558"/>
      <c r="P36" s="558"/>
    </row>
    <row r="37" spans="1:16" s="531" customFormat="1" ht="18.75" x14ac:dyDescent="0.3">
      <c r="A37" s="559"/>
      <c r="B37" s="557"/>
      <c r="C37" s="557"/>
      <c r="D37" s="557"/>
      <c r="E37" s="557"/>
      <c r="F37" s="557"/>
      <c r="G37" s="558"/>
      <c r="H37" s="557"/>
      <c r="I37" s="557"/>
      <c r="J37" s="558"/>
      <c r="K37" s="558"/>
      <c r="L37" s="558"/>
      <c r="M37" s="558"/>
      <c r="N37" s="558"/>
      <c r="O37" s="558"/>
      <c r="P37" s="558"/>
    </row>
    <row r="38" spans="1:16" s="531" customFormat="1" ht="18.75" x14ac:dyDescent="0.3">
      <c r="A38" s="559"/>
      <c r="B38" s="557"/>
      <c r="C38" s="557"/>
      <c r="D38" s="557"/>
      <c r="E38" s="557"/>
      <c r="F38" s="557"/>
      <c r="G38" s="558"/>
      <c r="H38" s="557"/>
      <c r="I38" s="557"/>
      <c r="J38" s="558"/>
      <c r="K38" s="558"/>
      <c r="L38" s="558"/>
      <c r="M38" s="558"/>
      <c r="N38" s="558"/>
      <c r="O38" s="558"/>
      <c r="P38" s="558"/>
    </row>
    <row r="39" spans="1:16" s="531" customFormat="1" ht="18.75" x14ac:dyDescent="0.3">
      <c r="A39" s="559"/>
      <c r="B39" s="557"/>
      <c r="C39" s="557"/>
      <c r="D39" s="557"/>
      <c r="E39" s="557"/>
      <c r="F39" s="557"/>
      <c r="G39" s="558"/>
      <c r="H39" s="557"/>
      <c r="I39" s="557"/>
      <c r="J39" s="558"/>
      <c r="K39" s="558"/>
      <c r="L39" s="558"/>
      <c r="M39" s="558"/>
      <c r="N39" s="558"/>
      <c r="O39" s="558"/>
      <c r="P39" s="558"/>
    </row>
    <row r="40" spans="1:16" s="531" customFormat="1" ht="18.75" x14ac:dyDescent="0.3">
      <c r="A40" s="559"/>
      <c r="B40" s="557"/>
      <c r="C40" s="557"/>
      <c r="D40" s="557"/>
      <c r="E40" s="557"/>
      <c r="F40" s="557"/>
      <c r="G40" s="558"/>
      <c r="H40" s="557"/>
      <c r="I40" s="557"/>
      <c r="J40" s="558"/>
      <c r="K40" s="558"/>
      <c r="L40" s="558"/>
      <c r="M40" s="558"/>
      <c r="N40" s="558"/>
      <c r="O40" s="558"/>
      <c r="P40" s="558"/>
    </row>
    <row r="41" spans="1:16" s="531" customFormat="1" ht="18.75" x14ac:dyDescent="0.3">
      <c r="A41" s="559"/>
      <c r="B41" s="557"/>
      <c r="C41" s="557"/>
      <c r="D41" s="557"/>
      <c r="E41" s="557"/>
      <c r="F41" s="557"/>
      <c r="G41" s="558"/>
      <c r="H41" s="557"/>
      <c r="I41" s="557"/>
      <c r="J41" s="558"/>
      <c r="K41" s="558"/>
      <c r="L41" s="558"/>
      <c r="M41" s="558"/>
      <c r="N41" s="558"/>
      <c r="O41" s="558"/>
      <c r="P41" s="558"/>
    </row>
    <row r="42" spans="1:16" s="531" customFormat="1" ht="18.75" x14ac:dyDescent="0.3">
      <c r="A42" s="559"/>
      <c r="B42" s="557"/>
      <c r="C42" s="557"/>
      <c r="D42" s="557"/>
      <c r="E42" s="557"/>
      <c r="F42" s="557"/>
      <c r="G42" s="558"/>
      <c r="H42" s="557"/>
      <c r="I42" s="557"/>
      <c r="J42" s="558"/>
      <c r="K42" s="558"/>
      <c r="L42" s="558"/>
      <c r="M42" s="558"/>
      <c r="N42" s="558"/>
      <c r="O42" s="558"/>
      <c r="P42" s="558"/>
    </row>
    <row r="43" spans="1:16" s="531" customFormat="1" ht="18.75" x14ac:dyDescent="0.3">
      <c r="A43" s="559"/>
      <c r="B43" s="557"/>
      <c r="C43" s="557"/>
      <c r="D43" s="557"/>
      <c r="E43" s="557"/>
      <c r="F43" s="557"/>
      <c r="G43" s="558"/>
      <c r="H43" s="557"/>
      <c r="I43" s="557"/>
      <c r="J43" s="558"/>
      <c r="K43" s="558"/>
      <c r="L43" s="558"/>
      <c r="M43" s="558"/>
      <c r="N43" s="558"/>
      <c r="O43" s="558"/>
      <c r="P43" s="558"/>
    </row>
    <row r="44" spans="1:16" s="531" customFormat="1" ht="18.75" x14ac:dyDescent="0.3">
      <c r="A44" s="559"/>
      <c r="B44" s="557"/>
      <c r="C44" s="557"/>
      <c r="D44" s="557"/>
      <c r="E44" s="557"/>
      <c r="F44" s="557"/>
      <c r="G44" s="558"/>
      <c r="H44" s="557"/>
      <c r="I44" s="557"/>
      <c r="J44" s="558"/>
      <c r="K44" s="558"/>
      <c r="L44" s="558"/>
      <c r="M44" s="558"/>
      <c r="N44" s="558"/>
      <c r="O44" s="558"/>
      <c r="P44" s="558"/>
    </row>
    <row r="45" spans="1:16" s="531" customFormat="1" ht="18.75" x14ac:dyDescent="0.3">
      <c r="A45" s="559"/>
      <c r="B45" s="557"/>
      <c r="C45" s="557"/>
      <c r="D45" s="557"/>
      <c r="E45" s="557"/>
      <c r="F45" s="557"/>
      <c r="G45" s="558"/>
      <c r="H45" s="557"/>
      <c r="I45" s="557"/>
      <c r="J45" s="558"/>
      <c r="K45" s="558"/>
      <c r="L45" s="558"/>
      <c r="M45" s="558"/>
      <c r="N45" s="558"/>
      <c r="O45" s="558"/>
      <c r="P45" s="558"/>
    </row>
    <row r="46" spans="1:16" s="531" customFormat="1" ht="18.75" x14ac:dyDescent="0.3">
      <c r="A46" s="559"/>
      <c r="B46" s="557"/>
      <c r="C46" s="557"/>
      <c r="D46" s="557"/>
      <c r="E46" s="557"/>
      <c r="F46" s="557"/>
      <c r="G46" s="558"/>
      <c r="H46" s="557"/>
      <c r="I46" s="557"/>
      <c r="J46" s="558"/>
      <c r="K46" s="558"/>
      <c r="L46" s="558"/>
      <c r="M46" s="558"/>
      <c r="N46" s="558"/>
      <c r="O46" s="558"/>
      <c r="P46" s="558"/>
    </row>
    <row r="47" spans="1:16" s="531" customFormat="1" ht="18.75" x14ac:dyDescent="0.3">
      <c r="A47" s="559"/>
      <c r="B47" s="557"/>
      <c r="C47" s="557"/>
      <c r="D47" s="557"/>
      <c r="E47" s="557"/>
      <c r="F47" s="557"/>
      <c r="G47" s="558"/>
      <c r="H47" s="557"/>
      <c r="I47" s="557"/>
      <c r="J47" s="558"/>
      <c r="K47" s="558"/>
      <c r="L47" s="558"/>
      <c r="M47" s="558"/>
      <c r="N47" s="558"/>
      <c r="O47" s="558"/>
      <c r="P47" s="558"/>
    </row>
    <row r="48" spans="1:16" s="531" customFormat="1" ht="18.75" x14ac:dyDescent="0.3">
      <c r="A48" s="559"/>
      <c r="B48" s="557"/>
      <c r="C48" s="557"/>
      <c r="D48" s="557"/>
      <c r="E48" s="557"/>
      <c r="F48" s="557"/>
      <c r="G48" s="558"/>
      <c r="H48" s="557"/>
      <c r="I48" s="557"/>
      <c r="J48" s="558"/>
      <c r="K48" s="558"/>
      <c r="L48" s="558"/>
      <c r="M48" s="558"/>
      <c r="N48" s="558"/>
      <c r="O48" s="558"/>
      <c r="P48" s="558"/>
    </row>
    <row r="49" spans="1:16" s="531" customFormat="1" ht="18.75" x14ac:dyDescent="0.3">
      <c r="A49" s="559"/>
      <c r="B49" s="557"/>
      <c r="C49" s="557"/>
      <c r="D49" s="557"/>
      <c r="E49" s="557"/>
      <c r="F49" s="557"/>
      <c r="G49" s="558"/>
      <c r="H49" s="557"/>
      <c r="I49" s="557"/>
      <c r="J49" s="558"/>
      <c r="K49" s="558"/>
      <c r="L49" s="558"/>
      <c r="M49" s="558"/>
      <c r="N49" s="558"/>
      <c r="O49" s="558"/>
      <c r="P49" s="558"/>
    </row>
    <row r="50" spans="1:16" s="531" customFormat="1" ht="18.75" x14ac:dyDescent="0.3">
      <c r="A50" s="559"/>
      <c r="B50" s="557"/>
      <c r="C50" s="557"/>
      <c r="D50" s="557"/>
      <c r="E50" s="557"/>
      <c r="F50" s="557"/>
      <c r="G50" s="558"/>
      <c r="H50" s="557"/>
      <c r="I50" s="557"/>
      <c r="J50" s="558"/>
      <c r="K50" s="558"/>
      <c r="L50" s="558"/>
      <c r="M50" s="558"/>
      <c r="N50" s="558"/>
      <c r="O50" s="558"/>
      <c r="P50" s="558"/>
    </row>
    <row r="51" spans="1:16" s="531" customFormat="1" ht="18.75" x14ac:dyDescent="0.3">
      <c r="A51" s="559"/>
      <c r="B51" s="557"/>
      <c r="C51" s="557"/>
      <c r="D51" s="557"/>
      <c r="E51" s="557"/>
      <c r="F51" s="557"/>
      <c r="G51" s="558"/>
      <c r="H51" s="557"/>
      <c r="I51" s="557"/>
      <c r="J51" s="558"/>
      <c r="K51" s="558"/>
      <c r="L51" s="558"/>
      <c r="M51" s="558"/>
      <c r="N51" s="558"/>
      <c r="O51" s="558"/>
      <c r="P51" s="558"/>
    </row>
    <row r="52" spans="1:16" s="531" customFormat="1" ht="18.75" x14ac:dyDescent="0.3">
      <c r="A52" s="559"/>
      <c r="B52" s="557"/>
      <c r="C52" s="557"/>
      <c r="D52" s="557"/>
      <c r="E52" s="557"/>
      <c r="F52" s="557"/>
      <c r="G52" s="558"/>
      <c r="H52" s="557"/>
      <c r="I52" s="557"/>
      <c r="J52" s="558"/>
      <c r="K52" s="558"/>
      <c r="L52" s="558"/>
      <c r="M52" s="558"/>
      <c r="N52" s="558"/>
      <c r="O52" s="558"/>
      <c r="P52" s="558"/>
    </row>
    <row r="53" spans="1:16" ht="18.75" x14ac:dyDescent="0.3">
      <c r="A53" s="66"/>
      <c r="B53" s="557"/>
      <c r="C53" s="557"/>
      <c r="D53" s="557"/>
      <c r="E53" s="557"/>
      <c r="F53" s="557"/>
      <c r="G53" s="558"/>
      <c r="H53" s="557"/>
      <c r="I53" s="557"/>
      <c r="J53" s="558"/>
      <c r="K53" s="558"/>
      <c r="L53" s="558"/>
      <c r="M53" s="558"/>
      <c r="N53" s="558"/>
      <c r="O53" s="558"/>
      <c r="P53" s="558"/>
    </row>
    <row r="54" spans="1:16" ht="18.75" x14ac:dyDescent="0.3">
      <c r="A54" s="66"/>
      <c r="B54" s="557"/>
      <c r="C54" s="557"/>
      <c r="D54" s="557"/>
      <c r="E54" s="557"/>
      <c r="F54" s="557"/>
      <c r="G54" s="558"/>
      <c r="H54" s="557"/>
      <c r="I54" s="557"/>
      <c r="J54" s="558"/>
      <c r="K54" s="558"/>
      <c r="L54" s="558"/>
      <c r="M54" s="558"/>
      <c r="N54" s="558"/>
      <c r="O54" s="558"/>
      <c r="P54" s="558"/>
    </row>
  </sheetData>
  <mergeCells count="10">
    <mergeCell ref="A1:Q1"/>
    <mergeCell ref="A2:Q2"/>
    <mergeCell ref="A4:A7"/>
    <mergeCell ref="B4:P4"/>
    <mergeCell ref="Q4:Q7"/>
    <mergeCell ref="B7:D7"/>
    <mergeCell ref="E7:G7"/>
    <mergeCell ref="H7:J7"/>
    <mergeCell ref="K7:M7"/>
    <mergeCell ref="N7:P7"/>
  </mergeCells>
  <pageMargins left="0.7" right="0.7" top="0.75" bottom="0.75" header="0.3" footer="0.3"/>
  <pageSetup paperSize="9" scale="55" orientation="landscape" r:id="rId1"/>
  <colBreaks count="1" manualBreakCount="1">
    <brk id="17"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Q43"/>
  <sheetViews>
    <sheetView topLeftCell="A4" zoomScaleNormal="100" workbookViewId="0">
      <selection activeCell="F11" sqref="F11"/>
    </sheetView>
  </sheetViews>
  <sheetFormatPr defaultRowHeight="15" x14ac:dyDescent="0.25"/>
  <cols>
    <col min="1" max="1" width="25" style="66" customWidth="1"/>
    <col min="2" max="5" width="16.140625" style="66" customWidth="1"/>
    <col min="6" max="8" width="15.5703125" style="523" customWidth="1"/>
    <col min="9" max="9" width="18.28515625" style="571" customWidth="1"/>
    <col min="10" max="10" width="30" style="1" customWidth="1"/>
    <col min="11" max="11" width="4.42578125" style="1" customWidth="1"/>
    <col min="12" max="12" width="14.85546875" style="1" customWidth="1"/>
    <col min="13" max="13" width="9.140625" style="1" customWidth="1"/>
    <col min="14" max="14" width="13.5703125" style="1" customWidth="1"/>
    <col min="15" max="15" width="16.7109375" style="1" customWidth="1"/>
    <col min="16" max="16224" width="9.140625" style="1" customWidth="1"/>
    <col min="16225" max="16384" width="9.140625" style="1"/>
  </cols>
  <sheetData>
    <row r="1" spans="1:43" ht="21" x14ac:dyDescent="0.25">
      <c r="A1" s="872" t="s">
        <v>1093</v>
      </c>
      <c r="B1" s="872"/>
      <c r="C1" s="872"/>
      <c r="D1" s="872"/>
      <c r="E1" s="872"/>
      <c r="F1" s="872"/>
      <c r="G1" s="872"/>
      <c r="H1" s="872"/>
      <c r="I1" s="872"/>
      <c r="J1" s="872"/>
      <c r="K1" s="525"/>
      <c r="L1" s="525"/>
    </row>
    <row r="2" spans="1:43" s="558" customFormat="1" ht="18.75" x14ac:dyDescent="0.3">
      <c r="A2" s="845" t="s">
        <v>1092</v>
      </c>
      <c r="B2" s="845"/>
      <c r="C2" s="845"/>
      <c r="D2" s="845"/>
      <c r="E2" s="845"/>
      <c r="F2" s="845"/>
      <c r="G2" s="845"/>
      <c r="H2" s="845"/>
      <c r="I2" s="845"/>
      <c r="J2" s="845"/>
      <c r="K2" s="560"/>
      <c r="L2" s="560"/>
      <c r="M2" s="560"/>
      <c r="N2" s="560"/>
      <c r="O2" s="560"/>
    </row>
    <row r="3" spans="1:43" s="563" customFormat="1" ht="9.75" customHeight="1" x14ac:dyDescent="0.3">
      <c r="A3" s="561"/>
      <c r="B3" s="561"/>
      <c r="C3" s="561"/>
      <c r="D3" s="561"/>
      <c r="E3" s="561"/>
      <c r="F3" s="557"/>
      <c r="G3" s="557"/>
      <c r="H3" s="557"/>
      <c r="I3" s="562"/>
    </row>
    <row r="4" spans="1:43" s="527" customFormat="1" ht="21" x14ac:dyDescent="0.25">
      <c r="A4" s="959" t="s">
        <v>267</v>
      </c>
      <c r="B4" s="971" t="s">
        <v>1121</v>
      </c>
      <c r="C4" s="971"/>
      <c r="D4" s="972" t="s">
        <v>1122</v>
      </c>
      <c r="E4" s="973"/>
      <c r="F4" s="971" t="s">
        <v>1121</v>
      </c>
      <c r="G4" s="971"/>
      <c r="H4" s="972" t="s">
        <v>1122</v>
      </c>
      <c r="I4" s="973"/>
      <c r="J4" s="963" t="s">
        <v>268</v>
      </c>
    </row>
    <row r="5" spans="1:43" s="431" customFormat="1" ht="30" x14ac:dyDescent="0.25">
      <c r="A5" s="960"/>
      <c r="B5" s="697" t="s">
        <v>843</v>
      </c>
      <c r="C5" s="697" t="s">
        <v>844</v>
      </c>
      <c r="D5" s="697" t="s">
        <v>845</v>
      </c>
      <c r="E5" s="697" t="s">
        <v>846</v>
      </c>
      <c r="F5" s="792" t="s">
        <v>843</v>
      </c>
      <c r="G5" s="697" t="s">
        <v>844</v>
      </c>
      <c r="H5" s="697" t="s">
        <v>845</v>
      </c>
      <c r="I5" s="697" t="s">
        <v>846</v>
      </c>
      <c r="J5" s="964"/>
      <c r="K5" s="531"/>
      <c r="L5" s="531"/>
      <c r="M5" s="531"/>
      <c r="N5" s="531"/>
      <c r="O5" s="531"/>
      <c r="P5" s="531"/>
      <c r="Q5" s="531"/>
      <c r="R5" s="531"/>
      <c r="S5" s="531"/>
      <c r="T5" s="531"/>
      <c r="U5" s="531"/>
      <c r="V5" s="531"/>
      <c r="W5" s="531"/>
      <c r="X5" s="531"/>
      <c r="Y5" s="531"/>
      <c r="Z5" s="531"/>
      <c r="AA5" s="531"/>
      <c r="AB5" s="531"/>
      <c r="AC5" s="531"/>
      <c r="AD5" s="531"/>
      <c r="AE5" s="531"/>
      <c r="AF5" s="531"/>
      <c r="AG5" s="531"/>
      <c r="AH5" s="531"/>
      <c r="AI5" s="531"/>
      <c r="AJ5" s="531"/>
      <c r="AK5" s="531"/>
      <c r="AL5" s="531"/>
      <c r="AM5" s="531"/>
      <c r="AN5" s="531"/>
      <c r="AO5" s="531"/>
      <c r="AP5" s="531"/>
      <c r="AQ5" s="531"/>
    </row>
    <row r="6" spans="1:43" s="431" customFormat="1" ht="42" x14ac:dyDescent="0.25">
      <c r="A6" s="960"/>
      <c r="B6" s="698" t="s">
        <v>847</v>
      </c>
      <c r="C6" s="698" t="s">
        <v>848</v>
      </c>
      <c r="D6" s="698" t="s">
        <v>849</v>
      </c>
      <c r="E6" s="698" t="s">
        <v>722</v>
      </c>
      <c r="F6" s="793" t="s">
        <v>847</v>
      </c>
      <c r="G6" s="698" t="s">
        <v>848</v>
      </c>
      <c r="H6" s="698" t="s">
        <v>849</v>
      </c>
      <c r="I6" s="698" t="s">
        <v>722</v>
      </c>
      <c r="J6" s="964"/>
      <c r="K6" s="531"/>
      <c r="L6" s="531"/>
      <c r="M6" s="531"/>
      <c r="N6" s="531"/>
      <c r="O6" s="531"/>
      <c r="P6" s="531"/>
      <c r="Q6" s="531"/>
      <c r="R6" s="531"/>
      <c r="S6" s="531"/>
      <c r="T6" s="531"/>
      <c r="U6" s="531"/>
      <c r="V6" s="531"/>
      <c r="W6" s="531"/>
      <c r="X6" s="531"/>
      <c r="Y6" s="531"/>
      <c r="Z6" s="531"/>
      <c r="AA6" s="531"/>
      <c r="AB6" s="531"/>
      <c r="AC6" s="531"/>
      <c r="AD6" s="531"/>
      <c r="AE6" s="531"/>
      <c r="AF6" s="531"/>
      <c r="AG6" s="531"/>
      <c r="AH6" s="531"/>
      <c r="AI6" s="531"/>
      <c r="AJ6" s="531"/>
      <c r="AK6" s="531"/>
      <c r="AL6" s="531"/>
      <c r="AM6" s="531"/>
      <c r="AN6" s="531"/>
      <c r="AO6" s="531"/>
      <c r="AP6" s="531"/>
      <c r="AQ6" s="531"/>
    </row>
    <row r="7" spans="1:43" s="471" customFormat="1" x14ac:dyDescent="0.25">
      <c r="A7" s="961"/>
      <c r="B7" s="967">
        <v>2014</v>
      </c>
      <c r="C7" s="967"/>
      <c r="D7" s="967"/>
      <c r="E7" s="967"/>
      <c r="F7" s="970">
        <v>2015</v>
      </c>
      <c r="G7" s="967"/>
      <c r="H7" s="967"/>
      <c r="I7" s="967"/>
      <c r="J7" s="965"/>
      <c r="K7" s="303"/>
      <c r="L7" s="531"/>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row>
    <row r="8" spans="1:43" s="527" customFormat="1" ht="21" x14ac:dyDescent="0.25">
      <c r="A8" s="537" t="s">
        <v>263</v>
      </c>
      <c r="B8" s="48">
        <f>SUM(B9:B10)</f>
        <v>574489220.03100002</v>
      </c>
      <c r="C8" s="48">
        <f>SUM(C9:C10)</f>
        <v>193834967.89500001</v>
      </c>
      <c r="D8" s="48">
        <f>SUM(D9:D10)</f>
        <v>40607820.669999994</v>
      </c>
      <c r="E8" s="48">
        <f>SUM(B8:D8)</f>
        <v>808932008.59599996</v>
      </c>
      <c r="F8" s="794">
        <f>SUM(F9:F10)</f>
        <v>293993008.43000001</v>
      </c>
      <c r="G8" s="48">
        <f>SUM(G9:G10)</f>
        <v>205653165.26899999</v>
      </c>
      <c r="H8" s="48">
        <f>SUM(H9:H10)</f>
        <v>7858617.0639999993</v>
      </c>
      <c r="I8" s="48">
        <f>SUM(F8:H8)</f>
        <v>507504790.76300001</v>
      </c>
      <c r="J8" s="540" t="s">
        <v>264</v>
      </c>
      <c r="K8" s="531"/>
      <c r="L8" s="531"/>
      <c r="M8" s="531"/>
      <c r="N8" s="531"/>
      <c r="O8" s="531"/>
      <c r="P8" s="531"/>
      <c r="Q8" s="531"/>
      <c r="R8" s="531"/>
      <c r="S8" s="531"/>
      <c r="T8" s="531"/>
      <c r="U8" s="531"/>
      <c r="V8" s="531"/>
      <c r="W8" s="531"/>
      <c r="X8" s="531"/>
      <c r="Y8" s="531"/>
      <c r="Z8" s="531"/>
      <c r="AA8" s="531"/>
      <c r="AB8" s="531"/>
      <c r="AC8" s="531"/>
      <c r="AD8" s="531"/>
      <c r="AE8" s="531"/>
      <c r="AF8" s="531"/>
      <c r="AG8" s="531"/>
      <c r="AH8" s="531"/>
      <c r="AI8" s="531"/>
      <c r="AJ8" s="531"/>
      <c r="AK8" s="531"/>
      <c r="AL8" s="531"/>
      <c r="AM8" s="531"/>
      <c r="AN8" s="531"/>
      <c r="AO8" s="531"/>
      <c r="AP8" s="531"/>
      <c r="AQ8" s="531"/>
    </row>
    <row r="9" spans="1:43" s="527" customFormat="1" ht="21" x14ac:dyDescent="0.25">
      <c r="A9" s="541" t="s">
        <v>788</v>
      </c>
      <c r="B9" s="48">
        <v>253526976.16999996</v>
      </c>
      <c r="C9" s="48">
        <v>55229260.020000003</v>
      </c>
      <c r="D9" s="48">
        <v>0</v>
      </c>
      <c r="E9" s="48">
        <v>308756236.19</v>
      </c>
      <c r="F9" s="794">
        <v>121166151.41000001</v>
      </c>
      <c r="G9" s="48">
        <v>59448544.599999994</v>
      </c>
      <c r="H9" s="48">
        <v>0</v>
      </c>
      <c r="I9" s="48">
        <f>SUM(F9:H9)</f>
        <v>180614696.00999999</v>
      </c>
      <c r="J9" s="543" t="s">
        <v>266</v>
      </c>
      <c r="K9" s="531"/>
      <c r="L9" s="531"/>
      <c r="M9" s="531"/>
      <c r="N9" s="531"/>
      <c r="O9" s="531"/>
      <c r="P9" s="531"/>
      <c r="Q9" s="531"/>
      <c r="R9" s="531"/>
      <c r="S9" s="531"/>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row>
    <row r="10" spans="1:43" s="531" customFormat="1" ht="21" x14ac:dyDescent="0.25">
      <c r="A10" s="541" t="s">
        <v>267</v>
      </c>
      <c r="B10" s="48">
        <f>SUM(B11:B30)</f>
        <v>320962243.86100006</v>
      </c>
      <c r="C10" s="48">
        <f>SUM(C11:C30)</f>
        <v>138605707.875</v>
      </c>
      <c r="D10" s="48">
        <f>SUM(D11:D30)</f>
        <v>40607820.669999994</v>
      </c>
      <c r="E10" s="48">
        <f>SUM(B10:D10)</f>
        <v>500175772.40600008</v>
      </c>
      <c r="F10" s="794">
        <f>SUM(F11:F30)</f>
        <v>172826857.01999998</v>
      </c>
      <c r="G10" s="48">
        <f>SUM(G11:G30)</f>
        <v>146204620.669</v>
      </c>
      <c r="H10" s="48">
        <f>SUM(H11:H30)</f>
        <v>7858617.0639999993</v>
      </c>
      <c r="I10" s="48">
        <f>SUM(F10:H10)</f>
        <v>326890094.75300002</v>
      </c>
      <c r="J10" s="543" t="s">
        <v>268</v>
      </c>
    </row>
    <row r="11" spans="1:43" s="548" customFormat="1" ht="18" x14ac:dyDescent="0.25">
      <c r="A11" s="544" t="s">
        <v>269</v>
      </c>
      <c r="B11" s="47">
        <v>20335739.809999995</v>
      </c>
      <c r="C11" s="47">
        <v>10292047.989999998</v>
      </c>
      <c r="D11" s="47">
        <v>1447757.87</v>
      </c>
      <c r="E11" s="146">
        <v>32075545.669999994</v>
      </c>
      <c r="F11" s="795">
        <v>9366934.1799999997</v>
      </c>
      <c r="G11" s="47">
        <v>10978892.280000001</v>
      </c>
      <c r="H11" s="47">
        <v>437189.10999999993</v>
      </c>
      <c r="I11" s="146">
        <f>SUM(F11:H11)</f>
        <v>20783015.57</v>
      </c>
      <c r="J11" s="547" t="s">
        <v>270</v>
      </c>
      <c r="L11" s="531"/>
    </row>
    <row r="12" spans="1:43" s="548" customFormat="1" ht="18" x14ac:dyDescent="0.25">
      <c r="A12" s="544" t="s">
        <v>271</v>
      </c>
      <c r="B12" s="47">
        <v>33317810.91</v>
      </c>
      <c r="C12" s="47">
        <v>16551793.909999998</v>
      </c>
      <c r="D12" s="47">
        <v>4162171.5999999992</v>
      </c>
      <c r="E12" s="146">
        <v>54031776.420000002</v>
      </c>
      <c r="F12" s="795">
        <v>15073670.869999997</v>
      </c>
      <c r="G12" s="47">
        <v>17465423.800000008</v>
      </c>
      <c r="H12" s="47">
        <v>906553.72</v>
      </c>
      <c r="I12" s="146">
        <f t="shared" ref="I12:I30" si="0">SUM(F12:H12)</f>
        <v>33445648.390000004</v>
      </c>
      <c r="J12" s="547" t="s">
        <v>272</v>
      </c>
      <c r="L12" s="531"/>
    </row>
    <row r="13" spans="1:43" s="548" customFormat="1" ht="18" x14ac:dyDescent="0.25">
      <c r="A13" s="544" t="s">
        <v>273</v>
      </c>
      <c r="B13" s="47">
        <v>15585363.549999999</v>
      </c>
      <c r="C13" s="47">
        <v>7891802.3700000001</v>
      </c>
      <c r="D13" s="47">
        <v>1240961.44</v>
      </c>
      <c r="E13" s="146">
        <v>24718127.359999999</v>
      </c>
      <c r="F13" s="795">
        <v>7609821.129999999</v>
      </c>
      <c r="G13" s="47">
        <v>8364043.9699999997</v>
      </c>
      <c r="H13" s="47">
        <v>385847.08999999997</v>
      </c>
      <c r="I13" s="146">
        <f t="shared" si="0"/>
        <v>16359712.189999998</v>
      </c>
      <c r="J13" s="547" t="s">
        <v>274</v>
      </c>
      <c r="L13" s="531"/>
    </row>
    <row r="14" spans="1:43" s="548" customFormat="1" ht="18" x14ac:dyDescent="0.25">
      <c r="A14" s="544" t="s">
        <v>275</v>
      </c>
      <c r="B14" s="47">
        <v>19719542.961000003</v>
      </c>
      <c r="C14" s="47">
        <v>8487634.6600000001</v>
      </c>
      <c r="D14" s="47">
        <v>2644616.9699999997</v>
      </c>
      <c r="E14" s="146">
        <v>30851794.591000002</v>
      </c>
      <c r="F14" s="795">
        <v>8750130.9800000004</v>
      </c>
      <c r="G14" s="47">
        <v>9172546.6099999994</v>
      </c>
      <c r="H14" s="47">
        <v>510879.76</v>
      </c>
      <c r="I14" s="146">
        <f t="shared" si="0"/>
        <v>18433557.350000001</v>
      </c>
      <c r="J14" s="547" t="s">
        <v>276</v>
      </c>
      <c r="L14" s="531"/>
    </row>
    <row r="15" spans="1:43" s="548" customFormat="1" ht="18" x14ac:dyDescent="0.25">
      <c r="A15" s="544" t="s">
        <v>277</v>
      </c>
      <c r="B15" s="47">
        <v>13810234.050000001</v>
      </c>
      <c r="C15" s="47">
        <v>6449014.4700000007</v>
      </c>
      <c r="D15" s="47">
        <v>1967737.08</v>
      </c>
      <c r="E15" s="146">
        <v>22226985.600000001</v>
      </c>
      <c r="F15" s="795">
        <v>15249796</v>
      </c>
      <c r="G15" s="47">
        <v>8474640.5999999996</v>
      </c>
      <c r="H15" s="47">
        <v>377063.52999999997</v>
      </c>
      <c r="I15" s="146">
        <f t="shared" si="0"/>
        <v>24101500.130000003</v>
      </c>
      <c r="J15" s="547" t="s">
        <v>278</v>
      </c>
      <c r="L15" s="531"/>
    </row>
    <row r="16" spans="1:43" s="548" customFormat="1" ht="18" x14ac:dyDescent="0.25">
      <c r="A16" s="544" t="s">
        <v>839</v>
      </c>
      <c r="B16" s="47">
        <v>17976646.25</v>
      </c>
      <c r="C16" s="47">
        <v>7783727.5999999987</v>
      </c>
      <c r="D16" s="47">
        <v>2542221.94</v>
      </c>
      <c r="E16" s="146">
        <v>28302595.789999999</v>
      </c>
      <c r="F16" s="795">
        <v>8124001</v>
      </c>
      <c r="G16" s="47">
        <v>8458516.4100000001</v>
      </c>
      <c r="H16" s="47">
        <v>522374.37999999995</v>
      </c>
      <c r="I16" s="146">
        <f t="shared" si="0"/>
        <v>17104891.789999999</v>
      </c>
      <c r="J16" s="547" t="s">
        <v>280</v>
      </c>
      <c r="L16" s="531"/>
    </row>
    <row r="17" spans="1:15" s="548" customFormat="1" ht="18" x14ac:dyDescent="0.25">
      <c r="A17" s="544" t="s">
        <v>840</v>
      </c>
      <c r="B17" s="47">
        <v>16637478.93</v>
      </c>
      <c r="C17" s="47">
        <v>7496429.5099999998</v>
      </c>
      <c r="D17" s="47">
        <v>1782593.77</v>
      </c>
      <c r="E17" s="146">
        <v>25916502.209999997</v>
      </c>
      <c r="F17" s="795">
        <v>7709916.5100000016</v>
      </c>
      <c r="G17" s="47">
        <v>7940274.9700000007</v>
      </c>
      <c r="H17" s="47">
        <v>428335.61</v>
      </c>
      <c r="I17" s="146">
        <f t="shared" si="0"/>
        <v>16078527.090000002</v>
      </c>
      <c r="J17" s="547" t="s">
        <v>282</v>
      </c>
      <c r="L17" s="564"/>
      <c r="O17" s="156"/>
    </row>
    <row r="18" spans="1:15" s="548" customFormat="1" ht="18" x14ac:dyDescent="0.25">
      <c r="A18" s="544" t="s">
        <v>841</v>
      </c>
      <c r="B18" s="47">
        <v>16165452.290000001</v>
      </c>
      <c r="C18" s="47">
        <v>2488778.08</v>
      </c>
      <c r="D18" s="47">
        <v>0</v>
      </c>
      <c r="E18" s="146">
        <v>18654230</v>
      </c>
      <c r="F18" s="795">
        <v>7943250.0799999991</v>
      </c>
      <c r="G18" s="47">
        <v>2389413.4799999995</v>
      </c>
      <c r="H18" s="47">
        <v>0</v>
      </c>
      <c r="I18" s="146">
        <f t="shared" si="0"/>
        <v>10332663.559999999</v>
      </c>
      <c r="J18" s="547" t="s">
        <v>284</v>
      </c>
    </row>
    <row r="19" spans="1:15" s="548" customFormat="1" ht="18" x14ac:dyDescent="0.25">
      <c r="A19" s="544" t="s">
        <v>285</v>
      </c>
      <c r="B19" s="47">
        <v>4487229.3</v>
      </c>
      <c r="C19" s="47">
        <v>3385117.92</v>
      </c>
      <c r="D19" s="47">
        <v>0</v>
      </c>
      <c r="E19" s="146">
        <v>7872347</v>
      </c>
      <c r="F19" s="795">
        <v>3736486.32</v>
      </c>
      <c r="G19" s="47">
        <v>4449433.5999999996</v>
      </c>
      <c r="H19" s="47">
        <v>0</v>
      </c>
      <c r="I19" s="146">
        <f t="shared" si="0"/>
        <v>8185919.9199999999</v>
      </c>
      <c r="J19" s="547" t="s">
        <v>286</v>
      </c>
    </row>
    <row r="20" spans="1:15" s="548" customFormat="1" ht="23.25" x14ac:dyDescent="0.35">
      <c r="A20" s="544" t="s">
        <v>287</v>
      </c>
      <c r="B20" s="47">
        <v>4176230.84</v>
      </c>
      <c r="C20" s="47">
        <v>3178831.48</v>
      </c>
      <c r="D20" s="47">
        <v>0</v>
      </c>
      <c r="E20" s="146">
        <v>7355062</v>
      </c>
      <c r="F20" s="795">
        <v>3899124.7700000005</v>
      </c>
      <c r="G20" s="47">
        <v>4305385.72</v>
      </c>
      <c r="H20" s="47">
        <v>0</v>
      </c>
      <c r="I20" s="146">
        <f t="shared" si="0"/>
        <v>8204510.4900000002</v>
      </c>
      <c r="J20" s="547" t="s">
        <v>288</v>
      </c>
      <c r="N20" s="565"/>
    </row>
    <row r="21" spans="1:15" s="548" customFormat="1" ht="23.25" x14ac:dyDescent="0.35">
      <c r="A21" s="544" t="s">
        <v>289</v>
      </c>
      <c r="B21" s="47">
        <v>2076468.5800000003</v>
      </c>
      <c r="C21" s="47">
        <v>1728852.9749999999</v>
      </c>
      <c r="D21" s="47">
        <v>0</v>
      </c>
      <c r="E21" s="146">
        <v>3805322</v>
      </c>
      <c r="F21" s="795">
        <v>1160174.25</v>
      </c>
      <c r="G21" s="47">
        <v>1496675.8299999998</v>
      </c>
      <c r="H21" s="47">
        <v>0</v>
      </c>
      <c r="I21" s="146">
        <f t="shared" si="0"/>
        <v>2656850.08</v>
      </c>
      <c r="J21" s="547" t="s">
        <v>290</v>
      </c>
      <c r="N21" s="565"/>
    </row>
    <row r="22" spans="1:15" s="548" customFormat="1" ht="23.25" x14ac:dyDescent="0.35">
      <c r="A22" s="544" t="s">
        <v>291</v>
      </c>
      <c r="B22" s="47">
        <v>8062348.040000001</v>
      </c>
      <c r="C22" s="47">
        <v>3789673.1700000004</v>
      </c>
      <c r="D22" s="47">
        <v>694955.5199999999</v>
      </c>
      <c r="E22" s="146">
        <v>12546976.73</v>
      </c>
      <c r="F22" s="795">
        <v>3965393.4</v>
      </c>
      <c r="G22" s="47">
        <v>4170092.13</v>
      </c>
      <c r="H22" s="47">
        <v>177613.24000000002</v>
      </c>
      <c r="I22" s="146">
        <f t="shared" si="0"/>
        <v>8313098.7699999996</v>
      </c>
      <c r="J22" s="547" t="s">
        <v>292</v>
      </c>
      <c r="N22" s="565"/>
    </row>
    <row r="23" spans="1:15" s="548" customFormat="1" ht="18" x14ac:dyDescent="0.25">
      <c r="A23" s="544" t="s">
        <v>842</v>
      </c>
      <c r="B23" s="47">
        <v>2527583.2999999998</v>
      </c>
      <c r="C23" s="47">
        <v>1276185.5999999999</v>
      </c>
      <c r="D23" s="47">
        <v>263488.33999999997</v>
      </c>
      <c r="E23" s="146">
        <v>4067257.2399999993</v>
      </c>
      <c r="F23" s="795">
        <v>1700284.97</v>
      </c>
      <c r="G23" s="47">
        <v>1886335.17</v>
      </c>
      <c r="H23" s="47">
        <v>73616.59</v>
      </c>
      <c r="I23" s="146">
        <f t="shared" si="0"/>
        <v>3660236.7299999995</v>
      </c>
      <c r="J23" s="547" t="s">
        <v>295</v>
      </c>
    </row>
    <row r="24" spans="1:15" s="548" customFormat="1" ht="18" x14ac:dyDescent="0.25">
      <c r="A24" s="544" t="s">
        <v>297</v>
      </c>
      <c r="B24" s="47">
        <v>10463499.029999999</v>
      </c>
      <c r="C24" s="47">
        <v>4603020.54</v>
      </c>
      <c r="D24" s="47">
        <v>1072733.24</v>
      </c>
      <c r="E24" s="146">
        <v>16139252.810000001</v>
      </c>
      <c r="F24" s="795">
        <v>5011918.2300000004</v>
      </c>
      <c r="G24" s="47">
        <v>5146484.58</v>
      </c>
      <c r="H24" s="47">
        <v>192798.59</v>
      </c>
      <c r="I24" s="146">
        <f t="shared" si="0"/>
        <v>10351201.4</v>
      </c>
      <c r="J24" s="547" t="s">
        <v>298</v>
      </c>
    </row>
    <row r="25" spans="1:15" s="548" customFormat="1" ht="18" x14ac:dyDescent="0.25">
      <c r="A25" s="544" t="s">
        <v>300</v>
      </c>
      <c r="B25" s="47">
        <v>17408380.480000004</v>
      </c>
      <c r="C25" s="47">
        <v>7392200.620000001</v>
      </c>
      <c r="D25" s="47">
        <v>1561936.77</v>
      </c>
      <c r="E25" s="146">
        <v>26362517.870000005</v>
      </c>
      <c r="F25" s="795">
        <v>11149047.720000003</v>
      </c>
      <c r="G25" s="47">
        <v>8207353.5700000003</v>
      </c>
      <c r="H25" s="47">
        <v>325483.96000000002</v>
      </c>
      <c r="I25" s="146">
        <f t="shared" si="0"/>
        <v>19681885.250000004</v>
      </c>
      <c r="J25" s="547" t="s">
        <v>301</v>
      </c>
    </row>
    <row r="26" spans="1:15" s="548" customFormat="1" ht="18" x14ac:dyDescent="0.25">
      <c r="A26" s="544" t="s">
        <v>303</v>
      </c>
      <c r="B26" s="47">
        <v>26020191.949999999</v>
      </c>
      <c r="C26" s="47">
        <v>10507699.379999999</v>
      </c>
      <c r="D26" s="47">
        <v>2537579.19</v>
      </c>
      <c r="E26" s="146">
        <v>39065470.519999996</v>
      </c>
      <c r="F26" s="795">
        <v>11860907.239999998</v>
      </c>
      <c r="G26" s="47">
        <v>11630882.100000001</v>
      </c>
      <c r="H26" s="47">
        <v>465895.35</v>
      </c>
      <c r="I26" s="146">
        <f t="shared" si="0"/>
        <v>23957684.690000001</v>
      </c>
      <c r="J26" s="547" t="s">
        <v>304</v>
      </c>
    </row>
    <row r="27" spans="1:15" s="548" customFormat="1" ht="18" x14ac:dyDescent="0.25">
      <c r="A27" s="544" t="s">
        <v>306</v>
      </c>
      <c r="B27" s="47">
        <v>16787065.739999998</v>
      </c>
      <c r="C27" s="47">
        <v>7733182.5399999991</v>
      </c>
      <c r="D27" s="47">
        <v>1561307.61</v>
      </c>
      <c r="E27" s="146">
        <v>26081555.889999997</v>
      </c>
      <c r="F27" s="795">
        <v>9585743.6799999997</v>
      </c>
      <c r="G27" s="47">
        <v>8120259.1900000004</v>
      </c>
      <c r="H27" s="47">
        <v>301453.69</v>
      </c>
      <c r="I27" s="146">
        <f t="shared" si="0"/>
        <v>18007456.560000002</v>
      </c>
      <c r="J27" s="547" t="s">
        <v>307</v>
      </c>
    </row>
    <row r="28" spans="1:15" s="548" customFormat="1" ht="18" x14ac:dyDescent="0.25">
      <c r="A28" s="544" t="s">
        <v>309</v>
      </c>
      <c r="B28" s="47">
        <v>21980510.850000001</v>
      </c>
      <c r="C28" s="47">
        <v>10793017.989999998</v>
      </c>
      <c r="D28" s="47">
        <v>3139610.1100000003</v>
      </c>
      <c r="E28" s="146">
        <v>35913138.950000003</v>
      </c>
      <c r="F28" s="795">
        <v>10287619.060000001</v>
      </c>
      <c r="G28" s="47">
        <v>11000281.779999999</v>
      </c>
      <c r="H28" s="47">
        <v>522463.77999999997</v>
      </c>
      <c r="I28" s="146">
        <f t="shared" si="0"/>
        <v>21810364.620000001</v>
      </c>
      <c r="J28" s="547" t="s">
        <v>310</v>
      </c>
    </row>
    <row r="29" spans="1:15" s="548" customFormat="1" ht="18" x14ac:dyDescent="0.25">
      <c r="A29" s="544" t="s">
        <v>312</v>
      </c>
      <c r="B29" s="47">
        <v>13841070.649999999</v>
      </c>
      <c r="C29" s="47">
        <v>4360558.97</v>
      </c>
      <c r="D29" s="47">
        <v>2983754.5799999996</v>
      </c>
      <c r="E29" s="146">
        <v>21185384.199999996</v>
      </c>
      <c r="F29" s="795">
        <v>6979446.25</v>
      </c>
      <c r="G29" s="47">
        <v>3013098.6684999997</v>
      </c>
      <c r="H29" s="47">
        <v>465110.8835</v>
      </c>
      <c r="I29" s="146">
        <f t="shared" si="0"/>
        <v>10457655.801999999</v>
      </c>
      <c r="J29" s="547" t="s">
        <v>313</v>
      </c>
    </row>
    <row r="30" spans="1:15" s="548" customFormat="1" ht="15.75" x14ac:dyDescent="0.25">
      <c r="A30" s="549" t="s">
        <v>315</v>
      </c>
      <c r="B30" s="49">
        <v>39583396.350000001</v>
      </c>
      <c r="C30" s="49">
        <v>12416138.1</v>
      </c>
      <c r="D30" s="49">
        <v>11004394.639999999</v>
      </c>
      <c r="E30" s="147">
        <v>63003929.090000004</v>
      </c>
      <c r="F30" s="796">
        <v>23663190.379999999</v>
      </c>
      <c r="G30" s="49">
        <v>9534586.2105</v>
      </c>
      <c r="H30" s="49">
        <v>1765937.7805000003</v>
      </c>
      <c r="I30" s="147">
        <f t="shared" si="0"/>
        <v>34963714.370999999</v>
      </c>
      <c r="J30" s="553" t="s">
        <v>316</v>
      </c>
    </row>
    <row r="31" spans="1:15" s="25" customFormat="1" ht="18.75" x14ac:dyDescent="0.25">
      <c r="A31" s="566" t="s">
        <v>850</v>
      </c>
      <c r="B31" s="566"/>
      <c r="C31" s="566"/>
      <c r="D31" s="566"/>
      <c r="E31" s="566"/>
      <c r="F31" s="555"/>
      <c r="G31" s="555"/>
      <c r="H31" s="555"/>
      <c r="I31" s="567"/>
      <c r="J31" s="75" t="s">
        <v>828</v>
      </c>
    </row>
    <row r="32" spans="1:15" s="568" customFormat="1" ht="17.25" x14ac:dyDescent="0.25">
      <c r="A32" s="566" t="s">
        <v>321</v>
      </c>
      <c r="B32" s="566"/>
      <c r="C32" s="566"/>
      <c r="D32" s="566"/>
      <c r="E32" s="566"/>
      <c r="F32" s="555"/>
      <c r="G32" s="555"/>
      <c r="H32" s="555"/>
      <c r="I32" s="555"/>
      <c r="J32" s="306" t="s">
        <v>322</v>
      </c>
    </row>
    <row r="33" spans="1:9" s="548" customFormat="1" ht="18.75" x14ac:dyDescent="0.3">
      <c r="F33" s="557"/>
      <c r="G33" s="557"/>
      <c r="H33" s="557"/>
      <c r="I33" s="562"/>
    </row>
    <row r="34" spans="1:9" s="548" customFormat="1" ht="18.75" x14ac:dyDescent="0.3">
      <c r="A34" s="569"/>
      <c r="B34" s="569"/>
      <c r="C34" s="569"/>
      <c r="D34" s="569"/>
      <c r="E34" s="569"/>
      <c r="F34" s="557"/>
      <c r="G34" s="557"/>
      <c r="H34" s="557"/>
      <c r="I34" s="562"/>
    </row>
    <row r="35" spans="1:9" ht="18.75" x14ac:dyDescent="0.3">
      <c r="F35" s="557"/>
      <c r="G35" s="557"/>
      <c r="H35" s="557"/>
      <c r="I35" s="562"/>
    </row>
    <row r="36" spans="1:9" ht="18.75" x14ac:dyDescent="0.3">
      <c r="F36" s="557"/>
      <c r="G36" s="557"/>
      <c r="H36" s="557"/>
      <c r="I36" s="562"/>
    </row>
    <row r="37" spans="1:9" ht="18.75" x14ac:dyDescent="0.3">
      <c r="F37" s="557"/>
      <c r="G37" s="557"/>
      <c r="H37" s="557"/>
      <c r="I37" s="562"/>
    </row>
    <row r="38" spans="1:9" ht="18.75" x14ac:dyDescent="0.3">
      <c r="F38" s="557"/>
      <c r="G38" s="557"/>
      <c r="H38" s="557"/>
      <c r="I38" s="562"/>
    </row>
    <row r="39" spans="1:9" ht="18.75" x14ac:dyDescent="0.3">
      <c r="F39" s="557"/>
      <c r="G39" s="557"/>
      <c r="H39" s="557"/>
      <c r="I39" s="562"/>
    </row>
    <row r="40" spans="1:9" ht="18.75" x14ac:dyDescent="0.3">
      <c r="F40" s="557"/>
      <c r="G40" s="557"/>
      <c r="H40" s="557"/>
      <c r="I40" s="562"/>
    </row>
    <row r="41" spans="1:9" ht="18.75" x14ac:dyDescent="0.3">
      <c r="F41" s="557"/>
      <c r="G41" s="557"/>
      <c r="H41" s="557"/>
      <c r="I41" s="562"/>
    </row>
    <row r="42" spans="1:9" ht="18.75" x14ac:dyDescent="0.3">
      <c r="A42" s="1"/>
      <c r="B42" s="1"/>
      <c r="C42" s="1"/>
      <c r="D42" s="1"/>
      <c r="E42" s="1"/>
      <c r="F42" s="557"/>
      <c r="G42" s="557"/>
      <c r="H42" s="557"/>
      <c r="I42" s="562"/>
    </row>
    <row r="43" spans="1:9" ht="18.75" x14ac:dyDescent="0.3">
      <c r="A43" s="1"/>
      <c r="B43" s="1"/>
      <c r="C43" s="1"/>
      <c r="D43" s="1"/>
      <c r="E43" s="1"/>
      <c r="F43" s="557"/>
      <c r="G43" s="557"/>
      <c r="H43" s="557"/>
      <c r="I43" s="562"/>
    </row>
  </sheetData>
  <mergeCells count="10">
    <mergeCell ref="B7:E7"/>
    <mergeCell ref="F7:I7"/>
    <mergeCell ref="A1:J1"/>
    <mergeCell ref="A2:J2"/>
    <mergeCell ref="A4:A7"/>
    <mergeCell ref="B4:C4"/>
    <mergeCell ref="F4:G4"/>
    <mergeCell ref="J4:J7"/>
    <mergeCell ref="D4:E4"/>
    <mergeCell ref="H4:I4"/>
  </mergeCells>
  <pageMargins left="0.7" right="0.7" top="0.75" bottom="0.75" header="0.3" footer="0.3"/>
  <pageSetup paperSize="9" scale="53" orientation="landscape" r:id="rId1"/>
  <colBreaks count="1" manualBreakCount="1">
    <brk id="10"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TY954"/>
  <sheetViews>
    <sheetView view="pageBreakPreview" topLeftCell="A148" zoomScale="60" zoomScaleNormal="100" workbookViewId="0">
      <selection activeCell="AM197" sqref="AM197"/>
    </sheetView>
  </sheetViews>
  <sheetFormatPr defaultColWidth="9.140625" defaultRowHeight="15" x14ac:dyDescent="0.25"/>
  <cols>
    <col min="1" max="1" width="31.140625" style="66" bestFit="1" customWidth="1"/>
    <col min="2" max="2" width="11.7109375" style="1" hidden="1" customWidth="1"/>
    <col min="3" max="3" width="11" style="1" hidden="1" customWidth="1"/>
    <col min="4" max="4" width="9.85546875" style="1" hidden="1" customWidth="1"/>
    <col min="5" max="5" width="16" style="523" hidden="1" customWidth="1"/>
    <col min="6" max="6" width="14" style="523" hidden="1" customWidth="1"/>
    <col min="7" max="7" width="15.5703125" style="523" hidden="1" customWidth="1"/>
    <col min="8" max="8" width="16.5703125" style="523" hidden="1" customWidth="1"/>
    <col min="9" max="10" width="10.5703125" style="1" hidden="1" customWidth="1"/>
    <col min="11" max="11" width="10" style="1" hidden="1" customWidth="1"/>
    <col min="12" max="12" width="14.7109375" style="523" hidden="1" customWidth="1"/>
    <col min="13" max="13" width="13.85546875" style="523" hidden="1" customWidth="1"/>
    <col min="14" max="14" width="15.5703125" style="523" hidden="1" customWidth="1"/>
    <col min="15" max="15" width="19.42578125" style="571" hidden="1" customWidth="1"/>
    <col min="16" max="17" width="10.5703125" style="1" hidden="1" customWidth="1"/>
    <col min="18" max="18" width="10" style="1" hidden="1" customWidth="1"/>
    <col min="19" max="19" width="14.7109375" style="523" hidden="1" customWidth="1"/>
    <col min="20" max="20" width="13.85546875" style="523" hidden="1" customWidth="1"/>
    <col min="21" max="21" width="14.85546875" style="523" hidden="1" customWidth="1"/>
    <col min="22" max="22" width="16.85546875" style="571" hidden="1" customWidth="1"/>
    <col min="23" max="23" width="11.85546875" style="709" customWidth="1"/>
    <col min="24" max="24" width="11.85546875" style="523" customWidth="1"/>
    <col min="25" max="25" width="14.85546875" style="523" customWidth="1"/>
    <col min="26" max="26" width="16.85546875" style="571" customWidth="1"/>
    <col min="27" max="27" width="14.7109375" style="523" customWidth="1"/>
    <col min="28" max="28" width="13.85546875" style="523" customWidth="1"/>
    <col min="29" max="29" width="15.5703125" style="523" customWidth="1"/>
    <col min="30" max="30" width="19.42578125" style="571" bestFit="1" customWidth="1"/>
    <col min="31" max="31" width="27.7109375" style="280" customWidth="1"/>
    <col min="32" max="32" width="1.140625" style="1" customWidth="1"/>
    <col min="33" max="548" width="9.140625" style="1" customWidth="1"/>
    <col min="549" max="16384" width="9.140625" style="1"/>
  </cols>
  <sheetData>
    <row r="1" spans="1:32" ht="21" x14ac:dyDescent="0.25">
      <c r="A1" s="872" t="s">
        <v>1095</v>
      </c>
      <c r="B1" s="872"/>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row>
    <row r="2" spans="1:32" s="558" customFormat="1" ht="18.75" x14ac:dyDescent="0.3">
      <c r="A2" s="845" t="s">
        <v>1094</v>
      </c>
      <c r="B2" s="845"/>
      <c r="C2" s="845"/>
      <c r="D2" s="845"/>
      <c r="E2" s="845"/>
      <c r="F2" s="845"/>
      <c r="G2" s="845"/>
      <c r="H2" s="845"/>
      <c r="I2" s="845"/>
      <c r="J2" s="845"/>
      <c r="K2" s="845"/>
      <c r="L2" s="845"/>
      <c r="M2" s="845"/>
      <c r="N2" s="845"/>
      <c r="O2" s="845"/>
      <c r="P2" s="845"/>
      <c r="Q2" s="845"/>
      <c r="R2" s="845"/>
      <c r="S2" s="845"/>
      <c r="T2" s="845"/>
      <c r="U2" s="845"/>
      <c r="V2" s="845"/>
      <c r="W2" s="845"/>
      <c r="X2" s="845"/>
      <c r="Y2" s="845"/>
      <c r="Z2" s="845"/>
      <c r="AA2" s="845"/>
      <c r="AB2" s="845"/>
      <c r="AC2" s="845"/>
      <c r="AD2" s="845"/>
      <c r="AE2" s="845"/>
    </row>
    <row r="3" spans="1:32" s="563" customFormat="1" ht="18.75" x14ac:dyDescent="0.3">
      <c r="A3" s="561"/>
      <c r="B3" s="531"/>
      <c r="C3" s="531"/>
      <c r="D3" s="531"/>
      <c r="E3" s="557"/>
      <c r="F3" s="557"/>
      <c r="G3" s="557"/>
      <c r="H3" s="557"/>
      <c r="I3" s="531"/>
      <c r="J3" s="531"/>
      <c r="K3" s="531"/>
      <c r="L3" s="557"/>
      <c r="M3" s="557"/>
      <c r="N3" s="557"/>
      <c r="O3" s="562"/>
      <c r="P3" s="531"/>
      <c r="Q3" s="531"/>
      <c r="R3" s="531"/>
      <c r="S3" s="557"/>
      <c r="T3" s="557"/>
      <c r="U3" s="557"/>
      <c r="V3" s="562"/>
      <c r="W3" s="706"/>
      <c r="X3" s="557"/>
      <c r="Y3" s="557"/>
      <c r="Z3" s="562"/>
      <c r="AA3" s="557"/>
      <c r="AB3" s="557"/>
      <c r="AC3" s="557"/>
      <c r="AD3" s="562"/>
    </row>
    <row r="4" spans="1:32" s="527" customFormat="1" ht="15.75" x14ac:dyDescent="0.25">
      <c r="A4" s="974" t="s">
        <v>851</v>
      </c>
      <c r="B4" s="833" t="s">
        <v>852</v>
      </c>
      <c r="C4" s="833"/>
      <c r="D4" s="834"/>
      <c r="E4" s="977">
        <v>2011</v>
      </c>
      <c r="F4" s="962"/>
      <c r="G4" s="962"/>
      <c r="H4" s="962"/>
      <c r="I4" s="833" t="s">
        <v>853</v>
      </c>
      <c r="J4" s="833"/>
      <c r="K4" s="834"/>
      <c r="L4" s="977">
        <v>2012</v>
      </c>
      <c r="M4" s="962"/>
      <c r="N4" s="962"/>
      <c r="O4" s="962"/>
      <c r="P4" s="978" t="s">
        <v>854</v>
      </c>
      <c r="Q4" s="833"/>
      <c r="R4" s="834"/>
      <c r="S4" s="977">
        <v>2013</v>
      </c>
      <c r="T4" s="962"/>
      <c r="U4" s="962"/>
      <c r="V4" s="962"/>
      <c r="W4" s="962">
        <v>2014</v>
      </c>
      <c r="X4" s="962"/>
      <c r="Y4" s="962"/>
      <c r="Z4" s="979"/>
      <c r="AA4" s="977">
        <v>2015</v>
      </c>
      <c r="AB4" s="962"/>
      <c r="AC4" s="962"/>
      <c r="AD4" s="962"/>
      <c r="AE4" s="888" t="s">
        <v>250</v>
      </c>
    </row>
    <row r="5" spans="1:32" s="527" customFormat="1" ht="21" x14ac:dyDescent="0.25">
      <c r="A5" s="975"/>
      <c r="B5" s="980" t="s">
        <v>855</v>
      </c>
      <c r="C5" s="980"/>
      <c r="D5" s="981"/>
      <c r="E5" s="982" t="s">
        <v>856</v>
      </c>
      <c r="F5" s="983"/>
      <c r="G5" s="984"/>
      <c r="H5" s="983"/>
      <c r="I5" s="980" t="s">
        <v>855</v>
      </c>
      <c r="J5" s="980"/>
      <c r="K5" s="981"/>
      <c r="L5" s="982" t="s">
        <v>857</v>
      </c>
      <c r="M5" s="983"/>
      <c r="N5" s="984"/>
      <c r="O5" s="983"/>
      <c r="P5" s="985" t="s">
        <v>855</v>
      </c>
      <c r="Q5" s="980"/>
      <c r="R5" s="981"/>
      <c r="S5" s="983" t="s">
        <v>857</v>
      </c>
      <c r="T5" s="983"/>
      <c r="U5" s="984"/>
      <c r="V5" s="983"/>
      <c r="W5" s="983" t="s">
        <v>857</v>
      </c>
      <c r="X5" s="983"/>
      <c r="Y5" s="984"/>
      <c r="Z5" s="986"/>
      <c r="AA5" s="982" t="s">
        <v>857</v>
      </c>
      <c r="AB5" s="983"/>
      <c r="AC5" s="984"/>
      <c r="AD5" s="983"/>
      <c r="AE5" s="889"/>
    </row>
    <row r="6" spans="1:32" s="527" customFormat="1" ht="21" x14ac:dyDescent="0.25">
      <c r="A6" s="975"/>
      <c r="B6" s="572" t="s">
        <v>858</v>
      </c>
      <c r="C6" s="572" t="s">
        <v>859</v>
      </c>
      <c r="D6" s="573" t="s">
        <v>838</v>
      </c>
      <c r="E6" s="574" t="s">
        <v>858</v>
      </c>
      <c r="F6" s="572" t="s">
        <v>859</v>
      </c>
      <c r="G6" s="572" t="s">
        <v>847</v>
      </c>
      <c r="H6" s="572" t="s">
        <v>838</v>
      </c>
      <c r="I6" s="572" t="s">
        <v>858</v>
      </c>
      <c r="J6" s="572" t="s">
        <v>859</v>
      </c>
      <c r="K6" s="573" t="s">
        <v>838</v>
      </c>
      <c r="L6" s="574" t="s">
        <v>858</v>
      </c>
      <c r="M6" s="572" t="s">
        <v>859</v>
      </c>
      <c r="N6" s="572" t="s">
        <v>847</v>
      </c>
      <c r="O6" s="572" t="s">
        <v>838</v>
      </c>
      <c r="P6" s="575" t="s">
        <v>858</v>
      </c>
      <c r="Q6" s="572" t="s">
        <v>859</v>
      </c>
      <c r="R6" s="573" t="s">
        <v>838</v>
      </c>
      <c r="S6" s="572" t="s">
        <v>858</v>
      </c>
      <c r="T6" s="572" t="s">
        <v>859</v>
      </c>
      <c r="U6" s="572" t="s">
        <v>847</v>
      </c>
      <c r="V6" s="572" t="s">
        <v>838</v>
      </c>
      <c r="W6" s="700" t="s">
        <v>858</v>
      </c>
      <c r="X6" s="700" t="s">
        <v>859</v>
      </c>
      <c r="Y6" s="700" t="s">
        <v>847</v>
      </c>
      <c r="Z6" s="710" t="s">
        <v>838</v>
      </c>
      <c r="AA6" s="699" t="s">
        <v>858</v>
      </c>
      <c r="AB6" s="700" t="s">
        <v>859</v>
      </c>
      <c r="AC6" s="700" t="s">
        <v>847</v>
      </c>
      <c r="AD6" s="700" t="s">
        <v>838</v>
      </c>
      <c r="AE6" s="889"/>
    </row>
    <row r="7" spans="1:32" s="431" customFormat="1" ht="45" x14ac:dyDescent="0.25">
      <c r="A7" s="975"/>
      <c r="B7" s="576" t="s">
        <v>860</v>
      </c>
      <c r="C7" s="576" t="s">
        <v>835</v>
      </c>
      <c r="D7" s="577" t="s">
        <v>200</v>
      </c>
      <c r="E7" s="578" t="s">
        <v>860</v>
      </c>
      <c r="F7" s="579" t="s">
        <v>835</v>
      </c>
      <c r="G7" s="579" t="s">
        <v>861</v>
      </c>
      <c r="H7" s="579" t="s">
        <v>200</v>
      </c>
      <c r="I7" s="576" t="s">
        <v>860</v>
      </c>
      <c r="J7" s="576" t="s">
        <v>835</v>
      </c>
      <c r="K7" s="577" t="s">
        <v>200</v>
      </c>
      <c r="L7" s="578" t="s">
        <v>862</v>
      </c>
      <c r="M7" s="579" t="s">
        <v>863</v>
      </c>
      <c r="N7" s="579" t="s">
        <v>861</v>
      </c>
      <c r="O7" s="579" t="s">
        <v>846</v>
      </c>
      <c r="P7" s="580" t="s">
        <v>860</v>
      </c>
      <c r="Q7" s="576" t="s">
        <v>835</v>
      </c>
      <c r="R7" s="577" t="s">
        <v>200</v>
      </c>
      <c r="S7" s="579" t="s">
        <v>862</v>
      </c>
      <c r="T7" s="579" t="s">
        <v>863</v>
      </c>
      <c r="U7" s="579" t="s">
        <v>861</v>
      </c>
      <c r="V7" s="579" t="s">
        <v>846</v>
      </c>
      <c r="W7" s="702" t="s">
        <v>862</v>
      </c>
      <c r="X7" s="702" t="s">
        <v>863</v>
      </c>
      <c r="Y7" s="702" t="s">
        <v>861</v>
      </c>
      <c r="Z7" s="711" t="s">
        <v>846</v>
      </c>
      <c r="AA7" s="701" t="s">
        <v>862</v>
      </c>
      <c r="AB7" s="702" t="s">
        <v>863</v>
      </c>
      <c r="AC7" s="702" t="s">
        <v>861</v>
      </c>
      <c r="AD7" s="702" t="s">
        <v>846</v>
      </c>
      <c r="AE7" s="889"/>
      <c r="AF7" s="531"/>
    </row>
    <row r="8" spans="1:32" s="471" customFormat="1" x14ac:dyDescent="0.2">
      <c r="A8" s="976"/>
      <c r="B8" s="966" t="s">
        <v>864</v>
      </c>
      <c r="C8" s="966"/>
      <c r="D8" s="990"/>
      <c r="E8" s="989" t="s">
        <v>865</v>
      </c>
      <c r="F8" s="987"/>
      <c r="G8" s="987"/>
      <c r="H8" s="987"/>
      <c r="I8" s="966" t="s">
        <v>864</v>
      </c>
      <c r="J8" s="966"/>
      <c r="K8" s="990"/>
      <c r="L8" s="987" t="s">
        <v>865</v>
      </c>
      <c r="M8" s="987"/>
      <c r="N8" s="987"/>
      <c r="O8" s="987"/>
      <c r="P8" s="991" t="s">
        <v>864</v>
      </c>
      <c r="Q8" s="967"/>
      <c r="R8" s="968"/>
      <c r="S8" s="987" t="s">
        <v>865</v>
      </c>
      <c r="T8" s="987"/>
      <c r="U8" s="987"/>
      <c r="V8" s="987"/>
      <c r="W8" s="987" t="s">
        <v>865</v>
      </c>
      <c r="X8" s="987"/>
      <c r="Y8" s="987"/>
      <c r="Z8" s="988"/>
      <c r="AA8" s="989" t="s">
        <v>865</v>
      </c>
      <c r="AB8" s="987"/>
      <c r="AC8" s="987"/>
      <c r="AD8" s="987"/>
      <c r="AE8" s="890"/>
      <c r="AF8" s="303"/>
    </row>
    <row r="9" spans="1:32" s="527" customFormat="1" ht="17.25" x14ac:dyDescent="0.25">
      <c r="A9" s="581" t="s">
        <v>263</v>
      </c>
      <c r="B9" s="582">
        <f>SUM(B10:B11)</f>
        <v>48781</v>
      </c>
      <c r="C9" s="582">
        <f>SUM(C10:C11)</f>
        <v>3377</v>
      </c>
      <c r="D9" s="583">
        <f>SUM(B9:C9)</f>
        <v>52158</v>
      </c>
      <c r="E9" s="582">
        <f>SUM(E10:E11)</f>
        <v>120591351.759</v>
      </c>
      <c r="F9" s="582">
        <f>SUM(F10:F11)</f>
        <v>17468104.868999999</v>
      </c>
      <c r="G9" s="582">
        <f>SUM(G10:G11)</f>
        <v>271907188.245</v>
      </c>
      <c r="H9" s="582">
        <f>SUM(E9:G9)</f>
        <v>409966644.87300003</v>
      </c>
      <c r="I9" s="582">
        <f t="shared" ref="I9:N9" si="0">SUM(I10:I11)</f>
        <v>57596</v>
      </c>
      <c r="J9" s="582">
        <f t="shared" si="0"/>
        <v>4255</v>
      </c>
      <c r="K9" s="583">
        <f t="shared" si="0"/>
        <v>61851</v>
      </c>
      <c r="L9" s="584">
        <f t="shared" si="0"/>
        <v>150771859.01200002</v>
      </c>
      <c r="M9" s="584">
        <f t="shared" si="0"/>
        <v>27613909.655000001</v>
      </c>
      <c r="N9" s="584">
        <f t="shared" si="0"/>
        <v>440453003.75400001</v>
      </c>
      <c r="O9" s="585">
        <f>SUM(L9:N9)</f>
        <v>618838772.421</v>
      </c>
      <c r="P9" s="586">
        <f t="shared" ref="P9:AD9" si="1">SUM(P10:P11)</f>
        <v>63588</v>
      </c>
      <c r="Q9" s="582">
        <f t="shared" si="1"/>
        <v>5048</v>
      </c>
      <c r="R9" s="583">
        <f t="shared" si="1"/>
        <v>68636</v>
      </c>
      <c r="S9" s="584">
        <f t="shared" si="1"/>
        <v>192612396.24299997</v>
      </c>
      <c r="T9" s="584">
        <f t="shared" si="1"/>
        <v>35132784.460000001</v>
      </c>
      <c r="U9" s="584">
        <f t="shared" si="1"/>
        <v>547985830.65999997</v>
      </c>
      <c r="V9" s="584">
        <f t="shared" si="1"/>
        <v>775731011.3629998</v>
      </c>
      <c r="W9" s="585">
        <f t="shared" si="1"/>
        <v>193834967.92500001</v>
      </c>
      <c r="X9" s="585">
        <f t="shared" si="1"/>
        <v>40607820.669999994</v>
      </c>
      <c r="Y9" s="585">
        <f t="shared" si="1"/>
        <v>574489220.03100002</v>
      </c>
      <c r="Z9" s="585">
        <f t="shared" si="1"/>
        <v>808932008.62599993</v>
      </c>
      <c r="AA9" s="587">
        <f t="shared" si="1"/>
        <v>205653165.26899999</v>
      </c>
      <c r="AB9" s="585">
        <f t="shared" si="1"/>
        <v>7858617.0639999993</v>
      </c>
      <c r="AC9" s="585">
        <f t="shared" si="1"/>
        <v>293993008.43000001</v>
      </c>
      <c r="AD9" s="585">
        <f t="shared" si="1"/>
        <v>507504790.76299995</v>
      </c>
      <c r="AE9" s="511" t="s">
        <v>264</v>
      </c>
      <c r="AF9" s="531"/>
    </row>
    <row r="10" spans="1:32" s="527" customFormat="1" ht="17.25" x14ac:dyDescent="0.25">
      <c r="A10" s="581" t="s">
        <v>788</v>
      </c>
      <c r="B10" s="582">
        <v>18072</v>
      </c>
      <c r="C10" s="582">
        <v>0</v>
      </c>
      <c r="D10" s="583">
        <f>SUM(B10:C10)</f>
        <v>18072</v>
      </c>
      <c r="E10" s="582">
        <v>36446385.809999995</v>
      </c>
      <c r="F10" s="582">
        <v>0</v>
      </c>
      <c r="G10" s="582">
        <v>126381728.34999999</v>
      </c>
      <c r="H10" s="582">
        <f>SUM(E10:G10)</f>
        <v>162828114.16</v>
      </c>
      <c r="I10" s="582">
        <v>20719</v>
      </c>
      <c r="J10" s="582">
        <v>0</v>
      </c>
      <c r="K10" s="583">
        <f>SUM(I10:J10)</f>
        <v>20719</v>
      </c>
      <c r="L10" s="584">
        <v>45677544.659999996</v>
      </c>
      <c r="M10" s="584">
        <v>0</v>
      </c>
      <c r="N10" s="584">
        <v>204090558.38999999</v>
      </c>
      <c r="O10" s="585">
        <f>SUM(L10:N10)</f>
        <v>249768103.04999998</v>
      </c>
      <c r="P10" s="586">
        <v>22973</v>
      </c>
      <c r="Q10" s="582">
        <v>0</v>
      </c>
      <c r="R10" s="583">
        <f>SUM(P10:Q10)</f>
        <v>22973</v>
      </c>
      <c r="S10" s="584">
        <v>51951867.579999983</v>
      </c>
      <c r="T10" s="584">
        <v>0</v>
      </c>
      <c r="U10" s="584">
        <v>247709228.85999998</v>
      </c>
      <c r="V10" s="585">
        <f>SUM(S10:U10)</f>
        <v>299661096.43999994</v>
      </c>
      <c r="W10" s="585">
        <v>55229260.050000004</v>
      </c>
      <c r="X10" s="585">
        <v>0</v>
      </c>
      <c r="Y10" s="585">
        <v>253526976.16999996</v>
      </c>
      <c r="Z10" s="585">
        <v>308756236.21999997</v>
      </c>
      <c r="AA10" s="587">
        <v>59448544.599999994</v>
      </c>
      <c r="AB10" s="585">
        <v>0</v>
      </c>
      <c r="AC10" s="585">
        <v>121166151.41000001</v>
      </c>
      <c r="AD10" s="585">
        <f>SUM(AA10:AC10)</f>
        <v>180614696.00999999</v>
      </c>
      <c r="AE10" s="511" t="s">
        <v>266</v>
      </c>
      <c r="AF10" s="531"/>
    </row>
    <row r="11" spans="1:32" s="531" customFormat="1" ht="17.25" x14ac:dyDescent="0.25">
      <c r="A11" s="581" t="s">
        <v>267</v>
      </c>
      <c r="B11" s="582">
        <f>SUM(B12,B29,B46,B63,B77,B94,B108,B114,B125,B134,B145,B151,B161,B167,B176,B190,B203,B214,B224,B226)</f>
        <v>30709</v>
      </c>
      <c r="C11" s="582">
        <f>SUM(C12,C29,C46,C63,C77,C94,C108,C114,C125,C134,C145,C151,C161,C167,C176,C190,C203,C214,C224,C226)</f>
        <v>3377</v>
      </c>
      <c r="D11" s="583">
        <f>SUM(B11:C11)</f>
        <v>34086</v>
      </c>
      <c r="E11" s="582">
        <f>SUM(E12,E29,E46,E63,E77,E94,E108,E114,E125,E134,E145,E151,E161,E167,E176,E190,E203,E214,E224,E226)</f>
        <v>84144965.949000001</v>
      </c>
      <c r="F11" s="582">
        <f>SUM(F12,F29,F46,F63,F77,F94,F108,F114,F125,F134,F145,F151,F161,F167,F176,F190,F203,F214,F224,F226)</f>
        <v>17468104.868999999</v>
      </c>
      <c r="G11" s="582">
        <f>SUM(G12,G29,G46,G63,G77,G94,G108,G114,G125,G134,G145,G151,G161,G167,G176,G190,G203,G214,G224,G226)</f>
        <v>145525459.89500001</v>
      </c>
      <c r="H11" s="582">
        <f>SUM(E11:G11)</f>
        <v>247138530.713</v>
      </c>
      <c r="I11" s="582">
        <f>SUM(I12,I29,I46,I63,I77,I94,I108,I114,I125,I134,I145,I151,I161,I167,I176,I190,I203,I214,I224,I226)</f>
        <v>36877</v>
      </c>
      <c r="J11" s="582">
        <f>SUM(J12,J29,J46,J63,J77,J94,J108,J114,J125,J134,J145,J151,J161,J167,J176,J190,J203,J214,J224,J226)</f>
        <v>4255</v>
      </c>
      <c r="K11" s="583">
        <f>SUM(I11:J11)</f>
        <v>41132</v>
      </c>
      <c r="L11" s="584">
        <f>SUM(L12,L29,L46,L63,L77,L94,L108,L114,L125,L134,L145,L151,L161,L167,L176,L190,L203,L214,L224,L226)</f>
        <v>105094314.35200004</v>
      </c>
      <c r="M11" s="584">
        <f>SUM(M12,M29,M46,M63,M77,M94,M108,M114,M125,M134,M145,M151,M161,M167,M176,M190,M203,M214,M224,M226)</f>
        <v>27613909.655000001</v>
      </c>
      <c r="N11" s="584">
        <f>SUM(N12,N29,N46,N63,N77,N94,N108,N114,N125,N134,N145,N151,N161,N167,N176,N190,N203,N214,N224,N226)</f>
        <v>236362445.36400002</v>
      </c>
      <c r="O11" s="585">
        <f>SUM(L11:N11)</f>
        <v>369070669.37100005</v>
      </c>
      <c r="P11" s="586">
        <f>SUM(P12,P29,P46,P63,P77,P94,P108,P114,P125,P134,P145,P151,P161,P167,P176,P190,P203,P214,P224,P226)</f>
        <v>40615</v>
      </c>
      <c r="Q11" s="582">
        <f>SUM(Q12,Q29,Q46,Q63,Q77,Q94,Q108,Q114,Q125,Q134,Q145,Q151,Q161,Q167,Q176,Q190,Q203,Q214,Q224,Q226)</f>
        <v>5048</v>
      </c>
      <c r="R11" s="583">
        <f>SUM(R12,R29,R46,R63,R77,R94,R108,R114,R125,R134,R145,R151,R161,R167,R176,R190,R203,R214,R224,R226)</f>
        <v>45663</v>
      </c>
      <c r="S11" s="584">
        <f t="shared" ref="S11:AD11" si="2">SUM(S12+S29+S46+S63+S77+S94+S108+S114+S125+S134+S145+S151+S161+S167+S176+S190+S203+S214+S224+S226)</f>
        <v>140660528.66299999</v>
      </c>
      <c r="T11" s="584">
        <f t="shared" si="2"/>
        <v>35132784.460000001</v>
      </c>
      <c r="U11" s="584">
        <f t="shared" si="2"/>
        <v>300276601.79999995</v>
      </c>
      <c r="V11" s="584">
        <f t="shared" si="2"/>
        <v>476069914.92299986</v>
      </c>
      <c r="W11" s="585">
        <f t="shared" si="2"/>
        <v>138605707.875</v>
      </c>
      <c r="X11" s="585">
        <f t="shared" si="2"/>
        <v>40607820.669999994</v>
      </c>
      <c r="Y11" s="585">
        <f t="shared" si="2"/>
        <v>320962243.86100006</v>
      </c>
      <c r="Z11" s="585">
        <f t="shared" si="2"/>
        <v>500175772.4059999</v>
      </c>
      <c r="AA11" s="587">
        <f t="shared" si="2"/>
        <v>146204620.669</v>
      </c>
      <c r="AB11" s="585">
        <f t="shared" si="2"/>
        <v>7858617.0639999993</v>
      </c>
      <c r="AC11" s="585">
        <f t="shared" si="2"/>
        <v>172826857.01999998</v>
      </c>
      <c r="AD11" s="585">
        <f t="shared" si="2"/>
        <v>326890094.75299996</v>
      </c>
      <c r="AE11" s="511" t="s">
        <v>268</v>
      </c>
    </row>
    <row r="12" spans="1:32" s="531" customFormat="1" x14ac:dyDescent="0.25">
      <c r="A12" s="581" t="s">
        <v>269</v>
      </c>
      <c r="B12" s="582">
        <f>SUM(B13:B28)</f>
        <v>2597</v>
      </c>
      <c r="C12" s="582">
        <f>SUM(C13:C28)</f>
        <v>178</v>
      </c>
      <c r="D12" s="583">
        <f>SUM(B12:C12)</f>
        <v>2775</v>
      </c>
      <c r="E12" s="582">
        <f>SUM(E13:E28)</f>
        <v>6724122.0980000021</v>
      </c>
      <c r="F12" s="582">
        <f>SUM(F13:F28)</f>
        <v>431834.337</v>
      </c>
      <c r="G12" s="582">
        <f>SUM(G13:G28)</f>
        <v>10534940.620999997</v>
      </c>
      <c r="H12" s="582">
        <f>SUM(E12:G12)</f>
        <v>17690897.056000002</v>
      </c>
      <c r="I12" s="582">
        <f>SUM(I13:I28)</f>
        <v>3146</v>
      </c>
      <c r="J12" s="582">
        <f>SUM(J13:J28)</f>
        <v>260</v>
      </c>
      <c r="K12" s="583">
        <f>SUM(I12:J12)</f>
        <v>3406</v>
      </c>
      <c r="L12" s="584">
        <f>SUM(L13:L28)</f>
        <v>8924419.8000000007</v>
      </c>
      <c r="M12" s="584">
        <f>SUM(M13:M28)</f>
        <v>749883.33100000012</v>
      </c>
      <c r="N12" s="584">
        <f>SUM(N13:N28)</f>
        <v>15697345.134000001</v>
      </c>
      <c r="O12" s="585">
        <f>SUM(L12:N12)</f>
        <v>25371648.265000001</v>
      </c>
      <c r="P12" s="586">
        <f>SUM(P13:P28)</f>
        <v>3124</v>
      </c>
      <c r="Q12" s="582">
        <f>SUM(Q13:Q28)</f>
        <v>282</v>
      </c>
      <c r="R12" s="583">
        <f>SUM(P12:Q12)</f>
        <v>3406</v>
      </c>
      <c r="S12" s="584">
        <f t="shared" ref="S12:AD12" si="3">SUM(S13:S28)</f>
        <v>9907616.9499999993</v>
      </c>
      <c r="T12" s="584">
        <f t="shared" si="3"/>
        <v>845033.16</v>
      </c>
      <c r="U12" s="584">
        <f t="shared" si="3"/>
        <v>19162291.980000004</v>
      </c>
      <c r="V12" s="584">
        <f t="shared" si="3"/>
        <v>29914942.09</v>
      </c>
      <c r="W12" s="585">
        <f t="shared" si="3"/>
        <v>10292047.989999998</v>
      </c>
      <c r="X12" s="585">
        <f t="shared" si="3"/>
        <v>1447757.87</v>
      </c>
      <c r="Y12" s="585">
        <f t="shared" si="3"/>
        <v>20335739.809999995</v>
      </c>
      <c r="Z12" s="585">
        <f t="shared" si="3"/>
        <v>32075545.670000002</v>
      </c>
      <c r="AA12" s="587">
        <f>SUM(AA13:AA28)</f>
        <v>10978892.280000001</v>
      </c>
      <c r="AB12" s="585">
        <f>SUM(AB13:AB28)</f>
        <v>437189.10999999993</v>
      </c>
      <c r="AC12" s="585">
        <f>SUM(AC13:AC28)</f>
        <v>9366934.1799999997</v>
      </c>
      <c r="AD12" s="585">
        <f t="shared" si="3"/>
        <v>20783015.57</v>
      </c>
      <c r="AE12" s="512" t="s">
        <v>270</v>
      </c>
    </row>
    <row r="13" spans="1:32" s="531" customFormat="1" x14ac:dyDescent="0.25">
      <c r="A13" s="588" t="s">
        <v>866</v>
      </c>
      <c r="B13" s="589">
        <v>83</v>
      </c>
      <c r="C13" s="589">
        <v>0</v>
      </c>
      <c r="D13" s="583">
        <f t="shared" ref="D13:D45" si="4">SUM(B13:C13)</f>
        <v>83</v>
      </c>
      <c r="E13" s="590">
        <v>253783.88099999999</v>
      </c>
      <c r="F13" s="590">
        <v>0</v>
      </c>
      <c r="G13" s="590">
        <v>385672.50900000002</v>
      </c>
      <c r="H13" s="590">
        <f>SUM(E13:G13)</f>
        <v>639456.39</v>
      </c>
      <c r="I13" s="589">
        <v>89</v>
      </c>
      <c r="J13" s="589">
        <v>3</v>
      </c>
      <c r="K13" s="591">
        <f>SUM(I13:J13)</f>
        <v>92</v>
      </c>
      <c r="L13" s="592">
        <v>319832.74199999997</v>
      </c>
      <c r="M13" s="592">
        <v>1028.77</v>
      </c>
      <c r="N13" s="592">
        <v>527397.80000000005</v>
      </c>
      <c r="O13" s="593">
        <f>SUM(L13:N13)</f>
        <v>848259.31200000003</v>
      </c>
      <c r="P13" s="594">
        <v>94</v>
      </c>
      <c r="Q13" s="589">
        <v>3</v>
      </c>
      <c r="R13" s="591">
        <f>SUM(P13:Q13)</f>
        <v>97</v>
      </c>
      <c r="S13" s="592">
        <v>309800.37999999995</v>
      </c>
      <c r="T13" s="592">
        <v>12545.99</v>
      </c>
      <c r="U13" s="592">
        <v>570414.16</v>
      </c>
      <c r="V13" s="593">
        <f>SUM(S13:U13)</f>
        <v>892760.53</v>
      </c>
      <c r="W13" s="593">
        <v>342497.61999999994</v>
      </c>
      <c r="X13" s="592">
        <v>32470.36</v>
      </c>
      <c r="Y13" s="592">
        <v>613705.36</v>
      </c>
      <c r="Z13" s="593">
        <v>988673.3400000002</v>
      </c>
      <c r="AA13" s="703">
        <v>367416.74999999994</v>
      </c>
      <c r="AB13" s="593">
        <v>12209.12</v>
      </c>
      <c r="AC13" s="593">
        <v>295998</v>
      </c>
      <c r="AD13" s="593">
        <f>SUM(AA13:AC13)</f>
        <v>675623.86999999988</v>
      </c>
      <c r="AE13" s="513" t="s">
        <v>334</v>
      </c>
    </row>
    <row r="14" spans="1:32" s="531" customFormat="1" x14ac:dyDescent="0.25">
      <c r="A14" s="588" t="s">
        <v>867</v>
      </c>
      <c r="B14" s="589">
        <v>0</v>
      </c>
      <c r="C14" s="589">
        <v>0</v>
      </c>
      <c r="D14" s="583">
        <f t="shared" si="4"/>
        <v>0</v>
      </c>
      <c r="E14" s="590">
        <v>0</v>
      </c>
      <c r="F14" s="590">
        <v>0</v>
      </c>
      <c r="G14" s="590">
        <v>0</v>
      </c>
      <c r="H14" s="590">
        <f t="shared" ref="H14:H28" si="5">SUM(E14:G14)</f>
        <v>0</v>
      </c>
      <c r="I14" s="589">
        <v>73</v>
      </c>
      <c r="J14" s="589">
        <v>2</v>
      </c>
      <c r="K14" s="591">
        <f t="shared" ref="K14:K45" si="6">SUM(I14:J14)</f>
        <v>75</v>
      </c>
      <c r="L14" s="592">
        <v>204011.16</v>
      </c>
      <c r="M14" s="592">
        <v>4793.0200000000004</v>
      </c>
      <c r="N14" s="592">
        <v>362266.72</v>
      </c>
      <c r="O14" s="593">
        <f t="shared" ref="O14:O28" si="7">SUM(L14:N14)</f>
        <v>571070.89999999991</v>
      </c>
      <c r="P14" s="594">
        <v>76</v>
      </c>
      <c r="Q14" s="589">
        <v>2</v>
      </c>
      <c r="R14" s="591">
        <f t="shared" ref="R14:R28" si="8">SUM(P14:Q14)</f>
        <v>78</v>
      </c>
      <c r="S14" s="592">
        <v>253736.02000000005</v>
      </c>
      <c r="T14" s="592">
        <v>5386.5499999999993</v>
      </c>
      <c r="U14" s="592">
        <v>486246.16000000003</v>
      </c>
      <c r="V14" s="593">
        <f t="shared" ref="V14:V28" si="9">SUM(S14:U14)</f>
        <v>745368.7300000001</v>
      </c>
      <c r="W14" s="593">
        <v>278304.71000000002</v>
      </c>
      <c r="X14" s="592">
        <v>19841.02</v>
      </c>
      <c r="Y14" s="592">
        <v>528476.56999999995</v>
      </c>
      <c r="Z14" s="593">
        <v>826622.3</v>
      </c>
      <c r="AA14" s="703">
        <v>297680.57999999996</v>
      </c>
      <c r="AB14" s="593">
        <v>10256.370000000001</v>
      </c>
      <c r="AC14" s="593">
        <v>272847.58999999997</v>
      </c>
      <c r="AD14" s="593">
        <f t="shared" ref="AD14:AD28" si="10">SUM(AA14:AC14)</f>
        <v>580784.53999999992</v>
      </c>
      <c r="AE14" s="513" t="s">
        <v>336</v>
      </c>
    </row>
    <row r="15" spans="1:32" s="531" customFormat="1" x14ac:dyDescent="0.25">
      <c r="A15" s="588" t="s">
        <v>868</v>
      </c>
      <c r="B15" s="589">
        <v>0</v>
      </c>
      <c r="C15" s="589">
        <v>0</v>
      </c>
      <c r="D15" s="583">
        <f t="shared" si="4"/>
        <v>0</v>
      </c>
      <c r="E15" s="590">
        <v>0</v>
      </c>
      <c r="F15" s="590">
        <v>0</v>
      </c>
      <c r="G15" s="590">
        <v>0</v>
      </c>
      <c r="H15" s="590">
        <f t="shared" si="5"/>
        <v>0</v>
      </c>
      <c r="I15" s="589">
        <v>0</v>
      </c>
      <c r="J15" s="589">
        <v>0</v>
      </c>
      <c r="K15" s="591">
        <f t="shared" si="6"/>
        <v>0</v>
      </c>
      <c r="L15" s="592">
        <v>0</v>
      </c>
      <c r="M15" s="592">
        <v>0</v>
      </c>
      <c r="N15" s="592">
        <v>0</v>
      </c>
      <c r="O15" s="593">
        <f t="shared" si="7"/>
        <v>0</v>
      </c>
      <c r="P15" s="594">
        <v>0</v>
      </c>
      <c r="Q15" s="589">
        <v>0</v>
      </c>
      <c r="R15" s="591">
        <f t="shared" si="8"/>
        <v>0</v>
      </c>
      <c r="S15" s="592">
        <v>0</v>
      </c>
      <c r="T15" s="592">
        <v>0</v>
      </c>
      <c r="U15" s="592">
        <v>0</v>
      </c>
      <c r="V15" s="593">
        <f t="shared" si="9"/>
        <v>0</v>
      </c>
      <c r="W15" s="593">
        <v>0</v>
      </c>
      <c r="X15" s="592">
        <v>0</v>
      </c>
      <c r="Y15" s="592">
        <v>0</v>
      </c>
      <c r="Z15" s="593">
        <v>0</v>
      </c>
      <c r="AA15" s="703">
        <v>0</v>
      </c>
      <c r="AB15" s="593">
        <v>0</v>
      </c>
      <c r="AC15" s="593">
        <v>0</v>
      </c>
      <c r="AD15" s="593">
        <f t="shared" si="10"/>
        <v>0</v>
      </c>
      <c r="AE15" s="514" t="s">
        <v>797</v>
      </c>
    </row>
    <row r="16" spans="1:32" s="531" customFormat="1" x14ac:dyDescent="0.25">
      <c r="A16" s="588" t="s">
        <v>869</v>
      </c>
      <c r="B16" s="589">
        <v>0</v>
      </c>
      <c r="C16" s="589">
        <v>0</v>
      </c>
      <c r="D16" s="583">
        <f t="shared" si="4"/>
        <v>0</v>
      </c>
      <c r="E16" s="590">
        <v>0</v>
      </c>
      <c r="F16" s="590">
        <v>0</v>
      </c>
      <c r="G16" s="590">
        <v>0</v>
      </c>
      <c r="H16" s="590">
        <f t="shared" si="5"/>
        <v>0</v>
      </c>
      <c r="I16" s="589">
        <v>0</v>
      </c>
      <c r="J16" s="589">
        <v>0</v>
      </c>
      <c r="K16" s="591">
        <f t="shared" si="6"/>
        <v>0</v>
      </c>
      <c r="L16" s="592">
        <v>0</v>
      </c>
      <c r="M16" s="592">
        <v>0</v>
      </c>
      <c r="N16" s="592">
        <v>0</v>
      </c>
      <c r="O16" s="593">
        <f t="shared" si="7"/>
        <v>0</v>
      </c>
      <c r="P16" s="594">
        <v>0</v>
      </c>
      <c r="Q16" s="589">
        <v>0</v>
      </c>
      <c r="R16" s="591">
        <f t="shared" si="8"/>
        <v>0</v>
      </c>
      <c r="S16" s="592">
        <v>0</v>
      </c>
      <c r="T16" s="592">
        <v>0</v>
      </c>
      <c r="U16" s="592">
        <v>0</v>
      </c>
      <c r="V16" s="593">
        <f t="shared" si="9"/>
        <v>0</v>
      </c>
      <c r="W16" s="593">
        <v>0</v>
      </c>
      <c r="X16" s="592">
        <v>0</v>
      </c>
      <c r="Y16" s="592">
        <v>0</v>
      </c>
      <c r="Z16" s="593">
        <v>0</v>
      </c>
      <c r="AA16" s="703">
        <v>0</v>
      </c>
      <c r="AB16" s="593">
        <v>0</v>
      </c>
      <c r="AC16" s="593">
        <v>0</v>
      </c>
      <c r="AD16" s="593">
        <f t="shared" si="10"/>
        <v>0</v>
      </c>
      <c r="AE16" s="513" t="s">
        <v>799</v>
      </c>
    </row>
    <row r="17" spans="1:31" s="531" customFormat="1" x14ac:dyDescent="0.25">
      <c r="A17" s="588" t="s">
        <v>870</v>
      </c>
      <c r="B17" s="589">
        <v>60</v>
      </c>
      <c r="C17" s="589">
        <v>2</v>
      </c>
      <c r="D17" s="583">
        <f t="shared" si="4"/>
        <v>62</v>
      </c>
      <c r="E17" s="590">
        <v>130792.004</v>
      </c>
      <c r="F17" s="590">
        <v>2124.8010000000004</v>
      </c>
      <c r="G17" s="590">
        <v>186659.98799999998</v>
      </c>
      <c r="H17" s="590">
        <f>SUM(E17:G17)</f>
        <v>319576.79299999995</v>
      </c>
      <c r="I17" s="589">
        <v>69</v>
      </c>
      <c r="J17" s="589">
        <v>3</v>
      </c>
      <c r="K17" s="591">
        <f t="shared" si="6"/>
        <v>72</v>
      </c>
      <c r="L17" s="592">
        <v>163662.11700000003</v>
      </c>
      <c r="M17" s="592">
        <v>4952.29</v>
      </c>
      <c r="N17" s="592">
        <v>258543.37000000002</v>
      </c>
      <c r="O17" s="593">
        <f t="shared" si="7"/>
        <v>427157.77700000006</v>
      </c>
      <c r="P17" s="594">
        <v>70</v>
      </c>
      <c r="Q17" s="589">
        <v>2</v>
      </c>
      <c r="R17" s="591">
        <f t="shared" si="8"/>
        <v>72</v>
      </c>
      <c r="S17" s="592">
        <v>171929.43</v>
      </c>
      <c r="T17" s="592">
        <v>4218.33</v>
      </c>
      <c r="U17" s="592">
        <v>311233.5</v>
      </c>
      <c r="V17" s="593">
        <f t="shared" si="9"/>
        <v>487381.26</v>
      </c>
      <c r="W17" s="593">
        <v>166775.46000000002</v>
      </c>
      <c r="X17" s="592">
        <v>5483.33</v>
      </c>
      <c r="Y17" s="592">
        <v>287987.25</v>
      </c>
      <c r="Z17" s="593">
        <v>460246.04000000004</v>
      </c>
      <c r="AA17" s="703">
        <v>188324.55999999997</v>
      </c>
      <c r="AB17" s="593">
        <v>5649.0300000000007</v>
      </c>
      <c r="AC17" s="593">
        <v>156953.40999999997</v>
      </c>
      <c r="AD17" s="593">
        <f t="shared" si="10"/>
        <v>350926.99999999994</v>
      </c>
      <c r="AE17" s="513" t="s">
        <v>338</v>
      </c>
    </row>
    <row r="18" spans="1:31" s="531" customFormat="1" x14ac:dyDescent="0.25">
      <c r="A18" s="588" t="s">
        <v>871</v>
      </c>
      <c r="B18" s="589">
        <v>441</v>
      </c>
      <c r="C18" s="589">
        <v>26</v>
      </c>
      <c r="D18" s="583">
        <f t="shared" si="4"/>
        <v>467</v>
      </c>
      <c r="E18" s="590">
        <v>1254738.1990000003</v>
      </c>
      <c r="F18" s="590">
        <v>69688.415999999997</v>
      </c>
      <c r="G18" s="590">
        <v>2057382.3930000002</v>
      </c>
      <c r="H18" s="590">
        <f t="shared" si="5"/>
        <v>3381809.0080000004</v>
      </c>
      <c r="I18" s="589">
        <v>470</v>
      </c>
      <c r="J18" s="589">
        <v>42</v>
      </c>
      <c r="K18" s="591">
        <f t="shared" si="6"/>
        <v>512</v>
      </c>
      <c r="L18" s="592">
        <v>1577902.5240000002</v>
      </c>
      <c r="M18" s="592">
        <v>93342.891999999978</v>
      </c>
      <c r="N18" s="592">
        <v>2402692.8400000003</v>
      </c>
      <c r="O18" s="593">
        <f t="shared" si="7"/>
        <v>4073938.2560000005</v>
      </c>
      <c r="P18" s="594">
        <v>475</v>
      </c>
      <c r="Q18" s="589">
        <v>45</v>
      </c>
      <c r="R18" s="591">
        <f t="shared" si="8"/>
        <v>520</v>
      </c>
      <c r="S18" s="592">
        <v>1649818.69</v>
      </c>
      <c r="T18" s="592">
        <v>135074.84</v>
      </c>
      <c r="U18" s="592">
        <v>3196449.2399999993</v>
      </c>
      <c r="V18" s="593">
        <f t="shared" si="9"/>
        <v>4981342.7699999996</v>
      </c>
      <c r="W18" s="593">
        <v>1634035.5100000002</v>
      </c>
      <c r="X18" s="592">
        <v>211113.24</v>
      </c>
      <c r="Y18" s="592">
        <v>3153009.52</v>
      </c>
      <c r="Z18" s="593">
        <v>4998158.2699999996</v>
      </c>
      <c r="AA18" s="703">
        <v>1706887.17</v>
      </c>
      <c r="AB18" s="593">
        <v>68617.350000000006</v>
      </c>
      <c r="AC18" s="593">
        <v>1446079.59</v>
      </c>
      <c r="AD18" s="593">
        <f t="shared" si="10"/>
        <v>3221584.1100000003</v>
      </c>
      <c r="AE18" s="513" t="s">
        <v>340</v>
      </c>
    </row>
    <row r="19" spans="1:31" s="531" customFormat="1" x14ac:dyDescent="0.25">
      <c r="A19" s="588" t="s">
        <v>872</v>
      </c>
      <c r="B19" s="589">
        <v>381</v>
      </c>
      <c r="C19" s="589">
        <v>37</v>
      </c>
      <c r="D19" s="583">
        <f t="shared" si="4"/>
        <v>418</v>
      </c>
      <c r="E19" s="590">
        <v>1157150.6199999999</v>
      </c>
      <c r="F19" s="590">
        <v>68244.714000000007</v>
      </c>
      <c r="G19" s="590">
        <v>1706195.8540000001</v>
      </c>
      <c r="H19" s="590">
        <f t="shared" si="5"/>
        <v>2931591.1880000001</v>
      </c>
      <c r="I19" s="589">
        <v>411</v>
      </c>
      <c r="J19" s="589">
        <v>51</v>
      </c>
      <c r="K19" s="591">
        <f t="shared" si="6"/>
        <v>462</v>
      </c>
      <c r="L19" s="592">
        <v>1381229.2620000001</v>
      </c>
      <c r="M19" s="592">
        <v>107626.56000000001</v>
      </c>
      <c r="N19" s="592">
        <v>2640210.44</v>
      </c>
      <c r="O19" s="593">
        <f t="shared" si="7"/>
        <v>4129066.2620000001</v>
      </c>
      <c r="P19" s="594">
        <v>413</v>
      </c>
      <c r="Q19" s="589">
        <v>52</v>
      </c>
      <c r="R19" s="591">
        <f t="shared" si="8"/>
        <v>465</v>
      </c>
      <c r="S19" s="592">
        <v>1630826.03</v>
      </c>
      <c r="T19" s="592">
        <v>136637.81</v>
      </c>
      <c r="U19" s="592">
        <v>3123733.68</v>
      </c>
      <c r="V19" s="593">
        <f t="shared" si="9"/>
        <v>4891197.5200000005</v>
      </c>
      <c r="W19" s="593">
        <v>1634460.1099999999</v>
      </c>
      <c r="X19" s="592">
        <v>233586.47</v>
      </c>
      <c r="Y19" s="592">
        <v>3270980.4599999995</v>
      </c>
      <c r="Z19" s="593">
        <v>5139027.04</v>
      </c>
      <c r="AA19" s="703">
        <v>1725279.3800000001</v>
      </c>
      <c r="AB19" s="593">
        <v>72486.17</v>
      </c>
      <c r="AC19" s="593">
        <v>1501604.1500000001</v>
      </c>
      <c r="AD19" s="593">
        <f t="shared" si="10"/>
        <v>3299369.7</v>
      </c>
      <c r="AE19" s="513" t="s">
        <v>342</v>
      </c>
    </row>
    <row r="20" spans="1:31" s="531" customFormat="1" x14ac:dyDescent="0.25">
      <c r="A20" s="588" t="s">
        <v>873</v>
      </c>
      <c r="B20" s="589">
        <v>310</v>
      </c>
      <c r="C20" s="589">
        <v>24</v>
      </c>
      <c r="D20" s="583">
        <f t="shared" si="4"/>
        <v>334</v>
      </c>
      <c r="E20" s="590">
        <v>840403.99200000032</v>
      </c>
      <c r="F20" s="590">
        <v>55478.940999999999</v>
      </c>
      <c r="G20" s="590">
        <v>1146728.9140000001</v>
      </c>
      <c r="H20" s="590">
        <f t="shared" si="5"/>
        <v>2042611.8470000005</v>
      </c>
      <c r="I20" s="589">
        <v>339</v>
      </c>
      <c r="J20" s="589">
        <v>32</v>
      </c>
      <c r="K20" s="591">
        <f t="shared" si="6"/>
        <v>371</v>
      </c>
      <c r="L20" s="592">
        <v>889728.9219999999</v>
      </c>
      <c r="M20" s="592">
        <v>80067.491999999984</v>
      </c>
      <c r="N20" s="592">
        <v>1451258.1600000001</v>
      </c>
      <c r="O20" s="593">
        <f t="shared" si="7"/>
        <v>2421054.574</v>
      </c>
      <c r="P20" s="594">
        <v>342</v>
      </c>
      <c r="Q20" s="589">
        <v>33</v>
      </c>
      <c r="R20" s="591">
        <f t="shared" si="8"/>
        <v>375</v>
      </c>
      <c r="S20" s="592">
        <v>919650.25999999989</v>
      </c>
      <c r="T20" s="592">
        <v>89673.459999999992</v>
      </c>
      <c r="U20" s="592">
        <v>1709127.2299999997</v>
      </c>
      <c r="V20" s="593">
        <f t="shared" si="9"/>
        <v>2718450.9499999997</v>
      </c>
      <c r="W20" s="593">
        <v>952578.72</v>
      </c>
      <c r="X20" s="592">
        <v>156509.02000000002</v>
      </c>
      <c r="Y20" s="592">
        <v>1773574.3599999999</v>
      </c>
      <c r="Z20" s="593">
        <v>2882662.0999999996</v>
      </c>
      <c r="AA20" s="703">
        <v>1022630.0600000002</v>
      </c>
      <c r="AB20" s="593">
        <v>42534.880000000005</v>
      </c>
      <c r="AC20" s="593">
        <v>769834.75</v>
      </c>
      <c r="AD20" s="593">
        <f t="shared" si="10"/>
        <v>1834999.6900000002</v>
      </c>
      <c r="AE20" s="513" t="s">
        <v>344</v>
      </c>
    </row>
    <row r="21" spans="1:31" s="531" customFormat="1" x14ac:dyDescent="0.25">
      <c r="A21" s="588" t="s">
        <v>874</v>
      </c>
      <c r="B21" s="589">
        <v>0</v>
      </c>
      <c r="C21" s="589">
        <v>0</v>
      </c>
      <c r="D21" s="583">
        <f t="shared" si="4"/>
        <v>0</v>
      </c>
      <c r="E21" s="590">
        <v>0</v>
      </c>
      <c r="F21" s="590">
        <v>0</v>
      </c>
      <c r="G21" s="590"/>
      <c r="H21" s="590">
        <f t="shared" si="5"/>
        <v>0</v>
      </c>
      <c r="I21" s="589">
        <v>97</v>
      </c>
      <c r="J21" s="589">
        <v>6</v>
      </c>
      <c r="K21" s="591">
        <f t="shared" si="6"/>
        <v>103</v>
      </c>
      <c r="L21" s="592">
        <v>17369.150000000001</v>
      </c>
      <c r="M21" s="592">
        <v>3102.13</v>
      </c>
      <c r="N21" s="592">
        <v>34369.040000000001</v>
      </c>
      <c r="O21" s="593">
        <f t="shared" si="7"/>
        <v>54840.320000000007</v>
      </c>
      <c r="P21" s="594">
        <v>109</v>
      </c>
      <c r="Q21" s="589">
        <v>7</v>
      </c>
      <c r="R21" s="591">
        <f t="shared" si="8"/>
        <v>116</v>
      </c>
      <c r="S21" s="592">
        <v>271908.86</v>
      </c>
      <c r="T21" s="592">
        <v>46688.189999999995</v>
      </c>
      <c r="U21" s="592">
        <v>517528.71</v>
      </c>
      <c r="V21" s="593">
        <f t="shared" si="9"/>
        <v>836125.76</v>
      </c>
      <c r="W21" s="593">
        <v>302022.56</v>
      </c>
      <c r="X21" s="592">
        <v>75021.98000000001</v>
      </c>
      <c r="Y21" s="592">
        <v>598717.44000000006</v>
      </c>
      <c r="Z21" s="593">
        <v>975761.98</v>
      </c>
      <c r="AA21" s="703">
        <v>294722.45999999996</v>
      </c>
      <c r="AB21" s="593">
        <v>14885.99</v>
      </c>
      <c r="AC21" s="593">
        <v>234192.69999999998</v>
      </c>
      <c r="AD21" s="593">
        <f t="shared" si="10"/>
        <v>543801.14999999991</v>
      </c>
      <c r="AE21" s="513" t="s">
        <v>346</v>
      </c>
    </row>
    <row r="22" spans="1:31" s="531" customFormat="1" x14ac:dyDescent="0.25">
      <c r="A22" s="588" t="s">
        <v>875</v>
      </c>
      <c r="B22" s="589">
        <v>559</v>
      </c>
      <c r="C22" s="589">
        <v>61</v>
      </c>
      <c r="D22" s="583">
        <f t="shared" si="4"/>
        <v>620</v>
      </c>
      <c r="E22" s="590">
        <v>1665562.5970000005</v>
      </c>
      <c r="F22" s="590">
        <v>177549.48</v>
      </c>
      <c r="G22" s="590">
        <v>2902201.4590000003</v>
      </c>
      <c r="H22" s="590">
        <f t="shared" si="5"/>
        <v>4745313.5360000003</v>
      </c>
      <c r="I22" s="589">
        <v>645</v>
      </c>
      <c r="J22" s="589">
        <v>77</v>
      </c>
      <c r="K22" s="591">
        <f t="shared" si="6"/>
        <v>722</v>
      </c>
      <c r="L22" s="592">
        <v>2121378.1290000002</v>
      </c>
      <c r="M22" s="592">
        <v>251355.44200000001</v>
      </c>
      <c r="N22" s="592">
        <v>4090723.014</v>
      </c>
      <c r="O22" s="593">
        <f t="shared" si="7"/>
        <v>6463456.585</v>
      </c>
      <c r="P22" s="594">
        <v>672</v>
      </c>
      <c r="Q22" s="589">
        <v>81</v>
      </c>
      <c r="R22" s="591">
        <f t="shared" si="8"/>
        <v>753</v>
      </c>
      <c r="S22" s="592">
        <v>2179214.7400000002</v>
      </c>
      <c r="T22" s="592">
        <v>258527.79000000004</v>
      </c>
      <c r="U22" s="592">
        <v>4584722.1100000003</v>
      </c>
      <c r="V22" s="593">
        <f t="shared" si="9"/>
        <v>7022464.6400000006</v>
      </c>
      <c r="W22" s="593">
        <v>2328977.84</v>
      </c>
      <c r="X22" s="592">
        <v>427953.31</v>
      </c>
      <c r="Y22" s="592">
        <v>5113616.01</v>
      </c>
      <c r="Z22" s="593">
        <v>7870547.1600000001</v>
      </c>
      <c r="AA22" s="703">
        <v>2484624.35</v>
      </c>
      <c r="AB22" s="593">
        <v>119216.09</v>
      </c>
      <c r="AC22" s="593">
        <v>2291767.46</v>
      </c>
      <c r="AD22" s="593">
        <f t="shared" si="10"/>
        <v>4895607.9000000004</v>
      </c>
      <c r="AE22" s="513" t="s">
        <v>348</v>
      </c>
    </row>
    <row r="23" spans="1:31" s="531" customFormat="1" x14ac:dyDescent="0.25">
      <c r="A23" s="588" t="s">
        <v>876</v>
      </c>
      <c r="B23" s="589">
        <v>139</v>
      </c>
      <c r="C23" s="589">
        <v>3</v>
      </c>
      <c r="D23" s="583">
        <f t="shared" si="4"/>
        <v>142</v>
      </c>
      <c r="E23" s="590">
        <v>330715.239</v>
      </c>
      <c r="F23" s="590">
        <v>8518.2029999999995</v>
      </c>
      <c r="G23" s="590">
        <v>482166.97399999993</v>
      </c>
      <c r="H23" s="590">
        <f t="shared" si="5"/>
        <v>821400.41599999997</v>
      </c>
      <c r="I23" s="589">
        <v>151</v>
      </c>
      <c r="J23" s="589">
        <v>6</v>
      </c>
      <c r="K23" s="591">
        <f t="shared" si="6"/>
        <v>157</v>
      </c>
      <c r="L23" s="592">
        <v>341658.86099999998</v>
      </c>
      <c r="M23" s="592">
        <v>21643.163</v>
      </c>
      <c r="N23" s="592">
        <v>566785.71</v>
      </c>
      <c r="O23" s="593">
        <f t="shared" si="7"/>
        <v>930087.73399999994</v>
      </c>
      <c r="P23" s="594">
        <v>15</v>
      </c>
      <c r="Q23" s="589">
        <v>6</v>
      </c>
      <c r="R23" s="591">
        <f t="shared" si="8"/>
        <v>21</v>
      </c>
      <c r="S23" s="592">
        <v>363531.89</v>
      </c>
      <c r="T23" s="592">
        <v>24067.53</v>
      </c>
      <c r="U23" s="592">
        <v>687645.73</v>
      </c>
      <c r="V23" s="593">
        <f t="shared" si="9"/>
        <v>1075245.1499999999</v>
      </c>
      <c r="W23" s="593">
        <v>402140.93999999994</v>
      </c>
      <c r="X23" s="592">
        <v>55644.98</v>
      </c>
      <c r="Y23" s="592">
        <v>742952.5</v>
      </c>
      <c r="Z23" s="593">
        <v>1200738.42</v>
      </c>
      <c r="AA23" s="703">
        <v>428558.93000000005</v>
      </c>
      <c r="AB23" s="593">
        <v>22381.940000000002</v>
      </c>
      <c r="AC23" s="593">
        <v>334573.42000000004</v>
      </c>
      <c r="AD23" s="593">
        <f t="shared" si="10"/>
        <v>785514.29</v>
      </c>
      <c r="AE23" s="513" t="s">
        <v>350</v>
      </c>
    </row>
    <row r="24" spans="1:31" s="531" customFormat="1" x14ac:dyDescent="0.25">
      <c r="A24" s="588" t="s">
        <v>877</v>
      </c>
      <c r="B24" s="589">
        <v>0</v>
      </c>
      <c r="C24" s="589">
        <v>0</v>
      </c>
      <c r="D24" s="583">
        <f t="shared" si="4"/>
        <v>0</v>
      </c>
      <c r="E24" s="590">
        <v>0</v>
      </c>
      <c r="F24" s="590">
        <v>0</v>
      </c>
      <c r="G24" s="590"/>
      <c r="H24" s="590">
        <f t="shared" si="5"/>
        <v>0</v>
      </c>
      <c r="I24" s="589">
        <v>160</v>
      </c>
      <c r="J24" s="589">
        <v>9</v>
      </c>
      <c r="K24" s="591">
        <f t="shared" si="6"/>
        <v>169</v>
      </c>
      <c r="L24" s="592">
        <v>344559.40099999995</v>
      </c>
      <c r="M24" s="592">
        <v>21523.615999999998</v>
      </c>
      <c r="N24" s="592">
        <v>587750.46999999986</v>
      </c>
      <c r="O24" s="593">
        <f t="shared" si="7"/>
        <v>953833.48699999973</v>
      </c>
      <c r="P24" s="594">
        <v>160</v>
      </c>
      <c r="Q24" s="589">
        <v>10</v>
      </c>
      <c r="R24" s="591">
        <f t="shared" si="8"/>
        <v>170</v>
      </c>
      <c r="S24" s="592">
        <v>396315.1</v>
      </c>
      <c r="T24" s="592">
        <v>29556.579999999998</v>
      </c>
      <c r="U24" s="592">
        <v>750486.5</v>
      </c>
      <c r="V24" s="593">
        <f t="shared" si="9"/>
        <v>1176358.18</v>
      </c>
      <c r="W24" s="593">
        <v>459712.54000000004</v>
      </c>
      <c r="X24" s="592">
        <v>33947.360000000001</v>
      </c>
      <c r="Y24" s="592">
        <v>868267.80999999982</v>
      </c>
      <c r="Z24" s="593">
        <v>1361927.71</v>
      </c>
      <c r="AA24" s="703">
        <v>494523.46</v>
      </c>
      <c r="AB24" s="593">
        <v>9267.01</v>
      </c>
      <c r="AC24" s="593">
        <v>367387.4</v>
      </c>
      <c r="AD24" s="593">
        <f t="shared" si="10"/>
        <v>871177.87000000011</v>
      </c>
      <c r="AE24" s="513" t="s">
        <v>352</v>
      </c>
    </row>
    <row r="25" spans="1:31" s="531" customFormat="1" x14ac:dyDescent="0.25">
      <c r="A25" s="588" t="s">
        <v>878</v>
      </c>
      <c r="B25" s="589">
        <v>119</v>
      </c>
      <c r="C25" s="589">
        <v>1</v>
      </c>
      <c r="D25" s="583">
        <f t="shared" si="4"/>
        <v>120</v>
      </c>
      <c r="E25" s="590">
        <v>212115.19200000001</v>
      </c>
      <c r="F25" s="590">
        <v>1880.5850000000003</v>
      </c>
      <c r="G25" s="590">
        <v>296653.45</v>
      </c>
      <c r="H25" s="590">
        <f t="shared" si="5"/>
        <v>510649.22700000001</v>
      </c>
      <c r="I25" s="589">
        <v>135</v>
      </c>
      <c r="J25" s="589">
        <v>1</v>
      </c>
      <c r="K25" s="591">
        <f t="shared" si="6"/>
        <v>136</v>
      </c>
      <c r="L25" s="592">
        <v>243200.28399999996</v>
      </c>
      <c r="M25" s="592">
        <v>3877.8149999999996</v>
      </c>
      <c r="N25" s="592">
        <v>368940.54000000004</v>
      </c>
      <c r="O25" s="593">
        <f t="shared" si="7"/>
        <v>616018.63899999997</v>
      </c>
      <c r="P25" s="594">
        <v>137</v>
      </c>
      <c r="Q25" s="589">
        <v>4</v>
      </c>
      <c r="R25" s="591">
        <f t="shared" si="8"/>
        <v>141</v>
      </c>
      <c r="S25" s="592">
        <v>270457.17</v>
      </c>
      <c r="T25" s="592">
        <v>5292.37</v>
      </c>
      <c r="U25" s="592">
        <v>441378.79999999987</v>
      </c>
      <c r="V25" s="593">
        <f t="shared" si="9"/>
        <v>717128.33999999985</v>
      </c>
      <c r="W25" s="593">
        <v>242193.26</v>
      </c>
      <c r="X25" s="592">
        <v>17811.05</v>
      </c>
      <c r="Y25" s="592">
        <v>410882.65</v>
      </c>
      <c r="Z25" s="593">
        <v>670886.96000000008</v>
      </c>
      <c r="AA25" s="703">
        <v>268327.58</v>
      </c>
      <c r="AB25" s="593">
        <v>7457.87</v>
      </c>
      <c r="AC25" s="593">
        <v>222930.51999999996</v>
      </c>
      <c r="AD25" s="593">
        <f t="shared" si="10"/>
        <v>498715.97</v>
      </c>
      <c r="AE25" s="513" t="s">
        <v>354</v>
      </c>
    </row>
    <row r="26" spans="1:31" s="531" customFormat="1" x14ac:dyDescent="0.25">
      <c r="A26" s="588" t="s">
        <v>879</v>
      </c>
      <c r="B26" s="589">
        <v>118</v>
      </c>
      <c r="C26" s="589">
        <v>1</v>
      </c>
      <c r="D26" s="583">
        <f t="shared" si="4"/>
        <v>119</v>
      </c>
      <c r="E26" s="590">
        <v>142204.69</v>
      </c>
      <c r="F26" s="590">
        <v>248.91</v>
      </c>
      <c r="G26" s="590">
        <v>235497.78300000002</v>
      </c>
      <c r="H26" s="590">
        <f t="shared" si="5"/>
        <v>377951.38300000003</v>
      </c>
      <c r="I26" s="589">
        <v>122</v>
      </c>
      <c r="J26" s="589">
        <v>4</v>
      </c>
      <c r="K26" s="591">
        <f t="shared" si="6"/>
        <v>126</v>
      </c>
      <c r="L26" s="592">
        <v>459278.15599999996</v>
      </c>
      <c r="M26" s="592">
        <v>30914.169999999991</v>
      </c>
      <c r="N26" s="592">
        <v>839064.02000000014</v>
      </c>
      <c r="O26" s="593">
        <f t="shared" si="7"/>
        <v>1329256.3460000001</v>
      </c>
      <c r="P26" s="594">
        <v>127</v>
      </c>
      <c r="Q26" s="589">
        <v>7</v>
      </c>
      <c r="R26" s="591">
        <f t="shared" si="8"/>
        <v>134</v>
      </c>
      <c r="S26" s="592">
        <v>461291.40999999992</v>
      </c>
      <c r="T26" s="592">
        <v>10841.28</v>
      </c>
      <c r="U26" s="592">
        <v>812191.25</v>
      </c>
      <c r="V26" s="593">
        <f t="shared" si="9"/>
        <v>1284323.94</v>
      </c>
      <c r="W26" s="593">
        <v>469701.25999999995</v>
      </c>
      <c r="X26" s="592">
        <v>36794.89</v>
      </c>
      <c r="Y26" s="592">
        <v>875611.41999999981</v>
      </c>
      <c r="Z26" s="593">
        <v>1382107.57</v>
      </c>
      <c r="AA26" s="703">
        <v>513029.4</v>
      </c>
      <c r="AB26" s="593">
        <v>13863.779999999999</v>
      </c>
      <c r="AC26" s="593">
        <v>417092.60000000003</v>
      </c>
      <c r="AD26" s="593">
        <f t="shared" si="10"/>
        <v>943985.78</v>
      </c>
      <c r="AE26" s="513" t="s">
        <v>356</v>
      </c>
    </row>
    <row r="27" spans="1:31" s="531" customFormat="1" x14ac:dyDescent="0.25">
      <c r="A27" s="588" t="s">
        <v>880</v>
      </c>
      <c r="B27" s="589">
        <v>112</v>
      </c>
      <c r="C27" s="589">
        <v>3</v>
      </c>
      <c r="D27" s="583">
        <f t="shared" si="4"/>
        <v>115</v>
      </c>
      <c r="E27" s="590">
        <v>149612.34299999999</v>
      </c>
      <c r="F27" s="590">
        <v>3931.9810000000002</v>
      </c>
      <c r="G27" s="590">
        <v>241644.44999999998</v>
      </c>
      <c r="H27" s="590">
        <f t="shared" si="5"/>
        <v>395188.77399999998</v>
      </c>
      <c r="I27" s="589">
        <v>119</v>
      </c>
      <c r="J27" s="589">
        <v>4</v>
      </c>
      <c r="K27" s="591">
        <f t="shared" si="6"/>
        <v>123</v>
      </c>
      <c r="L27" s="592">
        <v>267918.14199999999</v>
      </c>
      <c r="M27" s="592">
        <v>8627.1649999999991</v>
      </c>
      <c r="N27" s="592">
        <v>433306.32</v>
      </c>
      <c r="O27" s="593">
        <f t="shared" si="7"/>
        <v>709851.62699999998</v>
      </c>
      <c r="P27" s="595">
        <v>122</v>
      </c>
      <c r="Q27" s="590">
        <v>5</v>
      </c>
      <c r="R27" s="591">
        <f t="shared" si="8"/>
        <v>127</v>
      </c>
      <c r="S27" s="592">
        <v>291118.54000000004</v>
      </c>
      <c r="T27" s="592">
        <v>11922.28</v>
      </c>
      <c r="U27" s="592">
        <v>512922.87999999995</v>
      </c>
      <c r="V27" s="593">
        <f t="shared" si="9"/>
        <v>815963.7</v>
      </c>
      <c r="W27" s="593">
        <v>313465.32</v>
      </c>
      <c r="X27" s="592">
        <v>38525.360000000001</v>
      </c>
      <c r="Y27" s="592">
        <v>544918.37</v>
      </c>
      <c r="Z27" s="593">
        <v>896909.04999999993</v>
      </c>
      <c r="AA27" s="703">
        <v>334522.37</v>
      </c>
      <c r="AB27" s="593">
        <v>12796.91</v>
      </c>
      <c r="AC27" s="593">
        <v>267193.68</v>
      </c>
      <c r="AD27" s="593">
        <f t="shared" si="10"/>
        <v>614512.96</v>
      </c>
      <c r="AE27" s="513" t="s">
        <v>358</v>
      </c>
    </row>
    <row r="28" spans="1:31" s="531" customFormat="1" x14ac:dyDescent="0.25">
      <c r="A28" s="588" t="s">
        <v>881</v>
      </c>
      <c r="B28" s="589">
        <v>275</v>
      </c>
      <c r="C28" s="589">
        <v>20</v>
      </c>
      <c r="D28" s="583">
        <f t="shared" si="4"/>
        <v>295</v>
      </c>
      <c r="E28" s="590">
        <v>587043.34100000001</v>
      </c>
      <c r="F28" s="590">
        <v>44168.305999999997</v>
      </c>
      <c r="G28" s="590">
        <v>894136.84699999995</v>
      </c>
      <c r="H28" s="590">
        <f t="shared" si="5"/>
        <v>1525348.4939999999</v>
      </c>
      <c r="I28" s="589">
        <v>266</v>
      </c>
      <c r="J28" s="589">
        <v>20</v>
      </c>
      <c r="K28" s="591">
        <f t="shared" si="6"/>
        <v>286</v>
      </c>
      <c r="L28" s="592">
        <v>592690.95000000007</v>
      </c>
      <c r="M28" s="592">
        <v>117028.80600000001</v>
      </c>
      <c r="N28" s="592">
        <v>1134036.69</v>
      </c>
      <c r="O28" s="593">
        <f t="shared" si="7"/>
        <v>1843756.446</v>
      </c>
      <c r="P28" s="594">
        <v>312</v>
      </c>
      <c r="Q28" s="589">
        <v>25</v>
      </c>
      <c r="R28" s="591">
        <f t="shared" si="8"/>
        <v>337</v>
      </c>
      <c r="S28" s="592">
        <v>738018.42999999993</v>
      </c>
      <c r="T28" s="592">
        <v>74600.160000000003</v>
      </c>
      <c r="U28" s="592">
        <v>1458212.0299999998</v>
      </c>
      <c r="V28" s="593">
        <f t="shared" si="9"/>
        <v>2270830.6199999996</v>
      </c>
      <c r="W28" s="593">
        <v>765182.1399999999</v>
      </c>
      <c r="X28" s="592">
        <v>103055.5</v>
      </c>
      <c r="Y28" s="592">
        <v>1553040.09</v>
      </c>
      <c r="Z28" s="593">
        <v>2421277.73</v>
      </c>
      <c r="AA28" s="703">
        <v>852365.22999999986</v>
      </c>
      <c r="AB28" s="593">
        <v>25566.6</v>
      </c>
      <c r="AC28" s="593">
        <v>788478.9099999998</v>
      </c>
      <c r="AD28" s="593">
        <f t="shared" si="10"/>
        <v>1666410.7399999998</v>
      </c>
      <c r="AE28" s="513" t="s">
        <v>360</v>
      </c>
    </row>
    <row r="29" spans="1:31" s="531" customFormat="1" x14ac:dyDescent="0.25">
      <c r="A29" s="581" t="s">
        <v>271</v>
      </c>
      <c r="B29" s="582">
        <f>SUM(B30:B45)</f>
        <v>3719</v>
      </c>
      <c r="C29" s="582">
        <f>SUM(C30:C45)</f>
        <v>326</v>
      </c>
      <c r="D29" s="583">
        <f>SUM(B29:C29)</f>
        <v>4045</v>
      </c>
      <c r="E29" s="582">
        <f>SUM(E30:E45)</f>
        <v>10495184.343000004</v>
      </c>
      <c r="F29" s="582">
        <f>SUM(F30:F45)</f>
        <v>1093644.0179999999</v>
      </c>
      <c r="G29" s="582">
        <f>SUM(G30:G45)</f>
        <v>17991631.41</v>
      </c>
      <c r="H29" s="582">
        <f>SUM(E29:G29)</f>
        <v>29580459.771000005</v>
      </c>
      <c r="I29" s="582">
        <f>SUM(I30:I45)</f>
        <v>3961</v>
      </c>
      <c r="J29" s="582">
        <f>SUM(J30:J45)</f>
        <v>368</v>
      </c>
      <c r="K29" s="583">
        <f>SUM(I29:J29)</f>
        <v>4329</v>
      </c>
      <c r="L29" s="584">
        <f>SUM(L30:L45)</f>
        <v>14721997.520999994</v>
      </c>
      <c r="M29" s="584">
        <f>SUM(M30:M45)</f>
        <v>1666837.4909999999</v>
      </c>
      <c r="N29" s="584">
        <f>SUM(N30:N45)</f>
        <v>27238937.809999995</v>
      </c>
      <c r="O29" s="585">
        <f>SUM(L29:N29)</f>
        <v>43627772.821999989</v>
      </c>
      <c r="P29" s="586">
        <f>SUM(P30:P45)</f>
        <v>4063</v>
      </c>
      <c r="Q29" s="582">
        <f>SUM(Q30:Q45)</f>
        <v>529</v>
      </c>
      <c r="R29" s="583">
        <f>SUM(P29:Q29)</f>
        <v>4592</v>
      </c>
      <c r="S29" s="584">
        <f t="shared" ref="S29:AD29" si="11">SUM(S30:S45)</f>
        <v>15238068.820000002</v>
      </c>
      <c r="T29" s="584">
        <f t="shared" si="11"/>
        <v>1820891.5799999998</v>
      </c>
      <c r="U29" s="584">
        <f t="shared" si="11"/>
        <v>30123139.07</v>
      </c>
      <c r="V29" s="584">
        <f t="shared" si="11"/>
        <v>47182099.469999991</v>
      </c>
      <c r="W29" s="585">
        <f t="shared" si="11"/>
        <v>16551793.909999998</v>
      </c>
      <c r="X29" s="585">
        <f t="shared" si="11"/>
        <v>4162171.5999999992</v>
      </c>
      <c r="Y29" s="585">
        <f t="shared" si="11"/>
        <v>33317810.91</v>
      </c>
      <c r="Z29" s="585">
        <f t="shared" si="11"/>
        <v>54031776.420000002</v>
      </c>
      <c r="AA29" s="587">
        <f t="shared" si="11"/>
        <v>17465423.800000008</v>
      </c>
      <c r="AB29" s="585">
        <f t="shared" si="11"/>
        <v>906553.72</v>
      </c>
      <c r="AC29" s="585">
        <f t="shared" si="11"/>
        <v>15073670.869999997</v>
      </c>
      <c r="AD29" s="585">
        <f t="shared" si="11"/>
        <v>33445648.390000012</v>
      </c>
      <c r="AE29" s="512" t="s">
        <v>272</v>
      </c>
    </row>
    <row r="30" spans="1:31" s="531" customFormat="1" x14ac:dyDescent="0.25">
      <c r="A30" s="588" t="s">
        <v>882</v>
      </c>
      <c r="B30" s="589">
        <v>345</v>
      </c>
      <c r="C30" s="589">
        <v>26</v>
      </c>
      <c r="D30" s="583">
        <f t="shared" si="4"/>
        <v>371</v>
      </c>
      <c r="E30" s="590">
        <v>926350.86300000036</v>
      </c>
      <c r="F30" s="590">
        <v>93700.401999999987</v>
      </c>
      <c r="G30" s="590">
        <v>1732703.392</v>
      </c>
      <c r="H30" s="590">
        <f>SUM(E30:G30)</f>
        <v>2752754.6570000006</v>
      </c>
      <c r="I30" s="589">
        <v>397</v>
      </c>
      <c r="J30" s="589">
        <v>31</v>
      </c>
      <c r="K30" s="591">
        <f t="shared" si="6"/>
        <v>428</v>
      </c>
      <c r="L30" s="592">
        <v>1201573.247</v>
      </c>
      <c r="M30" s="592">
        <v>157124.33499999999</v>
      </c>
      <c r="N30" s="592">
        <v>2428802.6800000002</v>
      </c>
      <c r="O30" s="593">
        <f>SUM(L30:N30)</f>
        <v>3787500.2620000001</v>
      </c>
      <c r="P30" s="595">
        <v>414</v>
      </c>
      <c r="Q30" s="590">
        <v>35</v>
      </c>
      <c r="R30" s="596">
        <f t="shared" ref="R30:R45" si="12">SUM(P30:Q30)</f>
        <v>449</v>
      </c>
      <c r="S30" s="592">
        <v>1243714.5299999998</v>
      </c>
      <c r="T30" s="592">
        <v>147686.63999999998</v>
      </c>
      <c r="U30" s="592">
        <v>2712122.67</v>
      </c>
      <c r="V30" s="593">
        <f>SUM(S30:U30)</f>
        <v>4103523.84</v>
      </c>
      <c r="W30" s="593">
        <v>1433209.25</v>
      </c>
      <c r="X30" s="592">
        <v>263379.04000000004</v>
      </c>
      <c r="Y30" s="592">
        <v>3104217.2199999997</v>
      </c>
      <c r="Z30" s="593">
        <v>4800805.51</v>
      </c>
      <c r="AA30" s="703">
        <v>1572362.95</v>
      </c>
      <c r="AB30" s="593">
        <v>75282.98000000001</v>
      </c>
      <c r="AC30" s="593">
        <v>1259362.9100000001</v>
      </c>
      <c r="AD30" s="593">
        <f>SUM(AA30:AC30)</f>
        <v>2907008.84</v>
      </c>
      <c r="AE30" s="513" t="s">
        <v>362</v>
      </c>
    </row>
    <row r="31" spans="1:31" s="531" customFormat="1" x14ac:dyDescent="0.25">
      <c r="A31" s="588" t="s">
        <v>883</v>
      </c>
      <c r="B31" s="589">
        <v>90</v>
      </c>
      <c r="C31" s="589">
        <v>4</v>
      </c>
      <c r="D31" s="583">
        <f t="shared" si="4"/>
        <v>94</v>
      </c>
      <c r="E31" s="590">
        <v>182730.56400000001</v>
      </c>
      <c r="F31" s="590">
        <v>7002.6379999999999</v>
      </c>
      <c r="G31" s="590">
        <v>267629.66899999999</v>
      </c>
      <c r="H31" s="590">
        <f t="shared" ref="H31:H45" si="13">SUM(E31:G31)</f>
        <v>457362.87100000004</v>
      </c>
      <c r="I31" s="589">
        <v>0</v>
      </c>
      <c r="J31" s="589">
        <v>0</v>
      </c>
      <c r="K31" s="591">
        <f t="shared" si="6"/>
        <v>0</v>
      </c>
      <c r="L31" s="592">
        <v>210096.74300000002</v>
      </c>
      <c r="M31" s="592">
        <v>12161.606999999998</v>
      </c>
      <c r="N31" s="592">
        <v>367782.47</v>
      </c>
      <c r="O31" s="593">
        <f t="shared" ref="O31:O45" si="14">SUM(L31:N31)</f>
        <v>590040.81999999995</v>
      </c>
      <c r="P31" s="595">
        <v>97</v>
      </c>
      <c r="Q31" s="590">
        <v>3</v>
      </c>
      <c r="R31" s="596">
        <f t="shared" si="12"/>
        <v>100</v>
      </c>
      <c r="S31" s="592">
        <v>255610.21999999997</v>
      </c>
      <c r="T31" s="592">
        <v>10521.81</v>
      </c>
      <c r="U31" s="592">
        <v>491690.5</v>
      </c>
      <c r="V31" s="593">
        <f t="shared" ref="V31:V45" si="15">SUM(S31:U31)</f>
        <v>757822.53</v>
      </c>
      <c r="W31" s="593">
        <v>288420.21000000002</v>
      </c>
      <c r="X31" s="592">
        <v>26926.66</v>
      </c>
      <c r="Y31" s="592">
        <v>534896.09000000008</v>
      </c>
      <c r="Z31" s="593">
        <v>850242.96</v>
      </c>
      <c r="AA31" s="703">
        <v>303015.78999999998</v>
      </c>
      <c r="AB31" s="593">
        <v>10892.67</v>
      </c>
      <c r="AC31" s="593">
        <v>226858.61000000002</v>
      </c>
      <c r="AD31" s="593">
        <f t="shared" ref="AD31:AD45" si="16">SUM(AA31:AC31)</f>
        <v>540767.06999999995</v>
      </c>
      <c r="AE31" s="513" t="s">
        <v>364</v>
      </c>
    </row>
    <row r="32" spans="1:31" s="531" customFormat="1" x14ac:dyDescent="0.25">
      <c r="A32" s="588" t="s">
        <v>884</v>
      </c>
      <c r="B32" s="589">
        <v>123</v>
      </c>
      <c r="C32" s="589">
        <v>5</v>
      </c>
      <c r="D32" s="583">
        <f t="shared" si="4"/>
        <v>128</v>
      </c>
      <c r="E32" s="590">
        <v>230403.33100000003</v>
      </c>
      <c r="F32" s="590">
        <v>10135.481</v>
      </c>
      <c r="G32" s="590">
        <v>371225.33599999995</v>
      </c>
      <c r="H32" s="590">
        <f t="shared" si="13"/>
        <v>611764.14800000004</v>
      </c>
      <c r="I32" s="589">
        <v>128</v>
      </c>
      <c r="J32" s="589">
        <v>5</v>
      </c>
      <c r="K32" s="591">
        <f t="shared" si="6"/>
        <v>133</v>
      </c>
      <c r="L32" s="592">
        <v>321015.853</v>
      </c>
      <c r="M32" s="592">
        <v>15135.052000000001</v>
      </c>
      <c r="N32" s="592">
        <v>530517.83000000007</v>
      </c>
      <c r="O32" s="593">
        <f t="shared" si="14"/>
        <v>866668.7350000001</v>
      </c>
      <c r="P32" s="595">
        <v>127</v>
      </c>
      <c r="Q32" s="590">
        <v>6</v>
      </c>
      <c r="R32" s="596">
        <f t="shared" si="12"/>
        <v>133</v>
      </c>
      <c r="S32" s="592">
        <v>320524.46999999997</v>
      </c>
      <c r="T32" s="592">
        <v>19291.730000000003</v>
      </c>
      <c r="U32" s="592">
        <v>600655.15</v>
      </c>
      <c r="V32" s="593">
        <f t="shared" si="15"/>
        <v>940471.35</v>
      </c>
      <c r="W32" s="593">
        <v>326015.32</v>
      </c>
      <c r="X32" s="592">
        <v>55727.96</v>
      </c>
      <c r="Y32" s="592">
        <v>611862.89999999991</v>
      </c>
      <c r="Z32" s="593">
        <v>993606.18</v>
      </c>
      <c r="AA32" s="703">
        <v>327636.67</v>
      </c>
      <c r="AB32" s="593">
        <v>14526.49</v>
      </c>
      <c r="AC32" s="593">
        <v>280619.64</v>
      </c>
      <c r="AD32" s="593">
        <f t="shared" si="16"/>
        <v>622782.80000000005</v>
      </c>
      <c r="AE32" s="513" t="s">
        <v>366</v>
      </c>
    </row>
    <row r="33" spans="1:31" s="531" customFormat="1" x14ac:dyDescent="0.25">
      <c r="A33" s="588" t="s">
        <v>885</v>
      </c>
      <c r="B33" s="589">
        <v>77</v>
      </c>
      <c r="C33" s="589">
        <v>3</v>
      </c>
      <c r="D33" s="583">
        <f t="shared" si="4"/>
        <v>80</v>
      </c>
      <c r="E33" s="590">
        <v>124863.53600000001</v>
      </c>
      <c r="F33" s="590">
        <v>6400.5439999999999</v>
      </c>
      <c r="G33" s="590">
        <v>199331.61900000004</v>
      </c>
      <c r="H33" s="590">
        <f t="shared" si="13"/>
        <v>330595.69900000002</v>
      </c>
      <c r="I33" s="589">
        <v>83</v>
      </c>
      <c r="J33" s="589">
        <v>3</v>
      </c>
      <c r="K33" s="591">
        <f t="shared" si="6"/>
        <v>86</v>
      </c>
      <c r="L33" s="592">
        <v>163497.06</v>
      </c>
      <c r="M33" s="592">
        <v>9056.2800000000007</v>
      </c>
      <c r="N33" s="592">
        <v>285226.74</v>
      </c>
      <c r="O33" s="593">
        <f t="shared" si="14"/>
        <v>457780.07999999996</v>
      </c>
      <c r="P33" s="595">
        <v>90</v>
      </c>
      <c r="Q33" s="590">
        <v>3</v>
      </c>
      <c r="R33" s="596">
        <f t="shared" si="12"/>
        <v>93</v>
      </c>
      <c r="S33" s="592">
        <v>170141.71</v>
      </c>
      <c r="T33" s="592">
        <v>7568.6</v>
      </c>
      <c r="U33" s="592">
        <v>305505.48</v>
      </c>
      <c r="V33" s="593">
        <f t="shared" si="15"/>
        <v>483215.79</v>
      </c>
      <c r="W33" s="593">
        <v>192764.97999999998</v>
      </c>
      <c r="X33" s="592">
        <v>16596.46</v>
      </c>
      <c r="Y33" s="592">
        <v>336737.3</v>
      </c>
      <c r="Z33" s="593">
        <v>546098.74</v>
      </c>
      <c r="AA33" s="703">
        <v>202641.78999999998</v>
      </c>
      <c r="AB33" s="593">
        <v>6919.6399999999994</v>
      </c>
      <c r="AC33" s="593">
        <v>181068.29</v>
      </c>
      <c r="AD33" s="593">
        <f t="shared" si="16"/>
        <v>390629.72</v>
      </c>
      <c r="AE33" s="513" t="s">
        <v>368</v>
      </c>
    </row>
    <row r="34" spans="1:31" s="531" customFormat="1" x14ac:dyDescent="0.25">
      <c r="A34" s="588" t="s">
        <v>886</v>
      </c>
      <c r="B34" s="589">
        <v>255</v>
      </c>
      <c r="C34" s="589">
        <v>11</v>
      </c>
      <c r="D34" s="583">
        <f t="shared" si="4"/>
        <v>266</v>
      </c>
      <c r="E34" s="590">
        <v>367172.66300000023</v>
      </c>
      <c r="F34" s="590">
        <v>11759.975</v>
      </c>
      <c r="G34" s="590">
        <v>621092.353</v>
      </c>
      <c r="H34" s="590">
        <f t="shared" si="13"/>
        <v>1000024.9910000002</v>
      </c>
      <c r="I34" s="589">
        <v>269</v>
      </c>
      <c r="J34" s="589">
        <v>15</v>
      </c>
      <c r="K34" s="591">
        <f t="shared" si="6"/>
        <v>284</v>
      </c>
      <c r="L34" s="592">
        <v>821591.03700000013</v>
      </c>
      <c r="M34" s="592">
        <v>38509.264000000003</v>
      </c>
      <c r="N34" s="592">
        <v>1238119.7700000003</v>
      </c>
      <c r="O34" s="593">
        <f t="shared" si="14"/>
        <v>2098220.0710000005</v>
      </c>
      <c r="P34" s="595">
        <v>275</v>
      </c>
      <c r="Q34" s="590">
        <v>18</v>
      </c>
      <c r="R34" s="596">
        <f t="shared" si="12"/>
        <v>293</v>
      </c>
      <c r="S34" s="592">
        <v>800777.15000000014</v>
      </c>
      <c r="T34" s="592">
        <v>45507.519999999997</v>
      </c>
      <c r="U34" s="592">
        <v>1550004.5</v>
      </c>
      <c r="V34" s="593">
        <f t="shared" si="15"/>
        <v>2396289.17</v>
      </c>
      <c r="W34" s="593">
        <v>871202.2</v>
      </c>
      <c r="X34" s="592">
        <v>75964.820000000007</v>
      </c>
      <c r="Y34" s="592">
        <v>1683275.57</v>
      </c>
      <c r="Z34" s="593">
        <v>2630442.5900000003</v>
      </c>
      <c r="AA34" s="703">
        <v>913708.14000000013</v>
      </c>
      <c r="AB34" s="593">
        <v>34707.730000000003</v>
      </c>
      <c r="AC34" s="593">
        <v>806479.51</v>
      </c>
      <c r="AD34" s="593">
        <f t="shared" si="16"/>
        <v>1754895.3800000001</v>
      </c>
      <c r="AE34" s="513" t="s">
        <v>370</v>
      </c>
    </row>
    <row r="35" spans="1:31" s="531" customFormat="1" x14ac:dyDescent="0.25">
      <c r="A35" s="588" t="s">
        <v>887</v>
      </c>
      <c r="B35" s="589">
        <v>172</v>
      </c>
      <c r="C35" s="589">
        <v>4</v>
      </c>
      <c r="D35" s="583">
        <f t="shared" si="4"/>
        <v>176</v>
      </c>
      <c r="E35" s="590">
        <v>465232.31200000003</v>
      </c>
      <c r="F35" s="590">
        <v>9281.9319999999989</v>
      </c>
      <c r="G35" s="590">
        <v>710129.91700000002</v>
      </c>
      <c r="H35" s="590">
        <f t="shared" si="13"/>
        <v>1184644.1610000001</v>
      </c>
      <c r="I35" s="589">
        <v>191</v>
      </c>
      <c r="J35" s="589">
        <v>7</v>
      </c>
      <c r="K35" s="591">
        <f t="shared" si="6"/>
        <v>198</v>
      </c>
      <c r="L35" s="592">
        <v>567176.48400000005</v>
      </c>
      <c r="M35" s="592">
        <v>15267.369999999999</v>
      </c>
      <c r="N35" s="592">
        <v>942061.2</v>
      </c>
      <c r="O35" s="593">
        <f t="shared" si="14"/>
        <v>1524505.054</v>
      </c>
      <c r="P35" s="595">
        <v>201</v>
      </c>
      <c r="Q35" s="590">
        <v>8</v>
      </c>
      <c r="R35" s="596">
        <f t="shared" si="12"/>
        <v>209</v>
      </c>
      <c r="S35" s="582">
        <v>595406.02</v>
      </c>
      <c r="T35" s="592">
        <v>15471.410000000002</v>
      </c>
      <c r="U35" s="592">
        <v>1054660.3199999998</v>
      </c>
      <c r="V35" s="593">
        <f t="shared" si="15"/>
        <v>1665537.75</v>
      </c>
      <c r="W35" s="593">
        <v>655173.51000000013</v>
      </c>
      <c r="X35" s="592">
        <v>38852.51</v>
      </c>
      <c r="Y35" s="592">
        <v>1173703.95</v>
      </c>
      <c r="Z35" s="593">
        <v>1867729.97</v>
      </c>
      <c r="AA35" s="704">
        <v>719077.96000000008</v>
      </c>
      <c r="AB35" s="593">
        <v>15589.42</v>
      </c>
      <c r="AC35" s="593">
        <v>645958.94000000006</v>
      </c>
      <c r="AD35" s="593">
        <f t="shared" si="16"/>
        <v>1380626.3200000003</v>
      </c>
      <c r="AE35" s="513" t="s">
        <v>372</v>
      </c>
    </row>
    <row r="36" spans="1:31" s="531" customFormat="1" x14ac:dyDescent="0.25">
      <c r="A36" s="597" t="s">
        <v>888</v>
      </c>
      <c r="B36" s="589">
        <v>347</v>
      </c>
      <c r="C36" s="589">
        <v>10</v>
      </c>
      <c r="D36" s="583">
        <f t="shared" si="4"/>
        <v>357</v>
      </c>
      <c r="E36" s="590">
        <v>815920.23700000008</v>
      </c>
      <c r="F36" s="590">
        <v>23215.371000000003</v>
      </c>
      <c r="G36" s="590">
        <v>1179101.1270000001</v>
      </c>
      <c r="H36" s="590">
        <f t="shared" si="13"/>
        <v>2018236.7350000003</v>
      </c>
      <c r="I36" s="589">
        <v>381</v>
      </c>
      <c r="J36" s="589">
        <v>11</v>
      </c>
      <c r="K36" s="591">
        <f t="shared" si="6"/>
        <v>392</v>
      </c>
      <c r="L36" s="592">
        <v>930455.5480000003</v>
      </c>
      <c r="M36" s="592">
        <v>31698.425999999999</v>
      </c>
      <c r="N36" s="592">
        <v>1536744.49</v>
      </c>
      <c r="O36" s="593">
        <f t="shared" si="14"/>
        <v>2498898.4640000002</v>
      </c>
      <c r="P36" s="595">
        <v>376</v>
      </c>
      <c r="Q36" s="590">
        <v>24</v>
      </c>
      <c r="R36" s="596">
        <f t="shared" si="12"/>
        <v>400</v>
      </c>
      <c r="S36" s="592">
        <v>980431.3</v>
      </c>
      <c r="T36" s="592">
        <v>45182.759999999995</v>
      </c>
      <c r="U36" s="592">
        <v>1798711.86</v>
      </c>
      <c r="V36" s="593">
        <f t="shared" si="15"/>
        <v>2824325.92</v>
      </c>
      <c r="W36" s="593">
        <v>1098839.77</v>
      </c>
      <c r="X36" s="592">
        <v>125998.25</v>
      </c>
      <c r="Y36" s="592">
        <v>2091615.99</v>
      </c>
      <c r="Z36" s="593">
        <v>3316454.0100000002</v>
      </c>
      <c r="AA36" s="703">
        <v>1234152.9200000002</v>
      </c>
      <c r="AB36" s="593">
        <v>50425.919999999998</v>
      </c>
      <c r="AC36" s="593">
        <v>1185440.9000000001</v>
      </c>
      <c r="AD36" s="593">
        <f t="shared" si="16"/>
        <v>2470019.7400000002</v>
      </c>
      <c r="AE36" s="513" t="s">
        <v>374</v>
      </c>
    </row>
    <row r="37" spans="1:31" s="531" customFormat="1" x14ac:dyDescent="0.25">
      <c r="A37" s="588" t="s">
        <v>889</v>
      </c>
      <c r="B37" s="589">
        <v>0</v>
      </c>
      <c r="C37" s="589">
        <v>0</v>
      </c>
      <c r="D37" s="583">
        <f t="shared" si="4"/>
        <v>0</v>
      </c>
      <c r="E37" s="590">
        <v>0</v>
      </c>
      <c r="F37" s="590">
        <v>0</v>
      </c>
      <c r="G37" s="590">
        <v>0</v>
      </c>
      <c r="H37" s="590">
        <f t="shared" si="13"/>
        <v>0</v>
      </c>
      <c r="I37" s="589">
        <v>99</v>
      </c>
      <c r="J37" s="589">
        <v>0</v>
      </c>
      <c r="K37" s="591">
        <f t="shared" si="6"/>
        <v>99</v>
      </c>
      <c r="L37" s="592">
        <v>329440.78799999994</v>
      </c>
      <c r="M37" s="592">
        <v>0</v>
      </c>
      <c r="N37" s="592">
        <v>553621.61</v>
      </c>
      <c r="O37" s="593">
        <f t="shared" si="14"/>
        <v>883062.39799999993</v>
      </c>
      <c r="P37" s="595">
        <v>104</v>
      </c>
      <c r="Q37" s="590">
        <v>0</v>
      </c>
      <c r="R37" s="596">
        <f t="shared" si="12"/>
        <v>104</v>
      </c>
      <c r="S37" s="592">
        <v>344121.79000000004</v>
      </c>
      <c r="T37" s="592">
        <v>0</v>
      </c>
      <c r="U37" s="592">
        <v>625627.15999999992</v>
      </c>
      <c r="V37" s="593">
        <f t="shared" si="15"/>
        <v>969748.95</v>
      </c>
      <c r="W37" s="593">
        <v>353755.72000000003</v>
      </c>
      <c r="X37" s="592">
        <v>8663.43</v>
      </c>
      <c r="Y37" s="592">
        <v>624865.19999999995</v>
      </c>
      <c r="Z37" s="593">
        <v>987284.35</v>
      </c>
      <c r="AA37" s="703">
        <v>376374.12000000005</v>
      </c>
      <c r="AB37" s="593">
        <v>7766.1</v>
      </c>
      <c r="AC37" s="593">
        <v>316314.66000000003</v>
      </c>
      <c r="AD37" s="593">
        <f t="shared" si="16"/>
        <v>700454.88000000012</v>
      </c>
      <c r="AE37" s="513" t="s">
        <v>376</v>
      </c>
    </row>
    <row r="38" spans="1:31" s="531" customFormat="1" x14ac:dyDescent="0.25">
      <c r="A38" s="588" t="s">
        <v>890</v>
      </c>
      <c r="B38" s="589">
        <v>0</v>
      </c>
      <c r="C38" s="589">
        <v>0</v>
      </c>
      <c r="D38" s="583">
        <f t="shared" si="4"/>
        <v>0</v>
      </c>
      <c r="E38" s="590">
        <v>0</v>
      </c>
      <c r="F38" s="590">
        <v>0</v>
      </c>
      <c r="G38" s="590">
        <v>0</v>
      </c>
      <c r="H38" s="590">
        <f t="shared" si="13"/>
        <v>0</v>
      </c>
      <c r="I38" s="589">
        <v>0</v>
      </c>
      <c r="J38" s="589">
        <v>0</v>
      </c>
      <c r="K38" s="591">
        <f t="shared" si="6"/>
        <v>0</v>
      </c>
      <c r="L38" s="592">
        <v>0</v>
      </c>
      <c r="M38" s="592">
        <v>0</v>
      </c>
      <c r="N38" s="592">
        <v>0</v>
      </c>
      <c r="O38" s="593">
        <f t="shared" si="14"/>
        <v>0</v>
      </c>
      <c r="P38" s="595">
        <v>0</v>
      </c>
      <c r="Q38" s="590">
        <v>0</v>
      </c>
      <c r="R38" s="596">
        <f t="shared" si="12"/>
        <v>0</v>
      </c>
      <c r="S38" s="592">
        <v>0</v>
      </c>
      <c r="T38" s="592">
        <v>0</v>
      </c>
      <c r="U38" s="592">
        <v>0</v>
      </c>
      <c r="V38" s="593">
        <f t="shared" si="15"/>
        <v>0</v>
      </c>
      <c r="W38" s="593">
        <v>0</v>
      </c>
      <c r="X38" s="592">
        <v>0</v>
      </c>
      <c r="Y38" s="592">
        <v>0</v>
      </c>
      <c r="Z38" s="593">
        <v>0</v>
      </c>
      <c r="AA38" s="703">
        <v>0</v>
      </c>
      <c r="AB38" s="593">
        <v>0</v>
      </c>
      <c r="AC38" s="593">
        <v>0</v>
      </c>
      <c r="AD38" s="593">
        <f t="shared" si="16"/>
        <v>0</v>
      </c>
      <c r="AE38" s="513" t="s">
        <v>378</v>
      </c>
    </row>
    <row r="39" spans="1:31" s="531" customFormat="1" x14ac:dyDescent="0.25">
      <c r="A39" s="588" t="s">
        <v>891</v>
      </c>
      <c r="B39" s="589">
        <v>1343</v>
      </c>
      <c r="C39" s="589">
        <v>192</v>
      </c>
      <c r="D39" s="583">
        <f t="shared" si="4"/>
        <v>1535</v>
      </c>
      <c r="E39" s="590">
        <v>5959800.3600000022</v>
      </c>
      <c r="F39" s="590">
        <v>803834.02399999986</v>
      </c>
      <c r="G39" s="590">
        <v>10491005.399999999</v>
      </c>
      <c r="H39" s="590">
        <f t="shared" si="13"/>
        <v>17254639.784000002</v>
      </c>
      <c r="I39" s="589">
        <v>1398</v>
      </c>
      <c r="J39" s="589">
        <v>215</v>
      </c>
      <c r="K39" s="591">
        <f t="shared" si="6"/>
        <v>1613</v>
      </c>
      <c r="L39" s="592">
        <v>7510381.8459999952</v>
      </c>
      <c r="M39" s="592">
        <v>1168975.93</v>
      </c>
      <c r="N39" s="592">
        <v>14617217.699999997</v>
      </c>
      <c r="O39" s="593">
        <f t="shared" si="14"/>
        <v>23296575.475999992</v>
      </c>
      <c r="P39" s="595">
        <v>1472</v>
      </c>
      <c r="Q39" s="590">
        <v>233</v>
      </c>
      <c r="R39" s="596">
        <f t="shared" si="12"/>
        <v>1705</v>
      </c>
      <c r="S39" s="592">
        <v>7765019.870000001</v>
      </c>
      <c r="T39" s="592">
        <v>1246788.3199999998</v>
      </c>
      <c r="U39" s="592">
        <v>15816814.229999999</v>
      </c>
      <c r="V39" s="593">
        <f t="shared" si="15"/>
        <v>24828622.420000002</v>
      </c>
      <c r="W39" s="593">
        <v>8475944.8699999992</v>
      </c>
      <c r="X39" s="592">
        <v>2184050.88</v>
      </c>
      <c r="Y39" s="592">
        <v>17530865.73</v>
      </c>
      <c r="Z39" s="593">
        <v>28190861.480000004</v>
      </c>
      <c r="AA39" s="703">
        <v>8893951.7500000112</v>
      </c>
      <c r="AB39" s="593">
        <v>580188.52</v>
      </c>
      <c r="AC39" s="593">
        <v>7124212.7899999982</v>
      </c>
      <c r="AD39" s="593">
        <f t="shared" si="16"/>
        <v>16598353.06000001</v>
      </c>
      <c r="AE39" s="513" t="s">
        <v>380</v>
      </c>
    </row>
    <row r="40" spans="1:31" s="531" customFormat="1" x14ac:dyDescent="0.25">
      <c r="A40" s="588" t="s">
        <v>892</v>
      </c>
      <c r="B40" s="589">
        <v>207</v>
      </c>
      <c r="C40" s="589">
        <v>17</v>
      </c>
      <c r="D40" s="583">
        <f t="shared" si="4"/>
        <v>224</v>
      </c>
      <c r="E40" s="590">
        <v>199859.47</v>
      </c>
      <c r="F40" s="590">
        <v>9374.625</v>
      </c>
      <c r="G40" s="590">
        <v>313983.83999999997</v>
      </c>
      <c r="H40" s="590">
        <f t="shared" si="13"/>
        <v>523217.93499999994</v>
      </c>
      <c r="I40" s="589">
        <v>212</v>
      </c>
      <c r="J40" s="589">
        <v>17</v>
      </c>
      <c r="K40" s="591">
        <f t="shared" si="6"/>
        <v>229</v>
      </c>
      <c r="L40" s="592">
        <v>534116.01</v>
      </c>
      <c r="M40" s="592">
        <v>24485.109999999997</v>
      </c>
      <c r="N40" s="592">
        <v>942834.75</v>
      </c>
      <c r="O40" s="593">
        <f t="shared" si="14"/>
        <v>1501435.87</v>
      </c>
      <c r="P40" s="595">
        <v>216</v>
      </c>
      <c r="Q40" s="590">
        <v>20</v>
      </c>
      <c r="R40" s="596">
        <f t="shared" si="12"/>
        <v>236</v>
      </c>
      <c r="S40" s="592">
        <v>545641.62999999989</v>
      </c>
      <c r="T40" s="592">
        <v>32161.429999999997</v>
      </c>
      <c r="U40" s="592">
        <v>1095732.8</v>
      </c>
      <c r="V40" s="593">
        <f t="shared" si="15"/>
        <v>1673535.8599999999</v>
      </c>
      <c r="W40" s="593">
        <v>625899.58000000007</v>
      </c>
      <c r="X40" s="592">
        <v>63190.96</v>
      </c>
      <c r="Y40" s="592">
        <v>1462970.57</v>
      </c>
      <c r="Z40" s="593">
        <v>2152061.11</v>
      </c>
      <c r="AA40" s="703">
        <v>664128.12</v>
      </c>
      <c r="AB40" s="593">
        <v>21556.260000000002</v>
      </c>
      <c r="AC40" s="593">
        <v>1069877.81</v>
      </c>
      <c r="AD40" s="593">
        <f t="shared" si="16"/>
        <v>1755562.19</v>
      </c>
      <c r="AE40" s="513" t="s">
        <v>382</v>
      </c>
    </row>
    <row r="41" spans="1:31" s="531" customFormat="1" x14ac:dyDescent="0.25">
      <c r="A41" s="588" t="s">
        <v>893</v>
      </c>
      <c r="B41" s="589">
        <v>211</v>
      </c>
      <c r="C41" s="589">
        <v>16</v>
      </c>
      <c r="D41" s="583">
        <f t="shared" si="4"/>
        <v>227</v>
      </c>
      <c r="E41" s="590">
        <v>376731.94000000006</v>
      </c>
      <c r="F41" s="590">
        <v>36804.275000000001</v>
      </c>
      <c r="G41" s="590">
        <v>637894.49400000006</v>
      </c>
      <c r="H41" s="590">
        <f t="shared" si="13"/>
        <v>1051430.7090000003</v>
      </c>
      <c r="I41" s="589">
        <v>219</v>
      </c>
      <c r="J41" s="589">
        <v>23</v>
      </c>
      <c r="K41" s="591">
        <f t="shared" si="6"/>
        <v>242</v>
      </c>
      <c r="L41" s="592">
        <v>537479</v>
      </c>
      <c r="M41" s="592">
        <v>58174.71</v>
      </c>
      <c r="N41" s="592">
        <v>954454.61</v>
      </c>
      <c r="O41" s="593">
        <f t="shared" si="14"/>
        <v>1550108.3199999998</v>
      </c>
      <c r="P41" s="595">
        <v>187</v>
      </c>
      <c r="Q41" s="590">
        <v>22</v>
      </c>
      <c r="R41" s="596">
        <f t="shared" si="12"/>
        <v>209</v>
      </c>
      <c r="S41" s="592">
        <v>534186.30000000005</v>
      </c>
      <c r="T41" s="592">
        <v>55627.220000000008</v>
      </c>
      <c r="U41" s="592">
        <v>951832.35000000009</v>
      </c>
      <c r="V41" s="593">
        <f t="shared" si="15"/>
        <v>1541645.87</v>
      </c>
      <c r="W41" s="593">
        <v>579081.65</v>
      </c>
      <c r="X41" s="592">
        <v>1023008.3899999998</v>
      </c>
      <c r="Y41" s="592">
        <v>1026886.64</v>
      </c>
      <c r="Z41" s="593">
        <v>2628976.6800000002</v>
      </c>
      <c r="AA41" s="703">
        <v>570563.8600000001</v>
      </c>
      <c r="AB41" s="593">
        <v>23373.200000000001</v>
      </c>
      <c r="AC41" s="593">
        <v>457956.17</v>
      </c>
      <c r="AD41" s="593">
        <f t="shared" si="16"/>
        <v>1051893.23</v>
      </c>
      <c r="AE41" s="513" t="s">
        <v>384</v>
      </c>
    </row>
    <row r="42" spans="1:31" s="531" customFormat="1" x14ac:dyDescent="0.25">
      <c r="A42" s="588" t="s">
        <v>894</v>
      </c>
      <c r="B42" s="589">
        <v>292</v>
      </c>
      <c r="C42" s="589">
        <v>8</v>
      </c>
      <c r="D42" s="583">
        <f t="shared" si="4"/>
        <v>300</v>
      </c>
      <c r="E42" s="590">
        <v>111959.01000000001</v>
      </c>
      <c r="F42" s="590">
        <v>2139.6870000000004</v>
      </c>
      <c r="G42" s="590">
        <v>187751.03900000028</v>
      </c>
      <c r="H42" s="590">
        <f t="shared" si="13"/>
        <v>301849.73600000027</v>
      </c>
      <c r="I42" s="589">
        <v>322</v>
      </c>
      <c r="J42" s="589">
        <v>12</v>
      </c>
      <c r="K42" s="591">
        <f t="shared" si="6"/>
        <v>334</v>
      </c>
      <c r="L42" s="592">
        <v>619151.70699999994</v>
      </c>
      <c r="M42" s="592">
        <v>16669.949999999997</v>
      </c>
      <c r="N42" s="592">
        <v>1068054.6499999999</v>
      </c>
      <c r="O42" s="593">
        <f t="shared" si="14"/>
        <v>1703876.3069999998</v>
      </c>
      <c r="P42" s="595">
        <v>245</v>
      </c>
      <c r="Q42" s="590">
        <v>117</v>
      </c>
      <c r="R42" s="596">
        <f t="shared" si="12"/>
        <v>362</v>
      </c>
      <c r="S42" s="592">
        <v>674912.7300000001</v>
      </c>
      <c r="T42" s="592">
        <v>32574.570000000003</v>
      </c>
      <c r="U42" s="592">
        <v>1233270.9999999998</v>
      </c>
      <c r="V42" s="593">
        <f t="shared" si="15"/>
        <v>1940758.2999999998</v>
      </c>
      <c r="W42" s="593">
        <v>665489.78</v>
      </c>
      <c r="X42" s="592">
        <v>56187.320000000007</v>
      </c>
      <c r="Y42" s="592">
        <v>1154991.95</v>
      </c>
      <c r="Z42" s="593">
        <v>1876669.05</v>
      </c>
      <c r="AA42" s="703">
        <v>626095.78</v>
      </c>
      <c r="AB42" s="593">
        <v>16394.829999999998</v>
      </c>
      <c r="AC42" s="593">
        <v>507111.78</v>
      </c>
      <c r="AD42" s="593">
        <f t="shared" si="16"/>
        <v>1149602.3900000001</v>
      </c>
      <c r="AE42" s="513" t="s">
        <v>386</v>
      </c>
    </row>
    <row r="43" spans="1:31" s="531" customFormat="1" x14ac:dyDescent="0.25">
      <c r="A43" s="588" t="s">
        <v>895</v>
      </c>
      <c r="B43" s="589">
        <v>0</v>
      </c>
      <c r="C43" s="589">
        <v>0</v>
      </c>
      <c r="D43" s="583">
        <f t="shared" si="4"/>
        <v>0</v>
      </c>
      <c r="E43" s="590">
        <v>0</v>
      </c>
      <c r="F43" s="590">
        <v>0</v>
      </c>
      <c r="G43" s="590">
        <v>0</v>
      </c>
      <c r="H43" s="590">
        <f t="shared" si="13"/>
        <v>0</v>
      </c>
      <c r="I43" s="589">
        <v>0</v>
      </c>
      <c r="J43" s="589">
        <v>0</v>
      </c>
      <c r="K43" s="591">
        <f t="shared" si="6"/>
        <v>0</v>
      </c>
      <c r="L43" s="592">
        <v>0</v>
      </c>
      <c r="M43" s="592">
        <v>0</v>
      </c>
      <c r="N43" s="592">
        <v>0</v>
      </c>
      <c r="O43" s="593">
        <f t="shared" si="14"/>
        <v>0</v>
      </c>
      <c r="P43" s="595">
        <v>0</v>
      </c>
      <c r="Q43" s="590">
        <v>0</v>
      </c>
      <c r="R43" s="596">
        <f t="shared" si="12"/>
        <v>0</v>
      </c>
      <c r="S43" s="592">
        <v>0</v>
      </c>
      <c r="T43" s="592">
        <v>0</v>
      </c>
      <c r="U43" s="592">
        <v>0</v>
      </c>
      <c r="V43" s="593">
        <f t="shared" si="15"/>
        <v>0</v>
      </c>
      <c r="W43" s="593">
        <v>0</v>
      </c>
      <c r="X43" s="592">
        <v>0</v>
      </c>
      <c r="Y43" s="592">
        <v>0</v>
      </c>
      <c r="Z43" s="593">
        <v>0</v>
      </c>
      <c r="AA43" s="703">
        <v>0</v>
      </c>
      <c r="AB43" s="593">
        <v>0</v>
      </c>
      <c r="AC43" s="593">
        <v>0</v>
      </c>
      <c r="AD43" s="593">
        <f t="shared" si="16"/>
        <v>0</v>
      </c>
      <c r="AE43" s="513" t="s">
        <v>388</v>
      </c>
    </row>
    <row r="44" spans="1:31" s="531" customFormat="1" x14ac:dyDescent="0.25">
      <c r="A44" s="588" t="s">
        <v>389</v>
      </c>
      <c r="B44" s="589">
        <v>257</v>
      </c>
      <c r="C44" s="589">
        <v>30</v>
      </c>
      <c r="D44" s="583">
        <f t="shared" si="4"/>
        <v>287</v>
      </c>
      <c r="E44" s="590">
        <v>734160.05699999968</v>
      </c>
      <c r="F44" s="590">
        <v>79995.063999999998</v>
      </c>
      <c r="G44" s="590">
        <v>1279783.2240000002</v>
      </c>
      <c r="H44" s="590">
        <f t="shared" si="13"/>
        <v>2093938.3449999997</v>
      </c>
      <c r="I44" s="589">
        <v>262</v>
      </c>
      <c r="J44" s="589">
        <v>29</v>
      </c>
      <c r="K44" s="591">
        <f t="shared" si="6"/>
        <v>291</v>
      </c>
      <c r="L44" s="592">
        <v>976022.19799999974</v>
      </c>
      <c r="M44" s="592">
        <v>119579.45700000002</v>
      </c>
      <c r="N44" s="592">
        <v>1773499.31</v>
      </c>
      <c r="O44" s="593">
        <f t="shared" si="14"/>
        <v>2869100.9649999999</v>
      </c>
      <c r="P44" s="595">
        <v>259</v>
      </c>
      <c r="Q44" s="590">
        <v>40</v>
      </c>
      <c r="R44" s="596">
        <f t="shared" si="12"/>
        <v>299</v>
      </c>
      <c r="S44" s="592">
        <v>1007581.1</v>
      </c>
      <c r="T44" s="592">
        <v>162509.56999999998</v>
      </c>
      <c r="U44" s="592">
        <v>1886511.0499999998</v>
      </c>
      <c r="V44" s="593">
        <f t="shared" si="15"/>
        <v>3056601.7199999997</v>
      </c>
      <c r="W44" s="593">
        <v>985997.07000000007</v>
      </c>
      <c r="X44" s="592">
        <v>223624.91999999998</v>
      </c>
      <c r="Y44" s="592">
        <v>1980921.8</v>
      </c>
      <c r="Z44" s="593">
        <v>3190543.7899999996</v>
      </c>
      <c r="AA44" s="703">
        <v>1061713.9500000002</v>
      </c>
      <c r="AB44" s="593">
        <v>48929.960000000006</v>
      </c>
      <c r="AC44" s="593">
        <v>1012408.8600000001</v>
      </c>
      <c r="AD44" s="593">
        <f t="shared" si="16"/>
        <v>2123052.7700000005</v>
      </c>
      <c r="AE44" s="513" t="s">
        <v>390</v>
      </c>
    </row>
    <row r="45" spans="1:31" s="531" customFormat="1" x14ac:dyDescent="0.25">
      <c r="A45" s="588" t="s">
        <v>896</v>
      </c>
      <c r="B45" s="589">
        <v>0</v>
      </c>
      <c r="C45" s="589">
        <v>0</v>
      </c>
      <c r="D45" s="583">
        <f t="shared" si="4"/>
        <v>0</v>
      </c>
      <c r="E45" s="590">
        <v>0</v>
      </c>
      <c r="F45" s="590">
        <v>0</v>
      </c>
      <c r="G45" s="590">
        <v>0</v>
      </c>
      <c r="H45" s="590">
        <f t="shared" si="13"/>
        <v>0</v>
      </c>
      <c r="I45" s="589">
        <v>0</v>
      </c>
      <c r="J45" s="589">
        <v>0</v>
      </c>
      <c r="K45" s="591">
        <f t="shared" si="6"/>
        <v>0</v>
      </c>
      <c r="L45" s="592">
        <v>0</v>
      </c>
      <c r="M45" s="592">
        <v>0</v>
      </c>
      <c r="N45" s="592">
        <v>0</v>
      </c>
      <c r="O45" s="593">
        <f t="shared" si="14"/>
        <v>0</v>
      </c>
      <c r="P45" s="595">
        <v>0</v>
      </c>
      <c r="Q45" s="590">
        <v>0</v>
      </c>
      <c r="R45" s="596">
        <f t="shared" si="12"/>
        <v>0</v>
      </c>
      <c r="S45" s="592">
        <v>0</v>
      </c>
      <c r="T45" s="592">
        <v>0</v>
      </c>
      <c r="U45" s="592">
        <v>0</v>
      </c>
      <c r="V45" s="593">
        <f t="shared" si="15"/>
        <v>0</v>
      </c>
      <c r="W45" s="593">
        <v>0</v>
      </c>
      <c r="X45" s="592">
        <v>0</v>
      </c>
      <c r="Y45" s="592">
        <v>0</v>
      </c>
      <c r="Z45" s="593">
        <v>0</v>
      </c>
      <c r="AA45" s="703">
        <v>0</v>
      </c>
      <c r="AB45" s="593">
        <v>0</v>
      </c>
      <c r="AC45" s="593">
        <v>0</v>
      </c>
      <c r="AD45" s="593">
        <f t="shared" si="16"/>
        <v>0</v>
      </c>
      <c r="AE45" s="513" t="s">
        <v>801</v>
      </c>
    </row>
    <row r="46" spans="1:31" s="531" customFormat="1" x14ac:dyDescent="0.25">
      <c r="A46" s="581" t="s">
        <v>273</v>
      </c>
      <c r="B46" s="582">
        <f>SUM(B47:B62)</f>
        <v>1512</v>
      </c>
      <c r="C46" s="582">
        <f>SUM(C47:C62)</f>
        <v>123</v>
      </c>
      <c r="D46" s="583">
        <f>SUM(B46:C46)</f>
        <v>1635</v>
      </c>
      <c r="E46" s="582">
        <f>SUM(E47:E62)</f>
        <v>3799447.188000001</v>
      </c>
      <c r="F46" s="582">
        <f>SUM(F47:F62)</f>
        <v>215707.60399999999</v>
      </c>
      <c r="G46" s="582">
        <f>SUM(G47:G62)</f>
        <v>5832776.0240000002</v>
      </c>
      <c r="H46" s="582">
        <f>SUM(E46:G46)</f>
        <v>9847930.8160000015</v>
      </c>
      <c r="I46" s="582">
        <f>SUM(I47:I62)</f>
        <v>2130</v>
      </c>
      <c r="J46" s="582">
        <f>SUM(J47:J62)</f>
        <v>267</v>
      </c>
      <c r="K46" s="583">
        <f>SUM(I46:J46)</f>
        <v>2397</v>
      </c>
      <c r="L46" s="584">
        <f>SUM(L47:L62)</f>
        <v>6232885.2910000011</v>
      </c>
      <c r="M46" s="584">
        <f>SUM(M47:M62)</f>
        <v>570120.54299999995</v>
      </c>
      <c r="N46" s="584">
        <f>SUM(N47:N62)</f>
        <v>11555026.4</v>
      </c>
      <c r="O46" s="585">
        <f>SUM(L46:N46)</f>
        <v>18358032.234000001</v>
      </c>
      <c r="P46" s="586">
        <f>SUM(P47:P62)</f>
        <v>2543</v>
      </c>
      <c r="Q46" s="582">
        <f>SUM(Q47:Q62)</f>
        <v>321</v>
      </c>
      <c r="R46" s="583">
        <f>SUM(P46:Q46)</f>
        <v>2864</v>
      </c>
      <c r="S46" s="584">
        <f t="shared" ref="S46:AD46" si="17">SUM(S47:S62)</f>
        <v>7511184.0499999998</v>
      </c>
      <c r="T46" s="584">
        <f t="shared" si="17"/>
        <v>708155.70000000007</v>
      </c>
      <c r="U46" s="584">
        <f t="shared" si="17"/>
        <v>14549431.52</v>
      </c>
      <c r="V46" s="584">
        <f t="shared" si="17"/>
        <v>22768771.269999996</v>
      </c>
      <c r="W46" s="585">
        <f t="shared" si="17"/>
        <v>7891802.3700000001</v>
      </c>
      <c r="X46" s="585">
        <f t="shared" si="17"/>
        <v>1240961.44</v>
      </c>
      <c r="Y46" s="585">
        <f t="shared" si="17"/>
        <v>15585363.549999999</v>
      </c>
      <c r="Z46" s="585">
        <f t="shared" si="17"/>
        <v>24718127.359999999</v>
      </c>
      <c r="AA46" s="587">
        <f t="shared" si="17"/>
        <v>8364043.9699999997</v>
      </c>
      <c r="AB46" s="585">
        <f t="shared" si="17"/>
        <v>385847.08999999997</v>
      </c>
      <c r="AC46" s="585">
        <f t="shared" si="17"/>
        <v>7609821.129999999</v>
      </c>
      <c r="AD46" s="585">
        <f t="shared" si="17"/>
        <v>16359712.190000001</v>
      </c>
      <c r="AE46" s="512" t="s">
        <v>274</v>
      </c>
    </row>
    <row r="47" spans="1:31" s="531" customFormat="1" x14ac:dyDescent="0.25">
      <c r="A47" s="597" t="s">
        <v>897</v>
      </c>
      <c r="B47" s="589">
        <v>237</v>
      </c>
      <c r="C47" s="589">
        <v>42</v>
      </c>
      <c r="D47" s="583">
        <f>SUM(B47:C47)</f>
        <v>279</v>
      </c>
      <c r="E47" s="590">
        <v>781286.20500000042</v>
      </c>
      <c r="F47" s="590">
        <v>71497.198999999993</v>
      </c>
      <c r="G47" s="590">
        <v>1174338.8460000001</v>
      </c>
      <c r="H47" s="590">
        <f>SUM(E47:G47)</f>
        <v>2027122.2500000005</v>
      </c>
      <c r="I47" s="589">
        <v>259</v>
      </c>
      <c r="J47" s="589">
        <v>56</v>
      </c>
      <c r="K47" s="591">
        <f>SUM(I47:J47)</f>
        <v>315</v>
      </c>
      <c r="L47" s="592">
        <v>848532.95100000012</v>
      </c>
      <c r="M47" s="592">
        <v>192908.59099999999</v>
      </c>
      <c r="N47" s="592">
        <v>1831715.7700000003</v>
      </c>
      <c r="O47" s="593">
        <f>SUM(L47:N47)</f>
        <v>2873157.3120000004</v>
      </c>
      <c r="P47" s="595">
        <v>266</v>
      </c>
      <c r="Q47" s="590">
        <v>50</v>
      </c>
      <c r="R47" s="596">
        <f t="shared" ref="R47:R62" si="18">SUM(P47:Q47)</f>
        <v>316</v>
      </c>
      <c r="S47" s="592">
        <v>966685.44000000006</v>
      </c>
      <c r="T47" s="592">
        <v>149142.99999999997</v>
      </c>
      <c r="U47" s="592">
        <v>1953755.92</v>
      </c>
      <c r="V47" s="593">
        <f>SUM(S47:U47)</f>
        <v>3069584.36</v>
      </c>
      <c r="W47" s="593">
        <v>864554.58999999985</v>
      </c>
      <c r="X47" s="592">
        <v>224179.22</v>
      </c>
      <c r="Y47" s="592">
        <v>1797990.1199999999</v>
      </c>
      <c r="Z47" s="593">
        <v>2886723.9299999997</v>
      </c>
      <c r="AA47" s="703">
        <v>927511.15000000014</v>
      </c>
      <c r="AB47" s="593">
        <v>52629.79</v>
      </c>
      <c r="AC47" s="593">
        <v>995694.06</v>
      </c>
      <c r="AD47" s="593">
        <f>SUM(AA47:AC47)</f>
        <v>1975835.0000000002</v>
      </c>
      <c r="AE47" s="513" t="s">
        <v>392</v>
      </c>
    </row>
    <row r="48" spans="1:31" s="531" customFormat="1" x14ac:dyDescent="0.25">
      <c r="A48" s="588" t="s">
        <v>898</v>
      </c>
      <c r="B48" s="589">
        <v>75</v>
      </c>
      <c r="C48" s="589">
        <v>2</v>
      </c>
      <c r="D48" s="583">
        <f t="shared" ref="D48:D111" si="19">SUM(B48:C48)</f>
        <v>77</v>
      </c>
      <c r="E48" s="590">
        <v>89189.502999999997</v>
      </c>
      <c r="F48" s="590">
        <v>1848.1510000000003</v>
      </c>
      <c r="G48" s="590">
        <v>118744.822</v>
      </c>
      <c r="H48" s="590">
        <f t="shared" ref="H48:H62" si="20">SUM(E48:G48)</f>
        <v>209782.476</v>
      </c>
      <c r="I48" s="589">
        <v>83</v>
      </c>
      <c r="J48" s="589">
        <v>2</v>
      </c>
      <c r="K48" s="591">
        <f t="shared" ref="K48:K111" si="21">SUM(I48:J48)</f>
        <v>85</v>
      </c>
      <c r="L48" s="592">
        <v>142897.19</v>
      </c>
      <c r="M48" s="592">
        <v>3882.87</v>
      </c>
      <c r="N48" s="592">
        <v>230692.46</v>
      </c>
      <c r="O48" s="593">
        <f t="shared" ref="O48:O62" si="22">SUM(L48:N48)</f>
        <v>377472.52</v>
      </c>
      <c r="P48" s="595">
        <v>85</v>
      </c>
      <c r="Q48" s="590">
        <v>3</v>
      </c>
      <c r="R48" s="596">
        <f t="shared" si="18"/>
        <v>88</v>
      </c>
      <c r="S48" s="592">
        <v>174876.44000000003</v>
      </c>
      <c r="T48" s="592">
        <v>4918.6099999999997</v>
      </c>
      <c r="U48" s="592">
        <v>302412.10000000003</v>
      </c>
      <c r="V48" s="593">
        <f t="shared" ref="V48:V62" si="23">SUM(S48:U48)</f>
        <v>482207.15</v>
      </c>
      <c r="W48" s="593">
        <v>202978.28999999995</v>
      </c>
      <c r="X48" s="592">
        <v>9066.2099999999991</v>
      </c>
      <c r="Y48" s="592">
        <v>353859.58999999997</v>
      </c>
      <c r="Z48" s="593">
        <v>565904.09</v>
      </c>
      <c r="AA48" s="703">
        <v>226031.36000000002</v>
      </c>
      <c r="AB48" s="593">
        <v>2456.0100000000002</v>
      </c>
      <c r="AC48" s="593">
        <v>384867.81999999995</v>
      </c>
      <c r="AD48" s="593">
        <f t="shared" ref="AD48:AD62" si="24">SUM(AA48:AC48)</f>
        <v>613355.18999999994</v>
      </c>
      <c r="AE48" s="513" t="s">
        <v>394</v>
      </c>
    </row>
    <row r="49" spans="1:31" s="531" customFormat="1" x14ac:dyDescent="0.25">
      <c r="A49" s="588" t="s">
        <v>899</v>
      </c>
      <c r="B49" s="589">
        <v>108</v>
      </c>
      <c r="C49" s="589">
        <v>15</v>
      </c>
      <c r="D49" s="583">
        <f t="shared" si="19"/>
        <v>123</v>
      </c>
      <c r="E49" s="590">
        <v>132812.992</v>
      </c>
      <c r="F49" s="590">
        <v>10554.079</v>
      </c>
      <c r="G49" s="590">
        <v>221346.84000000003</v>
      </c>
      <c r="H49" s="590">
        <f t="shared" si="20"/>
        <v>364713.91100000002</v>
      </c>
      <c r="I49" s="589">
        <v>112</v>
      </c>
      <c r="J49" s="589">
        <v>73</v>
      </c>
      <c r="K49" s="591">
        <f t="shared" si="21"/>
        <v>185</v>
      </c>
      <c r="L49" s="592">
        <v>336220.73800000001</v>
      </c>
      <c r="M49" s="592">
        <v>32936.099000000002</v>
      </c>
      <c r="N49" s="592">
        <v>537944.88</v>
      </c>
      <c r="O49" s="593">
        <f t="shared" si="22"/>
        <v>907101.71699999995</v>
      </c>
      <c r="P49" s="595">
        <v>117</v>
      </c>
      <c r="Q49" s="590">
        <v>76</v>
      </c>
      <c r="R49" s="596">
        <f t="shared" si="18"/>
        <v>193</v>
      </c>
      <c r="S49" s="592">
        <v>342556.05000000005</v>
      </c>
      <c r="T49" s="592">
        <v>32701.87</v>
      </c>
      <c r="U49" s="592">
        <v>636281.20000000007</v>
      </c>
      <c r="V49" s="593">
        <f t="shared" si="23"/>
        <v>1011539.1200000001</v>
      </c>
      <c r="W49" s="593">
        <v>372391.56</v>
      </c>
      <c r="X49" s="592">
        <v>65446.020000000011</v>
      </c>
      <c r="Y49" s="592">
        <v>725083.96</v>
      </c>
      <c r="Z49" s="593">
        <v>1162921.5399999998</v>
      </c>
      <c r="AA49" s="703">
        <v>397087.66</v>
      </c>
      <c r="AB49" s="593">
        <v>14984.05</v>
      </c>
      <c r="AC49" s="593">
        <v>367891.62999999995</v>
      </c>
      <c r="AD49" s="593">
        <f t="shared" si="24"/>
        <v>779963.33999999985</v>
      </c>
      <c r="AE49" s="513" t="s">
        <v>396</v>
      </c>
    </row>
    <row r="50" spans="1:31" s="531" customFormat="1" x14ac:dyDescent="0.25">
      <c r="A50" s="588" t="s">
        <v>900</v>
      </c>
      <c r="B50" s="589">
        <v>193</v>
      </c>
      <c r="C50" s="589">
        <v>10</v>
      </c>
      <c r="D50" s="583">
        <f t="shared" si="19"/>
        <v>203</v>
      </c>
      <c r="E50" s="590">
        <v>387010.43000000005</v>
      </c>
      <c r="F50" s="590">
        <v>24840.478999999999</v>
      </c>
      <c r="G50" s="590">
        <v>647881.52</v>
      </c>
      <c r="H50" s="590">
        <f t="shared" si="20"/>
        <v>1059732.429</v>
      </c>
      <c r="I50" s="589">
        <v>201</v>
      </c>
      <c r="J50" s="589">
        <v>13</v>
      </c>
      <c r="K50" s="591">
        <f t="shared" si="21"/>
        <v>214</v>
      </c>
      <c r="L50" s="592">
        <v>540411.56499999994</v>
      </c>
      <c r="M50" s="592">
        <v>38524.61</v>
      </c>
      <c r="N50" s="592">
        <v>961358.7699999999</v>
      </c>
      <c r="O50" s="593">
        <f t="shared" si="22"/>
        <v>1540294.9449999998</v>
      </c>
      <c r="P50" s="595">
        <v>209</v>
      </c>
      <c r="Q50" s="590">
        <v>15</v>
      </c>
      <c r="R50" s="596">
        <f t="shared" si="18"/>
        <v>224</v>
      </c>
      <c r="S50" s="592">
        <v>570118.46</v>
      </c>
      <c r="T50" s="592">
        <v>40557.369999999995</v>
      </c>
      <c r="U50" s="592">
        <v>1039148.9400000002</v>
      </c>
      <c r="V50" s="593">
        <f t="shared" si="23"/>
        <v>1649824.77</v>
      </c>
      <c r="W50" s="593">
        <v>613442.11</v>
      </c>
      <c r="X50" s="592">
        <v>77632.399999999994</v>
      </c>
      <c r="Y50" s="592">
        <v>1150850.71</v>
      </c>
      <c r="Z50" s="593">
        <v>1841925.2200000002</v>
      </c>
      <c r="AA50" s="703">
        <v>687878.01</v>
      </c>
      <c r="AB50" s="593">
        <v>58157.279999999999</v>
      </c>
      <c r="AC50" s="593">
        <v>643081.37</v>
      </c>
      <c r="AD50" s="593">
        <f t="shared" si="24"/>
        <v>1389116.6600000001</v>
      </c>
      <c r="AE50" s="513" t="s">
        <v>398</v>
      </c>
    </row>
    <row r="51" spans="1:31" s="531" customFormat="1" x14ac:dyDescent="0.25">
      <c r="A51" s="588" t="s">
        <v>901</v>
      </c>
      <c r="B51" s="589">
        <v>159</v>
      </c>
      <c r="C51" s="589">
        <v>11</v>
      </c>
      <c r="D51" s="583">
        <f t="shared" si="19"/>
        <v>170</v>
      </c>
      <c r="E51" s="590">
        <v>407460.33899999998</v>
      </c>
      <c r="F51" s="590">
        <v>15896.365</v>
      </c>
      <c r="G51" s="590">
        <v>596307.68000000005</v>
      </c>
      <c r="H51" s="590">
        <f t="shared" si="20"/>
        <v>1019664.3840000001</v>
      </c>
      <c r="I51" s="589">
        <v>172</v>
      </c>
      <c r="J51" s="589">
        <v>12</v>
      </c>
      <c r="K51" s="591">
        <f t="shared" si="21"/>
        <v>184</v>
      </c>
      <c r="L51" s="592">
        <v>449356.88099999994</v>
      </c>
      <c r="M51" s="592">
        <v>25469.075999999997</v>
      </c>
      <c r="N51" s="592">
        <v>814562.32</v>
      </c>
      <c r="O51" s="593">
        <f t="shared" si="22"/>
        <v>1289388.2769999998</v>
      </c>
      <c r="P51" s="595">
        <v>169</v>
      </c>
      <c r="Q51" s="590">
        <v>13</v>
      </c>
      <c r="R51" s="596">
        <f t="shared" si="18"/>
        <v>182</v>
      </c>
      <c r="S51" s="592">
        <v>465786.81</v>
      </c>
      <c r="T51" s="592">
        <v>33294.43</v>
      </c>
      <c r="U51" s="592">
        <v>877807.59</v>
      </c>
      <c r="V51" s="593">
        <f t="shared" si="23"/>
        <v>1376888.83</v>
      </c>
      <c r="W51" s="593">
        <v>516769.38999999996</v>
      </c>
      <c r="X51" s="592">
        <v>55594.38</v>
      </c>
      <c r="Y51" s="592">
        <v>974210.9</v>
      </c>
      <c r="Z51" s="593">
        <v>1546574.67</v>
      </c>
      <c r="AA51" s="703">
        <v>523798.35000000009</v>
      </c>
      <c r="AB51" s="593">
        <v>8163.27</v>
      </c>
      <c r="AC51" s="593">
        <v>434995.18</v>
      </c>
      <c r="AD51" s="593">
        <f t="shared" si="24"/>
        <v>966956.8</v>
      </c>
      <c r="AE51" s="513" t="s">
        <v>400</v>
      </c>
    </row>
    <row r="52" spans="1:31" s="531" customFormat="1" x14ac:dyDescent="0.25">
      <c r="A52" s="588" t="s">
        <v>902</v>
      </c>
      <c r="B52" s="589">
        <v>0</v>
      </c>
      <c r="C52" s="589">
        <v>0</v>
      </c>
      <c r="D52" s="583">
        <f t="shared" si="19"/>
        <v>0</v>
      </c>
      <c r="E52" s="590">
        <v>0</v>
      </c>
      <c r="F52" s="590">
        <v>0</v>
      </c>
      <c r="G52" s="590">
        <v>0</v>
      </c>
      <c r="H52" s="590">
        <f t="shared" si="20"/>
        <v>0</v>
      </c>
      <c r="I52" s="589">
        <v>0</v>
      </c>
      <c r="J52" s="589">
        <v>0</v>
      </c>
      <c r="K52" s="591">
        <f t="shared" si="21"/>
        <v>0</v>
      </c>
      <c r="L52" s="592">
        <v>0</v>
      </c>
      <c r="M52" s="592">
        <v>0</v>
      </c>
      <c r="N52" s="592">
        <v>0</v>
      </c>
      <c r="O52" s="593">
        <f t="shared" si="22"/>
        <v>0</v>
      </c>
      <c r="P52" s="595">
        <v>118</v>
      </c>
      <c r="Q52" s="590">
        <v>15</v>
      </c>
      <c r="R52" s="596">
        <f t="shared" si="18"/>
        <v>133</v>
      </c>
      <c r="S52" s="592">
        <v>263856.17</v>
      </c>
      <c r="T52" s="592">
        <v>55146.750000000007</v>
      </c>
      <c r="U52" s="592">
        <v>506230.56</v>
      </c>
      <c r="V52" s="593">
        <f t="shared" si="23"/>
        <v>825233.48</v>
      </c>
      <c r="W52" s="593">
        <v>293538.60000000003</v>
      </c>
      <c r="X52" s="592">
        <v>95654.419999999984</v>
      </c>
      <c r="Y52" s="592">
        <v>597623.29</v>
      </c>
      <c r="Z52" s="593">
        <v>986816.30999999994</v>
      </c>
      <c r="AA52" s="703">
        <v>317526.96000000002</v>
      </c>
      <c r="AB52" s="593">
        <v>20503.41</v>
      </c>
      <c r="AC52" s="593">
        <v>269294.80999999994</v>
      </c>
      <c r="AD52" s="593">
        <f t="shared" si="24"/>
        <v>607325.17999999993</v>
      </c>
      <c r="AE52" s="513" t="s">
        <v>402</v>
      </c>
    </row>
    <row r="53" spans="1:31" s="531" customFormat="1" x14ac:dyDescent="0.25">
      <c r="A53" s="588" t="s">
        <v>903</v>
      </c>
      <c r="B53" s="589">
        <v>0</v>
      </c>
      <c r="C53" s="589">
        <v>0</v>
      </c>
      <c r="D53" s="583">
        <f t="shared" si="19"/>
        <v>0</v>
      </c>
      <c r="E53" s="590">
        <v>0</v>
      </c>
      <c r="F53" s="590">
        <v>0</v>
      </c>
      <c r="G53" s="590">
        <v>0</v>
      </c>
      <c r="H53" s="590">
        <f t="shared" si="20"/>
        <v>0</v>
      </c>
      <c r="I53" s="589">
        <v>242</v>
      </c>
      <c r="J53" s="589">
        <v>12</v>
      </c>
      <c r="K53" s="591">
        <f t="shared" si="21"/>
        <v>254</v>
      </c>
      <c r="L53" s="592">
        <v>635247.42000000004</v>
      </c>
      <c r="M53" s="592">
        <v>34434.930000000008</v>
      </c>
      <c r="N53" s="592">
        <v>1060882.3899999999</v>
      </c>
      <c r="O53" s="593">
        <f t="shared" si="22"/>
        <v>1730564.74</v>
      </c>
      <c r="P53" s="595">
        <v>248</v>
      </c>
      <c r="Q53" s="590">
        <v>14</v>
      </c>
      <c r="R53" s="596">
        <f t="shared" si="18"/>
        <v>262</v>
      </c>
      <c r="S53" s="592">
        <v>915016.92999999993</v>
      </c>
      <c r="T53" s="592">
        <v>47108.899999999994</v>
      </c>
      <c r="U53" s="592">
        <v>1728873.43</v>
      </c>
      <c r="V53" s="593">
        <f t="shared" si="23"/>
        <v>2690999.26</v>
      </c>
      <c r="W53" s="593">
        <v>908893.54</v>
      </c>
      <c r="X53" s="592">
        <v>104398.86</v>
      </c>
      <c r="Y53" s="592">
        <v>1738992.62</v>
      </c>
      <c r="Z53" s="593">
        <v>2752285.02</v>
      </c>
      <c r="AA53" s="703">
        <v>961080.42999999993</v>
      </c>
      <c r="AB53" s="593">
        <v>34079.089999999997</v>
      </c>
      <c r="AC53" s="593">
        <v>788748.91999999993</v>
      </c>
      <c r="AD53" s="593">
        <f t="shared" si="24"/>
        <v>1783908.44</v>
      </c>
      <c r="AE53" s="513" t="s">
        <v>404</v>
      </c>
    </row>
    <row r="54" spans="1:31" s="531" customFormat="1" x14ac:dyDescent="0.25">
      <c r="A54" s="588" t="s">
        <v>904</v>
      </c>
      <c r="B54" s="589">
        <v>80</v>
      </c>
      <c r="C54" s="589">
        <v>9</v>
      </c>
      <c r="D54" s="583">
        <f t="shared" si="19"/>
        <v>89</v>
      </c>
      <c r="E54" s="590">
        <v>183975.07299999997</v>
      </c>
      <c r="F54" s="590">
        <v>9887.5380000000005</v>
      </c>
      <c r="G54" s="590">
        <v>281858.25599999999</v>
      </c>
      <c r="H54" s="590">
        <f t="shared" si="20"/>
        <v>475720.86699999997</v>
      </c>
      <c r="I54" s="589">
        <v>0</v>
      </c>
      <c r="J54" s="589">
        <v>0</v>
      </c>
      <c r="K54" s="591">
        <f t="shared" si="21"/>
        <v>0</v>
      </c>
      <c r="L54" s="592">
        <v>171918.68</v>
      </c>
      <c r="M54" s="592">
        <v>18405.260999999999</v>
      </c>
      <c r="N54" s="592">
        <v>300664.15000000002</v>
      </c>
      <c r="O54" s="593">
        <f t="shared" si="22"/>
        <v>490988.09100000001</v>
      </c>
      <c r="P54" s="595">
        <v>87</v>
      </c>
      <c r="Q54" s="590">
        <v>11</v>
      </c>
      <c r="R54" s="596">
        <f t="shared" si="18"/>
        <v>98</v>
      </c>
      <c r="S54" s="592">
        <v>186240.75</v>
      </c>
      <c r="T54" s="592">
        <v>23255.119999999999</v>
      </c>
      <c r="U54" s="592">
        <v>359577.07999999996</v>
      </c>
      <c r="V54" s="593">
        <f t="shared" si="23"/>
        <v>569072.94999999995</v>
      </c>
      <c r="W54" s="593">
        <v>223716.71000000002</v>
      </c>
      <c r="X54" s="592">
        <v>55820.83</v>
      </c>
      <c r="Y54" s="592">
        <v>442584.74000000005</v>
      </c>
      <c r="Z54" s="593">
        <v>722122.28</v>
      </c>
      <c r="AA54" s="703">
        <v>244773.27</v>
      </c>
      <c r="AB54" s="593">
        <v>15635.029999999999</v>
      </c>
      <c r="AC54" s="593">
        <v>196610.59</v>
      </c>
      <c r="AD54" s="593">
        <f t="shared" si="24"/>
        <v>457018.89</v>
      </c>
      <c r="AE54" s="513" t="s">
        <v>406</v>
      </c>
    </row>
    <row r="55" spans="1:31" s="531" customFormat="1" x14ac:dyDescent="0.25">
      <c r="A55" s="588" t="s">
        <v>905</v>
      </c>
      <c r="B55" s="589">
        <v>0</v>
      </c>
      <c r="C55" s="589">
        <v>0</v>
      </c>
      <c r="D55" s="583">
        <f t="shared" si="19"/>
        <v>0</v>
      </c>
      <c r="E55" s="590">
        <v>45889.42</v>
      </c>
      <c r="F55" s="590">
        <v>3429.9649999999997</v>
      </c>
      <c r="G55" s="590">
        <v>79140.600000000006</v>
      </c>
      <c r="H55" s="590">
        <f t="shared" si="20"/>
        <v>128459.985</v>
      </c>
      <c r="I55" s="589">
        <v>0</v>
      </c>
      <c r="J55" s="589">
        <v>0</v>
      </c>
      <c r="K55" s="591">
        <f t="shared" si="21"/>
        <v>0</v>
      </c>
      <c r="L55" s="592">
        <v>0</v>
      </c>
      <c r="M55" s="592">
        <v>0</v>
      </c>
      <c r="N55" s="592">
        <v>0</v>
      </c>
      <c r="O55" s="593">
        <f t="shared" si="22"/>
        <v>0</v>
      </c>
      <c r="P55" s="595">
        <v>0</v>
      </c>
      <c r="Q55" s="590">
        <v>0</v>
      </c>
      <c r="R55" s="596">
        <f t="shared" si="18"/>
        <v>0</v>
      </c>
      <c r="S55" s="592">
        <v>0</v>
      </c>
      <c r="T55" s="592">
        <v>0</v>
      </c>
      <c r="U55" s="592">
        <v>0</v>
      </c>
      <c r="V55" s="593">
        <f t="shared" si="23"/>
        <v>0</v>
      </c>
      <c r="W55" s="593">
        <v>0</v>
      </c>
      <c r="X55" s="592">
        <v>0</v>
      </c>
      <c r="Y55" s="592">
        <v>0</v>
      </c>
      <c r="Z55" s="593">
        <v>0</v>
      </c>
      <c r="AA55" s="703">
        <v>0</v>
      </c>
      <c r="AB55" s="593">
        <v>0</v>
      </c>
      <c r="AC55" s="593">
        <v>0</v>
      </c>
      <c r="AD55" s="593">
        <f t="shared" si="24"/>
        <v>0</v>
      </c>
      <c r="AE55" s="513" t="s">
        <v>803</v>
      </c>
    </row>
    <row r="56" spans="1:31" s="531" customFormat="1" x14ac:dyDescent="0.25">
      <c r="A56" s="588" t="s">
        <v>906</v>
      </c>
      <c r="B56" s="589">
        <v>0</v>
      </c>
      <c r="C56" s="589">
        <v>0</v>
      </c>
      <c r="D56" s="583">
        <f t="shared" si="19"/>
        <v>0</v>
      </c>
      <c r="E56" s="590">
        <v>0</v>
      </c>
      <c r="F56" s="590">
        <v>0</v>
      </c>
      <c r="G56" s="590">
        <v>0</v>
      </c>
      <c r="H56" s="590">
        <f t="shared" si="20"/>
        <v>0</v>
      </c>
      <c r="I56" s="589">
        <v>0</v>
      </c>
      <c r="J56" s="589">
        <v>0</v>
      </c>
      <c r="K56" s="591">
        <f t="shared" si="21"/>
        <v>0</v>
      </c>
      <c r="L56" s="592">
        <v>0</v>
      </c>
      <c r="M56" s="592">
        <v>0</v>
      </c>
      <c r="N56" s="592">
        <v>0</v>
      </c>
      <c r="O56" s="593">
        <f t="shared" si="22"/>
        <v>0</v>
      </c>
      <c r="P56" s="595">
        <v>158</v>
      </c>
      <c r="Q56" s="590">
        <v>21</v>
      </c>
      <c r="R56" s="596">
        <f t="shared" si="18"/>
        <v>179</v>
      </c>
      <c r="S56" s="592">
        <v>342085.11000000004</v>
      </c>
      <c r="T56" s="592">
        <v>76643.820000000007</v>
      </c>
      <c r="U56" s="592">
        <v>662176.39999999991</v>
      </c>
      <c r="V56" s="593">
        <f t="shared" si="23"/>
        <v>1080905.33</v>
      </c>
      <c r="W56" s="593">
        <v>351444.4</v>
      </c>
      <c r="X56" s="592">
        <v>92795.75999999998</v>
      </c>
      <c r="Y56" s="592">
        <v>686903.82999999984</v>
      </c>
      <c r="Z56" s="593">
        <v>1131143.99</v>
      </c>
      <c r="AA56" s="703">
        <v>359036.55</v>
      </c>
      <c r="AB56" s="593">
        <v>15306.3</v>
      </c>
      <c r="AC56" s="593">
        <v>278990.92</v>
      </c>
      <c r="AD56" s="593">
        <f t="shared" si="24"/>
        <v>653333.77</v>
      </c>
      <c r="AE56" s="513" t="s">
        <v>408</v>
      </c>
    </row>
    <row r="57" spans="1:31" s="531" customFormat="1" x14ac:dyDescent="0.25">
      <c r="A57" s="588" t="s">
        <v>907</v>
      </c>
      <c r="B57" s="589">
        <v>117</v>
      </c>
      <c r="C57" s="589">
        <v>2</v>
      </c>
      <c r="D57" s="583">
        <f t="shared" si="19"/>
        <v>119</v>
      </c>
      <c r="E57" s="590">
        <v>371450.52599999995</v>
      </c>
      <c r="F57" s="590">
        <v>5836.7659999999996</v>
      </c>
      <c r="G57" s="590">
        <v>539790.24200000009</v>
      </c>
      <c r="H57" s="590">
        <f t="shared" si="20"/>
        <v>917077.53399999999</v>
      </c>
      <c r="I57" s="589">
        <v>130</v>
      </c>
      <c r="J57" s="589">
        <v>2</v>
      </c>
      <c r="K57" s="591">
        <f t="shared" si="21"/>
        <v>132</v>
      </c>
      <c r="L57" s="592">
        <v>409028.21199999994</v>
      </c>
      <c r="M57" s="592">
        <v>8030.5909999999994</v>
      </c>
      <c r="N57" s="592">
        <v>692138.83000000007</v>
      </c>
      <c r="O57" s="593">
        <f t="shared" si="22"/>
        <v>1109197.6329999999</v>
      </c>
      <c r="P57" s="595">
        <v>136</v>
      </c>
      <c r="Q57" s="590">
        <v>2</v>
      </c>
      <c r="R57" s="596">
        <f t="shared" si="18"/>
        <v>138</v>
      </c>
      <c r="S57" s="592">
        <v>413860.98999999993</v>
      </c>
      <c r="T57" s="592">
        <v>7511.4800000000005</v>
      </c>
      <c r="U57" s="592">
        <v>776615.02</v>
      </c>
      <c r="V57" s="593">
        <f t="shared" si="23"/>
        <v>1197987.49</v>
      </c>
      <c r="W57" s="593">
        <v>463022.17</v>
      </c>
      <c r="X57" s="592">
        <v>24166.83</v>
      </c>
      <c r="Y57" s="592">
        <v>823102.01</v>
      </c>
      <c r="Z57" s="593">
        <v>1310291.0099999998</v>
      </c>
      <c r="AA57" s="703">
        <v>469437.16</v>
      </c>
      <c r="AB57" s="593">
        <v>15410.77</v>
      </c>
      <c r="AC57" s="593">
        <v>394032.81</v>
      </c>
      <c r="AD57" s="593">
        <f t="shared" si="24"/>
        <v>878880.74</v>
      </c>
      <c r="AE57" s="513" t="s">
        <v>410</v>
      </c>
    </row>
    <row r="58" spans="1:31" s="531" customFormat="1" x14ac:dyDescent="0.25">
      <c r="A58" s="588" t="s">
        <v>908</v>
      </c>
      <c r="B58" s="589">
        <v>0</v>
      </c>
      <c r="C58" s="589">
        <v>0</v>
      </c>
      <c r="D58" s="583">
        <f t="shared" si="19"/>
        <v>0</v>
      </c>
      <c r="E58" s="590">
        <v>0</v>
      </c>
      <c r="F58" s="590">
        <v>0</v>
      </c>
      <c r="G58" s="590">
        <v>0</v>
      </c>
      <c r="H58" s="590">
        <f t="shared" si="20"/>
        <v>0</v>
      </c>
      <c r="I58" s="589">
        <v>0</v>
      </c>
      <c r="J58" s="589">
        <v>0</v>
      </c>
      <c r="K58" s="591">
        <f t="shared" si="21"/>
        <v>0</v>
      </c>
      <c r="L58" s="592">
        <v>0</v>
      </c>
      <c r="M58" s="592">
        <v>0</v>
      </c>
      <c r="N58" s="592">
        <v>0</v>
      </c>
      <c r="O58" s="593">
        <f t="shared" si="22"/>
        <v>0</v>
      </c>
      <c r="P58" s="595">
        <v>0</v>
      </c>
      <c r="Q58" s="590">
        <v>0</v>
      </c>
      <c r="R58" s="596">
        <f t="shared" si="18"/>
        <v>0</v>
      </c>
      <c r="S58" s="592">
        <v>0</v>
      </c>
      <c r="T58" s="592">
        <v>0</v>
      </c>
      <c r="U58" s="592">
        <v>0</v>
      </c>
      <c r="V58" s="593">
        <f t="shared" si="23"/>
        <v>0</v>
      </c>
      <c r="W58" s="593">
        <v>0</v>
      </c>
      <c r="X58" s="592">
        <v>0</v>
      </c>
      <c r="Y58" s="592">
        <v>0</v>
      </c>
      <c r="Z58" s="593">
        <v>0</v>
      </c>
      <c r="AA58" s="703">
        <v>0</v>
      </c>
      <c r="AB58" s="593">
        <v>0</v>
      </c>
      <c r="AC58" s="593">
        <v>0</v>
      </c>
      <c r="AD58" s="593">
        <f t="shared" si="24"/>
        <v>0</v>
      </c>
      <c r="AE58" s="513" t="s">
        <v>804</v>
      </c>
    </row>
    <row r="59" spans="1:31" s="531" customFormat="1" x14ac:dyDescent="0.25">
      <c r="A59" s="588" t="s">
        <v>909</v>
      </c>
      <c r="B59" s="589">
        <v>0</v>
      </c>
      <c r="C59" s="589">
        <v>0</v>
      </c>
      <c r="D59" s="583">
        <f t="shared" si="19"/>
        <v>0</v>
      </c>
      <c r="E59" s="590">
        <v>0</v>
      </c>
      <c r="F59" s="590">
        <v>0</v>
      </c>
      <c r="G59" s="590">
        <v>0</v>
      </c>
      <c r="H59" s="590">
        <f t="shared" si="20"/>
        <v>0</v>
      </c>
      <c r="I59" s="589">
        <v>336</v>
      </c>
      <c r="J59" s="589">
        <v>59</v>
      </c>
      <c r="K59" s="591">
        <f t="shared" si="21"/>
        <v>395</v>
      </c>
      <c r="L59" s="592">
        <v>844514.74</v>
      </c>
      <c r="M59" s="592">
        <v>118458.67</v>
      </c>
      <c r="N59" s="592">
        <v>1880964.41</v>
      </c>
      <c r="O59" s="593">
        <f t="shared" si="22"/>
        <v>2843937.82</v>
      </c>
      <c r="P59" s="595">
        <v>343</v>
      </c>
      <c r="Q59" s="590">
        <v>62</v>
      </c>
      <c r="R59" s="596">
        <f t="shared" si="18"/>
        <v>405</v>
      </c>
      <c r="S59" s="592">
        <v>965935.52</v>
      </c>
      <c r="T59" s="592">
        <v>137210.40000000002</v>
      </c>
      <c r="U59" s="592">
        <v>2176511.8800000004</v>
      </c>
      <c r="V59" s="593">
        <f t="shared" si="23"/>
        <v>3279657.8000000003</v>
      </c>
      <c r="W59" s="593">
        <v>990848.52</v>
      </c>
      <c r="X59" s="592">
        <v>227903.83</v>
      </c>
      <c r="Y59" s="592">
        <v>2306720.6199999996</v>
      </c>
      <c r="Z59" s="593">
        <v>3525472.9699999997</v>
      </c>
      <c r="AA59" s="703">
        <v>1011176.51</v>
      </c>
      <c r="AB59" s="593">
        <v>53064.100000000006</v>
      </c>
      <c r="AC59" s="593">
        <v>870285.34000000008</v>
      </c>
      <c r="AD59" s="593">
        <f t="shared" si="24"/>
        <v>1934525.9500000002</v>
      </c>
      <c r="AE59" s="513" t="s">
        <v>412</v>
      </c>
    </row>
    <row r="60" spans="1:31" s="531" customFormat="1" x14ac:dyDescent="0.25">
      <c r="A60" s="588" t="s">
        <v>910</v>
      </c>
      <c r="B60" s="589">
        <v>193</v>
      </c>
      <c r="C60" s="589">
        <v>15</v>
      </c>
      <c r="D60" s="583">
        <f t="shared" si="19"/>
        <v>208</v>
      </c>
      <c r="E60" s="590">
        <v>465014.72000000009</v>
      </c>
      <c r="F60" s="590">
        <v>25570.884999999998</v>
      </c>
      <c r="G60" s="590">
        <v>670741.73399999994</v>
      </c>
      <c r="H60" s="590">
        <f t="shared" si="20"/>
        <v>1161327.3390000002</v>
      </c>
      <c r="I60" s="589">
        <v>207</v>
      </c>
      <c r="J60" s="589">
        <v>20</v>
      </c>
      <c r="K60" s="591">
        <f t="shared" si="21"/>
        <v>227</v>
      </c>
      <c r="L60" s="592">
        <v>554766.25599999994</v>
      </c>
      <c r="M60" s="592">
        <v>39119.24</v>
      </c>
      <c r="N60" s="592">
        <v>1002535.51</v>
      </c>
      <c r="O60" s="593">
        <f t="shared" si="22"/>
        <v>1596421.0060000001</v>
      </c>
      <c r="P60" s="595">
        <v>213</v>
      </c>
      <c r="Q60" s="590">
        <v>20</v>
      </c>
      <c r="R60" s="596">
        <f t="shared" si="18"/>
        <v>233</v>
      </c>
      <c r="S60" s="592">
        <v>576819.29999999993</v>
      </c>
      <c r="T60" s="592">
        <v>36102.78</v>
      </c>
      <c r="U60" s="592">
        <v>1080102.07</v>
      </c>
      <c r="V60" s="593">
        <f t="shared" si="23"/>
        <v>1693024.15</v>
      </c>
      <c r="W60" s="593">
        <v>636618.01</v>
      </c>
      <c r="X60" s="592">
        <v>70648.330000000016</v>
      </c>
      <c r="Y60" s="592">
        <v>1222792.55</v>
      </c>
      <c r="Z60" s="593">
        <v>1930058.89</v>
      </c>
      <c r="AA60" s="703">
        <v>675993.21</v>
      </c>
      <c r="AB60" s="593">
        <v>28562.39</v>
      </c>
      <c r="AC60" s="593">
        <v>701855.15999999992</v>
      </c>
      <c r="AD60" s="593">
        <f t="shared" si="24"/>
        <v>1406410.7599999998</v>
      </c>
      <c r="AE60" s="513" t="s">
        <v>414</v>
      </c>
    </row>
    <row r="61" spans="1:31" s="531" customFormat="1" x14ac:dyDescent="0.25">
      <c r="A61" s="588" t="s">
        <v>911</v>
      </c>
      <c r="B61" s="589">
        <v>0</v>
      </c>
      <c r="C61" s="589">
        <v>0</v>
      </c>
      <c r="D61" s="583">
        <f t="shared" si="19"/>
        <v>0</v>
      </c>
      <c r="E61" s="590">
        <v>0</v>
      </c>
      <c r="F61" s="590">
        <v>0</v>
      </c>
      <c r="G61" s="590">
        <v>0</v>
      </c>
      <c r="H61" s="590">
        <f t="shared" si="20"/>
        <v>0</v>
      </c>
      <c r="I61" s="589">
        <v>0</v>
      </c>
      <c r="J61" s="589">
        <v>0</v>
      </c>
      <c r="K61" s="591">
        <f t="shared" si="21"/>
        <v>0</v>
      </c>
      <c r="L61" s="592">
        <v>0</v>
      </c>
      <c r="M61" s="592">
        <v>0</v>
      </c>
      <c r="N61" s="592">
        <v>0</v>
      </c>
      <c r="O61" s="593">
        <f t="shared" si="22"/>
        <v>0</v>
      </c>
      <c r="P61" s="595">
        <v>0</v>
      </c>
      <c r="Q61" s="590">
        <v>0</v>
      </c>
      <c r="R61" s="596">
        <f t="shared" si="18"/>
        <v>0</v>
      </c>
      <c r="S61" s="592">
        <v>0</v>
      </c>
      <c r="T61" s="592">
        <v>0</v>
      </c>
      <c r="U61" s="592">
        <v>0</v>
      </c>
      <c r="V61" s="593">
        <f t="shared" si="23"/>
        <v>0</v>
      </c>
      <c r="W61" s="593">
        <v>0</v>
      </c>
      <c r="X61" s="592">
        <v>0</v>
      </c>
      <c r="Y61" s="592">
        <v>0</v>
      </c>
      <c r="Z61" s="593">
        <v>0</v>
      </c>
      <c r="AA61" s="703">
        <v>0</v>
      </c>
      <c r="AB61" s="593">
        <v>0</v>
      </c>
      <c r="AC61" s="593">
        <v>0</v>
      </c>
      <c r="AD61" s="593">
        <f t="shared" si="24"/>
        <v>0</v>
      </c>
      <c r="AE61" s="513" t="s">
        <v>416</v>
      </c>
    </row>
    <row r="62" spans="1:31" s="531" customFormat="1" x14ac:dyDescent="0.25">
      <c r="A62" s="588" t="s">
        <v>912</v>
      </c>
      <c r="B62" s="589">
        <v>350</v>
      </c>
      <c r="C62" s="589">
        <v>17</v>
      </c>
      <c r="D62" s="583">
        <f t="shared" si="19"/>
        <v>367</v>
      </c>
      <c r="E62" s="590">
        <v>935357.98000000056</v>
      </c>
      <c r="F62" s="590">
        <v>46346.176999999996</v>
      </c>
      <c r="G62" s="590">
        <v>1502625.4839999999</v>
      </c>
      <c r="H62" s="590">
        <f t="shared" si="20"/>
        <v>2484329.6410000008</v>
      </c>
      <c r="I62" s="589">
        <v>388</v>
      </c>
      <c r="J62" s="589">
        <v>18</v>
      </c>
      <c r="K62" s="591">
        <f t="shared" si="21"/>
        <v>406</v>
      </c>
      <c r="L62" s="592">
        <v>1299990.6580000003</v>
      </c>
      <c r="M62" s="592">
        <v>57950.604999999996</v>
      </c>
      <c r="N62" s="592">
        <v>2241566.9099999997</v>
      </c>
      <c r="O62" s="593">
        <f t="shared" si="22"/>
        <v>3599508.173</v>
      </c>
      <c r="P62" s="595">
        <v>394</v>
      </c>
      <c r="Q62" s="590">
        <v>19</v>
      </c>
      <c r="R62" s="596">
        <f t="shared" si="18"/>
        <v>413</v>
      </c>
      <c r="S62" s="592">
        <v>1327346.08</v>
      </c>
      <c r="T62" s="592">
        <v>64561.170000000006</v>
      </c>
      <c r="U62" s="592">
        <v>2449939.33</v>
      </c>
      <c r="V62" s="593">
        <f t="shared" si="23"/>
        <v>3841846.58</v>
      </c>
      <c r="W62" s="593">
        <v>1453584.4799999997</v>
      </c>
      <c r="X62" s="592">
        <v>137654.35</v>
      </c>
      <c r="Y62" s="592">
        <v>2764648.61</v>
      </c>
      <c r="Z62" s="593">
        <v>4355887.4400000004</v>
      </c>
      <c r="AA62" s="703">
        <v>1562713.3500000003</v>
      </c>
      <c r="AB62" s="593">
        <v>66895.600000000006</v>
      </c>
      <c r="AC62" s="593">
        <v>1283472.52</v>
      </c>
      <c r="AD62" s="593">
        <f t="shared" si="24"/>
        <v>2913081.4700000007</v>
      </c>
      <c r="AE62" s="514" t="s">
        <v>805</v>
      </c>
    </row>
    <row r="63" spans="1:31" s="531" customFormat="1" x14ac:dyDescent="0.25">
      <c r="A63" s="581" t="s">
        <v>275</v>
      </c>
      <c r="B63" s="582">
        <f>SUM(B64:B76)</f>
        <v>2220</v>
      </c>
      <c r="C63" s="582">
        <f>SUM(C64:C76)</f>
        <v>251</v>
      </c>
      <c r="D63" s="583">
        <f>SUM(B63:C63)</f>
        <v>2471</v>
      </c>
      <c r="E63" s="582">
        <f>SUM(E64:E76)</f>
        <v>7283179.3399999943</v>
      </c>
      <c r="F63" s="582">
        <f>SUM(F64:F76)</f>
        <v>1129308.19</v>
      </c>
      <c r="G63" s="582">
        <f>SUM(G64:G76)</f>
        <v>11466334.560000002</v>
      </c>
      <c r="H63" s="582">
        <f>SUM(E63:G63)</f>
        <v>19878822.089999996</v>
      </c>
      <c r="I63" s="582">
        <f>SUM(I64:I76)</f>
        <v>2402</v>
      </c>
      <c r="J63" s="582">
        <f>SUM(J64:J76)</f>
        <v>317</v>
      </c>
      <c r="K63" s="583">
        <f t="shared" si="21"/>
        <v>2719</v>
      </c>
      <c r="L63" s="584">
        <f>SUM(L64:L76)</f>
        <v>7349501.7699999996</v>
      </c>
      <c r="M63" s="584">
        <f>SUM(M64:M76)</f>
        <v>2180442.7699999996</v>
      </c>
      <c r="N63" s="584">
        <f>SUM(N64:N76)</f>
        <v>16311015.759999998</v>
      </c>
      <c r="O63" s="585">
        <f>SUM(L63:N63)</f>
        <v>25840960.299999997</v>
      </c>
      <c r="P63" s="586">
        <f>SUM(P64:P76)</f>
        <v>2418</v>
      </c>
      <c r="Q63" s="582">
        <f>SUM(Q64:Q76)</f>
        <v>300</v>
      </c>
      <c r="R63" s="583">
        <f>SUM(P63:Q63)</f>
        <v>2718</v>
      </c>
      <c r="S63" s="584">
        <f t="shared" ref="S63:AD63" si="25">SUM(S64:S76)</f>
        <v>8132201.25</v>
      </c>
      <c r="T63" s="584">
        <f t="shared" si="25"/>
        <v>2367009.5700000003</v>
      </c>
      <c r="U63" s="584">
        <f t="shared" si="25"/>
        <v>19595787.479999997</v>
      </c>
      <c r="V63" s="584">
        <f t="shared" si="25"/>
        <v>30094998.299999997</v>
      </c>
      <c r="W63" s="585">
        <f t="shared" si="25"/>
        <v>8487634.6600000001</v>
      </c>
      <c r="X63" s="585">
        <f t="shared" si="25"/>
        <v>2644616.9699999997</v>
      </c>
      <c r="Y63" s="585">
        <f t="shared" si="25"/>
        <v>19719542.961000003</v>
      </c>
      <c r="Z63" s="585">
        <f t="shared" si="25"/>
        <v>30851794.590999998</v>
      </c>
      <c r="AA63" s="587">
        <f t="shared" si="25"/>
        <v>9172546.6099999994</v>
      </c>
      <c r="AB63" s="585">
        <f t="shared" si="25"/>
        <v>510879.76</v>
      </c>
      <c r="AC63" s="585">
        <f t="shared" si="25"/>
        <v>8750130.9800000004</v>
      </c>
      <c r="AD63" s="585">
        <f t="shared" si="25"/>
        <v>18433557.350000001</v>
      </c>
      <c r="AE63" s="512" t="s">
        <v>276</v>
      </c>
    </row>
    <row r="64" spans="1:31" s="531" customFormat="1" x14ac:dyDescent="0.25">
      <c r="A64" s="588" t="s">
        <v>913</v>
      </c>
      <c r="B64" s="589">
        <v>112</v>
      </c>
      <c r="C64" s="589">
        <v>4</v>
      </c>
      <c r="D64" s="583">
        <f t="shared" si="19"/>
        <v>116</v>
      </c>
      <c r="E64" s="590">
        <v>161602.79999999984</v>
      </c>
      <c r="F64" s="590">
        <v>7096.25</v>
      </c>
      <c r="G64" s="590">
        <v>274417.95999999996</v>
      </c>
      <c r="H64" s="590">
        <f>SUM(E64:G64)</f>
        <v>443117.00999999978</v>
      </c>
      <c r="I64" s="589">
        <v>120</v>
      </c>
      <c r="J64" s="589">
        <v>8</v>
      </c>
      <c r="K64" s="591">
        <f t="shared" si="21"/>
        <v>128</v>
      </c>
      <c r="L64" s="592">
        <v>311220.94000000006</v>
      </c>
      <c r="M64" s="592">
        <v>16640.710000000003</v>
      </c>
      <c r="N64" s="592">
        <v>562472.52</v>
      </c>
      <c r="O64" s="593">
        <f>SUM(L64:N64)</f>
        <v>890334.17000000016</v>
      </c>
      <c r="P64" s="594">
        <v>120</v>
      </c>
      <c r="Q64" s="589">
        <v>11</v>
      </c>
      <c r="R64" s="596">
        <f t="shared" ref="R64:R76" si="26">SUM(P64:Q64)</f>
        <v>131</v>
      </c>
      <c r="S64" s="592">
        <v>352142.94999999995</v>
      </c>
      <c r="T64" s="592">
        <v>25376.86</v>
      </c>
      <c r="U64" s="592">
        <v>670802.43999999994</v>
      </c>
      <c r="V64" s="593">
        <f>SUM(S64:U64)</f>
        <v>1048322.2499999999</v>
      </c>
      <c r="W64" s="593">
        <v>387523.91000000003</v>
      </c>
      <c r="X64" s="592">
        <v>54108.09</v>
      </c>
      <c r="Y64" s="592">
        <v>720188.96</v>
      </c>
      <c r="Z64" s="593">
        <v>1161820.9600000002</v>
      </c>
      <c r="AA64" s="703">
        <v>407189.74000000005</v>
      </c>
      <c r="AB64" s="593">
        <v>13816.29</v>
      </c>
      <c r="AC64" s="593">
        <v>343480.9</v>
      </c>
      <c r="AD64" s="593">
        <f>SUM(AA64:AC64)</f>
        <v>764486.93</v>
      </c>
      <c r="AE64" s="513" t="s">
        <v>420</v>
      </c>
    </row>
    <row r="65" spans="1:31" s="531" customFormat="1" x14ac:dyDescent="0.25">
      <c r="A65" s="588" t="s">
        <v>914</v>
      </c>
      <c r="B65" s="589">
        <v>238</v>
      </c>
      <c r="C65" s="589">
        <v>24</v>
      </c>
      <c r="D65" s="583">
        <f t="shared" si="19"/>
        <v>262</v>
      </c>
      <c r="E65" s="590">
        <v>826799.15</v>
      </c>
      <c r="F65" s="590">
        <v>128639</v>
      </c>
      <c r="G65" s="590">
        <v>1252394.02</v>
      </c>
      <c r="H65" s="590">
        <f t="shared" ref="H65:H76" si="27">SUM(E65:G65)</f>
        <v>2207832.17</v>
      </c>
      <c r="I65" s="589">
        <v>229</v>
      </c>
      <c r="J65" s="589">
        <v>29</v>
      </c>
      <c r="K65" s="591">
        <f t="shared" si="21"/>
        <v>258</v>
      </c>
      <c r="L65" s="592">
        <v>790532.86</v>
      </c>
      <c r="M65" s="592">
        <v>226393.50999999998</v>
      </c>
      <c r="N65" s="592">
        <v>1617024.3399999999</v>
      </c>
      <c r="O65" s="593">
        <f t="shared" ref="O65:O76" si="28">SUM(L65:N65)</f>
        <v>2633950.71</v>
      </c>
      <c r="P65" s="594">
        <v>230</v>
      </c>
      <c r="Q65" s="589">
        <v>26</v>
      </c>
      <c r="R65" s="596">
        <f t="shared" si="26"/>
        <v>256</v>
      </c>
      <c r="S65" s="592">
        <v>922653.71000000008</v>
      </c>
      <c r="T65" s="592">
        <v>251334.31999999998</v>
      </c>
      <c r="U65" s="592">
        <v>1989041.6499999997</v>
      </c>
      <c r="V65" s="593">
        <f t="shared" ref="V65:V76" si="29">SUM(S65:U65)</f>
        <v>3163029.6799999997</v>
      </c>
      <c r="W65" s="593">
        <v>942485.21</v>
      </c>
      <c r="X65" s="592">
        <v>274140.98</v>
      </c>
      <c r="Y65" s="592">
        <v>1691840.3099999996</v>
      </c>
      <c r="Z65" s="593">
        <v>2908466.4999999995</v>
      </c>
      <c r="AA65" s="703">
        <v>1023977.4700000001</v>
      </c>
      <c r="AB65" s="593">
        <v>52755.740000000005</v>
      </c>
      <c r="AC65" s="593">
        <v>1136341.43</v>
      </c>
      <c r="AD65" s="593">
        <f t="shared" ref="AD65:AD76" si="30">SUM(AA65:AC65)</f>
        <v>2213074.64</v>
      </c>
      <c r="AE65" s="513" t="s">
        <v>422</v>
      </c>
    </row>
    <row r="66" spans="1:31" s="531" customFormat="1" x14ac:dyDescent="0.25">
      <c r="A66" s="588" t="s">
        <v>915</v>
      </c>
      <c r="B66" s="589">
        <v>143</v>
      </c>
      <c r="C66" s="589">
        <v>10</v>
      </c>
      <c r="D66" s="583">
        <f t="shared" si="19"/>
        <v>153</v>
      </c>
      <c r="E66" s="590">
        <v>397049.41999999963</v>
      </c>
      <c r="F66" s="590">
        <v>39530.97</v>
      </c>
      <c r="G66" s="590">
        <v>586115.62</v>
      </c>
      <c r="H66" s="590">
        <f t="shared" si="27"/>
        <v>1022696.0099999997</v>
      </c>
      <c r="I66" s="589">
        <v>153</v>
      </c>
      <c r="J66" s="589">
        <v>12</v>
      </c>
      <c r="K66" s="591">
        <f t="shared" si="21"/>
        <v>165</v>
      </c>
      <c r="L66" s="592">
        <v>430458.23999999993</v>
      </c>
      <c r="M66" s="592">
        <v>74961.06</v>
      </c>
      <c r="N66" s="592">
        <v>815546.07999999984</v>
      </c>
      <c r="O66" s="593">
        <f t="shared" si="28"/>
        <v>1320965.3799999999</v>
      </c>
      <c r="P66" s="594">
        <v>159</v>
      </c>
      <c r="Q66" s="589">
        <v>15</v>
      </c>
      <c r="R66" s="596">
        <f t="shared" si="26"/>
        <v>174</v>
      </c>
      <c r="S66" s="592">
        <v>441634.24</v>
      </c>
      <c r="T66" s="592">
        <v>86150.41</v>
      </c>
      <c r="U66" s="592">
        <v>882592.42</v>
      </c>
      <c r="V66" s="593">
        <f t="shared" si="29"/>
        <v>1410377.07</v>
      </c>
      <c r="W66" s="593">
        <v>494930.43000000005</v>
      </c>
      <c r="X66" s="592">
        <v>116169.98999999999</v>
      </c>
      <c r="Y66" s="592">
        <v>1004810.01</v>
      </c>
      <c r="Z66" s="593">
        <v>1615910.43</v>
      </c>
      <c r="AA66" s="703">
        <v>516020.6399999999</v>
      </c>
      <c r="AB66" s="593">
        <v>20074.150000000001</v>
      </c>
      <c r="AC66" s="593">
        <v>452133.83000000007</v>
      </c>
      <c r="AD66" s="593">
        <f t="shared" si="30"/>
        <v>988228.62</v>
      </c>
      <c r="AE66" s="513" t="s">
        <v>424</v>
      </c>
    </row>
    <row r="67" spans="1:31" s="531" customFormat="1" x14ac:dyDescent="0.25">
      <c r="A67" s="588" t="s">
        <v>916</v>
      </c>
      <c r="B67" s="589">
        <v>99</v>
      </c>
      <c r="C67" s="589">
        <v>14</v>
      </c>
      <c r="D67" s="583">
        <f t="shared" si="19"/>
        <v>113</v>
      </c>
      <c r="E67" s="590">
        <v>340880.80999999982</v>
      </c>
      <c r="F67" s="590">
        <v>51738.219999999994</v>
      </c>
      <c r="G67" s="590">
        <v>535000.07999999996</v>
      </c>
      <c r="H67" s="590">
        <f t="shared" si="27"/>
        <v>927619.10999999975</v>
      </c>
      <c r="I67" s="589">
        <v>99</v>
      </c>
      <c r="J67" s="589">
        <v>23</v>
      </c>
      <c r="K67" s="591">
        <f t="shared" si="21"/>
        <v>122</v>
      </c>
      <c r="L67" s="592">
        <v>341184.77</v>
      </c>
      <c r="M67" s="592">
        <v>92057.8</v>
      </c>
      <c r="N67" s="592">
        <v>766744.41</v>
      </c>
      <c r="O67" s="593">
        <f t="shared" si="28"/>
        <v>1199986.98</v>
      </c>
      <c r="P67" s="594">
        <v>131</v>
      </c>
      <c r="Q67" s="589">
        <v>27</v>
      </c>
      <c r="R67" s="596">
        <f t="shared" si="26"/>
        <v>158</v>
      </c>
      <c r="S67" s="592">
        <v>430296.86</v>
      </c>
      <c r="T67" s="592">
        <v>116857.29999999999</v>
      </c>
      <c r="U67" s="592">
        <v>1013991.1599999999</v>
      </c>
      <c r="V67" s="593">
        <f t="shared" si="29"/>
        <v>1561145.3199999998</v>
      </c>
      <c r="W67" s="593">
        <v>370816.45000000007</v>
      </c>
      <c r="X67" s="592">
        <v>159075.31</v>
      </c>
      <c r="Y67" s="592">
        <v>891657.44000000006</v>
      </c>
      <c r="Z67" s="593">
        <v>1421549.2000000002</v>
      </c>
      <c r="AA67" s="703">
        <v>446286.19</v>
      </c>
      <c r="AB67" s="593">
        <v>17437.64</v>
      </c>
      <c r="AC67" s="593">
        <v>439784.55999999994</v>
      </c>
      <c r="AD67" s="593">
        <f t="shared" si="30"/>
        <v>903508.3899999999</v>
      </c>
      <c r="AE67" s="513" t="s">
        <v>426</v>
      </c>
    </row>
    <row r="68" spans="1:31" s="531" customFormat="1" x14ac:dyDescent="0.25">
      <c r="A68" s="588" t="s">
        <v>917</v>
      </c>
      <c r="B68" s="589">
        <v>146</v>
      </c>
      <c r="C68" s="589">
        <v>12</v>
      </c>
      <c r="D68" s="583">
        <f t="shared" si="19"/>
        <v>158</v>
      </c>
      <c r="E68" s="590">
        <v>394934.63999999966</v>
      </c>
      <c r="F68" s="590">
        <v>43600.959999999992</v>
      </c>
      <c r="G68" s="590">
        <v>574644.76</v>
      </c>
      <c r="H68" s="590">
        <f t="shared" si="27"/>
        <v>1013180.3599999996</v>
      </c>
      <c r="I68" s="589">
        <v>152</v>
      </c>
      <c r="J68" s="589">
        <v>12</v>
      </c>
      <c r="K68" s="591">
        <f t="shared" si="21"/>
        <v>164</v>
      </c>
      <c r="L68" s="592">
        <v>408909.52</v>
      </c>
      <c r="M68" s="592">
        <v>87690.09</v>
      </c>
      <c r="N68" s="592">
        <v>817570.95999999985</v>
      </c>
      <c r="O68" s="593">
        <f t="shared" si="28"/>
        <v>1314170.5699999998</v>
      </c>
      <c r="P68" s="594">
        <v>150</v>
      </c>
      <c r="Q68" s="589">
        <v>13</v>
      </c>
      <c r="R68" s="596">
        <f t="shared" si="26"/>
        <v>163</v>
      </c>
      <c r="S68" s="592">
        <v>457017.45999999996</v>
      </c>
      <c r="T68" s="592">
        <v>78314.67</v>
      </c>
      <c r="U68" s="592">
        <v>1790417.35</v>
      </c>
      <c r="V68" s="593">
        <f t="shared" si="29"/>
        <v>2325749.48</v>
      </c>
      <c r="W68" s="593">
        <v>496900.34999999992</v>
      </c>
      <c r="X68" s="592">
        <v>120019.37999999999</v>
      </c>
      <c r="Y68" s="592">
        <v>1071856.7099999997</v>
      </c>
      <c r="Z68" s="593">
        <v>1688776.44</v>
      </c>
      <c r="AA68" s="703">
        <v>538543.41</v>
      </c>
      <c r="AB68" s="593">
        <v>23712.03</v>
      </c>
      <c r="AC68" s="593">
        <v>577659.97</v>
      </c>
      <c r="AD68" s="593">
        <f t="shared" si="30"/>
        <v>1139915.4100000001</v>
      </c>
      <c r="AE68" s="513" t="s">
        <v>428</v>
      </c>
    </row>
    <row r="69" spans="1:31" s="531" customFormat="1" x14ac:dyDescent="0.25">
      <c r="A69" s="588" t="s">
        <v>918</v>
      </c>
      <c r="B69" s="589">
        <v>168</v>
      </c>
      <c r="C69" s="589">
        <v>8</v>
      </c>
      <c r="D69" s="583">
        <f t="shared" si="19"/>
        <v>176</v>
      </c>
      <c r="E69" s="590">
        <v>269835.82999999967</v>
      </c>
      <c r="F69" s="590">
        <v>29733.96</v>
      </c>
      <c r="G69" s="590">
        <v>472981.13000000006</v>
      </c>
      <c r="H69" s="590">
        <f t="shared" si="27"/>
        <v>772550.91999999969</v>
      </c>
      <c r="I69" s="589">
        <v>177</v>
      </c>
      <c r="J69" s="589">
        <v>20</v>
      </c>
      <c r="K69" s="591">
        <f t="shared" si="21"/>
        <v>197</v>
      </c>
      <c r="L69" s="592">
        <v>438561.18</v>
      </c>
      <c r="M69" s="592">
        <v>97652.780000000013</v>
      </c>
      <c r="N69" s="592">
        <v>850908.30999999994</v>
      </c>
      <c r="O69" s="593">
        <f t="shared" si="28"/>
        <v>1387122.27</v>
      </c>
      <c r="P69" s="594">
        <v>166</v>
      </c>
      <c r="Q69" s="589">
        <v>19</v>
      </c>
      <c r="R69" s="596">
        <f t="shared" si="26"/>
        <v>185</v>
      </c>
      <c r="S69" s="592">
        <v>496824.58999999997</v>
      </c>
      <c r="T69" s="592">
        <v>125495.73999999999</v>
      </c>
      <c r="U69" s="592">
        <v>1083335.8999999999</v>
      </c>
      <c r="V69" s="593">
        <f t="shared" si="29"/>
        <v>1705656.23</v>
      </c>
      <c r="W69" s="593">
        <v>497346.76</v>
      </c>
      <c r="X69" s="592">
        <v>127294.11000000002</v>
      </c>
      <c r="Y69" s="592">
        <v>1032385.4799999999</v>
      </c>
      <c r="Z69" s="593">
        <v>1657026.3500000003</v>
      </c>
      <c r="AA69" s="703">
        <v>545178.72</v>
      </c>
      <c r="AB69" s="593">
        <v>28802.989999999998</v>
      </c>
      <c r="AC69" s="593">
        <v>461959.4</v>
      </c>
      <c r="AD69" s="593">
        <f t="shared" si="30"/>
        <v>1035941.11</v>
      </c>
      <c r="AE69" s="513" t="s">
        <v>430</v>
      </c>
    </row>
    <row r="70" spans="1:31" s="531" customFormat="1" x14ac:dyDescent="0.25">
      <c r="A70" s="588" t="s">
        <v>919</v>
      </c>
      <c r="B70" s="589">
        <v>118</v>
      </c>
      <c r="C70" s="589">
        <v>8</v>
      </c>
      <c r="D70" s="583">
        <f t="shared" si="19"/>
        <v>126</v>
      </c>
      <c r="E70" s="590">
        <v>323631.43999999983</v>
      </c>
      <c r="F70" s="590">
        <v>30968.05</v>
      </c>
      <c r="G70" s="590">
        <v>490378.72000000003</v>
      </c>
      <c r="H70" s="590">
        <f t="shared" si="27"/>
        <v>844978.20999999985</v>
      </c>
      <c r="I70" s="589">
        <v>124</v>
      </c>
      <c r="J70" s="589">
        <v>10</v>
      </c>
      <c r="K70" s="591">
        <f t="shared" si="21"/>
        <v>134</v>
      </c>
      <c r="L70" s="592">
        <v>337424.41999999993</v>
      </c>
      <c r="M70" s="592">
        <v>60309.09</v>
      </c>
      <c r="N70" s="592">
        <v>652780.89999999991</v>
      </c>
      <c r="O70" s="593">
        <f t="shared" si="28"/>
        <v>1050514.4099999997</v>
      </c>
      <c r="P70" s="594">
        <v>130</v>
      </c>
      <c r="Q70" s="589">
        <v>11</v>
      </c>
      <c r="R70" s="596">
        <f t="shared" si="26"/>
        <v>141</v>
      </c>
      <c r="S70" s="592">
        <v>437689.42</v>
      </c>
      <c r="T70" s="592">
        <v>57003.359999999993</v>
      </c>
      <c r="U70" s="592">
        <v>843218.49</v>
      </c>
      <c r="V70" s="593">
        <f t="shared" si="29"/>
        <v>1337911.27</v>
      </c>
      <c r="W70" s="593">
        <v>403736.20999999996</v>
      </c>
      <c r="X70" s="592">
        <v>78915.950000000012</v>
      </c>
      <c r="Y70" s="592">
        <v>812608.2910000002</v>
      </c>
      <c r="Z70" s="593">
        <v>1295260.4510000001</v>
      </c>
      <c r="AA70" s="703">
        <v>436321.33000000007</v>
      </c>
      <c r="AB70" s="593">
        <v>19716.010000000002</v>
      </c>
      <c r="AC70" s="593">
        <v>380042.43</v>
      </c>
      <c r="AD70" s="593">
        <f t="shared" si="30"/>
        <v>836079.77</v>
      </c>
      <c r="AE70" s="513" t="s">
        <v>432</v>
      </c>
    </row>
    <row r="71" spans="1:31" s="531" customFormat="1" x14ac:dyDescent="0.25">
      <c r="A71" s="588" t="s">
        <v>920</v>
      </c>
      <c r="B71" s="589">
        <v>172</v>
      </c>
      <c r="C71" s="589">
        <v>13</v>
      </c>
      <c r="D71" s="583">
        <f t="shared" si="19"/>
        <v>185</v>
      </c>
      <c r="E71" s="590">
        <v>548222.84999999963</v>
      </c>
      <c r="F71" s="590">
        <v>61784.880000000005</v>
      </c>
      <c r="G71" s="590">
        <v>817142.76</v>
      </c>
      <c r="H71" s="590">
        <f t="shared" si="27"/>
        <v>1427150.4899999998</v>
      </c>
      <c r="I71" s="589">
        <v>176</v>
      </c>
      <c r="J71" s="589">
        <v>14</v>
      </c>
      <c r="K71" s="591">
        <f t="shared" si="21"/>
        <v>190</v>
      </c>
      <c r="L71" s="592">
        <v>537466.67000000004</v>
      </c>
      <c r="M71" s="592">
        <v>98128.199999999983</v>
      </c>
      <c r="N71" s="592">
        <v>1050627.82</v>
      </c>
      <c r="O71" s="593">
        <f t="shared" si="28"/>
        <v>1686222.69</v>
      </c>
      <c r="P71" s="594">
        <v>183</v>
      </c>
      <c r="Q71" s="589">
        <v>8</v>
      </c>
      <c r="R71" s="596">
        <f t="shared" si="26"/>
        <v>191</v>
      </c>
      <c r="S71" s="592">
        <v>565255.22</v>
      </c>
      <c r="T71" s="592">
        <v>75255.55</v>
      </c>
      <c r="U71" s="592">
        <v>1152224.3599999999</v>
      </c>
      <c r="V71" s="593">
        <f t="shared" si="29"/>
        <v>1792735.13</v>
      </c>
      <c r="W71" s="593">
        <v>598500.26</v>
      </c>
      <c r="X71" s="592">
        <v>33721.130000000005</v>
      </c>
      <c r="Y71" s="592">
        <v>1213605.2000000002</v>
      </c>
      <c r="Z71" s="593">
        <v>1845826.5899999999</v>
      </c>
      <c r="AA71" s="703">
        <v>645790.92000000004</v>
      </c>
      <c r="AB71" s="593">
        <v>5202.3599999999997</v>
      </c>
      <c r="AC71" s="593">
        <v>584760.75</v>
      </c>
      <c r="AD71" s="593">
        <f t="shared" si="30"/>
        <v>1235754.03</v>
      </c>
      <c r="AE71" s="513" t="s">
        <v>434</v>
      </c>
    </row>
    <row r="72" spans="1:31" s="531" customFormat="1" x14ac:dyDescent="0.25">
      <c r="A72" s="588" t="s">
        <v>921</v>
      </c>
      <c r="B72" s="589">
        <v>48</v>
      </c>
      <c r="C72" s="589">
        <v>3</v>
      </c>
      <c r="D72" s="583">
        <f t="shared" si="19"/>
        <v>51</v>
      </c>
      <c r="E72" s="590">
        <v>143945.34</v>
      </c>
      <c r="F72" s="590">
        <v>11040.41</v>
      </c>
      <c r="G72" s="590">
        <v>208660.28</v>
      </c>
      <c r="H72" s="590">
        <f t="shared" si="27"/>
        <v>363646.03</v>
      </c>
      <c r="I72" s="589">
        <v>52</v>
      </c>
      <c r="J72" s="589">
        <v>3</v>
      </c>
      <c r="K72" s="591">
        <f t="shared" si="21"/>
        <v>55</v>
      </c>
      <c r="L72" s="592">
        <v>145784.68</v>
      </c>
      <c r="M72" s="592">
        <v>18828.400000000001</v>
      </c>
      <c r="N72" s="592">
        <v>275001.08999999997</v>
      </c>
      <c r="O72" s="593">
        <f t="shared" si="28"/>
        <v>439614.16999999993</v>
      </c>
      <c r="P72" s="594">
        <v>52</v>
      </c>
      <c r="Q72" s="589">
        <v>3</v>
      </c>
      <c r="R72" s="596">
        <f t="shared" si="26"/>
        <v>55</v>
      </c>
      <c r="S72" s="592">
        <v>162500.57999999999</v>
      </c>
      <c r="T72" s="592">
        <v>17160.740000000002</v>
      </c>
      <c r="U72" s="592">
        <v>326377.23000000004</v>
      </c>
      <c r="V72" s="593">
        <f t="shared" si="29"/>
        <v>506038.55000000005</v>
      </c>
      <c r="W72" s="593">
        <v>187210.61</v>
      </c>
      <c r="X72" s="592">
        <v>25217.08</v>
      </c>
      <c r="Y72" s="592">
        <v>372516.40999999992</v>
      </c>
      <c r="Z72" s="593">
        <v>584944.1</v>
      </c>
      <c r="AA72" s="703">
        <v>201218.79</v>
      </c>
      <c r="AB72" s="593">
        <v>4630</v>
      </c>
      <c r="AC72" s="593">
        <v>172189.75000000003</v>
      </c>
      <c r="AD72" s="593">
        <f t="shared" si="30"/>
        <v>378038.54000000004</v>
      </c>
      <c r="AE72" s="513" t="s">
        <v>436</v>
      </c>
    </row>
    <row r="73" spans="1:31" s="531" customFormat="1" x14ac:dyDescent="0.25">
      <c r="A73" s="588" t="s">
        <v>922</v>
      </c>
      <c r="B73" s="589">
        <v>242</v>
      </c>
      <c r="C73" s="589">
        <v>35</v>
      </c>
      <c r="D73" s="583">
        <f t="shared" si="19"/>
        <v>277</v>
      </c>
      <c r="E73" s="590">
        <v>991688.79999999935</v>
      </c>
      <c r="F73" s="590">
        <v>186757.35999999996</v>
      </c>
      <c r="G73" s="590">
        <v>1773173.44</v>
      </c>
      <c r="H73" s="590">
        <f t="shared" si="27"/>
        <v>2951619.5999999992</v>
      </c>
      <c r="I73" s="589">
        <v>235</v>
      </c>
      <c r="J73" s="589">
        <v>40</v>
      </c>
      <c r="K73" s="591">
        <f t="shared" si="21"/>
        <v>275</v>
      </c>
      <c r="L73" s="592">
        <v>956691.70000000007</v>
      </c>
      <c r="M73" s="592">
        <v>309834.89999999997</v>
      </c>
      <c r="N73" s="592">
        <v>3139321.55</v>
      </c>
      <c r="O73" s="593">
        <f t="shared" si="28"/>
        <v>4405848.1500000004</v>
      </c>
      <c r="P73" s="594">
        <v>241</v>
      </c>
      <c r="Q73" s="589">
        <v>29</v>
      </c>
      <c r="R73" s="596">
        <f t="shared" si="26"/>
        <v>270</v>
      </c>
      <c r="S73" s="592">
        <v>1020250.2000000001</v>
      </c>
      <c r="T73" s="592">
        <v>389525.17000000004</v>
      </c>
      <c r="U73" s="592">
        <v>3332458.3699999996</v>
      </c>
      <c r="V73" s="593">
        <f t="shared" si="29"/>
        <v>4742233.74</v>
      </c>
      <c r="W73" s="593">
        <v>1081705.48</v>
      </c>
      <c r="X73" s="592">
        <v>427237.6399999999</v>
      </c>
      <c r="Y73" s="592">
        <v>4025645.8899999997</v>
      </c>
      <c r="Z73" s="593">
        <v>5534589.0099999988</v>
      </c>
      <c r="AA73" s="703">
        <v>1151387.08</v>
      </c>
      <c r="AB73" s="593">
        <v>81496.94</v>
      </c>
      <c r="AC73" s="593">
        <v>1093856.8599999999</v>
      </c>
      <c r="AD73" s="593">
        <f t="shared" si="30"/>
        <v>2326740.88</v>
      </c>
      <c r="AE73" s="513" t="s">
        <v>438</v>
      </c>
    </row>
    <row r="74" spans="1:31" s="531" customFormat="1" x14ac:dyDescent="0.25">
      <c r="A74" s="588" t="s">
        <v>923</v>
      </c>
      <c r="B74" s="589">
        <v>325</v>
      </c>
      <c r="C74" s="589">
        <v>39</v>
      </c>
      <c r="D74" s="583">
        <f t="shared" si="19"/>
        <v>364</v>
      </c>
      <c r="E74" s="590">
        <v>1200679.7499999988</v>
      </c>
      <c r="F74" s="590">
        <v>169630</v>
      </c>
      <c r="G74" s="590">
        <v>1770977.4000000001</v>
      </c>
      <c r="H74" s="590">
        <f t="shared" si="27"/>
        <v>3141287.149999999</v>
      </c>
      <c r="I74" s="589">
        <v>357</v>
      </c>
      <c r="J74" s="589">
        <v>45</v>
      </c>
      <c r="K74" s="591">
        <f t="shared" si="21"/>
        <v>402</v>
      </c>
      <c r="L74" s="592">
        <v>1162211.52</v>
      </c>
      <c r="M74" s="592">
        <v>386555.45</v>
      </c>
      <c r="N74" s="592">
        <v>2426092.86</v>
      </c>
      <c r="O74" s="593">
        <f t="shared" si="28"/>
        <v>3974859.83</v>
      </c>
      <c r="P74" s="594">
        <v>368</v>
      </c>
      <c r="Q74" s="589">
        <v>45</v>
      </c>
      <c r="R74" s="596">
        <f t="shared" si="26"/>
        <v>413</v>
      </c>
      <c r="S74" s="592">
        <v>1177092.7199999997</v>
      </c>
      <c r="T74" s="592">
        <v>408886.68</v>
      </c>
      <c r="U74" s="592">
        <v>2608588.1199999996</v>
      </c>
      <c r="V74" s="593">
        <f t="shared" si="29"/>
        <v>4194567.5199999996</v>
      </c>
      <c r="W74" s="593">
        <v>1328727.1400000001</v>
      </c>
      <c r="X74" s="592">
        <v>455547.53999999992</v>
      </c>
      <c r="Y74" s="592">
        <v>2833003.2800000003</v>
      </c>
      <c r="Z74" s="593">
        <v>4617277.9600000009</v>
      </c>
      <c r="AA74" s="703">
        <v>1448218.7799999998</v>
      </c>
      <c r="AB74" s="593">
        <v>73731.890000000014</v>
      </c>
      <c r="AC74" s="593">
        <v>1355332.92</v>
      </c>
      <c r="AD74" s="593">
        <f t="shared" si="30"/>
        <v>2877283.59</v>
      </c>
      <c r="AE74" s="513" t="s">
        <v>440</v>
      </c>
    </row>
    <row r="75" spans="1:31" s="531" customFormat="1" x14ac:dyDescent="0.25">
      <c r="A75" s="588" t="s">
        <v>924</v>
      </c>
      <c r="B75" s="589">
        <v>45</v>
      </c>
      <c r="C75" s="589">
        <v>4</v>
      </c>
      <c r="D75" s="583">
        <f t="shared" si="19"/>
        <v>49</v>
      </c>
      <c r="E75" s="590">
        <v>139416.25</v>
      </c>
      <c r="F75" s="590">
        <v>10239.41</v>
      </c>
      <c r="G75" s="590">
        <v>209120.26000000004</v>
      </c>
      <c r="H75" s="590">
        <f t="shared" si="27"/>
        <v>358775.92000000004</v>
      </c>
      <c r="I75" s="589">
        <v>110</v>
      </c>
      <c r="J75" s="589">
        <v>12</v>
      </c>
      <c r="K75" s="591">
        <f t="shared" si="21"/>
        <v>122</v>
      </c>
      <c r="L75" s="592">
        <v>170989.1</v>
      </c>
      <c r="M75" s="592">
        <v>14260.49</v>
      </c>
      <c r="N75" s="592">
        <v>320464.53999999998</v>
      </c>
      <c r="O75" s="593">
        <f t="shared" si="28"/>
        <v>505714.13</v>
      </c>
      <c r="P75" s="594">
        <v>59</v>
      </c>
      <c r="Q75" s="589">
        <v>5</v>
      </c>
      <c r="R75" s="596">
        <f t="shared" si="26"/>
        <v>64</v>
      </c>
      <c r="S75" s="592">
        <v>199200.28</v>
      </c>
      <c r="T75" s="592">
        <v>10892.3</v>
      </c>
      <c r="U75" s="592">
        <v>385390.85</v>
      </c>
      <c r="V75" s="593">
        <f t="shared" si="29"/>
        <v>595483.42999999993</v>
      </c>
      <c r="W75" s="593">
        <v>183169.18</v>
      </c>
      <c r="X75" s="592">
        <v>10285.719999999999</v>
      </c>
      <c r="Y75" s="592">
        <v>354997.22</v>
      </c>
      <c r="Z75" s="593">
        <v>548452.12</v>
      </c>
      <c r="AA75" s="703">
        <v>202283.77000000002</v>
      </c>
      <c r="AB75" s="593">
        <v>2321.7399999999998</v>
      </c>
      <c r="AC75" s="593">
        <v>182386.75</v>
      </c>
      <c r="AD75" s="593">
        <f t="shared" si="30"/>
        <v>386992.26</v>
      </c>
      <c r="AE75" s="513" t="s">
        <v>442</v>
      </c>
    </row>
    <row r="76" spans="1:31" s="531" customFormat="1" x14ac:dyDescent="0.25">
      <c r="A76" s="588" t="s">
        <v>925</v>
      </c>
      <c r="B76" s="589">
        <v>364</v>
      </c>
      <c r="C76" s="589">
        <v>77</v>
      </c>
      <c r="D76" s="583">
        <f t="shared" si="19"/>
        <v>441</v>
      </c>
      <c r="E76" s="590">
        <v>1544492.2599999981</v>
      </c>
      <c r="F76" s="590">
        <v>358548.71999999991</v>
      </c>
      <c r="G76" s="590">
        <v>2501328.13</v>
      </c>
      <c r="H76" s="590">
        <f t="shared" si="27"/>
        <v>4404369.1099999975</v>
      </c>
      <c r="I76" s="589">
        <v>418</v>
      </c>
      <c r="J76" s="589">
        <v>89</v>
      </c>
      <c r="K76" s="591">
        <f t="shared" si="21"/>
        <v>507</v>
      </c>
      <c r="L76" s="592">
        <v>1318066.17</v>
      </c>
      <c r="M76" s="592">
        <v>697130.29</v>
      </c>
      <c r="N76" s="592">
        <v>3016460.38</v>
      </c>
      <c r="O76" s="593">
        <f t="shared" si="28"/>
        <v>5031656.84</v>
      </c>
      <c r="P76" s="594">
        <v>429</v>
      </c>
      <c r="Q76" s="589">
        <v>88</v>
      </c>
      <c r="R76" s="596">
        <f t="shared" si="26"/>
        <v>517</v>
      </c>
      <c r="S76" s="592">
        <v>1469643.02</v>
      </c>
      <c r="T76" s="592">
        <v>724756.47000000009</v>
      </c>
      <c r="U76" s="592">
        <v>3517349.14</v>
      </c>
      <c r="V76" s="593">
        <f t="shared" si="29"/>
        <v>5711748.6300000008</v>
      </c>
      <c r="W76" s="593">
        <v>1514582.67</v>
      </c>
      <c r="X76" s="592">
        <v>762884.05</v>
      </c>
      <c r="Y76" s="592">
        <v>3694427.76</v>
      </c>
      <c r="Z76" s="593">
        <v>5971894.4800000004</v>
      </c>
      <c r="AA76" s="703">
        <v>1610129.77</v>
      </c>
      <c r="AB76" s="593">
        <v>167181.97999999998</v>
      </c>
      <c r="AC76" s="593">
        <v>1570201.43</v>
      </c>
      <c r="AD76" s="593">
        <f t="shared" si="30"/>
        <v>3347513.1799999997</v>
      </c>
      <c r="AE76" s="513" t="s">
        <v>444</v>
      </c>
    </row>
    <row r="77" spans="1:31" s="531" customFormat="1" x14ac:dyDescent="0.25">
      <c r="A77" s="581" t="s">
        <v>277</v>
      </c>
      <c r="B77" s="582">
        <f>SUM(B78:B93)</f>
        <v>2678</v>
      </c>
      <c r="C77" s="582">
        <f>SUM(C78:C93)</f>
        <v>278</v>
      </c>
      <c r="D77" s="583">
        <f>SUM(B77:C77)</f>
        <v>2956</v>
      </c>
      <c r="E77" s="582">
        <f>SUM(E78:E93)</f>
        <v>5176217.9999999963</v>
      </c>
      <c r="F77" s="582">
        <f>SUM(F78:F93)</f>
        <v>940916.52</v>
      </c>
      <c r="G77" s="582">
        <f>SUM(G78:G93)</f>
        <v>8725660.209999999</v>
      </c>
      <c r="H77" s="582">
        <f>SUM(E77:G77)</f>
        <v>14842794.729999995</v>
      </c>
      <c r="I77" s="582">
        <f>SUM(I78:I93)</f>
        <v>2872</v>
      </c>
      <c r="J77" s="582">
        <f>SUM(J78:J93)</f>
        <v>355</v>
      </c>
      <c r="K77" s="583">
        <f t="shared" si="21"/>
        <v>3227</v>
      </c>
      <c r="L77" s="584">
        <f>SUM(L78:L93)</f>
        <v>7537955.1300000008</v>
      </c>
      <c r="M77" s="584">
        <f>SUM(M78:M93)</f>
        <v>2071425.6999999995</v>
      </c>
      <c r="N77" s="584">
        <f>SUM(N78:N93)</f>
        <v>15365571.970000001</v>
      </c>
      <c r="O77" s="585">
        <f>SUM(L77:N77)</f>
        <v>24974952.800000001</v>
      </c>
      <c r="P77" s="586">
        <f>SUM(P78:P93)</f>
        <v>2240</v>
      </c>
      <c r="Q77" s="582">
        <f>SUM(Q78:Q93)</f>
        <v>278</v>
      </c>
      <c r="R77" s="583">
        <f>SUM(P77:Q77)</f>
        <v>2518</v>
      </c>
      <c r="S77" s="584">
        <f t="shared" ref="S77:AD77" si="31">SUM(S78:S93)</f>
        <v>7843720.9000000013</v>
      </c>
      <c r="T77" s="584">
        <f t="shared" si="31"/>
        <v>2190391.7000000002</v>
      </c>
      <c r="U77" s="584">
        <f t="shared" si="31"/>
        <v>17978434.449999999</v>
      </c>
      <c r="V77" s="584">
        <f t="shared" si="31"/>
        <v>28012547.050000001</v>
      </c>
      <c r="W77" s="585">
        <f t="shared" si="31"/>
        <v>6449014.4700000007</v>
      </c>
      <c r="X77" s="585">
        <f t="shared" si="31"/>
        <v>1967737.08</v>
      </c>
      <c r="Y77" s="585">
        <f t="shared" si="31"/>
        <v>13810234.050000001</v>
      </c>
      <c r="Z77" s="585">
        <f t="shared" si="31"/>
        <v>22226985.599999998</v>
      </c>
      <c r="AA77" s="587">
        <f t="shared" si="31"/>
        <v>8474640.5999999996</v>
      </c>
      <c r="AB77" s="585">
        <f t="shared" si="31"/>
        <v>377063.52999999997</v>
      </c>
      <c r="AC77" s="585">
        <f t="shared" si="31"/>
        <v>15249796</v>
      </c>
      <c r="AD77" s="585">
        <f t="shared" si="31"/>
        <v>24101500.129999999</v>
      </c>
      <c r="AE77" s="512" t="s">
        <v>278</v>
      </c>
    </row>
    <row r="78" spans="1:31" s="531" customFormat="1" x14ac:dyDescent="0.25">
      <c r="A78" s="588" t="s">
        <v>926</v>
      </c>
      <c r="B78" s="589">
        <v>354</v>
      </c>
      <c r="C78" s="589">
        <v>56</v>
      </c>
      <c r="D78" s="583">
        <f>SUM(B78:C78)</f>
        <v>410</v>
      </c>
      <c r="E78" s="590">
        <v>808611.77999999886</v>
      </c>
      <c r="F78" s="590">
        <v>185862.30999999997</v>
      </c>
      <c r="G78" s="590">
        <v>1482083.38</v>
      </c>
      <c r="H78" s="590">
        <f>SUM(E78:G78)</f>
        <v>2476557.4699999988</v>
      </c>
      <c r="I78" s="589">
        <v>400</v>
      </c>
      <c r="J78" s="589">
        <v>65</v>
      </c>
      <c r="K78" s="591">
        <f t="shared" si="21"/>
        <v>465</v>
      </c>
      <c r="L78" s="592">
        <v>1118396.68</v>
      </c>
      <c r="M78" s="592">
        <v>442832.54999999993</v>
      </c>
      <c r="N78" s="592">
        <v>2566613.9899999998</v>
      </c>
      <c r="O78" s="593">
        <f>SUM(L78:N78)</f>
        <v>4127843.2199999997</v>
      </c>
      <c r="P78" s="594">
        <v>406</v>
      </c>
      <c r="Q78" s="589">
        <v>60</v>
      </c>
      <c r="R78" s="596">
        <f t="shared" ref="R78:R93" si="32">SUM(P78:Q78)</f>
        <v>466</v>
      </c>
      <c r="S78" s="592">
        <v>1211462.25</v>
      </c>
      <c r="T78" s="592">
        <v>363438.25</v>
      </c>
      <c r="U78" s="592">
        <v>2733180.25</v>
      </c>
      <c r="V78" s="593">
        <f>SUM(S78:U78)</f>
        <v>4308080.75</v>
      </c>
      <c r="W78" s="593">
        <v>1269121.3399999996</v>
      </c>
      <c r="X78" s="592">
        <v>397676.82999999996</v>
      </c>
      <c r="Y78" s="592">
        <v>2762977.2399999998</v>
      </c>
      <c r="Z78" s="593">
        <v>4429775.41</v>
      </c>
      <c r="AA78" s="703">
        <v>1346650.6800000002</v>
      </c>
      <c r="AB78" s="593">
        <v>79830.59</v>
      </c>
      <c r="AC78" s="593">
        <v>1208603.4200000002</v>
      </c>
      <c r="AD78" s="593">
        <f>SUM(AA78:AC78)</f>
        <v>2635084.6900000004</v>
      </c>
      <c r="AE78" s="513" t="s">
        <v>446</v>
      </c>
    </row>
    <row r="79" spans="1:31" s="531" customFormat="1" x14ac:dyDescent="0.25">
      <c r="A79" s="588" t="s">
        <v>927</v>
      </c>
      <c r="B79" s="589">
        <v>75</v>
      </c>
      <c r="C79" s="589">
        <v>7</v>
      </c>
      <c r="D79" s="583">
        <f t="shared" si="19"/>
        <v>82</v>
      </c>
      <c r="E79" s="590">
        <v>53290.44</v>
      </c>
      <c r="F79" s="590">
        <v>24251.39</v>
      </c>
      <c r="G79" s="590">
        <v>112962.66</v>
      </c>
      <c r="H79" s="590">
        <f t="shared" ref="H79:H93" si="33">SUM(E79:G79)</f>
        <v>190504.49</v>
      </c>
      <c r="I79" s="589">
        <v>90</v>
      </c>
      <c r="J79" s="589">
        <v>6</v>
      </c>
      <c r="K79" s="591">
        <f t="shared" si="21"/>
        <v>96</v>
      </c>
      <c r="L79" s="592">
        <v>198672.08</v>
      </c>
      <c r="M79" s="592">
        <v>71760.36</v>
      </c>
      <c r="N79" s="592">
        <v>428930.27999999997</v>
      </c>
      <c r="O79" s="593">
        <f t="shared" ref="O79:O93" si="34">SUM(L79:N79)</f>
        <v>699362.72</v>
      </c>
      <c r="P79" s="594">
        <v>92</v>
      </c>
      <c r="Q79" s="589">
        <v>7</v>
      </c>
      <c r="R79" s="596">
        <f t="shared" si="32"/>
        <v>99</v>
      </c>
      <c r="S79" s="592">
        <v>220979.85</v>
      </c>
      <c r="T79" s="592">
        <v>73402.260000000009</v>
      </c>
      <c r="U79" s="592">
        <v>554413.47</v>
      </c>
      <c r="V79" s="593">
        <f t="shared" ref="V79:V93" si="35">SUM(S79:U79)</f>
        <v>848795.58</v>
      </c>
      <c r="W79" s="593">
        <v>247097.67</v>
      </c>
      <c r="X79" s="592">
        <v>62331.25</v>
      </c>
      <c r="Y79" s="592">
        <v>512462.06</v>
      </c>
      <c r="Z79" s="593">
        <v>821890.98</v>
      </c>
      <c r="AA79" s="703">
        <v>289717.98</v>
      </c>
      <c r="AB79" s="593">
        <v>10573.27</v>
      </c>
      <c r="AC79" s="593">
        <v>239386.88</v>
      </c>
      <c r="AD79" s="593">
        <f t="shared" ref="AD79:AD93" si="36">SUM(AA79:AC79)</f>
        <v>539678.13</v>
      </c>
      <c r="AE79" s="513" t="s">
        <v>448</v>
      </c>
    </row>
    <row r="80" spans="1:31" s="531" customFormat="1" x14ac:dyDescent="0.25">
      <c r="A80" s="588" t="s">
        <v>928</v>
      </c>
      <c r="B80" s="589">
        <v>146</v>
      </c>
      <c r="C80" s="589">
        <v>7</v>
      </c>
      <c r="D80" s="583">
        <f t="shared" si="19"/>
        <v>153</v>
      </c>
      <c r="E80" s="590">
        <v>312243.38999999978</v>
      </c>
      <c r="F80" s="590">
        <v>14220.010000000002</v>
      </c>
      <c r="G80" s="590">
        <v>451659.83000000007</v>
      </c>
      <c r="H80" s="590">
        <f t="shared" si="33"/>
        <v>778123.22999999986</v>
      </c>
      <c r="I80" s="589">
        <v>160</v>
      </c>
      <c r="J80" s="589">
        <v>14</v>
      </c>
      <c r="K80" s="591">
        <f t="shared" si="21"/>
        <v>174</v>
      </c>
      <c r="L80" s="592">
        <v>319397.67</v>
      </c>
      <c r="M80" s="592">
        <v>47132.219999999994</v>
      </c>
      <c r="N80" s="592">
        <v>620705.60999999987</v>
      </c>
      <c r="O80" s="593">
        <f t="shared" si="34"/>
        <v>987235.49999999977</v>
      </c>
      <c r="P80" s="594">
        <v>164</v>
      </c>
      <c r="Q80" s="589">
        <v>16</v>
      </c>
      <c r="R80" s="596">
        <f t="shared" si="32"/>
        <v>180</v>
      </c>
      <c r="S80" s="592">
        <v>328387.09999999998</v>
      </c>
      <c r="T80" s="592">
        <v>88169.000000000015</v>
      </c>
      <c r="U80" s="592">
        <v>710755.24999999988</v>
      </c>
      <c r="V80" s="593">
        <f t="shared" si="35"/>
        <v>1127311.3499999999</v>
      </c>
      <c r="W80" s="593">
        <v>364398.12</v>
      </c>
      <c r="X80" s="592">
        <v>88904.140000000014</v>
      </c>
      <c r="Y80" s="592">
        <v>723867.32000000007</v>
      </c>
      <c r="Z80" s="593">
        <v>1177169.58</v>
      </c>
      <c r="AA80" s="703">
        <v>423788.70000000007</v>
      </c>
      <c r="AB80" s="593">
        <v>15935.05</v>
      </c>
      <c r="AC80" s="593">
        <v>345691.24999999994</v>
      </c>
      <c r="AD80" s="593">
        <f t="shared" si="36"/>
        <v>785415</v>
      </c>
      <c r="AE80" s="513" t="s">
        <v>450</v>
      </c>
    </row>
    <row r="81" spans="1:31" s="531" customFormat="1" x14ac:dyDescent="0.25">
      <c r="A81" s="588" t="s">
        <v>929</v>
      </c>
      <c r="B81" s="589">
        <v>76</v>
      </c>
      <c r="C81" s="589">
        <v>2</v>
      </c>
      <c r="D81" s="583">
        <f t="shared" si="19"/>
        <v>78</v>
      </c>
      <c r="E81" s="590">
        <v>198108.46000000002</v>
      </c>
      <c r="F81" s="590">
        <v>12886.03</v>
      </c>
      <c r="G81" s="590">
        <v>289480</v>
      </c>
      <c r="H81" s="590">
        <f t="shared" si="33"/>
        <v>500474.49</v>
      </c>
      <c r="I81" s="589">
        <v>75</v>
      </c>
      <c r="J81" s="589">
        <v>9</v>
      </c>
      <c r="K81" s="591">
        <f t="shared" si="21"/>
        <v>84</v>
      </c>
      <c r="L81" s="592">
        <v>185513.94000000003</v>
      </c>
      <c r="M81" s="592">
        <v>67656.679999999993</v>
      </c>
      <c r="N81" s="592">
        <v>399152.72000000003</v>
      </c>
      <c r="O81" s="593">
        <f t="shared" si="34"/>
        <v>652323.34000000008</v>
      </c>
      <c r="P81" s="594">
        <v>75</v>
      </c>
      <c r="Q81" s="589">
        <v>10</v>
      </c>
      <c r="R81" s="596">
        <f t="shared" si="32"/>
        <v>85</v>
      </c>
      <c r="S81" s="592">
        <v>204994.34999999998</v>
      </c>
      <c r="T81" s="592">
        <v>115113.92999999998</v>
      </c>
      <c r="U81" s="592">
        <v>506247</v>
      </c>
      <c r="V81" s="593">
        <f t="shared" si="35"/>
        <v>826355.28</v>
      </c>
      <c r="W81" s="593">
        <v>219397.68</v>
      </c>
      <c r="X81" s="592">
        <v>114982.04</v>
      </c>
      <c r="Y81" s="592">
        <v>505798.85000000003</v>
      </c>
      <c r="Z81" s="593">
        <v>840178.57000000007</v>
      </c>
      <c r="AA81" s="703">
        <v>264182.02</v>
      </c>
      <c r="AB81" s="593">
        <v>20931.41</v>
      </c>
      <c r="AC81" s="593">
        <v>230322.08000000005</v>
      </c>
      <c r="AD81" s="593">
        <f t="shared" si="36"/>
        <v>515435.51</v>
      </c>
      <c r="AE81" s="513" t="s">
        <v>452</v>
      </c>
    </row>
    <row r="82" spans="1:31" s="531" customFormat="1" x14ac:dyDescent="0.25">
      <c r="A82" s="588" t="s">
        <v>930</v>
      </c>
      <c r="B82" s="589">
        <v>1</v>
      </c>
      <c r="C82" s="589">
        <v>1</v>
      </c>
      <c r="D82" s="583">
        <f t="shared" si="19"/>
        <v>2</v>
      </c>
      <c r="E82" s="590">
        <v>1230.1500000000001</v>
      </c>
      <c r="F82" s="590">
        <v>1810.6399999999999</v>
      </c>
      <c r="G82" s="590">
        <v>25704.17</v>
      </c>
      <c r="H82" s="590">
        <f t="shared" si="33"/>
        <v>28744.959999999999</v>
      </c>
      <c r="I82" s="589">
        <v>2</v>
      </c>
      <c r="J82" s="589">
        <v>1</v>
      </c>
      <c r="K82" s="591">
        <f t="shared" si="21"/>
        <v>3</v>
      </c>
      <c r="L82" s="592">
        <v>5743.96</v>
      </c>
      <c r="M82" s="592">
        <v>9613.9599999999991</v>
      </c>
      <c r="N82" s="592">
        <v>84349.81</v>
      </c>
      <c r="O82" s="593">
        <f t="shared" si="34"/>
        <v>99707.73</v>
      </c>
      <c r="P82" s="594">
        <v>0</v>
      </c>
      <c r="Q82" s="589">
        <v>0</v>
      </c>
      <c r="R82" s="596">
        <f t="shared" si="32"/>
        <v>0</v>
      </c>
      <c r="S82" s="592">
        <v>0</v>
      </c>
      <c r="T82" s="592">
        <v>0</v>
      </c>
      <c r="U82" s="592">
        <v>0</v>
      </c>
      <c r="V82" s="593">
        <f t="shared" si="35"/>
        <v>0</v>
      </c>
      <c r="W82" s="593">
        <v>0</v>
      </c>
      <c r="X82" s="592">
        <v>0</v>
      </c>
      <c r="Y82" s="592">
        <v>0</v>
      </c>
      <c r="Z82" s="593">
        <v>0</v>
      </c>
      <c r="AA82" s="703">
        <v>0</v>
      </c>
      <c r="AB82" s="593">
        <v>0</v>
      </c>
      <c r="AC82" s="593">
        <v>0</v>
      </c>
      <c r="AD82" s="593">
        <f t="shared" si="36"/>
        <v>0</v>
      </c>
      <c r="AE82" s="513" t="s">
        <v>454</v>
      </c>
    </row>
    <row r="83" spans="1:31" s="531" customFormat="1" x14ac:dyDescent="0.25">
      <c r="A83" s="588" t="s">
        <v>931</v>
      </c>
      <c r="B83" s="589">
        <v>0</v>
      </c>
      <c r="C83" s="589">
        <v>0</v>
      </c>
      <c r="D83" s="583">
        <f t="shared" si="19"/>
        <v>0</v>
      </c>
      <c r="E83" s="590">
        <v>0</v>
      </c>
      <c r="F83" s="590">
        <v>0</v>
      </c>
      <c r="G83" s="590">
        <v>0</v>
      </c>
      <c r="H83" s="590">
        <f t="shared" si="33"/>
        <v>0</v>
      </c>
      <c r="I83" s="589">
        <v>0</v>
      </c>
      <c r="J83" s="589">
        <v>0</v>
      </c>
      <c r="K83" s="591">
        <f t="shared" si="21"/>
        <v>0</v>
      </c>
      <c r="L83" s="592">
        <v>0</v>
      </c>
      <c r="M83" s="592">
        <v>0</v>
      </c>
      <c r="N83" s="592">
        <v>0</v>
      </c>
      <c r="O83" s="593">
        <f t="shared" si="34"/>
        <v>0</v>
      </c>
      <c r="P83" s="594">
        <v>0</v>
      </c>
      <c r="Q83" s="589">
        <v>0</v>
      </c>
      <c r="R83" s="596">
        <f t="shared" si="32"/>
        <v>0</v>
      </c>
      <c r="S83" s="592">
        <v>0</v>
      </c>
      <c r="T83" s="592">
        <v>0</v>
      </c>
      <c r="U83" s="592">
        <v>0</v>
      </c>
      <c r="V83" s="593">
        <f t="shared" si="35"/>
        <v>0</v>
      </c>
      <c r="W83" s="593">
        <v>0</v>
      </c>
      <c r="X83" s="592">
        <v>0</v>
      </c>
      <c r="Y83" s="592">
        <v>0</v>
      </c>
      <c r="Z83" s="593">
        <v>0</v>
      </c>
      <c r="AA83" s="703">
        <v>0</v>
      </c>
      <c r="AB83" s="593">
        <v>0</v>
      </c>
      <c r="AC83" s="593">
        <v>0</v>
      </c>
      <c r="AD83" s="593">
        <f t="shared" si="36"/>
        <v>0</v>
      </c>
      <c r="AE83" s="514" t="s">
        <v>806</v>
      </c>
    </row>
    <row r="84" spans="1:31" s="531" customFormat="1" x14ac:dyDescent="0.25">
      <c r="A84" s="588" t="s">
        <v>932</v>
      </c>
      <c r="B84" s="589">
        <v>563</v>
      </c>
      <c r="C84" s="589">
        <v>59</v>
      </c>
      <c r="D84" s="583">
        <f t="shared" si="19"/>
        <v>622</v>
      </c>
      <c r="E84" s="590">
        <v>727132.92999999993</v>
      </c>
      <c r="F84" s="590">
        <v>193002.33999999991</v>
      </c>
      <c r="G84" s="590">
        <v>1374315.91</v>
      </c>
      <c r="H84" s="590">
        <f t="shared" si="33"/>
        <v>2294451.1799999997</v>
      </c>
      <c r="I84" s="589">
        <v>586</v>
      </c>
      <c r="J84" s="589">
        <v>65</v>
      </c>
      <c r="K84" s="591">
        <f t="shared" si="21"/>
        <v>651</v>
      </c>
      <c r="L84" s="592">
        <v>1878753.33</v>
      </c>
      <c r="M84" s="592">
        <v>487577.94999999995</v>
      </c>
      <c r="N84" s="592">
        <v>3511149.3500000006</v>
      </c>
      <c r="O84" s="593">
        <f t="shared" si="34"/>
        <v>5877480.6300000008</v>
      </c>
      <c r="P84" s="594">
        <v>0</v>
      </c>
      <c r="Q84" s="589">
        <v>0</v>
      </c>
      <c r="R84" s="596">
        <f t="shared" si="32"/>
        <v>0</v>
      </c>
      <c r="S84" s="592">
        <v>1814166.9</v>
      </c>
      <c r="T84" s="592">
        <v>419780.83</v>
      </c>
      <c r="U84" s="592">
        <v>3837936.9</v>
      </c>
      <c r="V84" s="593">
        <f t="shared" si="35"/>
        <v>6071884.6299999999</v>
      </c>
      <c r="W84" s="593">
        <v>0</v>
      </c>
      <c r="X84" s="592">
        <v>0</v>
      </c>
      <c r="Y84" s="592">
        <v>0</v>
      </c>
      <c r="Z84" s="593">
        <v>0</v>
      </c>
      <c r="AA84" s="703">
        <v>830656.41</v>
      </c>
      <c r="AB84" s="593">
        <v>0</v>
      </c>
      <c r="AC84" s="593">
        <v>743244.34</v>
      </c>
      <c r="AD84" s="593">
        <f t="shared" si="36"/>
        <v>1573900.75</v>
      </c>
      <c r="AE84" s="513" t="s">
        <v>458</v>
      </c>
    </row>
    <row r="85" spans="1:31" s="531" customFormat="1" x14ac:dyDescent="0.25">
      <c r="A85" s="588" t="s">
        <v>933</v>
      </c>
      <c r="B85" s="589">
        <v>174</v>
      </c>
      <c r="C85" s="589">
        <v>18</v>
      </c>
      <c r="D85" s="583">
        <f t="shared" si="19"/>
        <v>192</v>
      </c>
      <c r="E85" s="590">
        <v>161582.15999999977</v>
      </c>
      <c r="F85" s="590">
        <v>56109.46</v>
      </c>
      <c r="G85" s="590">
        <v>326964.26999999996</v>
      </c>
      <c r="H85" s="590">
        <f t="shared" si="33"/>
        <v>544655.88999999966</v>
      </c>
      <c r="I85" s="589">
        <v>188</v>
      </c>
      <c r="J85" s="589">
        <v>23</v>
      </c>
      <c r="K85" s="591">
        <f t="shared" si="21"/>
        <v>211</v>
      </c>
      <c r="L85" s="592">
        <v>395154.48000000004</v>
      </c>
      <c r="M85" s="592">
        <v>132204.06</v>
      </c>
      <c r="N85" s="592">
        <v>844452.67999999993</v>
      </c>
      <c r="O85" s="593">
        <f t="shared" si="34"/>
        <v>1371811.22</v>
      </c>
      <c r="P85" s="594">
        <v>183</v>
      </c>
      <c r="Q85" s="589">
        <v>20</v>
      </c>
      <c r="R85" s="596">
        <f t="shared" si="32"/>
        <v>203</v>
      </c>
      <c r="S85" s="592">
        <v>403872.18</v>
      </c>
      <c r="T85" s="592">
        <v>133334.96</v>
      </c>
      <c r="U85" s="592">
        <v>979206.29</v>
      </c>
      <c r="V85" s="593">
        <f t="shared" si="35"/>
        <v>1516413.4300000002</v>
      </c>
      <c r="W85" s="593">
        <v>479445.97999999992</v>
      </c>
      <c r="X85" s="592">
        <v>123104.57999999999</v>
      </c>
      <c r="Y85" s="592">
        <v>997729.13000000012</v>
      </c>
      <c r="Z85" s="593">
        <v>1600279.69</v>
      </c>
      <c r="AA85" s="703">
        <v>530707.54</v>
      </c>
      <c r="AB85" s="593">
        <v>17934.989999999998</v>
      </c>
      <c r="AC85" s="593">
        <v>374946.59</v>
      </c>
      <c r="AD85" s="593">
        <f t="shared" si="36"/>
        <v>923589.12000000011</v>
      </c>
      <c r="AE85" s="513" t="s">
        <v>460</v>
      </c>
    </row>
    <row r="86" spans="1:31" s="531" customFormat="1" x14ac:dyDescent="0.25">
      <c r="A86" s="588" t="s">
        <v>934</v>
      </c>
      <c r="B86" s="589">
        <v>133</v>
      </c>
      <c r="C86" s="589">
        <v>9</v>
      </c>
      <c r="D86" s="583">
        <f t="shared" si="19"/>
        <v>142</v>
      </c>
      <c r="E86" s="590">
        <v>306583.66999999975</v>
      </c>
      <c r="F86" s="590">
        <v>28719.87</v>
      </c>
      <c r="G86" s="590">
        <v>460942.55000000005</v>
      </c>
      <c r="H86" s="590">
        <f t="shared" si="33"/>
        <v>796246.08999999985</v>
      </c>
      <c r="I86" s="589">
        <v>153</v>
      </c>
      <c r="J86" s="589">
        <v>12</v>
      </c>
      <c r="K86" s="591">
        <f t="shared" si="21"/>
        <v>165</v>
      </c>
      <c r="L86" s="592">
        <v>326362.67000000004</v>
      </c>
      <c r="M86" s="592">
        <v>55727.909999999996</v>
      </c>
      <c r="N86" s="592">
        <v>663605.78</v>
      </c>
      <c r="O86" s="593">
        <f t="shared" si="34"/>
        <v>1045696.3600000001</v>
      </c>
      <c r="P86" s="594">
        <v>157</v>
      </c>
      <c r="Q86" s="589">
        <v>12</v>
      </c>
      <c r="R86" s="596">
        <f t="shared" si="32"/>
        <v>169</v>
      </c>
      <c r="S86" s="592">
        <v>365260.28</v>
      </c>
      <c r="T86" s="592">
        <v>61095.26</v>
      </c>
      <c r="U86" s="592">
        <v>779756.65</v>
      </c>
      <c r="V86" s="593">
        <f t="shared" si="35"/>
        <v>1206112.19</v>
      </c>
      <c r="W86" s="593">
        <v>386951.07999999996</v>
      </c>
      <c r="X86" s="592">
        <v>72469.180000000008</v>
      </c>
      <c r="Y86" s="592">
        <v>765009.99</v>
      </c>
      <c r="Z86" s="593">
        <v>1224430.25</v>
      </c>
      <c r="AA86" s="703">
        <v>402870.03999999992</v>
      </c>
      <c r="AB86" s="593">
        <v>20171.900000000001</v>
      </c>
      <c r="AC86" s="593">
        <v>337743.46</v>
      </c>
      <c r="AD86" s="593">
        <f t="shared" si="36"/>
        <v>760785.39999999991</v>
      </c>
      <c r="AE86" s="513" t="s">
        <v>462</v>
      </c>
    </row>
    <row r="87" spans="1:31" s="531" customFormat="1" x14ac:dyDescent="0.25">
      <c r="A87" s="588" t="s">
        <v>935</v>
      </c>
      <c r="B87" s="589">
        <v>144</v>
      </c>
      <c r="C87" s="589">
        <v>10</v>
      </c>
      <c r="D87" s="583">
        <f t="shared" si="19"/>
        <v>154</v>
      </c>
      <c r="E87" s="590">
        <v>433022.94999999972</v>
      </c>
      <c r="F87" s="590">
        <v>42115.189999999995</v>
      </c>
      <c r="G87" s="590">
        <v>668482.95000000019</v>
      </c>
      <c r="H87" s="590">
        <f t="shared" si="33"/>
        <v>1143621.0899999999</v>
      </c>
      <c r="I87" s="589">
        <v>170</v>
      </c>
      <c r="J87" s="589">
        <v>27</v>
      </c>
      <c r="K87" s="591">
        <f t="shared" si="21"/>
        <v>197</v>
      </c>
      <c r="L87" s="592">
        <v>412929.92000000004</v>
      </c>
      <c r="M87" s="592">
        <v>105007.87</v>
      </c>
      <c r="N87" s="592">
        <v>850074.38</v>
      </c>
      <c r="O87" s="593">
        <f t="shared" si="34"/>
        <v>1368012.17</v>
      </c>
      <c r="P87" s="594">
        <v>164</v>
      </c>
      <c r="Q87" s="589">
        <v>24</v>
      </c>
      <c r="R87" s="596">
        <f t="shared" si="32"/>
        <v>188</v>
      </c>
      <c r="S87" s="592">
        <v>437460.15</v>
      </c>
      <c r="T87" s="592">
        <v>146510.06</v>
      </c>
      <c r="U87" s="592">
        <v>1279376.18</v>
      </c>
      <c r="V87" s="593">
        <f t="shared" si="35"/>
        <v>1863346.39</v>
      </c>
      <c r="W87" s="593">
        <v>470435.36999999994</v>
      </c>
      <c r="X87" s="592">
        <v>149802.21</v>
      </c>
      <c r="Y87" s="592">
        <v>1047617.8800000001</v>
      </c>
      <c r="Z87" s="593">
        <v>1667855.4600000002</v>
      </c>
      <c r="AA87" s="703">
        <v>572798.53999999992</v>
      </c>
      <c r="AB87" s="593">
        <v>42836.2</v>
      </c>
      <c r="AC87" s="593">
        <v>462708.59</v>
      </c>
      <c r="AD87" s="593">
        <f t="shared" si="36"/>
        <v>1078343.3299999998</v>
      </c>
      <c r="AE87" s="513" t="s">
        <v>464</v>
      </c>
    </row>
    <row r="88" spans="1:31" s="531" customFormat="1" x14ac:dyDescent="0.25">
      <c r="A88" s="588" t="s">
        <v>936</v>
      </c>
      <c r="B88" s="589">
        <v>279</v>
      </c>
      <c r="C88" s="589">
        <v>24</v>
      </c>
      <c r="D88" s="583">
        <f t="shared" si="19"/>
        <v>303</v>
      </c>
      <c r="E88" s="590">
        <v>681507.92999999935</v>
      </c>
      <c r="F88" s="590">
        <v>91869.670000000013</v>
      </c>
      <c r="G88" s="590">
        <v>1099068.8</v>
      </c>
      <c r="H88" s="590">
        <f t="shared" si="33"/>
        <v>1872446.3999999994</v>
      </c>
      <c r="I88" s="589">
        <v>279</v>
      </c>
      <c r="J88" s="589">
        <v>28</v>
      </c>
      <c r="K88" s="591">
        <f t="shared" si="21"/>
        <v>307</v>
      </c>
      <c r="L88" s="592">
        <v>835088.55999999994</v>
      </c>
      <c r="M88" s="592">
        <v>145174.63</v>
      </c>
      <c r="N88" s="592">
        <v>1654559.51</v>
      </c>
      <c r="O88" s="593">
        <f t="shared" si="34"/>
        <v>2634822.7000000002</v>
      </c>
      <c r="P88" s="594">
        <v>271</v>
      </c>
      <c r="Q88" s="589">
        <v>23</v>
      </c>
      <c r="R88" s="596">
        <f t="shared" si="32"/>
        <v>294</v>
      </c>
      <c r="S88" s="592">
        <v>915346.94000000006</v>
      </c>
      <c r="T88" s="592">
        <v>219092.87000000002</v>
      </c>
      <c r="U88" s="592">
        <v>2399291.0100000002</v>
      </c>
      <c r="V88" s="593">
        <f t="shared" si="35"/>
        <v>3533730.8200000003</v>
      </c>
      <c r="W88" s="593">
        <v>989581.05</v>
      </c>
      <c r="X88" s="592">
        <v>237378.94</v>
      </c>
      <c r="Y88" s="592">
        <v>2105160.4600000004</v>
      </c>
      <c r="Z88" s="593">
        <v>3332120.4499999997</v>
      </c>
      <c r="AA88" s="703">
        <v>1120102.07</v>
      </c>
      <c r="AB88" s="593">
        <v>41870.710000000006</v>
      </c>
      <c r="AC88" s="593">
        <v>8951166.1699999999</v>
      </c>
      <c r="AD88" s="593">
        <f t="shared" si="36"/>
        <v>10113138.949999999</v>
      </c>
      <c r="AE88" s="513" t="s">
        <v>466</v>
      </c>
    </row>
    <row r="89" spans="1:31" s="531" customFormat="1" x14ac:dyDescent="0.25">
      <c r="A89" s="588" t="s">
        <v>937</v>
      </c>
      <c r="B89" s="589">
        <v>256</v>
      </c>
      <c r="C89" s="589">
        <v>45</v>
      </c>
      <c r="D89" s="583">
        <f t="shared" si="19"/>
        <v>301</v>
      </c>
      <c r="E89" s="590">
        <v>367890.17999999976</v>
      </c>
      <c r="F89" s="590">
        <v>74290.17</v>
      </c>
      <c r="G89" s="590">
        <v>637265.56000000006</v>
      </c>
      <c r="H89" s="590">
        <f t="shared" si="33"/>
        <v>1079445.9099999997</v>
      </c>
      <c r="I89" s="589">
        <v>286</v>
      </c>
      <c r="J89" s="589">
        <v>63</v>
      </c>
      <c r="K89" s="591">
        <f t="shared" si="21"/>
        <v>349</v>
      </c>
      <c r="L89" s="592">
        <v>713796.97</v>
      </c>
      <c r="M89" s="592">
        <v>234144.05000000002</v>
      </c>
      <c r="N89" s="592">
        <v>1536739.85</v>
      </c>
      <c r="O89" s="593">
        <f t="shared" si="34"/>
        <v>2484680.87</v>
      </c>
      <c r="P89" s="594">
        <v>291</v>
      </c>
      <c r="Q89" s="589">
        <v>69</v>
      </c>
      <c r="R89" s="596">
        <f t="shared" si="32"/>
        <v>360</v>
      </c>
      <c r="S89" s="592">
        <v>793140.4</v>
      </c>
      <c r="T89" s="592">
        <v>265083.77</v>
      </c>
      <c r="U89" s="592">
        <v>1791981.84</v>
      </c>
      <c r="V89" s="593">
        <f t="shared" si="35"/>
        <v>2850206.01</v>
      </c>
      <c r="W89" s="593">
        <v>835309.57000000007</v>
      </c>
      <c r="X89" s="592">
        <v>331139.02</v>
      </c>
      <c r="Y89" s="592">
        <v>1887294.1300000001</v>
      </c>
      <c r="Z89" s="593">
        <v>3053742.72</v>
      </c>
      <c r="AA89" s="703">
        <v>927385.01</v>
      </c>
      <c r="AB89" s="593">
        <v>58517.659999999996</v>
      </c>
      <c r="AC89" s="593">
        <v>797948.28</v>
      </c>
      <c r="AD89" s="593">
        <f t="shared" si="36"/>
        <v>1783850.9500000002</v>
      </c>
      <c r="AE89" s="513" t="s">
        <v>468</v>
      </c>
    </row>
    <row r="90" spans="1:31" s="531" customFormat="1" x14ac:dyDescent="0.25">
      <c r="A90" s="588" t="s">
        <v>938</v>
      </c>
      <c r="B90" s="589">
        <v>58</v>
      </c>
      <c r="C90" s="589">
        <v>8</v>
      </c>
      <c r="D90" s="583">
        <f t="shared" si="19"/>
        <v>66</v>
      </c>
      <c r="E90" s="590">
        <v>84913.159999999989</v>
      </c>
      <c r="F90" s="590">
        <v>32779.79</v>
      </c>
      <c r="G90" s="590">
        <v>172998.42</v>
      </c>
      <c r="H90" s="590">
        <f t="shared" si="33"/>
        <v>290691.37</v>
      </c>
      <c r="I90" s="589">
        <v>64</v>
      </c>
      <c r="J90" s="589">
        <v>12</v>
      </c>
      <c r="K90" s="591">
        <f t="shared" si="21"/>
        <v>76</v>
      </c>
      <c r="L90" s="592">
        <v>154759.56999999995</v>
      </c>
      <c r="M90" s="592">
        <v>57870.98000000001</v>
      </c>
      <c r="N90" s="592">
        <v>335795.06999999995</v>
      </c>
      <c r="O90" s="593">
        <f t="shared" si="34"/>
        <v>548425.61999999988</v>
      </c>
      <c r="P90" s="594">
        <v>66</v>
      </c>
      <c r="Q90" s="589">
        <v>14</v>
      </c>
      <c r="R90" s="596">
        <f t="shared" si="32"/>
        <v>80</v>
      </c>
      <c r="S90" s="592">
        <v>171541.69999999998</v>
      </c>
      <c r="T90" s="592">
        <v>92042.12</v>
      </c>
      <c r="U90" s="592">
        <v>429822.75000000006</v>
      </c>
      <c r="V90" s="593">
        <f t="shared" si="35"/>
        <v>693406.57000000007</v>
      </c>
      <c r="W90" s="593">
        <v>188745.37000000002</v>
      </c>
      <c r="X90" s="592">
        <v>99547.04</v>
      </c>
      <c r="Y90" s="592">
        <v>447834.97999999992</v>
      </c>
      <c r="Z90" s="593">
        <v>736127.39000000013</v>
      </c>
      <c r="AA90" s="703">
        <v>236414.02</v>
      </c>
      <c r="AB90" s="593">
        <v>18627.349999999999</v>
      </c>
      <c r="AC90" s="593">
        <v>228192.8</v>
      </c>
      <c r="AD90" s="593">
        <f t="shared" si="36"/>
        <v>483234.17</v>
      </c>
      <c r="AE90" s="513" t="s">
        <v>470</v>
      </c>
    </row>
    <row r="91" spans="1:31" s="531" customFormat="1" x14ac:dyDescent="0.25">
      <c r="A91" s="588" t="s">
        <v>939</v>
      </c>
      <c r="B91" s="589">
        <v>104</v>
      </c>
      <c r="C91" s="589">
        <v>14</v>
      </c>
      <c r="D91" s="583">
        <f t="shared" si="19"/>
        <v>118</v>
      </c>
      <c r="E91" s="590">
        <v>188512.71999999991</v>
      </c>
      <c r="F91" s="590">
        <v>73340.039999999994</v>
      </c>
      <c r="G91" s="590">
        <v>384980.63</v>
      </c>
      <c r="H91" s="590">
        <f t="shared" si="33"/>
        <v>646833.3899999999</v>
      </c>
      <c r="I91" s="589">
        <v>53</v>
      </c>
      <c r="J91" s="589">
        <v>11</v>
      </c>
      <c r="K91" s="591">
        <f t="shared" si="21"/>
        <v>64</v>
      </c>
      <c r="L91" s="592">
        <v>111900.31999999999</v>
      </c>
      <c r="M91" s="592">
        <v>44203.17</v>
      </c>
      <c r="N91" s="592">
        <v>233722.55000000002</v>
      </c>
      <c r="O91" s="593">
        <f t="shared" si="34"/>
        <v>389826.04000000004</v>
      </c>
      <c r="P91" s="594">
        <v>0</v>
      </c>
      <c r="Q91" s="589">
        <v>0</v>
      </c>
      <c r="R91" s="596">
        <f t="shared" si="32"/>
        <v>0</v>
      </c>
      <c r="S91" s="592">
        <v>0</v>
      </c>
      <c r="T91" s="592">
        <v>0</v>
      </c>
      <c r="U91" s="592">
        <v>0</v>
      </c>
      <c r="V91" s="593">
        <f t="shared" si="35"/>
        <v>0</v>
      </c>
      <c r="W91" s="593">
        <v>0</v>
      </c>
      <c r="X91" s="592">
        <v>0</v>
      </c>
      <c r="Y91" s="592">
        <v>0</v>
      </c>
      <c r="Z91" s="593">
        <v>0</v>
      </c>
      <c r="AA91" s="703">
        <v>371501.41000000003</v>
      </c>
      <c r="AB91" s="593">
        <v>0</v>
      </c>
      <c r="AC91" s="593">
        <v>315326.66000000003</v>
      </c>
      <c r="AD91" s="593">
        <f t="shared" si="36"/>
        <v>686828.07000000007</v>
      </c>
      <c r="AE91" s="513" t="s">
        <v>472</v>
      </c>
    </row>
    <row r="92" spans="1:31" s="531" customFormat="1" x14ac:dyDescent="0.25">
      <c r="A92" s="588" t="s">
        <v>940</v>
      </c>
      <c r="B92" s="589">
        <v>86</v>
      </c>
      <c r="C92" s="589">
        <v>4</v>
      </c>
      <c r="D92" s="583">
        <f t="shared" si="19"/>
        <v>90</v>
      </c>
      <c r="E92" s="590">
        <v>197375.67</v>
      </c>
      <c r="F92" s="590">
        <v>13148.25</v>
      </c>
      <c r="G92" s="590">
        <v>293073.09000000008</v>
      </c>
      <c r="H92" s="590">
        <f t="shared" si="33"/>
        <v>503597.01000000013</v>
      </c>
      <c r="I92" s="589">
        <v>91</v>
      </c>
      <c r="J92" s="589">
        <v>4</v>
      </c>
      <c r="K92" s="591">
        <f t="shared" si="21"/>
        <v>95</v>
      </c>
      <c r="L92" s="592">
        <v>221708.74</v>
      </c>
      <c r="M92" s="592">
        <v>20750.53</v>
      </c>
      <c r="N92" s="592">
        <v>406151</v>
      </c>
      <c r="O92" s="593">
        <f t="shared" si="34"/>
        <v>648610.27</v>
      </c>
      <c r="P92" s="594">
        <v>91</v>
      </c>
      <c r="Q92" s="589">
        <v>5</v>
      </c>
      <c r="R92" s="596">
        <f t="shared" si="32"/>
        <v>96</v>
      </c>
      <c r="S92" s="592">
        <v>259992.35000000003</v>
      </c>
      <c r="T92" s="592">
        <v>23615.93</v>
      </c>
      <c r="U92" s="592">
        <v>526007.95000000007</v>
      </c>
      <c r="V92" s="593">
        <f t="shared" si="35"/>
        <v>809616.2300000001</v>
      </c>
      <c r="W92" s="593">
        <v>267115.18</v>
      </c>
      <c r="X92" s="592">
        <v>25377.48</v>
      </c>
      <c r="Y92" s="592">
        <v>525208.90000000014</v>
      </c>
      <c r="Z92" s="593">
        <v>817701.56</v>
      </c>
      <c r="AA92" s="703">
        <v>300227.74000000005</v>
      </c>
      <c r="AB92" s="593">
        <v>3948.5299999999997</v>
      </c>
      <c r="AC92" s="593">
        <v>240139.41</v>
      </c>
      <c r="AD92" s="593">
        <f t="shared" si="36"/>
        <v>544315.68000000005</v>
      </c>
      <c r="AE92" s="513" t="s">
        <v>474</v>
      </c>
    </row>
    <row r="93" spans="1:31" s="531" customFormat="1" x14ac:dyDescent="0.25">
      <c r="A93" s="588" t="s">
        <v>941</v>
      </c>
      <c r="B93" s="589">
        <v>229</v>
      </c>
      <c r="C93" s="589">
        <v>14</v>
      </c>
      <c r="D93" s="583">
        <f t="shared" si="19"/>
        <v>243</v>
      </c>
      <c r="E93" s="590">
        <v>654212.40999999945</v>
      </c>
      <c r="F93" s="590">
        <v>96511.359999999986</v>
      </c>
      <c r="G93" s="590">
        <v>945677.99</v>
      </c>
      <c r="H93" s="590">
        <f t="shared" si="33"/>
        <v>1696401.7599999993</v>
      </c>
      <c r="I93" s="589">
        <v>275</v>
      </c>
      <c r="J93" s="589">
        <v>15</v>
      </c>
      <c r="K93" s="591">
        <f t="shared" si="21"/>
        <v>290</v>
      </c>
      <c r="L93" s="592">
        <v>659776.24000000011</v>
      </c>
      <c r="M93" s="592">
        <v>149768.78</v>
      </c>
      <c r="N93" s="592">
        <v>1229569.3899999999</v>
      </c>
      <c r="O93" s="593">
        <f t="shared" si="34"/>
        <v>2039114.4100000001</v>
      </c>
      <c r="P93" s="594">
        <v>280</v>
      </c>
      <c r="Q93" s="589">
        <v>18</v>
      </c>
      <c r="R93" s="596">
        <f t="shared" si="32"/>
        <v>298</v>
      </c>
      <c r="S93" s="592">
        <v>717116.45</v>
      </c>
      <c r="T93" s="592">
        <v>189712.46</v>
      </c>
      <c r="U93" s="592">
        <v>1450458.9100000001</v>
      </c>
      <c r="V93" s="593">
        <f t="shared" si="35"/>
        <v>2357287.8200000003</v>
      </c>
      <c r="W93" s="593">
        <v>731416.06</v>
      </c>
      <c r="X93" s="592">
        <v>265024.37</v>
      </c>
      <c r="Y93" s="592">
        <v>1529273.11</v>
      </c>
      <c r="Z93" s="593">
        <v>2525713.54</v>
      </c>
      <c r="AA93" s="703">
        <v>857638.44</v>
      </c>
      <c r="AB93" s="593">
        <v>45885.869999999995</v>
      </c>
      <c r="AC93" s="593">
        <v>774376.07000000007</v>
      </c>
      <c r="AD93" s="593">
        <f t="shared" si="36"/>
        <v>1677900.38</v>
      </c>
      <c r="AE93" s="513" t="s">
        <v>476</v>
      </c>
    </row>
    <row r="94" spans="1:31" s="531" customFormat="1" x14ac:dyDescent="0.25">
      <c r="A94" s="581" t="s">
        <v>839</v>
      </c>
      <c r="B94" s="582">
        <f>SUM(B95:B107)</f>
        <v>1551</v>
      </c>
      <c r="C94" s="582">
        <f>SUM(C95:C107)</f>
        <v>171</v>
      </c>
      <c r="D94" s="583">
        <f>SUM(B94:C94)</f>
        <v>1722</v>
      </c>
      <c r="E94" s="582">
        <f>SUM(E95:E107)</f>
        <v>4842994.2499999981</v>
      </c>
      <c r="F94" s="582">
        <f>SUM(F95:F107)</f>
        <v>897331.34999999986</v>
      </c>
      <c r="G94" s="582">
        <f>SUM(G95:G107)</f>
        <v>7758784.2800000003</v>
      </c>
      <c r="H94" s="582">
        <f>SUM(E94:G94)</f>
        <v>13499109.879999999</v>
      </c>
      <c r="I94" s="582">
        <f>SUM(I95:I107)</f>
        <v>2255</v>
      </c>
      <c r="J94" s="582">
        <f>SUM(J95:J107)</f>
        <v>295</v>
      </c>
      <c r="K94" s="583">
        <f>SUM(I94:J94)</f>
        <v>2550</v>
      </c>
      <c r="L94" s="584">
        <f>SUM(L95:L107)</f>
        <v>6593323.7700000014</v>
      </c>
      <c r="M94" s="584">
        <f>SUM(M95:M107)</f>
        <v>2019889.1300000001</v>
      </c>
      <c r="N94" s="584">
        <f>SUM(N95:N107)</f>
        <v>14241953.74</v>
      </c>
      <c r="O94" s="585">
        <f>SUM(L94:N94)</f>
        <v>22855166.640000001</v>
      </c>
      <c r="P94" s="586">
        <f>SUM(P95:P107)</f>
        <v>2321</v>
      </c>
      <c r="Q94" s="582">
        <f>SUM(Q95:Q107)</f>
        <v>312</v>
      </c>
      <c r="R94" s="583">
        <f>SUM(P94:Q94)</f>
        <v>2633</v>
      </c>
      <c r="S94" s="584">
        <f t="shared" ref="S94:AD94" si="37">SUM(S95:S107)</f>
        <v>7394535.4199999999</v>
      </c>
      <c r="T94" s="584">
        <f t="shared" si="37"/>
        <v>2315566.3699999996</v>
      </c>
      <c r="U94" s="584">
        <f t="shared" si="37"/>
        <v>17145425.190000001</v>
      </c>
      <c r="V94" s="584">
        <f t="shared" si="37"/>
        <v>26855526.979999997</v>
      </c>
      <c r="W94" s="585">
        <f t="shared" si="37"/>
        <v>7783727.5999999987</v>
      </c>
      <c r="X94" s="585">
        <f t="shared" si="37"/>
        <v>2542221.94</v>
      </c>
      <c r="Y94" s="585">
        <f t="shared" si="37"/>
        <v>17976646.25</v>
      </c>
      <c r="Z94" s="585">
        <f t="shared" si="37"/>
        <v>28302595.789999999</v>
      </c>
      <c r="AA94" s="587">
        <f t="shared" si="37"/>
        <v>8458516.4100000001</v>
      </c>
      <c r="AB94" s="585">
        <f t="shared" si="37"/>
        <v>522374.37999999995</v>
      </c>
      <c r="AC94" s="585">
        <f t="shared" si="37"/>
        <v>8124001</v>
      </c>
      <c r="AD94" s="585">
        <f t="shared" si="37"/>
        <v>17104891.789999999</v>
      </c>
      <c r="AE94" s="512" t="s">
        <v>280</v>
      </c>
    </row>
    <row r="95" spans="1:31" s="531" customFormat="1" x14ac:dyDescent="0.25">
      <c r="A95" s="588" t="s">
        <v>942</v>
      </c>
      <c r="B95" s="589">
        <v>88</v>
      </c>
      <c r="C95" s="589">
        <v>3</v>
      </c>
      <c r="D95" s="583">
        <f>SUM(B95:C95)</f>
        <v>91</v>
      </c>
      <c r="E95" s="590">
        <v>141072.30999999991</v>
      </c>
      <c r="F95" s="590">
        <v>11529.03</v>
      </c>
      <c r="G95" s="590">
        <v>246846.33000000002</v>
      </c>
      <c r="H95" s="590">
        <f>SUM(E95:G95)</f>
        <v>399447.66999999993</v>
      </c>
      <c r="I95" s="589">
        <v>97</v>
      </c>
      <c r="J95" s="589">
        <v>12</v>
      </c>
      <c r="K95" s="591">
        <f>SUM(I95:J95)</f>
        <v>109</v>
      </c>
      <c r="L95" s="592">
        <v>285130.42</v>
      </c>
      <c r="M95" s="592">
        <v>37082.43</v>
      </c>
      <c r="N95" s="592">
        <v>541344.42000000004</v>
      </c>
      <c r="O95" s="593">
        <f>SUM(L95:N95)</f>
        <v>863557.27</v>
      </c>
      <c r="P95" s="594">
        <v>102</v>
      </c>
      <c r="Q95" s="589">
        <v>12</v>
      </c>
      <c r="R95" s="596">
        <f t="shared" ref="R95:R124" si="38">SUM(P95:Q95)</f>
        <v>114</v>
      </c>
      <c r="S95" s="592">
        <v>313528.58999999997</v>
      </c>
      <c r="T95" s="592">
        <v>59344.570000000007</v>
      </c>
      <c r="U95" s="592">
        <v>666047.47</v>
      </c>
      <c r="V95" s="593">
        <f>SUM(S95:U95)</f>
        <v>1038920.6299999999</v>
      </c>
      <c r="W95" s="593">
        <v>323340.21999999997</v>
      </c>
      <c r="X95" s="592">
        <v>70635.69</v>
      </c>
      <c r="Y95" s="592">
        <v>654880.84</v>
      </c>
      <c r="Z95" s="593">
        <v>1048856.75</v>
      </c>
      <c r="AA95" s="703">
        <v>369226.98999999993</v>
      </c>
      <c r="AB95" s="593">
        <v>12573.76</v>
      </c>
      <c r="AC95" s="593">
        <v>332757</v>
      </c>
      <c r="AD95" s="593">
        <f>SUM(AA95:AC95)</f>
        <v>714557.75</v>
      </c>
      <c r="AE95" s="513" t="s">
        <v>478</v>
      </c>
    </row>
    <row r="96" spans="1:31" s="531" customFormat="1" x14ac:dyDescent="0.25">
      <c r="A96" s="588" t="s">
        <v>943</v>
      </c>
      <c r="B96" s="589">
        <v>88</v>
      </c>
      <c r="C96" s="589">
        <v>4</v>
      </c>
      <c r="D96" s="583">
        <f t="shared" si="19"/>
        <v>92</v>
      </c>
      <c r="E96" s="590">
        <v>332395.65999999986</v>
      </c>
      <c r="F96" s="590">
        <v>28986.36</v>
      </c>
      <c r="G96" s="590">
        <v>509410.55</v>
      </c>
      <c r="H96" s="590">
        <f t="shared" ref="H96:H124" si="39">SUM(E96:G96)</f>
        <v>870792.56999999983</v>
      </c>
      <c r="I96" s="589">
        <v>91</v>
      </c>
      <c r="J96" s="589">
        <v>6</v>
      </c>
      <c r="K96" s="591">
        <f>SUM(I96:J96)</f>
        <v>97</v>
      </c>
      <c r="L96" s="592">
        <v>331424.76999999996</v>
      </c>
      <c r="M96" s="592">
        <v>59318.929999999993</v>
      </c>
      <c r="N96" s="592">
        <v>702634.23</v>
      </c>
      <c r="O96" s="593">
        <f t="shared" ref="O96:O124" si="40">SUM(L96:N96)</f>
        <v>1093377.93</v>
      </c>
      <c r="P96" s="594">
        <v>98</v>
      </c>
      <c r="Q96" s="589">
        <v>7</v>
      </c>
      <c r="R96" s="596">
        <f t="shared" si="38"/>
        <v>105</v>
      </c>
      <c r="S96" s="592">
        <v>335052.27</v>
      </c>
      <c r="T96" s="592">
        <v>82820.92</v>
      </c>
      <c r="U96" s="592">
        <v>813751.38</v>
      </c>
      <c r="V96" s="593">
        <f t="shared" ref="V96:V107" si="41">SUM(S96:U96)</f>
        <v>1231624.57</v>
      </c>
      <c r="W96" s="593">
        <v>355740.76</v>
      </c>
      <c r="X96" s="592">
        <v>110820.82999999999</v>
      </c>
      <c r="Y96" s="592">
        <v>844717.89</v>
      </c>
      <c r="Z96" s="593">
        <v>1311279.48</v>
      </c>
      <c r="AA96" s="703">
        <v>398888.6</v>
      </c>
      <c r="AB96" s="593">
        <v>22475.77</v>
      </c>
      <c r="AC96" s="593">
        <v>407409.21</v>
      </c>
      <c r="AD96" s="593">
        <f t="shared" ref="AD96:AD107" si="42">SUM(AA96:AC96)</f>
        <v>828773.58000000007</v>
      </c>
      <c r="AE96" s="513" t="s">
        <v>480</v>
      </c>
    </row>
    <row r="97" spans="1:31" s="531" customFormat="1" x14ac:dyDescent="0.25">
      <c r="A97" s="588" t="s">
        <v>944</v>
      </c>
      <c r="B97" s="589">
        <v>168</v>
      </c>
      <c r="C97" s="589">
        <v>19</v>
      </c>
      <c r="D97" s="583">
        <f t="shared" si="19"/>
        <v>187</v>
      </c>
      <c r="E97" s="590">
        <v>515467.31999999966</v>
      </c>
      <c r="F97" s="590">
        <v>64936.600000000006</v>
      </c>
      <c r="G97" s="590">
        <v>760562.22</v>
      </c>
      <c r="H97" s="590">
        <f t="shared" si="39"/>
        <v>1340966.1399999997</v>
      </c>
      <c r="I97" s="589">
        <v>178</v>
      </c>
      <c r="J97" s="589">
        <v>24</v>
      </c>
      <c r="K97" s="591">
        <f>SUM(I97:J97)</f>
        <v>202</v>
      </c>
      <c r="L97" s="592">
        <v>542764.78</v>
      </c>
      <c r="M97" s="592">
        <v>125291.12</v>
      </c>
      <c r="N97" s="592">
        <v>1126898.52</v>
      </c>
      <c r="O97" s="593">
        <f t="shared" si="40"/>
        <v>1794954.42</v>
      </c>
      <c r="P97" s="594">
        <v>183</v>
      </c>
      <c r="Q97" s="589">
        <v>27</v>
      </c>
      <c r="R97" s="596">
        <f t="shared" si="38"/>
        <v>210</v>
      </c>
      <c r="S97" s="592">
        <v>576450.36</v>
      </c>
      <c r="T97" s="592">
        <v>202461.67</v>
      </c>
      <c r="U97" s="592">
        <v>1383885.4800000002</v>
      </c>
      <c r="V97" s="593">
        <f t="shared" si="41"/>
        <v>2162797.5100000002</v>
      </c>
      <c r="W97" s="593">
        <v>624593.84</v>
      </c>
      <c r="X97" s="592">
        <v>231835.78</v>
      </c>
      <c r="Y97" s="592">
        <v>1406093.0700000003</v>
      </c>
      <c r="Z97" s="593">
        <v>2262522.69</v>
      </c>
      <c r="AA97" s="703">
        <v>680482.57999999984</v>
      </c>
      <c r="AB97" s="593">
        <v>46654.71</v>
      </c>
      <c r="AC97" s="593">
        <v>632853.15</v>
      </c>
      <c r="AD97" s="593">
        <f t="shared" si="42"/>
        <v>1359990.44</v>
      </c>
      <c r="AE97" s="513" t="s">
        <v>482</v>
      </c>
    </row>
    <row r="98" spans="1:31" s="531" customFormat="1" x14ac:dyDescent="0.25">
      <c r="A98" s="588" t="s">
        <v>945</v>
      </c>
      <c r="B98" s="589">
        <v>67</v>
      </c>
      <c r="C98" s="589">
        <v>4</v>
      </c>
      <c r="D98" s="583">
        <f t="shared" si="19"/>
        <v>71</v>
      </c>
      <c r="E98" s="590">
        <v>179704.59</v>
      </c>
      <c r="F98" s="590">
        <v>15359.03</v>
      </c>
      <c r="G98" s="590">
        <v>257861.88999999996</v>
      </c>
      <c r="H98" s="590">
        <f t="shared" si="39"/>
        <v>452925.50999999995</v>
      </c>
      <c r="I98" s="589">
        <v>72</v>
      </c>
      <c r="J98" s="589">
        <v>6</v>
      </c>
      <c r="K98" s="591">
        <f>SUM(I98:J98)</f>
        <v>78</v>
      </c>
      <c r="L98" s="592">
        <v>184443.64999999997</v>
      </c>
      <c r="M98" s="592">
        <v>42861.37</v>
      </c>
      <c r="N98" s="592">
        <v>375877.29</v>
      </c>
      <c r="O98" s="593">
        <f t="shared" si="40"/>
        <v>603182.30999999994</v>
      </c>
      <c r="P98" s="594">
        <v>74</v>
      </c>
      <c r="Q98" s="589">
        <v>6</v>
      </c>
      <c r="R98" s="596">
        <f t="shared" si="38"/>
        <v>80</v>
      </c>
      <c r="S98" s="592">
        <v>216983.62</v>
      </c>
      <c r="T98" s="592">
        <v>55420.86</v>
      </c>
      <c r="U98" s="592">
        <v>485186.98</v>
      </c>
      <c r="V98" s="593">
        <f t="shared" si="41"/>
        <v>757591.46</v>
      </c>
      <c r="W98" s="593">
        <v>230004.33</v>
      </c>
      <c r="X98" s="592">
        <v>59280.310000000005</v>
      </c>
      <c r="Y98" s="592">
        <v>485052.22000000003</v>
      </c>
      <c r="Z98" s="593">
        <v>774336.8600000001</v>
      </c>
      <c r="AA98" s="703">
        <v>257730.56000000003</v>
      </c>
      <c r="AB98" s="593">
        <v>10780.71</v>
      </c>
      <c r="AC98" s="593">
        <v>238918.61</v>
      </c>
      <c r="AD98" s="593">
        <f t="shared" si="42"/>
        <v>507429.88</v>
      </c>
      <c r="AE98" s="513" t="s">
        <v>484</v>
      </c>
    </row>
    <row r="99" spans="1:31" s="531" customFormat="1" x14ac:dyDescent="0.25">
      <c r="A99" s="588" t="s">
        <v>946</v>
      </c>
      <c r="B99" s="589">
        <v>77</v>
      </c>
      <c r="C99" s="589">
        <v>1</v>
      </c>
      <c r="D99" s="583">
        <f t="shared" si="19"/>
        <v>78</v>
      </c>
      <c r="E99" s="590">
        <v>222193.46000000002</v>
      </c>
      <c r="F99" s="590">
        <v>6903.79</v>
      </c>
      <c r="G99" s="590">
        <v>313921.93</v>
      </c>
      <c r="H99" s="590">
        <f t="shared" si="39"/>
        <v>543019.18000000005</v>
      </c>
      <c r="I99" s="589">
        <v>85</v>
      </c>
      <c r="J99" s="589">
        <v>13</v>
      </c>
      <c r="K99" s="591">
        <f t="shared" si="21"/>
        <v>98</v>
      </c>
      <c r="L99" s="592">
        <v>220104.74</v>
      </c>
      <c r="M99" s="592">
        <v>40266.409999999989</v>
      </c>
      <c r="N99" s="592">
        <v>432541.75000000006</v>
      </c>
      <c r="O99" s="593">
        <f t="shared" si="40"/>
        <v>692912.9</v>
      </c>
      <c r="P99" s="594">
        <v>84</v>
      </c>
      <c r="Q99" s="589">
        <v>14</v>
      </c>
      <c r="R99" s="596">
        <f t="shared" si="38"/>
        <v>98</v>
      </c>
      <c r="S99" s="592">
        <v>230736.53</v>
      </c>
      <c r="T99" s="592">
        <v>61879.810000000005</v>
      </c>
      <c r="U99" s="592">
        <v>485719.55000000005</v>
      </c>
      <c r="V99" s="593">
        <f t="shared" si="41"/>
        <v>778335.89000000013</v>
      </c>
      <c r="W99" s="593">
        <v>239310.65</v>
      </c>
      <c r="X99" s="592">
        <v>66740.08</v>
      </c>
      <c r="Y99" s="592">
        <v>835207.17999999993</v>
      </c>
      <c r="Z99" s="593">
        <v>1141257.9100000001</v>
      </c>
      <c r="AA99" s="703">
        <v>281533.06</v>
      </c>
      <c r="AB99" s="593">
        <v>11989.279999999999</v>
      </c>
      <c r="AC99" s="593">
        <v>291460.88999999996</v>
      </c>
      <c r="AD99" s="593">
        <f t="shared" si="42"/>
        <v>584983.23</v>
      </c>
      <c r="AE99" s="513" t="s">
        <v>486</v>
      </c>
    </row>
    <row r="100" spans="1:31" s="531" customFormat="1" x14ac:dyDescent="0.25">
      <c r="A100" s="588" t="s">
        <v>947</v>
      </c>
      <c r="B100" s="589">
        <v>187</v>
      </c>
      <c r="C100" s="589">
        <v>34</v>
      </c>
      <c r="D100" s="583">
        <f t="shared" si="19"/>
        <v>221</v>
      </c>
      <c r="E100" s="590">
        <v>403812.18999999971</v>
      </c>
      <c r="F100" s="590">
        <v>181263.58000000002</v>
      </c>
      <c r="G100" s="590">
        <v>870809.85999999987</v>
      </c>
      <c r="H100" s="590">
        <f t="shared" si="39"/>
        <v>1455885.6299999997</v>
      </c>
      <c r="I100" s="589">
        <v>216</v>
      </c>
      <c r="J100" s="589">
        <v>42</v>
      </c>
      <c r="K100" s="591">
        <f t="shared" si="21"/>
        <v>258</v>
      </c>
      <c r="L100" s="592">
        <v>676319.3</v>
      </c>
      <c r="M100" s="592">
        <v>292119.80000000005</v>
      </c>
      <c r="N100" s="592">
        <v>1573705.27</v>
      </c>
      <c r="O100" s="593">
        <f t="shared" si="40"/>
        <v>2542144.37</v>
      </c>
      <c r="P100" s="594">
        <v>217</v>
      </c>
      <c r="Q100" s="589">
        <v>41</v>
      </c>
      <c r="R100" s="596">
        <f t="shared" si="38"/>
        <v>258</v>
      </c>
      <c r="S100" s="592">
        <v>738543.97000000009</v>
      </c>
      <c r="T100" s="592">
        <v>255955.91000000003</v>
      </c>
      <c r="U100" s="592">
        <v>1786044.0399999998</v>
      </c>
      <c r="V100" s="593">
        <f t="shared" si="41"/>
        <v>2780543.92</v>
      </c>
      <c r="W100" s="593">
        <v>809118.98999999987</v>
      </c>
      <c r="X100" s="592">
        <v>299973.17999999993</v>
      </c>
      <c r="Y100" s="592">
        <v>1964791.8899999997</v>
      </c>
      <c r="Z100" s="593">
        <v>3073884.06</v>
      </c>
      <c r="AA100" s="703">
        <v>886056.02</v>
      </c>
      <c r="AB100" s="593">
        <v>78440</v>
      </c>
      <c r="AC100" s="593">
        <v>894955.06</v>
      </c>
      <c r="AD100" s="593">
        <f t="shared" si="42"/>
        <v>1859451.08</v>
      </c>
      <c r="AE100" s="513" t="s">
        <v>488</v>
      </c>
    </row>
    <row r="101" spans="1:31" s="531" customFormat="1" x14ac:dyDescent="0.25">
      <c r="A101" s="588" t="s">
        <v>489</v>
      </c>
      <c r="B101" s="589">
        <v>90</v>
      </c>
      <c r="C101" s="589">
        <v>7</v>
      </c>
      <c r="D101" s="583">
        <f t="shared" si="19"/>
        <v>97</v>
      </c>
      <c r="E101" s="590">
        <v>348178.65999999986</v>
      </c>
      <c r="F101" s="590">
        <v>34065.74</v>
      </c>
      <c r="G101" s="590">
        <v>530025.78</v>
      </c>
      <c r="H101" s="590">
        <f t="shared" si="39"/>
        <v>912270.17999999993</v>
      </c>
      <c r="I101" s="589">
        <v>91</v>
      </c>
      <c r="J101" s="589">
        <v>9</v>
      </c>
      <c r="K101" s="591">
        <f t="shared" si="21"/>
        <v>100</v>
      </c>
      <c r="L101" s="592">
        <v>361874.3</v>
      </c>
      <c r="M101" s="592">
        <v>72476.56</v>
      </c>
      <c r="N101" s="592">
        <v>824756.95</v>
      </c>
      <c r="O101" s="593">
        <f t="shared" si="40"/>
        <v>1259107.81</v>
      </c>
      <c r="P101" s="594">
        <v>103</v>
      </c>
      <c r="Q101" s="589">
        <v>10</v>
      </c>
      <c r="R101" s="596">
        <f t="shared" si="38"/>
        <v>113</v>
      </c>
      <c r="S101" s="592">
        <v>378842.31</v>
      </c>
      <c r="T101" s="592">
        <v>96412.569999999992</v>
      </c>
      <c r="U101" s="592">
        <v>845895.61</v>
      </c>
      <c r="V101" s="593">
        <f t="shared" si="41"/>
        <v>1321150.49</v>
      </c>
      <c r="W101" s="593">
        <v>392757.77</v>
      </c>
      <c r="X101" s="592">
        <v>98647.099999999991</v>
      </c>
      <c r="Y101" s="592">
        <v>847404.10000000009</v>
      </c>
      <c r="Z101" s="593">
        <v>1338808.97</v>
      </c>
      <c r="AA101" s="703">
        <v>428867.31</v>
      </c>
      <c r="AB101" s="593">
        <v>19621.09</v>
      </c>
      <c r="AC101" s="593">
        <v>346446.3</v>
      </c>
      <c r="AD101" s="593">
        <f t="shared" si="42"/>
        <v>794934.7</v>
      </c>
      <c r="AE101" s="513" t="s">
        <v>490</v>
      </c>
    </row>
    <row r="102" spans="1:31" s="531" customFormat="1" x14ac:dyDescent="0.25">
      <c r="A102" s="588" t="s">
        <v>948</v>
      </c>
      <c r="B102" s="589">
        <v>493</v>
      </c>
      <c r="C102" s="589">
        <v>77</v>
      </c>
      <c r="D102" s="583">
        <f t="shared" si="19"/>
        <v>570</v>
      </c>
      <c r="E102" s="590">
        <v>1987384.5099999998</v>
      </c>
      <c r="F102" s="590">
        <v>476390.75999999989</v>
      </c>
      <c r="G102" s="590">
        <v>3139024.8400000003</v>
      </c>
      <c r="H102" s="590">
        <f t="shared" si="39"/>
        <v>5602800.1099999994</v>
      </c>
      <c r="I102" s="589">
        <v>541</v>
      </c>
      <c r="J102" s="589">
        <v>108</v>
      </c>
      <c r="K102" s="591">
        <f t="shared" si="21"/>
        <v>649</v>
      </c>
      <c r="L102" s="592">
        <v>1954434.2600000002</v>
      </c>
      <c r="M102" s="592">
        <v>935705.84000000008</v>
      </c>
      <c r="N102" s="592">
        <v>4854473.24</v>
      </c>
      <c r="O102" s="593">
        <f t="shared" si="40"/>
        <v>7744613.3400000008</v>
      </c>
      <c r="P102" s="594">
        <v>577</v>
      </c>
      <c r="Q102" s="589">
        <v>109</v>
      </c>
      <c r="R102" s="596">
        <f t="shared" si="38"/>
        <v>686</v>
      </c>
      <c r="S102" s="592">
        <v>2126042.8299999996</v>
      </c>
      <c r="T102" s="592">
        <v>1144453.3700000001</v>
      </c>
      <c r="U102" s="592">
        <v>5654913.1200000001</v>
      </c>
      <c r="V102" s="593">
        <f t="shared" si="41"/>
        <v>8925409.3200000003</v>
      </c>
      <c r="W102" s="593">
        <v>2325309.8399999994</v>
      </c>
      <c r="X102" s="592">
        <v>1195907.31</v>
      </c>
      <c r="Y102" s="592">
        <v>5880608.2299999995</v>
      </c>
      <c r="Z102" s="593">
        <v>9401825.379999999</v>
      </c>
      <c r="AA102" s="703">
        <v>2546849.56</v>
      </c>
      <c r="AB102" s="593">
        <v>217917.38</v>
      </c>
      <c r="AC102" s="593">
        <v>2509505.7400000002</v>
      </c>
      <c r="AD102" s="593">
        <f t="shared" si="42"/>
        <v>5274272.68</v>
      </c>
      <c r="AE102" s="513" t="s">
        <v>492</v>
      </c>
    </row>
    <row r="103" spans="1:31" s="531" customFormat="1" x14ac:dyDescent="0.25">
      <c r="A103" s="588" t="s">
        <v>949</v>
      </c>
      <c r="B103" s="589">
        <v>0</v>
      </c>
      <c r="C103" s="589">
        <v>0</v>
      </c>
      <c r="D103" s="583">
        <f t="shared" si="19"/>
        <v>0</v>
      </c>
      <c r="E103" s="590">
        <v>0</v>
      </c>
      <c r="F103" s="590">
        <v>0</v>
      </c>
      <c r="G103" s="590">
        <v>0</v>
      </c>
      <c r="H103" s="590">
        <f t="shared" si="39"/>
        <v>0</v>
      </c>
      <c r="I103" s="589">
        <v>428</v>
      </c>
      <c r="J103" s="589">
        <v>42</v>
      </c>
      <c r="K103" s="591">
        <f t="shared" si="21"/>
        <v>470</v>
      </c>
      <c r="L103" s="592">
        <v>914032.8</v>
      </c>
      <c r="M103" s="592">
        <v>271772.73</v>
      </c>
      <c r="N103" s="592">
        <v>1551550.29</v>
      </c>
      <c r="O103" s="593">
        <f t="shared" si="40"/>
        <v>2737355.8200000003</v>
      </c>
      <c r="P103" s="594">
        <v>424</v>
      </c>
      <c r="Q103" s="589">
        <v>45</v>
      </c>
      <c r="R103" s="596">
        <f t="shared" si="38"/>
        <v>469</v>
      </c>
      <c r="S103" s="592">
        <v>1198318.9600000002</v>
      </c>
      <c r="T103" s="592">
        <v>174244.86000000002</v>
      </c>
      <c r="U103" s="592">
        <v>2234452.2399999998</v>
      </c>
      <c r="V103" s="593">
        <f t="shared" si="41"/>
        <v>3607016.06</v>
      </c>
      <c r="W103" s="593">
        <v>1208805.52</v>
      </c>
      <c r="X103" s="592">
        <v>185975.78</v>
      </c>
      <c r="Y103" s="592">
        <v>2378712.23</v>
      </c>
      <c r="Z103" s="593">
        <v>3773493.5300000003</v>
      </c>
      <c r="AA103" s="703">
        <v>1288455.4700000004</v>
      </c>
      <c r="AB103" s="593">
        <v>42622.619999999995</v>
      </c>
      <c r="AC103" s="593">
        <v>1246435.49</v>
      </c>
      <c r="AD103" s="593">
        <f t="shared" si="42"/>
        <v>2577513.58</v>
      </c>
      <c r="AE103" s="513" t="s">
        <v>494</v>
      </c>
    </row>
    <row r="104" spans="1:31" s="531" customFormat="1" x14ac:dyDescent="0.25">
      <c r="A104" s="588" t="s">
        <v>950</v>
      </c>
      <c r="B104" s="589">
        <v>183</v>
      </c>
      <c r="C104" s="589">
        <v>9</v>
      </c>
      <c r="D104" s="583">
        <f t="shared" si="19"/>
        <v>192</v>
      </c>
      <c r="E104" s="590">
        <v>514418.57999999967</v>
      </c>
      <c r="F104" s="590">
        <v>37896.39</v>
      </c>
      <c r="G104" s="590">
        <v>761516.66</v>
      </c>
      <c r="H104" s="590">
        <f t="shared" si="39"/>
        <v>1313831.6299999997</v>
      </c>
      <c r="I104" s="589">
        <v>216</v>
      </c>
      <c r="J104" s="589">
        <v>13</v>
      </c>
      <c r="K104" s="591">
        <f t="shared" si="21"/>
        <v>229</v>
      </c>
      <c r="L104" s="592">
        <v>534684.97</v>
      </c>
      <c r="M104" s="592">
        <v>67133.989999999991</v>
      </c>
      <c r="N104" s="592">
        <v>1048099.2699999999</v>
      </c>
      <c r="O104" s="593">
        <f t="shared" si="40"/>
        <v>1649918.23</v>
      </c>
      <c r="P104" s="594">
        <v>221</v>
      </c>
      <c r="Q104" s="589">
        <v>14</v>
      </c>
      <c r="R104" s="596">
        <f t="shared" si="38"/>
        <v>235</v>
      </c>
      <c r="S104" s="592">
        <v>570699.71</v>
      </c>
      <c r="T104" s="592">
        <v>69297.359999999986</v>
      </c>
      <c r="U104" s="592">
        <v>1163437.1299999999</v>
      </c>
      <c r="V104" s="593">
        <f t="shared" si="41"/>
        <v>1803434.1999999997</v>
      </c>
      <c r="W104" s="593">
        <v>563371.23</v>
      </c>
      <c r="X104" s="592">
        <v>73137.62</v>
      </c>
      <c r="Y104" s="592">
        <v>1130815.5299999998</v>
      </c>
      <c r="Z104" s="593">
        <v>1767324.3800000001</v>
      </c>
      <c r="AA104" s="703">
        <v>558807.98</v>
      </c>
      <c r="AB104" s="593">
        <v>20027.91</v>
      </c>
      <c r="AC104" s="593">
        <v>491651.05</v>
      </c>
      <c r="AD104" s="593">
        <f t="shared" si="42"/>
        <v>1070486.94</v>
      </c>
      <c r="AE104" s="513" t="s">
        <v>496</v>
      </c>
    </row>
    <row r="105" spans="1:31" s="531" customFormat="1" x14ac:dyDescent="0.25">
      <c r="A105" s="588" t="s">
        <v>951</v>
      </c>
      <c r="B105" s="589">
        <v>0</v>
      </c>
      <c r="C105" s="589">
        <v>0</v>
      </c>
      <c r="D105" s="583">
        <f t="shared" si="19"/>
        <v>0</v>
      </c>
      <c r="E105" s="590">
        <v>0</v>
      </c>
      <c r="F105" s="590">
        <v>0</v>
      </c>
      <c r="G105" s="590">
        <v>0</v>
      </c>
      <c r="H105" s="590">
        <f t="shared" si="39"/>
        <v>0</v>
      </c>
      <c r="I105" s="589">
        <v>56</v>
      </c>
      <c r="J105" s="589">
        <v>2</v>
      </c>
      <c r="K105" s="591">
        <f t="shared" si="21"/>
        <v>58</v>
      </c>
      <c r="L105" s="592">
        <v>128414.94</v>
      </c>
      <c r="M105" s="592">
        <v>4060.7300000000005</v>
      </c>
      <c r="N105" s="592">
        <v>262261.65999999997</v>
      </c>
      <c r="O105" s="593">
        <f t="shared" si="40"/>
        <v>394737.32999999996</v>
      </c>
      <c r="P105" s="594">
        <v>49</v>
      </c>
      <c r="Q105" s="589">
        <v>5</v>
      </c>
      <c r="R105" s="596">
        <f t="shared" si="38"/>
        <v>54</v>
      </c>
      <c r="S105" s="592">
        <v>165215.75000000003</v>
      </c>
      <c r="T105" s="592">
        <v>23459.84</v>
      </c>
      <c r="U105" s="592">
        <v>459295.56999999995</v>
      </c>
      <c r="V105" s="593">
        <f t="shared" si="41"/>
        <v>647971.15999999992</v>
      </c>
      <c r="W105" s="593">
        <v>174383.02000000002</v>
      </c>
      <c r="X105" s="592">
        <v>44977.45</v>
      </c>
      <c r="Y105" s="592">
        <v>408052.77</v>
      </c>
      <c r="Z105" s="593">
        <v>627413.24</v>
      </c>
      <c r="AA105" s="703">
        <v>193840.58</v>
      </c>
      <c r="AB105" s="593">
        <v>10738.599999999999</v>
      </c>
      <c r="AC105" s="593">
        <v>207122.71000000002</v>
      </c>
      <c r="AD105" s="593">
        <f t="shared" si="42"/>
        <v>411701.89</v>
      </c>
      <c r="AE105" s="513" t="s">
        <v>498</v>
      </c>
    </row>
    <row r="106" spans="1:31" s="531" customFormat="1" x14ac:dyDescent="0.25">
      <c r="A106" s="588" t="s">
        <v>952</v>
      </c>
      <c r="B106" s="589">
        <v>0</v>
      </c>
      <c r="C106" s="589">
        <v>0</v>
      </c>
      <c r="D106" s="583">
        <f t="shared" si="19"/>
        <v>0</v>
      </c>
      <c r="E106" s="590">
        <v>0</v>
      </c>
      <c r="F106" s="590">
        <v>0</v>
      </c>
      <c r="G106" s="590">
        <v>0</v>
      </c>
      <c r="H106" s="590">
        <f t="shared" si="39"/>
        <v>0</v>
      </c>
      <c r="I106" s="589">
        <v>49</v>
      </c>
      <c r="J106" s="589">
        <v>1</v>
      </c>
      <c r="K106" s="591">
        <f t="shared" si="21"/>
        <v>50</v>
      </c>
      <c r="L106" s="592">
        <v>86386.069999999992</v>
      </c>
      <c r="M106" s="592">
        <v>4208.6900000000005</v>
      </c>
      <c r="N106" s="592">
        <v>170581.36</v>
      </c>
      <c r="O106" s="593">
        <f t="shared" si="40"/>
        <v>261176.12</v>
      </c>
      <c r="P106" s="594">
        <v>51</v>
      </c>
      <c r="Q106" s="589">
        <v>1</v>
      </c>
      <c r="R106" s="596">
        <f t="shared" si="38"/>
        <v>52</v>
      </c>
      <c r="S106" s="592">
        <v>103627.75</v>
      </c>
      <c r="T106" s="592">
        <v>5384.77</v>
      </c>
      <c r="U106" s="592">
        <v>207514.12</v>
      </c>
      <c r="V106" s="593">
        <f t="shared" si="41"/>
        <v>316526.64</v>
      </c>
      <c r="W106" s="593">
        <v>106701.35999999999</v>
      </c>
      <c r="X106" s="592">
        <v>6484.36</v>
      </c>
      <c r="Y106" s="592">
        <v>207415.50999999998</v>
      </c>
      <c r="Z106" s="593">
        <v>320601.23</v>
      </c>
      <c r="AA106" s="703">
        <v>118775.43000000001</v>
      </c>
      <c r="AB106" s="593">
        <v>1103.3399999999999</v>
      </c>
      <c r="AC106" s="593">
        <v>107090.60999999999</v>
      </c>
      <c r="AD106" s="593">
        <f t="shared" si="42"/>
        <v>226969.38</v>
      </c>
      <c r="AE106" s="513" t="s">
        <v>500</v>
      </c>
    </row>
    <row r="107" spans="1:31" s="531" customFormat="1" x14ac:dyDescent="0.25">
      <c r="A107" s="588" t="s">
        <v>899</v>
      </c>
      <c r="B107" s="589">
        <v>110</v>
      </c>
      <c r="C107" s="589">
        <v>13</v>
      </c>
      <c r="D107" s="583">
        <f t="shared" si="19"/>
        <v>123</v>
      </c>
      <c r="E107" s="590">
        <v>198366.9699999998</v>
      </c>
      <c r="F107" s="590">
        <v>40000.07</v>
      </c>
      <c r="G107" s="590">
        <v>368804.22</v>
      </c>
      <c r="H107" s="590">
        <f t="shared" si="39"/>
        <v>607171.25999999978</v>
      </c>
      <c r="I107" s="589">
        <v>135</v>
      </c>
      <c r="J107" s="589">
        <v>17</v>
      </c>
      <c r="K107" s="591">
        <f t="shared" si="21"/>
        <v>152</v>
      </c>
      <c r="L107" s="592">
        <v>373308.77</v>
      </c>
      <c r="M107" s="592">
        <v>67590.530000000013</v>
      </c>
      <c r="N107" s="592">
        <v>777229.49</v>
      </c>
      <c r="O107" s="593">
        <f t="shared" si="40"/>
        <v>1218128.79</v>
      </c>
      <c r="P107" s="594">
        <v>138</v>
      </c>
      <c r="Q107" s="589">
        <v>21</v>
      </c>
      <c r="R107" s="596">
        <f t="shared" si="38"/>
        <v>159</v>
      </c>
      <c r="S107" s="592">
        <v>440492.77</v>
      </c>
      <c r="T107" s="592">
        <v>84429.86</v>
      </c>
      <c r="U107" s="592">
        <v>959282.50000000012</v>
      </c>
      <c r="V107" s="593">
        <f t="shared" si="41"/>
        <v>1484205.1300000001</v>
      </c>
      <c r="W107" s="593">
        <v>430290.07</v>
      </c>
      <c r="X107" s="592">
        <v>97806.45</v>
      </c>
      <c r="Y107" s="592">
        <v>932894.78999999992</v>
      </c>
      <c r="Z107" s="593">
        <v>1460991.31</v>
      </c>
      <c r="AA107" s="703">
        <v>449002.26999999996</v>
      </c>
      <c r="AB107" s="593">
        <v>27429.21</v>
      </c>
      <c r="AC107" s="593">
        <v>417395.18</v>
      </c>
      <c r="AD107" s="593">
        <f t="shared" si="42"/>
        <v>893826.65999999992</v>
      </c>
      <c r="AE107" s="513" t="s">
        <v>396</v>
      </c>
    </row>
    <row r="108" spans="1:31" s="531" customFormat="1" x14ac:dyDescent="0.25">
      <c r="A108" s="581" t="s">
        <v>840</v>
      </c>
      <c r="B108" s="582">
        <f>SUM(B109:B113)</f>
        <v>1772</v>
      </c>
      <c r="C108" s="582">
        <f>SUM(C109:C113)</f>
        <v>115</v>
      </c>
      <c r="D108" s="583">
        <f>SUM(B108:C108)</f>
        <v>1887</v>
      </c>
      <c r="E108" s="582">
        <f>SUM(E109:E113)</f>
        <v>6532341.570000004</v>
      </c>
      <c r="F108" s="582">
        <f>SUM(F109:F113)</f>
        <v>803667.12000000011</v>
      </c>
      <c r="G108" s="582">
        <f>SUM(G109:G113)</f>
        <v>10057799.829999998</v>
      </c>
      <c r="H108" s="582">
        <f t="shared" si="39"/>
        <v>17393808.520000003</v>
      </c>
      <c r="I108" s="582">
        <f>SUM(I109:I113)</f>
        <v>1897</v>
      </c>
      <c r="J108" s="582">
        <f>SUM(J109:J113)</f>
        <v>153</v>
      </c>
      <c r="K108" s="583">
        <f>SUM(I108:J108)</f>
        <v>2050</v>
      </c>
      <c r="L108" s="584">
        <f>SUM(L109:L113)</f>
        <v>6772116.7000000002</v>
      </c>
      <c r="M108" s="584">
        <f>SUM(M109:M113)</f>
        <v>1197354.4199999997</v>
      </c>
      <c r="N108" s="584">
        <f>SUM(N109:N113)</f>
        <v>13703008.299999999</v>
      </c>
      <c r="O108" s="585">
        <f t="shared" si="40"/>
        <v>21672479.419999998</v>
      </c>
      <c r="P108" s="586">
        <f>SUM(P109:P113)</f>
        <v>2041</v>
      </c>
      <c r="Q108" s="582">
        <f>SUM(Q109:Q113)</f>
        <v>182</v>
      </c>
      <c r="R108" s="583">
        <f t="shared" si="38"/>
        <v>2223</v>
      </c>
      <c r="S108" s="584">
        <f t="shared" ref="S108:AD108" si="43">SUM(S109:S113)</f>
        <v>7387034.1399999987</v>
      </c>
      <c r="T108" s="584">
        <f t="shared" si="43"/>
        <v>1425814.5</v>
      </c>
      <c r="U108" s="584">
        <f t="shared" si="43"/>
        <v>15919035.439999999</v>
      </c>
      <c r="V108" s="584">
        <f t="shared" si="43"/>
        <v>24731884.079999998</v>
      </c>
      <c r="W108" s="585">
        <f t="shared" si="43"/>
        <v>7496429.5099999998</v>
      </c>
      <c r="X108" s="585">
        <f t="shared" si="43"/>
        <v>1782593.77</v>
      </c>
      <c r="Y108" s="585">
        <f t="shared" si="43"/>
        <v>16637478.93</v>
      </c>
      <c r="Z108" s="585">
        <f t="shared" si="43"/>
        <v>25916502.210000005</v>
      </c>
      <c r="AA108" s="587">
        <f t="shared" si="43"/>
        <v>7940274.9700000007</v>
      </c>
      <c r="AB108" s="585">
        <f t="shared" si="43"/>
        <v>428335.61</v>
      </c>
      <c r="AC108" s="585">
        <f t="shared" si="43"/>
        <v>7709916.5100000016</v>
      </c>
      <c r="AD108" s="585">
        <f t="shared" si="43"/>
        <v>16078527.090000002</v>
      </c>
      <c r="AE108" s="512" t="s">
        <v>282</v>
      </c>
    </row>
    <row r="109" spans="1:31" s="531" customFormat="1" x14ac:dyDescent="0.25">
      <c r="A109" s="588" t="s">
        <v>953</v>
      </c>
      <c r="B109" s="589">
        <v>595</v>
      </c>
      <c r="C109" s="589">
        <v>38</v>
      </c>
      <c r="D109" s="583">
        <f>SUM(B109:C109)</f>
        <v>633</v>
      </c>
      <c r="E109" s="590">
        <v>2394007.17</v>
      </c>
      <c r="F109" s="590">
        <v>276143.03000000003</v>
      </c>
      <c r="G109" s="590">
        <v>3598642.32</v>
      </c>
      <c r="H109" s="590">
        <f t="shared" si="39"/>
        <v>6268792.5199999996</v>
      </c>
      <c r="I109" s="589">
        <v>617</v>
      </c>
      <c r="J109" s="589">
        <v>50</v>
      </c>
      <c r="K109" s="591">
        <f t="shared" si="21"/>
        <v>667</v>
      </c>
      <c r="L109" s="592">
        <v>2282666.33</v>
      </c>
      <c r="M109" s="592">
        <v>436009.88</v>
      </c>
      <c r="N109" s="592">
        <v>4823161.93</v>
      </c>
      <c r="O109" s="593">
        <f t="shared" si="40"/>
        <v>7541838.1399999997</v>
      </c>
      <c r="P109" s="594">
        <v>623</v>
      </c>
      <c r="Q109" s="589">
        <v>53</v>
      </c>
      <c r="R109" s="596">
        <f t="shared" si="38"/>
        <v>676</v>
      </c>
      <c r="S109" s="592">
        <v>2453300.3899999997</v>
      </c>
      <c r="T109" s="592">
        <v>509599.1399999999</v>
      </c>
      <c r="U109" s="592">
        <v>5558266.4300000006</v>
      </c>
      <c r="V109" s="593">
        <f>SUM(S109:U109)</f>
        <v>8521165.9600000009</v>
      </c>
      <c r="W109" s="593">
        <v>2418754.4900000007</v>
      </c>
      <c r="X109" s="592">
        <v>688945.72000000009</v>
      </c>
      <c r="Y109" s="592">
        <v>5823585.5700000003</v>
      </c>
      <c r="Z109" s="593">
        <v>8931285.7800000012</v>
      </c>
      <c r="AA109" s="703">
        <v>2497674.66</v>
      </c>
      <c r="AB109" s="593">
        <v>158475.56999999998</v>
      </c>
      <c r="AC109" s="593">
        <v>2479407.2300000004</v>
      </c>
      <c r="AD109" s="593">
        <f>SUM(AA109:AC109)</f>
        <v>5135557.4600000009</v>
      </c>
      <c r="AE109" s="513" t="s">
        <v>502</v>
      </c>
    </row>
    <row r="110" spans="1:31" s="531" customFormat="1" x14ac:dyDescent="0.25">
      <c r="A110" s="588" t="s">
        <v>954</v>
      </c>
      <c r="B110" s="589">
        <v>758</v>
      </c>
      <c r="C110" s="589">
        <v>61</v>
      </c>
      <c r="D110" s="583">
        <f t="shared" si="19"/>
        <v>819</v>
      </c>
      <c r="E110" s="590">
        <v>3157794.9600000042</v>
      </c>
      <c r="F110" s="590">
        <v>467113.92999999993</v>
      </c>
      <c r="G110" s="590">
        <v>4852505.71</v>
      </c>
      <c r="H110" s="590">
        <f t="shared" si="39"/>
        <v>8477414.6000000052</v>
      </c>
      <c r="I110" s="589">
        <v>835</v>
      </c>
      <c r="J110" s="589">
        <v>80</v>
      </c>
      <c r="K110" s="591">
        <f t="shared" si="21"/>
        <v>915</v>
      </c>
      <c r="L110" s="592">
        <v>3121063.7199999997</v>
      </c>
      <c r="M110" s="592">
        <v>656055.87999999989</v>
      </c>
      <c r="N110" s="592">
        <v>6376770.8000000007</v>
      </c>
      <c r="O110" s="593">
        <f t="shared" si="40"/>
        <v>10153890.4</v>
      </c>
      <c r="P110" s="594">
        <v>870</v>
      </c>
      <c r="Q110" s="589">
        <v>86</v>
      </c>
      <c r="R110" s="596">
        <f t="shared" si="38"/>
        <v>956</v>
      </c>
      <c r="S110" s="592">
        <v>3420770.4899999993</v>
      </c>
      <c r="T110" s="592">
        <v>752241.81</v>
      </c>
      <c r="U110" s="592">
        <v>7435511.6999999993</v>
      </c>
      <c r="V110" s="593">
        <f>SUM(S110:U110)</f>
        <v>11608523.999999998</v>
      </c>
      <c r="W110" s="593">
        <v>3569865.5999999996</v>
      </c>
      <c r="X110" s="592">
        <v>864461.12999999989</v>
      </c>
      <c r="Y110" s="592">
        <v>7827218.5099999998</v>
      </c>
      <c r="Z110" s="593">
        <v>12261545.240000002</v>
      </c>
      <c r="AA110" s="703">
        <v>3810607.65</v>
      </c>
      <c r="AB110" s="593">
        <v>220816.52000000002</v>
      </c>
      <c r="AC110" s="593">
        <v>3358735.9400000004</v>
      </c>
      <c r="AD110" s="593">
        <f>SUM(AA110:AC110)</f>
        <v>7390160.1100000003</v>
      </c>
      <c r="AE110" s="513" t="s">
        <v>504</v>
      </c>
    </row>
    <row r="111" spans="1:31" s="531" customFormat="1" x14ac:dyDescent="0.25">
      <c r="A111" s="588" t="s">
        <v>955</v>
      </c>
      <c r="B111" s="589">
        <v>275</v>
      </c>
      <c r="C111" s="589">
        <v>12</v>
      </c>
      <c r="D111" s="583">
        <f t="shared" si="19"/>
        <v>287</v>
      </c>
      <c r="E111" s="590">
        <v>525773.21999999951</v>
      </c>
      <c r="F111" s="590">
        <v>46941.31</v>
      </c>
      <c r="G111" s="590">
        <v>942050.03</v>
      </c>
      <c r="H111" s="590">
        <f t="shared" si="39"/>
        <v>1514764.5599999996</v>
      </c>
      <c r="I111" s="589">
        <v>300</v>
      </c>
      <c r="J111" s="589">
        <v>17</v>
      </c>
      <c r="K111" s="591">
        <f t="shared" si="21"/>
        <v>317</v>
      </c>
      <c r="L111" s="592">
        <v>935584.99000000011</v>
      </c>
      <c r="M111" s="592">
        <v>88475.549999999988</v>
      </c>
      <c r="N111" s="592">
        <v>1725717.3500000003</v>
      </c>
      <c r="O111" s="593">
        <f t="shared" si="40"/>
        <v>2749777.8900000006</v>
      </c>
      <c r="P111" s="594">
        <v>306</v>
      </c>
      <c r="Q111" s="589">
        <v>34</v>
      </c>
      <c r="R111" s="596">
        <f t="shared" si="38"/>
        <v>340</v>
      </c>
      <c r="S111" s="592">
        <v>995617.57</v>
      </c>
      <c r="T111" s="592">
        <v>128149.17</v>
      </c>
      <c r="U111" s="592">
        <v>1958908.48</v>
      </c>
      <c r="V111" s="593">
        <f>SUM(S111:U111)</f>
        <v>3082675.2199999997</v>
      </c>
      <c r="W111" s="593">
        <v>1037224.3800000001</v>
      </c>
      <c r="X111" s="592">
        <v>183294.66999999998</v>
      </c>
      <c r="Y111" s="592">
        <v>2066797.1900000002</v>
      </c>
      <c r="Z111" s="593">
        <v>3287316.2400000007</v>
      </c>
      <c r="AA111" s="703">
        <v>1130287.4000000001</v>
      </c>
      <c r="AB111" s="593">
        <v>36116.119999999995</v>
      </c>
      <c r="AC111" s="593">
        <v>985524.74</v>
      </c>
      <c r="AD111" s="593">
        <f>SUM(AA111:AC111)</f>
        <v>2151928.2599999998</v>
      </c>
      <c r="AE111" s="513" t="s">
        <v>506</v>
      </c>
    </row>
    <row r="112" spans="1:31" s="531" customFormat="1" x14ac:dyDescent="0.25">
      <c r="A112" s="588" t="s">
        <v>956</v>
      </c>
      <c r="B112" s="589">
        <v>101</v>
      </c>
      <c r="C112" s="589">
        <v>4</v>
      </c>
      <c r="D112" s="583">
        <f t="shared" ref="D112:D175" si="44">SUM(B112:C112)</f>
        <v>105</v>
      </c>
      <c r="E112" s="590">
        <v>340959.71999999974</v>
      </c>
      <c r="F112" s="590">
        <v>12811.05</v>
      </c>
      <c r="G112" s="590">
        <v>498187.24</v>
      </c>
      <c r="H112" s="590">
        <f t="shared" si="39"/>
        <v>851958.00999999978</v>
      </c>
      <c r="I112" s="589">
        <v>103</v>
      </c>
      <c r="J112" s="589">
        <v>4</v>
      </c>
      <c r="K112" s="591">
        <f t="shared" ref="K112:K132" si="45">SUM(I112:J112)</f>
        <v>107</v>
      </c>
      <c r="L112" s="592">
        <v>338989.26000000007</v>
      </c>
      <c r="M112" s="592">
        <v>16403.71</v>
      </c>
      <c r="N112" s="592">
        <v>616173.10999999987</v>
      </c>
      <c r="O112" s="593">
        <f t="shared" si="40"/>
        <v>971566.07999999996</v>
      </c>
      <c r="P112" s="594">
        <v>212</v>
      </c>
      <c r="Q112" s="589">
        <v>9</v>
      </c>
      <c r="R112" s="596">
        <f t="shared" si="38"/>
        <v>221</v>
      </c>
      <c r="S112" s="592">
        <v>425656.22000000003</v>
      </c>
      <c r="T112" s="592">
        <v>35571.100000000006</v>
      </c>
      <c r="U112" s="592">
        <v>821653.44999999984</v>
      </c>
      <c r="V112" s="593">
        <f>SUM(S112:U112)</f>
        <v>1282880.77</v>
      </c>
      <c r="W112" s="593">
        <v>431719.77</v>
      </c>
      <c r="X112" s="592">
        <v>45877.67</v>
      </c>
      <c r="Y112" s="592">
        <v>852069.87000000011</v>
      </c>
      <c r="Z112" s="593">
        <v>1329667.31</v>
      </c>
      <c r="AA112" s="703">
        <v>483518.49999999994</v>
      </c>
      <c r="AB112" s="593">
        <v>12927.4</v>
      </c>
      <c r="AC112" s="593">
        <v>821110.4</v>
      </c>
      <c r="AD112" s="593">
        <f>SUM(AA112:AC112)</f>
        <v>1317556.3</v>
      </c>
      <c r="AE112" s="513" t="s">
        <v>508</v>
      </c>
    </row>
    <row r="113" spans="1:31" s="531" customFormat="1" x14ac:dyDescent="0.25">
      <c r="A113" s="588" t="s">
        <v>957</v>
      </c>
      <c r="B113" s="589">
        <v>43</v>
      </c>
      <c r="C113" s="589">
        <v>0</v>
      </c>
      <c r="D113" s="583">
        <f t="shared" si="44"/>
        <v>43</v>
      </c>
      <c r="E113" s="590">
        <v>113806.50000000001</v>
      </c>
      <c r="F113" s="590">
        <v>657.8</v>
      </c>
      <c r="G113" s="590">
        <v>166414.53</v>
      </c>
      <c r="H113" s="590">
        <f t="shared" si="39"/>
        <v>280878.83</v>
      </c>
      <c r="I113" s="589">
        <v>42</v>
      </c>
      <c r="J113" s="589">
        <v>2</v>
      </c>
      <c r="K113" s="591">
        <f t="shared" si="45"/>
        <v>44</v>
      </c>
      <c r="L113" s="592">
        <v>93812.4</v>
      </c>
      <c r="M113" s="592">
        <v>409.4</v>
      </c>
      <c r="N113" s="592">
        <v>161185.10999999999</v>
      </c>
      <c r="O113" s="593">
        <f t="shared" si="40"/>
        <v>255406.90999999997</v>
      </c>
      <c r="P113" s="594">
        <v>30</v>
      </c>
      <c r="Q113" s="589">
        <v>0</v>
      </c>
      <c r="R113" s="596">
        <f t="shared" si="38"/>
        <v>30</v>
      </c>
      <c r="S113" s="592">
        <v>91689.47</v>
      </c>
      <c r="T113" s="592">
        <v>253.28000000000003</v>
      </c>
      <c r="U113" s="592">
        <v>144695.38</v>
      </c>
      <c r="V113" s="593">
        <f>SUM(S113:U113)</f>
        <v>236638.13</v>
      </c>
      <c r="W113" s="593">
        <v>38865.270000000004</v>
      </c>
      <c r="X113" s="592">
        <v>14.58</v>
      </c>
      <c r="Y113" s="592">
        <v>67807.790000000008</v>
      </c>
      <c r="Z113" s="593">
        <v>106687.63999999998</v>
      </c>
      <c r="AA113" s="703">
        <v>18186.760000000002</v>
      </c>
      <c r="AB113" s="593">
        <v>0</v>
      </c>
      <c r="AC113" s="593">
        <v>65138.2</v>
      </c>
      <c r="AD113" s="593">
        <f>SUM(AA113:AC113)</f>
        <v>83324.959999999992</v>
      </c>
      <c r="AE113" s="513" t="s">
        <v>510</v>
      </c>
    </row>
    <row r="114" spans="1:31" s="531" customFormat="1" x14ac:dyDescent="0.25">
      <c r="A114" s="581" t="s">
        <v>841</v>
      </c>
      <c r="B114" s="582">
        <f>SUM(B115:B124)</f>
        <v>314</v>
      </c>
      <c r="C114" s="582">
        <f>SUM(C115:C124)</f>
        <v>0</v>
      </c>
      <c r="D114" s="583">
        <f>SUM(B114:C114)</f>
        <v>314</v>
      </c>
      <c r="E114" s="582">
        <f>SUM(E115:E124)</f>
        <v>436903.82999999996</v>
      </c>
      <c r="F114" s="582">
        <f>SUM(F115:F124)</f>
        <v>0</v>
      </c>
      <c r="G114" s="582">
        <f>SUM(G115:G124)</f>
        <v>535041.3600000001</v>
      </c>
      <c r="H114" s="582">
        <f t="shared" si="39"/>
        <v>971945.19000000006</v>
      </c>
      <c r="I114" s="582">
        <f>SUM(I115:I124)</f>
        <v>576</v>
      </c>
      <c r="J114" s="582">
        <f>SUM(J115:J124)</f>
        <v>0</v>
      </c>
      <c r="K114" s="583">
        <f>SUM(I114:J114)</f>
        <v>576</v>
      </c>
      <c r="L114" s="584">
        <f>SUM(L115:L124)</f>
        <v>1445197.81</v>
      </c>
      <c r="M114" s="584">
        <f>SUM(M115:M124)</f>
        <v>0</v>
      </c>
      <c r="N114" s="584">
        <f>SUM(N115:N124)</f>
        <v>9308901.1400000006</v>
      </c>
      <c r="O114" s="585">
        <f t="shared" si="40"/>
        <v>10754098.950000001</v>
      </c>
      <c r="P114" s="586">
        <f>SUM(P115:P124)</f>
        <v>1956</v>
      </c>
      <c r="Q114" s="582">
        <f>SUM(Q115:Q124)</f>
        <v>0</v>
      </c>
      <c r="R114" s="583">
        <f t="shared" si="38"/>
        <v>1956</v>
      </c>
      <c r="S114" s="584">
        <f t="shared" ref="S114:AD114" si="46">SUM(S115:S124)</f>
        <v>2254435.5299999998</v>
      </c>
      <c r="T114" s="584">
        <f t="shared" si="46"/>
        <v>0</v>
      </c>
      <c r="U114" s="584">
        <f t="shared" si="46"/>
        <v>14302034.989999998</v>
      </c>
      <c r="V114" s="584">
        <f t="shared" si="46"/>
        <v>16556470.52</v>
      </c>
      <c r="W114" s="585">
        <f t="shared" si="46"/>
        <v>2488778.08</v>
      </c>
      <c r="X114" s="585">
        <f t="shared" si="46"/>
        <v>0</v>
      </c>
      <c r="Y114" s="585">
        <f t="shared" si="46"/>
        <v>16165452.290000001</v>
      </c>
      <c r="Z114" s="585">
        <f t="shared" si="46"/>
        <v>18654230.370000001</v>
      </c>
      <c r="AA114" s="587">
        <f t="shared" si="46"/>
        <v>2389413.4799999995</v>
      </c>
      <c r="AB114" s="585">
        <f t="shared" si="46"/>
        <v>0</v>
      </c>
      <c r="AC114" s="585">
        <f t="shared" si="46"/>
        <v>7943250.0799999991</v>
      </c>
      <c r="AD114" s="585">
        <f t="shared" si="46"/>
        <v>10332663.560000001</v>
      </c>
      <c r="AE114" s="512" t="s">
        <v>284</v>
      </c>
    </row>
    <row r="115" spans="1:31" s="531" customFormat="1" x14ac:dyDescent="0.25">
      <c r="A115" s="588" t="s">
        <v>958</v>
      </c>
      <c r="B115" s="589">
        <v>0</v>
      </c>
      <c r="C115" s="589">
        <v>0</v>
      </c>
      <c r="D115" s="583">
        <f t="shared" si="44"/>
        <v>0</v>
      </c>
      <c r="E115" s="590">
        <v>0</v>
      </c>
      <c r="F115" s="590">
        <v>0</v>
      </c>
      <c r="G115" s="590">
        <v>0</v>
      </c>
      <c r="H115" s="590">
        <f t="shared" si="39"/>
        <v>0</v>
      </c>
      <c r="I115" s="589">
        <v>0</v>
      </c>
      <c r="J115" s="589">
        <v>0</v>
      </c>
      <c r="K115" s="591">
        <f t="shared" si="45"/>
        <v>0</v>
      </c>
      <c r="L115" s="592">
        <v>0</v>
      </c>
      <c r="M115" s="592">
        <v>0</v>
      </c>
      <c r="N115" s="592">
        <v>1332350.69</v>
      </c>
      <c r="O115" s="593">
        <f t="shared" si="40"/>
        <v>1332350.69</v>
      </c>
      <c r="P115" s="594">
        <v>372</v>
      </c>
      <c r="Q115" s="589">
        <v>0</v>
      </c>
      <c r="R115" s="596">
        <f t="shared" si="38"/>
        <v>372</v>
      </c>
      <c r="S115" s="592">
        <v>0</v>
      </c>
      <c r="T115" s="592">
        <v>0</v>
      </c>
      <c r="U115" s="592">
        <v>2005684.5000000002</v>
      </c>
      <c r="V115" s="593">
        <f>SUM(S115:U115)</f>
        <v>2005684.5000000002</v>
      </c>
      <c r="W115" s="593">
        <v>0</v>
      </c>
      <c r="X115" s="592">
        <v>0</v>
      </c>
      <c r="Y115" s="592">
        <v>2262920.17</v>
      </c>
      <c r="Z115" s="593">
        <v>2262920.17</v>
      </c>
      <c r="AA115" s="703">
        <v>0</v>
      </c>
      <c r="AB115" s="593">
        <v>0</v>
      </c>
      <c r="AC115" s="593">
        <v>1050142.4300000002</v>
      </c>
      <c r="AD115" s="593">
        <f>SUM(AA115:AC115)</f>
        <v>1050142.4300000002</v>
      </c>
      <c r="AE115" s="513" t="s">
        <v>512</v>
      </c>
    </row>
    <row r="116" spans="1:31" s="531" customFormat="1" x14ac:dyDescent="0.25">
      <c r="A116" s="588" t="s">
        <v>959</v>
      </c>
      <c r="B116" s="589">
        <v>184</v>
      </c>
      <c r="C116" s="589">
        <v>0</v>
      </c>
      <c r="D116" s="583">
        <f t="shared" si="44"/>
        <v>184</v>
      </c>
      <c r="E116" s="590">
        <v>279556.96999999997</v>
      </c>
      <c r="F116" s="590">
        <v>0</v>
      </c>
      <c r="G116" s="590">
        <v>358422.38000000006</v>
      </c>
      <c r="H116" s="590">
        <f t="shared" si="39"/>
        <v>637979.35000000009</v>
      </c>
      <c r="I116" s="589">
        <v>194</v>
      </c>
      <c r="J116" s="589">
        <v>0</v>
      </c>
      <c r="K116" s="591">
        <f t="shared" si="45"/>
        <v>194</v>
      </c>
      <c r="L116" s="592">
        <v>768723.99000000011</v>
      </c>
      <c r="M116" s="592">
        <v>0</v>
      </c>
      <c r="N116" s="592">
        <v>1044740.0999999999</v>
      </c>
      <c r="O116" s="593">
        <f t="shared" si="40"/>
        <v>1813464.0899999999</v>
      </c>
      <c r="P116" s="594">
        <v>206</v>
      </c>
      <c r="Q116" s="589">
        <v>0</v>
      </c>
      <c r="R116" s="596">
        <f t="shared" si="38"/>
        <v>206</v>
      </c>
      <c r="S116" s="592">
        <v>840909.01</v>
      </c>
      <c r="T116" s="592">
        <v>0</v>
      </c>
      <c r="U116" s="592">
        <v>1207769.8699999999</v>
      </c>
      <c r="V116" s="593">
        <f t="shared" ref="V116:V124" si="47">SUM(S116:U116)</f>
        <v>2048678.88</v>
      </c>
      <c r="W116" s="593">
        <v>899871.41</v>
      </c>
      <c r="X116" s="592">
        <v>0</v>
      </c>
      <c r="Y116" s="592">
        <v>1277687.4099999999</v>
      </c>
      <c r="Z116" s="593">
        <v>2177558.8200000003</v>
      </c>
      <c r="AA116" s="703">
        <v>895188.82999999984</v>
      </c>
      <c r="AB116" s="593">
        <v>0</v>
      </c>
      <c r="AC116" s="593">
        <v>653742.20000000007</v>
      </c>
      <c r="AD116" s="593">
        <f t="shared" ref="AD116:AD124" si="48">SUM(AA116:AC116)</f>
        <v>1548931.0299999998</v>
      </c>
      <c r="AE116" s="513" t="s">
        <v>514</v>
      </c>
    </row>
    <row r="117" spans="1:31" s="531" customFormat="1" x14ac:dyDescent="0.25">
      <c r="A117" s="588" t="s">
        <v>960</v>
      </c>
      <c r="B117" s="589">
        <v>0</v>
      </c>
      <c r="C117" s="589">
        <v>0</v>
      </c>
      <c r="D117" s="583">
        <f t="shared" si="44"/>
        <v>0</v>
      </c>
      <c r="E117" s="590">
        <v>0</v>
      </c>
      <c r="F117" s="590">
        <v>0</v>
      </c>
      <c r="G117" s="590">
        <v>0</v>
      </c>
      <c r="H117" s="590">
        <f t="shared" si="39"/>
        <v>0</v>
      </c>
      <c r="I117" s="589">
        <v>251</v>
      </c>
      <c r="J117" s="589">
        <v>0</v>
      </c>
      <c r="K117" s="591">
        <f t="shared" si="45"/>
        <v>251</v>
      </c>
      <c r="L117" s="592">
        <v>68591.520000000004</v>
      </c>
      <c r="M117" s="592">
        <v>0</v>
      </c>
      <c r="N117" s="592">
        <v>82805.19</v>
      </c>
      <c r="O117" s="593">
        <f t="shared" si="40"/>
        <v>151396.71000000002</v>
      </c>
      <c r="P117" s="594">
        <v>230</v>
      </c>
      <c r="Q117" s="589">
        <v>0</v>
      </c>
      <c r="R117" s="596">
        <f t="shared" si="38"/>
        <v>230</v>
      </c>
      <c r="S117" s="592">
        <v>749889.52999999991</v>
      </c>
      <c r="T117" s="592">
        <v>0</v>
      </c>
      <c r="U117" s="592">
        <v>961216.74</v>
      </c>
      <c r="V117" s="593">
        <f t="shared" si="47"/>
        <v>1711106.27</v>
      </c>
      <c r="W117" s="593">
        <v>903182.51</v>
      </c>
      <c r="X117" s="592">
        <v>0</v>
      </c>
      <c r="Y117" s="592">
        <v>1110932.26</v>
      </c>
      <c r="Z117" s="593">
        <v>2014114.77</v>
      </c>
      <c r="AA117" s="703">
        <v>863706.95000000007</v>
      </c>
      <c r="AB117" s="593">
        <v>0</v>
      </c>
      <c r="AC117" s="593">
        <v>574736.64000000001</v>
      </c>
      <c r="AD117" s="593">
        <f t="shared" si="48"/>
        <v>1438443.59</v>
      </c>
      <c r="AE117" s="513" t="s">
        <v>516</v>
      </c>
    </row>
    <row r="118" spans="1:31" s="531" customFormat="1" x14ac:dyDescent="0.25">
      <c r="A118" s="588" t="s">
        <v>961</v>
      </c>
      <c r="B118" s="589">
        <v>0</v>
      </c>
      <c r="C118" s="589">
        <v>0</v>
      </c>
      <c r="D118" s="583">
        <f t="shared" si="44"/>
        <v>0</v>
      </c>
      <c r="E118" s="590">
        <v>0</v>
      </c>
      <c r="F118" s="590">
        <v>0</v>
      </c>
      <c r="G118" s="590">
        <v>0</v>
      </c>
      <c r="H118" s="590">
        <f t="shared" si="39"/>
        <v>0</v>
      </c>
      <c r="I118" s="589">
        <v>0</v>
      </c>
      <c r="J118" s="589">
        <v>0</v>
      </c>
      <c r="K118" s="591">
        <f t="shared" si="45"/>
        <v>0</v>
      </c>
      <c r="L118" s="592">
        <v>0</v>
      </c>
      <c r="M118" s="592">
        <v>0</v>
      </c>
      <c r="N118" s="592">
        <v>1297873.1400000001</v>
      </c>
      <c r="O118" s="593">
        <f t="shared" si="40"/>
        <v>1297873.1400000001</v>
      </c>
      <c r="P118" s="594">
        <v>238</v>
      </c>
      <c r="Q118" s="589">
        <v>0</v>
      </c>
      <c r="R118" s="596">
        <f t="shared" si="38"/>
        <v>238</v>
      </c>
      <c r="S118" s="592">
        <v>0</v>
      </c>
      <c r="T118" s="592">
        <v>0</v>
      </c>
      <c r="U118" s="592">
        <v>1791249.4999999998</v>
      </c>
      <c r="V118" s="593">
        <f t="shared" si="47"/>
        <v>1791249.4999999998</v>
      </c>
      <c r="W118" s="593">
        <v>0</v>
      </c>
      <c r="X118" s="592">
        <v>0</v>
      </c>
      <c r="Y118" s="592">
        <v>2006122.06</v>
      </c>
      <c r="Z118" s="593">
        <v>2006122.06</v>
      </c>
      <c r="AA118" s="703">
        <v>0</v>
      </c>
      <c r="AB118" s="593">
        <v>0</v>
      </c>
      <c r="AC118" s="593">
        <v>1012091.01</v>
      </c>
      <c r="AD118" s="593">
        <f t="shared" si="48"/>
        <v>1012091.01</v>
      </c>
      <c r="AE118" s="513" t="s">
        <v>518</v>
      </c>
    </row>
    <row r="119" spans="1:31" s="531" customFormat="1" x14ac:dyDescent="0.25">
      <c r="A119" s="588" t="s">
        <v>962</v>
      </c>
      <c r="B119" s="589">
        <v>0</v>
      </c>
      <c r="C119" s="589">
        <v>0</v>
      </c>
      <c r="D119" s="583">
        <f t="shared" si="44"/>
        <v>0</v>
      </c>
      <c r="E119" s="590">
        <v>0</v>
      </c>
      <c r="F119" s="590">
        <v>0</v>
      </c>
      <c r="G119" s="590">
        <v>0</v>
      </c>
      <c r="H119" s="590">
        <f t="shared" si="39"/>
        <v>0</v>
      </c>
      <c r="I119" s="589">
        <v>0</v>
      </c>
      <c r="J119" s="589">
        <v>0</v>
      </c>
      <c r="K119" s="591">
        <f t="shared" si="45"/>
        <v>0</v>
      </c>
      <c r="L119" s="592">
        <v>0</v>
      </c>
      <c r="M119" s="592">
        <v>0</v>
      </c>
      <c r="N119" s="592">
        <v>0</v>
      </c>
      <c r="O119" s="593">
        <f t="shared" si="40"/>
        <v>0</v>
      </c>
      <c r="P119" s="594">
        <v>0</v>
      </c>
      <c r="Q119" s="589">
        <v>0</v>
      </c>
      <c r="R119" s="596">
        <f t="shared" si="38"/>
        <v>0</v>
      </c>
      <c r="S119" s="592">
        <v>0</v>
      </c>
      <c r="T119" s="592">
        <v>0</v>
      </c>
      <c r="U119" s="592">
        <v>0</v>
      </c>
      <c r="V119" s="593">
        <f t="shared" si="47"/>
        <v>0</v>
      </c>
      <c r="W119" s="593">
        <v>0</v>
      </c>
      <c r="X119" s="592">
        <v>0</v>
      </c>
      <c r="Y119" s="592">
        <v>0</v>
      </c>
      <c r="Z119" s="593">
        <v>0</v>
      </c>
      <c r="AA119" s="703">
        <v>0</v>
      </c>
      <c r="AB119" s="593">
        <v>0</v>
      </c>
      <c r="AC119" s="593">
        <v>0</v>
      </c>
      <c r="AD119" s="593">
        <f t="shared" si="48"/>
        <v>0</v>
      </c>
      <c r="AE119" s="513" t="s">
        <v>520</v>
      </c>
    </row>
    <row r="120" spans="1:31" s="531" customFormat="1" x14ac:dyDescent="0.25">
      <c r="A120" s="588" t="s">
        <v>963</v>
      </c>
      <c r="B120" s="589">
        <v>0</v>
      </c>
      <c r="C120" s="589">
        <v>0</v>
      </c>
      <c r="D120" s="583">
        <f t="shared" si="44"/>
        <v>0</v>
      </c>
      <c r="E120" s="590">
        <v>0</v>
      </c>
      <c r="F120" s="590">
        <v>0</v>
      </c>
      <c r="G120" s="590">
        <v>0</v>
      </c>
      <c r="H120" s="590">
        <f t="shared" si="39"/>
        <v>0</v>
      </c>
      <c r="I120" s="589">
        <v>0</v>
      </c>
      <c r="J120" s="589">
        <v>0</v>
      </c>
      <c r="K120" s="591">
        <f t="shared" si="45"/>
        <v>0</v>
      </c>
      <c r="L120" s="592">
        <v>0</v>
      </c>
      <c r="M120" s="592">
        <v>0</v>
      </c>
      <c r="N120" s="592">
        <v>1136191.22</v>
      </c>
      <c r="O120" s="593">
        <f t="shared" si="40"/>
        <v>1136191.22</v>
      </c>
      <c r="P120" s="594">
        <v>204</v>
      </c>
      <c r="Q120" s="589">
        <v>0</v>
      </c>
      <c r="R120" s="596">
        <f t="shared" si="38"/>
        <v>204</v>
      </c>
      <c r="S120" s="592">
        <v>0</v>
      </c>
      <c r="T120" s="592">
        <v>0</v>
      </c>
      <c r="U120" s="592">
        <v>1762548.7100000002</v>
      </c>
      <c r="V120" s="593">
        <f t="shared" si="47"/>
        <v>1762548.7100000002</v>
      </c>
      <c r="W120" s="593">
        <v>0</v>
      </c>
      <c r="X120" s="592">
        <v>0</v>
      </c>
      <c r="Y120" s="592">
        <v>1993757.02</v>
      </c>
      <c r="Z120" s="593">
        <v>1993757.0199999996</v>
      </c>
      <c r="AA120" s="703">
        <v>0</v>
      </c>
      <c r="AB120" s="593">
        <v>0</v>
      </c>
      <c r="AC120" s="593">
        <v>997725.18</v>
      </c>
      <c r="AD120" s="593">
        <f t="shared" si="48"/>
        <v>997725.18</v>
      </c>
      <c r="AE120" s="513" t="s">
        <v>522</v>
      </c>
    </row>
    <row r="121" spans="1:31" s="531" customFormat="1" x14ac:dyDescent="0.25">
      <c r="A121" s="588" t="s">
        <v>964</v>
      </c>
      <c r="B121" s="589">
        <v>130</v>
      </c>
      <c r="C121" s="589">
        <v>0</v>
      </c>
      <c r="D121" s="583">
        <f t="shared" si="44"/>
        <v>130</v>
      </c>
      <c r="E121" s="590">
        <v>157346.85999999999</v>
      </c>
      <c r="F121" s="590">
        <v>0</v>
      </c>
      <c r="G121" s="590">
        <v>176618.97999999998</v>
      </c>
      <c r="H121" s="590">
        <f>SUM(E121:G121)</f>
        <v>333965.83999999997</v>
      </c>
      <c r="I121" s="589">
        <v>131</v>
      </c>
      <c r="J121" s="589">
        <v>0</v>
      </c>
      <c r="K121" s="591">
        <f t="shared" si="45"/>
        <v>131</v>
      </c>
      <c r="L121" s="592">
        <v>607882.29999999993</v>
      </c>
      <c r="M121" s="592">
        <v>0</v>
      </c>
      <c r="N121" s="592">
        <v>774094.59000000008</v>
      </c>
      <c r="O121" s="593">
        <f t="shared" si="40"/>
        <v>1381976.8900000001</v>
      </c>
      <c r="P121" s="594">
        <v>136</v>
      </c>
      <c r="Q121" s="589">
        <v>0</v>
      </c>
      <c r="R121" s="596">
        <f t="shared" si="38"/>
        <v>136</v>
      </c>
      <c r="S121" s="592">
        <v>663636.98999999987</v>
      </c>
      <c r="T121" s="592">
        <v>0</v>
      </c>
      <c r="U121" s="592">
        <v>973305.04</v>
      </c>
      <c r="V121" s="593">
        <f t="shared" si="47"/>
        <v>1636942.0299999998</v>
      </c>
      <c r="W121" s="593">
        <v>685724.16000000003</v>
      </c>
      <c r="X121" s="592">
        <v>0</v>
      </c>
      <c r="Y121" s="592">
        <v>984598.98</v>
      </c>
      <c r="Z121" s="593">
        <v>1670323.1400000001</v>
      </c>
      <c r="AA121" s="703">
        <v>630517.69999999995</v>
      </c>
      <c r="AB121" s="593">
        <v>0</v>
      </c>
      <c r="AC121" s="593">
        <v>515502.82999999996</v>
      </c>
      <c r="AD121" s="593">
        <f t="shared" si="48"/>
        <v>1146020.5299999998</v>
      </c>
      <c r="AE121" s="513" t="s">
        <v>524</v>
      </c>
    </row>
    <row r="122" spans="1:31" s="531" customFormat="1" x14ac:dyDescent="0.25">
      <c r="A122" s="588" t="s">
        <v>965</v>
      </c>
      <c r="B122" s="589">
        <v>0</v>
      </c>
      <c r="C122" s="589">
        <v>0</v>
      </c>
      <c r="D122" s="583">
        <f t="shared" si="44"/>
        <v>0</v>
      </c>
      <c r="E122" s="590">
        <v>0</v>
      </c>
      <c r="F122" s="590">
        <v>0</v>
      </c>
      <c r="G122" s="590">
        <v>0</v>
      </c>
      <c r="H122" s="590">
        <f t="shared" si="39"/>
        <v>0</v>
      </c>
      <c r="I122" s="589">
        <v>0</v>
      </c>
      <c r="J122" s="589">
        <v>0</v>
      </c>
      <c r="K122" s="591">
        <f t="shared" si="45"/>
        <v>0</v>
      </c>
      <c r="L122" s="592">
        <v>0</v>
      </c>
      <c r="M122" s="592">
        <v>0</v>
      </c>
      <c r="N122" s="592">
        <v>2062804.32</v>
      </c>
      <c r="O122" s="593">
        <f t="shared" si="40"/>
        <v>2062804.32</v>
      </c>
      <c r="P122" s="594">
        <v>283</v>
      </c>
      <c r="Q122" s="589">
        <v>0</v>
      </c>
      <c r="R122" s="596">
        <f t="shared" si="38"/>
        <v>283</v>
      </c>
      <c r="S122" s="592">
        <v>0</v>
      </c>
      <c r="T122" s="592">
        <v>0</v>
      </c>
      <c r="U122" s="592">
        <v>3291485.43</v>
      </c>
      <c r="V122" s="593">
        <f t="shared" si="47"/>
        <v>3291485.43</v>
      </c>
      <c r="W122" s="593">
        <v>0</v>
      </c>
      <c r="X122" s="592">
        <v>0</v>
      </c>
      <c r="Y122" s="592">
        <v>3968881.79</v>
      </c>
      <c r="Z122" s="593">
        <v>3968881.79</v>
      </c>
      <c r="AA122" s="703">
        <v>0</v>
      </c>
      <c r="AB122" s="593">
        <v>0</v>
      </c>
      <c r="AC122" s="593">
        <v>1863896.4</v>
      </c>
      <c r="AD122" s="593">
        <f t="shared" si="48"/>
        <v>1863896.4</v>
      </c>
      <c r="AE122" s="513" t="s">
        <v>526</v>
      </c>
    </row>
    <row r="123" spans="1:31" s="531" customFormat="1" x14ac:dyDescent="0.25">
      <c r="A123" s="588" t="s">
        <v>966</v>
      </c>
      <c r="B123" s="589">
        <v>0</v>
      </c>
      <c r="C123" s="589">
        <v>0</v>
      </c>
      <c r="D123" s="583">
        <f t="shared" si="44"/>
        <v>0</v>
      </c>
      <c r="E123" s="590">
        <v>0</v>
      </c>
      <c r="F123" s="590">
        <v>0</v>
      </c>
      <c r="G123" s="590">
        <v>0</v>
      </c>
      <c r="H123" s="590">
        <f t="shared" si="39"/>
        <v>0</v>
      </c>
      <c r="I123" s="589">
        <v>0</v>
      </c>
      <c r="J123" s="589">
        <v>0</v>
      </c>
      <c r="K123" s="591">
        <f t="shared" si="45"/>
        <v>0</v>
      </c>
      <c r="L123" s="592">
        <v>0</v>
      </c>
      <c r="M123" s="592">
        <v>0</v>
      </c>
      <c r="N123" s="592">
        <v>1578041.8900000001</v>
      </c>
      <c r="O123" s="593">
        <f t="shared" si="40"/>
        <v>1578041.8900000001</v>
      </c>
      <c r="P123" s="594">
        <v>287</v>
      </c>
      <c r="Q123" s="589">
        <v>0</v>
      </c>
      <c r="R123" s="596">
        <f t="shared" si="38"/>
        <v>287</v>
      </c>
      <c r="S123" s="592">
        <v>0</v>
      </c>
      <c r="T123" s="592">
        <v>0</v>
      </c>
      <c r="U123" s="592">
        <v>2308775.2000000002</v>
      </c>
      <c r="V123" s="593">
        <f t="shared" si="47"/>
        <v>2308775.2000000002</v>
      </c>
      <c r="W123" s="593">
        <v>0</v>
      </c>
      <c r="X123" s="592">
        <v>0</v>
      </c>
      <c r="Y123" s="592">
        <v>2560552.6</v>
      </c>
      <c r="Z123" s="593">
        <v>2560552.6</v>
      </c>
      <c r="AA123" s="703">
        <v>0</v>
      </c>
      <c r="AB123" s="593">
        <v>0</v>
      </c>
      <c r="AC123" s="593">
        <v>1275413.3899999999</v>
      </c>
      <c r="AD123" s="593">
        <f t="shared" si="48"/>
        <v>1275413.3899999999</v>
      </c>
      <c r="AE123" s="513" t="s">
        <v>528</v>
      </c>
    </row>
    <row r="124" spans="1:31" s="531" customFormat="1" x14ac:dyDescent="0.25">
      <c r="A124" s="588" t="s">
        <v>967</v>
      </c>
      <c r="B124" s="589">
        <v>0</v>
      </c>
      <c r="C124" s="589">
        <v>0</v>
      </c>
      <c r="D124" s="583">
        <f t="shared" si="44"/>
        <v>0</v>
      </c>
      <c r="E124" s="590">
        <v>0</v>
      </c>
      <c r="F124" s="590">
        <v>0</v>
      </c>
      <c r="G124" s="590">
        <v>0</v>
      </c>
      <c r="H124" s="590">
        <f t="shared" si="39"/>
        <v>0</v>
      </c>
      <c r="I124" s="589">
        <v>0</v>
      </c>
      <c r="J124" s="589">
        <v>0</v>
      </c>
      <c r="K124" s="591">
        <f t="shared" si="45"/>
        <v>0</v>
      </c>
      <c r="L124" s="592">
        <v>0</v>
      </c>
      <c r="M124" s="592">
        <v>0</v>
      </c>
      <c r="N124" s="592">
        <v>0</v>
      </c>
      <c r="O124" s="593">
        <f t="shared" si="40"/>
        <v>0</v>
      </c>
      <c r="P124" s="594">
        <v>0</v>
      </c>
      <c r="Q124" s="589">
        <v>0</v>
      </c>
      <c r="R124" s="596">
        <f t="shared" si="38"/>
        <v>0</v>
      </c>
      <c r="S124" s="592">
        <v>0</v>
      </c>
      <c r="T124" s="592">
        <v>0</v>
      </c>
      <c r="U124" s="592">
        <v>0</v>
      </c>
      <c r="V124" s="593">
        <f t="shared" si="47"/>
        <v>0</v>
      </c>
      <c r="W124" s="593">
        <v>0</v>
      </c>
      <c r="X124" s="592">
        <v>0</v>
      </c>
      <c r="Y124" s="592">
        <v>0</v>
      </c>
      <c r="Z124" s="593">
        <v>0</v>
      </c>
      <c r="AA124" s="703">
        <v>0</v>
      </c>
      <c r="AB124" s="593">
        <v>0</v>
      </c>
      <c r="AC124" s="593">
        <v>0</v>
      </c>
      <c r="AD124" s="593">
        <f t="shared" si="48"/>
        <v>0</v>
      </c>
    </row>
    <row r="125" spans="1:31" s="531" customFormat="1" x14ac:dyDescent="0.25">
      <c r="A125" s="581" t="s">
        <v>285</v>
      </c>
      <c r="B125" s="582">
        <f>SUM(B126:B133)</f>
        <v>263</v>
      </c>
      <c r="C125" s="582">
        <f>SUM(C126:C133)</f>
        <v>0</v>
      </c>
      <c r="D125" s="583">
        <f>SUM(B125:C125)</f>
        <v>263</v>
      </c>
      <c r="E125" s="582">
        <f>SUM(E126:E133)</f>
        <v>583722.32999999996</v>
      </c>
      <c r="F125" s="582">
        <f>SUM(F126:F133)</f>
        <v>0</v>
      </c>
      <c r="G125" s="582">
        <f>SUM(G126:G133)</f>
        <v>594124.69999999995</v>
      </c>
      <c r="H125" s="582">
        <f>SUM(E125:G125)</f>
        <v>1177847.0299999998</v>
      </c>
      <c r="I125" s="582">
        <f>SUM(I126:I133)</f>
        <v>777</v>
      </c>
      <c r="J125" s="582">
        <f>SUM(J126:J133)</f>
        <v>0</v>
      </c>
      <c r="K125" s="583">
        <f>SUM(I125:J125)</f>
        <v>777</v>
      </c>
      <c r="L125" s="584">
        <f>SUM(L126:L133)</f>
        <v>2559807.81</v>
      </c>
      <c r="M125" s="584">
        <f>SUM(M126:M133)</f>
        <v>0</v>
      </c>
      <c r="N125" s="584">
        <f>SUM(N126:N133)</f>
        <v>3337250.9699999997</v>
      </c>
      <c r="O125" s="585">
        <f>SUM(L125:N125)</f>
        <v>5897058.7799999993</v>
      </c>
      <c r="P125" s="586">
        <f>SUM(P126:P133)</f>
        <v>812</v>
      </c>
      <c r="Q125" s="582">
        <f>SUM(Q126:Q133)</f>
        <v>0</v>
      </c>
      <c r="R125" s="583">
        <f>SUM(P125:Q125)</f>
        <v>812</v>
      </c>
      <c r="S125" s="584">
        <f t="shared" ref="S125:AD125" si="49">SUM(S126:S133)</f>
        <v>3133642.7600000002</v>
      </c>
      <c r="T125" s="584">
        <f t="shared" si="49"/>
        <v>0</v>
      </c>
      <c r="U125" s="584">
        <f t="shared" si="49"/>
        <v>4315986.59</v>
      </c>
      <c r="V125" s="584">
        <f t="shared" si="49"/>
        <v>7449629.3499999996</v>
      </c>
      <c r="W125" s="585">
        <f t="shared" si="49"/>
        <v>3385117.92</v>
      </c>
      <c r="X125" s="585">
        <f t="shared" si="49"/>
        <v>0</v>
      </c>
      <c r="Y125" s="585">
        <f t="shared" si="49"/>
        <v>4487229.3</v>
      </c>
      <c r="Z125" s="585">
        <f t="shared" si="49"/>
        <v>7872347.2199999988</v>
      </c>
      <c r="AA125" s="587">
        <f t="shared" si="49"/>
        <v>4449433.5999999996</v>
      </c>
      <c r="AB125" s="585">
        <f t="shared" si="49"/>
        <v>0</v>
      </c>
      <c r="AC125" s="585">
        <f t="shared" si="49"/>
        <v>3736486.32</v>
      </c>
      <c r="AD125" s="585">
        <f t="shared" si="49"/>
        <v>8185919.919999999</v>
      </c>
      <c r="AE125" s="512" t="s">
        <v>286</v>
      </c>
    </row>
    <row r="126" spans="1:31" s="531" customFormat="1" x14ac:dyDescent="0.25">
      <c r="A126" s="588" t="s">
        <v>968</v>
      </c>
      <c r="B126" s="589">
        <v>0</v>
      </c>
      <c r="C126" s="589">
        <v>0</v>
      </c>
      <c r="D126" s="583">
        <f t="shared" si="44"/>
        <v>0</v>
      </c>
      <c r="E126" s="590">
        <v>0</v>
      </c>
      <c r="F126" s="590">
        <v>0</v>
      </c>
      <c r="G126" s="590">
        <v>0</v>
      </c>
      <c r="H126" s="590">
        <f>SUM(E126:G126)</f>
        <v>0</v>
      </c>
      <c r="I126" s="589">
        <v>0</v>
      </c>
      <c r="J126" s="589">
        <v>0</v>
      </c>
      <c r="K126" s="591">
        <f t="shared" si="45"/>
        <v>0</v>
      </c>
      <c r="L126" s="592">
        <v>0</v>
      </c>
      <c r="M126" s="592">
        <v>0</v>
      </c>
      <c r="N126" s="592">
        <v>0</v>
      </c>
      <c r="O126" s="593">
        <f>SUM(L126:N126)</f>
        <v>0</v>
      </c>
      <c r="P126" s="594">
        <v>0</v>
      </c>
      <c r="Q126" s="589">
        <v>0</v>
      </c>
      <c r="R126" s="596">
        <f t="shared" ref="R126:R133" si="50">SUM(P126:Q126)</f>
        <v>0</v>
      </c>
      <c r="S126" s="592">
        <v>0</v>
      </c>
      <c r="T126" s="592">
        <v>0</v>
      </c>
      <c r="U126" s="592">
        <v>0</v>
      </c>
      <c r="V126" s="593">
        <f>SUM(S126:U126)</f>
        <v>0</v>
      </c>
      <c r="W126" s="593">
        <v>0</v>
      </c>
      <c r="X126" s="592">
        <v>0</v>
      </c>
      <c r="Y126" s="592">
        <v>0</v>
      </c>
      <c r="Z126" s="593">
        <v>0</v>
      </c>
      <c r="AA126" s="703">
        <v>287467.71000000002</v>
      </c>
      <c r="AB126" s="593">
        <v>0</v>
      </c>
      <c r="AC126" s="593">
        <v>163696.5</v>
      </c>
      <c r="AD126" s="593">
        <f>SUM(AA126:AC126)</f>
        <v>451164.21</v>
      </c>
      <c r="AE126" s="513" t="s">
        <v>530</v>
      </c>
    </row>
    <row r="127" spans="1:31" s="531" customFormat="1" x14ac:dyDescent="0.25">
      <c r="A127" s="588" t="s">
        <v>969</v>
      </c>
      <c r="B127" s="589">
        <v>0</v>
      </c>
      <c r="C127" s="589">
        <v>0</v>
      </c>
      <c r="D127" s="583">
        <f t="shared" si="44"/>
        <v>0</v>
      </c>
      <c r="E127" s="590">
        <v>0</v>
      </c>
      <c r="F127" s="590">
        <v>0</v>
      </c>
      <c r="G127" s="590">
        <v>0</v>
      </c>
      <c r="H127" s="590">
        <f t="shared" ref="H127:H133" si="51">SUM(E127:G127)</f>
        <v>0</v>
      </c>
      <c r="I127" s="589">
        <v>0</v>
      </c>
      <c r="J127" s="589">
        <v>0</v>
      </c>
      <c r="K127" s="591">
        <f t="shared" si="45"/>
        <v>0</v>
      </c>
      <c r="L127" s="592">
        <v>0</v>
      </c>
      <c r="M127" s="592">
        <v>0</v>
      </c>
      <c r="N127" s="592">
        <v>0</v>
      </c>
      <c r="O127" s="593">
        <f t="shared" ref="O127:O133" si="52">SUM(L127:N127)</f>
        <v>0</v>
      </c>
      <c r="P127" s="594">
        <v>0</v>
      </c>
      <c r="Q127" s="589">
        <v>0</v>
      </c>
      <c r="R127" s="596">
        <f t="shared" si="50"/>
        <v>0</v>
      </c>
      <c r="S127" s="592">
        <v>0</v>
      </c>
      <c r="T127" s="592">
        <v>0</v>
      </c>
      <c r="U127" s="592">
        <v>0</v>
      </c>
      <c r="V127" s="593">
        <f t="shared" ref="V127:V133" si="53">SUM(S127:U127)</f>
        <v>0</v>
      </c>
      <c r="W127" s="593">
        <v>0</v>
      </c>
      <c r="X127" s="592">
        <v>0</v>
      </c>
      <c r="Y127" s="592">
        <v>0</v>
      </c>
      <c r="Z127" s="593">
        <v>0</v>
      </c>
      <c r="AA127" s="703">
        <v>989134.42000000016</v>
      </c>
      <c r="AB127" s="593">
        <v>0</v>
      </c>
      <c r="AC127" s="593">
        <v>960607.41999999993</v>
      </c>
      <c r="AD127" s="593">
        <f t="shared" ref="AD127:AD133" si="54">SUM(AA127:AC127)</f>
        <v>1949741.84</v>
      </c>
      <c r="AE127" s="513" t="s">
        <v>532</v>
      </c>
    </row>
    <row r="128" spans="1:31" s="531" customFormat="1" x14ac:dyDescent="0.25">
      <c r="A128" s="588" t="s">
        <v>970</v>
      </c>
      <c r="B128" s="589">
        <v>155</v>
      </c>
      <c r="C128" s="589">
        <v>0</v>
      </c>
      <c r="D128" s="583">
        <f t="shared" si="44"/>
        <v>155</v>
      </c>
      <c r="E128" s="590">
        <v>557337.63</v>
      </c>
      <c r="F128" s="590">
        <v>0</v>
      </c>
      <c r="G128" s="590">
        <v>566703.72</v>
      </c>
      <c r="H128" s="590">
        <f t="shared" si="51"/>
        <v>1124041.3500000001</v>
      </c>
      <c r="I128" s="589">
        <v>177</v>
      </c>
      <c r="J128" s="589">
        <v>0</v>
      </c>
      <c r="K128" s="591">
        <f t="shared" si="45"/>
        <v>177</v>
      </c>
      <c r="L128" s="592">
        <v>664905.69000000006</v>
      </c>
      <c r="M128" s="592">
        <v>0</v>
      </c>
      <c r="N128" s="592">
        <v>847121.53</v>
      </c>
      <c r="O128" s="593">
        <f t="shared" si="52"/>
        <v>1512027.2200000002</v>
      </c>
      <c r="P128" s="594">
        <v>175</v>
      </c>
      <c r="Q128" s="589">
        <v>0</v>
      </c>
      <c r="R128" s="596">
        <f t="shared" si="50"/>
        <v>175</v>
      </c>
      <c r="S128" s="592">
        <v>753017.7</v>
      </c>
      <c r="T128" s="592">
        <v>0</v>
      </c>
      <c r="U128" s="592">
        <v>1018961.1799999999</v>
      </c>
      <c r="V128" s="593">
        <f t="shared" si="53"/>
        <v>1771978.88</v>
      </c>
      <c r="W128" s="593">
        <v>821232.08999999985</v>
      </c>
      <c r="X128" s="592">
        <v>0</v>
      </c>
      <c r="Y128" s="592">
        <v>1048151.9399999998</v>
      </c>
      <c r="Z128" s="593">
        <v>1869384.0300000003</v>
      </c>
      <c r="AA128" s="703">
        <v>703130.34000000008</v>
      </c>
      <c r="AB128" s="593">
        <v>0</v>
      </c>
      <c r="AC128" s="593">
        <v>556041.31999999995</v>
      </c>
      <c r="AD128" s="593">
        <f t="shared" si="54"/>
        <v>1259171.6600000001</v>
      </c>
      <c r="AE128" s="513" t="s">
        <v>534</v>
      </c>
    </row>
    <row r="129" spans="1:31" s="531" customFormat="1" x14ac:dyDescent="0.25">
      <c r="A129" s="588" t="s">
        <v>971</v>
      </c>
      <c r="B129" s="589">
        <v>0</v>
      </c>
      <c r="C129" s="589">
        <v>0</v>
      </c>
      <c r="D129" s="583">
        <f t="shared" si="44"/>
        <v>0</v>
      </c>
      <c r="E129" s="590">
        <v>0</v>
      </c>
      <c r="F129" s="590">
        <v>0</v>
      </c>
      <c r="G129" s="590">
        <v>0</v>
      </c>
      <c r="H129" s="590">
        <f t="shared" si="51"/>
        <v>0</v>
      </c>
      <c r="I129" s="589">
        <v>134</v>
      </c>
      <c r="J129" s="589">
        <v>0</v>
      </c>
      <c r="K129" s="591">
        <f t="shared" si="45"/>
        <v>134</v>
      </c>
      <c r="L129" s="592">
        <v>445680.41000000003</v>
      </c>
      <c r="M129" s="592">
        <v>0</v>
      </c>
      <c r="N129" s="592">
        <v>570065.89999999991</v>
      </c>
      <c r="O129" s="593">
        <f t="shared" si="52"/>
        <v>1015746.3099999999</v>
      </c>
      <c r="P129" s="594">
        <v>141</v>
      </c>
      <c r="Q129" s="589">
        <v>0</v>
      </c>
      <c r="R129" s="596">
        <f t="shared" si="50"/>
        <v>141</v>
      </c>
      <c r="S129" s="592">
        <v>573235.74</v>
      </c>
      <c r="T129" s="592">
        <v>0</v>
      </c>
      <c r="U129" s="592">
        <v>760211.93</v>
      </c>
      <c r="V129" s="593">
        <f t="shared" si="53"/>
        <v>1333447.67</v>
      </c>
      <c r="W129" s="593">
        <v>641730.5</v>
      </c>
      <c r="X129" s="592">
        <v>0</v>
      </c>
      <c r="Y129" s="592">
        <v>823807.73</v>
      </c>
      <c r="Z129" s="593">
        <v>1465538.2299999997</v>
      </c>
      <c r="AA129" s="703">
        <v>599629.75</v>
      </c>
      <c r="AB129" s="593">
        <v>0</v>
      </c>
      <c r="AC129" s="593">
        <v>533575.88</v>
      </c>
      <c r="AD129" s="593">
        <f t="shared" si="54"/>
        <v>1133205.6299999999</v>
      </c>
      <c r="AE129" s="513" t="s">
        <v>536</v>
      </c>
    </row>
    <row r="130" spans="1:31" s="531" customFormat="1" x14ac:dyDescent="0.25">
      <c r="A130" s="588" t="s">
        <v>972</v>
      </c>
      <c r="B130" s="589">
        <v>108</v>
      </c>
      <c r="C130" s="589">
        <v>0</v>
      </c>
      <c r="D130" s="583">
        <f t="shared" si="44"/>
        <v>108</v>
      </c>
      <c r="E130" s="590">
        <v>26384.7</v>
      </c>
      <c r="F130" s="590">
        <v>0</v>
      </c>
      <c r="G130" s="590">
        <v>27420.98</v>
      </c>
      <c r="H130" s="590">
        <f t="shared" si="51"/>
        <v>53805.68</v>
      </c>
      <c r="I130" s="589">
        <v>114</v>
      </c>
      <c r="J130" s="589">
        <v>0</v>
      </c>
      <c r="K130" s="591">
        <f t="shared" si="45"/>
        <v>114</v>
      </c>
      <c r="L130" s="592">
        <v>396389.69000000006</v>
      </c>
      <c r="M130" s="592">
        <v>0</v>
      </c>
      <c r="N130" s="592">
        <v>466090.63999999996</v>
      </c>
      <c r="O130" s="593">
        <f t="shared" si="52"/>
        <v>862480.33000000007</v>
      </c>
      <c r="P130" s="594">
        <v>119</v>
      </c>
      <c r="Q130" s="589">
        <v>0</v>
      </c>
      <c r="R130" s="596">
        <f t="shared" si="50"/>
        <v>119</v>
      </c>
      <c r="S130" s="592">
        <v>445319.35000000009</v>
      </c>
      <c r="T130" s="592">
        <v>0</v>
      </c>
      <c r="U130" s="592">
        <v>552871.49</v>
      </c>
      <c r="V130" s="593">
        <f t="shared" si="53"/>
        <v>998190.84000000008</v>
      </c>
      <c r="W130" s="593">
        <v>493568.63</v>
      </c>
      <c r="X130" s="592">
        <v>0</v>
      </c>
      <c r="Y130" s="592">
        <v>606678.64</v>
      </c>
      <c r="Z130" s="593">
        <v>1100247.27</v>
      </c>
      <c r="AA130" s="703">
        <v>468346.98</v>
      </c>
      <c r="AB130" s="593">
        <v>0</v>
      </c>
      <c r="AC130" s="593">
        <v>372872.29</v>
      </c>
      <c r="AD130" s="593">
        <f t="shared" si="54"/>
        <v>841219.27</v>
      </c>
      <c r="AE130" s="515" t="s">
        <v>538</v>
      </c>
    </row>
    <row r="131" spans="1:31" s="531" customFormat="1" x14ac:dyDescent="0.25">
      <c r="A131" s="588" t="s">
        <v>973</v>
      </c>
      <c r="B131" s="589">
        <v>0</v>
      </c>
      <c r="C131" s="589">
        <v>0</v>
      </c>
      <c r="D131" s="583">
        <f t="shared" si="44"/>
        <v>0</v>
      </c>
      <c r="E131" s="590">
        <v>0</v>
      </c>
      <c r="F131" s="590">
        <v>0</v>
      </c>
      <c r="G131" s="590">
        <v>0</v>
      </c>
      <c r="H131" s="590">
        <f t="shared" si="51"/>
        <v>0</v>
      </c>
      <c r="I131" s="589">
        <v>120</v>
      </c>
      <c r="J131" s="589">
        <v>0</v>
      </c>
      <c r="K131" s="591">
        <f t="shared" si="45"/>
        <v>120</v>
      </c>
      <c r="L131" s="592">
        <v>332367.98999999993</v>
      </c>
      <c r="M131" s="592">
        <v>0</v>
      </c>
      <c r="N131" s="592">
        <v>470726.87000000005</v>
      </c>
      <c r="O131" s="593">
        <f t="shared" si="52"/>
        <v>803094.86</v>
      </c>
      <c r="P131" s="594">
        <v>117</v>
      </c>
      <c r="Q131" s="589">
        <v>0</v>
      </c>
      <c r="R131" s="596">
        <f t="shared" si="50"/>
        <v>117</v>
      </c>
      <c r="S131" s="592">
        <v>412736.27</v>
      </c>
      <c r="T131" s="592">
        <v>0</v>
      </c>
      <c r="U131" s="592">
        <v>602589.2100000002</v>
      </c>
      <c r="V131" s="593">
        <f t="shared" si="53"/>
        <v>1015325.4800000002</v>
      </c>
      <c r="W131" s="593">
        <v>431141.64</v>
      </c>
      <c r="X131" s="592">
        <v>0</v>
      </c>
      <c r="Y131" s="592">
        <v>603280.66</v>
      </c>
      <c r="Z131" s="593">
        <v>1034422.3</v>
      </c>
      <c r="AA131" s="703">
        <v>418906.50000000006</v>
      </c>
      <c r="AB131" s="593">
        <v>0</v>
      </c>
      <c r="AC131" s="593">
        <v>342069.02</v>
      </c>
      <c r="AD131" s="593">
        <f t="shared" si="54"/>
        <v>760975.52</v>
      </c>
      <c r="AE131" s="513" t="s">
        <v>540</v>
      </c>
    </row>
    <row r="132" spans="1:31" s="531" customFormat="1" x14ac:dyDescent="0.25">
      <c r="A132" s="588" t="s">
        <v>489</v>
      </c>
      <c r="B132" s="589">
        <v>0</v>
      </c>
      <c r="C132" s="589">
        <v>0</v>
      </c>
      <c r="D132" s="583">
        <f t="shared" si="44"/>
        <v>0</v>
      </c>
      <c r="E132" s="590">
        <v>0</v>
      </c>
      <c r="F132" s="590">
        <v>0</v>
      </c>
      <c r="G132" s="590">
        <v>0</v>
      </c>
      <c r="H132" s="590">
        <f t="shared" si="51"/>
        <v>0</v>
      </c>
      <c r="I132" s="589">
        <v>99</v>
      </c>
      <c r="J132" s="589">
        <v>0</v>
      </c>
      <c r="K132" s="591">
        <f t="shared" si="45"/>
        <v>99</v>
      </c>
      <c r="L132" s="592">
        <v>307888.45</v>
      </c>
      <c r="M132" s="592">
        <v>0</v>
      </c>
      <c r="N132" s="592">
        <v>388718.24</v>
      </c>
      <c r="O132" s="593">
        <f t="shared" si="52"/>
        <v>696606.69</v>
      </c>
      <c r="P132" s="594">
        <v>114</v>
      </c>
      <c r="Q132" s="589">
        <v>0</v>
      </c>
      <c r="R132" s="596">
        <f t="shared" si="50"/>
        <v>114</v>
      </c>
      <c r="S132" s="592">
        <v>389808.7</v>
      </c>
      <c r="T132" s="592">
        <v>0</v>
      </c>
      <c r="U132" s="592">
        <v>497379.81</v>
      </c>
      <c r="V132" s="593">
        <f t="shared" si="53"/>
        <v>887188.51</v>
      </c>
      <c r="W132" s="593">
        <v>405868.82</v>
      </c>
      <c r="X132" s="592">
        <v>0</v>
      </c>
      <c r="Y132" s="592">
        <v>494063.45999999996</v>
      </c>
      <c r="Z132" s="593">
        <v>899932.28</v>
      </c>
      <c r="AA132" s="703">
        <v>382466.45999999996</v>
      </c>
      <c r="AB132" s="593">
        <v>0</v>
      </c>
      <c r="AC132" s="593">
        <v>299606.24</v>
      </c>
      <c r="AD132" s="593">
        <f t="shared" si="54"/>
        <v>682072.7</v>
      </c>
      <c r="AE132" s="513" t="s">
        <v>490</v>
      </c>
    </row>
    <row r="133" spans="1:31" s="531" customFormat="1" x14ac:dyDescent="0.25">
      <c r="A133" s="588" t="s">
        <v>974</v>
      </c>
      <c r="B133" s="589">
        <v>0</v>
      </c>
      <c r="C133" s="589">
        <v>0</v>
      </c>
      <c r="D133" s="583">
        <f t="shared" si="44"/>
        <v>0</v>
      </c>
      <c r="E133" s="590">
        <v>0</v>
      </c>
      <c r="F133" s="590">
        <v>0</v>
      </c>
      <c r="G133" s="590">
        <v>0</v>
      </c>
      <c r="H133" s="590">
        <f t="shared" si="51"/>
        <v>0</v>
      </c>
      <c r="I133" s="589">
        <v>133</v>
      </c>
      <c r="J133" s="589">
        <v>0</v>
      </c>
      <c r="K133" s="591">
        <f>SUM(I133:J133)</f>
        <v>133</v>
      </c>
      <c r="L133" s="592">
        <v>412575.57999999996</v>
      </c>
      <c r="M133" s="592">
        <v>0</v>
      </c>
      <c r="N133" s="592">
        <v>594527.79</v>
      </c>
      <c r="O133" s="593">
        <f t="shared" si="52"/>
        <v>1007103.37</v>
      </c>
      <c r="P133" s="594">
        <v>146</v>
      </c>
      <c r="Q133" s="589">
        <v>0</v>
      </c>
      <c r="R133" s="596">
        <f t="shared" si="50"/>
        <v>146</v>
      </c>
      <c r="S133" s="592">
        <v>559525.00000000012</v>
      </c>
      <c r="T133" s="592">
        <v>0</v>
      </c>
      <c r="U133" s="592">
        <v>883972.97000000009</v>
      </c>
      <c r="V133" s="593">
        <f t="shared" si="53"/>
        <v>1443497.9700000002</v>
      </c>
      <c r="W133" s="593">
        <v>591576.24</v>
      </c>
      <c r="X133" s="592">
        <v>0</v>
      </c>
      <c r="Y133" s="592">
        <v>911246.87</v>
      </c>
      <c r="Z133" s="593">
        <v>1502823.1099999999</v>
      </c>
      <c r="AA133" s="703">
        <v>600351.43999999994</v>
      </c>
      <c r="AB133" s="593">
        <v>0</v>
      </c>
      <c r="AC133" s="593">
        <v>508017.65000000008</v>
      </c>
      <c r="AD133" s="593">
        <f t="shared" si="54"/>
        <v>1108369.0900000001</v>
      </c>
      <c r="AE133" s="513" t="s">
        <v>542</v>
      </c>
    </row>
    <row r="134" spans="1:31" s="531" customFormat="1" x14ac:dyDescent="0.25">
      <c r="A134" s="581" t="s">
        <v>287</v>
      </c>
      <c r="B134" s="582">
        <f>SUM(B135:B144)</f>
        <v>0</v>
      </c>
      <c r="C134" s="582">
        <f>SUM(C135:C144)</f>
        <v>0</v>
      </c>
      <c r="D134" s="583">
        <f>SUM(B134:C134)</f>
        <v>0</v>
      </c>
      <c r="E134" s="582">
        <f>SUM(E135:E144)</f>
        <v>0</v>
      </c>
      <c r="F134" s="582">
        <f>SUM(F135:F144)</f>
        <v>0</v>
      </c>
      <c r="G134" s="582">
        <f>SUM(G135:G144)</f>
        <v>0</v>
      </c>
      <c r="H134" s="582">
        <f>SUM(E134:G134)</f>
        <v>0</v>
      </c>
      <c r="I134" s="582">
        <f>SUM(I135:I144)</f>
        <v>566</v>
      </c>
      <c r="J134" s="582">
        <f>SUM(J135:J144)</f>
        <v>0</v>
      </c>
      <c r="K134" s="583">
        <f>SUM(I134:J134)</f>
        <v>566</v>
      </c>
      <c r="L134" s="584">
        <f>SUM(L135:L144)</f>
        <v>1250710.24</v>
      </c>
      <c r="M134" s="584">
        <f>SUM(M135:M144)</f>
        <v>0</v>
      </c>
      <c r="N134" s="584">
        <f>SUM(N135:N144)</f>
        <v>1689529.65</v>
      </c>
      <c r="O134" s="585">
        <f>SUM(L134:N134)</f>
        <v>2940239.8899999997</v>
      </c>
      <c r="P134" s="586">
        <f>SUM(P135:P144)</f>
        <v>616</v>
      </c>
      <c r="Q134" s="582">
        <f>SUM(Q135:Q144)</f>
        <v>0</v>
      </c>
      <c r="R134" s="583">
        <f>SUM(P134:Q134)</f>
        <v>616</v>
      </c>
      <c r="S134" s="584">
        <f t="shared" ref="S134:AD134" si="55">SUM(S135:S144)</f>
        <v>2049730.8499999999</v>
      </c>
      <c r="T134" s="584">
        <f t="shared" si="55"/>
        <v>0</v>
      </c>
      <c r="U134" s="584">
        <f t="shared" si="55"/>
        <v>2949718.5400000005</v>
      </c>
      <c r="V134" s="584">
        <f t="shared" si="55"/>
        <v>4999449.3899999997</v>
      </c>
      <c r="W134" s="585">
        <f t="shared" si="55"/>
        <v>3178831.48</v>
      </c>
      <c r="X134" s="585">
        <f t="shared" si="55"/>
        <v>0</v>
      </c>
      <c r="Y134" s="585">
        <f t="shared" si="55"/>
        <v>4176230.84</v>
      </c>
      <c r="Z134" s="585">
        <f t="shared" si="55"/>
        <v>7355062.3200000003</v>
      </c>
      <c r="AA134" s="587">
        <f t="shared" si="55"/>
        <v>4305385.72</v>
      </c>
      <c r="AB134" s="585">
        <f t="shared" si="55"/>
        <v>0</v>
      </c>
      <c r="AC134" s="585">
        <f t="shared" si="55"/>
        <v>3899124.7700000005</v>
      </c>
      <c r="AD134" s="585">
        <f t="shared" si="55"/>
        <v>8204510.4899999984</v>
      </c>
      <c r="AE134" s="512" t="s">
        <v>288</v>
      </c>
    </row>
    <row r="135" spans="1:31" s="531" customFormat="1" x14ac:dyDescent="0.25">
      <c r="A135" s="588" t="s">
        <v>975</v>
      </c>
      <c r="B135" s="589">
        <v>0</v>
      </c>
      <c r="C135" s="589">
        <v>0</v>
      </c>
      <c r="D135" s="583">
        <f>SUM(B135:C135)</f>
        <v>0</v>
      </c>
      <c r="E135" s="590">
        <v>0</v>
      </c>
      <c r="F135" s="590">
        <v>0</v>
      </c>
      <c r="G135" s="590">
        <v>0</v>
      </c>
      <c r="H135" s="590">
        <f>SUM(E135:G135)</f>
        <v>0</v>
      </c>
      <c r="I135" s="589">
        <v>0</v>
      </c>
      <c r="J135" s="589">
        <v>0</v>
      </c>
      <c r="K135" s="591">
        <f>SUM(I135:J135)</f>
        <v>0</v>
      </c>
      <c r="L135" s="592">
        <v>0</v>
      </c>
      <c r="M135" s="592">
        <v>0</v>
      </c>
      <c r="N135" s="592">
        <v>0</v>
      </c>
      <c r="O135" s="593">
        <f>SUM(L135:N135)</f>
        <v>0</v>
      </c>
      <c r="P135" s="594">
        <v>0</v>
      </c>
      <c r="Q135" s="589">
        <v>0</v>
      </c>
      <c r="R135" s="596">
        <f t="shared" ref="R135:R175" si="56">SUM(P135:Q135)</f>
        <v>0</v>
      </c>
      <c r="S135" s="592">
        <v>0</v>
      </c>
      <c r="T135" s="592">
        <v>0</v>
      </c>
      <c r="U135" s="592">
        <v>0</v>
      </c>
      <c r="V135" s="593">
        <f>SUM(S135:U135)</f>
        <v>0</v>
      </c>
      <c r="W135" s="593">
        <v>150355.26</v>
      </c>
      <c r="X135" s="592">
        <v>0</v>
      </c>
      <c r="Y135" s="592">
        <v>179328.25</v>
      </c>
      <c r="Z135" s="593">
        <v>329683.51</v>
      </c>
      <c r="AA135" s="703">
        <v>411621.26</v>
      </c>
      <c r="AB135" s="593">
        <v>0</v>
      </c>
      <c r="AC135" s="593">
        <v>306987.17</v>
      </c>
      <c r="AD135" s="593">
        <f>SUM(AA135:AC135)</f>
        <v>718608.42999999993</v>
      </c>
      <c r="AE135" s="513" t="s">
        <v>544</v>
      </c>
    </row>
    <row r="136" spans="1:31" s="531" customFormat="1" x14ac:dyDescent="0.25">
      <c r="A136" s="588" t="s">
        <v>976</v>
      </c>
      <c r="B136" s="589">
        <v>0</v>
      </c>
      <c r="C136" s="589">
        <v>0</v>
      </c>
      <c r="D136" s="583">
        <f t="shared" si="44"/>
        <v>0</v>
      </c>
      <c r="E136" s="590">
        <v>0</v>
      </c>
      <c r="F136" s="590">
        <v>0</v>
      </c>
      <c r="G136" s="590">
        <v>0</v>
      </c>
      <c r="H136" s="590">
        <f t="shared" ref="H136:H175" si="57">SUM(E136:G136)</f>
        <v>0</v>
      </c>
      <c r="I136" s="589">
        <v>145</v>
      </c>
      <c r="J136" s="589">
        <v>0</v>
      </c>
      <c r="K136" s="591">
        <f t="shared" ref="K136:K199" si="58">SUM(I136:J136)</f>
        <v>145</v>
      </c>
      <c r="L136" s="592">
        <v>487620.41</v>
      </c>
      <c r="M136" s="592">
        <v>0</v>
      </c>
      <c r="N136" s="592">
        <v>628938.95000000007</v>
      </c>
      <c r="O136" s="593">
        <f t="shared" ref="O136:O175" si="59">SUM(L136:N136)</f>
        <v>1116559.3600000001</v>
      </c>
      <c r="P136" s="594">
        <v>165</v>
      </c>
      <c r="Q136" s="589">
        <v>0</v>
      </c>
      <c r="R136" s="596">
        <f t="shared" si="56"/>
        <v>165</v>
      </c>
      <c r="S136" s="592">
        <v>547641.57000000007</v>
      </c>
      <c r="T136" s="592">
        <v>0</v>
      </c>
      <c r="U136" s="592">
        <v>747030.81</v>
      </c>
      <c r="V136" s="593">
        <f t="shared" ref="V136:V144" si="60">SUM(S136:U136)</f>
        <v>1294672.3800000001</v>
      </c>
      <c r="W136" s="593">
        <v>665525.52</v>
      </c>
      <c r="X136" s="592">
        <v>0</v>
      </c>
      <c r="Y136" s="592">
        <v>827337.24</v>
      </c>
      <c r="Z136" s="593">
        <v>1492862.7599999998</v>
      </c>
      <c r="AA136" s="703">
        <v>618434.34</v>
      </c>
      <c r="AB136" s="593">
        <v>0</v>
      </c>
      <c r="AC136" s="593">
        <v>486524.35000000003</v>
      </c>
      <c r="AD136" s="593">
        <f t="shared" ref="AD136:AD144" si="61">SUM(AA136:AC136)</f>
        <v>1104958.69</v>
      </c>
      <c r="AE136" s="513" t="s">
        <v>546</v>
      </c>
    </row>
    <row r="137" spans="1:31" s="531" customFormat="1" x14ac:dyDescent="0.25">
      <c r="A137" s="588" t="s">
        <v>890</v>
      </c>
      <c r="B137" s="589">
        <v>0</v>
      </c>
      <c r="C137" s="589">
        <v>0</v>
      </c>
      <c r="D137" s="583">
        <f t="shared" si="44"/>
        <v>0</v>
      </c>
      <c r="E137" s="590">
        <v>0</v>
      </c>
      <c r="F137" s="590">
        <v>0</v>
      </c>
      <c r="G137" s="590">
        <v>0</v>
      </c>
      <c r="H137" s="590">
        <f t="shared" si="57"/>
        <v>0</v>
      </c>
      <c r="I137" s="589">
        <v>71</v>
      </c>
      <c r="J137" s="589">
        <v>0</v>
      </c>
      <c r="K137" s="591">
        <f t="shared" si="58"/>
        <v>71</v>
      </c>
      <c r="L137" s="592">
        <v>58402.720000000001</v>
      </c>
      <c r="M137" s="592">
        <v>0</v>
      </c>
      <c r="N137" s="592">
        <v>107083.84</v>
      </c>
      <c r="O137" s="593">
        <f t="shared" si="59"/>
        <v>165486.56</v>
      </c>
      <c r="P137" s="594">
        <v>76</v>
      </c>
      <c r="Q137" s="589">
        <v>0</v>
      </c>
      <c r="R137" s="596">
        <f t="shared" si="56"/>
        <v>76</v>
      </c>
      <c r="S137" s="592">
        <v>290139.82</v>
      </c>
      <c r="T137" s="592">
        <v>0</v>
      </c>
      <c r="U137" s="592">
        <v>524821.11</v>
      </c>
      <c r="V137" s="593">
        <f t="shared" si="60"/>
        <v>814960.92999999993</v>
      </c>
      <c r="W137" s="593">
        <v>345027.64999999997</v>
      </c>
      <c r="X137" s="592">
        <v>0</v>
      </c>
      <c r="Y137" s="592">
        <v>575636.89999999991</v>
      </c>
      <c r="Z137" s="593">
        <v>920664.55</v>
      </c>
      <c r="AA137" s="703">
        <v>328628.55000000005</v>
      </c>
      <c r="AB137" s="593">
        <v>0</v>
      </c>
      <c r="AC137" s="593">
        <v>307119.16000000003</v>
      </c>
      <c r="AD137" s="593">
        <f t="shared" si="61"/>
        <v>635747.71000000008</v>
      </c>
      <c r="AE137" s="513" t="s">
        <v>378</v>
      </c>
    </row>
    <row r="138" spans="1:31" s="531" customFormat="1" x14ac:dyDescent="0.25">
      <c r="A138" s="588" t="s">
        <v>977</v>
      </c>
      <c r="B138" s="589">
        <v>0</v>
      </c>
      <c r="C138" s="589">
        <v>0</v>
      </c>
      <c r="D138" s="583">
        <f t="shared" si="44"/>
        <v>0</v>
      </c>
      <c r="E138" s="590">
        <v>0</v>
      </c>
      <c r="F138" s="590">
        <v>0</v>
      </c>
      <c r="G138" s="590">
        <v>0</v>
      </c>
      <c r="H138" s="590">
        <f t="shared" si="57"/>
        <v>0</v>
      </c>
      <c r="I138" s="589">
        <v>0</v>
      </c>
      <c r="J138" s="589">
        <v>0</v>
      </c>
      <c r="K138" s="591">
        <f t="shared" si="58"/>
        <v>0</v>
      </c>
      <c r="L138" s="592">
        <v>0</v>
      </c>
      <c r="M138" s="592">
        <v>0</v>
      </c>
      <c r="N138" s="592">
        <v>0</v>
      </c>
      <c r="O138" s="593">
        <f t="shared" si="59"/>
        <v>0</v>
      </c>
      <c r="P138" s="594">
        <v>0</v>
      </c>
      <c r="Q138" s="589">
        <v>0</v>
      </c>
      <c r="R138" s="596">
        <f t="shared" si="56"/>
        <v>0</v>
      </c>
      <c r="S138" s="592">
        <v>0</v>
      </c>
      <c r="T138" s="592">
        <v>0</v>
      </c>
      <c r="U138" s="592">
        <v>0</v>
      </c>
      <c r="V138" s="593">
        <f t="shared" si="60"/>
        <v>0</v>
      </c>
      <c r="W138" s="593">
        <v>510629.22</v>
      </c>
      <c r="X138" s="592">
        <v>0</v>
      </c>
      <c r="Y138" s="592">
        <v>605480.69000000006</v>
      </c>
      <c r="Z138" s="593">
        <v>1116109.9100000001</v>
      </c>
      <c r="AA138" s="703">
        <v>1543689.04</v>
      </c>
      <c r="AB138" s="593">
        <v>0</v>
      </c>
      <c r="AC138" s="593">
        <v>1601663.64</v>
      </c>
      <c r="AD138" s="593">
        <f t="shared" si="61"/>
        <v>3145352.6799999997</v>
      </c>
      <c r="AE138" s="513" t="s">
        <v>549</v>
      </c>
    </row>
    <row r="139" spans="1:31" s="531" customFormat="1" x14ac:dyDescent="0.25">
      <c r="A139" s="588" t="s">
        <v>978</v>
      </c>
      <c r="B139" s="589">
        <v>0</v>
      </c>
      <c r="C139" s="589">
        <v>0</v>
      </c>
      <c r="D139" s="583">
        <f t="shared" si="44"/>
        <v>0</v>
      </c>
      <c r="E139" s="590">
        <v>0</v>
      </c>
      <c r="F139" s="590">
        <v>0</v>
      </c>
      <c r="G139" s="590">
        <v>0</v>
      </c>
      <c r="H139" s="590">
        <f t="shared" si="57"/>
        <v>0</v>
      </c>
      <c r="I139" s="589">
        <v>0</v>
      </c>
      <c r="J139" s="589">
        <v>0</v>
      </c>
      <c r="K139" s="591">
        <f t="shared" si="58"/>
        <v>0</v>
      </c>
      <c r="L139" s="592">
        <v>0</v>
      </c>
      <c r="M139" s="592">
        <v>0</v>
      </c>
      <c r="N139" s="592">
        <v>0</v>
      </c>
      <c r="O139" s="593">
        <f t="shared" si="59"/>
        <v>0</v>
      </c>
      <c r="P139" s="594">
        <v>0</v>
      </c>
      <c r="Q139" s="589">
        <v>0</v>
      </c>
      <c r="R139" s="596">
        <f t="shared" si="56"/>
        <v>0</v>
      </c>
      <c r="S139" s="592">
        <v>0</v>
      </c>
      <c r="T139" s="592">
        <v>0</v>
      </c>
      <c r="U139" s="592">
        <v>0</v>
      </c>
      <c r="V139" s="593">
        <f t="shared" si="60"/>
        <v>0</v>
      </c>
      <c r="W139" s="593">
        <v>0</v>
      </c>
      <c r="X139" s="592">
        <v>0</v>
      </c>
      <c r="Y139" s="592">
        <v>0</v>
      </c>
      <c r="Z139" s="593">
        <v>0</v>
      </c>
      <c r="AA139" s="703">
        <v>0</v>
      </c>
      <c r="AB139" s="593">
        <v>0</v>
      </c>
      <c r="AC139" s="593">
        <v>0</v>
      </c>
      <c r="AD139" s="593">
        <f t="shared" si="61"/>
        <v>0</v>
      </c>
      <c r="AE139" s="513" t="s">
        <v>438</v>
      </c>
    </row>
    <row r="140" spans="1:31" s="531" customFormat="1" x14ac:dyDescent="0.25">
      <c r="A140" s="588" t="s">
        <v>979</v>
      </c>
      <c r="B140" s="589">
        <v>0</v>
      </c>
      <c r="C140" s="589">
        <v>0</v>
      </c>
      <c r="D140" s="583">
        <f t="shared" si="44"/>
        <v>0</v>
      </c>
      <c r="E140" s="590">
        <v>0</v>
      </c>
      <c r="F140" s="590">
        <v>0</v>
      </c>
      <c r="G140" s="590">
        <v>0</v>
      </c>
      <c r="H140" s="590">
        <f t="shared" si="57"/>
        <v>0</v>
      </c>
      <c r="I140" s="589">
        <v>0</v>
      </c>
      <c r="J140" s="589">
        <v>0</v>
      </c>
      <c r="K140" s="591">
        <f t="shared" si="58"/>
        <v>0</v>
      </c>
      <c r="L140" s="592">
        <v>0</v>
      </c>
      <c r="M140" s="592">
        <v>0</v>
      </c>
      <c r="N140" s="592">
        <v>0</v>
      </c>
      <c r="O140" s="593">
        <f t="shared" si="59"/>
        <v>0</v>
      </c>
      <c r="P140" s="594">
        <v>0</v>
      </c>
      <c r="Q140" s="589">
        <v>0</v>
      </c>
      <c r="R140" s="596">
        <f t="shared" si="56"/>
        <v>0</v>
      </c>
      <c r="S140" s="592">
        <v>0</v>
      </c>
      <c r="T140" s="592">
        <v>0</v>
      </c>
      <c r="U140" s="592">
        <v>0</v>
      </c>
      <c r="V140" s="593">
        <f t="shared" si="60"/>
        <v>0</v>
      </c>
      <c r="W140" s="593">
        <v>0</v>
      </c>
      <c r="X140" s="592">
        <v>0</v>
      </c>
      <c r="Y140" s="592">
        <v>0</v>
      </c>
      <c r="Z140" s="593">
        <v>0</v>
      </c>
      <c r="AA140" s="703">
        <v>0</v>
      </c>
      <c r="AB140" s="593">
        <v>0</v>
      </c>
      <c r="AC140" s="593">
        <v>0</v>
      </c>
      <c r="AD140" s="593">
        <f t="shared" si="61"/>
        <v>0</v>
      </c>
      <c r="AE140" s="513" t="s">
        <v>552</v>
      </c>
    </row>
    <row r="141" spans="1:31" s="531" customFormat="1" x14ac:dyDescent="0.25">
      <c r="A141" s="588" t="s">
        <v>980</v>
      </c>
      <c r="B141" s="589">
        <v>0</v>
      </c>
      <c r="C141" s="589">
        <v>0</v>
      </c>
      <c r="D141" s="583">
        <f t="shared" si="44"/>
        <v>0</v>
      </c>
      <c r="E141" s="590">
        <v>0</v>
      </c>
      <c r="F141" s="590">
        <v>0</v>
      </c>
      <c r="G141" s="590">
        <v>0</v>
      </c>
      <c r="H141" s="590">
        <f t="shared" si="57"/>
        <v>0</v>
      </c>
      <c r="I141" s="589">
        <v>142</v>
      </c>
      <c r="J141" s="589">
        <v>0</v>
      </c>
      <c r="K141" s="591">
        <f t="shared" si="58"/>
        <v>142</v>
      </c>
      <c r="L141" s="592">
        <v>109388.58</v>
      </c>
      <c r="M141" s="592">
        <v>0</v>
      </c>
      <c r="N141" s="592">
        <v>166836.45000000001</v>
      </c>
      <c r="O141" s="593">
        <f t="shared" si="59"/>
        <v>276225.03000000003</v>
      </c>
      <c r="P141" s="594">
        <v>149</v>
      </c>
      <c r="Q141" s="589">
        <v>0</v>
      </c>
      <c r="R141" s="596">
        <f t="shared" si="56"/>
        <v>149</v>
      </c>
      <c r="S141" s="592">
        <v>493554.49</v>
      </c>
      <c r="T141" s="592">
        <v>0</v>
      </c>
      <c r="U141" s="592">
        <v>676630.87</v>
      </c>
      <c r="V141" s="593">
        <f t="shared" si="60"/>
        <v>1170185.3599999999</v>
      </c>
      <c r="W141" s="593">
        <v>662347.71000000008</v>
      </c>
      <c r="X141" s="592">
        <v>0</v>
      </c>
      <c r="Y141" s="592">
        <v>826549.23999999987</v>
      </c>
      <c r="Z141" s="593">
        <v>1488896.9499999997</v>
      </c>
      <c r="AA141" s="703">
        <v>574982.9</v>
      </c>
      <c r="AB141" s="593">
        <v>0</v>
      </c>
      <c r="AC141" s="593">
        <v>481061.87</v>
      </c>
      <c r="AD141" s="593">
        <f t="shared" si="61"/>
        <v>1056044.77</v>
      </c>
      <c r="AE141" s="515" t="s">
        <v>554</v>
      </c>
    </row>
    <row r="142" spans="1:31" s="531" customFormat="1" x14ac:dyDescent="0.25">
      <c r="A142" s="588" t="s">
        <v>981</v>
      </c>
      <c r="B142" s="589">
        <v>0</v>
      </c>
      <c r="C142" s="589">
        <v>0</v>
      </c>
      <c r="D142" s="583">
        <f t="shared" si="44"/>
        <v>0</v>
      </c>
      <c r="E142" s="590">
        <v>0</v>
      </c>
      <c r="F142" s="590">
        <v>0</v>
      </c>
      <c r="G142" s="590">
        <v>0</v>
      </c>
      <c r="H142" s="590">
        <f t="shared" si="57"/>
        <v>0</v>
      </c>
      <c r="I142" s="589">
        <v>169</v>
      </c>
      <c r="J142" s="589">
        <v>0</v>
      </c>
      <c r="K142" s="591">
        <f t="shared" si="58"/>
        <v>169</v>
      </c>
      <c r="L142" s="592">
        <v>521700.68</v>
      </c>
      <c r="M142" s="592">
        <v>0</v>
      </c>
      <c r="N142" s="592">
        <v>674475.28</v>
      </c>
      <c r="O142" s="593">
        <f t="shared" si="59"/>
        <v>1196175.96</v>
      </c>
      <c r="P142" s="594">
        <v>184</v>
      </c>
      <c r="Q142" s="589">
        <v>0</v>
      </c>
      <c r="R142" s="596">
        <f t="shared" si="56"/>
        <v>184</v>
      </c>
      <c r="S142" s="592">
        <v>626657.57999999996</v>
      </c>
      <c r="T142" s="592">
        <v>0</v>
      </c>
      <c r="U142" s="592">
        <v>844952.5900000002</v>
      </c>
      <c r="V142" s="593">
        <f t="shared" si="60"/>
        <v>1471610.1700000002</v>
      </c>
      <c r="W142" s="593">
        <v>739414.72</v>
      </c>
      <c r="X142" s="592">
        <v>0</v>
      </c>
      <c r="Y142" s="592">
        <v>979721.42999999993</v>
      </c>
      <c r="Z142" s="593">
        <v>1719136.1500000001</v>
      </c>
      <c r="AA142" s="703">
        <v>701833.34</v>
      </c>
      <c r="AB142" s="593">
        <v>0</v>
      </c>
      <c r="AC142" s="593">
        <v>604356.68999999983</v>
      </c>
      <c r="AD142" s="593">
        <f t="shared" si="61"/>
        <v>1306190.0299999998</v>
      </c>
      <c r="AE142" s="513" t="s">
        <v>556</v>
      </c>
    </row>
    <row r="143" spans="1:31" s="531" customFormat="1" x14ac:dyDescent="0.25">
      <c r="A143" s="588" t="s">
        <v>875</v>
      </c>
      <c r="B143" s="589">
        <v>0</v>
      </c>
      <c r="C143" s="589">
        <v>0</v>
      </c>
      <c r="D143" s="583">
        <f t="shared" si="44"/>
        <v>0</v>
      </c>
      <c r="E143" s="590">
        <v>0</v>
      </c>
      <c r="F143" s="590">
        <v>0</v>
      </c>
      <c r="G143" s="590">
        <v>0</v>
      </c>
      <c r="H143" s="590">
        <f t="shared" si="57"/>
        <v>0</v>
      </c>
      <c r="I143" s="589">
        <v>39</v>
      </c>
      <c r="J143" s="589">
        <v>0</v>
      </c>
      <c r="K143" s="591">
        <f t="shared" si="58"/>
        <v>39</v>
      </c>
      <c r="L143" s="592">
        <v>73597.850000000006</v>
      </c>
      <c r="M143" s="592">
        <v>0</v>
      </c>
      <c r="N143" s="592">
        <v>112195.12999999999</v>
      </c>
      <c r="O143" s="593">
        <f t="shared" si="59"/>
        <v>185792.97999999998</v>
      </c>
      <c r="P143" s="594">
        <v>42</v>
      </c>
      <c r="Q143" s="589">
        <v>0</v>
      </c>
      <c r="R143" s="596">
        <f t="shared" si="56"/>
        <v>42</v>
      </c>
      <c r="S143" s="592">
        <v>91737.39</v>
      </c>
      <c r="T143" s="592">
        <v>0</v>
      </c>
      <c r="U143" s="592">
        <v>156283.16</v>
      </c>
      <c r="V143" s="593">
        <f t="shared" si="60"/>
        <v>248020.55</v>
      </c>
      <c r="W143" s="593">
        <v>105531.4</v>
      </c>
      <c r="X143" s="592">
        <v>0</v>
      </c>
      <c r="Y143" s="592">
        <v>182177.09</v>
      </c>
      <c r="Z143" s="593">
        <v>287708.48999999993</v>
      </c>
      <c r="AA143" s="703">
        <v>126196.29000000001</v>
      </c>
      <c r="AB143" s="593">
        <v>0</v>
      </c>
      <c r="AC143" s="593">
        <v>111411.89</v>
      </c>
      <c r="AD143" s="593">
        <f t="shared" si="61"/>
        <v>237608.18</v>
      </c>
      <c r="AE143" s="513" t="s">
        <v>348</v>
      </c>
    </row>
    <row r="144" spans="1:31" s="531" customFormat="1" x14ac:dyDescent="0.25">
      <c r="A144" s="588" t="s">
        <v>982</v>
      </c>
      <c r="B144" s="589">
        <v>0</v>
      </c>
      <c r="C144" s="589">
        <v>0</v>
      </c>
      <c r="D144" s="583">
        <f t="shared" si="44"/>
        <v>0</v>
      </c>
      <c r="E144" s="590">
        <v>0</v>
      </c>
      <c r="F144" s="590">
        <v>0</v>
      </c>
      <c r="G144" s="590">
        <v>0</v>
      </c>
      <c r="H144" s="590">
        <f t="shared" si="57"/>
        <v>0</v>
      </c>
      <c r="I144" s="589">
        <v>0</v>
      </c>
      <c r="J144" s="589">
        <v>0</v>
      </c>
      <c r="K144" s="591">
        <f t="shared" si="58"/>
        <v>0</v>
      </c>
      <c r="L144" s="592">
        <v>0</v>
      </c>
      <c r="M144" s="592">
        <v>0</v>
      </c>
      <c r="N144" s="592">
        <v>0</v>
      </c>
      <c r="O144" s="593">
        <f t="shared" si="59"/>
        <v>0</v>
      </c>
      <c r="P144" s="594">
        <v>0</v>
      </c>
      <c r="Q144" s="589">
        <v>0</v>
      </c>
      <c r="R144" s="596">
        <f t="shared" si="56"/>
        <v>0</v>
      </c>
      <c r="S144" s="592">
        <v>0</v>
      </c>
      <c r="T144" s="592">
        <v>0</v>
      </c>
      <c r="U144" s="592">
        <v>0</v>
      </c>
      <c r="V144" s="593">
        <f t="shared" si="60"/>
        <v>0</v>
      </c>
      <c r="W144" s="593">
        <v>0</v>
      </c>
      <c r="X144" s="592">
        <v>0</v>
      </c>
      <c r="Y144" s="592">
        <v>0</v>
      </c>
      <c r="Z144" s="593">
        <v>0</v>
      </c>
      <c r="AA144" s="703">
        <v>0</v>
      </c>
      <c r="AB144" s="593">
        <v>0</v>
      </c>
      <c r="AC144" s="593">
        <v>0</v>
      </c>
      <c r="AD144" s="593">
        <f t="shared" si="61"/>
        <v>0</v>
      </c>
      <c r="AE144" s="513" t="s">
        <v>558</v>
      </c>
    </row>
    <row r="145" spans="1:31" s="531" customFormat="1" x14ac:dyDescent="0.25">
      <c r="A145" s="581" t="s">
        <v>289</v>
      </c>
      <c r="B145" s="582">
        <f>SUM(B146:B150)</f>
        <v>66</v>
      </c>
      <c r="C145" s="582">
        <f>SUM(C146:C150)</f>
        <v>0</v>
      </c>
      <c r="D145" s="583">
        <f>SUM(B145:C145)</f>
        <v>66</v>
      </c>
      <c r="E145" s="582">
        <f>SUM(E146:E150)</f>
        <v>72723.739999999991</v>
      </c>
      <c r="F145" s="582">
        <f>SUM(F146:F150)</f>
        <v>0</v>
      </c>
      <c r="G145" s="582">
        <f>SUM(G146:G150)</f>
        <v>63072.21</v>
      </c>
      <c r="H145" s="582">
        <f t="shared" si="57"/>
        <v>135795.94999999998</v>
      </c>
      <c r="I145" s="582">
        <f>SUM(I146:I150)</f>
        <v>312</v>
      </c>
      <c r="J145" s="582">
        <f>SUM(J146:J150)</f>
        <v>0</v>
      </c>
      <c r="K145" s="583">
        <f t="shared" si="58"/>
        <v>312</v>
      </c>
      <c r="L145" s="584">
        <f>SUM(L146:L150)</f>
        <v>540694.64</v>
      </c>
      <c r="M145" s="584">
        <f>SUM(M146:M150)</f>
        <v>0</v>
      </c>
      <c r="N145" s="584">
        <f>SUM(N146:N150)</f>
        <v>632744.94000000006</v>
      </c>
      <c r="O145" s="585">
        <f t="shared" si="59"/>
        <v>1173439.58</v>
      </c>
      <c r="P145" s="586">
        <f>SUM(P146:P150)</f>
        <v>333</v>
      </c>
      <c r="Q145" s="582">
        <f>SUM(Q146:Q150)</f>
        <v>0</v>
      </c>
      <c r="R145" s="583">
        <f t="shared" si="56"/>
        <v>333</v>
      </c>
      <c r="S145" s="584">
        <f t="shared" ref="S145:AD145" si="62">SUM(S146:S150)</f>
        <v>1066752.3500000001</v>
      </c>
      <c r="T145" s="584">
        <f t="shared" si="62"/>
        <v>0</v>
      </c>
      <c r="U145" s="584">
        <f t="shared" si="62"/>
        <v>1318242.94</v>
      </c>
      <c r="V145" s="584">
        <f t="shared" si="62"/>
        <v>2384995.29</v>
      </c>
      <c r="W145" s="585">
        <f t="shared" si="62"/>
        <v>1728852.9749999999</v>
      </c>
      <c r="X145" s="585">
        <f t="shared" si="62"/>
        <v>0</v>
      </c>
      <c r="Y145" s="585">
        <f t="shared" si="62"/>
        <v>2076468.5800000003</v>
      </c>
      <c r="Z145" s="585">
        <f t="shared" si="62"/>
        <v>3805321.5549999997</v>
      </c>
      <c r="AA145" s="587">
        <f t="shared" si="62"/>
        <v>1496675.8299999998</v>
      </c>
      <c r="AB145" s="585">
        <f t="shared" si="62"/>
        <v>0</v>
      </c>
      <c r="AC145" s="585">
        <f t="shared" si="62"/>
        <v>1160174.25</v>
      </c>
      <c r="AD145" s="585">
        <f t="shared" si="62"/>
        <v>2656850.08</v>
      </c>
      <c r="AE145" s="512" t="s">
        <v>290</v>
      </c>
    </row>
    <row r="146" spans="1:31" s="531" customFormat="1" x14ac:dyDescent="0.25">
      <c r="A146" s="588" t="s">
        <v>983</v>
      </c>
      <c r="B146" s="589">
        <v>0</v>
      </c>
      <c r="C146" s="589">
        <v>0</v>
      </c>
      <c r="D146" s="583">
        <f>SUM(B146:C146)</f>
        <v>0</v>
      </c>
      <c r="E146" s="590">
        <v>0</v>
      </c>
      <c r="F146" s="590">
        <v>0</v>
      </c>
      <c r="G146" s="590">
        <v>0</v>
      </c>
      <c r="H146" s="590">
        <f t="shared" si="57"/>
        <v>0</v>
      </c>
      <c r="I146" s="589">
        <v>92</v>
      </c>
      <c r="J146" s="589">
        <v>0</v>
      </c>
      <c r="K146" s="591">
        <f t="shared" si="58"/>
        <v>92</v>
      </c>
      <c r="L146" s="592">
        <v>181692.62</v>
      </c>
      <c r="M146" s="592">
        <v>0</v>
      </c>
      <c r="N146" s="592">
        <v>256203.62999999998</v>
      </c>
      <c r="O146" s="593">
        <f t="shared" si="59"/>
        <v>437896.25</v>
      </c>
      <c r="P146" s="594">
        <v>97</v>
      </c>
      <c r="Q146" s="589">
        <v>0</v>
      </c>
      <c r="R146" s="596">
        <f t="shared" si="56"/>
        <v>97</v>
      </c>
      <c r="S146" s="592">
        <v>291064.12999999995</v>
      </c>
      <c r="T146" s="592">
        <v>0</v>
      </c>
      <c r="U146" s="592">
        <v>396818.62000000005</v>
      </c>
      <c r="V146" s="593">
        <f>SUM(S146:U146)</f>
        <v>687882.75</v>
      </c>
      <c r="W146" s="593">
        <v>366646.17499999999</v>
      </c>
      <c r="X146" s="592">
        <v>0</v>
      </c>
      <c r="Y146" s="592">
        <v>471514.89000000007</v>
      </c>
      <c r="Z146" s="593">
        <v>838161.06499999994</v>
      </c>
      <c r="AA146" s="703">
        <v>281672.77999999997</v>
      </c>
      <c r="AB146" s="593">
        <v>0</v>
      </c>
      <c r="AC146" s="593">
        <v>243603.58999999997</v>
      </c>
      <c r="AD146" s="593">
        <f>SUM(AA146:AC146)</f>
        <v>525276.36999999988</v>
      </c>
      <c r="AE146" s="513" t="s">
        <v>560</v>
      </c>
    </row>
    <row r="147" spans="1:31" s="531" customFormat="1" x14ac:dyDescent="0.25">
      <c r="A147" s="588" t="s">
        <v>984</v>
      </c>
      <c r="B147" s="589">
        <v>31</v>
      </c>
      <c r="C147" s="589">
        <v>0</v>
      </c>
      <c r="D147" s="583">
        <f>SUM(B147:C147)</f>
        <v>31</v>
      </c>
      <c r="E147" s="590">
        <v>41558.589999999997</v>
      </c>
      <c r="F147" s="590">
        <v>0</v>
      </c>
      <c r="G147" s="590">
        <v>27406.629999999997</v>
      </c>
      <c r="H147" s="590">
        <f t="shared" si="57"/>
        <v>68965.22</v>
      </c>
      <c r="I147" s="589">
        <v>35</v>
      </c>
      <c r="J147" s="589">
        <v>0</v>
      </c>
      <c r="K147" s="591">
        <f t="shared" si="58"/>
        <v>35</v>
      </c>
      <c r="L147" s="592">
        <v>127546.42</v>
      </c>
      <c r="M147" s="592">
        <v>0</v>
      </c>
      <c r="N147" s="592">
        <v>72993.260000000009</v>
      </c>
      <c r="O147" s="593">
        <f t="shared" si="59"/>
        <v>200539.68</v>
      </c>
      <c r="P147" s="594">
        <v>44</v>
      </c>
      <c r="Q147" s="589">
        <v>0</v>
      </c>
      <c r="R147" s="596">
        <f t="shared" si="56"/>
        <v>44</v>
      </c>
      <c r="S147" s="592">
        <v>179574.41999999998</v>
      </c>
      <c r="T147" s="592">
        <v>0</v>
      </c>
      <c r="U147" s="592">
        <v>130220.03</v>
      </c>
      <c r="V147" s="593">
        <f>SUM(S147:U147)</f>
        <v>309794.44999999995</v>
      </c>
      <c r="W147" s="593">
        <v>227737.67</v>
      </c>
      <c r="X147" s="592">
        <v>0</v>
      </c>
      <c r="Y147" s="592">
        <v>128056.01000000001</v>
      </c>
      <c r="Z147" s="593">
        <v>355793.68</v>
      </c>
      <c r="AA147" s="703">
        <v>143580.07999999999</v>
      </c>
      <c r="AB147" s="593">
        <v>0</v>
      </c>
      <c r="AC147" s="593">
        <v>80260.649999999994</v>
      </c>
      <c r="AD147" s="593">
        <f>SUM(AA147:AC147)</f>
        <v>223840.72999999998</v>
      </c>
      <c r="AE147" s="513" t="s">
        <v>562</v>
      </c>
    </row>
    <row r="148" spans="1:31" s="531" customFormat="1" x14ac:dyDescent="0.25">
      <c r="A148" s="588" t="s">
        <v>985</v>
      </c>
      <c r="B148" s="589">
        <v>0</v>
      </c>
      <c r="C148" s="589">
        <v>0</v>
      </c>
      <c r="D148" s="583">
        <f t="shared" si="44"/>
        <v>0</v>
      </c>
      <c r="E148" s="590">
        <v>0</v>
      </c>
      <c r="F148" s="590">
        <v>0</v>
      </c>
      <c r="G148" s="590">
        <v>0</v>
      </c>
      <c r="H148" s="590">
        <f t="shared" si="57"/>
        <v>0</v>
      </c>
      <c r="I148" s="589">
        <v>0</v>
      </c>
      <c r="J148" s="589">
        <v>0</v>
      </c>
      <c r="K148" s="591">
        <f t="shared" si="58"/>
        <v>0</v>
      </c>
      <c r="L148" s="592">
        <v>0</v>
      </c>
      <c r="M148" s="592">
        <v>0</v>
      </c>
      <c r="N148" s="592">
        <v>0</v>
      </c>
      <c r="O148" s="593">
        <f t="shared" si="59"/>
        <v>0</v>
      </c>
      <c r="P148" s="594">
        <v>0</v>
      </c>
      <c r="Q148" s="589">
        <v>0</v>
      </c>
      <c r="R148" s="596">
        <f t="shared" si="56"/>
        <v>0</v>
      </c>
      <c r="S148" s="592">
        <v>0</v>
      </c>
      <c r="T148" s="592">
        <v>0</v>
      </c>
      <c r="U148" s="592">
        <v>0</v>
      </c>
      <c r="V148" s="593">
        <f>SUM(S148:U148)</f>
        <v>0</v>
      </c>
      <c r="W148" s="593">
        <v>468330.94999999995</v>
      </c>
      <c r="X148" s="592">
        <v>0</v>
      </c>
      <c r="Y148" s="592">
        <v>608428.86</v>
      </c>
      <c r="Z148" s="593">
        <v>1076759.81</v>
      </c>
      <c r="AA148" s="703">
        <v>468101.05999999994</v>
      </c>
      <c r="AB148" s="593">
        <v>0</v>
      </c>
      <c r="AC148" s="593">
        <v>379849.60000000003</v>
      </c>
      <c r="AD148" s="593">
        <f>SUM(AA148:AC148)</f>
        <v>847950.65999999992</v>
      </c>
      <c r="AE148" s="513" t="s">
        <v>564</v>
      </c>
    </row>
    <row r="149" spans="1:31" s="531" customFormat="1" x14ac:dyDescent="0.25">
      <c r="A149" s="588" t="s">
        <v>986</v>
      </c>
      <c r="B149" s="589">
        <v>0</v>
      </c>
      <c r="C149" s="589">
        <v>0</v>
      </c>
      <c r="D149" s="583">
        <f t="shared" si="44"/>
        <v>0</v>
      </c>
      <c r="E149" s="590">
        <v>0</v>
      </c>
      <c r="F149" s="590">
        <v>0</v>
      </c>
      <c r="G149" s="590">
        <v>0</v>
      </c>
      <c r="H149" s="590">
        <f t="shared" si="57"/>
        <v>0</v>
      </c>
      <c r="I149" s="589">
        <v>148</v>
      </c>
      <c r="J149" s="589">
        <v>0</v>
      </c>
      <c r="K149" s="591">
        <f t="shared" si="58"/>
        <v>148</v>
      </c>
      <c r="L149" s="592">
        <v>118372.39</v>
      </c>
      <c r="M149" s="592">
        <v>0</v>
      </c>
      <c r="N149" s="592">
        <v>158639.86000000002</v>
      </c>
      <c r="O149" s="593">
        <f t="shared" si="59"/>
        <v>277012.25</v>
      </c>
      <c r="P149" s="594">
        <v>151</v>
      </c>
      <c r="Q149" s="589">
        <v>0</v>
      </c>
      <c r="R149" s="596">
        <f t="shared" si="56"/>
        <v>151</v>
      </c>
      <c r="S149" s="592">
        <v>492257.43</v>
      </c>
      <c r="T149" s="592">
        <v>0</v>
      </c>
      <c r="U149" s="592">
        <v>638043.65999999992</v>
      </c>
      <c r="V149" s="593">
        <f>SUM(S149:U149)</f>
        <v>1130301.0899999999</v>
      </c>
      <c r="W149" s="593">
        <v>572148.39999999991</v>
      </c>
      <c r="X149" s="592">
        <v>0</v>
      </c>
      <c r="Y149" s="592">
        <v>733154.89</v>
      </c>
      <c r="Z149" s="593">
        <v>1305303.29</v>
      </c>
      <c r="AA149" s="703">
        <v>510414.23</v>
      </c>
      <c r="AB149" s="593">
        <v>0</v>
      </c>
      <c r="AC149" s="593">
        <v>386898.76</v>
      </c>
      <c r="AD149" s="593">
        <f>SUM(AA149:AC149)</f>
        <v>897312.99</v>
      </c>
      <c r="AE149" s="513" t="s">
        <v>566</v>
      </c>
    </row>
    <row r="150" spans="1:31" s="531" customFormat="1" x14ac:dyDescent="0.25">
      <c r="A150" s="588" t="s">
        <v>987</v>
      </c>
      <c r="B150" s="589">
        <v>35</v>
      </c>
      <c r="C150" s="589">
        <v>0</v>
      </c>
      <c r="D150" s="583">
        <f t="shared" si="44"/>
        <v>35</v>
      </c>
      <c r="E150" s="590">
        <v>31165.149999999998</v>
      </c>
      <c r="F150" s="590">
        <v>0</v>
      </c>
      <c r="G150" s="590">
        <v>35665.58</v>
      </c>
      <c r="H150" s="590">
        <f t="shared" si="57"/>
        <v>66830.73</v>
      </c>
      <c r="I150" s="589">
        <v>37</v>
      </c>
      <c r="J150" s="589">
        <v>0</v>
      </c>
      <c r="K150" s="591">
        <f t="shared" si="58"/>
        <v>37</v>
      </c>
      <c r="L150" s="592">
        <v>113083.20999999999</v>
      </c>
      <c r="M150" s="592">
        <v>0</v>
      </c>
      <c r="N150" s="592">
        <v>144908.19000000003</v>
      </c>
      <c r="O150" s="593">
        <f t="shared" si="59"/>
        <v>257991.40000000002</v>
      </c>
      <c r="P150" s="594">
        <v>41</v>
      </c>
      <c r="Q150" s="589">
        <v>0</v>
      </c>
      <c r="R150" s="596">
        <f t="shared" si="56"/>
        <v>41</v>
      </c>
      <c r="S150" s="592">
        <v>103856.37000000001</v>
      </c>
      <c r="T150" s="592">
        <v>0</v>
      </c>
      <c r="U150" s="592">
        <v>153160.63</v>
      </c>
      <c r="V150" s="593">
        <f>SUM(S150:U150)</f>
        <v>257017</v>
      </c>
      <c r="W150" s="593">
        <v>93989.780000000013</v>
      </c>
      <c r="X150" s="592">
        <v>0</v>
      </c>
      <c r="Y150" s="592">
        <v>135313.93000000002</v>
      </c>
      <c r="Z150" s="593">
        <v>229303.71</v>
      </c>
      <c r="AA150" s="703">
        <v>92907.680000000008</v>
      </c>
      <c r="AB150" s="593">
        <v>0</v>
      </c>
      <c r="AC150" s="593">
        <v>69561.650000000009</v>
      </c>
      <c r="AD150" s="593">
        <f>SUM(AA150:AC150)</f>
        <v>162469.33000000002</v>
      </c>
      <c r="AE150" s="513" t="s">
        <v>568</v>
      </c>
    </row>
    <row r="151" spans="1:31" s="531" customFormat="1" x14ac:dyDescent="0.25">
      <c r="A151" s="581" t="s">
        <v>291</v>
      </c>
      <c r="B151" s="582">
        <f>SUM(B152:B160)</f>
        <v>45</v>
      </c>
      <c r="C151" s="582">
        <f>SUM(C152:C160)</f>
        <v>7</v>
      </c>
      <c r="D151" s="583">
        <f>SUM(B151:C151)</f>
        <v>52</v>
      </c>
      <c r="E151" s="582">
        <f>SUM(E152:E160)</f>
        <v>1058620.92</v>
      </c>
      <c r="F151" s="582">
        <f>SUM(F152:F160)</f>
        <v>18040.93</v>
      </c>
      <c r="G151" s="582">
        <f>SUM(G152:G160)</f>
        <v>217888.4</v>
      </c>
      <c r="H151" s="582">
        <f t="shared" si="57"/>
        <v>1294550.2499999998</v>
      </c>
      <c r="I151" s="582">
        <f>SUM(I152:I160)</f>
        <v>552</v>
      </c>
      <c r="J151" s="582">
        <f>SUM(J152:J160)</f>
        <v>59</v>
      </c>
      <c r="K151" s="583">
        <f t="shared" si="58"/>
        <v>611</v>
      </c>
      <c r="L151" s="584">
        <f>SUM(L152:L160)</f>
        <v>278091.59999999998</v>
      </c>
      <c r="M151" s="584">
        <f>SUM(M152:M160)</f>
        <v>61981.479999999989</v>
      </c>
      <c r="N151" s="584">
        <f>SUM(N152:N160)</f>
        <v>610374.41999999993</v>
      </c>
      <c r="O151" s="585">
        <f t="shared" si="59"/>
        <v>950447.49999999988</v>
      </c>
      <c r="P151" s="586">
        <f>SUM(P152:P160)</f>
        <v>1114</v>
      </c>
      <c r="Q151" s="582">
        <f>SUM(Q152:Q160)</f>
        <v>136</v>
      </c>
      <c r="R151" s="583">
        <f t="shared" si="56"/>
        <v>1250</v>
      </c>
      <c r="S151" s="584">
        <f t="shared" ref="S151:AD151" si="63">SUM(S152:S160)</f>
        <v>3133600.051</v>
      </c>
      <c r="T151" s="584">
        <f t="shared" si="63"/>
        <v>514752.67</v>
      </c>
      <c r="U151" s="584">
        <f t="shared" si="63"/>
        <v>7146230.6399999997</v>
      </c>
      <c r="V151" s="584">
        <f t="shared" si="63"/>
        <v>10794583.361</v>
      </c>
      <c r="W151" s="585">
        <f t="shared" si="63"/>
        <v>3789673.1700000004</v>
      </c>
      <c r="X151" s="585">
        <f t="shared" si="63"/>
        <v>694955.5199999999</v>
      </c>
      <c r="Y151" s="585">
        <f t="shared" si="63"/>
        <v>8062348.040000001</v>
      </c>
      <c r="Z151" s="585">
        <f t="shared" si="63"/>
        <v>12546976.73</v>
      </c>
      <c r="AA151" s="587">
        <f t="shared" si="63"/>
        <v>4170092.13</v>
      </c>
      <c r="AB151" s="585">
        <f t="shared" si="63"/>
        <v>177613.24000000002</v>
      </c>
      <c r="AC151" s="585">
        <f t="shared" si="63"/>
        <v>3965393.4</v>
      </c>
      <c r="AD151" s="585">
        <f t="shared" si="63"/>
        <v>8313098.7700000005</v>
      </c>
      <c r="AE151" s="512" t="s">
        <v>292</v>
      </c>
    </row>
    <row r="152" spans="1:31" s="531" customFormat="1" x14ac:dyDescent="0.25">
      <c r="A152" s="588" t="s">
        <v>988</v>
      </c>
      <c r="B152" s="589">
        <v>0</v>
      </c>
      <c r="C152" s="589">
        <v>0</v>
      </c>
      <c r="D152" s="583">
        <f t="shared" si="44"/>
        <v>0</v>
      </c>
      <c r="E152" s="590">
        <v>0</v>
      </c>
      <c r="F152" s="590">
        <v>0</v>
      </c>
      <c r="G152" s="590">
        <v>0</v>
      </c>
      <c r="H152" s="590">
        <f t="shared" si="57"/>
        <v>0</v>
      </c>
      <c r="I152" s="589">
        <v>0</v>
      </c>
      <c r="J152" s="589">
        <v>0</v>
      </c>
      <c r="K152" s="591">
        <f t="shared" si="58"/>
        <v>0</v>
      </c>
      <c r="L152" s="592">
        <v>0</v>
      </c>
      <c r="M152" s="592">
        <v>0</v>
      </c>
      <c r="N152" s="592">
        <v>0</v>
      </c>
      <c r="O152" s="593">
        <f t="shared" si="59"/>
        <v>0</v>
      </c>
      <c r="P152" s="594">
        <v>33</v>
      </c>
      <c r="Q152" s="589">
        <v>0</v>
      </c>
      <c r="R152" s="596">
        <f t="shared" si="56"/>
        <v>33</v>
      </c>
      <c r="S152" s="592">
        <v>72044.66</v>
      </c>
      <c r="T152" s="592">
        <v>0</v>
      </c>
      <c r="U152" s="592">
        <v>130300.67</v>
      </c>
      <c r="V152" s="593">
        <f>SUM(S152:U152)</f>
        <v>202345.33000000002</v>
      </c>
      <c r="W152" s="593">
        <v>103938.92</v>
      </c>
      <c r="X152" s="592">
        <v>1779.66</v>
      </c>
      <c r="Y152" s="592">
        <v>201446.76</v>
      </c>
      <c r="Z152" s="593">
        <v>307165.34000000003</v>
      </c>
      <c r="AA152" s="703">
        <v>107736.4</v>
      </c>
      <c r="AB152" s="593">
        <v>2128.88</v>
      </c>
      <c r="AC152" s="593">
        <v>100097.31999999999</v>
      </c>
      <c r="AD152" s="593">
        <f>SUM(AA152:AC152)</f>
        <v>209962.59999999998</v>
      </c>
      <c r="AE152" s="513" t="s">
        <v>570</v>
      </c>
    </row>
    <row r="153" spans="1:31" s="531" customFormat="1" x14ac:dyDescent="0.25">
      <c r="A153" s="588" t="s">
        <v>989</v>
      </c>
      <c r="B153" s="589">
        <v>0</v>
      </c>
      <c r="C153" s="589">
        <v>0</v>
      </c>
      <c r="D153" s="583">
        <f>SUM(B153:C153)</f>
        <v>0</v>
      </c>
      <c r="E153" s="590">
        <v>0</v>
      </c>
      <c r="F153" s="590">
        <v>0</v>
      </c>
      <c r="G153" s="590">
        <v>0</v>
      </c>
      <c r="H153" s="590">
        <f t="shared" si="57"/>
        <v>0</v>
      </c>
      <c r="I153" s="589">
        <v>0</v>
      </c>
      <c r="J153" s="589">
        <v>0</v>
      </c>
      <c r="K153" s="591">
        <f t="shared" si="58"/>
        <v>0</v>
      </c>
      <c r="L153" s="592">
        <v>0</v>
      </c>
      <c r="M153" s="592">
        <v>0</v>
      </c>
      <c r="N153" s="592">
        <v>0</v>
      </c>
      <c r="O153" s="593">
        <f t="shared" si="59"/>
        <v>0</v>
      </c>
      <c r="P153" s="594">
        <v>0</v>
      </c>
      <c r="Q153" s="589">
        <v>0</v>
      </c>
      <c r="R153" s="596">
        <f t="shared" si="56"/>
        <v>0</v>
      </c>
      <c r="S153" s="592">
        <v>0</v>
      </c>
      <c r="T153" s="592">
        <v>0</v>
      </c>
      <c r="U153" s="592">
        <v>0</v>
      </c>
      <c r="V153" s="593">
        <f t="shared" ref="V153:V160" si="64">SUM(S153:U153)</f>
        <v>0</v>
      </c>
      <c r="W153" s="593">
        <v>0</v>
      </c>
      <c r="X153" s="592">
        <v>0</v>
      </c>
      <c r="Y153" s="592">
        <v>0</v>
      </c>
      <c r="Z153" s="593">
        <v>0</v>
      </c>
      <c r="AA153" s="703">
        <v>0</v>
      </c>
      <c r="AB153" s="593">
        <v>0</v>
      </c>
      <c r="AC153" s="593">
        <v>0</v>
      </c>
      <c r="AD153" s="593">
        <f t="shared" ref="AD153:AD160" si="65">SUM(AA153:AC153)</f>
        <v>0</v>
      </c>
      <c r="AE153" s="513" t="s">
        <v>810</v>
      </c>
    </row>
    <row r="154" spans="1:31" s="531" customFormat="1" x14ac:dyDescent="0.25">
      <c r="A154" s="588" t="s">
        <v>990</v>
      </c>
      <c r="B154" s="589">
        <v>45</v>
      </c>
      <c r="C154" s="589">
        <v>7</v>
      </c>
      <c r="D154" s="583">
        <f>SUM(B154:C154)</f>
        <v>52</v>
      </c>
      <c r="E154" s="590">
        <v>1058620.92</v>
      </c>
      <c r="F154" s="590">
        <v>18040.93</v>
      </c>
      <c r="G154" s="590">
        <v>217888.4</v>
      </c>
      <c r="H154" s="590">
        <f t="shared" si="57"/>
        <v>1294550.2499999998</v>
      </c>
      <c r="I154" s="589">
        <v>46</v>
      </c>
      <c r="J154" s="589">
        <v>10</v>
      </c>
      <c r="K154" s="591">
        <f t="shared" si="58"/>
        <v>56</v>
      </c>
      <c r="L154" s="592">
        <v>144434.54999999999</v>
      </c>
      <c r="M154" s="592">
        <v>42945.179999999993</v>
      </c>
      <c r="N154" s="592">
        <v>329750.88999999996</v>
      </c>
      <c r="O154" s="593">
        <f t="shared" si="59"/>
        <v>517130.61999999994</v>
      </c>
      <c r="P154" s="594">
        <v>50</v>
      </c>
      <c r="Q154" s="589">
        <v>11</v>
      </c>
      <c r="R154" s="596">
        <f t="shared" si="56"/>
        <v>61</v>
      </c>
      <c r="S154" s="592">
        <v>175245.24000000002</v>
      </c>
      <c r="T154" s="592">
        <v>50361.84</v>
      </c>
      <c r="U154" s="592">
        <v>415618.02999999997</v>
      </c>
      <c r="V154" s="593">
        <f t="shared" si="64"/>
        <v>641225.11</v>
      </c>
      <c r="W154" s="593">
        <v>169481.47</v>
      </c>
      <c r="X154" s="592">
        <v>39128.630000000005</v>
      </c>
      <c r="Y154" s="592">
        <v>363177.35000000003</v>
      </c>
      <c r="Z154" s="593">
        <v>571787.44999999995</v>
      </c>
      <c r="AA154" s="703">
        <v>197024.72</v>
      </c>
      <c r="AB154" s="593">
        <v>5830.09</v>
      </c>
      <c r="AC154" s="593">
        <v>181320.77000000002</v>
      </c>
      <c r="AD154" s="593">
        <f t="shared" si="65"/>
        <v>384175.58</v>
      </c>
      <c r="AE154" s="513" t="s">
        <v>572</v>
      </c>
    </row>
    <row r="155" spans="1:31" s="531" customFormat="1" x14ac:dyDescent="0.25">
      <c r="A155" s="588" t="s">
        <v>991</v>
      </c>
      <c r="B155" s="589">
        <v>0</v>
      </c>
      <c r="C155" s="589">
        <v>0</v>
      </c>
      <c r="D155" s="583">
        <f t="shared" si="44"/>
        <v>0</v>
      </c>
      <c r="E155" s="590">
        <v>0</v>
      </c>
      <c r="F155" s="590">
        <v>0</v>
      </c>
      <c r="G155" s="590">
        <v>0</v>
      </c>
      <c r="H155" s="590">
        <f t="shared" si="57"/>
        <v>0</v>
      </c>
      <c r="I155" s="589">
        <v>0</v>
      </c>
      <c r="J155" s="589">
        <v>0</v>
      </c>
      <c r="K155" s="591">
        <f t="shared" si="58"/>
        <v>0</v>
      </c>
      <c r="L155" s="592">
        <v>0</v>
      </c>
      <c r="M155" s="592">
        <v>0</v>
      </c>
      <c r="N155" s="592">
        <v>0</v>
      </c>
      <c r="O155" s="593">
        <f t="shared" si="59"/>
        <v>0</v>
      </c>
      <c r="P155" s="594">
        <v>274</v>
      </c>
      <c r="Q155" s="589">
        <v>51</v>
      </c>
      <c r="R155" s="596">
        <f t="shared" si="56"/>
        <v>325</v>
      </c>
      <c r="S155" s="592">
        <v>855461.35000000009</v>
      </c>
      <c r="T155" s="592">
        <v>211950.86000000002</v>
      </c>
      <c r="U155" s="592">
        <v>1976511.61</v>
      </c>
      <c r="V155" s="593">
        <f t="shared" si="64"/>
        <v>3043923.8200000003</v>
      </c>
      <c r="W155" s="593">
        <v>930099.52</v>
      </c>
      <c r="X155" s="592">
        <v>235595.48999999996</v>
      </c>
      <c r="Y155" s="592">
        <v>2057839.4800000002</v>
      </c>
      <c r="Z155" s="593">
        <v>3223534.4899999998</v>
      </c>
      <c r="AA155" s="703">
        <v>1002679.9900000001</v>
      </c>
      <c r="AB155" s="593">
        <v>42142.990000000005</v>
      </c>
      <c r="AC155" s="593">
        <v>936011.03</v>
      </c>
      <c r="AD155" s="593">
        <f t="shared" si="65"/>
        <v>1980834.0100000002</v>
      </c>
      <c r="AE155" s="513" t="s">
        <v>574</v>
      </c>
    </row>
    <row r="156" spans="1:31" s="531" customFormat="1" x14ac:dyDescent="0.25">
      <c r="A156" s="588" t="s">
        <v>992</v>
      </c>
      <c r="B156" s="589">
        <v>0</v>
      </c>
      <c r="C156" s="589">
        <v>0</v>
      </c>
      <c r="D156" s="583">
        <f t="shared" si="44"/>
        <v>0</v>
      </c>
      <c r="E156" s="590">
        <v>0</v>
      </c>
      <c r="F156" s="590">
        <v>0</v>
      </c>
      <c r="G156" s="590">
        <v>0</v>
      </c>
      <c r="H156" s="590">
        <f t="shared" si="57"/>
        <v>0</v>
      </c>
      <c r="I156" s="589">
        <v>250</v>
      </c>
      <c r="J156" s="589">
        <v>39</v>
      </c>
      <c r="K156" s="591">
        <f t="shared" si="58"/>
        <v>289</v>
      </c>
      <c r="L156" s="592">
        <v>64104.35</v>
      </c>
      <c r="M156" s="592">
        <v>15207.7</v>
      </c>
      <c r="N156" s="592">
        <v>152352.71</v>
      </c>
      <c r="O156" s="593">
        <f t="shared" si="59"/>
        <v>231664.76</v>
      </c>
      <c r="P156" s="594">
        <v>164</v>
      </c>
      <c r="Q156" s="589">
        <v>48</v>
      </c>
      <c r="R156" s="596">
        <f t="shared" si="56"/>
        <v>212</v>
      </c>
      <c r="S156" s="592">
        <v>491661.71</v>
      </c>
      <c r="T156" s="592">
        <v>145331.78</v>
      </c>
      <c r="U156" s="592">
        <v>1173962.06</v>
      </c>
      <c r="V156" s="593">
        <f t="shared" si="64"/>
        <v>1810955.55</v>
      </c>
      <c r="W156" s="593">
        <v>709343.54</v>
      </c>
      <c r="X156" s="592">
        <v>215020.33999999997</v>
      </c>
      <c r="Y156" s="592">
        <v>1621964.8100000003</v>
      </c>
      <c r="Z156" s="593">
        <v>2546328.6900000004</v>
      </c>
      <c r="AA156" s="703">
        <v>772783.8899999999</v>
      </c>
      <c r="AB156" s="593">
        <v>46332.14</v>
      </c>
      <c r="AC156" s="593">
        <v>795141.85999999987</v>
      </c>
      <c r="AD156" s="593">
        <f t="shared" si="65"/>
        <v>1614257.8899999997</v>
      </c>
      <c r="AE156" s="513" t="s">
        <v>576</v>
      </c>
    </row>
    <row r="157" spans="1:31" s="531" customFormat="1" x14ac:dyDescent="0.25">
      <c r="A157" s="588" t="s">
        <v>993</v>
      </c>
      <c r="B157" s="589">
        <v>0</v>
      </c>
      <c r="C157" s="589">
        <v>0</v>
      </c>
      <c r="D157" s="583">
        <f t="shared" si="44"/>
        <v>0</v>
      </c>
      <c r="E157" s="590">
        <v>0</v>
      </c>
      <c r="F157" s="590">
        <v>0</v>
      </c>
      <c r="G157" s="590">
        <v>0</v>
      </c>
      <c r="H157" s="590">
        <f t="shared" si="57"/>
        <v>0</v>
      </c>
      <c r="I157" s="589">
        <v>180</v>
      </c>
      <c r="J157" s="589">
        <v>0</v>
      </c>
      <c r="K157" s="591">
        <f t="shared" si="58"/>
        <v>180</v>
      </c>
      <c r="L157" s="592">
        <v>52716.65</v>
      </c>
      <c r="M157" s="592">
        <v>0</v>
      </c>
      <c r="N157" s="592">
        <v>95071.82</v>
      </c>
      <c r="O157" s="593">
        <f t="shared" si="59"/>
        <v>147788.47</v>
      </c>
      <c r="P157" s="594">
        <v>77</v>
      </c>
      <c r="Q157" s="589">
        <v>12</v>
      </c>
      <c r="R157" s="596">
        <f t="shared" si="56"/>
        <v>89</v>
      </c>
      <c r="S157" s="592">
        <v>233717.03999999998</v>
      </c>
      <c r="T157" s="592">
        <v>60379.899999999994</v>
      </c>
      <c r="U157" s="592">
        <v>496662.44</v>
      </c>
      <c r="V157" s="593">
        <f t="shared" si="64"/>
        <v>790759.37999999989</v>
      </c>
      <c r="W157" s="593">
        <v>257537.88000000006</v>
      </c>
      <c r="X157" s="592">
        <v>62629.830000000009</v>
      </c>
      <c r="Y157" s="592">
        <v>522926.62</v>
      </c>
      <c r="Z157" s="593">
        <v>843094.33000000007</v>
      </c>
      <c r="AA157" s="703">
        <v>290935.85000000003</v>
      </c>
      <c r="AB157" s="593">
        <v>11495.33</v>
      </c>
      <c r="AC157" s="593">
        <v>264229.99</v>
      </c>
      <c r="AD157" s="593">
        <f t="shared" si="65"/>
        <v>566661.17000000004</v>
      </c>
      <c r="AE157" s="513" t="s">
        <v>578</v>
      </c>
    </row>
    <row r="158" spans="1:31" s="531" customFormat="1" x14ac:dyDescent="0.25">
      <c r="A158" s="588" t="s">
        <v>994</v>
      </c>
      <c r="B158" s="589">
        <v>0</v>
      </c>
      <c r="C158" s="589">
        <v>0</v>
      </c>
      <c r="D158" s="583">
        <f t="shared" si="44"/>
        <v>0</v>
      </c>
      <c r="E158" s="590">
        <v>0</v>
      </c>
      <c r="F158" s="590">
        <v>0</v>
      </c>
      <c r="G158" s="590">
        <v>0</v>
      </c>
      <c r="H158" s="590">
        <f t="shared" si="57"/>
        <v>0</v>
      </c>
      <c r="I158" s="589">
        <v>0</v>
      </c>
      <c r="J158" s="589">
        <v>0</v>
      </c>
      <c r="K158" s="591">
        <f t="shared" si="58"/>
        <v>0</v>
      </c>
      <c r="L158" s="592">
        <v>0</v>
      </c>
      <c r="M158" s="592">
        <v>0</v>
      </c>
      <c r="N158" s="592">
        <v>0</v>
      </c>
      <c r="O158" s="593">
        <f t="shared" si="59"/>
        <v>0</v>
      </c>
      <c r="P158" s="594">
        <v>209</v>
      </c>
      <c r="Q158" s="589">
        <v>6</v>
      </c>
      <c r="R158" s="596">
        <f t="shared" si="56"/>
        <v>215</v>
      </c>
      <c r="S158" s="592">
        <v>350836.66000000003</v>
      </c>
      <c r="T158" s="592">
        <v>10169.230000000001</v>
      </c>
      <c r="U158" s="592">
        <v>1133054.4000000001</v>
      </c>
      <c r="V158" s="593">
        <f t="shared" si="64"/>
        <v>1494060.29</v>
      </c>
      <c r="W158" s="593">
        <v>605377.52</v>
      </c>
      <c r="X158" s="592">
        <v>74403.739999999991</v>
      </c>
      <c r="Y158" s="592">
        <v>1320337.9099999999</v>
      </c>
      <c r="Z158" s="593">
        <v>2000119.1699999997</v>
      </c>
      <c r="AA158" s="703">
        <v>706029.65999999992</v>
      </c>
      <c r="AB158" s="593">
        <v>18010.27</v>
      </c>
      <c r="AC158" s="593">
        <v>651100.13</v>
      </c>
      <c r="AD158" s="593">
        <f t="shared" si="65"/>
        <v>1375140.06</v>
      </c>
      <c r="AE158" s="513" t="s">
        <v>580</v>
      </c>
    </row>
    <row r="159" spans="1:31" s="531" customFormat="1" x14ac:dyDescent="0.25">
      <c r="A159" s="588" t="s">
        <v>995</v>
      </c>
      <c r="B159" s="589">
        <v>0</v>
      </c>
      <c r="C159" s="589">
        <v>0</v>
      </c>
      <c r="D159" s="583">
        <f t="shared" si="44"/>
        <v>0</v>
      </c>
      <c r="E159" s="590">
        <v>0</v>
      </c>
      <c r="F159" s="590">
        <v>0</v>
      </c>
      <c r="G159" s="590">
        <v>0</v>
      </c>
      <c r="H159" s="590">
        <f t="shared" si="57"/>
        <v>0</v>
      </c>
      <c r="I159" s="589">
        <v>76</v>
      </c>
      <c r="J159" s="589">
        <v>10</v>
      </c>
      <c r="K159" s="591">
        <f t="shared" si="58"/>
        <v>86</v>
      </c>
      <c r="L159" s="592">
        <v>16836.05</v>
      </c>
      <c r="M159" s="592">
        <v>3828.6</v>
      </c>
      <c r="N159" s="592">
        <v>33199</v>
      </c>
      <c r="O159" s="593">
        <f t="shared" si="59"/>
        <v>53863.649999999994</v>
      </c>
      <c r="P159" s="594">
        <v>197</v>
      </c>
      <c r="Q159" s="589">
        <v>0</v>
      </c>
      <c r="R159" s="596">
        <f t="shared" si="56"/>
        <v>197</v>
      </c>
      <c r="S159" s="592">
        <v>704919.821</v>
      </c>
      <c r="T159" s="592">
        <v>159</v>
      </c>
      <c r="U159" s="592">
        <v>1332289.0699999998</v>
      </c>
      <c r="V159" s="593">
        <f t="shared" si="64"/>
        <v>2037367.8909999998</v>
      </c>
      <c r="W159" s="593">
        <v>744611.18</v>
      </c>
      <c r="X159" s="592">
        <v>12805.84</v>
      </c>
      <c r="Y159" s="592">
        <v>1410038.38</v>
      </c>
      <c r="Z159" s="593">
        <v>2167455.4</v>
      </c>
      <c r="AA159" s="703">
        <v>769618.98</v>
      </c>
      <c r="AB159" s="593">
        <v>30635.41</v>
      </c>
      <c r="AC159" s="593">
        <v>746607.70000000007</v>
      </c>
      <c r="AD159" s="593">
        <f t="shared" si="65"/>
        <v>1546862.09</v>
      </c>
      <c r="AE159" s="513" t="s">
        <v>582</v>
      </c>
    </row>
    <row r="160" spans="1:31" s="531" customFormat="1" x14ac:dyDescent="0.25">
      <c r="A160" s="588" t="s">
        <v>936</v>
      </c>
      <c r="B160" s="589">
        <v>0</v>
      </c>
      <c r="C160" s="589">
        <v>0</v>
      </c>
      <c r="D160" s="583">
        <f t="shared" si="44"/>
        <v>0</v>
      </c>
      <c r="E160" s="590">
        <v>0</v>
      </c>
      <c r="F160" s="590">
        <v>0</v>
      </c>
      <c r="G160" s="590">
        <v>0</v>
      </c>
      <c r="H160" s="590">
        <f t="shared" si="57"/>
        <v>0</v>
      </c>
      <c r="I160" s="589">
        <v>0</v>
      </c>
      <c r="J160" s="589">
        <v>0</v>
      </c>
      <c r="K160" s="591">
        <f t="shared" si="58"/>
        <v>0</v>
      </c>
      <c r="L160" s="592">
        <v>0</v>
      </c>
      <c r="M160" s="592">
        <v>0</v>
      </c>
      <c r="N160" s="592">
        <v>0</v>
      </c>
      <c r="O160" s="593">
        <f t="shared" si="59"/>
        <v>0</v>
      </c>
      <c r="P160" s="594">
        <v>110</v>
      </c>
      <c r="Q160" s="589">
        <v>8</v>
      </c>
      <c r="R160" s="596">
        <f t="shared" si="56"/>
        <v>118</v>
      </c>
      <c r="S160" s="592">
        <v>249713.57</v>
      </c>
      <c r="T160" s="592">
        <v>36400.06</v>
      </c>
      <c r="U160" s="592">
        <v>487832.36</v>
      </c>
      <c r="V160" s="593">
        <f t="shared" si="64"/>
        <v>773945.99</v>
      </c>
      <c r="W160" s="593">
        <v>269283.14</v>
      </c>
      <c r="X160" s="592">
        <v>53591.99</v>
      </c>
      <c r="Y160" s="592">
        <v>564616.73</v>
      </c>
      <c r="Z160" s="593">
        <v>887491.8600000001</v>
      </c>
      <c r="AA160" s="703">
        <v>323282.64</v>
      </c>
      <c r="AB160" s="593">
        <v>21038.129999999997</v>
      </c>
      <c r="AC160" s="593">
        <v>290884.59999999998</v>
      </c>
      <c r="AD160" s="593">
        <f t="shared" si="65"/>
        <v>635205.37</v>
      </c>
      <c r="AE160" s="513" t="s">
        <v>466</v>
      </c>
    </row>
    <row r="161" spans="1:31" s="531" customFormat="1" x14ac:dyDescent="0.25">
      <c r="A161" s="581" t="s">
        <v>842</v>
      </c>
      <c r="B161" s="582">
        <f>SUM(B162:B166)</f>
        <v>62</v>
      </c>
      <c r="C161" s="582">
        <f>SUM(C162:C166)</f>
        <v>8</v>
      </c>
      <c r="D161" s="583">
        <f>SUM(B161:C161)</f>
        <v>70</v>
      </c>
      <c r="E161" s="582">
        <f>SUM(E162:E166)</f>
        <v>27067.61</v>
      </c>
      <c r="F161" s="582">
        <f>SUM(F162:F166)</f>
        <v>4305.55</v>
      </c>
      <c r="G161" s="582">
        <f>SUM(G162:G166)</f>
        <v>52543.79</v>
      </c>
      <c r="H161" s="582">
        <f t="shared" si="57"/>
        <v>83916.95</v>
      </c>
      <c r="I161" s="582">
        <f>SUM(I162:I166)</f>
        <v>67</v>
      </c>
      <c r="J161" s="582">
        <f>SUM(J162:J166)</f>
        <v>8</v>
      </c>
      <c r="K161" s="583">
        <f t="shared" si="58"/>
        <v>75</v>
      </c>
      <c r="L161" s="584">
        <f>SUM(L162:L166)</f>
        <v>179374.34000000003</v>
      </c>
      <c r="M161" s="584">
        <f>SUM(M162:M166)</f>
        <v>40671.299999999996</v>
      </c>
      <c r="N161" s="584">
        <f>SUM(N162:N166)</f>
        <v>391737.95</v>
      </c>
      <c r="O161" s="585">
        <f t="shared" si="59"/>
        <v>611783.59000000008</v>
      </c>
      <c r="P161" s="586">
        <f>SUM(P162:P166)</f>
        <v>188</v>
      </c>
      <c r="Q161" s="582">
        <f>SUM(Q162:Q166)</f>
        <v>23</v>
      </c>
      <c r="R161" s="583">
        <f t="shared" si="56"/>
        <v>211</v>
      </c>
      <c r="S161" s="584">
        <f t="shared" ref="S161:AD161" si="66">SUM(S162:S166)</f>
        <v>363654.62</v>
      </c>
      <c r="T161" s="584">
        <f t="shared" si="66"/>
        <v>81804.97</v>
      </c>
      <c r="U161" s="584">
        <f t="shared" si="66"/>
        <v>718595.04</v>
      </c>
      <c r="V161" s="584">
        <f t="shared" si="66"/>
        <v>1164054.6299999999</v>
      </c>
      <c r="W161" s="585">
        <f t="shared" si="66"/>
        <v>1276185.5999999999</v>
      </c>
      <c r="X161" s="585">
        <f t="shared" si="66"/>
        <v>263488.33999999997</v>
      </c>
      <c r="Y161" s="585">
        <f t="shared" si="66"/>
        <v>2527583.2999999998</v>
      </c>
      <c r="Z161" s="585">
        <f t="shared" si="66"/>
        <v>4067257.24</v>
      </c>
      <c r="AA161" s="587">
        <f t="shared" si="66"/>
        <v>1886335.17</v>
      </c>
      <c r="AB161" s="585">
        <f t="shared" si="66"/>
        <v>73616.59</v>
      </c>
      <c r="AC161" s="585">
        <f t="shared" si="66"/>
        <v>1700284.97</v>
      </c>
      <c r="AD161" s="585">
        <f t="shared" si="66"/>
        <v>3660236.73</v>
      </c>
      <c r="AE161" s="512" t="s">
        <v>295</v>
      </c>
    </row>
    <row r="162" spans="1:31" s="531" customFormat="1" x14ac:dyDescent="0.25">
      <c r="A162" s="588" t="s">
        <v>996</v>
      </c>
      <c r="B162" s="589">
        <v>0</v>
      </c>
      <c r="C162" s="589">
        <v>0</v>
      </c>
      <c r="D162" s="583">
        <f t="shared" si="44"/>
        <v>0</v>
      </c>
      <c r="E162" s="590">
        <v>0</v>
      </c>
      <c r="F162" s="590">
        <v>0</v>
      </c>
      <c r="G162" s="590">
        <v>0</v>
      </c>
      <c r="H162" s="590">
        <f t="shared" si="57"/>
        <v>0</v>
      </c>
      <c r="I162" s="589">
        <v>0</v>
      </c>
      <c r="J162" s="589">
        <v>0</v>
      </c>
      <c r="K162" s="591">
        <f t="shared" si="58"/>
        <v>0</v>
      </c>
      <c r="L162" s="592">
        <v>0</v>
      </c>
      <c r="M162" s="592">
        <v>0</v>
      </c>
      <c r="N162" s="592">
        <v>0</v>
      </c>
      <c r="O162" s="593">
        <f t="shared" si="59"/>
        <v>0</v>
      </c>
      <c r="P162" s="594">
        <v>0</v>
      </c>
      <c r="Q162" s="589">
        <v>0</v>
      </c>
      <c r="R162" s="596">
        <f t="shared" si="56"/>
        <v>0</v>
      </c>
      <c r="S162" s="592">
        <v>0</v>
      </c>
      <c r="T162" s="592">
        <v>0</v>
      </c>
      <c r="U162" s="592">
        <v>0</v>
      </c>
      <c r="V162" s="593">
        <f>SUM(S162:U162)</f>
        <v>0</v>
      </c>
      <c r="W162" s="593">
        <v>109652.68</v>
      </c>
      <c r="X162" s="592">
        <v>20992.449999999997</v>
      </c>
      <c r="Y162" s="592">
        <v>206700.36000000002</v>
      </c>
      <c r="Z162" s="593">
        <v>337345.49</v>
      </c>
      <c r="AA162" s="703">
        <v>573741.43000000005</v>
      </c>
      <c r="AB162" s="593">
        <v>25317.21</v>
      </c>
      <c r="AC162" s="593">
        <v>489068.57</v>
      </c>
      <c r="AD162" s="593">
        <f>SUM(AA162:AC162)</f>
        <v>1088127.21</v>
      </c>
      <c r="AE162" s="513" t="s">
        <v>584</v>
      </c>
    </row>
    <row r="163" spans="1:31" s="531" customFormat="1" x14ac:dyDescent="0.25">
      <c r="A163" s="588" t="s">
        <v>997</v>
      </c>
      <c r="B163" s="589">
        <v>0</v>
      </c>
      <c r="C163" s="589">
        <v>0</v>
      </c>
      <c r="D163" s="583">
        <f t="shared" si="44"/>
        <v>0</v>
      </c>
      <c r="E163" s="590">
        <v>0</v>
      </c>
      <c r="F163" s="590">
        <v>0</v>
      </c>
      <c r="G163" s="590">
        <v>0</v>
      </c>
      <c r="H163" s="590">
        <f t="shared" si="57"/>
        <v>0</v>
      </c>
      <c r="I163" s="589">
        <v>0</v>
      </c>
      <c r="J163" s="589">
        <v>0</v>
      </c>
      <c r="K163" s="591">
        <f t="shared" si="58"/>
        <v>0</v>
      </c>
      <c r="L163" s="592">
        <v>0</v>
      </c>
      <c r="M163" s="592">
        <v>0</v>
      </c>
      <c r="N163" s="592">
        <v>0</v>
      </c>
      <c r="O163" s="593">
        <f t="shared" si="59"/>
        <v>0</v>
      </c>
      <c r="P163" s="594">
        <v>0</v>
      </c>
      <c r="Q163" s="589">
        <v>0</v>
      </c>
      <c r="R163" s="596">
        <f t="shared" si="56"/>
        <v>0</v>
      </c>
      <c r="S163" s="592">
        <v>0</v>
      </c>
      <c r="T163" s="592">
        <v>0</v>
      </c>
      <c r="U163" s="592">
        <v>0</v>
      </c>
      <c r="V163" s="593">
        <f>SUM(S163:U163)</f>
        <v>0</v>
      </c>
      <c r="W163" s="593">
        <v>558496.54</v>
      </c>
      <c r="X163" s="592">
        <v>94539.19</v>
      </c>
      <c r="Y163" s="592">
        <v>999932.74999999988</v>
      </c>
      <c r="Z163" s="593">
        <v>1652968.48</v>
      </c>
      <c r="AA163" s="703">
        <v>651831.62</v>
      </c>
      <c r="AB163" s="593">
        <v>22824.129999999997</v>
      </c>
      <c r="AC163" s="593">
        <v>570501.93000000005</v>
      </c>
      <c r="AD163" s="593">
        <f>SUM(AA163:AC163)</f>
        <v>1245157.6800000002</v>
      </c>
      <c r="AE163" s="513" t="s">
        <v>586</v>
      </c>
    </row>
    <row r="164" spans="1:31" s="531" customFormat="1" x14ac:dyDescent="0.25">
      <c r="A164" s="588" t="s">
        <v>921</v>
      </c>
      <c r="B164" s="589">
        <v>0</v>
      </c>
      <c r="C164" s="589">
        <v>0</v>
      </c>
      <c r="D164" s="583">
        <f t="shared" si="44"/>
        <v>0</v>
      </c>
      <c r="E164" s="590">
        <v>0</v>
      </c>
      <c r="F164" s="590">
        <v>0</v>
      </c>
      <c r="G164" s="590">
        <v>0</v>
      </c>
      <c r="H164" s="590">
        <f t="shared" si="57"/>
        <v>0</v>
      </c>
      <c r="I164" s="589">
        <v>0</v>
      </c>
      <c r="J164" s="589">
        <v>0</v>
      </c>
      <c r="K164" s="591">
        <f t="shared" si="58"/>
        <v>0</v>
      </c>
      <c r="L164" s="592">
        <v>0</v>
      </c>
      <c r="M164" s="592">
        <v>0</v>
      </c>
      <c r="N164" s="592">
        <v>0</v>
      </c>
      <c r="O164" s="593">
        <f t="shared" si="59"/>
        <v>0</v>
      </c>
      <c r="P164" s="594">
        <v>117</v>
      </c>
      <c r="Q164" s="589">
        <v>15</v>
      </c>
      <c r="R164" s="596">
        <f t="shared" si="56"/>
        <v>132</v>
      </c>
      <c r="S164" s="592">
        <v>135657.45000000001</v>
      </c>
      <c r="T164" s="592">
        <v>34628.729999999996</v>
      </c>
      <c r="U164" s="592">
        <v>298039.55</v>
      </c>
      <c r="V164" s="593">
        <f>SUM(S164:U164)</f>
        <v>468325.73</v>
      </c>
      <c r="W164" s="593">
        <v>380508.42</v>
      </c>
      <c r="X164" s="592">
        <v>107025.17000000001</v>
      </c>
      <c r="Y164" s="592">
        <v>849634.23999999987</v>
      </c>
      <c r="Z164" s="593">
        <v>1337167.8299999996</v>
      </c>
      <c r="AA164" s="703">
        <v>410764.66</v>
      </c>
      <c r="AB164" s="593">
        <v>19917.59</v>
      </c>
      <c r="AC164" s="593">
        <v>414866.81000000006</v>
      </c>
      <c r="AD164" s="593">
        <f>SUM(AA164:AC164)</f>
        <v>845549.06</v>
      </c>
      <c r="AE164" s="513" t="s">
        <v>436</v>
      </c>
    </row>
    <row r="165" spans="1:31" s="531" customFormat="1" x14ac:dyDescent="0.25">
      <c r="A165" s="588" t="s">
        <v>998</v>
      </c>
      <c r="B165" s="589">
        <v>62</v>
      </c>
      <c r="C165" s="589">
        <v>8</v>
      </c>
      <c r="D165" s="583">
        <f>SUM(B165:C165)</f>
        <v>70</v>
      </c>
      <c r="E165" s="590">
        <v>27067.61</v>
      </c>
      <c r="F165" s="590">
        <v>4305.55</v>
      </c>
      <c r="G165" s="590">
        <v>52543.79</v>
      </c>
      <c r="H165" s="590">
        <f t="shared" si="57"/>
        <v>83916.95</v>
      </c>
      <c r="I165" s="589">
        <v>67</v>
      </c>
      <c r="J165" s="589">
        <v>8</v>
      </c>
      <c r="K165" s="591">
        <f t="shared" si="58"/>
        <v>75</v>
      </c>
      <c r="L165" s="592">
        <v>179374.34000000003</v>
      </c>
      <c r="M165" s="592">
        <v>40671.299999999996</v>
      </c>
      <c r="N165" s="592">
        <v>391737.95</v>
      </c>
      <c r="O165" s="593">
        <f t="shared" si="59"/>
        <v>611783.59000000008</v>
      </c>
      <c r="P165" s="594">
        <v>71</v>
      </c>
      <c r="Q165" s="589">
        <v>8</v>
      </c>
      <c r="R165" s="596">
        <f t="shared" si="56"/>
        <v>79</v>
      </c>
      <c r="S165" s="592">
        <v>227997.17</v>
      </c>
      <c r="T165" s="592">
        <v>47176.24</v>
      </c>
      <c r="U165" s="592">
        <v>420555.49</v>
      </c>
      <c r="V165" s="593">
        <f>SUM(S165:U165)</f>
        <v>695728.9</v>
      </c>
      <c r="W165" s="593">
        <v>227527.96</v>
      </c>
      <c r="X165" s="592">
        <v>40931.53</v>
      </c>
      <c r="Y165" s="592">
        <v>471315.94999999995</v>
      </c>
      <c r="Z165" s="593">
        <v>739775.44000000018</v>
      </c>
      <c r="AA165" s="703">
        <v>249997.45999999996</v>
      </c>
      <c r="AB165" s="593">
        <v>5557.66</v>
      </c>
      <c r="AC165" s="593">
        <v>225847.65999999997</v>
      </c>
      <c r="AD165" s="593">
        <f>SUM(AA165:AC165)</f>
        <v>481402.77999999991</v>
      </c>
      <c r="AE165" s="513" t="s">
        <v>588</v>
      </c>
    </row>
    <row r="166" spans="1:31" s="531" customFormat="1" x14ac:dyDescent="0.25">
      <c r="A166" s="588" t="s">
        <v>999</v>
      </c>
      <c r="B166" s="589">
        <v>0</v>
      </c>
      <c r="C166" s="589">
        <v>0</v>
      </c>
      <c r="D166" s="583">
        <f t="shared" si="44"/>
        <v>0</v>
      </c>
      <c r="E166" s="590">
        <v>0</v>
      </c>
      <c r="F166" s="590">
        <v>0</v>
      </c>
      <c r="G166" s="590">
        <v>0</v>
      </c>
      <c r="H166" s="590">
        <f t="shared" si="57"/>
        <v>0</v>
      </c>
      <c r="I166" s="589">
        <v>0</v>
      </c>
      <c r="J166" s="589">
        <v>0</v>
      </c>
      <c r="K166" s="591">
        <f t="shared" si="58"/>
        <v>0</v>
      </c>
      <c r="L166" s="592">
        <v>0</v>
      </c>
      <c r="M166" s="592">
        <v>0</v>
      </c>
      <c r="N166" s="592">
        <v>0</v>
      </c>
      <c r="O166" s="593">
        <f t="shared" si="59"/>
        <v>0</v>
      </c>
      <c r="P166" s="594">
        <v>0</v>
      </c>
      <c r="Q166" s="589">
        <v>0</v>
      </c>
      <c r="R166" s="596">
        <f t="shared" si="56"/>
        <v>0</v>
      </c>
      <c r="S166" s="592">
        <v>0</v>
      </c>
      <c r="T166" s="592">
        <v>0</v>
      </c>
      <c r="U166" s="592">
        <v>0</v>
      </c>
      <c r="V166" s="593">
        <f>SUM(S166:U166)</f>
        <v>0</v>
      </c>
      <c r="W166" s="593">
        <v>0</v>
      </c>
      <c r="X166" s="592">
        <v>0</v>
      </c>
      <c r="Y166" s="592">
        <v>0</v>
      </c>
      <c r="Z166" s="593">
        <v>0</v>
      </c>
      <c r="AA166" s="703">
        <v>0</v>
      </c>
      <c r="AB166" s="593">
        <v>0</v>
      </c>
      <c r="AC166" s="593">
        <v>0</v>
      </c>
      <c r="AD166" s="593">
        <f>SUM(AA166:AC166)</f>
        <v>0</v>
      </c>
      <c r="AE166" s="513" t="s">
        <v>590</v>
      </c>
    </row>
    <row r="167" spans="1:31" s="531" customFormat="1" x14ac:dyDescent="0.25">
      <c r="A167" s="581" t="s">
        <v>297</v>
      </c>
      <c r="B167" s="582">
        <f>SUM(B168:B175)</f>
        <v>623</v>
      </c>
      <c r="C167" s="582">
        <f>SUM(C168:C175)</f>
        <v>65</v>
      </c>
      <c r="D167" s="583">
        <f>SUM(B167:C167)</f>
        <v>688</v>
      </c>
      <c r="E167" s="582">
        <f>SUM(E168:E175)</f>
        <v>1489199</v>
      </c>
      <c r="F167" s="582">
        <f>SUM(F168:F175)</f>
        <v>311397.63</v>
      </c>
      <c r="G167" s="582">
        <f>SUM(G168:G175)</f>
        <v>2958471.2600000002</v>
      </c>
      <c r="H167" s="582">
        <f t="shared" si="57"/>
        <v>4759067.8900000006</v>
      </c>
      <c r="I167" s="582">
        <f>SUM(I168:I175)</f>
        <v>928</v>
      </c>
      <c r="J167" s="582">
        <f>SUM(J168:J175)</f>
        <v>93</v>
      </c>
      <c r="K167" s="583">
        <f t="shared" si="58"/>
        <v>1021</v>
      </c>
      <c r="L167" s="584">
        <f>SUM(L168:L175)</f>
        <v>2747570.79</v>
      </c>
      <c r="M167" s="584">
        <f>SUM(M168:M175)</f>
        <v>570835</v>
      </c>
      <c r="N167" s="584">
        <f>SUM(N168:N175)</f>
        <v>6464379.9399999995</v>
      </c>
      <c r="O167" s="585">
        <f t="shared" si="59"/>
        <v>9782785.7300000004</v>
      </c>
      <c r="P167" s="586">
        <f>SUM(P168:P175)</f>
        <v>1242</v>
      </c>
      <c r="Q167" s="582">
        <f>SUM(Q168:Q175)</f>
        <v>128</v>
      </c>
      <c r="R167" s="583">
        <f t="shared" si="56"/>
        <v>1370</v>
      </c>
      <c r="S167" s="584">
        <f t="shared" ref="S167:AD167" si="67">SUM(S168:S175)</f>
        <v>4361401.91</v>
      </c>
      <c r="T167" s="584">
        <f t="shared" si="67"/>
        <v>952277.26</v>
      </c>
      <c r="U167" s="584">
        <f t="shared" si="67"/>
        <v>10211733.039999999</v>
      </c>
      <c r="V167" s="584">
        <f t="shared" si="67"/>
        <v>15525412.209999999</v>
      </c>
      <c r="W167" s="585">
        <f t="shared" si="67"/>
        <v>4603020.54</v>
      </c>
      <c r="X167" s="585">
        <f t="shared" si="67"/>
        <v>1072733.24</v>
      </c>
      <c r="Y167" s="585">
        <f t="shared" si="67"/>
        <v>10463499.029999999</v>
      </c>
      <c r="Z167" s="585">
        <f t="shared" si="67"/>
        <v>16139252.810000001</v>
      </c>
      <c r="AA167" s="587">
        <f t="shared" si="67"/>
        <v>5146484.58</v>
      </c>
      <c r="AB167" s="585">
        <f t="shared" si="67"/>
        <v>192798.59</v>
      </c>
      <c r="AC167" s="585">
        <f t="shared" si="67"/>
        <v>5011918.2300000004</v>
      </c>
      <c r="AD167" s="585">
        <f t="shared" si="67"/>
        <v>10351201.4</v>
      </c>
      <c r="AE167" s="512" t="s">
        <v>298</v>
      </c>
    </row>
    <row r="168" spans="1:31" s="531" customFormat="1" x14ac:dyDescent="0.25">
      <c r="A168" s="588" t="s">
        <v>939</v>
      </c>
      <c r="B168" s="589">
        <v>0</v>
      </c>
      <c r="C168" s="589">
        <v>0</v>
      </c>
      <c r="D168" s="583">
        <f t="shared" si="44"/>
        <v>0</v>
      </c>
      <c r="E168" s="590">
        <v>0</v>
      </c>
      <c r="F168" s="590">
        <v>0</v>
      </c>
      <c r="G168" s="590">
        <v>0</v>
      </c>
      <c r="H168" s="590">
        <f t="shared" si="57"/>
        <v>0</v>
      </c>
      <c r="I168" s="589">
        <v>169</v>
      </c>
      <c r="J168" s="589">
        <v>17</v>
      </c>
      <c r="K168" s="591">
        <f t="shared" si="58"/>
        <v>186</v>
      </c>
      <c r="L168" s="592">
        <v>359796.43000000005</v>
      </c>
      <c r="M168" s="592">
        <v>44723.630000000005</v>
      </c>
      <c r="N168" s="592">
        <v>776959.5</v>
      </c>
      <c r="O168" s="593">
        <f t="shared" si="59"/>
        <v>1181479.56</v>
      </c>
      <c r="P168" s="594">
        <v>223</v>
      </c>
      <c r="Q168" s="589">
        <v>17</v>
      </c>
      <c r="R168" s="596">
        <f t="shared" si="56"/>
        <v>240</v>
      </c>
      <c r="S168" s="592">
        <v>903775.95000000007</v>
      </c>
      <c r="T168" s="592">
        <v>136108.28</v>
      </c>
      <c r="U168" s="592">
        <v>2038215.29</v>
      </c>
      <c r="V168" s="593">
        <f>SUM(S168:U168)</f>
        <v>3078099.52</v>
      </c>
      <c r="W168" s="593">
        <v>905848.97999999986</v>
      </c>
      <c r="X168" s="592">
        <v>146131.38</v>
      </c>
      <c r="Y168" s="592">
        <v>1995869.42</v>
      </c>
      <c r="Z168" s="593">
        <v>3047849.7800000003</v>
      </c>
      <c r="AA168" s="703">
        <v>985623.58000000007</v>
      </c>
      <c r="AB168" s="593">
        <v>22549.41</v>
      </c>
      <c r="AC168" s="593">
        <v>976304.66</v>
      </c>
      <c r="AD168" s="593">
        <f>SUM(AA168:AC168)</f>
        <v>1984477.6500000001</v>
      </c>
      <c r="AE168" s="513" t="s">
        <v>472</v>
      </c>
    </row>
    <row r="169" spans="1:31" s="531" customFormat="1" x14ac:dyDescent="0.25">
      <c r="A169" s="588" t="s">
        <v>1000</v>
      </c>
      <c r="B169" s="589">
        <v>0</v>
      </c>
      <c r="C169" s="589">
        <v>0</v>
      </c>
      <c r="D169" s="583">
        <f t="shared" si="44"/>
        <v>0</v>
      </c>
      <c r="E169" s="590">
        <v>0</v>
      </c>
      <c r="F169" s="590">
        <v>0</v>
      </c>
      <c r="G169" s="590">
        <v>0</v>
      </c>
      <c r="H169" s="590">
        <f t="shared" si="57"/>
        <v>0</v>
      </c>
      <c r="I169" s="589">
        <v>109</v>
      </c>
      <c r="J169" s="589">
        <v>10</v>
      </c>
      <c r="K169" s="591">
        <f t="shared" si="58"/>
        <v>119</v>
      </c>
      <c r="L169" s="592">
        <v>232498.53999999998</v>
      </c>
      <c r="M169" s="592">
        <v>35471.070000000007</v>
      </c>
      <c r="N169" s="592">
        <v>514187.77</v>
      </c>
      <c r="O169" s="593">
        <f t="shared" si="59"/>
        <v>782157.38</v>
      </c>
      <c r="P169" s="594">
        <v>116</v>
      </c>
      <c r="Q169" s="589">
        <v>12</v>
      </c>
      <c r="R169" s="596">
        <f t="shared" si="56"/>
        <v>128</v>
      </c>
      <c r="S169" s="592">
        <v>419743.53</v>
      </c>
      <c r="T169" s="592">
        <v>78163.56</v>
      </c>
      <c r="U169" s="592">
        <v>925412.50999999989</v>
      </c>
      <c r="V169" s="593">
        <f t="shared" ref="V169:V175" si="68">SUM(S169:U169)</f>
        <v>1423319.5999999999</v>
      </c>
      <c r="W169" s="593">
        <v>425059.82</v>
      </c>
      <c r="X169" s="592">
        <v>86489.39</v>
      </c>
      <c r="Y169" s="592">
        <v>893649.02999999991</v>
      </c>
      <c r="Z169" s="593">
        <v>1405198.2399999998</v>
      </c>
      <c r="AA169" s="703">
        <v>487034.13</v>
      </c>
      <c r="AB169" s="593">
        <v>15570.87</v>
      </c>
      <c r="AC169" s="593">
        <v>445135.11</v>
      </c>
      <c r="AD169" s="593">
        <f t="shared" ref="AD169:AD175" si="69">SUM(AA169:AC169)</f>
        <v>947740.11</v>
      </c>
      <c r="AE169" s="513" t="s">
        <v>592</v>
      </c>
    </row>
    <row r="170" spans="1:31" s="531" customFormat="1" x14ac:dyDescent="0.25">
      <c r="A170" s="588" t="s">
        <v>1001</v>
      </c>
      <c r="B170" s="589">
        <v>0</v>
      </c>
      <c r="C170" s="589">
        <v>0</v>
      </c>
      <c r="D170" s="583">
        <f t="shared" si="44"/>
        <v>0</v>
      </c>
      <c r="E170" s="590">
        <v>0</v>
      </c>
      <c r="F170" s="590">
        <v>0</v>
      </c>
      <c r="G170" s="590">
        <v>0</v>
      </c>
      <c r="H170" s="590">
        <f t="shared" si="57"/>
        <v>0</v>
      </c>
      <c r="I170" s="589">
        <v>0</v>
      </c>
      <c r="J170" s="589">
        <v>0</v>
      </c>
      <c r="K170" s="591">
        <f t="shared" si="58"/>
        <v>0</v>
      </c>
      <c r="L170" s="592">
        <v>0</v>
      </c>
      <c r="M170" s="592">
        <v>0</v>
      </c>
      <c r="N170" s="592">
        <v>0</v>
      </c>
      <c r="O170" s="593">
        <f t="shared" si="59"/>
        <v>0</v>
      </c>
      <c r="P170" s="594">
        <v>76</v>
      </c>
      <c r="Q170" s="589">
        <v>10</v>
      </c>
      <c r="R170" s="596">
        <f t="shared" si="56"/>
        <v>86</v>
      </c>
      <c r="S170" s="592">
        <v>174945.02</v>
      </c>
      <c r="T170" s="592">
        <v>85302.3</v>
      </c>
      <c r="U170" s="592">
        <v>433263.10000000009</v>
      </c>
      <c r="V170" s="593">
        <f t="shared" si="68"/>
        <v>693510.42000000016</v>
      </c>
      <c r="W170" s="593">
        <v>200999.53000000003</v>
      </c>
      <c r="X170" s="592">
        <v>82648.240000000005</v>
      </c>
      <c r="Y170" s="592">
        <v>442672.15000000008</v>
      </c>
      <c r="Z170" s="593">
        <v>726319.92</v>
      </c>
      <c r="AA170" s="703">
        <v>224402.62</v>
      </c>
      <c r="AB170" s="593">
        <v>16073.490000000002</v>
      </c>
      <c r="AC170" s="593">
        <v>202150.33999999997</v>
      </c>
      <c r="AD170" s="593">
        <f t="shared" si="69"/>
        <v>442626.44999999995</v>
      </c>
      <c r="AE170" s="513" t="s">
        <v>594</v>
      </c>
    </row>
    <row r="171" spans="1:31" s="531" customFormat="1" x14ac:dyDescent="0.25">
      <c r="A171" s="588" t="s">
        <v>1002</v>
      </c>
      <c r="B171" s="589">
        <v>123</v>
      </c>
      <c r="C171" s="589">
        <v>3</v>
      </c>
      <c r="D171" s="583">
        <f t="shared" si="44"/>
        <v>126</v>
      </c>
      <c r="E171" s="590">
        <v>31759.42</v>
      </c>
      <c r="F171" s="590">
        <v>1915.73</v>
      </c>
      <c r="G171" s="590">
        <v>54946.62</v>
      </c>
      <c r="H171" s="590">
        <f t="shared" si="57"/>
        <v>88621.77</v>
      </c>
      <c r="I171" s="589">
        <v>132</v>
      </c>
      <c r="J171" s="589">
        <v>10</v>
      </c>
      <c r="K171" s="591">
        <f t="shared" si="58"/>
        <v>142</v>
      </c>
      <c r="L171" s="592">
        <v>387006.81000000006</v>
      </c>
      <c r="M171" s="592">
        <v>58338.909999999996</v>
      </c>
      <c r="N171" s="592">
        <v>747360.65</v>
      </c>
      <c r="O171" s="593">
        <f t="shared" si="59"/>
        <v>1192706.3700000001</v>
      </c>
      <c r="P171" s="594">
        <v>139</v>
      </c>
      <c r="Q171" s="589">
        <v>11</v>
      </c>
      <c r="R171" s="596">
        <f t="shared" si="56"/>
        <v>150</v>
      </c>
      <c r="S171" s="592">
        <v>441257.76</v>
      </c>
      <c r="T171" s="592">
        <v>96077.609999999986</v>
      </c>
      <c r="U171" s="592">
        <v>965144.1</v>
      </c>
      <c r="V171" s="593">
        <f t="shared" si="68"/>
        <v>1502479.47</v>
      </c>
      <c r="W171" s="593">
        <v>490570.16999999993</v>
      </c>
      <c r="X171" s="592">
        <v>108448.53000000001</v>
      </c>
      <c r="Y171" s="592">
        <v>1015140.6699999999</v>
      </c>
      <c r="Z171" s="593">
        <v>1614159.3699999999</v>
      </c>
      <c r="AA171" s="703">
        <v>559996.79</v>
      </c>
      <c r="AB171" s="593">
        <v>21478.85</v>
      </c>
      <c r="AC171" s="593">
        <v>495792.0199999999</v>
      </c>
      <c r="AD171" s="593">
        <f t="shared" si="69"/>
        <v>1077267.6599999999</v>
      </c>
      <c r="AE171" s="513" t="s">
        <v>596</v>
      </c>
    </row>
    <row r="172" spans="1:31" s="531" customFormat="1" x14ac:dyDescent="0.25">
      <c r="A172" s="588" t="s">
        <v>1003</v>
      </c>
      <c r="B172" s="589">
        <v>0</v>
      </c>
      <c r="C172" s="589">
        <v>0</v>
      </c>
      <c r="D172" s="583">
        <f t="shared" si="44"/>
        <v>0</v>
      </c>
      <c r="E172" s="590">
        <v>0</v>
      </c>
      <c r="F172" s="590">
        <v>0</v>
      </c>
      <c r="G172" s="590">
        <v>0</v>
      </c>
      <c r="H172" s="590">
        <f t="shared" si="57"/>
        <v>0</v>
      </c>
      <c r="I172" s="589">
        <v>0</v>
      </c>
      <c r="J172" s="589">
        <v>0</v>
      </c>
      <c r="K172" s="591">
        <f t="shared" si="58"/>
        <v>0</v>
      </c>
      <c r="L172" s="592">
        <v>0</v>
      </c>
      <c r="M172" s="592">
        <v>0</v>
      </c>
      <c r="N172" s="592">
        <v>0</v>
      </c>
      <c r="O172" s="593">
        <f t="shared" si="59"/>
        <v>0</v>
      </c>
      <c r="P172" s="594">
        <v>0</v>
      </c>
      <c r="Q172" s="589">
        <v>0</v>
      </c>
      <c r="R172" s="596">
        <f t="shared" si="56"/>
        <v>0</v>
      </c>
      <c r="S172" s="592">
        <v>0</v>
      </c>
      <c r="T172" s="592">
        <v>0</v>
      </c>
      <c r="U172" s="592">
        <v>0</v>
      </c>
      <c r="V172" s="593">
        <f t="shared" si="68"/>
        <v>0</v>
      </c>
      <c r="W172" s="593">
        <v>0</v>
      </c>
      <c r="X172" s="592">
        <v>0</v>
      </c>
      <c r="Y172" s="592">
        <v>0</v>
      </c>
      <c r="Z172" s="593">
        <v>0</v>
      </c>
      <c r="AA172" s="703">
        <v>0</v>
      </c>
      <c r="AB172" s="593">
        <v>0</v>
      </c>
      <c r="AC172" s="593">
        <v>0</v>
      </c>
      <c r="AD172" s="593">
        <f t="shared" si="69"/>
        <v>0</v>
      </c>
      <c r="AE172" s="514" t="s">
        <v>811</v>
      </c>
    </row>
    <row r="173" spans="1:31" s="531" customFormat="1" x14ac:dyDescent="0.25">
      <c r="A173" s="588" t="s">
        <v>1004</v>
      </c>
      <c r="B173" s="589">
        <v>0</v>
      </c>
      <c r="C173" s="589">
        <v>0</v>
      </c>
      <c r="D173" s="583">
        <f t="shared" si="44"/>
        <v>0</v>
      </c>
      <c r="E173" s="590">
        <v>0</v>
      </c>
      <c r="F173" s="590">
        <v>0</v>
      </c>
      <c r="G173" s="590">
        <v>0</v>
      </c>
      <c r="H173" s="590">
        <f t="shared" si="57"/>
        <v>0</v>
      </c>
      <c r="I173" s="589">
        <v>0</v>
      </c>
      <c r="J173" s="589">
        <v>0</v>
      </c>
      <c r="K173" s="591">
        <f t="shared" si="58"/>
        <v>0</v>
      </c>
      <c r="L173" s="592">
        <v>0</v>
      </c>
      <c r="M173" s="592">
        <v>0</v>
      </c>
      <c r="N173" s="592">
        <v>0</v>
      </c>
      <c r="O173" s="593">
        <f t="shared" si="59"/>
        <v>0</v>
      </c>
      <c r="P173" s="594">
        <v>0</v>
      </c>
      <c r="Q173" s="589">
        <v>0</v>
      </c>
      <c r="R173" s="596">
        <f t="shared" si="56"/>
        <v>0</v>
      </c>
      <c r="S173" s="592">
        <v>0</v>
      </c>
      <c r="T173" s="592">
        <v>0</v>
      </c>
      <c r="U173" s="592">
        <v>0</v>
      </c>
      <c r="V173" s="593">
        <f t="shared" si="68"/>
        <v>0</v>
      </c>
      <c r="W173" s="593">
        <v>0</v>
      </c>
      <c r="X173" s="592">
        <v>0</v>
      </c>
      <c r="Y173" s="592">
        <v>0</v>
      </c>
      <c r="Z173" s="593">
        <v>0</v>
      </c>
      <c r="AA173" s="703">
        <v>0</v>
      </c>
      <c r="AB173" s="593">
        <v>0</v>
      </c>
      <c r="AC173" s="593">
        <v>0</v>
      </c>
      <c r="AD173" s="593">
        <f t="shared" si="69"/>
        <v>0</v>
      </c>
      <c r="AE173" s="513" t="s">
        <v>600</v>
      </c>
    </row>
    <row r="174" spans="1:31" s="531" customFormat="1" x14ac:dyDescent="0.25">
      <c r="A174" s="588" t="s">
        <v>1005</v>
      </c>
      <c r="B174" s="589">
        <v>0</v>
      </c>
      <c r="C174" s="589">
        <v>0</v>
      </c>
      <c r="D174" s="583">
        <f t="shared" si="44"/>
        <v>0</v>
      </c>
      <c r="E174" s="590">
        <v>0</v>
      </c>
      <c r="F174" s="590">
        <v>0</v>
      </c>
      <c r="G174" s="590">
        <v>0</v>
      </c>
      <c r="H174" s="590">
        <f t="shared" si="57"/>
        <v>0</v>
      </c>
      <c r="I174" s="589">
        <v>0</v>
      </c>
      <c r="J174" s="589">
        <v>0</v>
      </c>
      <c r="K174" s="591">
        <f t="shared" si="58"/>
        <v>0</v>
      </c>
      <c r="L174" s="592">
        <v>0</v>
      </c>
      <c r="M174" s="592">
        <v>0</v>
      </c>
      <c r="N174" s="592">
        <v>0</v>
      </c>
      <c r="O174" s="593">
        <f t="shared" si="59"/>
        <v>0</v>
      </c>
      <c r="P174" s="594">
        <v>146</v>
      </c>
      <c r="Q174" s="589">
        <v>17</v>
      </c>
      <c r="R174" s="596">
        <f t="shared" si="56"/>
        <v>163</v>
      </c>
      <c r="S174" s="592">
        <v>411321.80000000005</v>
      </c>
      <c r="T174" s="592">
        <v>105849.5</v>
      </c>
      <c r="U174" s="592">
        <v>957479.11999999988</v>
      </c>
      <c r="V174" s="593">
        <f t="shared" si="68"/>
        <v>1474650.42</v>
      </c>
      <c r="W174" s="593">
        <v>474745.82</v>
      </c>
      <c r="X174" s="592">
        <v>91993.660000000018</v>
      </c>
      <c r="Y174" s="592">
        <v>995220.35000000009</v>
      </c>
      <c r="Z174" s="593">
        <v>1561959.83</v>
      </c>
      <c r="AA174" s="703">
        <v>526011.09</v>
      </c>
      <c r="AB174" s="593">
        <v>14457.029999999999</v>
      </c>
      <c r="AC174" s="593">
        <v>479892.27</v>
      </c>
      <c r="AD174" s="593">
        <f t="shared" si="69"/>
        <v>1020360.39</v>
      </c>
      <c r="AE174" s="513" t="s">
        <v>602</v>
      </c>
    </row>
    <row r="175" spans="1:31" s="531" customFormat="1" x14ac:dyDescent="0.25">
      <c r="A175" s="588" t="s">
        <v>1006</v>
      </c>
      <c r="B175" s="589">
        <v>500</v>
      </c>
      <c r="C175" s="589">
        <v>62</v>
      </c>
      <c r="D175" s="583">
        <f t="shared" si="44"/>
        <v>562</v>
      </c>
      <c r="E175" s="590">
        <v>1457439.58</v>
      </c>
      <c r="F175" s="590">
        <v>309481.90000000002</v>
      </c>
      <c r="G175" s="590">
        <v>2903524.64</v>
      </c>
      <c r="H175" s="590">
        <f t="shared" si="57"/>
        <v>4670446.12</v>
      </c>
      <c r="I175" s="589">
        <v>518</v>
      </c>
      <c r="J175" s="589">
        <v>56</v>
      </c>
      <c r="K175" s="591">
        <f t="shared" si="58"/>
        <v>574</v>
      </c>
      <c r="L175" s="592">
        <v>1768269.01</v>
      </c>
      <c r="M175" s="592">
        <v>432301.39</v>
      </c>
      <c r="N175" s="592">
        <v>4425872.0199999996</v>
      </c>
      <c r="O175" s="593">
        <f t="shared" si="59"/>
        <v>6626442.4199999999</v>
      </c>
      <c r="P175" s="594">
        <v>542</v>
      </c>
      <c r="Q175" s="589">
        <v>61</v>
      </c>
      <c r="R175" s="596">
        <f t="shared" si="56"/>
        <v>603</v>
      </c>
      <c r="S175" s="592">
        <v>2010357.85</v>
      </c>
      <c r="T175" s="592">
        <v>450776.00999999995</v>
      </c>
      <c r="U175" s="592">
        <v>4892218.92</v>
      </c>
      <c r="V175" s="593">
        <f t="shared" si="68"/>
        <v>7353352.7799999993</v>
      </c>
      <c r="W175" s="593">
        <v>2105796.2200000002</v>
      </c>
      <c r="X175" s="592">
        <v>557022.03999999992</v>
      </c>
      <c r="Y175" s="592">
        <v>5120947.41</v>
      </c>
      <c r="Z175" s="593">
        <v>7783765.6700000009</v>
      </c>
      <c r="AA175" s="703">
        <v>2363416.37</v>
      </c>
      <c r="AB175" s="593">
        <v>102668.94</v>
      </c>
      <c r="AC175" s="593">
        <v>2412643.83</v>
      </c>
      <c r="AD175" s="593">
        <f t="shared" si="69"/>
        <v>4878729.1400000006</v>
      </c>
      <c r="AE175" s="513" t="s">
        <v>604</v>
      </c>
    </row>
    <row r="176" spans="1:31" s="531" customFormat="1" x14ac:dyDescent="0.25">
      <c r="A176" s="581" t="s">
        <v>300</v>
      </c>
      <c r="B176" s="582">
        <f>SUM(B177:B189)</f>
        <v>1327</v>
      </c>
      <c r="C176" s="582">
        <f>SUM(C177:C189)</f>
        <v>158</v>
      </c>
      <c r="D176" s="583">
        <f>SUM(B176:C176)</f>
        <v>1485</v>
      </c>
      <c r="E176" s="582">
        <f>SUM(E177:E189)</f>
        <v>3640051.35</v>
      </c>
      <c r="F176" s="582">
        <f>SUM(F177:F189)</f>
        <v>646244.25000000012</v>
      </c>
      <c r="G176" s="582">
        <f>SUM(G177:G189)</f>
        <v>5667371.1400000006</v>
      </c>
      <c r="H176" s="582">
        <f>SUM(E176:G176)</f>
        <v>9953666.7400000021</v>
      </c>
      <c r="I176" s="582">
        <f>SUM(I177:I189)</f>
        <v>1421</v>
      </c>
      <c r="J176" s="582">
        <f>SUM(J177:J189)</f>
        <v>176</v>
      </c>
      <c r="K176" s="583">
        <f>SUM(I176:J176)</f>
        <v>1597</v>
      </c>
      <c r="L176" s="584">
        <f>SUM(L177:L189)</f>
        <v>4458933.1500000004</v>
      </c>
      <c r="M176" s="584">
        <f>SUM(M177:M189)</f>
        <v>732113.54999999993</v>
      </c>
      <c r="N176" s="584">
        <f>SUM(N177:N189)</f>
        <v>8786303.6899999995</v>
      </c>
      <c r="O176" s="585">
        <f>SUM(L176:N176)</f>
        <v>13977350.390000001</v>
      </c>
      <c r="P176" s="586">
        <f>SUM(P177:P189)</f>
        <v>2172</v>
      </c>
      <c r="Q176" s="582">
        <f>SUM(Q177:Q189)</f>
        <v>346</v>
      </c>
      <c r="R176" s="583">
        <f>SUM(P176:Q176)</f>
        <v>2518</v>
      </c>
      <c r="S176" s="584">
        <f t="shared" ref="S176:AD176" si="70">SUM(S177:S189)</f>
        <v>6239965.8799999999</v>
      </c>
      <c r="T176" s="584">
        <f t="shared" si="70"/>
        <v>1272268.44</v>
      </c>
      <c r="U176" s="584">
        <f t="shared" si="70"/>
        <v>14477130.629999999</v>
      </c>
      <c r="V176" s="584">
        <f t="shared" si="70"/>
        <v>21989364.949999999</v>
      </c>
      <c r="W176" s="585">
        <f t="shared" si="70"/>
        <v>7392200.620000001</v>
      </c>
      <c r="X176" s="585">
        <f t="shared" si="70"/>
        <v>1561936.77</v>
      </c>
      <c r="Y176" s="585">
        <f t="shared" si="70"/>
        <v>17408380.480000004</v>
      </c>
      <c r="Z176" s="585">
        <f t="shared" si="70"/>
        <v>26362517.870000001</v>
      </c>
      <c r="AA176" s="587">
        <f t="shared" si="70"/>
        <v>8207353.5700000003</v>
      </c>
      <c r="AB176" s="585">
        <f t="shared" si="70"/>
        <v>325483.96000000002</v>
      </c>
      <c r="AC176" s="585">
        <f t="shared" si="70"/>
        <v>11149047.720000003</v>
      </c>
      <c r="AD176" s="585">
        <f t="shared" si="70"/>
        <v>19681885.25</v>
      </c>
      <c r="AE176" s="512" t="s">
        <v>301</v>
      </c>
    </row>
    <row r="177" spans="1:31" s="531" customFormat="1" x14ac:dyDescent="0.25">
      <c r="A177" s="588" t="s">
        <v>1007</v>
      </c>
      <c r="B177" s="589">
        <v>98</v>
      </c>
      <c r="C177" s="589">
        <v>11</v>
      </c>
      <c r="D177" s="583">
        <f t="shared" ref="D177:D188" si="71">SUM(B177:C177)</f>
        <v>109</v>
      </c>
      <c r="E177" s="590">
        <v>275800.09999999998</v>
      </c>
      <c r="F177" s="590">
        <v>26328.000000000004</v>
      </c>
      <c r="G177" s="590">
        <v>397734.02</v>
      </c>
      <c r="H177" s="590">
        <f>SUM(E177:G177)</f>
        <v>699862.12</v>
      </c>
      <c r="I177" s="589">
        <v>94</v>
      </c>
      <c r="J177" s="589">
        <v>16</v>
      </c>
      <c r="K177" s="591">
        <f t="shared" si="58"/>
        <v>110</v>
      </c>
      <c r="L177" s="592">
        <v>289148.44999999995</v>
      </c>
      <c r="M177" s="592">
        <v>30249.199999999997</v>
      </c>
      <c r="N177" s="592">
        <v>533867.82999999996</v>
      </c>
      <c r="O177" s="593">
        <f>SUM(L177:N177)</f>
        <v>853265.48</v>
      </c>
      <c r="P177" s="594">
        <v>115</v>
      </c>
      <c r="Q177" s="589">
        <v>18</v>
      </c>
      <c r="R177" s="596">
        <f t="shared" ref="R177:R189" si="72">SUM(P177:Q177)</f>
        <v>133</v>
      </c>
      <c r="S177" s="592">
        <v>304008.42</v>
      </c>
      <c r="T177" s="592">
        <v>46402.62999999999</v>
      </c>
      <c r="U177" s="592">
        <v>665240.61</v>
      </c>
      <c r="V177" s="593">
        <f>SUM(S177:U177)</f>
        <v>1015651.6599999999</v>
      </c>
      <c r="W177" s="593">
        <v>317295.89999999997</v>
      </c>
      <c r="X177" s="592">
        <v>55422.58</v>
      </c>
      <c r="Y177" s="592">
        <v>695798.4</v>
      </c>
      <c r="Z177" s="593">
        <v>1068516.8799999999</v>
      </c>
      <c r="AA177" s="703">
        <v>330265.94</v>
      </c>
      <c r="AB177" s="593">
        <v>11694.67</v>
      </c>
      <c r="AC177" s="593">
        <v>334692.89999999997</v>
      </c>
      <c r="AD177" s="593">
        <f>SUM(AA177:AC177)</f>
        <v>676653.51</v>
      </c>
      <c r="AE177" s="513" t="s">
        <v>606</v>
      </c>
    </row>
    <row r="178" spans="1:31" s="531" customFormat="1" x14ac:dyDescent="0.25">
      <c r="A178" s="588" t="s">
        <v>1008</v>
      </c>
      <c r="B178" s="589">
        <v>217</v>
      </c>
      <c r="C178" s="589">
        <v>27</v>
      </c>
      <c r="D178" s="583">
        <f t="shared" si="71"/>
        <v>244</v>
      </c>
      <c r="E178" s="590">
        <v>849408.15</v>
      </c>
      <c r="F178" s="590">
        <v>158226.99999999997</v>
      </c>
      <c r="G178" s="590">
        <v>1303757.8700000001</v>
      </c>
      <c r="H178" s="590">
        <f t="shared" ref="H178:H223" si="73">SUM(E178:G178)</f>
        <v>2311393.02</v>
      </c>
      <c r="I178" s="589">
        <v>223</v>
      </c>
      <c r="J178" s="589">
        <v>38</v>
      </c>
      <c r="K178" s="591">
        <f t="shared" si="58"/>
        <v>261</v>
      </c>
      <c r="L178" s="592">
        <v>1076309.6099999999</v>
      </c>
      <c r="M178" s="592">
        <v>178606.79999999996</v>
      </c>
      <c r="N178" s="592">
        <v>2185771.64</v>
      </c>
      <c r="O178" s="593">
        <f t="shared" ref="O178:O189" si="74">SUM(L178:N178)</f>
        <v>3440688.05</v>
      </c>
      <c r="P178" s="594">
        <v>271</v>
      </c>
      <c r="Q178" s="589">
        <v>18</v>
      </c>
      <c r="R178" s="596">
        <f t="shared" si="72"/>
        <v>289</v>
      </c>
      <c r="S178" s="592">
        <v>915602.41999999993</v>
      </c>
      <c r="T178" s="592">
        <v>145910.67000000001</v>
      </c>
      <c r="U178" s="592">
        <v>2004697.8699999999</v>
      </c>
      <c r="V178" s="593">
        <f t="shared" ref="V178:V189" si="75">SUM(S178:U178)</f>
        <v>3066210.96</v>
      </c>
      <c r="W178" s="593">
        <v>998505.32000000007</v>
      </c>
      <c r="X178" s="592">
        <v>122943.88</v>
      </c>
      <c r="Y178" s="592">
        <v>2080895</v>
      </c>
      <c r="Z178" s="593">
        <v>3202344.2</v>
      </c>
      <c r="AA178" s="703">
        <v>979952.98999999987</v>
      </c>
      <c r="AB178" s="593">
        <v>36097.369999999995</v>
      </c>
      <c r="AC178" s="593">
        <v>1101971.26</v>
      </c>
      <c r="AD178" s="593">
        <f t="shared" ref="AD178:AD189" si="76">SUM(AA178:AC178)</f>
        <v>2118021.62</v>
      </c>
      <c r="AE178" s="514" t="s">
        <v>812</v>
      </c>
    </row>
    <row r="179" spans="1:31" s="531" customFormat="1" x14ac:dyDescent="0.25">
      <c r="A179" s="588" t="s">
        <v>989</v>
      </c>
      <c r="B179" s="589">
        <v>120</v>
      </c>
      <c r="C179" s="589">
        <v>17</v>
      </c>
      <c r="D179" s="583">
        <f t="shared" si="71"/>
        <v>137</v>
      </c>
      <c r="E179" s="590">
        <v>329213.94999999995</v>
      </c>
      <c r="F179" s="590">
        <v>70589.5</v>
      </c>
      <c r="G179" s="590">
        <v>553213.74000000011</v>
      </c>
      <c r="H179" s="590">
        <f t="shared" si="73"/>
        <v>953017.19000000006</v>
      </c>
      <c r="I179" s="589">
        <v>189</v>
      </c>
      <c r="J179" s="589">
        <v>22</v>
      </c>
      <c r="K179" s="591">
        <f t="shared" si="58"/>
        <v>211</v>
      </c>
      <c r="L179" s="592">
        <v>343015.89</v>
      </c>
      <c r="M179" s="592">
        <v>68456.800000000003</v>
      </c>
      <c r="N179" s="592">
        <v>673156.66</v>
      </c>
      <c r="O179" s="593">
        <f t="shared" si="74"/>
        <v>1084629.3500000001</v>
      </c>
      <c r="P179" s="594">
        <v>200</v>
      </c>
      <c r="Q179" s="589">
        <v>27</v>
      </c>
      <c r="R179" s="596">
        <f t="shared" si="72"/>
        <v>227</v>
      </c>
      <c r="S179" s="592">
        <v>486449.09000000008</v>
      </c>
      <c r="T179" s="592">
        <v>84052.749999999985</v>
      </c>
      <c r="U179" s="592">
        <v>1061604.56</v>
      </c>
      <c r="V179" s="593">
        <f t="shared" si="75"/>
        <v>1632106.4000000001</v>
      </c>
      <c r="W179" s="593">
        <v>564731.47000000009</v>
      </c>
      <c r="X179" s="592">
        <v>84740.97</v>
      </c>
      <c r="Y179" s="592">
        <v>1246345.48</v>
      </c>
      <c r="Z179" s="593">
        <v>1895817.92</v>
      </c>
      <c r="AA179" s="703">
        <v>682365.02</v>
      </c>
      <c r="AB179" s="593">
        <v>20718.690000000002</v>
      </c>
      <c r="AC179" s="593">
        <v>803011.45</v>
      </c>
      <c r="AD179" s="593">
        <f t="shared" si="76"/>
        <v>1506095.16</v>
      </c>
      <c r="AE179" s="513" t="s">
        <v>610</v>
      </c>
    </row>
    <row r="180" spans="1:31" s="531" customFormat="1" x14ac:dyDescent="0.25">
      <c r="A180" s="588" t="s">
        <v>1009</v>
      </c>
      <c r="B180" s="589">
        <v>119</v>
      </c>
      <c r="C180" s="589">
        <v>13</v>
      </c>
      <c r="D180" s="583">
        <f t="shared" si="71"/>
        <v>132</v>
      </c>
      <c r="E180" s="590">
        <v>286755.09999999998</v>
      </c>
      <c r="F180" s="590">
        <v>46691.3</v>
      </c>
      <c r="G180" s="590">
        <v>430845.49999999994</v>
      </c>
      <c r="H180" s="590">
        <f t="shared" si="73"/>
        <v>764291.89999999991</v>
      </c>
      <c r="I180" s="589">
        <v>130</v>
      </c>
      <c r="J180" s="589">
        <v>11</v>
      </c>
      <c r="K180" s="591">
        <f t="shared" si="58"/>
        <v>141</v>
      </c>
      <c r="L180" s="592">
        <v>324016.90000000002</v>
      </c>
      <c r="M180" s="592">
        <v>55026.6</v>
      </c>
      <c r="N180" s="592">
        <v>645921.03999999992</v>
      </c>
      <c r="O180" s="593">
        <f t="shared" si="74"/>
        <v>1024964.5399999999</v>
      </c>
      <c r="P180" s="594">
        <v>161</v>
      </c>
      <c r="Q180" s="589">
        <v>15</v>
      </c>
      <c r="R180" s="596">
        <f t="shared" si="72"/>
        <v>176</v>
      </c>
      <c r="S180" s="592">
        <v>332924.43</v>
      </c>
      <c r="T180" s="592">
        <v>61715.98</v>
      </c>
      <c r="U180" s="592">
        <v>738884.81</v>
      </c>
      <c r="V180" s="593">
        <f t="shared" si="75"/>
        <v>1133525.22</v>
      </c>
      <c r="W180" s="593">
        <v>373365.01999999996</v>
      </c>
      <c r="X180" s="592">
        <v>67383.67</v>
      </c>
      <c r="Y180" s="592">
        <v>872071.1</v>
      </c>
      <c r="Z180" s="593">
        <v>1312819.7900000003</v>
      </c>
      <c r="AA180" s="703">
        <v>404502.3</v>
      </c>
      <c r="AB180" s="593">
        <v>12967.54</v>
      </c>
      <c r="AC180" s="593">
        <v>499367.67000000004</v>
      </c>
      <c r="AD180" s="593">
        <f t="shared" si="76"/>
        <v>916837.51</v>
      </c>
      <c r="AE180" s="513" t="s">
        <v>612</v>
      </c>
    </row>
    <row r="181" spans="1:31" s="531" customFormat="1" x14ac:dyDescent="0.25">
      <c r="A181" s="588" t="s">
        <v>966</v>
      </c>
      <c r="B181" s="589">
        <v>0</v>
      </c>
      <c r="C181" s="589">
        <v>0</v>
      </c>
      <c r="D181" s="583">
        <f t="shared" si="71"/>
        <v>0</v>
      </c>
      <c r="E181" s="590">
        <v>0</v>
      </c>
      <c r="F181" s="590">
        <v>0</v>
      </c>
      <c r="G181" s="590">
        <v>0</v>
      </c>
      <c r="H181" s="590">
        <f t="shared" si="73"/>
        <v>0</v>
      </c>
      <c r="I181" s="589">
        <v>0</v>
      </c>
      <c r="J181" s="589">
        <v>0</v>
      </c>
      <c r="K181" s="591">
        <f t="shared" si="58"/>
        <v>0</v>
      </c>
      <c r="L181" s="592">
        <v>0</v>
      </c>
      <c r="M181" s="592">
        <v>0</v>
      </c>
      <c r="N181" s="592">
        <v>0</v>
      </c>
      <c r="O181" s="593">
        <f t="shared" si="74"/>
        <v>0</v>
      </c>
      <c r="P181" s="594">
        <v>272</v>
      </c>
      <c r="Q181" s="589">
        <v>52</v>
      </c>
      <c r="R181" s="596">
        <f t="shared" si="72"/>
        <v>324</v>
      </c>
      <c r="S181" s="592">
        <v>915131.69</v>
      </c>
      <c r="T181" s="592">
        <v>258214.58999999997</v>
      </c>
      <c r="U181" s="592">
        <v>2357538.7400000002</v>
      </c>
      <c r="V181" s="593">
        <f t="shared" si="75"/>
        <v>3530885.02</v>
      </c>
      <c r="W181" s="593">
        <v>996008.71</v>
      </c>
      <c r="X181" s="592">
        <v>267893.97000000003</v>
      </c>
      <c r="Y181" s="592">
        <v>2391674.2199999997</v>
      </c>
      <c r="Z181" s="593">
        <v>3655576.9000000004</v>
      </c>
      <c r="AA181" s="703">
        <v>1186837.3999999999</v>
      </c>
      <c r="AB181" s="593">
        <v>48604.86</v>
      </c>
      <c r="AC181" s="593">
        <v>1511552.11</v>
      </c>
      <c r="AD181" s="593">
        <f t="shared" si="76"/>
        <v>2746994.37</v>
      </c>
      <c r="AE181" s="513" t="s">
        <v>528</v>
      </c>
    </row>
    <row r="182" spans="1:31" s="531" customFormat="1" x14ac:dyDescent="0.25">
      <c r="A182" s="588" t="s">
        <v>1010</v>
      </c>
      <c r="B182" s="589">
        <v>107</v>
      </c>
      <c r="C182" s="589">
        <v>9</v>
      </c>
      <c r="D182" s="583">
        <f t="shared" si="71"/>
        <v>116</v>
      </c>
      <c r="E182" s="590">
        <v>239023.99999999997</v>
      </c>
      <c r="F182" s="590">
        <v>15627.500000000002</v>
      </c>
      <c r="G182" s="590">
        <v>337971.23</v>
      </c>
      <c r="H182" s="590">
        <f t="shared" si="73"/>
        <v>592622.73</v>
      </c>
      <c r="I182" s="589">
        <v>113</v>
      </c>
      <c r="J182" s="589">
        <v>10</v>
      </c>
      <c r="K182" s="591">
        <f t="shared" si="58"/>
        <v>123</v>
      </c>
      <c r="L182" s="592">
        <v>268839.09999999998</v>
      </c>
      <c r="M182" s="592">
        <v>42473.5</v>
      </c>
      <c r="N182" s="592">
        <v>517631.63</v>
      </c>
      <c r="O182" s="593">
        <f t="shared" si="74"/>
        <v>828944.23</v>
      </c>
      <c r="P182" s="594">
        <v>131</v>
      </c>
      <c r="Q182" s="589">
        <v>13</v>
      </c>
      <c r="R182" s="596">
        <f t="shared" si="72"/>
        <v>144</v>
      </c>
      <c r="S182" s="592">
        <v>292294.63999999996</v>
      </c>
      <c r="T182" s="592">
        <v>59198.74</v>
      </c>
      <c r="U182" s="592">
        <v>685222.00000000023</v>
      </c>
      <c r="V182" s="593">
        <f t="shared" si="75"/>
        <v>1036715.3800000001</v>
      </c>
      <c r="W182" s="593">
        <v>318299.15999999997</v>
      </c>
      <c r="X182" s="592">
        <v>50191.94000000001</v>
      </c>
      <c r="Y182" s="592">
        <v>697254.71000000008</v>
      </c>
      <c r="Z182" s="593">
        <v>1065745.81</v>
      </c>
      <c r="AA182" s="703">
        <v>333541.97000000003</v>
      </c>
      <c r="AB182" s="593">
        <v>8212.24</v>
      </c>
      <c r="AC182" s="593">
        <v>406362.7</v>
      </c>
      <c r="AD182" s="593">
        <f t="shared" si="76"/>
        <v>748116.91</v>
      </c>
      <c r="AE182" s="513" t="s">
        <v>614</v>
      </c>
    </row>
    <row r="183" spans="1:31" s="531" customFormat="1" x14ac:dyDescent="0.25">
      <c r="A183" s="588" t="s">
        <v>1011</v>
      </c>
      <c r="B183" s="589">
        <v>59</v>
      </c>
      <c r="C183" s="589">
        <v>6</v>
      </c>
      <c r="D183" s="583">
        <f t="shared" si="71"/>
        <v>65</v>
      </c>
      <c r="E183" s="590">
        <v>150211.95000000001</v>
      </c>
      <c r="F183" s="590">
        <v>24761.02</v>
      </c>
      <c r="G183" s="590">
        <v>209083.96999999997</v>
      </c>
      <c r="H183" s="590">
        <f t="shared" si="73"/>
        <v>384056.93999999994</v>
      </c>
      <c r="I183" s="589">
        <v>61</v>
      </c>
      <c r="J183" s="589">
        <v>8</v>
      </c>
      <c r="K183" s="591">
        <f t="shared" si="58"/>
        <v>69</v>
      </c>
      <c r="L183" s="592">
        <v>178921.55000000005</v>
      </c>
      <c r="M183" s="592">
        <v>25046.9</v>
      </c>
      <c r="N183" s="592">
        <v>347370.1</v>
      </c>
      <c r="O183" s="593">
        <f t="shared" si="74"/>
        <v>551338.55000000005</v>
      </c>
      <c r="P183" s="594">
        <v>67</v>
      </c>
      <c r="Q183" s="589">
        <v>9</v>
      </c>
      <c r="R183" s="596">
        <f t="shared" si="72"/>
        <v>76</v>
      </c>
      <c r="S183" s="592">
        <v>193012.2</v>
      </c>
      <c r="T183" s="592">
        <v>22986.249999999996</v>
      </c>
      <c r="U183" s="592">
        <v>409098.91</v>
      </c>
      <c r="V183" s="593">
        <f t="shared" si="75"/>
        <v>625097.36</v>
      </c>
      <c r="W183" s="593">
        <v>192644.25</v>
      </c>
      <c r="X183" s="592">
        <v>16480.78</v>
      </c>
      <c r="Y183" s="592">
        <v>433409.67000000004</v>
      </c>
      <c r="Z183" s="593">
        <v>642534.69999999995</v>
      </c>
      <c r="AA183" s="703">
        <v>235992.01999999996</v>
      </c>
      <c r="AB183" s="593">
        <v>4068.0699999999997</v>
      </c>
      <c r="AC183" s="593">
        <v>301231.23</v>
      </c>
      <c r="AD183" s="593">
        <f t="shared" si="76"/>
        <v>541291.31999999995</v>
      </c>
      <c r="AE183" s="513" t="s">
        <v>616</v>
      </c>
    </row>
    <row r="184" spans="1:31" s="531" customFormat="1" x14ac:dyDescent="0.25">
      <c r="A184" s="588" t="s">
        <v>1012</v>
      </c>
      <c r="B184" s="589">
        <v>0</v>
      </c>
      <c r="C184" s="589">
        <v>0</v>
      </c>
      <c r="D184" s="583">
        <f t="shared" si="71"/>
        <v>0</v>
      </c>
      <c r="E184" s="590">
        <v>0</v>
      </c>
      <c r="F184" s="590">
        <v>0</v>
      </c>
      <c r="G184" s="590">
        <v>0</v>
      </c>
      <c r="H184" s="590">
        <f t="shared" si="73"/>
        <v>0</v>
      </c>
      <c r="I184" s="589">
        <v>0</v>
      </c>
      <c r="J184" s="589">
        <v>0</v>
      </c>
      <c r="K184" s="591">
        <f t="shared" si="58"/>
        <v>0</v>
      </c>
      <c r="L184" s="592">
        <v>0</v>
      </c>
      <c r="M184" s="592">
        <v>0</v>
      </c>
      <c r="N184" s="592">
        <v>0</v>
      </c>
      <c r="O184" s="593">
        <f t="shared" si="74"/>
        <v>0</v>
      </c>
      <c r="P184" s="594">
        <v>222</v>
      </c>
      <c r="Q184" s="589">
        <v>72</v>
      </c>
      <c r="R184" s="596">
        <f t="shared" si="72"/>
        <v>294</v>
      </c>
      <c r="S184" s="592">
        <v>716675.99000000011</v>
      </c>
      <c r="T184" s="592">
        <v>207822.04</v>
      </c>
      <c r="U184" s="592">
        <v>1840166.19</v>
      </c>
      <c r="V184" s="593">
        <f t="shared" si="75"/>
        <v>2764664.22</v>
      </c>
      <c r="W184" s="593">
        <v>772142.19000000018</v>
      </c>
      <c r="X184" s="592">
        <v>264851.89</v>
      </c>
      <c r="Y184" s="592">
        <v>2054501.3000000003</v>
      </c>
      <c r="Z184" s="593">
        <v>3091495.3800000004</v>
      </c>
      <c r="AA184" s="703">
        <v>850112.29</v>
      </c>
      <c r="AB184" s="593">
        <v>46909.270000000004</v>
      </c>
      <c r="AC184" s="593">
        <v>1116814.71</v>
      </c>
      <c r="AD184" s="593">
        <f t="shared" si="76"/>
        <v>2013836.27</v>
      </c>
      <c r="AE184" s="513" t="s">
        <v>618</v>
      </c>
    </row>
    <row r="185" spans="1:31" s="531" customFormat="1" x14ac:dyDescent="0.25">
      <c r="A185" s="588" t="s">
        <v>1013</v>
      </c>
      <c r="B185" s="589">
        <v>61</v>
      </c>
      <c r="C185" s="589">
        <v>10</v>
      </c>
      <c r="D185" s="583">
        <f t="shared" si="71"/>
        <v>71</v>
      </c>
      <c r="E185" s="590">
        <v>141511.95000000001</v>
      </c>
      <c r="F185" s="590">
        <v>31185.9</v>
      </c>
      <c r="G185" s="590">
        <v>215636.85</v>
      </c>
      <c r="H185" s="590">
        <f t="shared" si="73"/>
        <v>388334.7</v>
      </c>
      <c r="I185" s="589">
        <v>62</v>
      </c>
      <c r="J185" s="589">
        <v>7</v>
      </c>
      <c r="K185" s="591">
        <f t="shared" si="58"/>
        <v>69</v>
      </c>
      <c r="L185" s="592">
        <v>163659.45000000001</v>
      </c>
      <c r="M185" s="592">
        <v>42052.7</v>
      </c>
      <c r="N185" s="592">
        <v>320235.19</v>
      </c>
      <c r="O185" s="593">
        <f t="shared" si="74"/>
        <v>525947.34000000008</v>
      </c>
      <c r="P185" s="594">
        <v>64</v>
      </c>
      <c r="Q185" s="589">
        <v>11</v>
      </c>
      <c r="R185" s="596">
        <f t="shared" si="72"/>
        <v>75</v>
      </c>
      <c r="S185" s="592">
        <v>187170.2</v>
      </c>
      <c r="T185" s="592">
        <v>44150.049999999996</v>
      </c>
      <c r="U185" s="592">
        <v>409165.07</v>
      </c>
      <c r="V185" s="593">
        <f t="shared" si="75"/>
        <v>640485.32000000007</v>
      </c>
      <c r="W185" s="593">
        <v>192674.06000000003</v>
      </c>
      <c r="X185" s="592">
        <v>52007.37</v>
      </c>
      <c r="Y185" s="592">
        <v>424081.39999999997</v>
      </c>
      <c r="Z185" s="593">
        <v>668762.82999999996</v>
      </c>
      <c r="AA185" s="703">
        <v>207763.21999999997</v>
      </c>
      <c r="AB185" s="593">
        <v>12647.03</v>
      </c>
      <c r="AC185" s="593">
        <v>254879.77999999997</v>
      </c>
      <c r="AD185" s="593">
        <f t="shared" si="76"/>
        <v>475290.02999999991</v>
      </c>
      <c r="AE185" s="513" t="s">
        <v>620</v>
      </c>
    </row>
    <row r="186" spans="1:31" s="531" customFormat="1" x14ac:dyDescent="0.25">
      <c r="A186" s="588" t="s">
        <v>1014</v>
      </c>
      <c r="B186" s="589">
        <v>271</v>
      </c>
      <c r="C186" s="589">
        <v>40</v>
      </c>
      <c r="D186" s="583">
        <f t="shared" si="71"/>
        <v>311</v>
      </c>
      <c r="E186" s="590">
        <v>985216.5</v>
      </c>
      <c r="F186" s="590">
        <v>218864.00000000003</v>
      </c>
      <c r="G186" s="590">
        <v>1630960.2300000002</v>
      </c>
      <c r="H186" s="590">
        <f t="shared" si="73"/>
        <v>2835040.7300000004</v>
      </c>
      <c r="I186" s="589">
        <v>277</v>
      </c>
      <c r="J186" s="589">
        <v>37</v>
      </c>
      <c r="K186" s="591">
        <f t="shared" si="58"/>
        <v>314</v>
      </c>
      <c r="L186" s="592">
        <v>1040833.75</v>
      </c>
      <c r="M186" s="592">
        <v>178694.5</v>
      </c>
      <c r="N186" s="592">
        <v>2079738.8199999998</v>
      </c>
      <c r="O186" s="593">
        <f t="shared" si="74"/>
        <v>3299267.07</v>
      </c>
      <c r="P186" s="594">
        <v>338</v>
      </c>
      <c r="Q186" s="589">
        <v>67</v>
      </c>
      <c r="R186" s="596">
        <f t="shared" si="72"/>
        <v>405</v>
      </c>
      <c r="S186" s="592">
        <v>1068328.5099999998</v>
      </c>
      <c r="T186" s="592">
        <v>196561.91</v>
      </c>
      <c r="U186" s="592">
        <v>2463711.94</v>
      </c>
      <c r="V186" s="593">
        <f t="shared" si="75"/>
        <v>3728602.3599999994</v>
      </c>
      <c r="W186" s="593">
        <v>1113405.8600000001</v>
      </c>
      <c r="X186" s="592">
        <v>228749.64999999997</v>
      </c>
      <c r="Y186" s="592">
        <v>2740273.23</v>
      </c>
      <c r="Z186" s="593">
        <v>4082428.74</v>
      </c>
      <c r="AA186" s="703">
        <v>1109199.44</v>
      </c>
      <c r="AB186" s="593">
        <v>45677.7</v>
      </c>
      <c r="AC186" s="593">
        <v>1944961.8900000001</v>
      </c>
      <c r="AD186" s="593">
        <f t="shared" si="76"/>
        <v>3099839.0300000003</v>
      </c>
      <c r="AE186" s="513" t="s">
        <v>622</v>
      </c>
    </row>
    <row r="187" spans="1:31" s="531" customFormat="1" x14ac:dyDescent="0.25">
      <c r="A187" s="588" t="s">
        <v>1015</v>
      </c>
      <c r="B187" s="589">
        <v>0</v>
      </c>
      <c r="C187" s="589">
        <v>0</v>
      </c>
      <c r="D187" s="583">
        <f t="shared" si="71"/>
        <v>0</v>
      </c>
      <c r="E187" s="590">
        <v>0</v>
      </c>
      <c r="F187" s="590">
        <v>0</v>
      </c>
      <c r="G187" s="590">
        <v>0</v>
      </c>
      <c r="H187" s="590">
        <f t="shared" si="73"/>
        <v>0</v>
      </c>
      <c r="I187" s="589">
        <v>0</v>
      </c>
      <c r="J187" s="589">
        <v>0</v>
      </c>
      <c r="K187" s="591">
        <f t="shared" si="58"/>
        <v>0</v>
      </c>
      <c r="L187" s="592">
        <v>0</v>
      </c>
      <c r="M187" s="592">
        <v>0</v>
      </c>
      <c r="N187" s="592">
        <v>0</v>
      </c>
      <c r="O187" s="593">
        <f t="shared" si="74"/>
        <v>0</v>
      </c>
      <c r="P187" s="594">
        <v>0</v>
      </c>
      <c r="Q187" s="589">
        <v>0</v>
      </c>
      <c r="R187" s="596">
        <f t="shared" si="72"/>
        <v>0</v>
      </c>
      <c r="S187" s="592">
        <v>0</v>
      </c>
      <c r="T187" s="592">
        <v>0</v>
      </c>
      <c r="U187" s="592">
        <v>0</v>
      </c>
      <c r="V187" s="593">
        <f t="shared" si="75"/>
        <v>0</v>
      </c>
      <c r="W187" s="593">
        <v>672013.65</v>
      </c>
      <c r="X187" s="592">
        <v>180094.88999999998</v>
      </c>
      <c r="Y187" s="592">
        <v>1902891.6400000001</v>
      </c>
      <c r="Z187" s="593">
        <v>2755000.18</v>
      </c>
      <c r="AA187" s="703">
        <v>935227.6100000001</v>
      </c>
      <c r="AB187" s="593">
        <v>48612.82</v>
      </c>
      <c r="AC187" s="593">
        <v>1410389.39</v>
      </c>
      <c r="AD187" s="593">
        <f t="shared" si="76"/>
        <v>2394229.8199999998</v>
      </c>
      <c r="AE187" s="513" t="s">
        <v>624</v>
      </c>
    </row>
    <row r="188" spans="1:31" s="531" customFormat="1" x14ac:dyDescent="0.25">
      <c r="A188" s="588" t="s">
        <v>1016</v>
      </c>
      <c r="B188" s="589">
        <v>155</v>
      </c>
      <c r="C188" s="589">
        <v>13</v>
      </c>
      <c r="D188" s="583">
        <f t="shared" si="71"/>
        <v>168</v>
      </c>
      <c r="E188" s="590">
        <v>104900.4</v>
      </c>
      <c r="F188" s="590">
        <v>11165.3</v>
      </c>
      <c r="G188" s="590">
        <v>176386.78</v>
      </c>
      <c r="H188" s="590">
        <f t="shared" si="73"/>
        <v>292452.47999999998</v>
      </c>
      <c r="I188" s="589">
        <v>160</v>
      </c>
      <c r="J188" s="589">
        <v>16</v>
      </c>
      <c r="K188" s="591">
        <f t="shared" si="58"/>
        <v>176</v>
      </c>
      <c r="L188" s="592">
        <v>468915</v>
      </c>
      <c r="M188" s="592">
        <v>56519.200000000004</v>
      </c>
      <c r="N188" s="592">
        <v>910006.93999999983</v>
      </c>
      <c r="O188" s="593">
        <f t="shared" si="74"/>
        <v>1435441.1399999997</v>
      </c>
      <c r="P188" s="594">
        <v>178</v>
      </c>
      <c r="Q188" s="589">
        <v>24</v>
      </c>
      <c r="R188" s="596">
        <f t="shared" si="72"/>
        <v>202</v>
      </c>
      <c r="S188" s="592">
        <v>498471.50000000012</v>
      </c>
      <c r="T188" s="592">
        <v>81692.290000000008</v>
      </c>
      <c r="U188" s="592">
        <v>1128536.1000000001</v>
      </c>
      <c r="V188" s="593">
        <f t="shared" si="75"/>
        <v>1708699.8900000001</v>
      </c>
      <c r="W188" s="593">
        <v>514915.86999999994</v>
      </c>
      <c r="X188" s="592">
        <v>95534.659999999989</v>
      </c>
      <c r="Y188" s="592">
        <v>1127970.47</v>
      </c>
      <c r="Z188" s="593">
        <v>1738421</v>
      </c>
      <c r="AA188" s="703">
        <v>557533.38</v>
      </c>
      <c r="AB188" s="593">
        <v>18375.71</v>
      </c>
      <c r="AC188" s="593">
        <v>1000785.04</v>
      </c>
      <c r="AD188" s="593">
        <f t="shared" si="76"/>
        <v>1576694.13</v>
      </c>
      <c r="AE188" s="513" t="s">
        <v>626</v>
      </c>
    </row>
    <row r="189" spans="1:31" s="531" customFormat="1" x14ac:dyDescent="0.25">
      <c r="A189" s="588" t="s">
        <v>976</v>
      </c>
      <c r="B189" s="589">
        <v>120</v>
      </c>
      <c r="C189" s="589">
        <v>12</v>
      </c>
      <c r="D189" s="583">
        <f>SUM(B189:C189)</f>
        <v>132</v>
      </c>
      <c r="E189" s="590">
        <v>278009.25</v>
      </c>
      <c r="F189" s="590">
        <v>42804.73</v>
      </c>
      <c r="G189" s="590">
        <v>411780.95</v>
      </c>
      <c r="H189" s="590">
        <f t="shared" si="73"/>
        <v>732594.92999999993</v>
      </c>
      <c r="I189" s="589">
        <v>112</v>
      </c>
      <c r="J189" s="589">
        <v>11</v>
      </c>
      <c r="K189" s="591">
        <f t="shared" si="58"/>
        <v>123</v>
      </c>
      <c r="L189" s="592">
        <v>305273.45</v>
      </c>
      <c r="M189" s="592">
        <v>54987.349999999991</v>
      </c>
      <c r="N189" s="592">
        <v>572603.84000000008</v>
      </c>
      <c r="O189" s="593">
        <f t="shared" si="74"/>
        <v>932864.64000000013</v>
      </c>
      <c r="P189" s="594">
        <v>153</v>
      </c>
      <c r="Q189" s="589">
        <v>20</v>
      </c>
      <c r="R189" s="596">
        <f t="shared" si="72"/>
        <v>173</v>
      </c>
      <c r="S189" s="592">
        <v>329896.78999999998</v>
      </c>
      <c r="T189" s="592">
        <v>63560.539999999994</v>
      </c>
      <c r="U189" s="592">
        <v>713263.83000000007</v>
      </c>
      <c r="V189" s="593">
        <f t="shared" si="75"/>
        <v>1106721.1600000001</v>
      </c>
      <c r="W189" s="593">
        <v>366199.16000000003</v>
      </c>
      <c r="X189" s="592">
        <v>75640.51999999999</v>
      </c>
      <c r="Y189" s="592">
        <v>741213.86</v>
      </c>
      <c r="Z189" s="593">
        <v>1183053.5399999998</v>
      </c>
      <c r="AA189" s="703">
        <v>394059.99000000011</v>
      </c>
      <c r="AB189" s="593">
        <v>10897.99</v>
      </c>
      <c r="AC189" s="593">
        <v>463027.58999999985</v>
      </c>
      <c r="AD189" s="593">
        <f t="shared" si="76"/>
        <v>867985.57</v>
      </c>
      <c r="AE189" s="513" t="s">
        <v>546</v>
      </c>
    </row>
    <row r="190" spans="1:31" s="531" customFormat="1" x14ac:dyDescent="0.25">
      <c r="A190" s="581" t="s">
        <v>303</v>
      </c>
      <c r="B190" s="582">
        <f>SUM(B191:B202)</f>
        <v>1941</v>
      </c>
      <c r="C190" s="582">
        <f>SUM(C191:C202)</f>
        <v>246</v>
      </c>
      <c r="D190" s="583">
        <f>SUM(B190:C190)</f>
        <v>2187</v>
      </c>
      <c r="E190" s="582">
        <f>SUM(E191:E202)</f>
        <v>5179586.45</v>
      </c>
      <c r="F190" s="582">
        <f>SUM(F191:F202)</f>
        <v>1235657.05</v>
      </c>
      <c r="G190" s="582">
        <f>SUM(G191:G202)</f>
        <v>9087421.8400000017</v>
      </c>
      <c r="H190" s="582">
        <f t="shared" si="73"/>
        <v>15502665.340000002</v>
      </c>
      <c r="I190" s="582">
        <f>SUM(I191:I202)</f>
        <v>2338</v>
      </c>
      <c r="J190" s="582">
        <f>SUM(J191:J202)</f>
        <v>293</v>
      </c>
      <c r="K190" s="583">
        <f>SUM(I190:J190)</f>
        <v>2631</v>
      </c>
      <c r="L190" s="584">
        <f>SUM(L191:L202)</f>
        <v>7603237.1400000006</v>
      </c>
      <c r="M190" s="584">
        <f>SUM(M191:M202)</f>
        <v>1676969.9800000002</v>
      </c>
      <c r="N190" s="584">
        <f>SUM(N191:N202)</f>
        <v>15215195.870000003</v>
      </c>
      <c r="O190" s="585">
        <f>SUM(L190:N190)</f>
        <v>24495402.990000002</v>
      </c>
      <c r="P190" s="586">
        <f>SUM(P191:P202)</f>
        <v>2825</v>
      </c>
      <c r="Q190" s="582">
        <f>SUM(Q191:Q202)</f>
        <v>479</v>
      </c>
      <c r="R190" s="583">
        <f>SUM(P190:Q190)</f>
        <v>3304</v>
      </c>
      <c r="S190" s="584">
        <f t="shared" ref="S190:AD190" si="77">SUM(S191:S202)</f>
        <v>9474862.9800000004</v>
      </c>
      <c r="T190" s="584">
        <f t="shared" si="77"/>
        <v>2281671.8799999994</v>
      </c>
      <c r="U190" s="584">
        <f t="shared" si="77"/>
        <v>23333598.82</v>
      </c>
      <c r="V190" s="584">
        <f t="shared" si="77"/>
        <v>35090133.68</v>
      </c>
      <c r="W190" s="585">
        <f t="shared" si="77"/>
        <v>10507699.379999999</v>
      </c>
      <c r="X190" s="585">
        <f t="shared" si="77"/>
        <v>2537579.19</v>
      </c>
      <c r="Y190" s="585">
        <f t="shared" si="77"/>
        <v>26020191.949999999</v>
      </c>
      <c r="Z190" s="585">
        <f t="shared" si="77"/>
        <v>39065470.519999996</v>
      </c>
      <c r="AA190" s="587">
        <f t="shared" si="77"/>
        <v>11630882.100000001</v>
      </c>
      <c r="AB190" s="585">
        <f t="shared" si="77"/>
        <v>465895.35</v>
      </c>
      <c r="AC190" s="585">
        <f t="shared" si="77"/>
        <v>11860907.239999998</v>
      </c>
      <c r="AD190" s="585">
        <f t="shared" si="77"/>
        <v>23957684.689999998</v>
      </c>
      <c r="AE190" s="512" t="s">
        <v>304</v>
      </c>
    </row>
    <row r="191" spans="1:31" s="531" customFormat="1" x14ac:dyDescent="0.25">
      <c r="A191" s="588" t="s">
        <v>1017</v>
      </c>
      <c r="B191" s="589">
        <v>319</v>
      </c>
      <c r="C191" s="589">
        <v>20</v>
      </c>
      <c r="D191" s="583">
        <f>SUM(B191:C191)</f>
        <v>339</v>
      </c>
      <c r="E191" s="590">
        <v>906390</v>
      </c>
      <c r="F191" s="590">
        <v>90132.7</v>
      </c>
      <c r="G191" s="590">
        <v>1310790.2400000002</v>
      </c>
      <c r="H191" s="590">
        <f t="shared" si="73"/>
        <v>2307312.9400000004</v>
      </c>
      <c r="I191" s="589">
        <v>331</v>
      </c>
      <c r="J191" s="589">
        <v>24</v>
      </c>
      <c r="K191" s="591">
        <f t="shared" si="58"/>
        <v>355</v>
      </c>
      <c r="L191" s="592">
        <v>1642273.4</v>
      </c>
      <c r="M191" s="592">
        <v>107942.15000000002</v>
      </c>
      <c r="N191" s="592">
        <v>2208351.7799999998</v>
      </c>
      <c r="O191" s="593">
        <f>SUM(L191:N191)</f>
        <v>3958567.3299999996</v>
      </c>
      <c r="P191" s="594">
        <v>358</v>
      </c>
      <c r="Q191" s="589">
        <v>22</v>
      </c>
      <c r="R191" s="596">
        <f t="shared" ref="R191:R202" si="78">SUM(P191:Q191)</f>
        <v>380</v>
      </c>
      <c r="S191" s="592">
        <v>1055059.82</v>
      </c>
      <c r="T191" s="592">
        <v>130977.44000000002</v>
      </c>
      <c r="U191" s="592">
        <v>2382925.23</v>
      </c>
      <c r="V191" s="593">
        <f>SUM(S191:U191)</f>
        <v>3568962.49</v>
      </c>
      <c r="W191" s="593">
        <v>1007772.6099999999</v>
      </c>
      <c r="X191" s="592">
        <v>118749.08000000002</v>
      </c>
      <c r="Y191" s="592">
        <v>2158752.2599999998</v>
      </c>
      <c r="Z191" s="593">
        <v>3285273.9499999997</v>
      </c>
      <c r="AA191" s="703">
        <v>739513.83</v>
      </c>
      <c r="AB191" s="593">
        <v>13015.24</v>
      </c>
      <c r="AC191" s="593">
        <v>700889.95</v>
      </c>
      <c r="AD191" s="593">
        <f>SUM(AA191:AC191)</f>
        <v>1453419.02</v>
      </c>
      <c r="AE191" s="513" t="s">
        <v>628</v>
      </c>
    </row>
    <row r="192" spans="1:31" s="531" customFormat="1" x14ac:dyDescent="0.25">
      <c r="A192" s="588" t="s">
        <v>1018</v>
      </c>
      <c r="B192" s="589">
        <v>132</v>
      </c>
      <c r="C192" s="589">
        <v>13</v>
      </c>
      <c r="D192" s="583">
        <f t="shared" ref="D192:D234" si="79">SUM(B192:C192)</f>
        <v>145</v>
      </c>
      <c r="E192" s="590">
        <v>180304.65</v>
      </c>
      <c r="F192" s="590">
        <v>24832.899999999998</v>
      </c>
      <c r="G192" s="590">
        <v>330642.16000000003</v>
      </c>
      <c r="H192" s="590">
        <f t="shared" si="73"/>
        <v>535779.71</v>
      </c>
      <c r="I192" s="589">
        <v>131</v>
      </c>
      <c r="J192" s="589">
        <v>16</v>
      </c>
      <c r="K192" s="591">
        <f t="shared" si="58"/>
        <v>147</v>
      </c>
      <c r="L192" s="592">
        <v>435022.09999999992</v>
      </c>
      <c r="M192" s="592">
        <v>71176</v>
      </c>
      <c r="N192" s="592">
        <v>885316.43</v>
      </c>
      <c r="O192" s="593">
        <f t="shared" ref="O192:O202" si="80">SUM(L192:N192)</f>
        <v>1391514.53</v>
      </c>
      <c r="P192" s="594">
        <v>145</v>
      </c>
      <c r="Q192" s="589">
        <v>18</v>
      </c>
      <c r="R192" s="596">
        <f t="shared" si="78"/>
        <v>163</v>
      </c>
      <c r="S192" s="592">
        <v>472963.27999999985</v>
      </c>
      <c r="T192" s="592">
        <v>72510.930000000008</v>
      </c>
      <c r="U192" s="592">
        <v>1381000.0199999998</v>
      </c>
      <c r="V192" s="593">
        <f t="shared" ref="V192:V202" si="81">SUM(S192:U192)</f>
        <v>1926474.2299999995</v>
      </c>
      <c r="W192" s="593">
        <v>523798.51000000007</v>
      </c>
      <c r="X192" s="592">
        <v>60831.37999999999</v>
      </c>
      <c r="Y192" s="592">
        <v>1337080.75</v>
      </c>
      <c r="Z192" s="593">
        <v>1921710.6400000001</v>
      </c>
      <c r="AA192" s="703">
        <v>551058.47</v>
      </c>
      <c r="AB192" s="593">
        <v>9931.07</v>
      </c>
      <c r="AC192" s="593">
        <v>547421.64999999991</v>
      </c>
      <c r="AD192" s="593">
        <f t="shared" ref="AD192:AD202" si="82">SUM(AA192:AC192)</f>
        <v>1108411.19</v>
      </c>
      <c r="AE192" s="513" t="s">
        <v>630</v>
      </c>
    </row>
    <row r="193" spans="1:31" s="531" customFormat="1" x14ac:dyDescent="0.25">
      <c r="A193" s="588" t="s">
        <v>1019</v>
      </c>
      <c r="B193" s="589">
        <v>0</v>
      </c>
      <c r="C193" s="589">
        <v>0</v>
      </c>
      <c r="D193" s="583">
        <f t="shared" si="79"/>
        <v>0</v>
      </c>
      <c r="E193" s="590">
        <v>0</v>
      </c>
      <c r="F193" s="590">
        <v>0</v>
      </c>
      <c r="G193" s="590">
        <v>0</v>
      </c>
      <c r="H193" s="590">
        <f t="shared" si="73"/>
        <v>0</v>
      </c>
      <c r="I193" s="589">
        <v>0</v>
      </c>
      <c r="J193" s="589">
        <v>0</v>
      </c>
      <c r="K193" s="591">
        <f t="shared" si="58"/>
        <v>0</v>
      </c>
      <c r="L193" s="592">
        <v>0</v>
      </c>
      <c r="M193" s="592">
        <v>0</v>
      </c>
      <c r="N193" s="592">
        <v>0</v>
      </c>
      <c r="O193" s="593">
        <f t="shared" si="80"/>
        <v>0</v>
      </c>
      <c r="P193" s="594">
        <v>208</v>
      </c>
      <c r="Q193" s="589">
        <v>41</v>
      </c>
      <c r="R193" s="596">
        <f t="shared" si="78"/>
        <v>249</v>
      </c>
      <c r="S193" s="592">
        <v>394915.99</v>
      </c>
      <c r="T193" s="592">
        <v>82143.590000000011</v>
      </c>
      <c r="U193" s="592">
        <v>871121.55999999994</v>
      </c>
      <c r="V193" s="593">
        <f t="shared" si="81"/>
        <v>1348181.14</v>
      </c>
      <c r="W193" s="593">
        <v>570117.62</v>
      </c>
      <c r="X193" s="592">
        <v>132322.88</v>
      </c>
      <c r="Y193" s="592">
        <v>1254990.6100000001</v>
      </c>
      <c r="Z193" s="593">
        <v>1957431.1099999999</v>
      </c>
      <c r="AA193" s="703">
        <v>598350.64</v>
      </c>
      <c r="AB193" s="593">
        <v>26424.59</v>
      </c>
      <c r="AC193" s="593">
        <v>652407</v>
      </c>
      <c r="AD193" s="593">
        <f t="shared" si="82"/>
        <v>1277182.23</v>
      </c>
      <c r="AE193" s="513" t="s">
        <v>632</v>
      </c>
    </row>
    <row r="194" spans="1:31" s="531" customFormat="1" x14ac:dyDescent="0.25">
      <c r="A194" s="588" t="s">
        <v>1020</v>
      </c>
      <c r="B194" s="589">
        <v>0</v>
      </c>
      <c r="C194" s="589">
        <v>0</v>
      </c>
      <c r="D194" s="583">
        <f t="shared" si="79"/>
        <v>0</v>
      </c>
      <c r="E194" s="590">
        <v>0</v>
      </c>
      <c r="F194" s="590">
        <v>0</v>
      </c>
      <c r="G194" s="590">
        <v>0</v>
      </c>
      <c r="H194" s="590">
        <f t="shared" si="73"/>
        <v>0</v>
      </c>
      <c r="I194" s="589">
        <v>0</v>
      </c>
      <c r="J194" s="589">
        <v>0</v>
      </c>
      <c r="K194" s="591">
        <f t="shared" si="58"/>
        <v>0</v>
      </c>
      <c r="L194" s="592">
        <v>0</v>
      </c>
      <c r="M194" s="592">
        <v>0</v>
      </c>
      <c r="N194" s="592">
        <v>0</v>
      </c>
      <c r="O194" s="593">
        <f t="shared" si="80"/>
        <v>0</v>
      </c>
      <c r="P194" s="594">
        <v>0</v>
      </c>
      <c r="Q194" s="589">
        <v>0</v>
      </c>
      <c r="R194" s="596">
        <f t="shared" si="78"/>
        <v>0</v>
      </c>
      <c r="S194" s="592">
        <v>0</v>
      </c>
      <c r="T194" s="592">
        <v>0</v>
      </c>
      <c r="U194" s="592">
        <v>0</v>
      </c>
      <c r="V194" s="593">
        <f t="shared" si="81"/>
        <v>0</v>
      </c>
      <c r="W194" s="593">
        <v>0</v>
      </c>
      <c r="X194" s="592">
        <v>0</v>
      </c>
      <c r="Y194" s="592">
        <v>0</v>
      </c>
      <c r="Z194" s="593">
        <v>0</v>
      </c>
      <c r="AA194" s="703">
        <v>0</v>
      </c>
      <c r="AB194" s="593">
        <v>0</v>
      </c>
      <c r="AC194" s="593">
        <v>0</v>
      </c>
      <c r="AD194" s="593">
        <f t="shared" si="82"/>
        <v>0</v>
      </c>
      <c r="AE194" s="513" t="s">
        <v>634</v>
      </c>
    </row>
    <row r="195" spans="1:31" s="531" customFormat="1" x14ac:dyDescent="0.25">
      <c r="A195" s="588" t="s">
        <v>1021</v>
      </c>
      <c r="B195" s="589">
        <v>0</v>
      </c>
      <c r="C195" s="589">
        <v>0</v>
      </c>
      <c r="D195" s="583">
        <f t="shared" si="79"/>
        <v>0</v>
      </c>
      <c r="E195" s="590">
        <v>0</v>
      </c>
      <c r="F195" s="590">
        <v>0</v>
      </c>
      <c r="G195" s="590">
        <v>0</v>
      </c>
      <c r="H195" s="590">
        <f t="shared" si="73"/>
        <v>0</v>
      </c>
      <c r="I195" s="589">
        <v>0</v>
      </c>
      <c r="J195" s="589">
        <v>0</v>
      </c>
      <c r="K195" s="591">
        <f t="shared" si="58"/>
        <v>0</v>
      </c>
      <c r="L195" s="592">
        <v>0</v>
      </c>
      <c r="M195" s="592">
        <v>0</v>
      </c>
      <c r="N195" s="592">
        <v>0</v>
      </c>
      <c r="O195" s="593">
        <f t="shared" si="80"/>
        <v>0</v>
      </c>
      <c r="P195" s="594">
        <v>0</v>
      </c>
      <c r="Q195" s="589">
        <v>0</v>
      </c>
      <c r="R195" s="596">
        <f t="shared" si="78"/>
        <v>0</v>
      </c>
      <c r="S195" s="592">
        <v>0</v>
      </c>
      <c r="T195" s="592">
        <v>0</v>
      </c>
      <c r="U195" s="592">
        <v>0</v>
      </c>
      <c r="V195" s="593">
        <f t="shared" si="81"/>
        <v>0</v>
      </c>
      <c r="W195" s="593">
        <v>109970.67</v>
      </c>
      <c r="X195" s="592">
        <v>13183.109999999999</v>
      </c>
      <c r="Y195" s="592">
        <v>221902.87</v>
      </c>
      <c r="Z195" s="593">
        <v>345056.65</v>
      </c>
      <c r="AA195" s="703">
        <v>468432.71</v>
      </c>
      <c r="AB195" s="593">
        <v>9304.24</v>
      </c>
      <c r="AC195" s="593">
        <v>454570.49000000005</v>
      </c>
      <c r="AD195" s="593">
        <f t="shared" si="82"/>
        <v>932307.44000000006</v>
      </c>
      <c r="AE195" s="513" t="s">
        <v>636</v>
      </c>
    </row>
    <row r="196" spans="1:31" s="531" customFormat="1" x14ac:dyDescent="0.25">
      <c r="A196" s="588" t="s">
        <v>1022</v>
      </c>
      <c r="B196" s="589">
        <v>682</v>
      </c>
      <c r="C196" s="589">
        <v>129</v>
      </c>
      <c r="D196" s="583">
        <f t="shared" si="79"/>
        <v>811</v>
      </c>
      <c r="E196" s="590">
        <v>2280446.6</v>
      </c>
      <c r="F196" s="590">
        <v>815339.10000000009</v>
      </c>
      <c r="G196" s="590">
        <v>4486330.6400000006</v>
      </c>
      <c r="H196" s="590">
        <f t="shared" si="73"/>
        <v>7582116.3400000008</v>
      </c>
      <c r="I196" s="589">
        <v>654</v>
      </c>
      <c r="J196" s="589">
        <v>115</v>
      </c>
      <c r="K196" s="591">
        <f t="shared" si="58"/>
        <v>769</v>
      </c>
      <c r="L196" s="592">
        <v>2619754.4</v>
      </c>
      <c r="M196" s="592">
        <v>949202.59</v>
      </c>
      <c r="N196" s="592">
        <v>6271422.9400000013</v>
      </c>
      <c r="O196" s="593">
        <f t="shared" si="80"/>
        <v>9840379.9300000016</v>
      </c>
      <c r="P196" s="594">
        <v>762</v>
      </c>
      <c r="Q196" s="589">
        <v>206</v>
      </c>
      <c r="R196" s="596">
        <f t="shared" si="78"/>
        <v>968</v>
      </c>
      <c r="S196" s="592">
        <v>2816129.8200000003</v>
      </c>
      <c r="T196" s="592">
        <v>961516.45</v>
      </c>
      <c r="U196" s="592">
        <v>7038592.79</v>
      </c>
      <c r="V196" s="593">
        <f t="shared" si="81"/>
        <v>10816239.060000001</v>
      </c>
      <c r="W196" s="593">
        <v>3115106.5900000008</v>
      </c>
      <c r="X196" s="592">
        <v>1049064.8400000001</v>
      </c>
      <c r="Y196" s="592">
        <v>8131292.9900000012</v>
      </c>
      <c r="Z196" s="593">
        <v>12295464.42</v>
      </c>
      <c r="AA196" s="703">
        <v>3629651.0900000008</v>
      </c>
      <c r="AB196" s="593">
        <v>196769.66999999998</v>
      </c>
      <c r="AC196" s="593">
        <v>3491403.9999999995</v>
      </c>
      <c r="AD196" s="593">
        <f t="shared" si="82"/>
        <v>7317824.7599999998</v>
      </c>
      <c r="AE196" s="513" t="s">
        <v>638</v>
      </c>
    </row>
    <row r="197" spans="1:31" s="531" customFormat="1" x14ac:dyDescent="0.25">
      <c r="A197" s="588" t="s">
        <v>1023</v>
      </c>
      <c r="B197" s="589">
        <v>306</v>
      </c>
      <c r="C197" s="589">
        <v>22</v>
      </c>
      <c r="D197" s="583">
        <f t="shared" si="79"/>
        <v>328</v>
      </c>
      <c r="E197" s="590">
        <v>572075.80000000005</v>
      </c>
      <c r="F197" s="590">
        <v>62411.19999999999</v>
      </c>
      <c r="G197" s="590">
        <v>1035218.9400000001</v>
      </c>
      <c r="H197" s="590">
        <f t="shared" si="73"/>
        <v>1669705.94</v>
      </c>
      <c r="I197" s="589">
        <v>313</v>
      </c>
      <c r="J197" s="589">
        <v>26</v>
      </c>
      <c r="K197" s="591">
        <f t="shared" si="58"/>
        <v>339</v>
      </c>
      <c r="L197" s="592">
        <v>1074957.75</v>
      </c>
      <c r="M197" s="592">
        <v>169211.8</v>
      </c>
      <c r="N197" s="592">
        <v>2155462.4700000002</v>
      </c>
      <c r="O197" s="593">
        <f t="shared" si="80"/>
        <v>3399632.0200000005</v>
      </c>
      <c r="P197" s="594">
        <v>351</v>
      </c>
      <c r="Q197" s="589">
        <v>34</v>
      </c>
      <c r="R197" s="596">
        <f t="shared" si="78"/>
        <v>385</v>
      </c>
      <c r="S197" s="592">
        <v>1183746.32</v>
      </c>
      <c r="T197" s="592">
        <v>197119.43</v>
      </c>
      <c r="U197" s="592">
        <v>2800615.86</v>
      </c>
      <c r="V197" s="593">
        <f t="shared" si="81"/>
        <v>4181481.61</v>
      </c>
      <c r="W197" s="593">
        <v>1290406</v>
      </c>
      <c r="X197" s="592">
        <v>259005.08000000002</v>
      </c>
      <c r="Y197" s="592">
        <v>2810165.84</v>
      </c>
      <c r="Z197" s="593">
        <v>4359576.92</v>
      </c>
      <c r="AA197" s="703">
        <v>1372530.57</v>
      </c>
      <c r="AB197" s="593">
        <v>49644.52</v>
      </c>
      <c r="AC197" s="593">
        <v>1361419.3299999998</v>
      </c>
      <c r="AD197" s="593">
        <f t="shared" si="82"/>
        <v>2783594.42</v>
      </c>
      <c r="AE197" s="513" t="s">
        <v>640</v>
      </c>
    </row>
    <row r="198" spans="1:31" s="531" customFormat="1" x14ac:dyDescent="0.25">
      <c r="A198" s="588" t="s">
        <v>911</v>
      </c>
      <c r="B198" s="589">
        <v>0</v>
      </c>
      <c r="C198" s="589">
        <v>0</v>
      </c>
      <c r="D198" s="583">
        <f t="shared" si="79"/>
        <v>0</v>
      </c>
      <c r="E198" s="590">
        <v>0</v>
      </c>
      <c r="F198" s="590">
        <v>0</v>
      </c>
      <c r="G198" s="590">
        <v>0</v>
      </c>
      <c r="H198" s="590">
        <f t="shared" si="73"/>
        <v>0</v>
      </c>
      <c r="I198" s="589">
        <v>389</v>
      </c>
      <c r="J198" s="589">
        <v>51</v>
      </c>
      <c r="K198" s="591">
        <f t="shared" si="58"/>
        <v>440</v>
      </c>
      <c r="L198" s="592">
        <v>238203.15000000002</v>
      </c>
      <c r="M198" s="592">
        <v>58447.3</v>
      </c>
      <c r="N198" s="592">
        <v>554044.08000000007</v>
      </c>
      <c r="O198" s="593">
        <f t="shared" si="80"/>
        <v>850694.53</v>
      </c>
      <c r="P198" s="594">
        <v>425</v>
      </c>
      <c r="Q198" s="589">
        <v>65</v>
      </c>
      <c r="R198" s="596">
        <f t="shared" si="78"/>
        <v>490</v>
      </c>
      <c r="S198" s="592">
        <v>1803477.54</v>
      </c>
      <c r="T198" s="592">
        <v>469343.8899999999</v>
      </c>
      <c r="U198" s="592">
        <v>4396893.26</v>
      </c>
      <c r="V198" s="593">
        <f t="shared" si="81"/>
        <v>6669714.6899999995</v>
      </c>
      <c r="W198" s="593">
        <v>1980628.0700000003</v>
      </c>
      <c r="X198" s="592">
        <v>486258.07999999996</v>
      </c>
      <c r="Y198" s="592">
        <v>5911050.7799999993</v>
      </c>
      <c r="Z198" s="593">
        <v>8377936.9299999997</v>
      </c>
      <c r="AA198" s="703">
        <v>2178142.7400000002</v>
      </c>
      <c r="AB198" s="593">
        <v>85863.75</v>
      </c>
      <c r="AC198" s="593">
        <v>2505615.1</v>
      </c>
      <c r="AD198" s="593">
        <f t="shared" si="82"/>
        <v>4769621.59</v>
      </c>
      <c r="AE198" s="513" t="s">
        <v>642</v>
      </c>
    </row>
    <row r="199" spans="1:31" s="531" customFormat="1" x14ac:dyDescent="0.25">
      <c r="A199" s="588" t="s">
        <v>1024</v>
      </c>
      <c r="B199" s="589">
        <v>57</v>
      </c>
      <c r="C199" s="589">
        <v>7</v>
      </c>
      <c r="D199" s="583">
        <f t="shared" si="79"/>
        <v>64</v>
      </c>
      <c r="E199" s="590">
        <v>126152.50000000001</v>
      </c>
      <c r="F199" s="590">
        <v>14772.3</v>
      </c>
      <c r="G199" s="590">
        <v>180826.7</v>
      </c>
      <c r="H199" s="590">
        <f t="shared" si="73"/>
        <v>321751.5</v>
      </c>
      <c r="I199" s="589">
        <v>61</v>
      </c>
      <c r="J199" s="589">
        <v>4</v>
      </c>
      <c r="K199" s="591">
        <f t="shared" si="58"/>
        <v>65</v>
      </c>
      <c r="L199" s="592">
        <v>135126.25</v>
      </c>
      <c r="M199" s="592">
        <v>24883.200000000001</v>
      </c>
      <c r="N199" s="592">
        <v>262751.87</v>
      </c>
      <c r="O199" s="593">
        <f t="shared" si="80"/>
        <v>422761.32</v>
      </c>
      <c r="P199" s="594">
        <v>72</v>
      </c>
      <c r="Q199" s="589">
        <v>9</v>
      </c>
      <c r="R199" s="596">
        <f t="shared" si="78"/>
        <v>81</v>
      </c>
      <c r="S199" s="592">
        <v>147245.88</v>
      </c>
      <c r="T199" s="592">
        <v>17378.73</v>
      </c>
      <c r="U199" s="592">
        <v>398210.48000000004</v>
      </c>
      <c r="V199" s="593">
        <f t="shared" si="81"/>
        <v>562835.09000000008</v>
      </c>
      <c r="W199" s="593">
        <v>147792.04999999999</v>
      </c>
      <c r="X199" s="592">
        <v>12251.79</v>
      </c>
      <c r="Y199" s="592">
        <v>306413.31</v>
      </c>
      <c r="Z199" s="593">
        <v>466457.14999999997</v>
      </c>
      <c r="AA199" s="703">
        <v>154174.26</v>
      </c>
      <c r="AB199" s="593">
        <v>2014.51</v>
      </c>
      <c r="AC199" s="593">
        <v>171048.17999999996</v>
      </c>
      <c r="AD199" s="593">
        <f t="shared" si="82"/>
        <v>327236.94999999995</v>
      </c>
      <c r="AE199" s="513" t="s">
        <v>644</v>
      </c>
    </row>
    <row r="200" spans="1:31" s="531" customFormat="1" x14ac:dyDescent="0.25">
      <c r="A200" s="588" t="s">
        <v>645</v>
      </c>
      <c r="B200" s="589">
        <v>176</v>
      </c>
      <c r="C200" s="589">
        <v>29</v>
      </c>
      <c r="D200" s="583">
        <f t="shared" si="79"/>
        <v>205</v>
      </c>
      <c r="E200" s="590">
        <v>548743.4</v>
      </c>
      <c r="F200" s="590">
        <v>131235.70000000001</v>
      </c>
      <c r="G200" s="590">
        <v>867463.1399999999</v>
      </c>
      <c r="H200" s="590">
        <f t="shared" si="73"/>
        <v>1547442.24</v>
      </c>
      <c r="I200" s="589">
        <v>182</v>
      </c>
      <c r="J200" s="589">
        <v>28</v>
      </c>
      <c r="K200" s="591">
        <f t="shared" ref="K200:K234" si="83">SUM(I200:J200)</f>
        <v>210</v>
      </c>
      <c r="L200" s="592">
        <v>606914.68999999994</v>
      </c>
      <c r="M200" s="592">
        <v>150569.54</v>
      </c>
      <c r="N200" s="592">
        <v>1248119.8</v>
      </c>
      <c r="O200" s="593">
        <f t="shared" si="80"/>
        <v>2005604.03</v>
      </c>
      <c r="P200" s="594">
        <v>192</v>
      </c>
      <c r="Q200" s="589">
        <v>45</v>
      </c>
      <c r="R200" s="596">
        <f t="shared" si="78"/>
        <v>237</v>
      </c>
      <c r="S200" s="592">
        <v>660074.06000000006</v>
      </c>
      <c r="T200" s="592">
        <v>188741.65999999997</v>
      </c>
      <c r="U200" s="592">
        <v>1709915.32</v>
      </c>
      <c r="V200" s="593">
        <f t="shared" si="81"/>
        <v>2558731.04</v>
      </c>
      <c r="W200" s="593">
        <v>741033.53</v>
      </c>
      <c r="X200" s="592">
        <v>216290.34000000003</v>
      </c>
      <c r="Y200" s="592">
        <v>1720037.7000000002</v>
      </c>
      <c r="Z200" s="593">
        <v>2677361.5700000003</v>
      </c>
      <c r="AA200" s="703">
        <v>796001.93</v>
      </c>
      <c r="AB200" s="593">
        <v>38803.440000000002</v>
      </c>
      <c r="AC200" s="593">
        <v>817078.94000000018</v>
      </c>
      <c r="AD200" s="593">
        <f t="shared" si="82"/>
        <v>1651884.3100000003</v>
      </c>
      <c r="AE200" s="513" t="s">
        <v>646</v>
      </c>
    </row>
    <row r="201" spans="1:31" s="531" customFormat="1" x14ac:dyDescent="0.25">
      <c r="A201" s="588" t="s">
        <v>1025</v>
      </c>
      <c r="B201" s="589">
        <v>166</v>
      </c>
      <c r="C201" s="589">
        <v>14</v>
      </c>
      <c r="D201" s="583">
        <f t="shared" si="79"/>
        <v>180</v>
      </c>
      <c r="E201" s="590">
        <v>440369.89999999997</v>
      </c>
      <c r="F201" s="590">
        <v>66579</v>
      </c>
      <c r="G201" s="590">
        <v>644403.67000000004</v>
      </c>
      <c r="H201" s="590">
        <f t="shared" si="73"/>
        <v>1151352.57</v>
      </c>
      <c r="I201" s="589">
        <v>172</v>
      </c>
      <c r="J201" s="589">
        <v>16</v>
      </c>
      <c r="K201" s="591">
        <f t="shared" si="83"/>
        <v>188</v>
      </c>
      <c r="L201" s="592">
        <v>505857.4</v>
      </c>
      <c r="M201" s="592">
        <v>76952.599999999991</v>
      </c>
      <c r="N201" s="592">
        <v>948995.50999999989</v>
      </c>
      <c r="O201" s="593">
        <f t="shared" si="80"/>
        <v>1531805.5099999998</v>
      </c>
      <c r="P201" s="594">
        <v>188</v>
      </c>
      <c r="Q201" s="589">
        <v>20</v>
      </c>
      <c r="R201" s="596">
        <f t="shared" si="78"/>
        <v>208</v>
      </c>
      <c r="S201" s="592">
        <v>555295.16999999993</v>
      </c>
      <c r="T201" s="592">
        <v>86280.670000000013</v>
      </c>
      <c r="U201" s="592">
        <v>1433080.54</v>
      </c>
      <c r="V201" s="593">
        <f t="shared" si="81"/>
        <v>2074656.38</v>
      </c>
      <c r="W201" s="593">
        <v>596809.43999999994</v>
      </c>
      <c r="X201" s="592">
        <v>97046.109999999986</v>
      </c>
      <c r="Y201" s="592">
        <v>1229065.1399999999</v>
      </c>
      <c r="Z201" s="593">
        <v>1922920.69</v>
      </c>
      <c r="AA201" s="703">
        <v>689928.21000000008</v>
      </c>
      <c r="AB201" s="593">
        <v>17853.93</v>
      </c>
      <c r="AC201" s="593">
        <v>633897.17999999993</v>
      </c>
      <c r="AD201" s="593">
        <f t="shared" si="82"/>
        <v>1341679.32</v>
      </c>
      <c r="AE201" s="513" t="s">
        <v>648</v>
      </c>
    </row>
    <row r="202" spans="1:31" s="531" customFormat="1" x14ac:dyDescent="0.25">
      <c r="A202" s="588" t="s">
        <v>1026</v>
      </c>
      <c r="B202" s="589">
        <v>103</v>
      </c>
      <c r="C202" s="589">
        <v>12</v>
      </c>
      <c r="D202" s="583">
        <f t="shared" si="79"/>
        <v>115</v>
      </c>
      <c r="E202" s="590">
        <v>125103.6</v>
      </c>
      <c r="F202" s="590">
        <v>30354.15</v>
      </c>
      <c r="G202" s="590">
        <v>231746.34999999998</v>
      </c>
      <c r="H202" s="590">
        <f t="shared" si="73"/>
        <v>387204.1</v>
      </c>
      <c r="I202" s="589">
        <v>105</v>
      </c>
      <c r="J202" s="589">
        <v>13</v>
      </c>
      <c r="K202" s="591">
        <f t="shared" si="83"/>
        <v>118</v>
      </c>
      <c r="L202" s="592">
        <v>345128</v>
      </c>
      <c r="M202" s="592">
        <v>68584.799999999988</v>
      </c>
      <c r="N202" s="592">
        <v>680730.98999999987</v>
      </c>
      <c r="O202" s="593">
        <f t="shared" si="80"/>
        <v>1094443.7899999998</v>
      </c>
      <c r="P202" s="594">
        <v>124</v>
      </c>
      <c r="Q202" s="589">
        <v>19</v>
      </c>
      <c r="R202" s="596">
        <f t="shared" si="78"/>
        <v>143</v>
      </c>
      <c r="S202" s="592">
        <v>385955.10000000003</v>
      </c>
      <c r="T202" s="592">
        <v>75659.09</v>
      </c>
      <c r="U202" s="592">
        <v>921243.76</v>
      </c>
      <c r="V202" s="593">
        <f t="shared" si="81"/>
        <v>1382857.9500000002</v>
      </c>
      <c r="W202" s="593">
        <v>424264.29000000004</v>
      </c>
      <c r="X202" s="592">
        <v>92576.499999999985</v>
      </c>
      <c r="Y202" s="592">
        <v>939439.7</v>
      </c>
      <c r="Z202" s="593">
        <v>1456280.49</v>
      </c>
      <c r="AA202" s="703">
        <v>453097.65000000008</v>
      </c>
      <c r="AB202" s="593">
        <v>16270.39</v>
      </c>
      <c r="AC202" s="593">
        <v>525155.41999999993</v>
      </c>
      <c r="AD202" s="593">
        <f t="shared" si="82"/>
        <v>994523.46</v>
      </c>
      <c r="AE202" s="513" t="s">
        <v>650</v>
      </c>
    </row>
    <row r="203" spans="1:31" s="531" customFormat="1" x14ac:dyDescent="0.25">
      <c r="A203" s="581" t="s">
        <v>306</v>
      </c>
      <c r="B203" s="582">
        <f>SUM(B204:B213)</f>
        <v>1644</v>
      </c>
      <c r="C203" s="582">
        <f>SUM(C204:C213)</f>
        <v>179</v>
      </c>
      <c r="D203" s="583">
        <f>SUM(B203:C203)</f>
        <v>1823</v>
      </c>
      <c r="E203" s="582">
        <f>SUM(E204:E213)</f>
        <v>6537360.6899999995</v>
      </c>
      <c r="F203" s="582">
        <f>SUM(F204:F213)</f>
        <v>736381.63000000012</v>
      </c>
      <c r="G203" s="582">
        <f>SUM(G204:G213)</f>
        <v>9019269.4200000018</v>
      </c>
      <c r="H203" s="582">
        <f t="shared" si="73"/>
        <v>16293011.740000002</v>
      </c>
      <c r="I203" s="582">
        <f>SUM(I204:I213)</f>
        <v>1958</v>
      </c>
      <c r="J203" s="582">
        <f>SUM(J204:J213)</f>
        <v>241</v>
      </c>
      <c r="K203" s="583">
        <f>SUM(I203:J203)</f>
        <v>2199</v>
      </c>
      <c r="L203" s="584">
        <f>SUM(L204:L213)</f>
        <v>6543838.1799999997</v>
      </c>
      <c r="M203" s="584">
        <f>SUM(M204:M213)</f>
        <v>1143073.6400000001</v>
      </c>
      <c r="N203" s="584">
        <f>SUM(N204:N213)</f>
        <v>11737127.309999999</v>
      </c>
      <c r="O203" s="585">
        <f>SUM(L203:N203)</f>
        <v>19424039.129999999</v>
      </c>
      <c r="P203" s="586">
        <f>SUM(P204:P213)</f>
        <v>1660</v>
      </c>
      <c r="Q203" s="582">
        <f>SUM(Q204:Q213)</f>
        <v>204</v>
      </c>
      <c r="R203" s="583">
        <f>SUM(P203:Q203)</f>
        <v>1864</v>
      </c>
      <c r="S203" s="584">
        <f t="shared" ref="S203:AD203" si="84">SUM(S204:S213)</f>
        <v>7349292.932000001</v>
      </c>
      <c r="T203" s="584">
        <f t="shared" si="84"/>
        <v>1308547.4700000004</v>
      </c>
      <c r="U203" s="584">
        <f t="shared" si="84"/>
        <v>15297755.34</v>
      </c>
      <c r="V203" s="584">
        <f t="shared" si="84"/>
        <v>23955595.742000002</v>
      </c>
      <c r="W203" s="585">
        <f t="shared" si="84"/>
        <v>7733182.5399999991</v>
      </c>
      <c r="X203" s="585">
        <f t="shared" si="84"/>
        <v>1561307.61</v>
      </c>
      <c r="Y203" s="585">
        <f t="shared" si="84"/>
        <v>16787065.739999998</v>
      </c>
      <c r="Z203" s="585">
        <f t="shared" si="84"/>
        <v>26081555.890000004</v>
      </c>
      <c r="AA203" s="587">
        <f t="shared" si="84"/>
        <v>8120259.1900000004</v>
      </c>
      <c r="AB203" s="585">
        <f t="shared" si="84"/>
        <v>301453.69</v>
      </c>
      <c r="AC203" s="585">
        <f t="shared" si="84"/>
        <v>9585743.6799999997</v>
      </c>
      <c r="AD203" s="585">
        <f t="shared" si="84"/>
        <v>18007456.559999999</v>
      </c>
      <c r="AE203" s="512" t="s">
        <v>307</v>
      </c>
    </row>
    <row r="204" spans="1:31" s="531" customFormat="1" x14ac:dyDescent="0.25">
      <c r="A204" s="588" t="s">
        <v>1027</v>
      </c>
      <c r="B204" s="589">
        <v>198</v>
      </c>
      <c r="C204" s="589">
        <v>28</v>
      </c>
      <c r="D204" s="583">
        <f t="shared" si="79"/>
        <v>226</v>
      </c>
      <c r="E204" s="590">
        <v>803630.74</v>
      </c>
      <c r="F204" s="590">
        <v>56737.88</v>
      </c>
      <c r="G204" s="590">
        <v>1213800.5300000003</v>
      </c>
      <c r="H204" s="590">
        <f t="shared" si="73"/>
        <v>2074169.1500000004</v>
      </c>
      <c r="I204" s="589">
        <v>227</v>
      </c>
      <c r="J204" s="589">
        <v>44</v>
      </c>
      <c r="K204" s="591">
        <f t="shared" si="83"/>
        <v>271</v>
      </c>
      <c r="L204" s="592">
        <v>734828.26</v>
      </c>
      <c r="M204" s="592">
        <v>80621.02</v>
      </c>
      <c r="N204" s="592">
        <v>1326023.19</v>
      </c>
      <c r="O204" s="593">
        <f>SUM(L204:N204)</f>
        <v>2141472.4699999997</v>
      </c>
      <c r="P204" s="594">
        <v>185</v>
      </c>
      <c r="Q204" s="589">
        <v>29</v>
      </c>
      <c r="R204" s="596">
        <f t="shared" ref="R204:R213" si="85">SUM(P204:Q204)</f>
        <v>214</v>
      </c>
      <c r="S204" s="592">
        <v>794213.75</v>
      </c>
      <c r="T204" s="592">
        <v>97867.510000000009</v>
      </c>
      <c r="U204" s="592">
        <v>1696700.51</v>
      </c>
      <c r="V204" s="593">
        <f>SUM(S204:U204)</f>
        <v>2588781.77</v>
      </c>
      <c r="W204" s="593">
        <v>839480.53</v>
      </c>
      <c r="X204" s="592">
        <v>158853.82000000004</v>
      </c>
      <c r="Y204" s="592">
        <v>1890615.2799999996</v>
      </c>
      <c r="Z204" s="593">
        <v>2888949.6300000004</v>
      </c>
      <c r="AA204" s="703">
        <v>898944.3</v>
      </c>
      <c r="AB204" s="593">
        <v>37177.259999999995</v>
      </c>
      <c r="AC204" s="593">
        <v>1066362.5899999999</v>
      </c>
      <c r="AD204" s="593">
        <f>SUM(AA204:AC204)</f>
        <v>2002484.15</v>
      </c>
      <c r="AE204" s="513" t="s">
        <v>652</v>
      </c>
    </row>
    <row r="205" spans="1:31" s="531" customFormat="1" x14ac:dyDescent="0.25">
      <c r="A205" s="588" t="s">
        <v>1028</v>
      </c>
      <c r="B205" s="589">
        <v>499</v>
      </c>
      <c r="C205" s="589">
        <v>83</v>
      </c>
      <c r="D205" s="583">
        <f>SUM(B205:C205)</f>
        <v>582</v>
      </c>
      <c r="E205" s="590">
        <v>2737083.11</v>
      </c>
      <c r="F205" s="590">
        <v>538491.14000000013</v>
      </c>
      <c r="G205" s="590">
        <v>3400597.83</v>
      </c>
      <c r="H205" s="590">
        <f t="shared" si="73"/>
        <v>6676172.0800000001</v>
      </c>
      <c r="I205" s="589">
        <v>468</v>
      </c>
      <c r="J205" s="589">
        <v>87</v>
      </c>
      <c r="K205" s="591">
        <f t="shared" si="83"/>
        <v>555</v>
      </c>
      <c r="L205" s="592">
        <v>2664840.38</v>
      </c>
      <c r="M205" s="592">
        <v>827863.70000000007</v>
      </c>
      <c r="N205" s="592">
        <v>4575117.1999999993</v>
      </c>
      <c r="O205" s="593">
        <f t="shared" ref="O205:O213" si="86">SUM(L205:N205)</f>
        <v>8067821.2799999993</v>
      </c>
      <c r="P205" s="594">
        <v>477</v>
      </c>
      <c r="Q205" s="589">
        <v>92</v>
      </c>
      <c r="R205" s="596">
        <f t="shared" si="85"/>
        <v>569</v>
      </c>
      <c r="S205" s="592">
        <v>2971357</v>
      </c>
      <c r="T205" s="592">
        <v>954801.29000000015</v>
      </c>
      <c r="U205" s="592">
        <v>5522959.0499999998</v>
      </c>
      <c r="V205" s="593">
        <f t="shared" ref="V205:V213" si="87">SUM(S205:U205)</f>
        <v>9449117.3399999999</v>
      </c>
      <c r="W205" s="593">
        <v>2887442.32</v>
      </c>
      <c r="X205" s="592">
        <v>860525.55000000028</v>
      </c>
      <c r="Y205" s="592">
        <v>6360108.71</v>
      </c>
      <c r="Z205" s="593">
        <v>10108076.58</v>
      </c>
      <c r="AA205" s="703">
        <v>2686702.81</v>
      </c>
      <c r="AB205" s="593">
        <v>116024.29000000001</v>
      </c>
      <c r="AC205" s="593">
        <v>3261374.1</v>
      </c>
      <c r="AD205" s="593">
        <f t="shared" ref="AD205:AD213" si="88">SUM(AA205:AC205)</f>
        <v>6064101.2000000002</v>
      </c>
      <c r="AE205" s="513" t="s">
        <v>654</v>
      </c>
    </row>
    <row r="206" spans="1:31" s="531" customFormat="1" x14ac:dyDescent="0.25">
      <c r="A206" s="588" t="s">
        <v>1029</v>
      </c>
      <c r="B206" s="589">
        <v>209</v>
      </c>
      <c r="C206" s="589">
        <v>12</v>
      </c>
      <c r="D206" s="583">
        <f>SUM(B206:C206)</f>
        <v>221</v>
      </c>
      <c r="E206" s="590">
        <v>643009.82000000007</v>
      </c>
      <c r="F206" s="590">
        <v>20235.990000000002</v>
      </c>
      <c r="G206" s="590">
        <v>868573.69000000018</v>
      </c>
      <c r="H206" s="590">
        <f t="shared" si="73"/>
        <v>1531819.5000000002</v>
      </c>
      <c r="I206" s="589">
        <v>210</v>
      </c>
      <c r="J206" s="589">
        <v>16</v>
      </c>
      <c r="K206" s="591">
        <f t="shared" si="83"/>
        <v>226</v>
      </c>
      <c r="L206" s="592">
        <v>705202.95000000007</v>
      </c>
      <c r="M206" s="592">
        <v>38589.990000000005</v>
      </c>
      <c r="N206" s="592">
        <v>1201656.54</v>
      </c>
      <c r="O206" s="593">
        <f t="shared" si="86"/>
        <v>1945449.48</v>
      </c>
      <c r="P206" s="594">
        <v>211</v>
      </c>
      <c r="Q206" s="589">
        <v>20</v>
      </c>
      <c r="R206" s="596">
        <f t="shared" si="85"/>
        <v>231</v>
      </c>
      <c r="S206" s="592">
        <v>829118.08000000007</v>
      </c>
      <c r="T206" s="592">
        <v>52965.790000000008</v>
      </c>
      <c r="U206" s="592">
        <v>1400876.4800000002</v>
      </c>
      <c r="V206" s="593">
        <f t="shared" si="87"/>
        <v>2282960.3500000006</v>
      </c>
      <c r="W206" s="593">
        <v>907739.16</v>
      </c>
      <c r="X206" s="592">
        <v>121776.97</v>
      </c>
      <c r="Y206" s="592">
        <v>2043066.46</v>
      </c>
      <c r="Z206" s="593">
        <v>3072582.59</v>
      </c>
      <c r="AA206" s="703">
        <v>955975.30000000016</v>
      </c>
      <c r="AB206" s="593">
        <v>29779.82</v>
      </c>
      <c r="AC206" s="593">
        <v>1197005.3400000001</v>
      </c>
      <c r="AD206" s="593">
        <f t="shared" si="88"/>
        <v>2182760.46</v>
      </c>
      <c r="AE206" s="513" t="s">
        <v>646</v>
      </c>
    </row>
    <row r="207" spans="1:31" s="531" customFormat="1" x14ac:dyDescent="0.25">
      <c r="A207" s="588" t="s">
        <v>999</v>
      </c>
      <c r="B207" s="589">
        <v>0</v>
      </c>
      <c r="C207" s="589">
        <v>0</v>
      </c>
      <c r="D207" s="583">
        <f t="shared" si="79"/>
        <v>0</v>
      </c>
      <c r="E207" s="590">
        <v>82740.09</v>
      </c>
      <c r="F207" s="590">
        <v>0</v>
      </c>
      <c r="G207" s="590">
        <v>55295.729999999996</v>
      </c>
      <c r="H207" s="590">
        <f t="shared" si="73"/>
        <v>138035.82</v>
      </c>
      <c r="I207" s="589">
        <v>0</v>
      </c>
      <c r="J207" s="589">
        <v>0</v>
      </c>
      <c r="K207" s="591">
        <f t="shared" si="83"/>
        <v>0</v>
      </c>
      <c r="L207" s="592">
        <v>0</v>
      </c>
      <c r="M207" s="592">
        <v>0</v>
      </c>
      <c r="N207" s="592">
        <v>0</v>
      </c>
      <c r="O207" s="593">
        <f t="shared" si="86"/>
        <v>0</v>
      </c>
      <c r="P207" s="594">
        <v>0</v>
      </c>
      <c r="Q207" s="589">
        <v>0</v>
      </c>
      <c r="R207" s="596">
        <f t="shared" si="85"/>
        <v>0</v>
      </c>
      <c r="S207" s="592">
        <v>0</v>
      </c>
      <c r="T207" s="592">
        <v>0</v>
      </c>
      <c r="U207" s="592">
        <v>0</v>
      </c>
      <c r="V207" s="593">
        <f t="shared" si="87"/>
        <v>0</v>
      </c>
      <c r="W207" s="593">
        <v>290331.02</v>
      </c>
      <c r="X207" s="592">
        <v>66523.48000000001</v>
      </c>
      <c r="Y207" s="592">
        <v>711539.41</v>
      </c>
      <c r="Z207" s="593">
        <v>1068393.9100000001</v>
      </c>
      <c r="AA207" s="703">
        <v>474521.01999999996</v>
      </c>
      <c r="AB207" s="593">
        <v>17318</v>
      </c>
      <c r="AC207" s="593">
        <v>574136.64</v>
      </c>
      <c r="AD207" s="593">
        <f t="shared" si="88"/>
        <v>1065975.6599999999</v>
      </c>
      <c r="AE207" s="513" t="s">
        <v>590</v>
      </c>
    </row>
    <row r="208" spans="1:31" s="531" customFormat="1" x14ac:dyDescent="0.25">
      <c r="A208" s="588" t="s">
        <v>1030</v>
      </c>
      <c r="B208" s="589">
        <v>183</v>
      </c>
      <c r="C208" s="589">
        <v>28</v>
      </c>
      <c r="D208" s="583">
        <f t="shared" si="79"/>
        <v>211</v>
      </c>
      <c r="E208" s="590">
        <v>662600.38</v>
      </c>
      <c r="F208" s="590">
        <v>67277.48000000001</v>
      </c>
      <c r="G208" s="590">
        <v>1097846.56</v>
      </c>
      <c r="H208" s="590">
        <f t="shared" si="73"/>
        <v>1827724.42</v>
      </c>
      <c r="I208" s="589">
        <v>378</v>
      </c>
      <c r="J208" s="589">
        <v>56</v>
      </c>
      <c r="K208" s="591">
        <f t="shared" si="83"/>
        <v>434</v>
      </c>
      <c r="L208" s="592">
        <v>747234.95</v>
      </c>
      <c r="M208" s="592">
        <v>103630.17000000001</v>
      </c>
      <c r="N208" s="592">
        <v>1485155.69</v>
      </c>
      <c r="O208" s="593">
        <f t="shared" si="86"/>
        <v>2336020.81</v>
      </c>
      <c r="P208" s="594">
        <v>196</v>
      </c>
      <c r="Q208" s="589">
        <v>31</v>
      </c>
      <c r="R208" s="596">
        <f t="shared" si="85"/>
        <v>227</v>
      </c>
      <c r="S208" s="592">
        <v>773325.97199999995</v>
      </c>
      <c r="T208" s="592">
        <v>95049.64</v>
      </c>
      <c r="U208" s="592">
        <v>1581338.53</v>
      </c>
      <c r="V208" s="593">
        <f t="shared" si="87"/>
        <v>2449714.142</v>
      </c>
      <c r="W208" s="593">
        <v>823741.66999999993</v>
      </c>
      <c r="X208" s="592">
        <v>145443.21</v>
      </c>
      <c r="Y208" s="592">
        <v>1806423.9</v>
      </c>
      <c r="Z208" s="593">
        <v>2775608.7800000003</v>
      </c>
      <c r="AA208" s="703">
        <v>862017.84</v>
      </c>
      <c r="AB208" s="593">
        <v>36035.360000000001</v>
      </c>
      <c r="AC208" s="593">
        <v>916056.90999999992</v>
      </c>
      <c r="AD208" s="593">
        <f t="shared" si="88"/>
        <v>1814110.1099999999</v>
      </c>
      <c r="AE208" s="513" t="s">
        <v>656</v>
      </c>
    </row>
    <row r="209" spans="1:545" s="531" customFormat="1" x14ac:dyDescent="0.25">
      <c r="A209" s="588" t="s">
        <v>1031</v>
      </c>
      <c r="B209" s="589">
        <v>155</v>
      </c>
      <c r="C209" s="589">
        <v>4</v>
      </c>
      <c r="D209" s="583">
        <f t="shared" si="79"/>
        <v>159</v>
      </c>
      <c r="E209" s="590">
        <v>403423.34000000008</v>
      </c>
      <c r="F209" s="590">
        <v>1828.8799999999997</v>
      </c>
      <c r="G209" s="590">
        <v>592814.68999999994</v>
      </c>
      <c r="H209" s="590">
        <f t="shared" si="73"/>
        <v>998066.91</v>
      </c>
      <c r="I209" s="589">
        <v>163</v>
      </c>
      <c r="J209" s="589">
        <v>7</v>
      </c>
      <c r="K209" s="591">
        <f t="shared" si="83"/>
        <v>170</v>
      </c>
      <c r="L209" s="592">
        <v>429089.58000000007</v>
      </c>
      <c r="M209" s="592">
        <v>16640.21</v>
      </c>
      <c r="N209" s="592">
        <v>815321.34000000008</v>
      </c>
      <c r="O209" s="593">
        <f t="shared" si="86"/>
        <v>1261051.1300000001</v>
      </c>
      <c r="P209" s="594">
        <v>166</v>
      </c>
      <c r="Q209" s="589">
        <v>10</v>
      </c>
      <c r="R209" s="596">
        <f t="shared" si="85"/>
        <v>176</v>
      </c>
      <c r="S209" s="592">
        <v>534505.74</v>
      </c>
      <c r="T209" s="592">
        <v>23025.03</v>
      </c>
      <c r="U209" s="592">
        <v>1049169.5899999999</v>
      </c>
      <c r="V209" s="593">
        <f t="shared" si="87"/>
        <v>1606700.3599999999</v>
      </c>
      <c r="W209" s="593">
        <v>442653.99</v>
      </c>
      <c r="X209" s="592">
        <v>51517.62</v>
      </c>
      <c r="Y209" s="592">
        <v>869722.86999999988</v>
      </c>
      <c r="Z209" s="593">
        <v>1363894.48</v>
      </c>
      <c r="AA209" s="703">
        <v>441395.23999999993</v>
      </c>
      <c r="AB209" s="593">
        <v>16398.57</v>
      </c>
      <c r="AC209" s="593">
        <v>511173.05000000005</v>
      </c>
      <c r="AD209" s="593">
        <f t="shared" si="88"/>
        <v>968966.86</v>
      </c>
      <c r="AE209" s="513" t="s">
        <v>658</v>
      </c>
    </row>
    <row r="210" spans="1:545" s="531" customFormat="1" x14ac:dyDescent="0.25">
      <c r="A210" s="588" t="s">
        <v>1032</v>
      </c>
      <c r="B210" s="589">
        <v>64</v>
      </c>
      <c r="C210" s="589">
        <v>1</v>
      </c>
      <c r="D210" s="583">
        <f t="shared" si="79"/>
        <v>65</v>
      </c>
      <c r="E210" s="590">
        <v>151464.35</v>
      </c>
      <c r="F210" s="590">
        <v>4260</v>
      </c>
      <c r="G210" s="590">
        <v>213003.36000000002</v>
      </c>
      <c r="H210" s="590">
        <f t="shared" si="73"/>
        <v>368727.71</v>
      </c>
      <c r="I210" s="589">
        <v>69</v>
      </c>
      <c r="J210" s="589">
        <v>1</v>
      </c>
      <c r="K210" s="591">
        <f t="shared" si="83"/>
        <v>70</v>
      </c>
      <c r="L210" s="592">
        <v>141386.06</v>
      </c>
      <c r="M210" s="592">
        <v>5003.01</v>
      </c>
      <c r="N210" s="592">
        <v>243440.99</v>
      </c>
      <c r="O210" s="593">
        <f t="shared" si="86"/>
        <v>389830.06</v>
      </c>
      <c r="P210" s="594">
        <v>75</v>
      </c>
      <c r="Q210" s="589">
        <v>1</v>
      </c>
      <c r="R210" s="596">
        <f t="shared" si="85"/>
        <v>76</v>
      </c>
      <c r="S210" s="592">
        <v>199284.86</v>
      </c>
      <c r="T210" s="592">
        <v>5155.8700000000008</v>
      </c>
      <c r="U210" s="592">
        <v>371644.66</v>
      </c>
      <c r="V210" s="593">
        <f t="shared" si="87"/>
        <v>576085.3899999999</v>
      </c>
      <c r="W210" s="593">
        <v>216801.46999999997</v>
      </c>
      <c r="X210" s="592">
        <v>9122.630000000001</v>
      </c>
      <c r="Y210" s="592">
        <v>434630.42</v>
      </c>
      <c r="Z210" s="593">
        <v>660554.52</v>
      </c>
      <c r="AA210" s="703">
        <v>385182.57</v>
      </c>
      <c r="AB210" s="593">
        <v>2417.84</v>
      </c>
      <c r="AC210" s="593">
        <v>300789.61000000004</v>
      </c>
      <c r="AD210" s="593">
        <f t="shared" si="88"/>
        <v>688390.02</v>
      </c>
      <c r="AE210" s="513" t="s">
        <v>660</v>
      </c>
    </row>
    <row r="211" spans="1:545" s="531" customFormat="1" x14ac:dyDescent="0.25">
      <c r="A211" s="588" t="s">
        <v>1033</v>
      </c>
      <c r="B211" s="589">
        <v>0</v>
      </c>
      <c r="C211" s="589">
        <v>0</v>
      </c>
      <c r="D211" s="583">
        <f t="shared" si="79"/>
        <v>0</v>
      </c>
      <c r="E211" s="590">
        <v>0</v>
      </c>
      <c r="F211" s="590">
        <v>0</v>
      </c>
      <c r="G211" s="590">
        <v>0</v>
      </c>
      <c r="H211" s="590">
        <f t="shared" si="73"/>
        <v>0</v>
      </c>
      <c r="I211" s="589">
        <v>0</v>
      </c>
      <c r="J211" s="589">
        <v>0</v>
      </c>
      <c r="K211" s="591">
        <f t="shared" si="83"/>
        <v>0</v>
      </c>
      <c r="L211" s="592">
        <v>0</v>
      </c>
      <c r="M211" s="592">
        <v>0</v>
      </c>
      <c r="N211" s="592">
        <v>0</v>
      </c>
      <c r="O211" s="593">
        <f t="shared" si="86"/>
        <v>0</v>
      </c>
      <c r="P211" s="594">
        <v>0</v>
      </c>
      <c r="Q211" s="589">
        <v>0</v>
      </c>
      <c r="R211" s="596">
        <f t="shared" si="85"/>
        <v>0</v>
      </c>
      <c r="S211" s="592">
        <v>0</v>
      </c>
      <c r="T211" s="592">
        <v>0</v>
      </c>
      <c r="U211" s="592">
        <v>0</v>
      </c>
      <c r="V211" s="593">
        <f t="shared" si="87"/>
        <v>0</v>
      </c>
      <c r="W211" s="593">
        <v>0</v>
      </c>
      <c r="X211" s="592">
        <v>0</v>
      </c>
      <c r="Y211" s="592">
        <v>0</v>
      </c>
      <c r="Z211" s="593">
        <v>0</v>
      </c>
      <c r="AA211" s="703">
        <v>0</v>
      </c>
      <c r="AB211" s="593">
        <v>0</v>
      </c>
      <c r="AC211" s="593">
        <v>0</v>
      </c>
      <c r="AD211" s="593">
        <f t="shared" si="88"/>
        <v>0</v>
      </c>
      <c r="AE211" s="513" t="s">
        <v>662</v>
      </c>
    </row>
    <row r="212" spans="1:545" s="531" customFormat="1" x14ac:dyDescent="0.25">
      <c r="A212" s="588" t="s">
        <v>1034</v>
      </c>
      <c r="B212" s="589">
        <v>227</v>
      </c>
      <c r="C212" s="589">
        <v>16</v>
      </c>
      <c r="D212" s="583">
        <f t="shared" si="79"/>
        <v>243</v>
      </c>
      <c r="E212" s="590">
        <v>735297.82000000007</v>
      </c>
      <c r="F212" s="590">
        <v>35707.11</v>
      </c>
      <c r="G212" s="590">
        <v>1119582.55</v>
      </c>
      <c r="H212" s="590">
        <f t="shared" si="73"/>
        <v>1890587.48</v>
      </c>
      <c r="I212" s="589">
        <v>233</v>
      </c>
      <c r="J212" s="589">
        <v>14</v>
      </c>
      <c r="K212" s="591">
        <f t="shared" si="83"/>
        <v>247</v>
      </c>
      <c r="L212" s="592">
        <v>768737.19</v>
      </c>
      <c r="M212" s="592">
        <v>51685.45</v>
      </c>
      <c r="N212" s="592">
        <v>1398041.83</v>
      </c>
      <c r="O212" s="593">
        <f t="shared" si="86"/>
        <v>2218464.4699999997</v>
      </c>
      <c r="P212" s="594">
        <v>241</v>
      </c>
      <c r="Q212" s="589">
        <v>12</v>
      </c>
      <c r="R212" s="596">
        <f t="shared" si="85"/>
        <v>253</v>
      </c>
      <c r="S212" s="592">
        <v>870416.55</v>
      </c>
      <c r="T212" s="592">
        <v>55826.28</v>
      </c>
      <c r="U212" s="592">
        <v>1801192.3700000003</v>
      </c>
      <c r="V212" s="593">
        <f t="shared" si="87"/>
        <v>2727435.2</v>
      </c>
      <c r="W212" s="593">
        <v>930860.91000000015</v>
      </c>
      <c r="X212" s="592">
        <v>103498.12999999999</v>
      </c>
      <c r="Y212" s="592">
        <v>1880317.4499999997</v>
      </c>
      <c r="Z212" s="593">
        <v>2914676.49</v>
      </c>
      <c r="AA212" s="703">
        <v>997515.57</v>
      </c>
      <c r="AB212" s="593">
        <v>36672.119999999995</v>
      </c>
      <c r="AC212" s="593">
        <v>1280825.06</v>
      </c>
      <c r="AD212" s="593">
        <f t="shared" si="88"/>
        <v>2315012.75</v>
      </c>
      <c r="AE212" s="513" t="s">
        <v>664</v>
      </c>
    </row>
    <row r="213" spans="1:545" s="531" customFormat="1" x14ac:dyDescent="0.25">
      <c r="A213" s="588" t="s">
        <v>1035</v>
      </c>
      <c r="B213" s="589">
        <v>109</v>
      </c>
      <c r="C213" s="589">
        <v>7</v>
      </c>
      <c r="D213" s="583">
        <f t="shared" si="79"/>
        <v>116</v>
      </c>
      <c r="E213" s="590">
        <v>318111.03999999998</v>
      </c>
      <c r="F213" s="590">
        <v>11843.15</v>
      </c>
      <c r="G213" s="590">
        <v>457754.47999999992</v>
      </c>
      <c r="H213" s="590">
        <f t="shared" si="73"/>
        <v>787708.66999999993</v>
      </c>
      <c r="I213" s="589">
        <v>210</v>
      </c>
      <c r="J213" s="589">
        <v>16</v>
      </c>
      <c r="K213" s="591">
        <f t="shared" si="83"/>
        <v>226</v>
      </c>
      <c r="L213" s="592">
        <v>352518.81000000006</v>
      </c>
      <c r="M213" s="592">
        <v>19040.089999999997</v>
      </c>
      <c r="N213" s="592">
        <v>692370.53</v>
      </c>
      <c r="O213" s="593">
        <f t="shared" si="86"/>
        <v>1063929.4300000002</v>
      </c>
      <c r="P213" s="594">
        <v>109</v>
      </c>
      <c r="Q213" s="589">
        <v>9</v>
      </c>
      <c r="R213" s="596">
        <f t="shared" si="85"/>
        <v>118</v>
      </c>
      <c r="S213" s="592">
        <v>377070.98000000004</v>
      </c>
      <c r="T213" s="592">
        <v>23856.059999999998</v>
      </c>
      <c r="U213" s="592">
        <v>1873874.15</v>
      </c>
      <c r="V213" s="593">
        <f t="shared" si="87"/>
        <v>2274801.19</v>
      </c>
      <c r="W213" s="593">
        <v>394131.47000000003</v>
      </c>
      <c r="X213" s="592">
        <v>44046.2</v>
      </c>
      <c r="Y213" s="592">
        <v>790641.24</v>
      </c>
      <c r="Z213" s="593">
        <v>1228818.9099999999</v>
      </c>
      <c r="AA213" s="703">
        <v>418004.54</v>
      </c>
      <c r="AB213" s="593">
        <v>9630.43</v>
      </c>
      <c r="AC213" s="593">
        <v>478020.38000000006</v>
      </c>
      <c r="AD213" s="593">
        <f t="shared" si="88"/>
        <v>905655.35000000009</v>
      </c>
      <c r="AE213" s="513" t="s">
        <v>666</v>
      </c>
    </row>
    <row r="214" spans="1:545" s="531" customFormat="1" x14ac:dyDescent="0.25">
      <c r="A214" s="581" t="s">
        <v>309</v>
      </c>
      <c r="B214" s="582">
        <f>SUM(B215:B223)</f>
        <v>2675</v>
      </c>
      <c r="C214" s="582">
        <f>SUM(C215:C223)</f>
        <v>327</v>
      </c>
      <c r="D214" s="583">
        <f>SUM(B214:C214)</f>
        <v>3002</v>
      </c>
      <c r="E214" s="582">
        <f>SUM(E215:E223)</f>
        <v>9778612.379999999</v>
      </c>
      <c r="F214" s="582">
        <f>SUM(F215:F223)</f>
        <v>1858919.2600000002</v>
      </c>
      <c r="G214" s="582">
        <f>SUM(G215:G223)</f>
        <v>13030962.43</v>
      </c>
      <c r="H214" s="582">
        <f t="shared" si="73"/>
        <v>24668494.07</v>
      </c>
      <c r="I214" s="582">
        <f>SUM(I215:I223)</f>
        <v>2688</v>
      </c>
      <c r="J214" s="582">
        <f>SUM(J215:J223)</f>
        <v>307</v>
      </c>
      <c r="K214" s="583">
        <f t="shared" si="83"/>
        <v>2995</v>
      </c>
      <c r="L214" s="584">
        <f>SUM(L215:L223)</f>
        <v>9903846.6600000001</v>
      </c>
      <c r="M214" s="584">
        <f>SUM(M215:M223)</f>
        <v>3205316.42</v>
      </c>
      <c r="N214" s="584">
        <f>SUM(N215:N223)</f>
        <v>18622618.270000003</v>
      </c>
      <c r="O214" s="585">
        <f>SUM(L214:N214)</f>
        <v>31731781.350000001</v>
      </c>
      <c r="P214" s="586">
        <f>SUM(P215:P223)</f>
        <v>2680</v>
      </c>
      <c r="Q214" s="582">
        <f>SUM(Q215:Q223)</f>
        <v>344</v>
      </c>
      <c r="R214" s="583">
        <f>SUM(P214:Q214)</f>
        <v>3024</v>
      </c>
      <c r="S214" s="584">
        <f t="shared" ref="S214:AD214" si="89">SUM(S215:S223)</f>
        <v>10857222.300000001</v>
      </c>
      <c r="T214" s="584">
        <f t="shared" si="89"/>
        <v>3355336.8899999997</v>
      </c>
      <c r="U214" s="584">
        <f t="shared" si="89"/>
        <v>20561335.600000001</v>
      </c>
      <c r="V214" s="584">
        <f t="shared" si="89"/>
        <v>34773894.789999992</v>
      </c>
      <c r="W214" s="585">
        <f t="shared" si="89"/>
        <v>10793017.989999998</v>
      </c>
      <c r="X214" s="585">
        <f t="shared" si="89"/>
        <v>3139610.1100000003</v>
      </c>
      <c r="Y214" s="585">
        <f t="shared" si="89"/>
        <v>21980510.850000001</v>
      </c>
      <c r="Z214" s="585">
        <f t="shared" si="89"/>
        <v>35913138.950000003</v>
      </c>
      <c r="AA214" s="587">
        <f t="shared" si="89"/>
        <v>11000281.779999999</v>
      </c>
      <c r="AB214" s="585">
        <f t="shared" si="89"/>
        <v>522463.77999999997</v>
      </c>
      <c r="AC214" s="585">
        <f t="shared" si="89"/>
        <v>10287619.060000001</v>
      </c>
      <c r="AD214" s="585">
        <f t="shared" si="89"/>
        <v>21810364.620000001</v>
      </c>
      <c r="AE214" s="512" t="s">
        <v>310</v>
      </c>
    </row>
    <row r="215" spans="1:545" s="531" customFormat="1" x14ac:dyDescent="0.25">
      <c r="A215" s="588" t="s">
        <v>1036</v>
      </c>
      <c r="B215" s="589">
        <v>228</v>
      </c>
      <c r="C215" s="589">
        <v>19</v>
      </c>
      <c r="D215" s="583">
        <f t="shared" si="79"/>
        <v>247</v>
      </c>
      <c r="E215" s="590">
        <v>789240.56</v>
      </c>
      <c r="F215" s="590">
        <v>41796.28</v>
      </c>
      <c r="G215" s="590">
        <v>1164302.47</v>
      </c>
      <c r="H215" s="590">
        <f t="shared" si="73"/>
        <v>1995339.31</v>
      </c>
      <c r="I215" s="589">
        <v>230</v>
      </c>
      <c r="J215" s="589">
        <v>19</v>
      </c>
      <c r="K215" s="591">
        <f t="shared" si="83"/>
        <v>249</v>
      </c>
      <c r="L215" s="592">
        <v>829584.08000000019</v>
      </c>
      <c r="M215" s="592">
        <v>69156.680000000008</v>
      </c>
      <c r="N215" s="592">
        <v>1524300.44</v>
      </c>
      <c r="O215" s="593">
        <f>SUM(L215:N215)</f>
        <v>2423041.2000000002</v>
      </c>
      <c r="P215" s="594">
        <v>238</v>
      </c>
      <c r="Q215" s="589">
        <v>20</v>
      </c>
      <c r="R215" s="596">
        <f t="shared" ref="R215:R223" si="90">SUM(P215:Q215)</f>
        <v>258</v>
      </c>
      <c r="S215" s="592">
        <v>928785.52999999991</v>
      </c>
      <c r="T215" s="592">
        <v>65439.350000000006</v>
      </c>
      <c r="U215" s="592">
        <v>1679910.77</v>
      </c>
      <c r="V215" s="593">
        <f>SUM(S215:U215)</f>
        <v>2674135.65</v>
      </c>
      <c r="W215" s="593">
        <v>891013.21</v>
      </c>
      <c r="X215" s="592">
        <v>92194.73000000001</v>
      </c>
      <c r="Y215" s="592">
        <v>1727346.4</v>
      </c>
      <c r="Z215" s="593">
        <v>2710554.34</v>
      </c>
      <c r="AA215" s="703">
        <v>986453.71</v>
      </c>
      <c r="AB215" s="593">
        <v>33783.4</v>
      </c>
      <c r="AC215" s="593">
        <v>917080.04999999993</v>
      </c>
      <c r="AD215" s="593">
        <f>SUM(AA215:AC215)</f>
        <v>1937317.16</v>
      </c>
      <c r="AE215" s="513" t="s">
        <v>668</v>
      </c>
    </row>
    <row r="216" spans="1:545" s="531" customFormat="1" x14ac:dyDescent="0.25">
      <c r="A216" s="588" t="s">
        <v>1037</v>
      </c>
      <c r="B216" s="589">
        <v>184</v>
      </c>
      <c r="C216" s="589">
        <v>19</v>
      </c>
      <c r="D216" s="583">
        <f t="shared" si="79"/>
        <v>203</v>
      </c>
      <c r="E216" s="590">
        <v>604908.57999999996</v>
      </c>
      <c r="F216" s="590">
        <v>22807.49</v>
      </c>
      <c r="G216" s="590">
        <v>891121.21000000008</v>
      </c>
      <c r="H216" s="590">
        <f t="shared" si="73"/>
        <v>1518837.28</v>
      </c>
      <c r="I216" s="589">
        <v>185</v>
      </c>
      <c r="J216" s="589">
        <v>16</v>
      </c>
      <c r="K216" s="591">
        <f t="shared" si="83"/>
        <v>201</v>
      </c>
      <c r="L216" s="592">
        <v>645288.21000000008</v>
      </c>
      <c r="M216" s="592">
        <v>34838.89</v>
      </c>
      <c r="N216" s="592">
        <v>1166770.74</v>
      </c>
      <c r="O216" s="593">
        <f t="shared" ref="O216:O234" si="91">SUM(L216:N216)</f>
        <v>1846897.84</v>
      </c>
      <c r="P216" s="594">
        <v>203</v>
      </c>
      <c r="Q216" s="589">
        <v>24</v>
      </c>
      <c r="R216" s="596">
        <f t="shared" si="90"/>
        <v>227</v>
      </c>
      <c r="S216" s="592">
        <v>652018.81999999995</v>
      </c>
      <c r="T216" s="592">
        <v>43881.7</v>
      </c>
      <c r="U216" s="592">
        <v>1173368.28</v>
      </c>
      <c r="V216" s="593">
        <f t="shared" ref="V216:V223" si="92">SUM(S216:U216)</f>
        <v>1869268.7999999998</v>
      </c>
      <c r="W216" s="593">
        <v>683647.91</v>
      </c>
      <c r="X216" s="592">
        <v>76233.259999999995</v>
      </c>
      <c r="Y216" s="592">
        <v>1224848.98</v>
      </c>
      <c r="Z216" s="593">
        <v>1984730.1500000001</v>
      </c>
      <c r="AA216" s="703">
        <v>731544.6</v>
      </c>
      <c r="AB216" s="593">
        <v>25506.85</v>
      </c>
      <c r="AC216" s="593">
        <v>691234.75</v>
      </c>
      <c r="AD216" s="593">
        <f t="shared" ref="AD216:AD223" si="93">SUM(AA216:AC216)</f>
        <v>1448286.2</v>
      </c>
      <c r="AE216" s="513" t="s">
        <v>670</v>
      </c>
    </row>
    <row r="217" spans="1:545" s="531" customFormat="1" x14ac:dyDescent="0.25">
      <c r="A217" s="588" t="s">
        <v>671</v>
      </c>
      <c r="B217" s="589">
        <v>155</v>
      </c>
      <c r="C217" s="589">
        <v>4</v>
      </c>
      <c r="D217" s="583">
        <f t="shared" si="79"/>
        <v>159</v>
      </c>
      <c r="E217" s="590">
        <v>379623.79</v>
      </c>
      <c r="F217" s="590">
        <v>8307.5700000000015</v>
      </c>
      <c r="G217" s="590">
        <v>540038.22000000009</v>
      </c>
      <c r="H217" s="590">
        <f t="shared" si="73"/>
        <v>927969.58000000007</v>
      </c>
      <c r="I217" s="589">
        <v>165</v>
      </c>
      <c r="J217" s="589">
        <v>4</v>
      </c>
      <c r="K217" s="591">
        <f t="shared" si="83"/>
        <v>169</v>
      </c>
      <c r="L217" s="592">
        <v>416041.98</v>
      </c>
      <c r="M217" s="592">
        <v>11043.64</v>
      </c>
      <c r="N217" s="592">
        <v>682343.19000000006</v>
      </c>
      <c r="O217" s="593">
        <f t="shared" si="91"/>
        <v>1109428.81</v>
      </c>
      <c r="P217" s="594">
        <v>167</v>
      </c>
      <c r="Q217" s="589">
        <v>9</v>
      </c>
      <c r="R217" s="596">
        <f t="shared" si="90"/>
        <v>176</v>
      </c>
      <c r="S217" s="592">
        <v>438668.55999999994</v>
      </c>
      <c r="T217" s="592">
        <v>18864.23</v>
      </c>
      <c r="U217" s="592">
        <v>750213.29999999993</v>
      </c>
      <c r="V217" s="593">
        <f t="shared" si="92"/>
        <v>1207746.0899999999</v>
      </c>
      <c r="W217" s="593">
        <v>467853.7</v>
      </c>
      <c r="X217" s="592">
        <v>62310.13</v>
      </c>
      <c r="Y217" s="592">
        <v>929742</v>
      </c>
      <c r="Z217" s="593">
        <v>1459905.83</v>
      </c>
      <c r="AA217" s="703">
        <v>481751.67</v>
      </c>
      <c r="AB217" s="593">
        <v>13870.029999999999</v>
      </c>
      <c r="AC217" s="593">
        <v>418448.21999999991</v>
      </c>
      <c r="AD217" s="593">
        <f t="shared" si="93"/>
        <v>914069.91999999993</v>
      </c>
      <c r="AE217" s="513" t="s">
        <v>672</v>
      </c>
    </row>
    <row r="218" spans="1:545" s="531" customFormat="1" x14ac:dyDescent="0.25">
      <c r="A218" s="588" t="s">
        <v>1038</v>
      </c>
      <c r="B218" s="589">
        <v>391</v>
      </c>
      <c r="C218" s="589">
        <v>37</v>
      </c>
      <c r="D218" s="583">
        <f t="shared" si="79"/>
        <v>428</v>
      </c>
      <c r="E218" s="590">
        <v>1395915.3300000003</v>
      </c>
      <c r="F218" s="590">
        <v>232628.38</v>
      </c>
      <c r="G218" s="590">
        <v>1585696.2499999995</v>
      </c>
      <c r="H218" s="590">
        <f t="shared" si="73"/>
        <v>3214239.96</v>
      </c>
      <c r="I218" s="589">
        <v>391</v>
      </c>
      <c r="J218" s="589">
        <v>38</v>
      </c>
      <c r="K218" s="591">
        <f t="shared" si="83"/>
        <v>429</v>
      </c>
      <c r="L218" s="592">
        <v>1409757.98</v>
      </c>
      <c r="M218" s="592">
        <v>396083.41000000003</v>
      </c>
      <c r="N218" s="592">
        <v>2457757.73</v>
      </c>
      <c r="O218" s="593">
        <f t="shared" si="91"/>
        <v>4263599.12</v>
      </c>
      <c r="P218" s="594">
        <v>392</v>
      </c>
      <c r="Q218" s="589">
        <v>39</v>
      </c>
      <c r="R218" s="596">
        <f t="shared" si="90"/>
        <v>431</v>
      </c>
      <c r="S218" s="592">
        <v>1460760.3</v>
      </c>
      <c r="T218" s="592">
        <v>361286.77999999997</v>
      </c>
      <c r="U218" s="592">
        <v>2624945.37</v>
      </c>
      <c r="V218" s="593">
        <f t="shared" si="92"/>
        <v>4446992.45</v>
      </c>
      <c r="W218" s="593">
        <v>1540735.9100000001</v>
      </c>
      <c r="X218" s="592">
        <v>337757.33999999997</v>
      </c>
      <c r="Y218" s="592">
        <v>3127020.0599999991</v>
      </c>
      <c r="Z218" s="593">
        <v>5005513.3100000005</v>
      </c>
      <c r="AA218" s="703">
        <v>1398039.62</v>
      </c>
      <c r="AB218" s="593">
        <v>73013.989999999991</v>
      </c>
      <c r="AC218" s="593">
        <v>1335565.7200000002</v>
      </c>
      <c r="AD218" s="593">
        <f t="shared" si="93"/>
        <v>2806619.33</v>
      </c>
      <c r="AE218" s="513" t="s">
        <v>674</v>
      </c>
    </row>
    <row r="219" spans="1:545" s="531" customFormat="1" x14ac:dyDescent="0.25">
      <c r="A219" s="588" t="s">
        <v>1039</v>
      </c>
      <c r="B219" s="589">
        <v>151</v>
      </c>
      <c r="C219" s="589">
        <v>12</v>
      </c>
      <c r="D219" s="583">
        <f t="shared" si="79"/>
        <v>163</v>
      </c>
      <c r="E219" s="590">
        <v>391851.53000000009</v>
      </c>
      <c r="F219" s="590">
        <v>21546.760000000002</v>
      </c>
      <c r="G219" s="590">
        <v>556687.97000000009</v>
      </c>
      <c r="H219" s="590">
        <f t="shared" si="73"/>
        <v>970086.26000000024</v>
      </c>
      <c r="I219" s="589">
        <v>158</v>
      </c>
      <c r="J219" s="589">
        <v>14</v>
      </c>
      <c r="K219" s="591">
        <f t="shared" si="83"/>
        <v>172</v>
      </c>
      <c r="L219" s="592">
        <v>419525.47</v>
      </c>
      <c r="M219" s="592">
        <v>32329.319999999996</v>
      </c>
      <c r="N219" s="592">
        <v>790278.14000000013</v>
      </c>
      <c r="O219" s="593">
        <f t="shared" si="91"/>
        <v>1242132.9300000002</v>
      </c>
      <c r="P219" s="594">
        <v>159</v>
      </c>
      <c r="Q219" s="589">
        <v>14</v>
      </c>
      <c r="R219" s="596">
        <f t="shared" si="90"/>
        <v>173</v>
      </c>
      <c r="S219" s="592">
        <v>425659.96</v>
      </c>
      <c r="T219" s="592">
        <v>34416.720000000008</v>
      </c>
      <c r="U219" s="592">
        <v>779616.12000000011</v>
      </c>
      <c r="V219" s="593">
        <f t="shared" si="92"/>
        <v>1239692.8000000003</v>
      </c>
      <c r="W219" s="593">
        <v>430456.43999999994</v>
      </c>
      <c r="X219" s="592">
        <v>56217.969999999994</v>
      </c>
      <c r="Y219" s="592">
        <v>879008.02</v>
      </c>
      <c r="Z219" s="593">
        <v>1365682.4300000002</v>
      </c>
      <c r="AA219" s="703">
        <v>463829.51000000007</v>
      </c>
      <c r="AB219" s="593">
        <v>8985.98</v>
      </c>
      <c r="AC219" s="593">
        <v>401460.04000000004</v>
      </c>
      <c r="AD219" s="593">
        <f t="shared" si="93"/>
        <v>874275.53</v>
      </c>
      <c r="AE219" s="513" t="s">
        <v>676</v>
      </c>
    </row>
    <row r="220" spans="1:545" s="531" customFormat="1" x14ac:dyDescent="0.25">
      <c r="A220" s="588" t="s">
        <v>927</v>
      </c>
      <c r="B220" s="589">
        <v>175</v>
      </c>
      <c r="C220" s="589">
        <v>16</v>
      </c>
      <c r="D220" s="583">
        <f t="shared" si="79"/>
        <v>191</v>
      </c>
      <c r="E220" s="590">
        <v>489491.68999999994</v>
      </c>
      <c r="F220" s="590">
        <v>26947.649999999998</v>
      </c>
      <c r="G220" s="590">
        <v>664095.78</v>
      </c>
      <c r="H220" s="590">
        <f t="shared" si="73"/>
        <v>1180535.1200000001</v>
      </c>
      <c r="I220" s="589">
        <v>174</v>
      </c>
      <c r="J220" s="589">
        <v>16</v>
      </c>
      <c r="K220" s="591">
        <f t="shared" si="83"/>
        <v>190</v>
      </c>
      <c r="L220" s="592">
        <v>550122.53999999992</v>
      </c>
      <c r="M220" s="592">
        <v>41894.350000000006</v>
      </c>
      <c r="N220" s="592">
        <v>1043387.96</v>
      </c>
      <c r="O220" s="593">
        <f t="shared" si="91"/>
        <v>1635404.8499999999</v>
      </c>
      <c r="P220" s="594">
        <v>0</v>
      </c>
      <c r="Q220" s="589">
        <v>0</v>
      </c>
      <c r="R220" s="596">
        <f t="shared" si="90"/>
        <v>0</v>
      </c>
      <c r="S220" s="592">
        <v>520722.82999999996</v>
      </c>
      <c r="T220" s="592">
        <v>42839.960000000006</v>
      </c>
      <c r="U220" s="592">
        <v>1077146.82</v>
      </c>
      <c r="V220" s="593">
        <f t="shared" si="92"/>
        <v>1640709.6099999999</v>
      </c>
      <c r="W220" s="593">
        <v>570470.5</v>
      </c>
      <c r="X220" s="592">
        <v>48923.69</v>
      </c>
      <c r="Y220" s="592">
        <v>1258831.2200000002</v>
      </c>
      <c r="Z220" s="593">
        <v>1878225.4099999997</v>
      </c>
      <c r="AA220" s="703">
        <v>591366.20000000007</v>
      </c>
      <c r="AB220" s="593">
        <v>8070.2800000000007</v>
      </c>
      <c r="AC220" s="593">
        <v>578020.52</v>
      </c>
      <c r="AD220" s="593">
        <f t="shared" si="93"/>
        <v>1177457</v>
      </c>
      <c r="AE220" s="513" t="s">
        <v>448</v>
      </c>
    </row>
    <row r="221" spans="1:545" s="531" customFormat="1" x14ac:dyDescent="0.25">
      <c r="A221" s="588" t="s">
        <v>1040</v>
      </c>
      <c r="B221" s="589">
        <v>176</v>
      </c>
      <c r="C221" s="589">
        <v>17</v>
      </c>
      <c r="D221" s="583">
        <f t="shared" si="79"/>
        <v>193</v>
      </c>
      <c r="E221" s="590">
        <v>460973.4</v>
      </c>
      <c r="F221" s="590">
        <v>28791.870000000003</v>
      </c>
      <c r="G221" s="590">
        <v>688035</v>
      </c>
      <c r="H221" s="590">
        <f t="shared" si="73"/>
        <v>1177800.27</v>
      </c>
      <c r="I221" s="589">
        <v>180</v>
      </c>
      <c r="J221" s="589">
        <v>16</v>
      </c>
      <c r="K221" s="591">
        <f t="shared" si="83"/>
        <v>196</v>
      </c>
      <c r="L221" s="592">
        <v>476073.33999999997</v>
      </c>
      <c r="M221" s="592">
        <v>39534.54</v>
      </c>
      <c r="N221" s="592">
        <v>891273.17999999982</v>
      </c>
      <c r="O221" s="593">
        <f t="shared" si="91"/>
        <v>1406881.0599999998</v>
      </c>
      <c r="P221" s="594">
        <v>189</v>
      </c>
      <c r="Q221" s="589">
        <v>15</v>
      </c>
      <c r="R221" s="596">
        <f t="shared" si="90"/>
        <v>204</v>
      </c>
      <c r="S221" s="592">
        <v>538274.52</v>
      </c>
      <c r="T221" s="592">
        <v>43323.540000000008</v>
      </c>
      <c r="U221" s="592">
        <v>968657.57</v>
      </c>
      <c r="V221" s="593">
        <f t="shared" si="92"/>
        <v>1550255.63</v>
      </c>
      <c r="W221" s="593">
        <v>573271.54999999993</v>
      </c>
      <c r="X221" s="592">
        <v>69226.59</v>
      </c>
      <c r="Y221" s="592">
        <v>1073951.08</v>
      </c>
      <c r="Z221" s="593">
        <v>1716449.2200000002</v>
      </c>
      <c r="AA221" s="703">
        <v>614195.96</v>
      </c>
      <c r="AB221" s="593">
        <v>17601.89</v>
      </c>
      <c r="AC221" s="593">
        <v>560031.17000000004</v>
      </c>
      <c r="AD221" s="593">
        <f t="shared" si="93"/>
        <v>1191829.02</v>
      </c>
      <c r="AE221" s="513" t="s">
        <v>678</v>
      </c>
    </row>
    <row r="222" spans="1:545" s="531" customFormat="1" x14ac:dyDescent="0.25">
      <c r="A222" s="588" t="s">
        <v>1041</v>
      </c>
      <c r="B222" s="589">
        <v>221</v>
      </c>
      <c r="C222" s="589">
        <v>23</v>
      </c>
      <c r="D222" s="583">
        <f t="shared" si="79"/>
        <v>244</v>
      </c>
      <c r="E222" s="590">
        <v>667420.78999999992</v>
      </c>
      <c r="F222" s="590">
        <v>47572.66</v>
      </c>
      <c r="G222" s="590">
        <v>1005081.3099999999</v>
      </c>
      <c r="H222" s="590">
        <f t="shared" si="73"/>
        <v>1720074.7599999998</v>
      </c>
      <c r="I222" s="589">
        <v>211</v>
      </c>
      <c r="J222" s="589">
        <v>21</v>
      </c>
      <c r="K222" s="591">
        <f t="shared" si="83"/>
        <v>232</v>
      </c>
      <c r="L222" s="592">
        <v>663718.76</v>
      </c>
      <c r="M222" s="592">
        <v>189255.93</v>
      </c>
      <c r="N222" s="592">
        <v>1598320.97</v>
      </c>
      <c r="O222" s="593">
        <f t="shared" si="91"/>
        <v>2451295.66</v>
      </c>
      <c r="P222" s="594">
        <v>256</v>
      </c>
      <c r="Q222" s="589">
        <v>30</v>
      </c>
      <c r="R222" s="596">
        <f t="shared" si="90"/>
        <v>286</v>
      </c>
      <c r="S222" s="592">
        <v>788018.81</v>
      </c>
      <c r="T222" s="592">
        <v>83979.709999999992</v>
      </c>
      <c r="U222" s="592">
        <v>1760939.13</v>
      </c>
      <c r="V222" s="593">
        <f t="shared" si="92"/>
        <v>2632937.65</v>
      </c>
      <c r="W222" s="593">
        <v>817672.05999999994</v>
      </c>
      <c r="X222" s="592">
        <v>159680.41</v>
      </c>
      <c r="Y222" s="592">
        <v>1647111.01</v>
      </c>
      <c r="Z222" s="593">
        <v>2624463.48</v>
      </c>
      <c r="AA222" s="703">
        <v>866578.13000000012</v>
      </c>
      <c r="AB222" s="593">
        <v>37634.880000000005</v>
      </c>
      <c r="AC222" s="593">
        <v>765112.52</v>
      </c>
      <c r="AD222" s="593">
        <f t="shared" si="93"/>
        <v>1669325.5300000003</v>
      </c>
      <c r="AE222" s="513" t="s">
        <v>680</v>
      </c>
    </row>
    <row r="223" spans="1:545" s="531" customFormat="1" x14ac:dyDescent="0.25">
      <c r="A223" s="588" t="s">
        <v>984</v>
      </c>
      <c r="B223" s="589">
        <v>994</v>
      </c>
      <c r="C223" s="589">
        <v>180</v>
      </c>
      <c r="D223" s="583">
        <f t="shared" si="79"/>
        <v>1174</v>
      </c>
      <c r="E223" s="590">
        <v>4599186.709999999</v>
      </c>
      <c r="F223" s="590">
        <v>1428520.6</v>
      </c>
      <c r="G223" s="590">
        <v>5935904.2199999997</v>
      </c>
      <c r="H223" s="590">
        <f t="shared" si="73"/>
        <v>11963611.529999997</v>
      </c>
      <c r="I223" s="589">
        <v>994</v>
      </c>
      <c r="J223" s="589">
        <v>163</v>
      </c>
      <c r="K223" s="591">
        <f t="shared" si="83"/>
        <v>1157</v>
      </c>
      <c r="L223" s="592">
        <v>4493734.3</v>
      </c>
      <c r="M223" s="592">
        <v>2391179.66</v>
      </c>
      <c r="N223" s="592">
        <v>8468185.9199999999</v>
      </c>
      <c r="O223" s="593">
        <f t="shared" si="91"/>
        <v>15353099.879999999</v>
      </c>
      <c r="P223" s="594">
        <v>1076</v>
      </c>
      <c r="Q223" s="589">
        <v>193</v>
      </c>
      <c r="R223" s="596">
        <f t="shared" si="90"/>
        <v>1269</v>
      </c>
      <c r="S223" s="592">
        <v>5104312.97</v>
      </c>
      <c r="T223" s="592">
        <v>2661304.9</v>
      </c>
      <c r="U223" s="592">
        <v>9746538.2400000002</v>
      </c>
      <c r="V223" s="593">
        <f t="shared" si="92"/>
        <v>17512156.109999999</v>
      </c>
      <c r="W223" s="593">
        <v>4817896.71</v>
      </c>
      <c r="X223" s="592">
        <v>2237065.9900000002</v>
      </c>
      <c r="Y223" s="592">
        <v>10112652.08</v>
      </c>
      <c r="Z223" s="593">
        <v>17167614.780000001</v>
      </c>
      <c r="AA223" s="703">
        <v>4866522.379999999</v>
      </c>
      <c r="AB223" s="593">
        <v>303996.48</v>
      </c>
      <c r="AC223" s="593">
        <v>4620666.07</v>
      </c>
      <c r="AD223" s="593">
        <f t="shared" si="93"/>
        <v>9791184.9299999997</v>
      </c>
      <c r="AE223" s="513" t="s">
        <v>562</v>
      </c>
      <c r="TY223" s="531">
        <f>SUM(B223:TX223)</f>
        <v>143582534.45999998</v>
      </c>
    </row>
    <row r="224" spans="1:545" s="531" customFormat="1" x14ac:dyDescent="0.25">
      <c r="A224" s="581" t="s">
        <v>312</v>
      </c>
      <c r="B224" s="582">
        <f>SUM(B225)</f>
        <v>1576</v>
      </c>
      <c r="C224" s="582">
        <f>SUM(C225)</f>
        <v>248</v>
      </c>
      <c r="D224" s="583">
        <f>SUM(B224:C224)</f>
        <v>1824</v>
      </c>
      <c r="E224" s="582">
        <f>SUM(E225)</f>
        <v>2451251.5499999998</v>
      </c>
      <c r="F224" s="582">
        <f>SUM(F225)</f>
        <v>1231159.7000000002</v>
      </c>
      <c r="G224" s="582">
        <f>SUM(G225)</f>
        <v>8183590.7299999995</v>
      </c>
      <c r="H224" s="582">
        <f>SUM(E224:G224)</f>
        <v>11866001.98</v>
      </c>
      <c r="I224" s="582">
        <f>SUM(I225)</f>
        <v>1815</v>
      </c>
      <c r="J224" s="582">
        <f>SUM(J225)</f>
        <v>336</v>
      </c>
      <c r="K224" s="583">
        <f t="shared" si="83"/>
        <v>2151</v>
      </c>
      <c r="L224" s="584">
        <f>SUM(L225)</f>
        <v>2670083.0599999996</v>
      </c>
      <c r="M224" s="584">
        <f>SUM(M225)</f>
        <v>1575005.7499999998</v>
      </c>
      <c r="N224" s="584">
        <f>SUM(N225)</f>
        <v>11730290.359999999</v>
      </c>
      <c r="O224" s="585">
        <f t="shared" si="91"/>
        <v>15975379.169999998</v>
      </c>
      <c r="P224" s="586">
        <f>SUM(P225)</f>
        <v>1840</v>
      </c>
      <c r="Q224" s="582">
        <f>SUM(Q225)</f>
        <v>357</v>
      </c>
      <c r="R224" s="583">
        <f>SUM(P224:Q224)</f>
        <v>2197</v>
      </c>
      <c r="S224" s="584">
        <f t="shared" ref="S224:AD224" si="94">SUM(S225)</f>
        <v>7045650.1799999988</v>
      </c>
      <c r="T224" s="584">
        <f t="shared" si="94"/>
        <v>2816627.2100000004</v>
      </c>
      <c r="U224" s="584">
        <f t="shared" si="94"/>
        <v>13240028.82</v>
      </c>
      <c r="V224" s="584">
        <f t="shared" si="94"/>
        <v>23102306.210000001</v>
      </c>
      <c r="W224" s="585">
        <f t="shared" si="94"/>
        <v>4360558.97</v>
      </c>
      <c r="X224" s="585">
        <f t="shared" si="94"/>
        <v>2983754.5799999996</v>
      </c>
      <c r="Y224" s="585">
        <f t="shared" si="94"/>
        <v>13841070.649999999</v>
      </c>
      <c r="Z224" s="585">
        <f t="shared" si="94"/>
        <v>21185384.199999999</v>
      </c>
      <c r="AA224" s="587">
        <f t="shared" si="94"/>
        <v>3013098.6684999997</v>
      </c>
      <c r="AB224" s="585">
        <f t="shared" si="94"/>
        <v>465110.8835</v>
      </c>
      <c r="AC224" s="585">
        <f t="shared" si="94"/>
        <v>6979446.25</v>
      </c>
      <c r="AD224" s="585">
        <f t="shared" si="94"/>
        <v>10457655.801999999</v>
      </c>
      <c r="AE224" s="512" t="s">
        <v>313</v>
      </c>
    </row>
    <row r="225" spans="1:31" s="531" customFormat="1" x14ac:dyDescent="0.25">
      <c r="A225" s="588" t="s">
        <v>1042</v>
      </c>
      <c r="B225" s="589">
        <v>1576</v>
      </c>
      <c r="C225" s="589">
        <v>248</v>
      </c>
      <c r="D225" s="583">
        <f>SUM(B225:C225)</f>
        <v>1824</v>
      </c>
      <c r="E225" s="590">
        <v>2451251.5499999998</v>
      </c>
      <c r="F225" s="590">
        <v>1231159.7000000002</v>
      </c>
      <c r="G225" s="590">
        <v>8183590.7299999995</v>
      </c>
      <c r="H225" s="590">
        <f>SUM(E225:G225)</f>
        <v>11866001.98</v>
      </c>
      <c r="I225" s="589">
        <v>1815</v>
      </c>
      <c r="J225" s="589">
        <v>336</v>
      </c>
      <c r="K225" s="591">
        <f t="shared" si="83"/>
        <v>2151</v>
      </c>
      <c r="L225" s="592">
        <v>2670083.0599999996</v>
      </c>
      <c r="M225" s="592">
        <v>1575005.7499999998</v>
      </c>
      <c r="N225" s="592">
        <v>11730290.359999999</v>
      </c>
      <c r="O225" s="593">
        <f t="shared" si="91"/>
        <v>15975379.169999998</v>
      </c>
      <c r="P225" s="594">
        <v>1840</v>
      </c>
      <c r="Q225" s="589">
        <v>357</v>
      </c>
      <c r="R225" s="596">
        <f>SUM(P225:Q225)</f>
        <v>2197</v>
      </c>
      <c r="S225" s="592">
        <v>7045650.1799999988</v>
      </c>
      <c r="T225" s="592">
        <v>2816627.2100000004</v>
      </c>
      <c r="U225" s="592">
        <v>13240028.82</v>
      </c>
      <c r="V225" s="593">
        <f>SUM(S225:U225)</f>
        <v>23102306.210000001</v>
      </c>
      <c r="W225" s="593">
        <v>4360558.97</v>
      </c>
      <c r="X225" s="592">
        <v>2983754.5799999996</v>
      </c>
      <c r="Y225" s="592">
        <v>13841070.649999999</v>
      </c>
      <c r="Z225" s="593">
        <v>21185384.199999999</v>
      </c>
      <c r="AA225" s="703">
        <v>3013098.6684999997</v>
      </c>
      <c r="AB225" s="593">
        <v>465110.8835</v>
      </c>
      <c r="AC225" s="593">
        <v>6979446.25</v>
      </c>
      <c r="AD225" s="593">
        <f>SUM(AA225:AC225)</f>
        <v>10457655.801999999</v>
      </c>
      <c r="AE225" s="513" t="s">
        <v>682</v>
      </c>
    </row>
    <row r="226" spans="1:31" s="531" customFormat="1" x14ac:dyDescent="0.25">
      <c r="A226" s="581" t="s">
        <v>315</v>
      </c>
      <c r="B226" s="582">
        <f>SUM(B227:B234)</f>
        <v>4124</v>
      </c>
      <c r="C226" s="582">
        <f>SUM(C227:C234)</f>
        <v>697</v>
      </c>
      <c r="D226" s="583">
        <f>SUM(B226:C226)</f>
        <v>4821</v>
      </c>
      <c r="E226" s="582">
        <f>SUM(E227:E234)</f>
        <v>8036379.3100000005</v>
      </c>
      <c r="F226" s="582">
        <f>SUM(F227:F234)</f>
        <v>5913589.7300000004</v>
      </c>
      <c r="G226" s="582">
        <f>SUM(G227:G234)</f>
        <v>23747775.68</v>
      </c>
      <c r="H226" s="582">
        <f>SUM(E226:G226)</f>
        <v>37697744.719999999</v>
      </c>
      <c r="I226" s="582">
        <f>SUM(I227:I234)</f>
        <v>4216</v>
      </c>
      <c r="J226" s="582">
        <f>SUM(J227:J234)</f>
        <v>727</v>
      </c>
      <c r="K226" s="583">
        <f t="shared" si="83"/>
        <v>4943</v>
      </c>
      <c r="L226" s="584">
        <f>SUM(L227:L234)</f>
        <v>6780728.9500000011</v>
      </c>
      <c r="M226" s="584">
        <f>SUM(M227:M234)</f>
        <v>8151989.1499999985</v>
      </c>
      <c r="N226" s="584">
        <f>SUM(N227:N234)</f>
        <v>33723131.739999995</v>
      </c>
      <c r="O226" s="585">
        <f t="shared" si="91"/>
        <v>48655849.839999996</v>
      </c>
      <c r="P226" s="586">
        <f>SUM(P227:P235)</f>
        <v>4427</v>
      </c>
      <c r="Q226" s="582">
        <f>SUM(Q227:Q234)</f>
        <v>827</v>
      </c>
      <c r="R226" s="583">
        <f>SUM(P226:Q226)</f>
        <v>5254</v>
      </c>
      <c r="S226" s="584">
        <f t="shared" ref="S226:AD226" si="95">SUM(S227:S234)</f>
        <v>19915954.789999999</v>
      </c>
      <c r="T226" s="584">
        <f t="shared" si="95"/>
        <v>10876635.09</v>
      </c>
      <c r="U226" s="584">
        <f t="shared" si="95"/>
        <v>37930665.68</v>
      </c>
      <c r="V226" s="584">
        <f t="shared" si="95"/>
        <v>68723255.559999987</v>
      </c>
      <c r="W226" s="585">
        <f t="shared" si="95"/>
        <v>12416138.1</v>
      </c>
      <c r="X226" s="585">
        <f t="shared" si="95"/>
        <v>11004394.639999999</v>
      </c>
      <c r="Y226" s="585">
        <f t="shared" si="95"/>
        <v>39583396.350000001</v>
      </c>
      <c r="Z226" s="585">
        <f t="shared" si="95"/>
        <v>63003929.089999996</v>
      </c>
      <c r="AA226" s="587">
        <f t="shared" si="95"/>
        <v>9534586.2105</v>
      </c>
      <c r="AB226" s="585">
        <f t="shared" si="95"/>
        <v>1765937.7805000001</v>
      </c>
      <c r="AC226" s="585">
        <f t="shared" si="95"/>
        <v>23663190.379999999</v>
      </c>
      <c r="AD226" s="585">
        <f t="shared" si="95"/>
        <v>34963714.370999999</v>
      </c>
      <c r="AE226" s="512" t="s">
        <v>316</v>
      </c>
    </row>
    <row r="227" spans="1:31" s="531" customFormat="1" x14ac:dyDescent="0.25">
      <c r="A227" s="588" t="s">
        <v>939</v>
      </c>
      <c r="B227" s="589">
        <v>397</v>
      </c>
      <c r="C227" s="589">
        <v>54</v>
      </c>
      <c r="D227" s="583">
        <f t="shared" si="79"/>
        <v>451</v>
      </c>
      <c r="E227" s="590">
        <v>441124.07999999996</v>
      </c>
      <c r="F227" s="590">
        <v>249494.51</v>
      </c>
      <c r="G227" s="590">
        <v>1684186.2000000004</v>
      </c>
      <c r="H227" s="590">
        <f>SUM(E227:G227)</f>
        <v>2374804.7900000005</v>
      </c>
      <c r="I227" s="589">
        <v>388</v>
      </c>
      <c r="J227" s="589">
        <v>59</v>
      </c>
      <c r="K227" s="591">
        <f t="shared" si="83"/>
        <v>447</v>
      </c>
      <c r="L227" s="592">
        <v>500431.14</v>
      </c>
      <c r="M227" s="592">
        <v>273018.76</v>
      </c>
      <c r="N227" s="592">
        <v>2481242.29</v>
      </c>
      <c r="O227" s="593">
        <f t="shared" si="91"/>
        <v>3254692.19</v>
      </c>
      <c r="P227" s="594">
        <v>0</v>
      </c>
      <c r="Q227" s="589">
        <v>0</v>
      </c>
      <c r="R227" s="596">
        <f t="shared" ref="R227:R234" si="96">SUM(P227:Q227)</f>
        <v>0</v>
      </c>
      <c r="S227" s="592">
        <v>0</v>
      </c>
      <c r="T227" s="592">
        <v>0</v>
      </c>
      <c r="U227" s="592">
        <v>0</v>
      </c>
      <c r="V227" s="593">
        <f>SUM(S227:U227)</f>
        <v>0</v>
      </c>
      <c r="W227" s="593"/>
      <c r="X227" s="592"/>
      <c r="Y227" s="592"/>
      <c r="Z227" s="593"/>
      <c r="AA227" s="703"/>
      <c r="AB227" s="593"/>
      <c r="AC227" s="593"/>
      <c r="AD227" s="593">
        <f>SUM(AA227:AC227)</f>
        <v>0</v>
      </c>
      <c r="AE227" s="513" t="s">
        <v>472</v>
      </c>
    </row>
    <row r="228" spans="1:31" s="531" customFormat="1" x14ac:dyDescent="0.25">
      <c r="A228" s="588" t="s">
        <v>1025</v>
      </c>
      <c r="B228" s="589">
        <v>1956</v>
      </c>
      <c r="C228" s="589">
        <v>331</v>
      </c>
      <c r="D228" s="583">
        <f t="shared" si="79"/>
        <v>2287</v>
      </c>
      <c r="E228" s="590">
        <v>4044290.8299999991</v>
      </c>
      <c r="F228" s="590">
        <v>2868652.15</v>
      </c>
      <c r="G228" s="590">
        <v>11879479.519999998</v>
      </c>
      <c r="H228" s="590">
        <f t="shared" ref="H228:H234" si="97">SUM(E228:G228)</f>
        <v>18792422.499999996</v>
      </c>
      <c r="I228" s="589">
        <v>2001</v>
      </c>
      <c r="J228" s="589">
        <v>357</v>
      </c>
      <c r="K228" s="591">
        <f t="shared" si="83"/>
        <v>2358</v>
      </c>
      <c r="L228" s="592">
        <v>3462050.41</v>
      </c>
      <c r="M228" s="592">
        <v>4004536.8999999994</v>
      </c>
      <c r="N228" s="592">
        <v>17208591.780000001</v>
      </c>
      <c r="O228" s="593">
        <f t="shared" si="91"/>
        <v>24675179.09</v>
      </c>
      <c r="P228" s="594">
        <v>2062</v>
      </c>
      <c r="Q228" s="589">
        <v>381</v>
      </c>
      <c r="R228" s="596">
        <f t="shared" si="96"/>
        <v>2443</v>
      </c>
      <c r="S228" s="592">
        <v>10448437.859999999</v>
      </c>
      <c r="T228" s="592">
        <v>5331679.8599999994</v>
      </c>
      <c r="U228" s="592">
        <v>19604945.77</v>
      </c>
      <c r="V228" s="593">
        <f t="shared" ref="V228:V234" si="98">SUM(S228:U228)</f>
        <v>35385063.489999995</v>
      </c>
      <c r="W228" s="593">
        <v>6226337.7700000005</v>
      </c>
      <c r="X228" s="592">
        <v>5621161.4499999993</v>
      </c>
      <c r="Y228" s="592">
        <v>20088245.539999999</v>
      </c>
      <c r="Z228" s="593">
        <v>31935744.760000002</v>
      </c>
      <c r="AA228" s="703">
        <v>4883176.148</v>
      </c>
      <c r="AB228" s="593">
        <v>910719.02800000017</v>
      </c>
      <c r="AC228" s="593">
        <v>11929803.229999999</v>
      </c>
      <c r="AD228" s="593">
        <f t="shared" ref="AD228:AD234" si="99">SUM(AA228:AC228)</f>
        <v>17723698.405999999</v>
      </c>
      <c r="AE228" s="513" t="s">
        <v>648</v>
      </c>
    </row>
    <row r="229" spans="1:31" s="531" customFormat="1" x14ac:dyDescent="0.25">
      <c r="A229" s="588" t="s">
        <v>1043</v>
      </c>
      <c r="B229" s="589">
        <v>465</v>
      </c>
      <c r="C229" s="589">
        <v>67</v>
      </c>
      <c r="D229" s="583">
        <f t="shared" si="79"/>
        <v>532</v>
      </c>
      <c r="E229" s="590">
        <v>714396.9</v>
      </c>
      <c r="F229" s="590">
        <v>378804.4</v>
      </c>
      <c r="G229" s="590">
        <v>2612024.3400000003</v>
      </c>
      <c r="H229" s="590">
        <f t="shared" si="97"/>
        <v>3705225.6400000006</v>
      </c>
      <c r="I229" s="589">
        <v>485</v>
      </c>
      <c r="J229" s="589">
        <v>60</v>
      </c>
      <c r="K229" s="591">
        <f t="shared" si="83"/>
        <v>545</v>
      </c>
      <c r="L229" s="592">
        <v>743674.65</v>
      </c>
      <c r="M229" s="592">
        <v>658678.89999999991</v>
      </c>
      <c r="N229" s="592">
        <v>3723002.26</v>
      </c>
      <c r="O229" s="593">
        <f t="shared" si="91"/>
        <v>5125355.8099999996</v>
      </c>
      <c r="P229" s="594">
        <v>0</v>
      </c>
      <c r="Q229" s="589">
        <v>0</v>
      </c>
      <c r="R229" s="596">
        <f t="shared" si="96"/>
        <v>0</v>
      </c>
      <c r="S229" s="592">
        <v>0</v>
      </c>
      <c r="T229" s="592">
        <v>0</v>
      </c>
      <c r="U229" s="592">
        <v>0</v>
      </c>
      <c r="V229" s="593">
        <f t="shared" si="98"/>
        <v>0</v>
      </c>
      <c r="W229" s="593">
        <f t="shared" ref="W229" si="100">SUM(T229:V229)</f>
        <v>0</v>
      </c>
      <c r="X229" s="592">
        <f t="shared" ref="X229" si="101">SUM(U229:W229)</f>
        <v>0</v>
      </c>
      <c r="Y229" s="592">
        <f t="shared" ref="Y229" si="102">SUM(V229:X229)</f>
        <v>0</v>
      </c>
      <c r="Z229" s="593">
        <f t="shared" ref="Z229" si="103">SUM(W229:Y229)</f>
        <v>0</v>
      </c>
      <c r="AA229" s="703">
        <f t="shared" ref="AA229" si="104">SUM(X229:Z229)</f>
        <v>0</v>
      </c>
      <c r="AB229" s="593">
        <f t="shared" ref="AB229" si="105">SUM(Y229:AA229)</f>
        <v>0</v>
      </c>
      <c r="AC229" s="593">
        <f t="shared" ref="AC229" si="106">SUM(Z229:AB229)</f>
        <v>0</v>
      </c>
      <c r="AD229" s="593">
        <f t="shared" si="99"/>
        <v>0</v>
      </c>
      <c r="AE229" s="513" t="s">
        <v>684</v>
      </c>
    </row>
    <row r="230" spans="1:31" s="531" customFormat="1" x14ac:dyDescent="0.25">
      <c r="A230" s="588" t="s">
        <v>900</v>
      </c>
      <c r="B230" s="589">
        <v>711</v>
      </c>
      <c r="C230" s="589">
        <v>122</v>
      </c>
      <c r="D230" s="583">
        <f t="shared" si="79"/>
        <v>833</v>
      </c>
      <c r="E230" s="590">
        <v>1254093.1000000001</v>
      </c>
      <c r="F230" s="590">
        <v>1127490.3500000001</v>
      </c>
      <c r="G230" s="590">
        <v>4447823.2600000007</v>
      </c>
      <c r="H230" s="590">
        <f t="shared" si="97"/>
        <v>6829406.7100000009</v>
      </c>
      <c r="I230" s="589">
        <v>751</v>
      </c>
      <c r="J230" s="589">
        <v>130</v>
      </c>
      <c r="K230" s="591">
        <f t="shared" si="83"/>
        <v>881</v>
      </c>
      <c r="L230" s="592">
        <v>1303644.1000000001</v>
      </c>
      <c r="M230" s="592">
        <v>1543986.7499999998</v>
      </c>
      <c r="N230" s="592">
        <v>6447133.4300000006</v>
      </c>
      <c r="O230" s="593">
        <f t="shared" si="91"/>
        <v>9294764.2800000012</v>
      </c>
      <c r="P230" s="594">
        <v>0</v>
      </c>
      <c r="Q230" s="589">
        <v>0</v>
      </c>
      <c r="R230" s="596">
        <f t="shared" si="96"/>
        <v>0</v>
      </c>
      <c r="S230" s="592">
        <v>0</v>
      </c>
      <c r="T230" s="592">
        <v>0</v>
      </c>
      <c r="U230" s="592">
        <v>0</v>
      </c>
      <c r="V230" s="593">
        <f t="shared" ref="V230" si="107">SUM(S230:U230)</f>
        <v>0</v>
      </c>
      <c r="W230" s="593">
        <f t="shared" ref="W230" si="108">SUM(T230:V230)</f>
        <v>0</v>
      </c>
      <c r="X230" s="592">
        <f t="shared" ref="X230" si="109">SUM(U230:W230)</f>
        <v>0</v>
      </c>
      <c r="Y230" s="592">
        <f t="shared" ref="Y230" si="110">SUM(V230:X230)</f>
        <v>0</v>
      </c>
      <c r="Z230" s="593">
        <f t="shared" ref="Z230" si="111">SUM(W230:Y230)</f>
        <v>0</v>
      </c>
      <c r="AA230" s="703">
        <f t="shared" ref="AA230" si="112">SUM(X230:Z230)</f>
        <v>0</v>
      </c>
      <c r="AB230" s="593">
        <f t="shared" ref="AB230" si="113">SUM(Y230:AA230)</f>
        <v>0</v>
      </c>
      <c r="AC230" s="593">
        <f t="shared" ref="AC230" si="114">SUM(Z230:AB230)</f>
        <v>0</v>
      </c>
      <c r="AD230" s="593">
        <f t="shared" si="99"/>
        <v>0</v>
      </c>
      <c r="AE230" s="513" t="s">
        <v>398</v>
      </c>
    </row>
    <row r="231" spans="1:31" s="531" customFormat="1" x14ac:dyDescent="0.25">
      <c r="A231" s="588" t="s">
        <v>1044</v>
      </c>
      <c r="B231" s="589">
        <v>257</v>
      </c>
      <c r="C231" s="589">
        <v>44</v>
      </c>
      <c r="D231" s="583">
        <f t="shared" si="79"/>
        <v>301</v>
      </c>
      <c r="E231" s="590">
        <v>897963.11</v>
      </c>
      <c r="F231" s="590">
        <v>239236.55</v>
      </c>
      <c r="G231" s="590">
        <v>1697797.71</v>
      </c>
      <c r="H231" s="590">
        <f t="shared" si="97"/>
        <v>2834997.37</v>
      </c>
      <c r="I231" s="589">
        <v>260</v>
      </c>
      <c r="J231" s="589">
        <v>46</v>
      </c>
      <c r="K231" s="591">
        <f t="shared" si="83"/>
        <v>306</v>
      </c>
      <c r="L231" s="592">
        <v>419550.39999999997</v>
      </c>
      <c r="M231" s="592">
        <v>374378.75</v>
      </c>
      <c r="N231" s="592">
        <v>2079809.3900000001</v>
      </c>
      <c r="O231" s="593">
        <f t="shared" si="91"/>
        <v>2873738.54</v>
      </c>
      <c r="P231" s="594">
        <v>1627</v>
      </c>
      <c r="Q231" s="589">
        <v>319</v>
      </c>
      <c r="R231" s="596">
        <f t="shared" si="96"/>
        <v>1946</v>
      </c>
      <c r="S231" s="592">
        <v>7422982.4899999993</v>
      </c>
      <c r="T231" s="592">
        <v>4683997.91</v>
      </c>
      <c r="U231" s="592">
        <v>13719958.140000001</v>
      </c>
      <c r="V231" s="593">
        <f t="shared" si="98"/>
        <v>25826938.539999999</v>
      </c>
      <c r="W231" s="593">
        <v>4438167.5699999994</v>
      </c>
      <c r="X231" s="592">
        <v>4609113.6199999992</v>
      </c>
      <c r="Y231" s="592">
        <v>14236210.459999997</v>
      </c>
      <c r="Z231" s="593">
        <v>23283491.649999999</v>
      </c>
      <c r="AA231" s="703">
        <v>3496940.1755000004</v>
      </c>
      <c r="AB231" s="593">
        <v>762691.57700000005</v>
      </c>
      <c r="AC231" s="593">
        <v>8485843.1699999999</v>
      </c>
      <c r="AD231" s="593">
        <f t="shared" si="99"/>
        <v>12745474.922499999</v>
      </c>
      <c r="AE231" s="513" t="s">
        <v>686</v>
      </c>
    </row>
    <row r="232" spans="1:31" s="531" customFormat="1" x14ac:dyDescent="0.25">
      <c r="A232" s="588" t="s">
        <v>1045</v>
      </c>
      <c r="B232" s="589">
        <v>338</v>
      </c>
      <c r="C232" s="589">
        <v>51</v>
      </c>
      <c r="D232" s="583">
        <f t="shared" si="79"/>
        <v>389</v>
      </c>
      <c r="E232" s="590">
        <v>446715.39</v>
      </c>
      <c r="F232" s="590">
        <v>169784.32000000001</v>
      </c>
      <c r="G232" s="590">
        <v>1426464.6500000001</v>
      </c>
      <c r="H232" s="590">
        <f t="shared" si="97"/>
        <v>2042964.36</v>
      </c>
      <c r="I232" s="589">
        <v>331</v>
      </c>
      <c r="J232" s="589">
        <v>48</v>
      </c>
      <c r="K232" s="591">
        <f t="shared" si="83"/>
        <v>379</v>
      </c>
      <c r="L232" s="592">
        <v>351378.25000000006</v>
      </c>
      <c r="M232" s="592">
        <v>207660.84</v>
      </c>
      <c r="N232" s="592">
        <v>1783352.5899999999</v>
      </c>
      <c r="O232" s="593">
        <f t="shared" si="91"/>
        <v>2342391.6799999997</v>
      </c>
      <c r="P232" s="594">
        <v>0</v>
      </c>
      <c r="Q232" s="589">
        <v>0</v>
      </c>
      <c r="R232" s="596">
        <f t="shared" si="96"/>
        <v>0</v>
      </c>
      <c r="S232" s="592">
        <v>0</v>
      </c>
      <c r="T232" s="592">
        <v>0</v>
      </c>
      <c r="U232" s="592">
        <v>0</v>
      </c>
      <c r="V232" s="593">
        <f t="shared" si="98"/>
        <v>0</v>
      </c>
      <c r="W232" s="593">
        <f t="shared" ref="W232" si="115">SUM(T232:V232)</f>
        <v>0</v>
      </c>
      <c r="X232" s="592">
        <f t="shared" ref="X232" si="116">SUM(U232:W232)</f>
        <v>0</v>
      </c>
      <c r="Y232" s="592">
        <f t="shared" ref="Y232" si="117">SUM(V232:X232)</f>
        <v>0</v>
      </c>
      <c r="Z232" s="593">
        <f t="shared" ref="Z232" si="118">SUM(W232:Y232)</f>
        <v>0</v>
      </c>
      <c r="AA232" s="703">
        <f t="shared" ref="AA232" si="119">SUM(X232:Z232)</f>
        <v>0</v>
      </c>
      <c r="AB232" s="593">
        <f t="shared" ref="AB232" si="120">SUM(Y232:AA232)</f>
        <v>0</v>
      </c>
      <c r="AC232" s="593">
        <f t="shared" ref="AC232" si="121">SUM(Z232:AB232)</f>
        <v>0</v>
      </c>
      <c r="AD232" s="593">
        <f t="shared" si="99"/>
        <v>0</v>
      </c>
      <c r="AE232" s="513" t="s">
        <v>688</v>
      </c>
    </row>
    <row r="233" spans="1:31" s="531" customFormat="1" x14ac:dyDescent="0.25">
      <c r="A233" s="588" t="s">
        <v>1046</v>
      </c>
      <c r="B233" s="589"/>
      <c r="C233" s="589"/>
      <c r="D233" s="583"/>
      <c r="E233" s="590"/>
      <c r="F233" s="590"/>
      <c r="G233" s="590"/>
      <c r="H233" s="590"/>
      <c r="I233" s="589">
        <v>0</v>
      </c>
      <c r="J233" s="589">
        <v>0</v>
      </c>
      <c r="K233" s="591">
        <v>0</v>
      </c>
      <c r="L233" s="592">
        <v>0</v>
      </c>
      <c r="M233" s="592">
        <v>0</v>
      </c>
      <c r="N233" s="592">
        <v>0</v>
      </c>
      <c r="O233" s="593">
        <f t="shared" si="91"/>
        <v>0</v>
      </c>
      <c r="P233" s="594">
        <v>738</v>
      </c>
      <c r="Q233" s="589">
        <v>127</v>
      </c>
      <c r="R233" s="596">
        <f t="shared" si="96"/>
        <v>865</v>
      </c>
      <c r="S233" s="592">
        <v>2044534.4400000002</v>
      </c>
      <c r="T233" s="592">
        <v>860957.32</v>
      </c>
      <c r="U233" s="592">
        <v>4605761.7699999996</v>
      </c>
      <c r="V233" s="593">
        <f t="shared" si="98"/>
        <v>7511253.5299999993</v>
      </c>
      <c r="W233" s="593">
        <v>1751632.76</v>
      </c>
      <c r="X233" s="592">
        <v>774119.57</v>
      </c>
      <c r="Y233" s="592">
        <v>5258940.3500000006</v>
      </c>
      <c r="Z233" s="593">
        <v>7784692.6799999997</v>
      </c>
      <c r="AA233" s="703">
        <v>1154469.8869999999</v>
      </c>
      <c r="AB233" s="593">
        <v>92527.175499999998</v>
      </c>
      <c r="AC233" s="593">
        <v>3247543.98</v>
      </c>
      <c r="AD233" s="593">
        <f t="shared" si="99"/>
        <v>4494541.0424999995</v>
      </c>
      <c r="AE233" s="513" t="s">
        <v>1096</v>
      </c>
    </row>
    <row r="234" spans="1:31" s="531" customFormat="1" ht="17.25" x14ac:dyDescent="0.25">
      <c r="A234" s="598" t="s">
        <v>1022</v>
      </c>
      <c r="B234" s="599">
        <v>0</v>
      </c>
      <c r="C234" s="599">
        <v>28</v>
      </c>
      <c r="D234" s="600">
        <f t="shared" si="79"/>
        <v>28</v>
      </c>
      <c r="E234" s="601">
        <v>237795.90000000002</v>
      </c>
      <c r="F234" s="601">
        <v>880127.45</v>
      </c>
      <c r="G234" s="601">
        <v>0</v>
      </c>
      <c r="H234" s="601">
        <f t="shared" si="97"/>
        <v>1117923.3500000001</v>
      </c>
      <c r="I234" s="599">
        <v>0</v>
      </c>
      <c r="J234" s="599">
        <v>27</v>
      </c>
      <c r="K234" s="602">
        <f t="shared" si="83"/>
        <v>27</v>
      </c>
      <c r="L234" s="603">
        <v>0</v>
      </c>
      <c r="M234" s="603">
        <v>1089728.2499999998</v>
      </c>
      <c r="N234" s="603">
        <v>0</v>
      </c>
      <c r="O234" s="603">
        <f t="shared" si="91"/>
        <v>1089728.2499999998</v>
      </c>
      <c r="P234" s="604">
        <v>0</v>
      </c>
      <c r="Q234" s="599">
        <v>0</v>
      </c>
      <c r="R234" s="605">
        <f t="shared" si="96"/>
        <v>0</v>
      </c>
      <c r="S234" s="603">
        <v>0</v>
      </c>
      <c r="T234" s="603">
        <v>0</v>
      </c>
      <c r="U234" s="603">
        <v>0</v>
      </c>
      <c r="V234" s="603">
        <f t="shared" si="98"/>
        <v>0</v>
      </c>
      <c r="W234" s="603">
        <f t="shared" ref="W234" si="122">SUM(T234:V234)</f>
        <v>0</v>
      </c>
      <c r="X234" s="603">
        <f t="shared" ref="X234" si="123">SUM(U234:W234)</f>
        <v>0</v>
      </c>
      <c r="Y234" s="603">
        <f t="shared" ref="Y234" si="124">SUM(V234:X234)</f>
        <v>0</v>
      </c>
      <c r="Z234" s="603">
        <f t="shared" ref="Z234" si="125">SUM(W234:Y234)</f>
        <v>0</v>
      </c>
      <c r="AA234" s="705">
        <f t="shared" ref="AA234" si="126">SUM(X234:Z234)</f>
        <v>0</v>
      </c>
      <c r="AB234" s="603">
        <f t="shared" ref="AB234" si="127">SUM(Y234:AA234)</f>
        <v>0</v>
      </c>
      <c r="AC234" s="603">
        <f t="shared" ref="AC234" si="128">SUM(Z234:AB234)</f>
        <v>0</v>
      </c>
      <c r="AD234" s="603">
        <f t="shared" si="99"/>
        <v>0</v>
      </c>
      <c r="AE234" s="606" t="s">
        <v>1047</v>
      </c>
    </row>
    <row r="235" spans="1:31" s="608" customFormat="1" ht="17.25" x14ac:dyDescent="0.25">
      <c r="A235" s="607" t="s">
        <v>321</v>
      </c>
      <c r="E235" s="609"/>
      <c r="F235" s="609"/>
      <c r="G235" s="609"/>
      <c r="H235" s="609"/>
      <c r="L235" s="609"/>
      <c r="M235" s="609"/>
      <c r="N235" s="609"/>
      <c r="O235" s="610"/>
      <c r="S235" s="609"/>
      <c r="T235" s="609"/>
      <c r="U235" s="609"/>
      <c r="V235" s="610"/>
      <c r="W235" s="707"/>
      <c r="X235" s="609"/>
      <c r="Y235" s="609"/>
      <c r="Z235" s="610"/>
      <c r="AA235" s="609"/>
      <c r="AB235" s="609"/>
      <c r="AC235" s="609"/>
      <c r="AD235" s="610"/>
      <c r="AE235" s="611" t="s">
        <v>322</v>
      </c>
    </row>
    <row r="236" spans="1:31" s="608" customFormat="1" ht="12" x14ac:dyDescent="0.25">
      <c r="W236" s="708"/>
    </row>
    <row r="237" spans="1:31" s="531" customFormat="1" ht="18.75" x14ac:dyDescent="0.3">
      <c r="A237" s="118"/>
      <c r="E237" s="557"/>
      <c r="F237" s="557"/>
      <c r="G237" s="557"/>
      <c r="H237" s="557"/>
      <c r="L237" s="557"/>
      <c r="M237" s="557"/>
      <c r="N237" s="557"/>
      <c r="O237" s="562"/>
      <c r="S237" s="557"/>
      <c r="T237" s="557"/>
      <c r="U237" s="557"/>
      <c r="V237" s="562"/>
      <c r="W237" s="706"/>
      <c r="X237" s="557"/>
      <c r="Y237" s="557"/>
      <c r="Z237" s="562"/>
      <c r="AA237" s="557"/>
      <c r="AB237" s="557"/>
      <c r="AC237" s="557"/>
      <c r="AD237" s="562"/>
    </row>
    <row r="238" spans="1:31" s="531" customFormat="1" ht="18.75" x14ac:dyDescent="0.3">
      <c r="A238" s="588"/>
      <c r="E238" s="557"/>
      <c r="F238" s="557"/>
      <c r="G238" s="557"/>
      <c r="H238" s="557"/>
      <c r="L238" s="557"/>
      <c r="M238" s="557"/>
      <c r="N238" s="557"/>
      <c r="O238" s="562"/>
      <c r="S238" s="557"/>
      <c r="T238" s="557"/>
      <c r="U238" s="557"/>
      <c r="V238" s="562"/>
      <c r="W238" s="706"/>
      <c r="X238" s="557"/>
      <c r="Y238" s="557"/>
      <c r="Z238" s="562"/>
      <c r="AA238" s="557"/>
      <c r="AB238" s="557"/>
      <c r="AC238" s="557"/>
      <c r="AD238" s="562"/>
    </row>
    <row r="239" spans="1:31" s="531" customFormat="1" ht="18.75" x14ac:dyDescent="0.3">
      <c r="A239" s="588"/>
      <c r="E239" s="557"/>
      <c r="F239" s="557"/>
      <c r="G239" s="557"/>
      <c r="H239" s="557"/>
      <c r="L239" s="557"/>
      <c r="M239" s="557"/>
      <c r="N239" s="557"/>
      <c r="O239" s="562"/>
      <c r="S239" s="557"/>
      <c r="T239" s="557"/>
      <c r="U239" s="557"/>
      <c r="V239" s="562"/>
      <c r="W239" s="706"/>
      <c r="X239" s="557"/>
      <c r="Y239" s="557"/>
      <c r="Z239" s="562"/>
      <c r="AA239" s="557"/>
      <c r="AB239" s="557"/>
      <c r="AC239" s="557"/>
      <c r="AD239" s="562"/>
      <c r="AE239" s="280"/>
    </row>
    <row r="240" spans="1:31" ht="18.75" x14ac:dyDescent="0.3">
      <c r="A240" s="597"/>
      <c r="B240" s="531"/>
      <c r="C240" s="531"/>
      <c r="D240" s="531"/>
      <c r="E240" s="557"/>
      <c r="F240" s="557"/>
      <c r="G240" s="557"/>
      <c r="H240" s="557"/>
      <c r="I240" s="531"/>
      <c r="J240" s="531"/>
      <c r="K240" s="531"/>
      <c r="L240" s="557"/>
      <c r="M240" s="557"/>
      <c r="N240" s="557"/>
      <c r="O240" s="562"/>
      <c r="P240" s="531"/>
      <c r="Q240" s="531"/>
      <c r="R240" s="531"/>
      <c r="S240" s="557"/>
      <c r="T240" s="557"/>
      <c r="U240" s="557"/>
      <c r="V240" s="562"/>
      <c r="W240" s="706"/>
      <c r="X240" s="557"/>
      <c r="Y240" s="557"/>
      <c r="Z240" s="562"/>
      <c r="AA240" s="557"/>
      <c r="AB240" s="557"/>
      <c r="AC240" s="557"/>
      <c r="AD240" s="562"/>
    </row>
    <row r="241" spans="1:30" s="1" customFormat="1" ht="18.75" x14ac:dyDescent="0.3">
      <c r="A241" s="597"/>
      <c r="B241" s="531"/>
      <c r="C241" s="531"/>
      <c r="D241" s="531"/>
      <c r="E241" s="557"/>
      <c r="F241" s="557"/>
      <c r="G241" s="557"/>
      <c r="H241" s="557"/>
      <c r="I241" s="531"/>
      <c r="J241" s="531"/>
      <c r="K241" s="531"/>
      <c r="L241" s="557"/>
      <c r="M241" s="557"/>
      <c r="N241" s="557"/>
      <c r="O241" s="562"/>
      <c r="P241" s="531"/>
      <c r="Q241" s="531"/>
      <c r="R241" s="531"/>
      <c r="S241" s="557"/>
      <c r="T241" s="557"/>
      <c r="U241" s="557"/>
      <c r="V241" s="562"/>
      <c r="W241" s="706"/>
      <c r="X241" s="557"/>
      <c r="Y241" s="557"/>
      <c r="Z241" s="562"/>
      <c r="AA241" s="557"/>
      <c r="AB241" s="557"/>
      <c r="AC241" s="557"/>
      <c r="AD241" s="562"/>
    </row>
    <row r="242" spans="1:30" s="1" customFormat="1" ht="18.75" x14ac:dyDescent="0.3">
      <c r="A242" s="597"/>
      <c r="B242" s="531"/>
      <c r="C242" s="531"/>
      <c r="D242" s="531"/>
      <c r="E242" s="557"/>
      <c r="F242" s="557"/>
      <c r="G242" s="557"/>
      <c r="H242" s="557"/>
      <c r="I242" s="531"/>
      <c r="J242" s="531"/>
      <c r="K242" s="531"/>
      <c r="L242" s="557"/>
      <c r="M242" s="557"/>
      <c r="N242" s="557"/>
      <c r="O242" s="562"/>
      <c r="P242" s="531"/>
      <c r="Q242" s="531"/>
      <c r="R242" s="531"/>
      <c r="S242" s="557"/>
      <c r="T242" s="557"/>
      <c r="U242" s="557"/>
      <c r="V242" s="562"/>
      <c r="W242" s="706"/>
      <c r="X242" s="557"/>
      <c r="Y242" s="557"/>
      <c r="Z242" s="562"/>
      <c r="AA242" s="557"/>
      <c r="AB242" s="557"/>
      <c r="AC242" s="557"/>
      <c r="AD242" s="562"/>
    </row>
    <row r="243" spans="1:30" s="1" customFormat="1" ht="18.75" x14ac:dyDescent="0.3">
      <c r="A243" s="597"/>
      <c r="B243" s="531"/>
      <c r="C243" s="531"/>
      <c r="D243" s="531"/>
      <c r="E243" s="557"/>
      <c r="F243" s="557"/>
      <c r="G243" s="557"/>
      <c r="H243" s="557"/>
      <c r="I243" s="531"/>
      <c r="J243" s="531"/>
      <c r="K243" s="531"/>
      <c r="L243" s="557"/>
      <c r="M243" s="557"/>
      <c r="N243" s="557"/>
      <c r="O243" s="562"/>
      <c r="P243" s="531"/>
      <c r="Q243" s="531"/>
      <c r="R243" s="531"/>
      <c r="S243" s="557"/>
      <c r="T243" s="557"/>
      <c r="U243" s="557"/>
      <c r="V243" s="562"/>
      <c r="W243" s="706"/>
      <c r="X243" s="557"/>
      <c r="Y243" s="557"/>
      <c r="Z243" s="562"/>
      <c r="AA243" s="557"/>
      <c r="AB243" s="557"/>
      <c r="AC243" s="557"/>
      <c r="AD243" s="562"/>
    </row>
    <row r="244" spans="1:30" s="1" customFormat="1" ht="18.75" x14ac:dyDescent="0.3">
      <c r="A244" s="597"/>
      <c r="B244" s="531"/>
      <c r="C244" s="531"/>
      <c r="D244" s="531"/>
      <c r="E244" s="557"/>
      <c r="F244" s="557"/>
      <c r="G244" s="557"/>
      <c r="H244" s="557"/>
      <c r="I244" s="531"/>
      <c r="J244" s="531"/>
      <c r="K244" s="531"/>
      <c r="L244" s="557"/>
      <c r="M244" s="557"/>
      <c r="N244" s="557"/>
      <c r="O244" s="562"/>
      <c r="P244" s="531"/>
      <c r="Q244" s="531"/>
      <c r="R244" s="531"/>
      <c r="S244" s="557"/>
      <c r="T244" s="557"/>
      <c r="U244" s="557"/>
      <c r="V244" s="562"/>
      <c r="W244" s="706"/>
      <c r="X244" s="557"/>
      <c r="Y244" s="557"/>
      <c r="Z244" s="562"/>
      <c r="AA244" s="557"/>
      <c r="AB244" s="557"/>
      <c r="AC244" s="557"/>
      <c r="AD244" s="562"/>
    </row>
    <row r="245" spans="1:30" s="1" customFormat="1" ht="18.75" x14ac:dyDescent="0.3">
      <c r="A245" s="597"/>
      <c r="B245" s="531"/>
      <c r="C245" s="531"/>
      <c r="D245" s="531"/>
      <c r="E245" s="557"/>
      <c r="F245" s="557"/>
      <c r="G245" s="557"/>
      <c r="H245" s="557"/>
      <c r="I245" s="531"/>
      <c r="J245" s="531"/>
      <c r="K245" s="531"/>
      <c r="L245" s="557"/>
      <c r="M245" s="557"/>
      <c r="N245" s="557"/>
      <c r="O245" s="562"/>
      <c r="P245" s="531"/>
      <c r="Q245" s="531"/>
      <c r="R245" s="531"/>
      <c r="S245" s="557"/>
      <c r="T245" s="557"/>
      <c r="U245" s="557"/>
      <c r="V245" s="562"/>
      <c r="W245" s="706"/>
      <c r="X245" s="557"/>
      <c r="Y245" s="557"/>
      <c r="Z245" s="562"/>
      <c r="AA245" s="557"/>
      <c r="AB245" s="557"/>
      <c r="AC245" s="557"/>
      <c r="AD245" s="562"/>
    </row>
    <row r="246" spans="1:30" s="1" customFormat="1" ht="18.75" x14ac:dyDescent="0.3">
      <c r="A246" s="597"/>
      <c r="B246" s="531"/>
      <c r="C246" s="531"/>
      <c r="D246" s="531"/>
      <c r="E246" s="557"/>
      <c r="F246" s="557"/>
      <c r="G246" s="557"/>
      <c r="H246" s="557"/>
      <c r="I246" s="531"/>
      <c r="J246" s="531"/>
      <c r="K246" s="531"/>
      <c r="L246" s="557"/>
      <c r="M246" s="557"/>
      <c r="N246" s="557"/>
      <c r="O246" s="562"/>
      <c r="P246" s="531"/>
      <c r="Q246" s="531"/>
      <c r="R246" s="531"/>
      <c r="S246" s="557"/>
      <c r="T246" s="557"/>
      <c r="U246" s="557"/>
      <c r="V246" s="562"/>
      <c r="W246" s="706"/>
      <c r="X246" s="557"/>
      <c r="Y246" s="557"/>
      <c r="Z246" s="562"/>
      <c r="AA246" s="557"/>
      <c r="AB246" s="557"/>
      <c r="AC246" s="557"/>
      <c r="AD246" s="562"/>
    </row>
    <row r="247" spans="1:30" s="1" customFormat="1" ht="18.75" x14ac:dyDescent="0.3">
      <c r="A247" s="597"/>
      <c r="B247" s="531"/>
      <c r="C247" s="531"/>
      <c r="D247" s="531"/>
      <c r="E247" s="557"/>
      <c r="F247" s="557"/>
      <c r="G247" s="557"/>
      <c r="H247" s="557"/>
      <c r="I247" s="531"/>
      <c r="J247" s="531"/>
      <c r="K247" s="531"/>
      <c r="L247" s="557"/>
      <c r="M247" s="557"/>
      <c r="N247" s="557"/>
      <c r="O247" s="562"/>
      <c r="P247" s="531"/>
      <c r="Q247" s="531"/>
      <c r="R247" s="531"/>
      <c r="S247" s="557"/>
      <c r="T247" s="557"/>
      <c r="U247" s="557"/>
      <c r="V247" s="562"/>
      <c r="W247" s="706"/>
      <c r="X247" s="557"/>
      <c r="Y247" s="557"/>
      <c r="Z247" s="562"/>
      <c r="AA247" s="557"/>
      <c r="AB247" s="557"/>
      <c r="AC247" s="557"/>
      <c r="AD247" s="562"/>
    </row>
    <row r="248" spans="1:30" s="1" customFormat="1" ht="18.75" x14ac:dyDescent="0.3">
      <c r="A248" s="597"/>
      <c r="B248" s="531"/>
      <c r="C248" s="531"/>
      <c r="D248" s="531"/>
      <c r="E248" s="557"/>
      <c r="F248" s="557"/>
      <c r="G248" s="557"/>
      <c r="H248" s="557"/>
      <c r="I248" s="531"/>
      <c r="J248" s="531"/>
      <c r="K248" s="531"/>
      <c r="L248" s="557"/>
      <c r="M248" s="557"/>
      <c r="N248" s="557"/>
      <c r="O248" s="562"/>
      <c r="P248" s="531"/>
      <c r="Q248" s="531"/>
      <c r="R248" s="531"/>
      <c r="S248" s="557"/>
      <c r="T248" s="557"/>
      <c r="U248" s="557"/>
      <c r="V248" s="562"/>
      <c r="W248" s="706"/>
      <c r="X248" s="557"/>
      <c r="Y248" s="557"/>
      <c r="Z248" s="562"/>
      <c r="AA248" s="557"/>
      <c r="AB248" s="557"/>
      <c r="AC248" s="557"/>
      <c r="AD248" s="562"/>
    </row>
    <row r="249" spans="1:30" s="1" customFormat="1" ht="18.75" x14ac:dyDescent="0.3">
      <c r="A249" s="597"/>
      <c r="B249" s="531"/>
      <c r="C249" s="531"/>
      <c r="D249" s="531"/>
      <c r="E249" s="557"/>
      <c r="F249" s="557"/>
      <c r="G249" s="557"/>
      <c r="H249" s="557"/>
      <c r="I249" s="531"/>
      <c r="J249" s="531"/>
      <c r="K249" s="531"/>
      <c r="L249" s="557"/>
      <c r="M249" s="557"/>
      <c r="N249" s="557"/>
      <c r="O249" s="562"/>
      <c r="P249" s="531"/>
      <c r="Q249" s="531"/>
      <c r="R249" s="531"/>
      <c r="S249" s="557"/>
      <c r="T249" s="557"/>
      <c r="U249" s="557"/>
      <c r="V249" s="562"/>
      <c r="W249" s="706"/>
      <c r="X249" s="557"/>
      <c r="Y249" s="557"/>
      <c r="Z249" s="562"/>
      <c r="AA249" s="557"/>
      <c r="AB249" s="557"/>
      <c r="AC249" s="557"/>
      <c r="AD249" s="562"/>
    </row>
    <row r="250" spans="1:30" s="1" customFormat="1" ht="18.75" x14ac:dyDescent="0.3">
      <c r="A250" s="597"/>
      <c r="B250" s="531"/>
      <c r="C250" s="531"/>
      <c r="D250" s="531"/>
      <c r="E250" s="557"/>
      <c r="F250" s="557"/>
      <c r="G250" s="557"/>
      <c r="H250" s="557"/>
      <c r="I250" s="531"/>
      <c r="J250" s="531"/>
      <c r="K250" s="531"/>
      <c r="L250" s="557"/>
      <c r="M250" s="557"/>
      <c r="N250" s="557"/>
      <c r="O250" s="562"/>
      <c r="P250" s="531"/>
      <c r="Q250" s="531"/>
      <c r="R250" s="531"/>
      <c r="S250" s="557"/>
      <c r="T250" s="557"/>
      <c r="U250" s="557"/>
      <c r="V250" s="562"/>
      <c r="W250" s="706"/>
      <c r="X250" s="557"/>
      <c r="Y250" s="557"/>
      <c r="Z250" s="562"/>
      <c r="AA250" s="557"/>
      <c r="AB250" s="557"/>
      <c r="AC250" s="557"/>
      <c r="AD250" s="562"/>
    </row>
    <row r="251" spans="1:30" s="1" customFormat="1" x14ac:dyDescent="0.25">
      <c r="A251" s="597"/>
      <c r="E251" s="523"/>
      <c r="F251" s="523"/>
      <c r="G251" s="523"/>
      <c r="H251" s="523"/>
      <c r="L251" s="523"/>
      <c r="M251" s="523"/>
      <c r="N251" s="523"/>
      <c r="O251" s="571"/>
      <c r="S251" s="523"/>
      <c r="T251" s="523"/>
      <c r="U251" s="523"/>
      <c r="V251" s="571"/>
      <c r="W251" s="709"/>
      <c r="X251" s="523"/>
      <c r="Y251" s="523"/>
      <c r="Z251" s="571"/>
      <c r="AA251" s="523"/>
      <c r="AB251" s="523"/>
      <c r="AC251" s="523"/>
      <c r="AD251" s="571"/>
    </row>
    <row r="252" spans="1:30" s="1" customFormat="1" x14ac:dyDescent="0.25">
      <c r="A252" s="597"/>
      <c r="E252" s="523"/>
      <c r="F252" s="523"/>
      <c r="G252" s="523"/>
      <c r="H252" s="523"/>
      <c r="L252" s="523"/>
      <c r="M252" s="523"/>
      <c r="N252" s="523"/>
      <c r="O252" s="571"/>
      <c r="S252" s="523"/>
      <c r="T252" s="523"/>
      <c r="U252" s="523"/>
      <c r="V252" s="571"/>
      <c r="W252" s="709"/>
      <c r="X252" s="523"/>
      <c r="Y252" s="523"/>
      <c r="Z252" s="571"/>
      <c r="AA252" s="523"/>
      <c r="AB252" s="523"/>
      <c r="AC252" s="523"/>
      <c r="AD252" s="571"/>
    </row>
    <row r="253" spans="1:30" s="1" customFormat="1" x14ac:dyDescent="0.25">
      <c r="A253" s="597"/>
      <c r="E253" s="523"/>
      <c r="F253" s="523"/>
      <c r="G253" s="523"/>
      <c r="H253" s="523"/>
      <c r="L253" s="523"/>
      <c r="M253" s="523"/>
      <c r="N253" s="523"/>
      <c r="O253" s="571"/>
      <c r="S253" s="523"/>
      <c r="T253" s="523"/>
      <c r="U253" s="523"/>
      <c r="V253" s="571"/>
      <c r="W253" s="709"/>
      <c r="X253" s="523"/>
      <c r="Y253" s="523"/>
      <c r="Z253" s="571"/>
      <c r="AA253" s="523"/>
      <c r="AB253" s="523"/>
      <c r="AC253" s="523"/>
      <c r="AD253" s="571"/>
    </row>
    <row r="254" spans="1:30" s="1" customFormat="1" x14ac:dyDescent="0.25">
      <c r="A254" s="597"/>
      <c r="E254" s="523"/>
      <c r="F254" s="523"/>
      <c r="G254" s="523"/>
      <c r="H254" s="523"/>
      <c r="L254" s="523"/>
      <c r="M254" s="523"/>
      <c r="N254" s="523"/>
      <c r="O254" s="571"/>
      <c r="S254" s="523"/>
      <c r="T254" s="523"/>
      <c r="U254" s="523"/>
      <c r="V254" s="571"/>
      <c r="W254" s="709"/>
      <c r="X254" s="523"/>
      <c r="Y254" s="523"/>
      <c r="Z254" s="571"/>
      <c r="AA254" s="523"/>
      <c r="AB254" s="523"/>
      <c r="AC254" s="523"/>
      <c r="AD254" s="571"/>
    </row>
    <row r="255" spans="1:30" s="1" customFormat="1" x14ac:dyDescent="0.25">
      <c r="A255" s="597"/>
      <c r="E255" s="523"/>
      <c r="F255" s="523"/>
      <c r="G255" s="523"/>
      <c r="H255" s="523"/>
      <c r="L255" s="523"/>
      <c r="M255" s="523"/>
      <c r="N255" s="523"/>
      <c r="O255" s="571"/>
      <c r="S255" s="523"/>
      <c r="T255" s="523"/>
      <c r="U255" s="523"/>
      <c r="V255" s="571"/>
      <c r="W255" s="709"/>
      <c r="X255" s="523"/>
      <c r="Y255" s="523"/>
      <c r="Z255" s="571"/>
      <c r="AA255" s="523"/>
      <c r="AB255" s="523"/>
      <c r="AC255" s="523"/>
      <c r="AD255" s="571"/>
    </row>
    <row r="256" spans="1:30" s="1" customFormat="1" x14ac:dyDescent="0.25">
      <c r="A256" s="597"/>
      <c r="E256" s="523"/>
      <c r="F256" s="523"/>
      <c r="G256" s="523"/>
      <c r="H256" s="523"/>
      <c r="L256" s="523"/>
      <c r="M256" s="523"/>
      <c r="N256" s="523"/>
      <c r="O256" s="571"/>
      <c r="S256" s="523"/>
      <c r="T256" s="523"/>
      <c r="U256" s="523"/>
      <c r="V256" s="571"/>
      <c r="W256" s="709"/>
      <c r="X256" s="523"/>
      <c r="Y256" s="523"/>
      <c r="Z256" s="571"/>
      <c r="AA256" s="523"/>
      <c r="AB256" s="523"/>
      <c r="AC256" s="523"/>
      <c r="AD256" s="571"/>
    </row>
    <row r="257" spans="1:23" s="1" customFormat="1" x14ac:dyDescent="0.25">
      <c r="A257" s="597"/>
      <c r="W257" s="2"/>
    </row>
    <row r="258" spans="1:23" s="1" customFormat="1" x14ac:dyDescent="0.25">
      <c r="A258" s="597"/>
      <c r="W258" s="2"/>
    </row>
    <row r="259" spans="1:23" s="1" customFormat="1" x14ac:dyDescent="0.25">
      <c r="A259" s="597"/>
      <c r="W259" s="2"/>
    </row>
    <row r="260" spans="1:23" s="1" customFormat="1" x14ac:dyDescent="0.25">
      <c r="A260" s="597"/>
      <c r="W260" s="2"/>
    </row>
    <row r="261" spans="1:23" s="1" customFormat="1" x14ac:dyDescent="0.25">
      <c r="A261" s="597"/>
      <c r="W261" s="2"/>
    </row>
    <row r="262" spans="1:23" s="1" customFormat="1" x14ac:dyDescent="0.25">
      <c r="A262" s="597"/>
      <c r="W262" s="2"/>
    </row>
    <row r="263" spans="1:23" s="1" customFormat="1" x14ac:dyDescent="0.25">
      <c r="A263" s="597"/>
      <c r="W263" s="2"/>
    </row>
    <row r="264" spans="1:23" s="1" customFormat="1" x14ac:dyDescent="0.25">
      <c r="A264" s="597"/>
      <c r="W264" s="2"/>
    </row>
    <row r="265" spans="1:23" s="1" customFormat="1" x14ac:dyDescent="0.25">
      <c r="A265" s="597"/>
      <c r="W265" s="2"/>
    </row>
    <row r="266" spans="1:23" s="1" customFormat="1" x14ac:dyDescent="0.25">
      <c r="A266" s="597"/>
      <c r="W266" s="2"/>
    </row>
    <row r="267" spans="1:23" s="1" customFormat="1" x14ac:dyDescent="0.25">
      <c r="A267" s="597"/>
      <c r="W267" s="2"/>
    </row>
    <row r="268" spans="1:23" s="1" customFormat="1" x14ac:dyDescent="0.25">
      <c r="A268" s="597"/>
      <c r="W268" s="2"/>
    </row>
    <row r="269" spans="1:23" s="1" customFormat="1" x14ac:dyDescent="0.25">
      <c r="A269" s="597"/>
      <c r="W269" s="2"/>
    </row>
    <row r="270" spans="1:23" s="1" customFormat="1" x14ac:dyDescent="0.25">
      <c r="A270" s="597"/>
      <c r="W270" s="2"/>
    </row>
    <row r="271" spans="1:23" s="1" customFormat="1" x14ac:dyDescent="0.25">
      <c r="A271" s="597"/>
      <c r="W271" s="2"/>
    </row>
    <row r="272" spans="1:23" s="1" customFormat="1" x14ac:dyDescent="0.25">
      <c r="A272" s="597"/>
      <c r="W272" s="2"/>
    </row>
    <row r="273" spans="1:23" s="1" customFormat="1" x14ac:dyDescent="0.25">
      <c r="A273" s="597"/>
      <c r="W273" s="2"/>
    </row>
    <row r="274" spans="1:23" s="1" customFormat="1" x14ac:dyDescent="0.25">
      <c r="A274" s="597"/>
      <c r="W274" s="2"/>
    </row>
    <row r="275" spans="1:23" s="1" customFormat="1" x14ac:dyDescent="0.25">
      <c r="A275" s="597"/>
      <c r="W275" s="2"/>
    </row>
    <row r="276" spans="1:23" s="1" customFormat="1" x14ac:dyDescent="0.25">
      <c r="A276" s="597"/>
      <c r="W276" s="2"/>
    </row>
    <row r="277" spans="1:23" s="1" customFormat="1" x14ac:dyDescent="0.25">
      <c r="A277" s="597"/>
      <c r="W277" s="2"/>
    </row>
    <row r="278" spans="1:23" s="1" customFormat="1" x14ac:dyDescent="0.25">
      <c r="A278" s="597"/>
      <c r="W278" s="2"/>
    </row>
    <row r="279" spans="1:23" s="1" customFormat="1" x14ac:dyDescent="0.25">
      <c r="A279" s="597"/>
      <c r="W279" s="2"/>
    </row>
    <row r="280" spans="1:23" s="1" customFormat="1" x14ac:dyDescent="0.25">
      <c r="A280" s="597"/>
      <c r="W280" s="2"/>
    </row>
    <row r="281" spans="1:23" s="1" customFormat="1" x14ac:dyDescent="0.25">
      <c r="A281" s="597"/>
      <c r="W281" s="2"/>
    </row>
    <row r="282" spans="1:23" s="1" customFormat="1" x14ac:dyDescent="0.25">
      <c r="A282" s="597"/>
      <c r="W282" s="2"/>
    </row>
    <row r="283" spans="1:23" s="1" customFormat="1" x14ac:dyDescent="0.25">
      <c r="A283" s="597"/>
      <c r="W283" s="2"/>
    </row>
    <row r="284" spans="1:23" s="1" customFormat="1" x14ac:dyDescent="0.25">
      <c r="A284" s="597"/>
      <c r="W284" s="2"/>
    </row>
    <row r="285" spans="1:23" s="1" customFormat="1" x14ac:dyDescent="0.25">
      <c r="A285" s="597"/>
      <c r="W285" s="2"/>
    </row>
    <row r="286" spans="1:23" s="1" customFormat="1" x14ac:dyDescent="0.25">
      <c r="A286" s="597"/>
      <c r="W286" s="2"/>
    </row>
    <row r="287" spans="1:23" s="1" customFormat="1" x14ac:dyDescent="0.25">
      <c r="A287" s="597"/>
      <c r="W287" s="2"/>
    </row>
    <row r="288" spans="1:23" s="1" customFormat="1" x14ac:dyDescent="0.25">
      <c r="A288" s="597"/>
      <c r="W288" s="2"/>
    </row>
    <row r="289" spans="1:23" s="1" customFormat="1" x14ac:dyDescent="0.25">
      <c r="A289" s="597"/>
      <c r="W289" s="2"/>
    </row>
    <row r="290" spans="1:23" s="1" customFormat="1" x14ac:dyDescent="0.25">
      <c r="A290" s="597"/>
      <c r="W290" s="2"/>
    </row>
    <row r="291" spans="1:23" s="1" customFormat="1" x14ac:dyDescent="0.25">
      <c r="A291" s="597"/>
      <c r="W291" s="2"/>
    </row>
    <row r="292" spans="1:23" s="1" customFormat="1" x14ac:dyDescent="0.25">
      <c r="A292" s="597"/>
      <c r="W292" s="2"/>
    </row>
    <row r="293" spans="1:23" s="1" customFormat="1" x14ac:dyDescent="0.25">
      <c r="A293" s="597"/>
      <c r="W293" s="2"/>
    </row>
    <row r="294" spans="1:23" s="1" customFormat="1" x14ac:dyDescent="0.25">
      <c r="A294" s="597"/>
      <c r="W294" s="2"/>
    </row>
    <row r="295" spans="1:23" s="1" customFormat="1" x14ac:dyDescent="0.25">
      <c r="A295" s="597"/>
      <c r="W295" s="2"/>
    </row>
    <row r="296" spans="1:23" s="1" customFormat="1" x14ac:dyDescent="0.25">
      <c r="A296" s="597"/>
      <c r="W296" s="2"/>
    </row>
    <row r="297" spans="1:23" s="1" customFormat="1" x14ac:dyDescent="0.25">
      <c r="A297" s="597"/>
      <c r="W297" s="2"/>
    </row>
    <row r="298" spans="1:23" s="1" customFormat="1" x14ac:dyDescent="0.25">
      <c r="A298" s="597"/>
      <c r="W298" s="2"/>
    </row>
    <row r="299" spans="1:23" s="1" customFormat="1" x14ac:dyDescent="0.25">
      <c r="A299" s="597"/>
      <c r="W299" s="2"/>
    </row>
    <row r="300" spans="1:23" s="1" customFormat="1" x14ac:dyDescent="0.25">
      <c r="A300" s="597"/>
      <c r="W300" s="2"/>
    </row>
    <row r="301" spans="1:23" s="1" customFormat="1" x14ac:dyDescent="0.25">
      <c r="A301" s="597"/>
      <c r="W301" s="2"/>
    </row>
    <row r="302" spans="1:23" s="1" customFormat="1" x14ac:dyDescent="0.25">
      <c r="A302" s="597"/>
      <c r="W302" s="2"/>
    </row>
    <row r="303" spans="1:23" s="1" customFormat="1" x14ac:dyDescent="0.25">
      <c r="A303" s="597"/>
      <c r="W303" s="2"/>
    </row>
    <row r="304" spans="1:23" s="1" customFormat="1" x14ac:dyDescent="0.25">
      <c r="A304" s="597"/>
      <c r="W304" s="2"/>
    </row>
    <row r="305" spans="1:23" s="1" customFormat="1" x14ac:dyDescent="0.25">
      <c r="A305" s="597"/>
      <c r="W305" s="2"/>
    </row>
    <row r="306" spans="1:23" s="1" customFormat="1" x14ac:dyDescent="0.25">
      <c r="A306" s="597"/>
      <c r="W306" s="2"/>
    </row>
    <row r="307" spans="1:23" s="1" customFormat="1" x14ac:dyDescent="0.25">
      <c r="A307" s="597"/>
      <c r="W307" s="2"/>
    </row>
    <row r="308" spans="1:23" s="1" customFormat="1" x14ac:dyDescent="0.25">
      <c r="A308" s="597"/>
      <c r="W308" s="2"/>
    </row>
    <row r="309" spans="1:23" s="1" customFormat="1" x14ac:dyDescent="0.25">
      <c r="A309" s="597"/>
      <c r="W309" s="2"/>
    </row>
    <row r="310" spans="1:23" s="1" customFormat="1" x14ac:dyDescent="0.25">
      <c r="A310" s="597"/>
      <c r="W310" s="2"/>
    </row>
    <row r="311" spans="1:23" s="1" customFormat="1" x14ac:dyDescent="0.25">
      <c r="A311" s="597"/>
      <c r="W311" s="2"/>
    </row>
    <row r="312" spans="1:23" s="1" customFormat="1" x14ac:dyDescent="0.25">
      <c r="A312" s="597"/>
      <c r="W312" s="2"/>
    </row>
    <row r="313" spans="1:23" s="1" customFormat="1" x14ac:dyDescent="0.25">
      <c r="A313" s="597"/>
      <c r="W313" s="2"/>
    </row>
    <row r="314" spans="1:23" s="1" customFormat="1" x14ac:dyDescent="0.25">
      <c r="A314" s="597"/>
      <c r="W314" s="2"/>
    </row>
    <row r="315" spans="1:23" s="1" customFormat="1" x14ac:dyDescent="0.25">
      <c r="A315" s="597"/>
      <c r="W315" s="2"/>
    </row>
    <row r="316" spans="1:23" s="1" customFormat="1" x14ac:dyDescent="0.25">
      <c r="A316" s="597"/>
      <c r="W316" s="2"/>
    </row>
    <row r="317" spans="1:23" s="1" customFormat="1" x14ac:dyDescent="0.25">
      <c r="A317" s="597"/>
      <c r="W317" s="2"/>
    </row>
    <row r="318" spans="1:23" s="1" customFormat="1" x14ac:dyDescent="0.25">
      <c r="A318" s="597"/>
      <c r="W318" s="2"/>
    </row>
    <row r="319" spans="1:23" s="1" customFormat="1" x14ac:dyDescent="0.25">
      <c r="A319" s="597"/>
      <c r="W319" s="2"/>
    </row>
    <row r="320" spans="1:23" s="1" customFormat="1" x14ac:dyDescent="0.25">
      <c r="A320" s="597"/>
      <c r="W320" s="2"/>
    </row>
    <row r="321" spans="1:23" s="1" customFormat="1" x14ac:dyDescent="0.25">
      <c r="A321" s="597"/>
      <c r="W321" s="2"/>
    </row>
    <row r="322" spans="1:23" s="1" customFormat="1" x14ac:dyDescent="0.25">
      <c r="A322" s="597"/>
      <c r="W322" s="2"/>
    </row>
    <row r="323" spans="1:23" s="1" customFormat="1" x14ac:dyDescent="0.25">
      <c r="A323" s="597"/>
      <c r="W323" s="2"/>
    </row>
    <row r="324" spans="1:23" s="1" customFormat="1" x14ac:dyDescent="0.25">
      <c r="A324" s="597"/>
      <c r="W324" s="2"/>
    </row>
    <row r="325" spans="1:23" s="1" customFormat="1" x14ac:dyDescent="0.25">
      <c r="A325" s="597"/>
      <c r="W325" s="2"/>
    </row>
    <row r="326" spans="1:23" s="1" customFormat="1" x14ac:dyDescent="0.25">
      <c r="A326" s="597"/>
      <c r="W326" s="2"/>
    </row>
    <row r="327" spans="1:23" s="1" customFormat="1" x14ac:dyDescent="0.25">
      <c r="A327" s="597"/>
      <c r="W327" s="2"/>
    </row>
    <row r="328" spans="1:23" s="1" customFormat="1" x14ac:dyDescent="0.25">
      <c r="A328" s="597"/>
      <c r="W328" s="2"/>
    </row>
    <row r="329" spans="1:23" s="1" customFormat="1" x14ac:dyDescent="0.25">
      <c r="A329" s="597"/>
      <c r="W329" s="2"/>
    </row>
    <row r="330" spans="1:23" s="1" customFormat="1" x14ac:dyDescent="0.25">
      <c r="A330" s="597"/>
      <c r="W330" s="2"/>
    </row>
    <row r="331" spans="1:23" s="1" customFormat="1" x14ac:dyDescent="0.25">
      <c r="A331" s="597"/>
      <c r="W331" s="2"/>
    </row>
    <row r="332" spans="1:23" s="1" customFormat="1" x14ac:dyDescent="0.25">
      <c r="A332" s="597"/>
      <c r="W332" s="2"/>
    </row>
    <row r="333" spans="1:23" s="1" customFormat="1" x14ac:dyDescent="0.25">
      <c r="A333" s="597"/>
      <c r="W333" s="2"/>
    </row>
    <row r="334" spans="1:23" s="1" customFormat="1" x14ac:dyDescent="0.25">
      <c r="A334" s="597"/>
      <c r="W334" s="2"/>
    </row>
    <row r="335" spans="1:23" s="1" customFormat="1" x14ac:dyDescent="0.25">
      <c r="A335" s="597"/>
      <c r="W335" s="2"/>
    </row>
    <row r="336" spans="1:23" s="1" customFormat="1" x14ac:dyDescent="0.25">
      <c r="A336" s="597"/>
      <c r="W336" s="2"/>
    </row>
    <row r="337" spans="1:23" s="1" customFormat="1" x14ac:dyDescent="0.25">
      <c r="A337" s="597"/>
      <c r="W337" s="2"/>
    </row>
    <row r="338" spans="1:23" s="1" customFormat="1" x14ac:dyDescent="0.25">
      <c r="A338" s="597"/>
      <c r="W338" s="2"/>
    </row>
    <row r="339" spans="1:23" s="1" customFormat="1" x14ac:dyDescent="0.25">
      <c r="A339" s="597"/>
      <c r="W339" s="2"/>
    </row>
    <row r="340" spans="1:23" s="1" customFormat="1" x14ac:dyDescent="0.25">
      <c r="A340" s="597"/>
      <c r="W340" s="2"/>
    </row>
    <row r="341" spans="1:23" s="1" customFormat="1" x14ac:dyDescent="0.25">
      <c r="A341" s="597"/>
      <c r="W341" s="2"/>
    </row>
    <row r="342" spans="1:23" s="1" customFormat="1" x14ac:dyDescent="0.25">
      <c r="A342" s="597"/>
      <c r="W342" s="2"/>
    </row>
    <row r="343" spans="1:23" s="1" customFormat="1" x14ac:dyDescent="0.25">
      <c r="A343" s="597"/>
      <c r="W343" s="2"/>
    </row>
    <row r="344" spans="1:23" s="1" customFormat="1" x14ac:dyDescent="0.25">
      <c r="A344" s="597"/>
      <c r="W344" s="2"/>
    </row>
    <row r="345" spans="1:23" s="1" customFormat="1" x14ac:dyDescent="0.25">
      <c r="A345" s="597"/>
      <c r="W345" s="2"/>
    </row>
    <row r="346" spans="1:23" s="1" customFormat="1" x14ac:dyDescent="0.25">
      <c r="A346" s="597"/>
      <c r="W346" s="2"/>
    </row>
    <row r="347" spans="1:23" s="1" customFormat="1" x14ac:dyDescent="0.25">
      <c r="A347" s="597"/>
      <c r="W347" s="2"/>
    </row>
    <row r="348" spans="1:23" s="1" customFormat="1" x14ac:dyDescent="0.25">
      <c r="A348" s="597"/>
      <c r="W348" s="2"/>
    </row>
    <row r="349" spans="1:23" s="1" customFormat="1" x14ac:dyDescent="0.25">
      <c r="A349" s="597"/>
      <c r="W349" s="2"/>
    </row>
    <row r="350" spans="1:23" s="1" customFormat="1" x14ac:dyDescent="0.25">
      <c r="A350" s="597"/>
      <c r="W350" s="2"/>
    </row>
    <row r="351" spans="1:23" s="1" customFormat="1" x14ac:dyDescent="0.25">
      <c r="A351" s="597"/>
      <c r="W351" s="2"/>
    </row>
    <row r="352" spans="1:23" s="1" customFormat="1" x14ac:dyDescent="0.25">
      <c r="A352" s="597"/>
      <c r="W352" s="2"/>
    </row>
    <row r="353" spans="1:23" s="1" customFormat="1" x14ac:dyDescent="0.25">
      <c r="A353" s="597"/>
      <c r="W353" s="2"/>
    </row>
    <row r="354" spans="1:23" s="1" customFormat="1" x14ac:dyDescent="0.25">
      <c r="A354" s="597"/>
      <c r="W354" s="2"/>
    </row>
    <row r="355" spans="1:23" s="1" customFormat="1" x14ac:dyDescent="0.25">
      <c r="A355" s="597"/>
      <c r="W355" s="2"/>
    </row>
    <row r="356" spans="1:23" s="1" customFormat="1" x14ac:dyDescent="0.25">
      <c r="A356" s="597"/>
      <c r="W356" s="2"/>
    </row>
    <row r="357" spans="1:23" s="1" customFormat="1" x14ac:dyDescent="0.25">
      <c r="A357" s="597"/>
      <c r="W357" s="2"/>
    </row>
    <row r="358" spans="1:23" s="1" customFormat="1" x14ac:dyDescent="0.25">
      <c r="A358" s="597"/>
      <c r="W358" s="2"/>
    </row>
    <row r="359" spans="1:23" s="1" customFormat="1" x14ac:dyDescent="0.25">
      <c r="A359" s="597"/>
      <c r="W359" s="2"/>
    </row>
    <row r="360" spans="1:23" s="1" customFormat="1" x14ac:dyDescent="0.25">
      <c r="A360" s="597"/>
      <c r="W360" s="2"/>
    </row>
    <row r="361" spans="1:23" s="1" customFormat="1" x14ac:dyDescent="0.25">
      <c r="A361" s="597"/>
      <c r="W361" s="2"/>
    </row>
    <row r="362" spans="1:23" s="1" customFormat="1" x14ac:dyDescent="0.25">
      <c r="A362" s="597"/>
      <c r="W362" s="2"/>
    </row>
    <row r="363" spans="1:23" s="1" customFormat="1" x14ac:dyDescent="0.25">
      <c r="A363" s="597"/>
      <c r="W363" s="2"/>
    </row>
    <row r="364" spans="1:23" s="1" customFormat="1" x14ac:dyDescent="0.25">
      <c r="A364" s="597"/>
      <c r="W364" s="2"/>
    </row>
    <row r="365" spans="1:23" s="1" customFormat="1" x14ac:dyDescent="0.25">
      <c r="A365" s="597"/>
      <c r="W365" s="2"/>
    </row>
    <row r="366" spans="1:23" s="1" customFormat="1" x14ac:dyDescent="0.25">
      <c r="A366" s="597"/>
      <c r="W366" s="2"/>
    </row>
    <row r="367" spans="1:23" s="1" customFormat="1" x14ac:dyDescent="0.25">
      <c r="A367" s="597"/>
      <c r="W367" s="2"/>
    </row>
    <row r="368" spans="1:23" s="1" customFormat="1" x14ac:dyDescent="0.25">
      <c r="A368" s="597"/>
      <c r="W368" s="2"/>
    </row>
    <row r="369" spans="1:23" s="1" customFormat="1" x14ac:dyDescent="0.25">
      <c r="A369" s="597"/>
      <c r="W369" s="2"/>
    </row>
    <row r="370" spans="1:23" s="1" customFormat="1" x14ac:dyDescent="0.25">
      <c r="A370" s="597"/>
      <c r="W370" s="2"/>
    </row>
    <row r="371" spans="1:23" s="1" customFormat="1" x14ac:dyDescent="0.25">
      <c r="A371" s="597"/>
      <c r="W371" s="2"/>
    </row>
    <row r="372" spans="1:23" s="1" customFormat="1" x14ac:dyDescent="0.25">
      <c r="A372" s="597"/>
      <c r="W372" s="2"/>
    </row>
    <row r="373" spans="1:23" s="1" customFormat="1" x14ac:dyDescent="0.25">
      <c r="A373" s="597"/>
      <c r="W373" s="2"/>
    </row>
    <row r="374" spans="1:23" s="1" customFormat="1" x14ac:dyDescent="0.25">
      <c r="A374" s="597"/>
      <c r="W374" s="2"/>
    </row>
    <row r="375" spans="1:23" s="1" customFormat="1" x14ac:dyDescent="0.25">
      <c r="A375" s="597"/>
      <c r="W375" s="2"/>
    </row>
    <row r="376" spans="1:23" s="1" customFormat="1" x14ac:dyDescent="0.25">
      <c r="A376" s="597"/>
      <c r="W376" s="2"/>
    </row>
    <row r="377" spans="1:23" s="1" customFormat="1" x14ac:dyDescent="0.25">
      <c r="A377" s="597"/>
      <c r="W377" s="2"/>
    </row>
    <row r="378" spans="1:23" s="1" customFormat="1" x14ac:dyDescent="0.25">
      <c r="A378" s="597"/>
      <c r="W378" s="2"/>
    </row>
    <row r="379" spans="1:23" s="1" customFormat="1" x14ac:dyDescent="0.25">
      <c r="A379" s="597"/>
      <c r="W379" s="2"/>
    </row>
    <row r="380" spans="1:23" s="1" customFormat="1" x14ac:dyDescent="0.25">
      <c r="A380" s="597"/>
      <c r="W380" s="2"/>
    </row>
    <row r="381" spans="1:23" s="1" customFormat="1" x14ac:dyDescent="0.25">
      <c r="A381" s="597"/>
      <c r="W381" s="2"/>
    </row>
    <row r="382" spans="1:23" s="1" customFormat="1" x14ac:dyDescent="0.25">
      <c r="A382" s="597"/>
      <c r="W382" s="2"/>
    </row>
    <row r="383" spans="1:23" s="1" customFormat="1" x14ac:dyDescent="0.25">
      <c r="A383" s="597"/>
      <c r="W383" s="2"/>
    </row>
    <row r="384" spans="1:23" s="1" customFormat="1" x14ac:dyDescent="0.25">
      <c r="A384" s="597"/>
      <c r="W384" s="2"/>
    </row>
    <row r="385" spans="1:23" s="1" customFormat="1" x14ac:dyDescent="0.25">
      <c r="A385" s="597"/>
      <c r="W385" s="2"/>
    </row>
    <row r="386" spans="1:23" s="1" customFormat="1" x14ac:dyDescent="0.25">
      <c r="A386" s="597"/>
      <c r="W386" s="2"/>
    </row>
    <row r="387" spans="1:23" s="1" customFormat="1" x14ac:dyDescent="0.25">
      <c r="A387" s="597"/>
      <c r="W387" s="2"/>
    </row>
    <row r="388" spans="1:23" s="1" customFormat="1" x14ac:dyDescent="0.25">
      <c r="A388" s="597"/>
      <c r="W388" s="2"/>
    </row>
    <row r="389" spans="1:23" s="1" customFormat="1" x14ac:dyDescent="0.25">
      <c r="A389" s="597"/>
      <c r="W389" s="2"/>
    </row>
    <row r="390" spans="1:23" s="1" customFormat="1" x14ac:dyDescent="0.25">
      <c r="A390" s="597"/>
      <c r="W390" s="2"/>
    </row>
    <row r="391" spans="1:23" s="1" customFormat="1" x14ac:dyDescent="0.25">
      <c r="A391" s="597"/>
      <c r="W391" s="2"/>
    </row>
    <row r="392" spans="1:23" s="1" customFormat="1" x14ac:dyDescent="0.25">
      <c r="A392" s="597"/>
      <c r="W392" s="2"/>
    </row>
    <row r="393" spans="1:23" s="1" customFormat="1" x14ac:dyDescent="0.25">
      <c r="A393" s="597"/>
      <c r="W393" s="2"/>
    </row>
    <row r="394" spans="1:23" s="1" customFormat="1" x14ac:dyDescent="0.25">
      <c r="A394" s="597"/>
      <c r="W394" s="2"/>
    </row>
    <row r="395" spans="1:23" s="1" customFormat="1" x14ac:dyDescent="0.25">
      <c r="A395" s="597"/>
      <c r="W395" s="2"/>
    </row>
    <row r="396" spans="1:23" s="1" customFormat="1" x14ac:dyDescent="0.25">
      <c r="A396" s="597"/>
      <c r="W396" s="2"/>
    </row>
    <row r="397" spans="1:23" s="1" customFormat="1" x14ac:dyDescent="0.25">
      <c r="A397" s="597"/>
      <c r="W397" s="2"/>
    </row>
    <row r="398" spans="1:23" s="1" customFormat="1" x14ac:dyDescent="0.25">
      <c r="A398" s="597"/>
      <c r="W398" s="2"/>
    </row>
    <row r="399" spans="1:23" s="1" customFormat="1" x14ac:dyDescent="0.25">
      <c r="A399" s="597"/>
      <c r="W399" s="2"/>
    </row>
    <row r="400" spans="1:23" s="1" customFormat="1" x14ac:dyDescent="0.25">
      <c r="A400" s="597"/>
      <c r="W400" s="2"/>
    </row>
    <row r="401" spans="1:23" s="1" customFormat="1" x14ac:dyDescent="0.25">
      <c r="A401" s="597"/>
      <c r="W401" s="2"/>
    </row>
    <row r="402" spans="1:23" s="1" customFormat="1" x14ac:dyDescent="0.25">
      <c r="A402" s="597"/>
      <c r="W402" s="2"/>
    </row>
    <row r="403" spans="1:23" s="1" customFormat="1" x14ac:dyDescent="0.25">
      <c r="A403" s="597"/>
      <c r="W403" s="2"/>
    </row>
    <row r="404" spans="1:23" s="1" customFormat="1" x14ac:dyDescent="0.25">
      <c r="A404" s="597"/>
      <c r="W404" s="2"/>
    </row>
    <row r="405" spans="1:23" s="1" customFormat="1" x14ac:dyDescent="0.25">
      <c r="A405" s="597"/>
      <c r="W405" s="2"/>
    </row>
    <row r="406" spans="1:23" s="1" customFormat="1" x14ac:dyDescent="0.25">
      <c r="A406" s="597"/>
      <c r="W406" s="2"/>
    </row>
    <row r="407" spans="1:23" s="1" customFormat="1" x14ac:dyDescent="0.25">
      <c r="A407" s="597"/>
      <c r="W407" s="2"/>
    </row>
    <row r="408" spans="1:23" s="1" customFormat="1" x14ac:dyDescent="0.25">
      <c r="A408" s="597"/>
      <c r="W408" s="2"/>
    </row>
    <row r="409" spans="1:23" s="1" customFormat="1" x14ac:dyDescent="0.25">
      <c r="A409" s="597"/>
      <c r="W409" s="2"/>
    </row>
    <row r="410" spans="1:23" s="1" customFormat="1" x14ac:dyDescent="0.25">
      <c r="A410" s="597"/>
      <c r="W410" s="2"/>
    </row>
    <row r="411" spans="1:23" s="1" customFormat="1" x14ac:dyDescent="0.25">
      <c r="A411" s="597"/>
      <c r="W411" s="2"/>
    </row>
    <row r="412" spans="1:23" s="1" customFormat="1" x14ac:dyDescent="0.25">
      <c r="A412" s="597"/>
      <c r="W412" s="2"/>
    </row>
    <row r="413" spans="1:23" s="1" customFormat="1" x14ac:dyDescent="0.25">
      <c r="A413" s="597"/>
      <c r="W413" s="2"/>
    </row>
    <row r="414" spans="1:23" s="1" customFormat="1" x14ac:dyDescent="0.25">
      <c r="A414" s="597"/>
      <c r="W414" s="2"/>
    </row>
    <row r="415" spans="1:23" s="1" customFormat="1" x14ac:dyDescent="0.25">
      <c r="A415" s="597"/>
      <c r="W415" s="2"/>
    </row>
    <row r="416" spans="1:23" s="1" customFormat="1" x14ac:dyDescent="0.25">
      <c r="A416" s="597"/>
      <c r="W416" s="2"/>
    </row>
    <row r="417" spans="1:23" s="1" customFormat="1" x14ac:dyDescent="0.25">
      <c r="A417" s="597"/>
      <c r="W417" s="2"/>
    </row>
    <row r="418" spans="1:23" s="1" customFormat="1" x14ac:dyDescent="0.25">
      <c r="A418" s="597"/>
      <c r="W418" s="2"/>
    </row>
    <row r="419" spans="1:23" s="1" customFormat="1" x14ac:dyDescent="0.25">
      <c r="A419" s="597"/>
      <c r="W419" s="2"/>
    </row>
    <row r="420" spans="1:23" s="1" customFormat="1" x14ac:dyDescent="0.25">
      <c r="A420" s="597"/>
      <c r="W420" s="2"/>
    </row>
    <row r="421" spans="1:23" s="1" customFormat="1" x14ac:dyDescent="0.25">
      <c r="A421" s="597"/>
      <c r="W421" s="2"/>
    </row>
    <row r="422" spans="1:23" s="1" customFormat="1" x14ac:dyDescent="0.25">
      <c r="A422" s="597"/>
      <c r="W422" s="2"/>
    </row>
    <row r="423" spans="1:23" s="1" customFormat="1" x14ac:dyDescent="0.25">
      <c r="A423" s="597"/>
      <c r="W423" s="2"/>
    </row>
    <row r="424" spans="1:23" s="1" customFormat="1" x14ac:dyDescent="0.25">
      <c r="A424" s="597"/>
      <c r="W424" s="2"/>
    </row>
    <row r="425" spans="1:23" s="1" customFormat="1" x14ac:dyDescent="0.25">
      <c r="A425" s="597"/>
      <c r="W425" s="2"/>
    </row>
    <row r="426" spans="1:23" s="1" customFormat="1" x14ac:dyDescent="0.25">
      <c r="A426" s="597"/>
      <c r="W426" s="2"/>
    </row>
    <row r="427" spans="1:23" s="1" customFormat="1" x14ac:dyDescent="0.25">
      <c r="A427" s="597"/>
      <c r="W427" s="2"/>
    </row>
    <row r="428" spans="1:23" s="1" customFormat="1" x14ac:dyDescent="0.25">
      <c r="A428" s="597"/>
      <c r="W428" s="2"/>
    </row>
    <row r="429" spans="1:23" s="1" customFormat="1" x14ac:dyDescent="0.25">
      <c r="A429" s="597"/>
      <c r="W429" s="2"/>
    </row>
    <row r="430" spans="1:23" s="1" customFormat="1" x14ac:dyDescent="0.25">
      <c r="A430" s="597"/>
      <c r="W430" s="2"/>
    </row>
    <row r="431" spans="1:23" s="1" customFormat="1" x14ac:dyDescent="0.25">
      <c r="A431" s="597"/>
      <c r="W431" s="2"/>
    </row>
    <row r="432" spans="1:23" s="1" customFormat="1" x14ac:dyDescent="0.25">
      <c r="A432" s="597"/>
      <c r="W432" s="2"/>
    </row>
    <row r="433" spans="1:23" s="1" customFormat="1" x14ac:dyDescent="0.25">
      <c r="A433" s="597"/>
      <c r="W433" s="2"/>
    </row>
    <row r="434" spans="1:23" s="1" customFormat="1" x14ac:dyDescent="0.25">
      <c r="A434" s="597"/>
      <c r="W434" s="2"/>
    </row>
    <row r="435" spans="1:23" s="1" customFormat="1" x14ac:dyDescent="0.25">
      <c r="A435" s="597"/>
      <c r="W435" s="2"/>
    </row>
    <row r="436" spans="1:23" s="1" customFormat="1" x14ac:dyDescent="0.25">
      <c r="A436" s="597"/>
      <c r="W436" s="2"/>
    </row>
    <row r="437" spans="1:23" s="1" customFormat="1" x14ac:dyDescent="0.25">
      <c r="A437" s="597"/>
      <c r="W437" s="2"/>
    </row>
    <row r="438" spans="1:23" s="1" customFormat="1" x14ac:dyDescent="0.25">
      <c r="A438" s="597"/>
      <c r="W438" s="2"/>
    </row>
    <row r="439" spans="1:23" s="1" customFormat="1" x14ac:dyDescent="0.25">
      <c r="A439" s="597"/>
      <c r="W439" s="2"/>
    </row>
    <row r="440" spans="1:23" s="1" customFormat="1" x14ac:dyDescent="0.25">
      <c r="A440" s="597"/>
      <c r="W440" s="2"/>
    </row>
    <row r="441" spans="1:23" s="1" customFormat="1" x14ac:dyDescent="0.25">
      <c r="A441" s="597"/>
      <c r="W441" s="2"/>
    </row>
    <row r="442" spans="1:23" s="1" customFormat="1" x14ac:dyDescent="0.25">
      <c r="A442" s="597"/>
      <c r="W442" s="2"/>
    </row>
    <row r="443" spans="1:23" s="1" customFormat="1" x14ac:dyDescent="0.25">
      <c r="A443" s="597"/>
      <c r="W443" s="2"/>
    </row>
    <row r="444" spans="1:23" s="1" customFormat="1" x14ac:dyDescent="0.25">
      <c r="A444" s="597"/>
      <c r="W444" s="2"/>
    </row>
    <row r="445" spans="1:23" s="1" customFormat="1" x14ac:dyDescent="0.25">
      <c r="A445" s="597"/>
      <c r="W445" s="2"/>
    </row>
    <row r="446" spans="1:23" s="1" customFormat="1" x14ac:dyDescent="0.25">
      <c r="A446" s="597"/>
      <c r="W446" s="2"/>
    </row>
    <row r="447" spans="1:23" s="1" customFormat="1" x14ac:dyDescent="0.25">
      <c r="A447" s="597"/>
      <c r="W447" s="2"/>
    </row>
    <row r="448" spans="1:23" s="1" customFormat="1" x14ac:dyDescent="0.25">
      <c r="A448" s="597"/>
      <c r="W448" s="2"/>
    </row>
    <row r="449" spans="1:23" s="1" customFormat="1" x14ac:dyDescent="0.25">
      <c r="A449" s="597"/>
      <c r="W449" s="2"/>
    </row>
    <row r="450" spans="1:23" s="1" customFormat="1" x14ac:dyDescent="0.25">
      <c r="A450" s="597"/>
      <c r="W450" s="2"/>
    </row>
    <row r="451" spans="1:23" s="1" customFormat="1" x14ac:dyDescent="0.25">
      <c r="A451" s="597"/>
      <c r="W451" s="2"/>
    </row>
    <row r="452" spans="1:23" s="1" customFormat="1" x14ac:dyDescent="0.25">
      <c r="A452" s="597"/>
      <c r="W452" s="2"/>
    </row>
    <row r="453" spans="1:23" s="1" customFormat="1" x14ac:dyDescent="0.25">
      <c r="A453" s="597"/>
      <c r="W453" s="2"/>
    </row>
    <row r="454" spans="1:23" s="1" customFormat="1" x14ac:dyDescent="0.25">
      <c r="A454" s="597"/>
      <c r="W454" s="2"/>
    </row>
    <row r="455" spans="1:23" s="1" customFormat="1" x14ac:dyDescent="0.25">
      <c r="A455" s="597"/>
      <c r="W455" s="2"/>
    </row>
    <row r="456" spans="1:23" s="1" customFormat="1" x14ac:dyDescent="0.25">
      <c r="A456" s="597"/>
      <c r="W456" s="2"/>
    </row>
    <row r="457" spans="1:23" s="1" customFormat="1" x14ac:dyDescent="0.25">
      <c r="A457" s="597"/>
      <c r="W457" s="2"/>
    </row>
    <row r="458" spans="1:23" s="1" customFormat="1" x14ac:dyDescent="0.25">
      <c r="A458" s="597"/>
      <c r="W458" s="2"/>
    </row>
    <row r="459" spans="1:23" s="1" customFormat="1" x14ac:dyDescent="0.25">
      <c r="A459" s="597"/>
      <c r="W459" s="2"/>
    </row>
    <row r="460" spans="1:23" s="1" customFormat="1" x14ac:dyDescent="0.25">
      <c r="A460" s="597"/>
      <c r="W460" s="2"/>
    </row>
    <row r="461" spans="1:23" s="1" customFormat="1" x14ac:dyDescent="0.25">
      <c r="A461" s="597"/>
      <c r="W461" s="2"/>
    </row>
    <row r="462" spans="1:23" s="1" customFormat="1" x14ac:dyDescent="0.25">
      <c r="A462" s="597"/>
      <c r="W462" s="2"/>
    </row>
    <row r="463" spans="1:23" s="1" customFormat="1" x14ac:dyDescent="0.25">
      <c r="A463" s="597"/>
      <c r="W463" s="2"/>
    </row>
    <row r="464" spans="1:23" s="1" customFormat="1" x14ac:dyDescent="0.25">
      <c r="A464" s="597"/>
      <c r="W464" s="2"/>
    </row>
    <row r="465" spans="1:23" s="1" customFormat="1" x14ac:dyDescent="0.25">
      <c r="A465" s="597"/>
      <c r="W465" s="2"/>
    </row>
    <row r="466" spans="1:23" s="1" customFormat="1" x14ac:dyDescent="0.25">
      <c r="A466" s="597"/>
      <c r="W466" s="2"/>
    </row>
    <row r="467" spans="1:23" s="1" customFormat="1" x14ac:dyDescent="0.25">
      <c r="A467" s="597"/>
      <c r="W467" s="2"/>
    </row>
    <row r="468" spans="1:23" s="1" customFormat="1" x14ac:dyDescent="0.25">
      <c r="A468" s="597"/>
      <c r="W468" s="2"/>
    </row>
    <row r="469" spans="1:23" s="1" customFormat="1" x14ac:dyDescent="0.25">
      <c r="A469" s="597"/>
      <c r="W469" s="2"/>
    </row>
    <row r="470" spans="1:23" s="1" customFormat="1" x14ac:dyDescent="0.25">
      <c r="A470" s="597"/>
      <c r="W470" s="2"/>
    </row>
    <row r="471" spans="1:23" s="1" customFormat="1" x14ac:dyDescent="0.25">
      <c r="A471" s="597"/>
      <c r="W471" s="2"/>
    </row>
    <row r="472" spans="1:23" s="1" customFormat="1" x14ac:dyDescent="0.25">
      <c r="A472" s="597"/>
      <c r="W472" s="2"/>
    </row>
    <row r="473" spans="1:23" s="1" customFormat="1" x14ac:dyDescent="0.25">
      <c r="A473" s="597"/>
      <c r="W473" s="2"/>
    </row>
    <row r="474" spans="1:23" s="1" customFormat="1" x14ac:dyDescent="0.25">
      <c r="A474" s="597"/>
      <c r="W474" s="2"/>
    </row>
    <row r="475" spans="1:23" s="1" customFormat="1" x14ac:dyDescent="0.25">
      <c r="A475" s="597"/>
      <c r="W475" s="2"/>
    </row>
    <row r="476" spans="1:23" s="1" customFormat="1" x14ac:dyDescent="0.25">
      <c r="A476" s="597"/>
      <c r="W476" s="2"/>
    </row>
    <row r="477" spans="1:23" s="1" customFormat="1" x14ac:dyDescent="0.25">
      <c r="A477" s="597"/>
      <c r="W477" s="2"/>
    </row>
    <row r="478" spans="1:23" s="1" customFormat="1" x14ac:dyDescent="0.25">
      <c r="A478" s="597"/>
      <c r="W478" s="2"/>
    </row>
    <row r="479" spans="1:23" s="1" customFormat="1" x14ac:dyDescent="0.25">
      <c r="A479" s="597"/>
      <c r="W479" s="2"/>
    </row>
    <row r="480" spans="1:23" s="1" customFormat="1" x14ac:dyDescent="0.25">
      <c r="A480" s="597"/>
      <c r="W480" s="2"/>
    </row>
    <row r="481" spans="1:23" s="1" customFormat="1" x14ac:dyDescent="0.25">
      <c r="A481" s="597"/>
      <c r="W481" s="2"/>
    </row>
    <row r="482" spans="1:23" s="1" customFormat="1" x14ac:dyDescent="0.25">
      <c r="A482" s="597"/>
      <c r="W482" s="2"/>
    </row>
    <row r="483" spans="1:23" s="1" customFormat="1" x14ac:dyDescent="0.25">
      <c r="A483" s="597"/>
      <c r="W483" s="2"/>
    </row>
    <row r="484" spans="1:23" s="1" customFormat="1" x14ac:dyDescent="0.25">
      <c r="A484" s="597"/>
      <c r="W484" s="2"/>
    </row>
    <row r="485" spans="1:23" s="1" customFormat="1" x14ac:dyDescent="0.25">
      <c r="A485" s="597"/>
      <c r="W485" s="2"/>
    </row>
    <row r="486" spans="1:23" s="1" customFormat="1" x14ac:dyDescent="0.25">
      <c r="A486" s="597"/>
      <c r="W486" s="2"/>
    </row>
    <row r="487" spans="1:23" s="1" customFormat="1" x14ac:dyDescent="0.25">
      <c r="A487" s="597"/>
      <c r="W487" s="2"/>
    </row>
    <row r="488" spans="1:23" s="1" customFormat="1" x14ac:dyDescent="0.25">
      <c r="A488" s="597"/>
      <c r="W488" s="2"/>
    </row>
    <row r="489" spans="1:23" s="1" customFormat="1" x14ac:dyDescent="0.25">
      <c r="A489" s="597"/>
      <c r="W489" s="2"/>
    </row>
    <row r="490" spans="1:23" s="1" customFormat="1" x14ac:dyDescent="0.25">
      <c r="A490" s="597"/>
      <c r="W490" s="2"/>
    </row>
    <row r="491" spans="1:23" s="1" customFormat="1" x14ac:dyDescent="0.25">
      <c r="A491" s="597"/>
      <c r="W491" s="2"/>
    </row>
    <row r="492" spans="1:23" s="1" customFormat="1" x14ac:dyDescent="0.25">
      <c r="A492" s="597"/>
      <c r="W492" s="2"/>
    </row>
    <row r="493" spans="1:23" s="1" customFormat="1" x14ac:dyDescent="0.25">
      <c r="A493" s="597"/>
      <c r="W493" s="2"/>
    </row>
    <row r="494" spans="1:23" s="1" customFormat="1" x14ac:dyDescent="0.25">
      <c r="A494" s="597"/>
      <c r="W494" s="2"/>
    </row>
    <row r="495" spans="1:23" s="1" customFormat="1" x14ac:dyDescent="0.25">
      <c r="A495" s="597"/>
      <c r="W495" s="2"/>
    </row>
    <row r="496" spans="1:23" s="1" customFormat="1" x14ac:dyDescent="0.25">
      <c r="A496" s="597"/>
      <c r="W496" s="2"/>
    </row>
    <row r="497" spans="1:23" s="1" customFormat="1" x14ac:dyDescent="0.25">
      <c r="A497" s="597"/>
      <c r="W497" s="2"/>
    </row>
    <row r="498" spans="1:23" s="1" customFormat="1" x14ac:dyDescent="0.25">
      <c r="A498" s="597"/>
      <c r="W498" s="2"/>
    </row>
    <row r="499" spans="1:23" s="1" customFormat="1" x14ac:dyDescent="0.25">
      <c r="A499" s="597"/>
      <c r="W499" s="2"/>
    </row>
    <row r="500" spans="1:23" s="1" customFormat="1" x14ac:dyDescent="0.25">
      <c r="A500" s="597"/>
      <c r="W500" s="2"/>
    </row>
    <row r="501" spans="1:23" s="1" customFormat="1" x14ac:dyDescent="0.25">
      <c r="A501" s="597"/>
      <c r="W501" s="2"/>
    </row>
    <row r="502" spans="1:23" s="1" customFormat="1" x14ac:dyDescent="0.25">
      <c r="A502" s="597"/>
      <c r="W502" s="2"/>
    </row>
    <row r="503" spans="1:23" s="1" customFormat="1" x14ac:dyDescent="0.25">
      <c r="A503" s="597"/>
      <c r="W503" s="2"/>
    </row>
    <row r="504" spans="1:23" s="1" customFormat="1" x14ac:dyDescent="0.25">
      <c r="A504" s="597"/>
      <c r="W504" s="2"/>
    </row>
    <row r="505" spans="1:23" s="1" customFormat="1" x14ac:dyDescent="0.25">
      <c r="A505" s="597"/>
      <c r="W505" s="2"/>
    </row>
    <row r="506" spans="1:23" s="1" customFormat="1" x14ac:dyDescent="0.25">
      <c r="A506" s="597"/>
      <c r="W506" s="2"/>
    </row>
    <row r="507" spans="1:23" s="1" customFormat="1" x14ac:dyDescent="0.25">
      <c r="A507" s="597"/>
      <c r="W507" s="2"/>
    </row>
    <row r="508" spans="1:23" s="1" customFormat="1" x14ac:dyDescent="0.25">
      <c r="A508" s="597"/>
      <c r="W508" s="2"/>
    </row>
    <row r="509" spans="1:23" s="1" customFormat="1" x14ac:dyDescent="0.25">
      <c r="A509" s="597"/>
      <c r="W509" s="2"/>
    </row>
    <row r="510" spans="1:23" s="1" customFormat="1" x14ac:dyDescent="0.25">
      <c r="A510" s="597"/>
      <c r="W510" s="2"/>
    </row>
    <row r="511" spans="1:23" s="1" customFormat="1" x14ac:dyDescent="0.25">
      <c r="A511" s="597"/>
      <c r="W511" s="2"/>
    </row>
    <row r="512" spans="1:23" s="1" customFormat="1" x14ac:dyDescent="0.25">
      <c r="A512" s="597"/>
      <c r="W512" s="2"/>
    </row>
    <row r="513" spans="1:23" s="1" customFormat="1" x14ac:dyDescent="0.25">
      <c r="A513" s="597"/>
      <c r="W513" s="2"/>
    </row>
    <row r="514" spans="1:23" s="1" customFormat="1" x14ac:dyDescent="0.25">
      <c r="A514" s="597"/>
      <c r="W514" s="2"/>
    </row>
    <row r="515" spans="1:23" s="1" customFormat="1" x14ac:dyDescent="0.25">
      <c r="A515" s="597"/>
      <c r="W515" s="2"/>
    </row>
    <row r="516" spans="1:23" s="1" customFormat="1" x14ac:dyDescent="0.25">
      <c r="A516" s="597"/>
      <c r="W516" s="2"/>
    </row>
    <row r="517" spans="1:23" s="1" customFormat="1" x14ac:dyDescent="0.25">
      <c r="A517" s="597"/>
      <c r="W517" s="2"/>
    </row>
    <row r="518" spans="1:23" s="1" customFormat="1" x14ac:dyDescent="0.25">
      <c r="A518" s="597"/>
      <c r="W518" s="2"/>
    </row>
    <row r="519" spans="1:23" s="1" customFormat="1" x14ac:dyDescent="0.25">
      <c r="A519" s="597"/>
      <c r="W519" s="2"/>
    </row>
    <row r="520" spans="1:23" s="1" customFormat="1" x14ac:dyDescent="0.25">
      <c r="A520" s="597"/>
      <c r="W520" s="2"/>
    </row>
    <row r="521" spans="1:23" s="1" customFormat="1" x14ac:dyDescent="0.25">
      <c r="A521" s="597"/>
      <c r="W521" s="2"/>
    </row>
    <row r="522" spans="1:23" s="1" customFormat="1" x14ac:dyDescent="0.25">
      <c r="A522" s="597"/>
      <c r="W522" s="2"/>
    </row>
    <row r="523" spans="1:23" s="1" customFormat="1" x14ac:dyDescent="0.25">
      <c r="A523" s="597"/>
      <c r="W523" s="2"/>
    </row>
    <row r="524" spans="1:23" s="1" customFormat="1" x14ac:dyDescent="0.25">
      <c r="A524" s="597"/>
      <c r="W524" s="2"/>
    </row>
    <row r="525" spans="1:23" s="1" customFormat="1" x14ac:dyDescent="0.25">
      <c r="A525" s="597"/>
      <c r="W525" s="2"/>
    </row>
    <row r="526" spans="1:23" s="1" customFormat="1" x14ac:dyDescent="0.25">
      <c r="A526" s="597"/>
      <c r="W526" s="2"/>
    </row>
    <row r="527" spans="1:23" s="1" customFormat="1" x14ac:dyDescent="0.25">
      <c r="A527" s="597"/>
      <c r="W527" s="2"/>
    </row>
    <row r="528" spans="1:23" s="1" customFormat="1" x14ac:dyDescent="0.25">
      <c r="A528" s="597"/>
      <c r="W528" s="2"/>
    </row>
    <row r="529" spans="1:23" s="1" customFormat="1" x14ac:dyDescent="0.25">
      <c r="A529" s="597"/>
      <c r="W529" s="2"/>
    </row>
    <row r="530" spans="1:23" s="1" customFormat="1" x14ac:dyDescent="0.25">
      <c r="A530" s="597"/>
      <c r="W530" s="2"/>
    </row>
    <row r="531" spans="1:23" s="1" customFormat="1" x14ac:dyDescent="0.25">
      <c r="A531" s="597"/>
      <c r="W531" s="2"/>
    </row>
    <row r="532" spans="1:23" s="1" customFormat="1" x14ac:dyDescent="0.25">
      <c r="A532" s="597"/>
      <c r="W532" s="2"/>
    </row>
    <row r="533" spans="1:23" s="1" customFormat="1" x14ac:dyDescent="0.25">
      <c r="A533" s="597"/>
      <c r="W533" s="2"/>
    </row>
    <row r="534" spans="1:23" s="1" customFormat="1" x14ac:dyDescent="0.25">
      <c r="A534" s="597"/>
      <c r="W534" s="2"/>
    </row>
    <row r="535" spans="1:23" s="1" customFormat="1" x14ac:dyDescent="0.25">
      <c r="A535" s="597"/>
      <c r="W535" s="2"/>
    </row>
    <row r="536" spans="1:23" s="1" customFormat="1" x14ac:dyDescent="0.25">
      <c r="A536" s="597"/>
      <c r="W536" s="2"/>
    </row>
    <row r="537" spans="1:23" s="1" customFormat="1" x14ac:dyDescent="0.25">
      <c r="A537" s="597"/>
      <c r="W537" s="2"/>
    </row>
    <row r="538" spans="1:23" s="1" customFormat="1" x14ac:dyDescent="0.25">
      <c r="A538" s="597"/>
      <c r="W538" s="2"/>
    </row>
    <row r="539" spans="1:23" s="1" customFormat="1" x14ac:dyDescent="0.25">
      <c r="A539" s="597"/>
      <c r="W539" s="2"/>
    </row>
    <row r="540" spans="1:23" s="1" customFormat="1" x14ac:dyDescent="0.25">
      <c r="A540" s="597"/>
      <c r="W540" s="2"/>
    </row>
    <row r="541" spans="1:23" s="1" customFormat="1" x14ac:dyDescent="0.25">
      <c r="A541" s="597"/>
      <c r="W541" s="2"/>
    </row>
    <row r="542" spans="1:23" s="1" customFormat="1" x14ac:dyDescent="0.25">
      <c r="A542" s="597"/>
      <c r="W542" s="2"/>
    </row>
    <row r="543" spans="1:23" s="1" customFormat="1" x14ac:dyDescent="0.25">
      <c r="A543" s="597"/>
      <c r="W543" s="2"/>
    </row>
    <row r="544" spans="1:23" s="1" customFormat="1" x14ac:dyDescent="0.25">
      <c r="A544" s="597"/>
      <c r="W544" s="2"/>
    </row>
    <row r="545" spans="1:23" s="1" customFormat="1" x14ac:dyDescent="0.25">
      <c r="A545" s="597"/>
      <c r="W545" s="2"/>
    </row>
    <row r="546" spans="1:23" s="1" customFormat="1" x14ac:dyDescent="0.25">
      <c r="A546" s="597"/>
      <c r="W546" s="2"/>
    </row>
    <row r="547" spans="1:23" s="1" customFormat="1" x14ac:dyDescent="0.25">
      <c r="A547" s="597"/>
      <c r="W547" s="2"/>
    </row>
    <row r="548" spans="1:23" s="1" customFormat="1" x14ac:dyDescent="0.25">
      <c r="A548" s="597"/>
      <c r="W548" s="2"/>
    </row>
    <row r="549" spans="1:23" s="1" customFormat="1" x14ac:dyDescent="0.25">
      <c r="A549" s="597"/>
      <c r="W549" s="2"/>
    </row>
    <row r="550" spans="1:23" s="1" customFormat="1" x14ac:dyDescent="0.25">
      <c r="A550" s="597"/>
      <c r="W550" s="2"/>
    </row>
    <row r="551" spans="1:23" s="1" customFormat="1" x14ac:dyDescent="0.25">
      <c r="A551" s="597"/>
      <c r="W551" s="2"/>
    </row>
    <row r="552" spans="1:23" s="1" customFormat="1" x14ac:dyDescent="0.25">
      <c r="A552" s="597"/>
      <c r="W552" s="2"/>
    </row>
    <row r="553" spans="1:23" s="1" customFormat="1" x14ac:dyDescent="0.25">
      <c r="A553" s="597"/>
      <c r="W553" s="2"/>
    </row>
    <row r="554" spans="1:23" s="1" customFormat="1" x14ac:dyDescent="0.25">
      <c r="A554" s="597"/>
      <c r="W554" s="2"/>
    </row>
    <row r="555" spans="1:23" s="1" customFormat="1" x14ac:dyDescent="0.25">
      <c r="A555" s="597"/>
      <c r="W555" s="2"/>
    </row>
    <row r="556" spans="1:23" s="1" customFormat="1" x14ac:dyDescent="0.25">
      <c r="A556" s="597"/>
      <c r="W556" s="2"/>
    </row>
    <row r="557" spans="1:23" s="1" customFormat="1" x14ac:dyDescent="0.25">
      <c r="A557" s="597"/>
      <c r="W557" s="2"/>
    </row>
    <row r="558" spans="1:23" s="1" customFormat="1" x14ac:dyDescent="0.25">
      <c r="A558" s="597"/>
      <c r="W558" s="2"/>
    </row>
    <row r="559" spans="1:23" s="1" customFormat="1" x14ac:dyDescent="0.25">
      <c r="A559" s="597"/>
      <c r="W559" s="2"/>
    </row>
    <row r="560" spans="1:23" s="1" customFormat="1" x14ac:dyDescent="0.25">
      <c r="A560" s="597"/>
      <c r="W560" s="2"/>
    </row>
    <row r="561" spans="1:23" s="1" customFormat="1" x14ac:dyDescent="0.25">
      <c r="A561" s="597"/>
      <c r="W561" s="2"/>
    </row>
    <row r="562" spans="1:23" s="1" customFormat="1" x14ac:dyDescent="0.25">
      <c r="A562" s="597"/>
      <c r="W562" s="2"/>
    </row>
    <row r="563" spans="1:23" s="1" customFormat="1" x14ac:dyDescent="0.25">
      <c r="A563" s="597"/>
      <c r="W563" s="2"/>
    </row>
    <row r="564" spans="1:23" s="1" customFormat="1" x14ac:dyDescent="0.25">
      <c r="A564" s="597"/>
      <c r="W564" s="2"/>
    </row>
    <row r="565" spans="1:23" s="1" customFormat="1" x14ac:dyDescent="0.25">
      <c r="A565" s="597"/>
      <c r="W565" s="2"/>
    </row>
    <row r="566" spans="1:23" s="1" customFormat="1" x14ac:dyDescent="0.25">
      <c r="A566" s="597"/>
      <c r="W566" s="2"/>
    </row>
    <row r="567" spans="1:23" s="1" customFormat="1" x14ac:dyDescent="0.25">
      <c r="A567" s="597"/>
      <c r="W567" s="2"/>
    </row>
    <row r="568" spans="1:23" s="1" customFormat="1" x14ac:dyDescent="0.25">
      <c r="A568" s="597"/>
      <c r="W568" s="2"/>
    </row>
    <row r="569" spans="1:23" s="1" customFormat="1" x14ac:dyDescent="0.25">
      <c r="A569" s="597"/>
      <c r="W569" s="2"/>
    </row>
    <row r="570" spans="1:23" s="1" customFormat="1" x14ac:dyDescent="0.25">
      <c r="A570" s="597"/>
      <c r="W570" s="2"/>
    </row>
    <row r="571" spans="1:23" s="1" customFormat="1" x14ac:dyDescent="0.25">
      <c r="A571" s="597"/>
      <c r="W571" s="2"/>
    </row>
    <row r="572" spans="1:23" s="1" customFormat="1" x14ac:dyDescent="0.25">
      <c r="A572" s="597"/>
      <c r="W572" s="2"/>
    </row>
    <row r="573" spans="1:23" s="1" customFormat="1" x14ac:dyDescent="0.25">
      <c r="A573" s="597"/>
      <c r="W573" s="2"/>
    </row>
    <row r="574" spans="1:23" s="1" customFormat="1" x14ac:dyDescent="0.25">
      <c r="A574" s="597"/>
      <c r="W574" s="2"/>
    </row>
    <row r="575" spans="1:23" s="1" customFormat="1" x14ac:dyDescent="0.25">
      <c r="A575" s="597"/>
      <c r="W575" s="2"/>
    </row>
    <row r="576" spans="1:23" s="1" customFormat="1" x14ac:dyDescent="0.25">
      <c r="A576" s="597"/>
      <c r="W576" s="2"/>
    </row>
    <row r="577" spans="1:23" s="1" customFormat="1" x14ac:dyDescent="0.25">
      <c r="A577" s="597"/>
      <c r="W577" s="2"/>
    </row>
    <row r="578" spans="1:23" s="1" customFormat="1" x14ac:dyDescent="0.25">
      <c r="A578" s="597"/>
      <c r="W578" s="2"/>
    </row>
    <row r="579" spans="1:23" s="1" customFormat="1" x14ac:dyDescent="0.25">
      <c r="A579" s="597"/>
      <c r="W579" s="2"/>
    </row>
    <row r="580" spans="1:23" s="1" customFormat="1" x14ac:dyDescent="0.25">
      <c r="A580" s="597"/>
      <c r="W580" s="2"/>
    </row>
    <row r="581" spans="1:23" s="1" customFormat="1" x14ac:dyDescent="0.25">
      <c r="A581" s="597"/>
      <c r="W581" s="2"/>
    </row>
    <row r="582" spans="1:23" s="1" customFormat="1" x14ac:dyDescent="0.25">
      <c r="A582" s="597"/>
      <c r="W582" s="2"/>
    </row>
    <row r="583" spans="1:23" s="1" customFormat="1" x14ac:dyDescent="0.25">
      <c r="A583" s="597"/>
      <c r="W583" s="2"/>
    </row>
    <row r="584" spans="1:23" s="1" customFormat="1" x14ac:dyDescent="0.25">
      <c r="A584" s="597"/>
      <c r="W584" s="2"/>
    </row>
    <row r="585" spans="1:23" s="1" customFormat="1" x14ac:dyDescent="0.25">
      <c r="A585" s="597"/>
      <c r="W585" s="2"/>
    </row>
    <row r="586" spans="1:23" s="1" customFormat="1" x14ac:dyDescent="0.25">
      <c r="A586" s="597"/>
      <c r="W586" s="2"/>
    </row>
    <row r="587" spans="1:23" s="1" customFormat="1" x14ac:dyDescent="0.25">
      <c r="A587" s="597"/>
      <c r="W587" s="2"/>
    </row>
    <row r="588" spans="1:23" s="1" customFormat="1" x14ac:dyDescent="0.25">
      <c r="A588" s="597"/>
      <c r="W588" s="2"/>
    </row>
    <row r="589" spans="1:23" s="1" customFormat="1" x14ac:dyDescent="0.25">
      <c r="A589" s="597"/>
      <c r="W589" s="2"/>
    </row>
    <row r="590" spans="1:23" s="1" customFormat="1" x14ac:dyDescent="0.25">
      <c r="A590" s="597"/>
      <c r="W590" s="2"/>
    </row>
    <row r="591" spans="1:23" s="1" customFormat="1" x14ac:dyDescent="0.25">
      <c r="A591" s="597"/>
      <c r="W591" s="2"/>
    </row>
    <row r="592" spans="1:23" s="1" customFormat="1" x14ac:dyDescent="0.25">
      <c r="A592" s="597"/>
      <c r="W592" s="2"/>
    </row>
    <row r="593" spans="1:23" s="1" customFormat="1" x14ac:dyDescent="0.25">
      <c r="A593" s="597"/>
      <c r="W593" s="2"/>
    </row>
    <row r="594" spans="1:23" s="1" customFormat="1" x14ac:dyDescent="0.25">
      <c r="A594" s="597"/>
      <c r="W594" s="2"/>
    </row>
    <row r="595" spans="1:23" s="1" customFormat="1" x14ac:dyDescent="0.25">
      <c r="A595" s="597"/>
      <c r="W595" s="2"/>
    </row>
    <row r="596" spans="1:23" s="1" customFormat="1" x14ac:dyDescent="0.25">
      <c r="A596" s="597"/>
      <c r="W596" s="2"/>
    </row>
    <row r="597" spans="1:23" s="1" customFormat="1" x14ac:dyDescent="0.25">
      <c r="A597" s="597"/>
      <c r="W597" s="2"/>
    </row>
    <row r="598" spans="1:23" s="1" customFormat="1" x14ac:dyDescent="0.25">
      <c r="A598" s="597"/>
      <c r="W598" s="2"/>
    </row>
    <row r="599" spans="1:23" s="1" customFormat="1" x14ac:dyDescent="0.25">
      <c r="A599" s="597"/>
      <c r="W599" s="2"/>
    </row>
    <row r="600" spans="1:23" s="1" customFormat="1" x14ac:dyDescent="0.25">
      <c r="A600" s="597"/>
      <c r="W600" s="2"/>
    </row>
    <row r="601" spans="1:23" s="1" customFormat="1" x14ac:dyDescent="0.25">
      <c r="A601" s="597"/>
      <c r="W601" s="2"/>
    </row>
    <row r="602" spans="1:23" s="1" customFormat="1" x14ac:dyDescent="0.25">
      <c r="A602" s="597"/>
      <c r="W602" s="2"/>
    </row>
    <row r="603" spans="1:23" s="1" customFormat="1" x14ac:dyDescent="0.25">
      <c r="A603" s="597"/>
      <c r="W603" s="2"/>
    </row>
    <row r="604" spans="1:23" s="1" customFormat="1" x14ac:dyDescent="0.25">
      <c r="A604" s="597"/>
      <c r="W604" s="2"/>
    </row>
    <row r="605" spans="1:23" s="1" customFormat="1" x14ac:dyDescent="0.25">
      <c r="A605" s="597"/>
      <c r="W605" s="2"/>
    </row>
    <row r="606" spans="1:23" s="1" customFormat="1" x14ac:dyDescent="0.25">
      <c r="A606" s="597"/>
      <c r="W606" s="2"/>
    </row>
    <row r="607" spans="1:23" s="1" customFormat="1" x14ac:dyDescent="0.25">
      <c r="A607" s="597"/>
      <c r="W607" s="2"/>
    </row>
    <row r="608" spans="1:23" s="1" customFormat="1" x14ac:dyDescent="0.25">
      <c r="A608" s="597"/>
      <c r="W608" s="2"/>
    </row>
    <row r="609" spans="1:23" s="1" customFormat="1" x14ac:dyDescent="0.25">
      <c r="A609" s="597"/>
      <c r="W609" s="2"/>
    </row>
    <row r="610" spans="1:23" s="1" customFormat="1" x14ac:dyDescent="0.25">
      <c r="A610" s="597"/>
      <c r="W610" s="2"/>
    </row>
    <row r="611" spans="1:23" s="1" customFormat="1" x14ac:dyDescent="0.25">
      <c r="A611" s="597"/>
      <c r="W611" s="2"/>
    </row>
    <row r="612" spans="1:23" s="1" customFormat="1" x14ac:dyDescent="0.25">
      <c r="A612" s="597"/>
      <c r="W612" s="2"/>
    </row>
    <row r="613" spans="1:23" s="1" customFormat="1" x14ac:dyDescent="0.25">
      <c r="A613" s="597"/>
      <c r="W613" s="2"/>
    </row>
    <row r="614" spans="1:23" s="1" customFormat="1" x14ac:dyDescent="0.25">
      <c r="A614" s="597"/>
      <c r="W614" s="2"/>
    </row>
    <row r="615" spans="1:23" s="1" customFormat="1" x14ac:dyDescent="0.25">
      <c r="A615" s="597"/>
      <c r="W615" s="2"/>
    </row>
    <row r="616" spans="1:23" s="1" customFormat="1" x14ac:dyDescent="0.25">
      <c r="A616" s="597"/>
      <c r="W616" s="2"/>
    </row>
    <row r="617" spans="1:23" s="1" customFormat="1" x14ac:dyDescent="0.25">
      <c r="A617" s="597"/>
      <c r="W617" s="2"/>
    </row>
    <row r="618" spans="1:23" s="1" customFormat="1" x14ac:dyDescent="0.25">
      <c r="A618" s="597"/>
      <c r="W618" s="2"/>
    </row>
    <row r="619" spans="1:23" s="1" customFormat="1" x14ac:dyDescent="0.25">
      <c r="A619" s="597"/>
      <c r="W619" s="2"/>
    </row>
    <row r="620" spans="1:23" s="1" customFormat="1" x14ac:dyDescent="0.25">
      <c r="A620" s="597"/>
      <c r="W620" s="2"/>
    </row>
    <row r="621" spans="1:23" s="1" customFormat="1" x14ac:dyDescent="0.25">
      <c r="A621" s="597"/>
      <c r="W621" s="2"/>
    </row>
    <row r="622" spans="1:23" s="1" customFormat="1" x14ac:dyDescent="0.25">
      <c r="A622" s="597"/>
      <c r="W622" s="2"/>
    </row>
    <row r="623" spans="1:23" s="1" customFormat="1" x14ac:dyDescent="0.25">
      <c r="A623" s="597"/>
      <c r="W623" s="2"/>
    </row>
    <row r="624" spans="1:23" s="1" customFormat="1" x14ac:dyDescent="0.25">
      <c r="A624" s="597"/>
      <c r="W624" s="2"/>
    </row>
    <row r="625" spans="1:23" s="1" customFormat="1" x14ac:dyDescent="0.25">
      <c r="A625" s="597"/>
      <c r="W625" s="2"/>
    </row>
    <row r="626" spans="1:23" s="1" customFormat="1" x14ac:dyDescent="0.25">
      <c r="A626" s="597"/>
      <c r="W626" s="2"/>
    </row>
    <row r="627" spans="1:23" s="1" customFormat="1" x14ac:dyDescent="0.25">
      <c r="A627" s="597"/>
      <c r="W627" s="2"/>
    </row>
    <row r="628" spans="1:23" s="1" customFormat="1" x14ac:dyDescent="0.25">
      <c r="A628" s="597"/>
      <c r="W628" s="2"/>
    </row>
    <row r="629" spans="1:23" s="1" customFormat="1" x14ac:dyDescent="0.25">
      <c r="A629" s="597"/>
      <c r="W629" s="2"/>
    </row>
    <row r="630" spans="1:23" s="1" customFormat="1" x14ac:dyDescent="0.25">
      <c r="A630" s="597"/>
      <c r="W630" s="2"/>
    </row>
    <row r="631" spans="1:23" s="1" customFormat="1" x14ac:dyDescent="0.25">
      <c r="A631" s="597"/>
      <c r="W631" s="2"/>
    </row>
    <row r="632" spans="1:23" s="1" customFormat="1" x14ac:dyDescent="0.25">
      <c r="A632" s="597"/>
      <c r="W632" s="2"/>
    </row>
    <row r="633" spans="1:23" s="1" customFormat="1" x14ac:dyDescent="0.25">
      <c r="A633" s="597"/>
      <c r="W633" s="2"/>
    </row>
    <row r="634" spans="1:23" s="1" customFormat="1" x14ac:dyDescent="0.25">
      <c r="A634" s="597"/>
      <c r="W634" s="2"/>
    </row>
    <row r="635" spans="1:23" s="1" customFormat="1" x14ac:dyDescent="0.25">
      <c r="A635" s="597"/>
      <c r="W635" s="2"/>
    </row>
    <row r="636" spans="1:23" s="1" customFormat="1" x14ac:dyDescent="0.25">
      <c r="A636" s="597"/>
      <c r="W636" s="2"/>
    </row>
    <row r="637" spans="1:23" s="1" customFormat="1" x14ac:dyDescent="0.25">
      <c r="A637" s="597"/>
      <c r="W637" s="2"/>
    </row>
    <row r="638" spans="1:23" s="1" customFormat="1" x14ac:dyDescent="0.25">
      <c r="A638" s="597"/>
      <c r="W638" s="2"/>
    </row>
    <row r="639" spans="1:23" s="1" customFormat="1" x14ac:dyDescent="0.25">
      <c r="A639" s="597"/>
      <c r="W639" s="2"/>
    </row>
    <row r="640" spans="1:23" s="1" customFormat="1" x14ac:dyDescent="0.25">
      <c r="A640" s="597"/>
      <c r="W640" s="2"/>
    </row>
    <row r="641" spans="1:23" s="1" customFormat="1" x14ac:dyDescent="0.25">
      <c r="A641" s="597"/>
      <c r="W641" s="2"/>
    </row>
    <row r="642" spans="1:23" s="1" customFormat="1" x14ac:dyDescent="0.25">
      <c r="A642" s="597"/>
      <c r="W642" s="2"/>
    </row>
    <row r="643" spans="1:23" s="1" customFormat="1" x14ac:dyDescent="0.25">
      <c r="A643" s="597"/>
      <c r="W643" s="2"/>
    </row>
    <row r="644" spans="1:23" s="1" customFormat="1" x14ac:dyDescent="0.25">
      <c r="A644" s="597"/>
      <c r="W644" s="2"/>
    </row>
    <row r="645" spans="1:23" s="1" customFormat="1" x14ac:dyDescent="0.25">
      <c r="A645" s="597"/>
      <c r="W645" s="2"/>
    </row>
    <row r="646" spans="1:23" s="1" customFormat="1" x14ac:dyDescent="0.25">
      <c r="A646" s="597"/>
      <c r="W646" s="2"/>
    </row>
    <row r="647" spans="1:23" s="1" customFormat="1" x14ac:dyDescent="0.25">
      <c r="A647" s="597"/>
      <c r="W647" s="2"/>
    </row>
    <row r="648" spans="1:23" s="1" customFormat="1" x14ac:dyDescent="0.25">
      <c r="A648" s="597"/>
      <c r="W648" s="2"/>
    </row>
    <row r="649" spans="1:23" s="1" customFormat="1" x14ac:dyDescent="0.25">
      <c r="A649" s="597"/>
      <c r="W649" s="2"/>
    </row>
    <row r="650" spans="1:23" s="1" customFormat="1" x14ac:dyDescent="0.25">
      <c r="A650" s="597"/>
      <c r="W650" s="2"/>
    </row>
    <row r="651" spans="1:23" s="1" customFormat="1" x14ac:dyDescent="0.25">
      <c r="A651" s="597"/>
      <c r="W651" s="2"/>
    </row>
    <row r="652" spans="1:23" s="1" customFormat="1" x14ac:dyDescent="0.25">
      <c r="A652" s="597"/>
      <c r="W652" s="2"/>
    </row>
    <row r="653" spans="1:23" s="1" customFormat="1" x14ac:dyDescent="0.25">
      <c r="A653" s="597"/>
      <c r="W653" s="2"/>
    </row>
    <row r="654" spans="1:23" s="1" customFormat="1" x14ac:dyDescent="0.25">
      <c r="A654" s="597"/>
      <c r="W654" s="2"/>
    </row>
    <row r="655" spans="1:23" s="1" customFormat="1" x14ac:dyDescent="0.25">
      <c r="A655" s="597"/>
      <c r="W655" s="2"/>
    </row>
    <row r="656" spans="1:23" s="1" customFormat="1" x14ac:dyDescent="0.25">
      <c r="A656" s="597"/>
      <c r="W656" s="2"/>
    </row>
    <row r="657" spans="1:23" s="1" customFormat="1" x14ac:dyDescent="0.25">
      <c r="A657" s="597"/>
      <c r="W657" s="2"/>
    </row>
    <row r="658" spans="1:23" s="1" customFormat="1" x14ac:dyDescent="0.25">
      <c r="A658" s="597"/>
      <c r="W658" s="2"/>
    </row>
    <row r="659" spans="1:23" s="1" customFormat="1" x14ac:dyDescent="0.25">
      <c r="A659" s="597"/>
      <c r="W659" s="2"/>
    </row>
    <row r="660" spans="1:23" s="1" customFormat="1" x14ac:dyDescent="0.25">
      <c r="A660" s="597"/>
      <c r="W660" s="2"/>
    </row>
    <row r="661" spans="1:23" s="1" customFormat="1" x14ac:dyDescent="0.25">
      <c r="A661" s="597"/>
      <c r="W661" s="2"/>
    </row>
    <row r="662" spans="1:23" s="1" customFormat="1" x14ac:dyDescent="0.25">
      <c r="A662" s="597"/>
      <c r="W662" s="2"/>
    </row>
    <row r="663" spans="1:23" s="1" customFormat="1" x14ac:dyDescent="0.25">
      <c r="A663" s="597"/>
      <c r="W663" s="2"/>
    </row>
    <row r="664" spans="1:23" s="1" customFormat="1" x14ac:dyDescent="0.25">
      <c r="A664" s="597"/>
      <c r="W664" s="2"/>
    </row>
    <row r="665" spans="1:23" s="1" customFormat="1" x14ac:dyDescent="0.25">
      <c r="A665" s="597"/>
      <c r="W665" s="2"/>
    </row>
    <row r="666" spans="1:23" s="1" customFormat="1" x14ac:dyDescent="0.25">
      <c r="A666" s="597"/>
      <c r="W666" s="2"/>
    </row>
    <row r="667" spans="1:23" s="1" customFormat="1" x14ac:dyDescent="0.25">
      <c r="A667" s="597"/>
      <c r="W667" s="2"/>
    </row>
    <row r="668" spans="1:23" s="1" customFormat="1" x14ac:dyDescent="0.25">
      <c r="A668" s="597"/>
      <c r="W668" s="2"/>
    </row>
    <row r="669" spans="1:23" s="1" customFormat="1" x14ac:dyDescent="0.25">
      <c r="A669" s="597"/>
      <c r="W669" s="2"/>
    </row>
    <row r="670" spans="1:23" s="1" customFormat="1" x14ac:dyDescent="0.25">
      <c r="A670" s="597"/>
      <c r="W670" s="2"/>
    </row>
    <row r="671" spans="1:23" s="1" customFormat="1" x14ac:dyDescent="0.25">
      <c r="A671" s="597"/>
      <c r="W671" s="2"/>
    </row>
    <row r="672" spans="1:23" s="1" customFormat="1" x14ac:dyDescent="0.25">
      <c r="A672" s="597"/>
      <c r="W672" s="2"/>
    </row>
    <row r="673" spans="1:23" s="1" customFormat="1" x14ac:dyDescent="0.25">
      <c r="A673" s="597"/>
      <c r="W673" s="2"/>
    </row>
    <row r="674" spans="1:23" s="1" customFormat="1" x14ac:dyDescent="0.25">
      <c r="A674" s="597"/>
      <c r="W674" s="2"/>
    </row>
    <row r="675" spans="1:23" s="1" customFormat="1" x14ac:dyDescent="0.25">
      <c r="A675" s="597"/>
      <c r="W675" s="2"/>
    </row>
    <row r="676" spans="1:23" s="1" customFormat="1" x14ac:dyDescent="0.25">
      <c r="A676" s="597"/>
      <c r="W676" s="2"/>
    </row>
    <row r="677" spans="1:23" s="1" customFormat="1" x14ac:dyDescent="0.25">
      <c r="A677" s="597"/>
      <c r="W677" s="2"/>
    </row>
    <row r="678" spans="1:23" s="1" customFormat="1" x14ac:dyDescent="0.25">
      <c r="A678" s="597"/>
      <c r="W678" s="2"/>
    </row>
    <row r="679" spans="1:23" s="1" customFormat="1" x14ac:dyDescent="0.25">
      <c r="A679" s="597"/>
      <c r="W679" s="2"/>
    </row>
    <row r="680" spans="1:23" s="1" customFormat="1" x14ac:dyDescent="0.25">
      <c r="A680" s="597"/>
      <c r="W680" s="2"/>
    </row>
    <row r="681" spans="1:23" s="1" customFormat="1" x14ac:dyDescent="0.25">
      <c r="A681" s="597"/>
      <c r="W681" s="2"/>
    </row>
    <row r="682" spans="1:23" s="1" customFormat="1" x14ac:dyDescent="0.25">
      <c r="A682" s="597"/>
      <c r="W682" s="2"/>
    </row>
    <row r="683" spans="1:23" s="1" customFormat="1" x14ac:dyDescent="0.25">
      <c r="A683" s="597"/>
      <c r="W683" s="2"/>
    </row>
    <row r="684" spans="1:23" s="1" customFormat="1" x14ac:dyDescent="0.25">
      <c r="A684" s="597"/>
      <c r="W684" s="2"/>
    </row>
    <row r="685" spans="1:23" s="1" customFormat="1" x14ac:dyDescent="0.25">
      <c r="A685" s="597"/>
      <c r="W685" s="2"/>
    </row>
    <row r="686" spans="1:23" s="1" customFormat="1" x14ac:dyDescent="0.25">
      <c r="A686" s="597"/>
      <c r="W686" s="2"/>
    </row>
    <row r="687" spans="1:23" s="1" customFormat="1" x14ac:dyDescent="0.25">
      <c r="A687" s="597"/>
      <c r="W687" s="2"/>
    </row>
    <row r="688" spans="1:23" s="1" customFormat="1" x14ac:dyDescent="0.25">
      <c r="A688" s="597"/>
      <c r="W688" s="2"/>
    </row>
    <row r="689" spans="1:23" s="1" customFormat="1" x14ac:dyDescent="0.25">
      <c r="A689" s="597"/>
      <c r="W689" s="2"/>
    </row>
    <row r="690" spans="1:23" s="1" customFormat="1" x14ac:dyDescent="0.25">
      <c r="A690" s="597"/>
      <c r="W690" s="2"/>
    </row>
    <row r="691" spans="1:23" s="1" customFormat="1" x14ac:dyDescent="0.25">
      <c r="A691" s="597"/>
      <c r="W691" s="2"/>
    </row>
    <row r="692" spans="1:23" s="1" customFormat="1" x14ac:dyDescent="0.25">
      <c r="A692" s="597"/>
      <c r="W692" s="2"/>
    </row>
    <row r="693" spans="1:23" s="1" customFormat="1" x14ac:dyDescent="0.25">
      <c r="A693" s="597"/>
      <c r="W693" s="2"/>
    </row>
    <row r="694" spans="1:23" s="1" customFormat="1" x14ac:dyDescent="0.25">
      <c r="A694" s="597"/>
      <c r="W694" s="2"/>
    </row>
    <row r="695" spans="1:23" s="1" customFormat="1" x14ac:dyDescent="0.25">
      <c r="A695" s="597"/>
      <c r="W695" s="2"/>
    </row>
    <row r="696" spans="1:23" s="1" customFormat="1" x14ac:dyDescent="0.25">
      <c r="A696" s="597"/>
      <c r="W696" s="2"/>
    </row>
    <row r="697" spans="1:23" s="1" customFormat="1" x14ac:dyDescent="0.25">
      <c r="A697" s="597"/>
      <c r="W697" s="2"/>
    </row>
    <row r="698" spans="1:23" s="1" customFormat="1" x14ac:dyDescent="0.25">
      <c r="A698" s="597"/>
      <c r="W698" s="2"/>
    </row>
    <row r="699" spans="1:23" s="1" customFormat="1" x14ac:dyDescent="0.25">
      <c r="A699" s="597"/>
      <c r="W699" s="2"/>
    </row>
    <row r="700" spans="1:23" s="1" customFormat="1" x14ac:dyDescent="0.25">
      <c r="A700" s="597"/>
      <c r="W700" s="2"/>
    </row>
    <row r="701" spans="1:23" s="1" customFormat="1" x14ac:dyDescent="0.25">
      <c r="A701" s="597"/>
      <c r="W701" s="2"/>
    </row>
    <row r="702" spans="1:23" s="1" customFormat="1" x14ac:dyDescent="0.25">
      <c r="A702" s="597"/>
      <c r="W702" s="2"/>
    </row>
    <row r="703" spans="1:23" s="1" customFormat="1" x14ac:dyDescent="0.25">
      <c r="A703" s="597"/>
      <c r="W703" s="2"/>
    </row>
    <row r="704" spans="1:23" s="1" customFormat="1" x14ac:dyDescent="0.25">
      <c r="A704" s="597"/>
      <c r="W704" s="2"/>
    </row>
    <row r="705" spans="1:23" s="1" customFormat="1" x14ac:dyDescent="0.25">
      <c r="A705" s="597"/>
      <c r="W705" s="2"/>
    </row>
    <row r="706" spans="1:23" s="1" customFormat="1" x14ac:dyDescent="0.25">
      <c r="A706" s="597"/>
      <c r="W706" s="2"/>
    </row>
    <row r="707" spans="1:23" s="1" customFormat="1" x14ac:dyDescent="0.25">
      <c r="A707" s="597"/>
      <c r="W707" s="2"/>
    </row>
    <row r="708" spans="1:23" s="1" customFormat="1" x14ac:dyDescent="0.25">
      <c r="A708" s="597"/>
      <c r="W708" s="2"/>
    </row>
    <row r="709" spans="1:23" s="1" customFormat="1" x14ac:dyDescent="0.25">
      <c r="A709" s="597"/>
      <c r="W709" s="2"/>
    </row>
    <row r="710" spans="1:23" s="1" customFormat="1" x14ac:dyDescent="0.25">
      <c r="A710" s="597"/>
      <c r="W710" s="2"/>
    </row>
    <row r="711" spans="1:23" s="1" customFormat="1" x14ac:dyDescent="0.25">
      <c r="A711" s="597"/>
      <c r="W711" s="2"/>
    </row>
    <row r="712" spans="1:23" s="1" customFormat="1" x14ac:dyDescent="0.25">
      <c r="A712" s="597"/>
      <c r="W712" s="2"/>
    </row>
    <row r="713" spans="1:23" s="1" customFormat="1" x14ac:dyDescent="0.25">
      <c r="A713" s="597"/>
      <c r="W713" s="2"/>
    </row>
    <row r="714" spans="1:23" s="1" customFormat="1" x14ac:dyDescent="0.25">
      <c r="A714" s="597"/>
      <c r="W714" s="2"/>
    </row>
    <row r="715" spans="1:23" s="1" customFormat="1" x14ac:dyDescent="0.25">
      <c r="A715" s="597"/>
      <c r="W715" s="2"/>
    </row>
    <row r="716" spans="1:23" s="1" customFormat="1" x14ac:dyDescent="0.25">
      <c r="A716" s="597"/>
      <c r="W716" s="2"/>
    </row>
    <row r="717" spans="1:23" s="1" customFormat="1" x14ac:dyDescent="0.25">
      <c r="A717" s="597"/>
      <c r="W717" s="2"/>
    </row>
    <row r="718" spans="1:23" s="1" customFormat="1" x14ac:dyDescent="0.25">
      <c r="A718" s="597"/>
      <c r="W718" s="2"/>
    </row>
    <row r="719" spans="1:23" s="1" customFormat="1" x14ac:dyDescent="0.25">
      <c r="A719" s="597"/>
      <c r="W719" s="2"/>
    </row>
    <row r="720" spans="1:23" s="1" customFormat="1" x14ac:dyDescent="0.25">
      <c r="A720" s="597"/>
      <c r="W720" s="2"/>
    </row>
    <row r="721" spans="1:23" s="1" customFormat="1" x14ac:dyDescent="0.25">
      <c r="A721" s="597"/>
      <c r="W721" s="2"/>
    </row>
    <row r="722" spans="1:23" s="1" customFormat="1" x14ac:dyDescent="0.25">
      <c r="A722" s="597"/>
      <c r="W722" s="2"/>
    </row>
    <row r="723" spans="1:23" s="1" customFormat="1" x14ac:dyDescent="0.25">
      <c r="A723" s="597"/>
      <c r="W723" s="2"/>
    </row>
    <row r="724" spans="1:23" s="1" customFormat="1" x14ac:dyDescent="0.25">
      <c r="A724" s="597"/>
      <c r="W724" s="2"/>
    </row>
    <row r="725" spans="1:23" s="1" customFormat="1" x14ac:dyDescent="0.25">
      <c r="A725" s="597"/>
      <c r="W725" s="2"/>
    </row>
    <row r="726" spans="1:23" s="1" customFormat="1" x14ac:dyDescent="0.25">
      <c r="A726" s="597"/>
      <c r="W726" s="2"/>
    </row>
    <row r="727" spans="1:23" s="1" customFormat="1" x14ac:dyDescent="0.25">
      <c r="A727" s="597"/>
      <c r="W727" s="2"/>
    </row>
    <row r="728" spans="1:23" s="1" customFormat="1" x14ac:dyDescent="0.25">
      <c r="A728" s="597"/>
      <c r="W728" s="2"/>
    </row>
    <row r="729" spans="1:23" s="1" customFormat="1" x14ac:dyDescent="0.25">
      <c r="A729" s="597"/>
      <c r="W729" s="2"/>
    </row>
    <row r="730" spans="1:23" s="1" customFormat="1" x14ac:dyDescent="0.25">
      <c r="A730" s="597"/>
      <c r="W730" s="2"/>
    </row>
    <row r="731" spans="1:23" s="1" customFormat="1" x14ac:dyDescent="0.25">
      <c r="A731" s="597"/>
      <c r="W731" s="2"/>
    </row>
    <row r="732" spans="1:23" s="1" customFormat="1" x14ac:dyDescent="0.25">
      <c r="A732" s="597"/>
      <c r="W732" s="2"/>
    </row>
    <row r="733" spans="1:23" s="1" customFormat="1" x14ac:dyDescent="0.25">
      <c r="A733" s="597"/>
      <c r="W733" s="2"/>
    </row>
    <row r="734" spans="1:23" s="1" customFormat="1" x14ac:dyDescent="0.25">
      <c r="A734" s="597"/>
      <c r="W734" s="2"/>
    </row>
    <row r="735" spans="1:23" s="1" customFormat="1" x14ac:dyDescent="0.25">
      <c r="A735" s="597"/>
      <c r="W735" s="2"/>
    </row>
    <row r="736" spans="1:23" s="1" customFormat="1" x14ac:dyDescent="0.25">
      <c r="A736" s="597"/>
      <c r="W736" s="2"/>
    </row>
    <row r="737" spans="1:23" s="1" customFormat="1" x14ac:dyDescent="0.25">
      <c r="A737" s="597"/>
      <c r="W737" s="2"/>
    </row>
    <row r="738" spans="1:23" s="1" customFormat="1" x14ac:dyDescent="0.25">
      <c r="A738" s="597"/>
      <c r="W738" s="2"/>
    </row>
    <row r="739" spans="1:23" s="1" customFormat="1" x14ac:dyDescent="0.25">
      <c r="A739" s="597"/>
      <c r="W739" s="2"/>
    </row>
    <row r="740" spans="1:23" s="1" customFormat="1" x14ac:dyDescent="0.25">
      <c r="A740" s="597"/>
      <c r="W740" s="2"/>
    </row>
    <row r="741" spans="1:23" s="1" customFormat="1" x14ac:dyDescent="0.25">
      <c r="A741" s="597"/>
      <c r="W741" s="2"/>
    </row>
    <row r="742" spans="1:23" s="1" customFormat="1" x14ac:dyDescent="0.25">
      <c r="A742" s="597"/>
      <c r="W742" s="2"/>
    </row>
    <row r="743" spans="1:23" s="1" customFormat="1" x14ac:dyDescent="0.25">
      <c r="A743" s="597"/>
      <c r="W743" s="2"/>
    </row>
    <row r="744" spans="1:23" s="1" customFormat="1" x14ac:dyDescent="0.25">
      <c r="A744" s="597"/>
      <c r="W744" s="2"/>
    </row>
    <row r="745" spans="1:23" s="1" customFormat="1" x14ac:dyDescent="0.25">
      <c r="A745" s="597"/>
      <c r="W745" s="2"/>
    </row>
    <row r="746" spans="1:23" s="1" customFormat="1" x14ac:dyDescent="0.25">
      <c r="A746" s="597"/>
      <c r="W746" s="2"/>
    </row>
    <row r="747" spans="1:23" s="1" customFormat="1" x14ac:dyDescent="0.25">
      <c r="A747" s="597"/>
      <c r="W747" s="2"/>
    </row>
    <row r="748" spans="1:23" s="1" customFormat="1" x14ac:dyDescent="0.25">
      <c r="A748" s="597"/>
      <c r="W748" s="2"/>
    </row>
    <row r="749" spans="1:23" s="1" customFormat="1" x14ac:dyDescent="0.25">
      <c r="A749" s="597"/>
      <c r="W749" s="2"/>
    </row>
    <row r="750" spans="1:23" s="1" customFormat="1" x14ac:dyDescent="0.25">
      <c r="A750" s="597"/>
      <c r="W750" s="2"/>
    </row>
    <row r="751" spans="1:23" s="1" customFormat="1" x14ac:dyDescent="0.25">
      <c r="A751" s="597"/>
      <c r="W751" s="2"/>
    </row>
    <row r="752" spans="1:23" s="1" customFormat="1" x14ac:dyDescent="0.25">
      <c r="A752" s="597"/>
      <c r="W752" s="2"/>
    </row>
    <row r="753" spans="1:23" s="1" customFormat="1" x14ac:dyDescent="0.25">
      <c r="A753" s="597"/>
      <c r="W753" s="2"/>
    </row>
    <row r="754" spans="1:23" s="1" customFormat="1" x14ac:dyDescent="0.25">
      <c r="A754" s="597"/>
      <c r="W754" s="2"/>
    </row>
    <row r="755" spans="1:23" s="1" customFormat="1" x14ac:dyDescent="0.25">
      <c r="A755" s="597"/>
      <c r="W755" s="2"/>
    </row>
    <row r="756" spans="1:23" s="1" customFormat="1" x14ac:dyDescent="0.25">
      <c r="A756" s="597"/>
      <c r="W756" s="2"/>
    </row>
    <row r="757" spans="1:23" s="1" customFormat="1" x14ac:dyDescent="0.25">
      <c r="A757" s="597"/>
      <c r="W757" s="2"/>
    </row>
    <row r="758" spans="1:23" s="1" customFormat="1" x14ac:dyDescent="0.25">
      <c r="A758" s="597"/>
      <c r="W758" s="2"/>
    </row>
    <row r="759" spans="1:23" s="1" customFormat="1" x14ac:dyDescent="0.25">
      <c r="A759" s="597"/>
      <c r="W759" s="2"/>
    </row>
    <row r="760" spans="1:23" s="1" customFormat="1" x14ac:dyDescent="0.25">
      <c r="A760" s="597"/>
      <c r="W760" s="2"/>
    </row>
    <row r="761" spans="1:23" s="1" customFormat="1" x14ac:dyDescent="0.25">
      <c r="A761" s="597"/>
      <c r="W761" s="2"/>
    </row>
    <row r="762" spans="1:23" s="1" customFormat="1" x14ac:dyDescent="0.25">
      <c r="A762" s="597"/>
      <c r="W762" s="2"/>
    </row>
    <row r="763" spans="1:23" s="1" customFormat="1" x14ac:dyDescent="0.25">
      <c r="A763" s="597"/>
      <c r="W763" s="2"/>
    </row>
    <row r="764" spans="1:23" s="1" customFormat="1" x14ac:dyDescent="0.25">
      <c r="A764" s="597"/>
      <c r="W764" s="2"/>
    </row>
    <row r="765" spans="1:23" s="1" customFormat="1" x14ac:dyDescent="0.25">
      <c r="A765" s="597"/>
      <c r="W765" s="2"/>
    </row>
    <row r="766" spans="1:23" s="1" customFormat="1" x14ac:dyDescent="0.25">
      <c r="A766" s="597"/>
      <c r="W766" s="2"/>
    </row>
    <row r="767" spans="1:23" s="1" customFormat="1" x14ac:dyDescent="0.25">
      <c r="A767" s="597"/>
      <c r="W767" s="2"/>
    </row>
    <row r="768" spans="1:23" s="1" customFormat="1" x14ac:dyDescent="0.25">
      <c r="A768" s="597"/>
      <c r="W768" s="2"/>
    </row>
    <row r="769" spans="1:23" s="1" customFormat="1" x14ac:dyDescent="0.25">
      <c r="A769" s="597"/>
      <c r="W769" s="2"/>
    </row>
    <row r="770" spans="1:23" s="1" customFormat="1" x14ac:dyDescent="0.25">
      <c r="A770" s="597"/>
      <c r="W770" s="2"/>
    </row>
    <row r="771" spans="1:23" s="1" customFormat="1" x14ac:dyDescent="0.25">
      <c r="A771" s="597"/>
      <c r="W771" s="2"/>
    </row>
    <row r="772" spans="1:23" s="1" customFormat="1" x14ac:dyDescent="0.25">
      <c r="A772" s="597"/>
      <c r="W772" s="2"/>
    </row>
    <row r="773" spans="1:23" s="1" customFormat="1" x14ac:dyDescent="0.25">
      <c r="A773" s="597"/>
      <c r="W773" s="2"/>
    </row>
    <row r="774" spans="1:23" s="1" customFormat="1" x14ac:dyDescent="0.25">
      <c r="A774" s="597"/>
      <c r="W774" s="2"/>
    </row>
    <row r="775" spans="1:23" s="1" customFormat="1" x14ac:dyDescent="0.25">
      <c r="A775" s="597"/>
      <c r="W775" s="2"/>
    </row>
    <row r="776" spans="1:23" s="1" customFormat="1" x14ac:dyDescent="0.25">
      <c r="A776" s="597"/>
      <c r="W776" s="2"/>
    </row>
    <row r="777" spans="1:23" s="1" customFormat="1" x14ac:dyDescent="0.25">
      <c r="A777" s="597"/>
      <c r="W777" s="2"/>
    </row>
    <row r="778" spans="1:23" s="1" customFormat="1" x14ac:dyDescent="0.25">
      <c r="A778" s="597"/>
      <c r="W778" s="2"/>
    </row>
    <row r="779" spans="1:23" s="1" customFormat="1" x14ac:dyDescent="0.25">
      <c r="A779" s="597"/>
      <c r="W779" s="2"/>
    </row>
    <row r="780" spans="1:23" s="1" customFormat="1" x14ac:dyDescent="0.25">
      <c r="A780" s="597"/>
      <c r="W780" s="2"/>
    </row>
    <row r="781" spans="1:23" s="1" customFormat="1" x14ac:dyDescent="0.25">
      <c r="A781" s="597"/>
      <c r="W781" s="2"/>
    </row>
    <row r="782" spans="1:23" s="1" customFormat="1" x14ac:dyDescent="0.25">
      <c r="A782" s="597"/>
      <c r="W782" s="2"/>
    </row>
    <row r="783" spans="1:23" s="1" customFormat="1" x14ac:dyDescent="0.25">
      <c r="A783" s="597"/>
      <c r="W783" s="2"/>
    </row>
    <row r="784" spans="1:23" s="1" customFormat="1" x14ac:dyDescent="0.25">
      <c r="A784" s="597"/>
      <c r="W784" s="2"/>
    </row>
    <row r="785" spans="1:23" s="1" customFormat="1" x14ac:dyDescent="0.25">
      <c r="A785" s="597"/>
      <c r="W785" s="2"/>
    </row>
    <row r="786" spans="1:23" s="1" customFormat="1" x14ac:dyDescent="0.25">
      <c r="A786" s="597"/>
      <c r="W786" s="2"/>
    </row>
    <row r="787" spans="1:23" s="1" customFormat="1" x14ac:dyDescent="0.25">
      <c r="A787" s="597"/>
      <c r="W787" s="2"/>
    </row>
    <row r="788" spans="1:23" s="1" customFormat="1" x14ac:dyDescent="0.25">
      <c r="A788" s="597"/>
      <c r="W788" s="2"/>
    </row>
    <row r="789" spans="1:23" s="1" customFormat="1" x14ac:dyDescent="0.25">
      <c r="A789" s="597"/>
      <c r="W789" s="2"/>
    </row>
    <row r="790" spans="1:23" s="1" customFormat="1" x14ac:dyDescent="0.25">
      <c r="A790" s="597"/>
      <c r="W790" s="2"/>
    </row>
    <row r="791" spans="1:23" s="1" customFormat="1" x14ac:dyDescent="0.25">
      <c r="A791" s="597"/>
      <c r="W791" s="2"/>
    </row>
    <row r="792" spans="1:23" s="1" customFormat="1" x14ac:dyDescent="0.25">
      <c r="A792" s="597"/>
      <c r="W792" s="2"/>
    </row>
    <row r="793" spans="1:23" s="1" customFormat="1" x14ac:dyDescent="0.25">
      <c r="A793" s="597"/>
      <c r="W793" s="2"/>
    </row>
    <row r="794" spans="1:23" s="1" customFormat="1" x14ac:dyDescent="0.25">
      <c r="A794" s="597"/>
      <c r="W794" s="2"/>
    </row>
    <row r="795" spans="1:23" s="1" customFormat="1" x14ac:dyDescent="0.25">
      <c r="A795" s="597"/>
      <c r="W795" s="2"/>
    </row>
    <row r="796" spans="1:23" s="1" customFormat="1" x14ac:dyDescent="0.25">
      <c r="A796" s="597"/>
      <c r="W796" s="2"/>
    </row>
    <row r="797" spans="1:23" s="1" customFormat="1" x14ac:dyDescent="0.25">
      <c r="A797" s="597"/>
      <c r="W797" s="2"/>
    </row>
    <row r="798" spans="1:23" s="1" customFormat="1" x14ac:dyDescent="0.25">
      <c r="A798" s="597"/>
      <c r="W798" s="2"/>
    </row>
    <row r="799" spans="1:23" s="1" customFormat="1" x14ac:dyDescent="0.25">
      <c r="A799" s="597"/>
      <c r="W799" s="2"/>
    </row>
    <row r="800" spans="1:23" s="1" customFormat="1" x14ac:dyDescent="0.25">
      <c r="A800" s="597"/>
      <c r="W800" s="2"/>
    </row>
    <row r="801" spans="1:23" s="1" customFormat="1" x14ac:dyDescent="0.25">
      <c r="A801" s="597"/>
      <c r="W801" s="2"/>
    </row>
    <row r="802" spans="1:23" s="1" customFormat="1" x14ac:dyDescent="0.25">
      <c r="A802" s="597"/>
      <c r="W802" s="2"/>
    </row>
    <row r="803" spans="1:23" s="1" customFormat="1" x14ac:dyDescent="0.25">
      <c r="A803" s="597"/>
      <c r="W803" s="2"/>
    </row>
    <row r="804" spans="1:23" s="1" customFormat="1" x14ac:dyDescent="0.25">
      <c r="A804" s="597"/>
      <c r="W804" s="2"/>
    </row>
    <row r="805" spans="1:23" s="1" customFormat="1" x14ac:dyDescent="0.25">
      <c r="A805" s="597"/>
      <c r="W805" s="2"/>
    </row>
    <row r="806" spans="1:23" s="1" customFormat="1" x14ac:dyDescent="0.25">
      <c r="A806" s="597"/>
      <c r="W806" s="2"/>
    </row>
    <row r="807" spans="1:23" s="1" customFormat="1" x14ac:dyDescent="0.25">
      <c r="A807" s="597"/>
      <c r="W807" s="2"/>
    </row>
    <row r="808" spans="1:23" s="1" customFormat="1" x14ac:dyDescent="0.25">
      <c r="A808" s="597"/>
      <c r="W808" s="2"/>
    </row>
    <row r="809" spans="1:23" s="1" customFormat="1" x14ac:dyDescent="0.25">
      <c r="A809" s="597"/>
      <c r="W809" s="2"/>
    </row>
    <row r="810" spans="1:23" s="1" customFormat="1" x14ac:dyDescent="0.25">
      <c r="A810" s="597"/>
      <c r="W810" s="2"/>
    </row>
    <row r="811" spans="1:23" s="1" customFormat="1" x14ac:dyDescent="0.25">
      <c r="A811" s="597"/>
      <c r="W811" s="2"/>
    </row>
    <row r="812" spans="1:23" s="1" customFormat="1" x14ac:dyDescent="0.25">
      <c r="A812" s="597"/>
      <c r="W812" s="2"/>
    </row>
    <row r="813" spans="1:23" s="1" customFormat="1" x14ac:dyDescent="0.25">
      <c r="A813" s="597"/>
      <c r="W813" s="2"/>
    </row>
    <row r="814" spans="1:23" s="1" customFormat="1" x14ac:dyDescent="0.25">
      <c r="A814" s="597"/>
      <c r="W814" s="2"/>
    </row>
    <row r="815" spans="1:23" s="1" customFormat="1" x14ac:dyDescent="0.25">
      <c r="A815" s="597"/>
      <c r="W815" s="2"/>
    </row>
    <row r="816" spans="1:23" s="1" customFormat="1" x14ac:dyDescent="0.25">
      <c r="A816" s="597"/>
      <c r="W816" s="2"/>
    </row>
    <row r="817" spans="1:23" s="1" customFormat="1" x14ac:dyDescent="0.25">
      <c r="A817" s="597"/>
      <c r="W817" s="2"/>
    </row>
    <row r="818" spans="1:23" s="1" customFormat="1" x14ac:dyDescent="0.25">
      <c r="A818" s="597"/>
      <c r="W818" s="2"/>
    </row>
    <row r="819" spans="1:23" s="1" customFormat="1" x14ac:dyDescent="0.25">
      <c r="A819" s="597"/>
      <c r="W819" s="2"/>
    </row>
    <row r="820" spans="1:23" s="1" customFormat="1" x14ac:dyDescent="0.25">
      <c r="A820" s="597"/>
      <c r="W820" s="2"/>
    </row>
    <row r="821" spans="1:23" s="1" customFormat="1" x14ac:dyDescent="0.25">
      <c r="A821" s="597"/>
      <c r="W821" s="2"/>
    </row>
    <row r="822" spans="1:23" s="1" customFormat="1" x14ac:dyDescent="0.25">
      <c r="A822" s="597"/>
      <c r="W822" s="2"/>
    </row>
    <row r="823" spans="1:23" s="1" customFormat="1" x14ac:dyDescent="0.25">
      <c r="A823" s="597"/>
      <c r="W823" s="2"/>
    </row>
    <row r="824" spans="1:23" s="1" customFormat="1" x14ac:dyDescent="0.25">
      <c r="A824" s="597"/>
      <c r="W824" s="2"/>
    </row>
    <row r="825" spans="1:23" s="1" customFormat="1" x14ac:dyDescent="0.25">
      <c r="A825" s="597"/>
      <c r="W825" s="2"/>
    </row>
    <row r="826" spans="1:23" s="1" customFormat="1" x14ac:dyDescent="0.25">
      <c r="A826" s="597"/>
      <c r="W826" s="2"/>
    </row>
    <row r="827" spans="1:23" s="1" customFormat="1" x14ac:dyDescent="0.25">
      <c r="A827" s="597"/>
      <c r="W827" s="2"/>
    </row>
    <row r="828" spans="1:23" s="1" customFormat="1" x14ac:dyDescent="0.25">
      <c r="A828" s="597"/>
      <c r="W828" s="2"/>
    </row>
    <row r="829" spans="1:23" s="1" customFormat="1" x14ac:dyDescent="0.25">
      <c r="A829" s="597"/>
      <c r="W829" s="2"/>
    </row>
    <row r="830" spans="1:23" s="1" customFormat="1" x14ac:dyDescent="0.25">
      <c r="A830" s="597"/>
      <c r="W830" s="2"/>
    </row>
    <row r="831" spans="1:23" s="1" customFormat="1" x14ac:dyDescent="0.25">
      <c r="A831" s="597"/>
      <c r="W831" s="2"/>
    </row>
    <row r="832" spans="1:23" s="1" customFormat="1" x14ac:dyDescent="0.25">
      <c r="A832" s="597"/>
      <c r="W832" s="2"/>
    </row>
    <row r="833" spans="1:23" s="1" customFormat="1" x14ac:dyDescent="0.25">
      <c r="A833" s="597"/>
      <c r="W833" s="2"/>
    </row>
    <row r="834" spans="1:23" s="1" customFormat="1" x14ac:dyDescent="0.25">
      <c r="A834" s="597"/>
      <c r="W834" s="2"/>
    </row>
    <row r="835" spans="1:23" s="1" customFormat="1" x14ac:dyDescent="0.25">
      <c r="A835" s="597"/>
      <c r="W835" s="2"/>
    </row>
    <row r="836" spans="1:23" s="1" customFormat="1" x14ac:dyDescent="0.25">
      <c r="A836" s="597"/>
      <c r="W836" s="2"/>
    </row>
    <row r="837" spans="1:23" s="1" customFormat="1" x14ac:dyDescent="0.25">
      <c r="A837" s="597"/>
      <c r="W837" s="2"/>
    </row>
    <row r="838" spans="1:23" s="1" customFormat="1" x14ac:dyDescent="0.25">
      <c r="A838" s="597"/>
      <c r="W838" s="2"/>
    </row>
    <row r="839" spans="1:23" s="1" customFormat="1" x14ac:dyDescent="0.25">
      <c r="A839" s="597"/>
      <c r="W839" s="2"/>
    </row>
    <row r="840" spans="1:23" s="1" customFormat="1" x14ac:dyDescent="0.25">
      <c r="A840" s="597"/>
      <c r="W840" s="2"/>
    </row>
    <row r="841" spans="1:23" s="1" customFormat="1" x14ac:dyDescent="0.25">
      <c r="A841" s="597"/>
      <c r="W841" s="2"/>
    </row>
    <row r="842" spans="1:23" s="1" customFormat="1" x14ac:dyDescent="0.25">
      <c r="A842" s="597"/>
      <c r="W842" s="2"/>
    </row>
    <row r="843" spans="1:23" s="1" customFormat="1" x14ac:dyDescent="0.25">
      <c r="A843" s="597"/>
      <c r="W843" s="2"/>
    </row>
    <row r="844" spans="1:23" s="1" customFormat="1" x14ac:dyDescent="0.25">
      <c r="A844" s="597"/>
      <c r="W844" s="2"/>
    </row>
    <row r="845" spans="1:23" s="1" customFormat="1" x14ac:dyDescent="0.25">
      <c r="A845" s="597"/>
      <c r="W845" s="2"/>
    </row>
    <row r="846" spans="1:23" s="1" customFormat="1" x14ac:dyDescent="0.25">
      <c r="A846" s="597"/>
      <c r="W846" s="2"/>
    </row>
    <row r="847" spans="1:23" s="1" customFormat="1" x14ac:dyDescent="0.25">
      <c r="A847" s="597"/>
      <c r="W847" s="2"/>
    </row>
    <row r="848" spans="1:23" s="1" customFormat="1" x14ac:dyDescent="0.25">
      <c r="A848" s="597"/>
      <c r="W848" s="2"/>
    </row>
    <row r="849" spans="1:23" s="1" customFormat="1" x14ac:dyDescent="0.25">
      <c r="A849" s="597"/>
      <c r="W849" s="2"/>
    </row>
    <row r="850" spans="1:23" s="1" customFormat="1" x14ac:dyDescent="0.25">
      <c r="A850" s="597"/>
      <c r="W850" s="2"/>
    </row>
    <row r="851" spans="1:23" s="1" customFormat="1" x14ac:dyDescent="0.25">
      <c r="A851" s="597"/>
      <c r="W851" s="2"/>
    </row>
    <row r="852" spans="1:23" s="1" customFormat="1" x14ac:dyDescent="0.25">
      <c r="A852" s="597"/>
      <c r="W852" s="2"/>
    </row>
    <row r="853" spans="1:23" s="1" customFormat="1" x14ac:dyDescent="0.25">
      <c r="A853" s="597"/>
      <c r="W853" s="2"/>
    </row>
    <row r="854" spans="1:23" s="1" customFormat="1" x14ac:dyDescent="0.25">
      <c r="A854" s="597"/>
      <c r="W854" s="2"/>
    </row>
    <row r="855" spans="1:23" s="1" customFormat="1" x14ac:dyDescent="0.25">
      <c r="A855" s="597"/>
      <c r="W855" s="2"/>
    </row>
    <row r="856" spans="1:23" s="1" customFormat="1" x14ac:dyDescent="0.25">
      <c r="A856" s="597"/>
      <c r="W856" s="2"/>
    </row>
    <row r="857" spans="1:23" s="1" customFormat="1" x14ac:dyDescent="0.25">
      <c r="A857" s="597"/>
      <c r="W857" s="2"/>
    </row>
    <row r="858" spans="1:23" s="1" customFormat="1" x14ac:dyDescent="0.25">
      <c r="A858" s="597"/>
      <c r="W858" s="2"/>
    </row>
    <row r="859" spans="1:23" s="1" customFormat="1" x14ac:dyDescent="0.25">
      <c r="A859" s="597"/>
      <c r="W859" s="2"/>
    </row>
    <row r="860" spans="1:23" s="1" customFormat="1" x14ac:dyDescent="0.25">
      <c r="A860" s="597"/>
      <c r="W860" s="2"/>
    </row>
    <row r="861" spans="1:23" s="1" customFormat="1" x14ac:dyDescent="0.25">
      <c r="A861" s="597"/>
      <c r="W861" s="2"/>
    </row>
    <row r="862" spans="1:23" s="1" customFormat="1" x14ac:dyDescent="0.25">
      <c r="A862" s="597"/>
      <c r="W862" s="2"/>
    </row>
    <row r="863" spans="1:23" s="1" customFormat="1" x14ac:dyDescent="0.25">
      <c r="A863" s="597"/>
      <c r="W863" s="2"/>
    </row>
    <row r="864" spans="1:23" s="1" customFormat="1" x14ac:dyDescent="0.25">
      <c r="A864" s="597"/>
      <c r="W864" s="2"/>
    </row>
    <row r="865" spans="1:23" s="1" customFormat="1" x14ac:dyDescent="0.25">
      <c r="A865" s="597"/>
      <c r="W865" s="2"/>
    </row>
    <row r="866" spans="1:23" s="1" customFormat="1" x14ac:dyDescent="0.25">
      <c r="A866" s="597"/>
      <c r="W866" s="2"/>
    </row>
    <row r="867" spans="1:23" s="1" customFormat="1" x14ac:dyDescent="0.25">
      <c r="A867" s="597"/>
      <c r="W867" s="2"/>
    </row>
    <row r="868" spans="1:23" s="1" customFormat="1" x14ac:dyDescent="0.25">
      <c r="A868" s="597"/>
      <c r="W868" s="2"/>
    </row>
    <row r="869" spans="1:23" s="1" customFormat="1" x14ac:dyDescent="0.25">
      <c r="A869" s="597"/>
      <c r="W869" s="2"/>
    </row>
    <row r="870" spans="1:23" s="1" customFormat="1" x14ac:dyDescent="0.25">
      <c r="A870" s="597"/>
      <c r="W870" s="2"/>
    </row>
    <row r="871" spans="1:23" s="1" customFormat="1" x14ac:dyDescent="0.25">
      <c r="A871" s="597"/>
      <c r="W871" s="2"/>
    </row>
    <row r="872" spans="1:23" s="1" customFormat="1" x14ac:dyDescent="0.25">
      <c r="A872" s="597"/>
      <c r="W872" s="2"/>
    </row>
    <row r="873" spans="1:23" s="1" customFormat="1" x14ac:dyDescent="0.25">
      <c r="A873" s="597"/>
      <c r="W873" s="2"/>
    </row>
    <row r="874" spans="1:23" s="1" customFormat="1" x14ac:dyDescent="0.25">
      <c r="A874" s="597"/>
      <c r="W874" s="2"/>
    </row>
    <row r="875" spans="1:23" s="1" customFormat="1" x14ac:dyDescent="0.25">
      <c r="A875" s="597"/>
      <c r="W875" s="2"/>
    </row>
    <row r="876" spans="1:23" s="1" customFormat="1" x14ac:dyDescent="0.25">
      <c r="A876" s="597"/>
      <c r="W876" s="2"/>
    </row>
    <row r="877" spans="1:23" s="1" customFormat="1" x14ac:dyDescent="0.25">
      <c r="A877" s="597"/>
      <c r="W877" s="2"/>
    </row>
    <row r="878" spans="1:23" s="1" customFormat="1" x14ac:dyDescent="0.25">
      <c r="A878" s="597"/>
      <c r="W878" s="2"/>
    </row>
    <row r="879" spans="1:23" s="1" customFormat="1" x14ac:dyDescent="0.25">
      <c r="A879" s="597"/>
      <c r="W879" s="2"/>
    </row>
    <row r="880" spans="1:23" s="1" customFormat="1" x14ac:dyDescent="0.25">
      <c r="A880" s="597"/>
      <c r="W880" s="2"/>
    </row>
    <row r="881" spans="1:23" s="1" customFormat="1" x14ac:dyDescent="0.25">
      <c r="A881" s="597"/>
      <c r="W881" s="2"/>
    </row>
    <row r="882" spans="1:23" s="1" customFormat="1" x14ac:dyDescent="0.25">
      <c r="A882" s="597"/>
      <c r="W882" s="2"/>
    </row>
    <row r="883" spans="1:23" s="1" customFormat="1" x14ac:dyDescent="0.25">
      <c r="A883" s="597"/>
      <c r="W883" s="2"/>
    </row>
    <row r="884" spans="1:23" s="1" customFormat="1" x14ac:dyDescent="0.25">
      <c r="A884" s="597"/>
      <c r="W884" s="2"/>
    </row>
    <row r="885" spans="1:23" s="1" customFormat="1" x14ac:dyDescent="0.25">
      <c r="A885" s="597"/>
      <c r="W885" s="2"/>
    </row>
    <row r="886" spans="1:23" s="1" customFormat="1" x14ac:dyDescent="0.25">
      <c r="A886" s="597"/>
      <c r="W886" s="2"/>
    </row>
    <row r="887" spans="1:23" s="1" customFormat="1" x14ac:dyDescent="0.25">
      <c r="A887" s="597"/>
      <c r="W887" s="2"/>
    </row>
    <row r="888" spans="1:23" s="1" customFormat="1" x14ac:dyDescent="0.25">
      <c r="A888" s="597"/>
      <c r="W888" s="2"/>
    </row>
    <row r="889" spans="1:23" s="1" customFormat="1" x14ac:dyDescent="0.25">
      <c r="A889" s="597"/>
      <c r="W889" s="2"/>
    </row>
    <row r="890" spans="1:23" s="1" customFormat="1" x14ac:dyDescent="0.25">
      <c r="A890" s="597"/>
      <c r="W890" s="2"/>
    </row>
    <row r="891" spans="1:23" s="1" customFormat="1" x14ac:dyDescent="0.25">
      <c r="A891" s="597"/>
      <c r="W891" s="2"/>
    </row>
    <row r="892" spans="1:23" s="1" customFormat="1" x14ac:dyDescent="0.25">
      <c r="A892" s="597"/>
      <c r="W892" s="2"/>
    </row>
    <row r="893" spans="1:23" s="1" customFormat="1" x14ac:dyDescent="0.25">
      <c r="A893" s="597"/>
      <c r="W893" s="2"/>
    </row>
    <row r="894" spans="1:23" s="1" customFormat="1" x14ac:dyDescent="0.25">
      <c r="A894" s="597"/>
      <c r="W894" s="2"/>
    </row>
    <row r="895" spans="1:23" s="1" customFormat="1" x14ac:dyDescent="0.25">
      <c r="A895" s="597"/>
      <c r="W895" s="2"/>
    </row>
    <row r="896" spans="1:23" s="1" customFormat="1" x14ac:dyDescent="0.25">
      <c r="A896" s="597"/>
      <c r="W896" s="2"/>
    </row>
    <row r="897" spans="1:23" s="1" customFormat="1" x14ac:dyDescent="0.25">
      <c r="A897" s="597"/>
      <c r="W897" s="2"/>
    </row>
    <row r="898" spans="1:23" s="1" customFormat="1" x14ac:dyDescent="0.25">
      <c r="A898" s="597"/>
      <c r="W898" s="2"/>
    </row>
    <row r="899" spans="1:23" s="1" customFormat="1" x14ac:dyDescent="0.25">
      <c r="A899" s="597"/>
      <c r="W899" s="2"/>
    </row>
    <row r="900" spans="1:23" s="1" customFormat="1" x14ac:dyDescent="0.25">
      <c r="A900" s="597"/>
      <c r="W900" s="2"/>
    </row>
    <row r="901" spans="1:23" s="1" customFormat="1" x14ac:dyDescent="0.25">
      <c r="A901" s="597"/>
      <c r="W901" s="2"/>
    </row>
    <row r="902" spans="1:23" s="1" customFormat="1" x14ac:dyDescent="0.25">
      <c r="A902" s="597"/>
      <c r="W902" s="2"/>
    </row>
    <row r="903" spans="1:23" s="1" customFormat="1" x14ac:dyDescent="0.25">
      <c r="A903" s="597"/>
      <c r="W903" s="2"/>
    </row>
    <row r="904" spans="1:23" s="1" customFormat="1" x14ac:dyDescent="0.25">
      <c r="A904" s="597"/>
      <c r="W904" s="2"/>
    </row>
    <row r="905" spans="1:23" s="1" customFormat="1" x14ac:dyDescent="0.25">
      <c r="A905" s="597"/>
      <c r="W905" s="2"/>
    </row>
    <row r="906" spans="1:23" s="1" customFormat="1" x14ac:dyDescent="0.25">
      <c r="A906" s="597"/>
      <c r="W906" s="2"/>
    </row>
    <row r="907" spans="1:23" s="1" customFormat="1" x14ac:dyDescent="0.25">
      <c r="A907" s="597"/>
      <c r="W907" s="2"/>
    </row>
    <row r="908" spans="1:23" s="1" customFormat="1" x14ac:dyDescent="0.25">
      <c r="A908" s="597"/>
      <c r="W908" s="2"/>
    </row>
    <row r="909" spans="1:23" s="1" customFormat="1" x14ac:dyDescent="0.25">
      <c r="A909" s="597"/>
      <c r="W909" s="2"/>
    </row>
    <row r="910" spans="1:23" s="1" customFormat="1" x14ac:dyDescent="0.25">
      <c r="A910" s="597"/>
      <c r="W910" s="2"/>
    </row>
    <row r="911" spans="1:23" s="1" customFormat="1" x14ac:dyDescent="0.25">
      <c r="A911" s="597"/>
      <c r="W911" s="2"/>
    </row>
    <row r="912" spans="1:23" s="1" customFormat="1" x14ac:dyDescent="0.25">
      <c r="A912" s="597"/>
      <c r="W912" s="2"/>
    </row>
    <row r="913" spans="1:23" s="1" customFormat="1" x14ac:dyDescent="0.25">
      <c r="A913" s="597"/>
      <c r="W913" s="2"/>
    </row>
    <row r="914" spans="1:23" s="1" customFormat="1" x14ac:dyDescent="0.25">
      <c r="A914" s="597"/>
      <c r="W914" s="2"/>
    </row>
    <row r="915" spans="1:23" s="1" customFormat="1" x14ac:dyDescent="0.25">
      <c r="A915" s="597"/>
      <c r="W915" s="2"/>
    </row>
    <row r="916" spans="1:23" s="1" customFormat="1" x14ac:dyDescent="0.25">
      <c r="A916" s="597"/>
      <c r="W916" s="2"/>
    </row>
    <row r="917" spans="1:23" s="1" customFormat="1" x14ac:dyDescent="0.25">
      <c r="A917" s="597"/>
      <c r="W917" s="2"/>
    </row>
    <row r="918" spans="1:23" s="1" customFormat="1" x14ac:dyDescent="0.25">
      <c r="A918" s="597"/>
      <c r="W918" s="2"/>
    </row>
    <row r="919" spans="1:23" s="1" customFormat="1" x14ac:dyDescent="0.25">
      <c r="A919" s="597"/>
      <c r="W919" s="2"/>
    </row>
    <row r="920" spans="1:23" s="1" customFormat="1" x14ac:dyDescent="0.25">
      <c r="A920" s="597"/>
      <c r="W920" s="2"/>
    </row>
    <row r="921" spans="1:23" s="1" customFormat="1" x14ac:dyDescent="0.25">
      <c r="A921" s="597"/>
      <c r="W921" s="2"/>
    </row>
    <row r="922" spans="1:23" s="1" customFormat="1" x14ac:dyDescent="0.25">
      <c r="A922" s="597"/>
      <c r="W922" s="2"/>
    </row>
    <row r="923" spans="1:23" s="1" customFormat="1" x14ac:dyDescent="0.25">
      <c r="A923" s="597"/>
      <c r="W923" s="2"/>
    </row>
    <row r="924" spans="1:23" s="1" customFormat="1" x14ac:dyDescent="0.25">
      <c r="A924" s="597"/>
      <c r="W924" s="2"/>
    </row>
    <row r="925" spans="1:23" s="1" customFormat="1" x14ac:dyDescent="0.25">
      <c r="A925" s="597"/>
      <c r="W925" s="2"/>
    </row>
    <row r="926" spans="1:23" s="1" customFormat="1" x14ac:dyDescent="0.25">
      <c r="A926" s="597"/>
      <c r="W926" s="2"/>
    </row>
    <row r="927" spans="1:23" s="1" customFormat="1" x14ac:dyDescent="0.25">
      <c r="A927" s="597"/>
      <c r="W927" s="2"/>
    </row>
    <row r="928" spans="1:23" s="1" customFormat="1" x14ac:dyDescent="0.25">
      <c r="A928" s="597"/>
      <c r="W928" s="2"/>
    </row>
    <row r="929" spans="1:23" s="1" customFormat="1" x14ac:dyDescent="0.25">
      <c r="A929" s="597"/>
      <c r="W929" s="2"/>
    </row>
    <row r="930" spans="1:23" s="1" customFormat="1" x14ac:dyDescent="0.25">
      <c r="A930" s="597"/>
      <c r="W930" s="2"/>
    </row>
    <row r="931" spans="1:23" s="1" customFormat="1" x14ac:dyDescent="0.25">
      <c r="A931" s="597"/>
      <c r="W931" s="2"/>
    </row>
    <row r="932" spans="1:23" s="1" customFormat="1" x14ac:dyDescent="0.25">
      <c r="A932" s="597"/>
      <c r="W932" s="2"/>
    </row>
    <row r="933" spans="1:23" s="1" customFormat="1" x14ac:dyDescent="0.25">
      <c r="A933" s="597"/>
      <c r="W933" s="2"/>
    </row>
    <row r="934" spans="1:23" s="1" customFormat="1" x14ac:dyDescent="0.25">
      <c r="A934" s="597"/>
      <c r="W934" s="2"/>
    </row>
    <row r="935" spans="1:23" s="1" customFormat="1" x14ac:dyDescent="0.25">
      <c r="A935" s="597"/>
      <c r="W935" s="2"/>
    </row>
    <row r="936" spans="1:23" s="1" customFormat="1" x14ac:dyDescent="0.25">
      <c r="A936" s="597"/>
      <c r="W936" s="2"/>
    </row>
    <row r="937" spans="1:23" s="1" customFormat="1" x14ac:dyDescent="0.25">
      <c r="A937" s="597"/>
      <c r="W937" s="2"/>
    </row>
    <row r="938" spans="1:23" s="1" customFormat="1" x14ac:dyDescent="0.25">
      <c r="A938" s="597"/>
      <c r="W938" s="2"/>
    </row>
    <row r="939" spans="1:23" s="1" customFormat="1" x14ac:dyDescent="0.25">
      <c r="A939" s="597"/>
      <c r="W939" s="2"/>
    </row>
    <row r="940" spans="1:23" s="1" customFormat="1" x14ac:dyDescent="0.25">
      <c r="A940" s="597"/>
      <c r="W940" s="2"/>
    </row>
    <row r="941" spans="1:23" s="1" customFormat="1" x14ac:dyDescent="0.25">
      <c r="A941" s="597"/>
      <c r="W941" s="2"/>
    </row>
    <row r="942" spans="1:23" s="1" customFormat="1" x14ac:dyDescent="0.25">
      <c r="A942" s="597"/>
      <c r="W942" s="2"/>
    </row>
    <row r="943" spans="1:23" s="1" customFormat="1" x14ac:dyDescent="0.25">
      <c r="A943" s="597"/>
      <c r="W943" s="2"/>
    </row>
    <row r="944" spans="1:23" s="1" customFormat="1" x14ac:dyDescent="0.25">
      <c r="A944" s="597"/>
      <c r="W944" s="2"/>
    </row>
    <row r="945" spans="1:23" s="1" customFormat="1" x14ac:dyDescent="0.25">
      <c r="A945" s="597"/>
      <c r="W945" s="2"/>
    </row>
    <row r="946" spans="1:23" s="1" customFormat="1" x14ac:dyDescent="0.25">
      <c r="A946" s="597"/>
      <c r="W946" s="2"/>
    </row>
    <row r="947" spans="1:23" s="1" customFormat="1" x14ac:dyDescent="0.25">
      <c r="A947" s="597"/>
      <c r="W947" s="2"/>
    </row>
    <row r="948" spans="1:23" s="1" customFormat="1" x14ac:dyDescent="0.25">
      <c r="A948" s="597"/>
      <c r="W948" s="2"/>
    </row>
    <row r="949" spans="1:23" s="1" customFormat="1" x14ac:dyDescent="0.25">
      <c r="A949" s="597"/>
      <c r="W949" s="2"/>
    </row>
    <row r="950" spans="1:23" s="1" customFormat="1" x14ac:dyDescent="0.25">
      <c r="A950" s="597"/>
      <c r="W950" s="2"/>
    </row>
    <row r="951" spans="1:23" s="1" customFormat="1" x14ac:dyDescent="0.25">
      <c r="A951" s="597"/>
      <c r="W951" s="2"/>
    </row>
    <row r="952" spans="1:23" s="1" customFormat="1" x14ac:dyDescent="0.25">
      <c r="A952" s="597"/>
      <c r="W952" s="2"/>
    </row>
    <row r="953" spans="1:23" s="1" customFormat="1" x14ac:dyDescent="0.25">
      <c r="A953" s="597"/>
      <c r="W953" s="2"/>
    </row>
    <row r="954" spans="1:23" s="1" customFormat="1" x14ac:dyDescent="0.25">
      <c r="A954" s="597"/>
      <c r="W954" s="2"/>
    </row>
  </sheetData>
  <mergeCells count="28">
    <mergeCell ref="B8:D8"/>
    <mergeCell ref="E8:H8"/>
    <mergeCell ref="I8:K8"/>
    <mergeCell ref="L8:O8"/>
    <mergeCell ref="P8:R8"/>
    <mergeCell ref="P5:R5"/>
    <mergeCell ref="S5:V5"/>
    <mergeCell ref="W5:Z5"/>
    <mergeCell ref="AA5:AD5"/>
    <mergeCell ref="W8:Z8"/>
    <mergeCell ref="AA8:AD8"/>
    <mergeCell ref="S8:V8"/>
    <mergeCell ref="A1:AE1"/>
    <mergeCell ref="A2:AE2"/>
    <mergeCell ref="A4:A8"/>
    <mergeCell ref="B4:D4"/>
    <mergeCell ref="E4:H4"/>
    <mergeCell ref="I4:K4"/>
    <mergeCell ref="L4:O4"/>
    <mergeCell ref="P4:R4"/>
    <mergeCell ref="S4:V4"/>
    <mergeCell ref="W4:Z4"/>
    <mergeCell ref="AA4:AD4"/>
    <mergeCell ref="AE4:AE8"/>
    <mergeCell ref="B5:D5"/>
    <mergeCell ref="E5:H5"/>
    <mergeCell ref="I5:K5"/>
    <mergeCell ref="L5:O5"/>
  </mergeCells>
  <pageMargins left="0.7" right="0.7" top="0.75" bottom="0.75" header="0.3" footer="0.3"/>
  <pageSetup paperSize="9" scale="70" orientation="landscape" r:id="rId1"/>
  <colBreaks count="1" manualBreakCount="1">
    <brk id="31"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26</vt:i4>
      </vt:variant>
    </vt:vector>
  </HeadingPairs>
  <TitlesOfParts>
    <vt:vector size="53" baseType="lpstr">
      <vt:lpstr>18.1</vt:lpstr>
      <vt:lpstr>18.2</vt:lpstr>
      <vt:lpstr>18.3</vt:lpstr>
      <vt:lpstr>18.4</vt:lpstr>
      <vt:lpstr>18.5</vt:lpstr>
      <vt:lpstr>18.6</vt:lpstr>
      <vt:lpstr>18.7</vt:lpstr>
      <vt:lpstr>18.8</vt:lpstr>
      <vt:lpstr>18.9</vt:lpstr>
      <vt:lpstr>18.10</vt:lpstr>
      <vt:lpstr>18.11</vt:lpstr>
      <vt:lpstr>18.12</vt:lpstr>
      <vt:lpstr>18.13</vt:lpstr>
      <vt:lpstr>18.14</vt:lpstr>
      <vt:lpstr>18.15</vt:lpstr>
      <vt:lpstr>18.16</vt:lpstr>
      <vt:lpstr>18.17</vt:lpstr>
      <vt:lpstr>18.18</vt:lpstr>
      <vt:lpstr>18.19</vt:lpstr>
      <vt:lpstr>18.20</vt:lpstr>
      <vt:lpstr>18.21</vt:lpstr>
      <vt:lpstr>18.22</vt:lpstr>
      <vt:lpstr>18.23</vt:lpstr>
      <vt:lpstr>11.24</vt:lpstr>
      <vt:lpstr>11.25</vt:lpstr>
      <vt:lpstr>11.26</vt:lpstr>
      <vt:lpstr>11.27</vt:lpstr>
      <vt:lpstr>'11.24'!Print_Area</vt:lpstr>
      <vt:lpstr>'11.25'!Print_Area</vt:lpstr>
      <vt:lpstr>'11.26'!Print_Area</vt:lpstr>
      <vt:lpstr>'11.27'!Print_Area</vt:lpstr>
      <vt:lpstr>'18.1'!Print_Area</vt:lpstr>
      <vt:lpstr>'18.11'!Print_Area</vt:lpstr>
      <vt:lpstr>'18.12'!Print_Area</vt:lpstr>
      <vt:lpstr>'18.13'!Print_Area</vt:lpstr>
      <vt:lpstr>'18.14'!Print_Area</vt:lpstr>
      <vt:lpstr>'18.16'!Print_Area</vt:lpstr>
      <vt:lpstr>'18.17'!Print_Area</vt:lpstr>
      <vt:lpstr>'18.18'!Print_Area</vt:lpstr>
      <vt:lpstr>'18.19'!Print_Area</vt:lpstr>
      <vt:lpstr>'18.20'!Print_Area</vt:lpstr>
      <vt:lpstr>'18.21'!Print_Area</vt:lpstr>
      <vt:lpstr>'18.22'!Print_Area</vt:lpstr>
      <vt:lpstr>'18.23'!Print_Area</vt:lpstr>
      <vt:lpstr>'18.3'!Print_Area</vt:lpstr>
      <vt:lpstr>'18.5'!Print_Area</vt:lpstr>
      <vt:lpstr>'18.6'!Print_Area</vt:lpstr>
      <vt:lpstr>'18.7'!Print_Area</vt:lpstr>
      <vt:lpstr>'18.8'!Print_Area</vt:lpstr>
      <vt:lpstr>'18.9'!Print_Area</vt:lpstr>
      <vt:lpstr>'11.27'!Print_Titles</vt:lpstr>
      <vt:lpstr>'18.17'!Print_Titles</vt:lpstr>
      <vt:lpstr>'18.23'!Print_Titles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Rasheeda Najeeb</cp:lastModifiedBy>
  <cp:lastPrinted>2016-07-10T07:55:39Z</cp:lastPrinted>
  <dcterms:created xsi:type="dcterms:W3CDTF">2013-03-14T06:06:17Z</dcterms:created>
  <dcterms:modified xsi:type="dcterms:W3CDTF">2016-08-11T08:34:01Z</dcterms:modified>
</cp:coreProperties>
</file>