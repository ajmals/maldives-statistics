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1" sheetId="15" r:id="rId1"/>
  </sheets>
  <externalReferences>
    <externalReference r:id="rId2"/>
  </externalReferences>
  <definedNames>
    <definedName name="_xlnm.Print_Area" localSheetId="0">'18.11'!$A$1:$O$62</definedName>
  </definedNames>
  <calcPr calcId="144525"/>
</workbook>
</file>

<file path=xl/calcChain.xml><?xml version="1.0" encoding="utf-8"?>
<calcChain xmlns="http://schemas.openxmlformats.org/spreadsheetml/2006/main">
  <c r="J7" i="15" l="1"/>
  <c r="J8" i="15"/>
  <c r="J9" i="15"/>
  <c r="J10" i="15"/>
  <c r="J11" i="15"/>
  <c r="J12" i="15"/>
  <c r="I8" i="15"/>
  <c r="I9" i="15"/>
  <c r="I10" i="15"/>
  <c r="I11" i="15"/>
  <c r="I12" i="15"/>
  <c r="I7" i="15"/>
  <c r="E8" i="15"/>
  <c r="E9" i="15"/>
  <c r="H9" i="15" s="1"/>
  <c r="E10" i="15"/>
  <c r="E11" i="15"/>
  <c r="E12" i="15"/>
  <c r="E7" i="15"/>
  <c r="B8" i="15"/>
  <c r="H8" i="15" s="1"/>
  <c r="B9" i="15"/>
  <c r="B10" i="15"/>
  <c r="H10" i="15" s="1"/>
  <c r="B11" i="15"/>
  <c r="H11" i="15" s="1"/>
  <c r="B12" i="15"/>
  <c r="H12" i="15" s="1"/>
  <c r="B7" i="15"/>
  <c r="H7" i="15" s="1"/>
  <c r="AL20" i="15" l="1"/>
  <c r="AQ19" i="15" s="1"/>
  <c r="AJ20" i="15"/>
  <c r="AJ21" i="15" s="1"/>
  <c r="AH24" i="15" s="1"/>
  <c r="AH20" i="15"/>
  <c r="AH21" i="15" s="1"/>
  <c r="AH23" i="15" s="1"/>
  <c r="AR19" i="15" l="1"/>
  <c r="AL21" i="15"/>
  <c r="AH25" i="15" s="1"/>
</calcChain>
</file>

<file path=xl/sharedStrings.xml><?xml version="1.0" encoding="utf-8"?>
<sst xmlns="http://schemas.openxmlformats.org/spreadsheetml/2006/main" count="45" uniqueCount="21">
  <si>
    <t>Male</t>
  </si>
  <si>
    <t>Female</t>
  </si>
  <si>
    <t>Total</t>
  </si>
  <si>
    <t>Year</t>
  </si>
  <si>
    <t>Public sector</t>
  </si>
  <si>
    <t>Private sector</t>
  </si>
  <si>
    <t>ފިރިހެން</t>
  </si>
  <si>
    <t>ޖުމްލަ</t>
  </si>
  <si>
    <t>Source: Maldives Pension Administration</t>
  </si>
  <si>
    <t xml:space="preserve">Male     </t>
  </si>
  <si>
    <t xml:space="preserve">Female        </t>
  </si>
  <si>
    <t>މަޢުލޫމާތު ދެއްވި ފަރާތް: މޯލްޑިވްސް ޕެންޝަން އެޑްމިނިސްޓްރޭޝަން</t>
  </si>
  <si>
    <t>total</t>
  </si>
  <si>
    <t>% sahre of females</t>
  </si>
  <si>
    <t xml:space="preserve">% share of females </t>
  </si>
  <si>
    <t>Note: 2013 figure is  revised</t>
  </si>
  <si>
    <t>2014ގެ މައުލޫމާތު އިސްލާޙުކުރެވިފައި.</t>
  </si>
  <si>
    <t xml:space="preserve">Total </t>
  </si>
  <si>
    <t>ތާވަލު  18.11 :ރިޓާޔަމަންޓް ޕެންޝަން ސްކީމްއަށް ޕަބްލިކް އަދި ޕްރައިވެޓް ސެކްޓަރއިން ފައިސާދެއްކި މީހުންގެ ޢަދަދު ، 2010 - 2015</t>
  </si>
  <si>
    <t>TABLE   18.11:  NUMBER OF MEMBERS CONTRIBUTING TO RETIREMENT PENSION SCHEME BY SECTOR AND SEX, 2010 - 2015</t>
  </si>
  <si>
    <t xml:space="preserve">އަންހެން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</si>
</sst>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7" fillId="0" borderId="0"/>
    <xf numFmtId="0" fontId="4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Border="1"/>
    <xf numFmtId="164" fontId="0" fillId="2" borderId="3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/>
    <xf numFmtId="0" fontId="0" fillId="2" borderId="0" xfId="0" applyFill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165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66" fontId="0" fillId="2" borderId="0" xfId="0" applyNumberFormat="1" applyFill="1"/>
    <xf numFmtId="0" fontId="2" fillId="2" borderId="1" xfId="0" applyFont="1" applyFill="1" applyBorder="1" applyAlignment="1">
      <alignment vertical="center"/>
    </xf>
    <xf numFmtId="3" fontId="0" fillId="2" borderId="0" xfId="0" applyNumberFormat="1" applyFill="1" applyBorder="1" applyAlignment="1">
      <alignment horizontal="right" vertical="center"/>
    </xf>
    <xf numFmtId="0" fontId="5" fillId="2" borderId="0" xfId="0" applyFont="1" applyFill="1"/>
    <xf numFmtId="0" fontId="6" fillId="2" borderId="0" xfId="0" applyFont="1" applyFill="1"/>
    <xf numFmtId="1" fontId="0" fillId="2" borderId="0" xfId="0" applyNumberFormat="1" applyFill="1" applyBorder="1" applyAlignment="1">
      <alignment horizontal="right" vertical="center"/>
    </xf>
    <xf numFmtId="164" fontId="0" fillId="2" borderId="0" xfId="0" applyNumberFormat="1" applyFill="1"/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9" xfId="1" applyNumberFormat="1" applyFont="1" applyFill="1" applyBorder="1" applyAlignment="1">
      <alignment horizontal="center" vertical="center"/>
    </xf>
    <xf numFmtId="164" fontId="0" fillId="2" borderId="11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/>
    <xf numFmtId="164" fontId="0" fillId="2" borderId="0" xfId="0" applyNumberFormat="1" applyFill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12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5" xfId="3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8317069340692"/>
          <c:y val="0.21741907261592458"/>
          <c:w val="0.86752235457747273"/>
          <c:h val="0.4818321668124843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28B2AF"/>
            </a:solidFill>
          </c:spPr>
          <c:invertIfNegative val="0"/>
          <c:cat>
            <c:multiLvlStrRef>
              <c:f>'18.11'!$AG$17:$AL$18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'18.11'!$AG$19:$AL$19</c:f>
              <c:numCache>
                <c:formatCode>General</c:formatCode>
                <c:ptCount val="6"/>
                <c:pt idx="0">
                  <c:v>19810</c:v>
                </c:pt>
                <c:pt idx="1">
                  <c:v>16003</c:v>
                </c:pt>
                <c:pt idx="2">
                  <c:v>36441</c:v>
                </c:pt>
                <c:pt idx="3">
                  <c:v>9668</c:v>
                </c:pt>
                <c:pt idx="4">
                  <c:v>56251</c:v>
                </c:pt>
                <c:pt idx="5">
                  <c:v>25671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977600"/>
        <c:axId val="52008064"/>
      </c:barChart>
      <c:catAx>
        <c:axId val="5197760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52008064"/>
        <c:crosses val="autoZero"/>
        <c:auto val="1"/>
        <c:lblAlgn val="ctr"/>
        <c:lblOffset val="100"/>
        <c:noMultiLvlLbl val="0"/>
      </c:catAx>
      <c:valAx>
        <c:axId val="5200806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3390403122686587E-2"/>
              <c:y val="0.1155110819480900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519776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rgbClr val="D4F5F4"/>
    </a:solidFill>
  </c:spPr>
  <c:printSettings>
    <c:headerFooter/>
    <c:pageMargins b="0.75000000000000366" l="0.70000000000000062" r="0.70000000000000062" t="0.75000000000000366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021297103670713E-2"/>
          <c:y val="0.21741907261592444"/>
          <c:w val="0.89795026596969252"/>
          <c:h val="0.59941528142315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'18.11'!$AH$22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'18.11'!$AG$23:$AG$24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'18.11'!$AH$23:$AH$24</c:f>
              <c:numCache>
                <c:formatCode>0.0</c:formatCode>
                <c:ptCount val="2"/>
                <c:pt idx="0">
                  <c:v>44.684890961382742</c:v>
                </c:pt>
                <c:pt idx="1">
                  <c:v>20.967706955258191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9"/>
        <c:overlap val="100"/>
        <c:axId val="52298880"/>
        <c:axId val="52300416"/>
      </c:barChart>
      <c:catAx>
        <c:axId val="52298880"/>
        <c:scaling>
          <c:orientation val="minMax"/>
        </c:scaling>
        <c:delete val="0"/>
        <c:axPos val="b"/>
        <c:majorTickMark val="out"/>
        <c:minorTickMark val="none"/>
        <c:tickLblPos val="nextTo"/>
        <c:crossAx val="52300416"/>
        <c:crosses val="autoZero"/>
        <c:auto val="1"/>
        <c:lblAlgn val="ctr"/>
        <c:lblOffset val="100"/>
        <c:noMultiLvlLbl val="0"/>
      </c:catAx>
      <c:valAx>
        <c:axId val="5230041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Percent</a:t>
                </a:r>
              </a:p>
            </c:rich>
          </c:tx>
          <c:layout>
            <c:manualLayout>
              <c:xMode val="edge"/>
              <c:yMode val="edge"/>
              <c:x val="1.5927187135132696E-2"/>
              <c:y val="0.1185039370078740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229888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37132247435308313"/>
          <c:y val="0.90238084793718332"/>
          <c:w val="0.29966491688538932"/>
          <c:h val="6.9789587582889182E-2"/>
        </c:manualLayout>
      </c:layout>
      <c:overlay val="0"/>
    </c:legend>
    <c:plotVisOnly val="1"/>
    <c:dispBlanksAs val="gap"/>
    <c:showDLblsOverMax val="0"/>
  </c:chart>
  <c:spPr>
    <a:solidFill>
      <a:srgbClr val="D4F5F4"/>
    </a:solidFill>
  </c:spPr>
  <c:printSettings>
    <c:headerFooter/>
    <c:pageMargins b="0.75000000000000366" l="0.70000000000000062" r="0.70000000000000062" t="0.75000000000000366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59560610479243"/>
          <c:y val="0.16363731426002026"/>
          <c:w val="0.5057303392631477"/>
          <c:h val="0.81601907331305101"/>
        </c:manualLayout>
      </c:layout>
      <c:pieChart>
        <c:varyColors val="1"/>
        <c:ser>
          <c:idx val="0"/>
          <c:order val="0"/>
          <c:explosion val="12"/>
          <c:dPt>
            <c:idx val="0"/>
            <c:bubble3D val="0"/>
            <c:spPr>
              <a:solidFill>
                <a:srgbClr val="28B2AF"/>
              </a:solidFill>
            </c:spPr>
          </c:dPt>
          <c:dPt>
            <c:idx val="1"/>
            <c:bubble3D val="0"/>
            <c:explosion val="1"/>
            <c:spPr>
              <a:solidFill>
                <a:srgbClr val="8DE5E3"/>
              </a:solidFill>
            </c:spPr>
          </c:dPt>
          <c:dLbls>
            <c:dLbl>
              <c:idx val="0"/>
              <c:layout>
                <c:manualLayout>
                  <c:x val="-0.16468467982598065"/>
                  <c:y val="-0.139245094363205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11662643097687075"/>
                  <c:y val="0.126045308166267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'18.11'!$AQ$18:$AR$18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'18.11'!$AQ$19:$AR$19</c:f>
              <c:numCache>
                <c:formatCode>0</c:formatCode>
                <c:ptCount val="2"/>
                <c:pt idx="0">
                  <c:v>68.664095114865361</c:v>
                </c:pt>
                <c:pt idx="1">
                  <c:v>31.335904885134642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66" l="0.70000000000000062" r="0.70000000000000062" t="0.75000000000000366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14</xdr:row>
      <xdr:rowOff>76200</xdr:rowOff>
    </xdr:from>
    <xdr:to>
      <xdr:col>8</xdr:col>
      <xdr:colOff>561975</xdr:colOff>
      <xdr:row>28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295274</xdr:colOff>
      <xdr:row>30</xdr:row>
      <xdr:rowOff>104775</xdr:rowOff>
    </xdr:from>
    <xdr:to>
      <xdr:col>8</xdr:col>
      <xdr:colOff>523875</xdr:colOff>
      <xdr:row>44</xdr:row>
      <xdr:rowOff>173355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266701</xdr:colOff>
      <xdr:row>45</xdr:row>
      <xdr:rowOff>160020</xdr:rowOff>
    </xdr:from>
    <xdr:to>
      <xdr:col>8</xdr:col>
      <xdr:colOff>533401</xdr:colOff>
      <xdr:row>60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342900</xdr:colOff>
      <xdr:row>16</xdr:row>
      <xdr:rowOff>85724</xdr:rowOff>
    </xdr:from>
    <xdr:to>
      <xdr:col>8</xdr:col>
      <xdr:colOff>238125</xdr:colOff>
      <xdr:row>16</xdr:row>
      <xdr:rowOff>85724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1981200" y="4210049"/>
          <a:ext cx="49244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381002</xdr:colOff>
      <xdr:row>32</xdr:row>
      <xdr:rowOff>142874</xdr:rowOff>
    </xdr:from>
    <xdr:to>
      <xdr:col>7</xdr:col>
      <xdr:colOff>447676</xdr:colOff>
      <xdr:row>32</xdr:row>
      <xdr:rowOff>142874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2019302" y="7315199"/>
          <a:ext cx="425767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638176</xdr:colOff>
      <xdr:row>48</xdr:row>
      <xdr:rowOff>66675</xdr:rowOff>
    </xdr:from>
    <xdr:to>
      <xdr:col>7</xdr:col>
      <xdr:colOff>733426</xdr:colOff>
      <xdr:row>48</xdr:row>
      <xdr:rowOff>76200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1438276" y="10287000"/>
          <a:ext cx="512445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0.11455</cdr:x>
      <cdr:y>0.0087</cdr:y>
    </cdr:from>
    <cdr:to>
      <cdr:x>0.96873</cdr:x>
      <cdr:y>0.15362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2940" y="22860"/>
          <a:ext cx="4943476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 fontAlgn="base"/>
          <a:r>
            <a:rPr lang="en-US" sz="1050" b="1" i="0" baseline="0">
              <a:latin typeface="Consolas" pitchFamily="49" charset="0"/>
              <a:ea typeface="+mn-ea"/>
              <a:cs typeface="Consolas" pitchFamily="49" charset="0"/>
            </a:rPr>
            <a:t>Figure 18.12: Number of persons contributing to retirement pension scheme by gender and sector, 2015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0.20736</cdr:x>
      <cdr:y>0.30797</cdr:y>
    </cdr:from>
    <cdr:to>
      <cdr:x>1</cdr:x>
      <cdr:y>0.55435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2536" y="809625"/>
          <a:ext cx="459486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0.10483</cdr:x>
      <cdr:y>0.00942</cdr:y>
    </cdr:from>
    <cdr:to>
      <cdr:x>0.91719</cdr:x>
      <cdr:y>0.15435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07696" y="24765"/>
          <a:ext cx="470916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>
              <a:latin typeface="Consolas" pitchFamily="49" charset="0"/>
              <a:ea typeface="+mn-ea"/>
              <a:cs typeface="Consolas" pitchFamily="49" charset="0"/>
            </a:rPr>
            <a:t>Figure 18.13: Percentage share of females contributing to retirement pension scheme by sector, 2015</a:t>
          </a:r>
          <a:endParaRPr lang="en-US" sz="105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0.01087</cdr:x>
      <cdr:y>0.02115</cdr:y>
    </cdr:from>
    <cdr:to>
      <cdr:x>0.95031</cdr:x>
      <cdr:y>0.1985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675" y="59066"/>
          <a:ext cx="5762624" cy="4952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18.14: Percentage share of  employees  contributing to the retirement pension scheme by sex,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25"/>
  <sheetViews>
    <sheetView tabSelected="1" zoomScaleNormal="100" workbookViewId="0">
      <selection activeCell="Q56" sqref="Q56"/>
    </sheetView>
  </sheetViews>
  <sheetFormatPr defaultColWidth="9.140625" defaultRowHeight="15" x14ac:dyDescent="0.25"/>
  <cols>
    <col min="1" max="1" width="12" style="1" customWidth="1"/>
    <col min="2" max="10" width="12.5703125" style="1" customWidth="1"/>
    <col min="11" max="11" width="7.7109375" style="1" hidden="1" customWidth="1"/>
    <col min="12" max="13" width="9.140625" style="1" hidden="1" customWidth="1"/>
    <col min="14" max="14" width="1.28515625" style="1" customWidth="1"/>
    <col min="15" max="16384" width="9.140625" style="1"/>
  </cols>
  <sheetData>
    <row r="1" spans="1:37" ht="21" x14ac:dyDescent="0.55000000000000004">
      <c r="A1" s="40" t="s">
        <v>18</v>
      </c>
      <c r="B1" s="40"/>
      <c r="C1" s="40"/>
      <c r="D1" s="40"/>
      <c r="E1" s="40"/>
      <c r="F1" s="40"/>
      <c r="G1" s="40"/>
      <c r="H1" s="40"/>
      <c r="I1" s="40"/>
      <c r="J1" s="40"/>
      <c r="M1" s="5"/>
    </row>
    <row r="2" spans="1:37" x14ac:dyDescent="0.25">
      <c r="A2" s="41" t="s">
        <v>19</v>
      </c>
      <c r="B2" s="41"/>
      <c r="C2" s="41"/>
      <c r="D2" s="41"/>
      <c r="E2" s="41"/>
      <c r="F2" s="41"/>
      <c r="G2" s="41"/>
      <c r="H2" s="41"/>
      <c r="I2" s="41"/>
      <c r="J2" s="41"/>
    </row>
    <row r="3" spans="1:37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37" x14ac:dyDescent="0.25">
      <c r="A4" s="42" t="s">
        <v>3</v>
      </c>
      <c r="B4" s="28"/>
      <c r="C4" s="16" t="s">
        <v>4</v>
      </c>
      <c r="D4" s="30"/>
      <c r="E4" s="47" t="s">
        <v>5</v>
      </c>
      <c r="F4" s="45"/>
      <c r="G4" s="48"/>
      <c r="H4" s="29"/>
      <c r="I4" s="31" t="s">
        <v>2</v>
      </c>
      <c r="J4" s="31"/>
    </row>
    <row r="5" spans="1:37" x14ac:dyDescent="0.25">
      <c r="A5" s="39"/>
      <c r="B5" s="9" t="s">
        <v>17</v>
      </c>
      <c r="C5" s="9" t="s">
        <v>0</v>
      </c>
      <c r="D5" s="37" t="s">
        <v>1</v>
      </c>
      <c r="E5" s="9" t="s">
        <v>17</v>
      </c>
      <c r="F5" s="9" t="s">
        <v>0</v>
      </c>
      <c r="G5" s="37" t="s">
        <v>1</v>
      </c>
      <c r="H5" s="9" t="s">
        <v>17</v>
      </c>
      <c r="I5" s="9" t="s">
        <v>0</v>
      </c>
      <c r="J5" s="9" t="s">
        <v>1</v>
      </c>
    </row>
    <row r="6" spans="1:37" ht="21" x14ac:dyDescent="0.55000000000000004">
      <c r="A6" s="43"/>
      <c r="B6" s="27" t="s">
        <v>7</v>
      </c>
      <c r="C6" s="27" t="s">
        <v>6</v>
      </c>
      <c r="D6" s="36" t="s">
        <v>20</v>
      </c>
      <c r="E6" s="27" t="s">
        <v>7</v>
      </c>
      <c r="F6" s="27" t="s">
        <v>6</v>
      </c>
      <c r="G6" s="36" t="s">
        <v>20</v>
      </c>
      <c r="H6" s="27" t="s">
        <v>7</v>
      </c>
      <c r="I6" s="27" t="s">
        <v>6</v>
      </c>
      <c r="J6" s="38" t="s">
        <v>20</v>
      </c>
    </row>
    <row r="7" spans="1:37" ht="26.25" customHeight="1" x14ac:dyDescent="0.25">
      <c r="A7" s="6">
        <v>2010</v>
      </c>
      <c r="B7" s="32">
        <f>SUM(C7:D7)</f>
        <v>30269</v>
      </c>
      <c r="C7" s="4">
        <v>19298</v>
      </c>
      <c r="D7" s="7">
        <v>10971</v>
      </c>
      <c r="E7" s="34">
        <f>SUM(F7:G7)</f>
        <v>252</v>
      </c>
      <c r="F7" s="4">
        <v>119</v>
      </c>
      <c r="G7" s="7">
        <v>133</v>
      </c>
      <c r="H7" s="34">
        <f>B7+E7</f>
        <v>30521</v>
      </c>
      <c r="I7" s="4">
        <f>C7+F7</f>
        <v>19417</v>
      </c>
      <c r="J7" s="35">
        <f>D7+G7</f>
        <v>11104</v>
      </c>
    </row>
    <row r="8" spans="1:37" ht="26.25" customHeight="1" x14ac:dyDescent="0.25">
      <c r="A8" s="6">
        <v>2011</v>
      </c>
      <c r="B8" s="32">
        <f t="shared" ref="B8:B12" si="0">SUM(C8:D8)</f>
        <v>21053</v>
      </c>
      <c r="C8" s="4">
        <v>13667</v>
      </c>
      <c r="D8" s="7">
        <v>7386</v>
      </c>
      <c r="E8" s="8">
        <f t="shared" ref="E8:E12" si="1">SUM(F8:G8)</f>
        <v>37950</v>
      </c>
      <c r="F8" s="4">
        <v>29781</v>
      </c>
      <c r="G8" s="7">
        <v>8169</v>
      </c>
      <c r="H8" s="8">
        <f t="shared" ref="H8:H12" si="2">B8+E8</f>
        <v>59003</v>
      </c>
      <c r="I8" s="4">
        <f t="shared" ref="I8:J12" si="3">C8+F8</f>
        <v>43448</v>
      </c>
      <c r="J8" s="4">
        <f t="shared" si="3"/>
        <v>15555</v>
      </c>
    </row>
    <row r="9" spans="1:37" s="2" customFormat="1" ht="26.25" customHeight="1" x14ac:dyDescent="0.25">
      <c r="A9" s="23">
        <v>2012</v>
      </c>
      <c r="B9" s="32">
        <f t="shared" si="0"/>
        <v>31653</v>
      </c>
      <c r="C9" s="4">
        <v>18242</v>
      </c>
      <c r="D9" s="7">
        <v>13411</v>
      </c>
      <c r="E9" s="8">
        <f t="shared" si="1"/>
        <v>37152</v>
      </c>
      <c r="F9" s="4">
        <v>30036</v>
      </c>
      <c r="G9" s="7">
        <v>7116</v>
      </c>
      <c r="H9" s="8">
        <f t="shared" si="2"/>
        <v>68805</v>
      </c>
      <c r="I9" s="4">
        <f t="shared" si="3"/>
        <v>48278</v>
      </c>
      <c r="J9" s="4">
        <f t="shared" si="3"/>
        <v>20527</v>
      </c>
    </row>
    <row r="10" spans="1:37" ht="26.25" customHeight="1" x14ac:dyDescent="0.25">
      <c r="A10" s="23">
        <v>2013</v>
      </c>
      <c r="B10" s="32">
        <f t="shared" si="0"/>
        <v>30162</v>
      </c>
      <c r="C10" s="4">
        <v>17816</v>
      </c>
      <c r="D10" s="7">
        <v>12346</v>
      </c>
      <c r="E10" s="8">
        <f t="shared" si="1"/>
        <v>39299</v>
      </c>
      <c r="F10" s="4">
        <v>31644</v>
      </c>
      <c r="G10" s="7">
        <v>7655</v>
      </c>
      <c r="H10" s="8">
        <f t="shared" si="2"/>
        <v>69461</v>
      </c>
      <c r="I10" s="4">
        <f t="shared" si="3"/>
        <v>49460</v>
      </c>
      <c r="J10" s="4">
        <f t="shared" si="3"/>
        <v>20001</v>
      </c>
    </row>
    <row r="11" spans="1:37" ht="26.25" customHeight="1" x14ac:dyDescent="0.25">
      <c r="A11" s="23">
        <v>2014</v>
      </c>
      <c r="B11" s="32">
        <f t="shared" si="0"/>
        <v>32279</v>
      </c>
      <c r="C11" s="4">
        <v>18475</v>
      </c>
      <c r="D11" s="7">
        <v>13804</v>
      </c>
      <c r="E11" s="8">
        <f t="shared" si="1"/>
        <v>42570</v>
      </c>
      <c r="F11" s="4">
        <v>34087</v>
      </c>
      <c r="G11" s="7">
        <v>8483</v>
      </c>
      <c r="H11" s="8">
        <f t="shared" si="2"/>
        <v>74849</v>
      </c>
      <c r="I11" s="4">
        <f t="shared" si="3"/>
        <v>52562</v>
      </c>
      <c r="J11" s="4">
        <f t="shared" si="3"/>
        <v>22287</v>
      </c>
      <c r="AF11" s="1">
        <v>18475</v>
      </c>
      <c r="AG11" s="1">
        <v>13804</v>
      </c>
      <c r="AH11" s="1">
        <v>34087</v>
      </c>
      <c r="AI11" s="1">
        <v>8483</v>
      </c>
      <c r="AJ11" s="1">
        <v>52562</v>
      </c>
      <c r="AK11" s="1">
        <v>22287</v>
      </c>
    </row>
    <row r="12" spans="1:37" ht="26.25" customHeight="1" x14ac:dyDescent="0.25">
      <c r="A12" s="24">
        <v>2015</v>
      </c>
      <c r="B12" s="33">
        <f t="shared" si="0"/>
        <v>35813</v>
      </c>
      <c r="C12" s="3">
        <v>19810</v>
      </c>
      <c r="D12" s="25">
        <v>16003</v>
      </c>
      <c r="E12" s="26">
        <f t="shared" si="1"/>
        <v>46109</v>
      </c>
      <c r="F12" s="3">
        <v>36441</v>
      </c>
      <c r="G12" s="25">
        <v>9668</v>
      </c>
      <c r="H12" s="26">
        <f t="shared" si="2"/>
        <v>81922</v>
      </c>
      <c r="I12" s="3">
        <f t="shared" si="3"/>
        <v>56251</v>
      </c>
      <c r="J12" s="3">
        <f t="shared" si="3"/>
        <v>25671</v>
      </c>
    </row>
    <row r="13" spans="1:37" ht="17.45" customHeight="1" x14ac:dyDescent="0.45">
      <c r="A13" s="22" t="s">
        <v>15</v>
      </c>
      <c r="B13" s="22"/>
      <c r="C13" s="17"/>
      <c r="D13" s="17"/>
      <c r="E13" s="17"/>
      <c r="F13" s="17"/>
      <c r="G13" s="17"/>
      <c r="H13" s="17"/>
      <c r="I13" s="20"/>
      <c r="J13" s="19" t="s">
        <v>16</v>
      </c>
      <c r="L13" s="14"/>
    </row>
    <row r="14" spans="1:37" ht="18" x14ac:dyDescent="0.45">
      <c r="A14" s="18" t="s">
        <v>8</v>
      </c>
      <c r="B14" s="18"/>
      <c r="J14" s="19" t="s">
        <v>11</v>
      </c>
    </row>
    <row r="15" spans="1:37" x14ac:dyDescent="0.25">
      <c r="D15" s="21"/>
      <c r="E15" s="21"/>
      <c r="G15" s="21"/>
      <c r="H15" s="21"/>
      <c r="J15" s="21"/>
    </row>
    <row r="16" spans="1:37" x14ac:dyDescent="0.25">
      <c r="D16" s="12"/>
      <c r="E16" s="12"/>
      <c r="G16" s="12"/>
      <c r="H16" s="12"/>
      <c r="J16" s="12"/>
      <c r="AG16" s="1">
        <v>2014</v>
      </c>
    </row>
    <row r="17" spans="33:44" x14ac:dyDescent="0.25">
      <c r="AG17" s="44" t="s">
        <v>4</v>
      </c>
      <c r="AH17" s="46"/>
      <c r="AI17" s="47" t="s">
        <v>5</v>
      </c>
      <c r="AJ17" s="48"/>
      <c r="AK17" s="45" t="s">
        <v>2</v>
      </c>
      <c r="AL17" s="45"/>
    </row>
    <row r="18" spans="33:44" x14ac:dyDescent="0.25">
      <c r="AG18" s="9" t="s">
        <v>9</v>
      </c>
      <c r="AH18" s="10" t="s">
        <v>10</v>
      </c>
      <c r="AI18" s="9" t="s">
        <v>9</v>
      </c>
      <c r="AJ18" s="10" t="s">
        <v>10</v>
      </c>
      <c r="AK18" s="9" t="s">
        <v>9</v>
      </c>
      <c r="AL18" s="11" t="s">
        <v>10</v>
      </c>
      <c r="AQ18" s="1" t="s">
        <v>0</v>
      </c>
      <c r="AR18" s="1" t="s">
        <v>1</v>
      </c>
    </row>
    <row r="19" spans="33:44" x14ac:dyDescent="0.25">
      <c r="AG19" s="1">
        <v>19810</v>
      </c>
      <c r="AH19" s="1">
        <v>16003</v>
      </c>
      <c r="AI19" s="1">
        <v>36441</v>
      </c>
      <c r="AJ19" s="1">
        <v>9668</v>
      </c>
      <c r="AK19" s="1">
        <v>56251</v>
      </c>
      <c r="AL19" s="1">
        <v>25671</v>
      </c>
      <c r="AQ19" s="13">
        <f>AK19/AL20*100</f>
        <v>68.664095114865361</v>
      </c>
      <c r="AR19" s="13">
        <f>AL19/AL20*100</f>
        <v>31.335904885134642</v>
      </c>
    </row>
    <row r="20" spans="33:44" x14ac:dyDescent="0.25">
      <c r="AG20" s="1" t="s">
        <v>12</v>
      </c>
      <c r="AH20" s="21">
        <f>SUM(AG19:AH19)</f>
        <v>35813</v>
      </c>
      <c r="AJ20" s="21">
        <f>SUM(AI19:AJ19)</f>
        <v>46109</v>
      </c>
      <c r="AL20" s="21">
        <f>SUM(AK19:AL19)</f>
        <v>81922</v>
      </c>
    </row>
    <row r="21" spans="33:44" x14ac:dyDescent="0.25">
      <c r="AG21" s="1" t="s">
        <v>13</v>
      </c>
      <c r="AH21" s="15">
        <f>AH19/AH20*100</f>
        <v>44.684890961382742</v>
      </c>
      <c r="AI21" s="15"/>
      <c r="AJ21" s="15">
        <f>AJ19/AJ20*100</f>
        <v>20.967706955258191</v>
      </c>
      <c r="AK21" s="15"/>
      <c r="AL21" s="15">
        <f>AL19/AL20*100</f>
        <v>31.335904885134642</v>
      </c>
    </row>
    <row r="22" spans="33:44" x14ac:dyDescent="0.25">
      <c r="AH22" s="1" t="s">
        <v>14</v>
      </c>
    </row>
    <row r="23" spans="33:44" x14ac:dyDescent="0.25">
      <c r="AG23" s="1" t="s">
        <v>4</v>
      </c>
      <c r="AH23" s="12">
        <f>AH21</f>
        <v>44.684890961382742</v>
      </c>
    </row>
    <row r="24" spans="33:44" x14ac:dyDescent="0.25">
      <c r="AG24" s="1" t="s">
        <v>5</v>
      </c>
      <c r="AH24" s="12">
        <f>AJ21</f>
        <v>20.967706955258191</v>
      </c>
    </row>
    <row r="25" spans="33:44" x14ac:dyDescent="0.25">
      <c r="AG25" s="1" t="s">
        <v>2</v>
      </c>
      <c r="AH25" s="15">
        <f>AL21</f>
        <v>31.335904885134642</v>
      </c>
    </row>
  </sheetData>
  <mergeCells count="7">
    <mergeCell ref="A1:J1"/>
    <mergeCell ref="AG17:AH17"/>
    <mergeCell ref="AI17:AJ17"/>
    <mergeCell ref="AK17:AL17"/>
    <mergeCell ref="A2:J2"/>
    <mergeCell ref="A4:A6"/>
    <mergeCell ref="E4:G4"/>
  </mergeCells>
  <pageMargins left="0.17" right="0.17" top="0.5" bottom="0.28000000000000003" header="0.39" footer="0.17"/>
  <pageSetup paperSize="9" scale="105" orientation="landscape" r:id="rId1"/>
  <rowBreaks count="1" manualBreakCount="1">
    <brk id="29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2016-09-28T08:12:18Z</cp:lastPrinted>
  <dcterms:created xsi:type="dcterms:W3CDTF">2013-03-14T06:06:17Z</dcterms:created>
  <dcterms:modified xsi:type="dcterms:W3CDTF">2016-09-28T08:12:20Z</dcterms:modified>
</cp:coreProperties>
</file>