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857"/>
  </bookViews>
  <sheets>
    <sheet name="18.2" sheetId="20" r:id="rId1"/>
  </sheets>
  <externalReferences>
    <externalReference r:id="rId2"/>
  </externalReferences>
  <definedNames>
    <definedName name="_xlnm.Print_Area" localSheetId="0">'18.2'!$A$1:$P$39</definedName>
  </definedNames>
  <calcPr calcId="144525"/>
</workbook>
</file>

<file path=xl/calcChain.xml><?xml version="1.0" encoding="utf-8"?>
<calcChain xmlns="http://schemas.openxmlformats.org/spreadsheetml/2006/main">
  <c r="O8" i="20" l="1"/>
  <c r="AO27" i="20" s="1"/>
  <c r="AJ27" i="20" s="1"/>
  <c r="M8" i="20"/>
  <c r="AO25" i="20" s="1"/>
  <c r="AJ25" i="20" s="1"/>
  <c r="I8" i="20"/>
  <c r="AO26" i="20" s="1"/>
  <c r="AJ26" i="20" s="1"/>
  <c r="E8" i="20"/>
  <c r="AO24" i="20" s="1"/>
  <c r="AJ24" i="20" s="1"/>
  <c r="N8" i="20"/>
  <c r="AH27" i="20" l="1"/>
  <c r="AG27" i="20"/>
  <c r="AF27" i="20"/>
  <c r="D8" i="20"/>
  <c r="AN24" i="20" s="1"/>
  <c r="AI24" i="20" s="1"/>
  <c r="AN27" i="20" l="1"/>
  <c r="AI27" i="20" s="1"/>
  <c r="L8" i="20"/>
  <c r="AN25" i="20" s="1"/>
  <c r="AI25" i="20" s="1"/>
  <c r="H8" i="20"/>
  <c r="AN26" i="20" s="1"/>
  <c r="AI26" i="20" s="1"/>
  <c r="AF24" i="20" l="1"/>
  <c r="G8" i="20" l="1"/>
  <c r="AM26" i="20" s="1"/>
  <c r="AH26" i="20" s="1"/>
  <c r="K8" i="20" l="1"/>
  <c r="AM25" i="20" s="1"/>
  <c r="AH25" i="20" s="1"/>
  <c r="B8" i="20"/>
  <c r="AL24" i="20" s="1"/>
  <c r="AF26" i="20" l="1"/>
  <c r="AF25" i="20"/>
  <c r="J8" i="20"/>
  <c r="AL25" i="20" s="1"/>
  <c r="AG25" i="20" s="1"/>
  <c r="F8" i="20"/>
  <c r="AL26" i="20" s="1"/>
  <c r="AG26" i="20" s="1"/>
  <c r="C8" i="20"/>
  <c r="AM24" i="20" s="1"/>
  <c r="AG24" i="20"/>
  <c r="AH24" i="20" l="1"/>
</calcChain>
</file>

<file path=xl/sharedStrings.xml><?xml version="1.0" encoding="utf-8"?>
<sst xmlns="http://schemas.openxmlformats.org/spreadsheetml/2006/main" count="46" uniqueCount="46">
  <si>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</si>
  <si>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</si>
  <si>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</si>
  <si>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</si>
  <si>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</si>
  <si>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</si>
  <si>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</si>
  <si>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</si>
  <si>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</si>
  <si>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</si>
  <si>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</si>
  <si>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</si>
  <si>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</si>
  <si>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</si>
  <si>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އަސާސީ ޕެންޝަން</t>
  </si>
  <si>
    <t>ރިޓަޔަރމަންޓް ޕެންޝަން</t>
  </si>
  <si>
    <t>ޖުމްލަ</t>
  </si>
  <si>
    <t>އެހެނިހެން ޕެންޝަން</t>
  </si>
  <si>
    <t>Source: Maldives Pension Administration</t>
  </si>
  <si>
    <t>މަސް</t>
  </si>
  <si>
    <t>ޖެނުއަރީ</t>
  </si>
  <si>
    <t>ފެބްރުއަރީ</t>
  </si>
  <si>
    <t>މާޗް</t>
  </si>
  <si>
    <t>އޭޕްރީލް</t>
  </si>
  <si>
    <t>މެއި</t>
  </si>
  <si>
    <t>ޖޫން</t>
  </si>
  <si>
    <t>ޖުލައި</t>
  </si>
  <si>
    <t>އޮގަސްޓް</t>
  </si>
  <si>
    <t>ސެޕްޓެމްބަރ</t>
  </si>
  <si>
    <t>އޮކްޓޫބަރ</t>
  </si>
  <si>
    <t>ޑިސެމްބަރ</t>
  </si>
  <si>
    <t>ނޮވެމްބަރ</t>
  </si>
  <si>
    <t>Basic pension</t>
  </si>
  <si>
    <t>Retirement  pension</t>
  </si>
  <si>
    <t>Other  pension</t>
  </si>
  <si>
    <t>މަޢުލޫމާތު ދެއްވި ފަރާތް: މޯލްޑިވްސް ޕެންޝަން އެޑްމިނިސްޓްރޭޝަން</t>
  </si>
  <si>
    <t>In million Rf</t>
  </si>
  <si>
    <t>In Rf</t>
  </si>
  <si>
    <t>(In MVR)</t>
  </si>
  <si>
    <t>(ރުފިޔާއިން)</t>
  </si>
  <si>
    <t>ސީނިއަ ސިޓިޒަން އެލަވަންސް</t>
  </si>
  <si>
    <t>Senior Citizen Allowance was introduced in February 2014.</t>
  </si>
  <si>
    <t xml:space="preserve">ސީނިއަރ ސިޓިޒަން އެލަވަންސް ސްކީމް ތަޢާރަފުކުރެވިފައިވާ ފެބްރުއަރީ 2014 ގައެވެ. </t>
  </si>
  <si>
    <t xml:space="preserve"> Senior Citizen Allowance</t>
  </si>
  <si>
    <t>TABLE   18.2: MONTHLY PENSION PAYOUTS BY SCHEME , 2012 - 2015</t>
  </si>
  <si>
    <t>ތާވަލު 18.2: އެކި މަސްމަހު ޕެންޝަންގެ ގޮތުގައި ސްކީމްތަކުން ދެވުނު މިންވަރު، 2012 - 2015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</si>
</sst>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name val="Arial"/>
      <family val="2"/>
    </font>
    <font>
      <b/>
      <sz val="9"/>
      <color theme="1" tint="0.14999847407452621"/>
      <name val="Calibri"/>
      <family val="2"/>
      <scheme val="minor"/>
    </font>
    <font>
      <b/>
      <sz val="9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/>
    <xf numFmtId="164" fontId="13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5" xfId="0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3" fontId="2" fillId="2" borderId="0" xfId="1" applyNumberFormat="1" applyFont="1" applyFill="1" applyBorder="1" applyAlignment="1">
      <alignment vertical="center"/>
    </xf>
    <xf numFmtId="3" fontId="0" fillId="2" borderId="0" xfId="1" applyNumberFormat="1" applyFont="1" applyFill="1" applyAlignment="1">
      <alignment vertical="center"/>
    </xf>
    <xf numFmtId="3" fontId="0" fillId="2" borderId="0" xfId="1" applyNumberFormat="1" applyFont="1" applyFill="1" applyBorder="1" applyAlignment="1">
      <alignment vertical="center"/>
    </xf>
    <xf numFmtId="3" fontId="0" fillId="2" borderId="1" xfId="1" applyNumberFormat="1" applyFont="1" applyFill="1" applyBorder="1" applyAlignment="1">
      <alignment vertical="center"/>
    </xf>
    <xf numFmtId="3" fontId="0" fillId="2" borderId="4" xfId="1" applyNumberFormat="1" applyFont="1" applyFill="1" applyBorder="1" applyAlignment="1">
      <alignment vertical="center"/>
    </xf>
    <xf numFmtId="3" fontId="0" fillId="2" borderId="5" xfId="1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ill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2" fillId="2" borderId="9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3" fontId="2" fillId="2" borderId="12" xfId="0" applyNumberFormat="1" applyFont="1" applyFill="1" applyBorder="1" applyAlignment="1">
      <alignment horizontal="right" vertical="center"/>
    </xf>
    <xf numFmtId="3" fontId="0" fillId="2" borderId="12" xfId="1" applyNumberFormat="1" applyFont="1" applyFill="1" applyBorder="1" applyAlignment="1">
      <alignment vertical="center"/>
    </xf>
    <xf numFmtId="3" fontId="0" fillId="2" borderId="7" xfId="1" applyNumberFormat="1" applyFont="1" applyFill="1" applyBorder="1" applyAlignment="1">
      <alignment vertical="center"/>
    </xf>
    <xf numFmtId="3" fontId="8" fillId="2" borderId="0" xfId="2" applyNumberFormat="1" applyFont="1" applyFill="1" applyBorder="1" applyAlignment="1" applyProtection="1">
      <alignment horizontal="right" vertical="center"/>
    </xf>
    <xf numFmtId="0" fontId="9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right" vertical="center" indent="1"/>
    </xf>
    <xf numFmtId="0" fontId="3" fillId="2" borderId="0" xfId="0" applyFont="1" applyFill="1" applyBorder="1" applyAlignment="1">
      <alignment horizontal="right" indent="1"/>
    </xf>
    <xf numFmtId="0" fontId="3" fillId="2" borderId="1" xfId="0" applyFont="1" applyFill="1" applyBorder="1" applyAlignment="1">
      <alignment horizontal="right" vertical="center" indent="1"/>
    </xf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5" fillId="2" borderId="0" xfId="0" applyFont="1" applyFill="1"/>
    <xf numFmtId="3" fontId="2" fillId="2" borderId="0" xfId="1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3" fontId="5" fillId="2" borderId="0" xfId="0" applyNumberFormat="1" applyFont="1" applyFill="1" applyAlignment="1">
      <alignment horizontal="center"/>
    </xf>
    <xf numFmtId="3" fontId="2" fillId="2" borderId="12" xfId="1" applyNumberFormat="1" applyFont="1" applyFill="1" applyBorder="1" applyAlignment="1">
      <alignment horizontal="right" vertical="center" indent="2"/>
    </xf>
    <xf numFmtId="43" fontId="0" fillId="2" borderId="12" xfId="1" applyFont="1" applyFill="1" applyBorder="1" applyAlignment="1">
      <alignment horizontal="right" vertical="center" indent="2"/>
    </xf>
    <xf numFmtId="3" fontId="0" fillId="2" borderId="12" xfId="1" applyNumberFormat="1" applyFont="1" applyFill="1" applyBorder="1" applyAlignment="1">
      <alignment horizontal="right" vertical="center" indent="2"/>
    </xf>
    <xf numFmtId="3" fontId="0" fillId="2" borderId="7" xfId="1" applyNumberFormat="1" applyFont="1" applyFill="1" applyBorder="1" applyAlignment="1">
      <alignment horizontal="right" vertical="center" indent="2"/>
    </xf>
    <xf numFmtId="0" fontId="2" fillId="2" borderId="7" xfId="0" applyFont="1" applyFill="1" applyBorder="1" applyAlignment="1">
      <alignment horizontal="right" vertical="center" indent="2"/>
    </xf>
    <xf numFmtId="0" fontId="10" fillId="2" borderId="0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3" fontId="2" fillId="2" borderId="0" xfId="1" applyNumberFormat="1" applyFont="1" applyFill="1" applyBorder="1" applyAlignment="1">
      <alignment horizontal="right" vertical="center" indent="2"/>
    </xf>
    <xf numFmtId="0" fontId="14" fillId="2" borderId="0" xfId="0" applyFont="1" applyFill="1" applyAlignment="1">
      <alignment horizontal="center"/>
    </xf>
    <xf numFmtId="0" fontId="4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 indent="2"/>
    </xf>
    <xf numFmtId="3" fontId="0" fillId="2" borderId="0" xfId="1" applyNumberFormat="1" applyFont="1" applyFill="1" applyBorder="1" applyAlignment="1">
      <alignment horizontal="right" vertical="center" indent="2"/>
    </xf>
    <xf numFmtId="3" fontId="0" fillId="2" borderId="1" xfId="1" applyNumberFormat="1" applyFont="1" applyFill="1" applyBorder="1" applyAlignment="1">
      <alignment horizontal="right" vertical="center" indent="2"/>
    </xf>
    <xf numFmtId="164" fontId="0" fillId="2" borderId="0" xfId="1" applyNumberFormat="1" applyFont="1" applyFill="1"/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/>
    <cellStyle name="Normal_II-15(Population) 2" xfId="2"/>
  </cellStyles>
  <dxfs count="0"/>
  <tableStyles count="0" defaultTableStyle="TableStyleMedium2" defaultPivotStyle="PivotStyleLight16"/>
  <colors>
    <mruColors>
      <color rgb="FF1C706E"/>
      <color rgb="FF28B2AF"/>
      <color rgb="FFD4F5F4"/>
      <color rgb="FF8DE5E3"/>
      <color rgb="FF33CCCC"/>
      <color rgb="FFA7EBE9"/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48122135306738E-2"/>
          <c:y val="0.18783775582965423"/>
          <c:w val="0.86117281166368687"/>
          <c:h val="0.674727671324322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'18.2'!$AH$23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dLbls>
            <c:dLbl>
              <c:idx val="0"/>
              <c:layout>
                <c:manualLayout>
                  <c:x val="1.9624407565348976E-17"/>
                  <c:y val="1.44508670520231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'18.2'!$AF$24:$AF$27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'18.2'!$AH$24:$AH$27</c:f>
              <c:numCache>
                <c:formatCode>_(* #,##0_);_(* \(#,##0\);_(* "-"??_);_(@_)</c:formatCode>
                <c:ptCount val="4"/>
                <c:pt idx="0">
                  <c:v>421.20435024000005</c:v>
                </c:pt>
                <c:pt idx="1">
                  <c:v>244.38423925999996</c:v>
                </c:pt>
                <c:pt idx="2">
                  <c:v>25.887906539999999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'18.2'!$AI$23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1.38888888888890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2.101723413198823E-3"/>
                  <c:y val="0.105973025048169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'18.2'!$AF$24:$AF$27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'18.2'!$AI$24:$AI$27</c:f>
              <c:numCache>
                <c:formatCode>_(* #,##0_);_(* \(#,##0\);_(* "-"??_);_(@_)</c:formatCode>
                <c:ptCount val="4"/>
                <c:pt idx="0">
                  <c:v>431.70710244000009</c:v>
                </c:pt>
                <c:pt idx="1">
                  <c:v>259.55405459000002</c:v>
                </c:pt>
                <c:pt idx="2">
                  <c:v>35.973669200000003</c:v>
                </c:pt>
                <c:pt idx="3">
                  <c:v>471.31171134999994</c:v>
                </c:pt>
              </c:numCache>
            </c:numRef>
          </c:val>
        </c:ser>
        <c:ser>
          <c:idx val="2"/>
          <c:order val="2"/>
          <c:tx>
            <c:strRef>
              <c:f>'18.2'!$AJ$23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28B2AF"/>
            </a:solidFill>
          </c:spPr>
          <c:invertIfNegative val="0"/>
          <c:cat>
            <c:strRef>
              <c:f>'18.2'!$AF$24:$AF$27</c:f>
              <c:strCache>
                <c:ptCount val="4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'18.2'!$AJ$24:$AJ$27</c:f>
              <c:numCache>
                <c:formatCode>_(* #,##0_);_(* \(#,##0\);_(* "-"??_);_(@_)</c:formatCode>
                <c:ptCount val="4"/>
                <c:pt idx="0">
                  <c:v>426.99923999999999</c:v>
                </c:pt>
                <c:pt idx="1">
                  <c:v>260.11826270999995</c:v>
                </c:pt>
                <c:pt idx="2">
                  <c:v>48.839669629999996</c:v>
                </c:pt>
                <c:pt idx="3">
                  <c:v>524.5473284599999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4152576"/>
        <c:axId val="114154112"/>
      </c:barChart>
      <c:catAx>
        <c:axId val="11415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154112"/>
        <c:crosses val="autoZero"/>
        <c:auto val="1"/>
        <c:lblAlgn val="ctr"/>
        <c:lblOffset val="100"/>
        <c:noMultiLvlLbl val="0"/>
      </c:catAx>
      <c:valAx>
        <c:axId val="11415411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800"/>
                </a:pPr>
                <a:r>
                  <a:rPr lang="en-US" sz="800"/>
                  <a:t>In million MVR</a:t>
                </a:r>
              </a:p>
            </c:rich>
          </c:tx>
          <c:layout>
            <c:manualLayout>
              <c:xMode val="edge"/>
              <c:yMode val="edge"/>
              <c:x val="5.6749841957018932E-3"/>
              <c:y val="0.11647929846919421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114152576"/>
        <c:crosses val="autoZero"/>
        <c:crossBetween val="between"/>
      </c:valAx>
      <c:spPr>
        <a:solidFill>
          <a:srgbClr val="D4F5F4"/>
        </a:solidFill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3931004917353222"/>
          <c:y val="0.23803384896554369"/>
          <c:w val="0.2961935475881734"/>
          <c:h val="7.527792521417796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22</xdr:row>
      <xdr:rowOff>40005</xdr:rowOff>
    </xdr:from>
    <xdr:to>
      <xdr:col>12</xdr:col>
      <xdr:colOff>314325</xdr:colOff>
      <xdr:row>38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342901</xdr:colOff>
      <xdr:row>23</xdr:row>
      <xdr:rowOff>0</xdr:rowOff>
    </xdr:from>
    <xdr:to>
      <xdr:col>11</xdr:col>
      <xdr:colOff>342900</xdr:colOff>
      <xdr:row>23</xdr:row>
      <xdr:rowOff>161925</xdr:rowOff>
    </xdr:to>
    <xdr:sp macro="" textlink="">
      <xdr:nvSpPr>
        <xdr:cNvPr id="5" name="TextBox 4"/>
        <xdr:cNvSpPr txBox="1"/>
      </xdr:nvSpPr>
      <xdr:spPr>
        <a:xfrm>
          <a:off x="4124326" y="5543550"/>
          <a:ext cx="5553074" cy="161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18.4: Pension payments made under different schemes, 2013 - 2015</a:t>
          </a:r>
          <a:endParaRPr lang="en-US" sz="1050">
            <a:latin typeface="Consolas" pitchFamily="49" charset="0"/>
            <a:cs typeface="Consolas" pitchFamily="49" charset="0"/>
          </a:endParaRPr>
        </a:p>
        <a:p>
          <a:endParaRPr lang="en-US" sz="1200"/>
        </a:p>
      </xdr:txBody>
    </xdr:sp>
    <xdr:clientData/>
  </xdr:twoCellAnchor>
  <xdr:twoCellAnchor>
    <xdr:from>
      <xdr:col>5</xdr:col>
      <xdr:colOff>228599</xdr:colOff>
      <xdr:row>23</xdr:row>
      <xdr:rowOff>104775</xdr:rowOff>
    </xdr:from>
    <xdr:to>
      <xdr:col>11</xdr:col>
      <xdr:colOff>266699</xdr:colOff>
      <xdr:row>23</xdr:row>
      <xdr:rowOff>104775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4010024" y="5648325"/>
          <a:ext cx="559117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29"/>
  <sheetViews>
    <sheetView tabSelected="1" zoomScaleNormal="100" workbookViewId="0">
      <selection activeCell="S8" sqref="S1:S1048576"/>
    </sheetView>
  </sheetViews>
  <sheetFormatPr defaultColWidth="9.140625" defaultRowHeight="15" x14ac:dyDescent="0.25"/>
  <cols>
    <col min="1" max="1" width="7.85546875" style="1" customWidth="1"/>
    <col min="2" max="2" width="13.28515625" style="1" customWidth="1"/>
    <col min="3" max="3" width="13" style="1" customWidth="1"/>
    <col min="4" max="5" width="11.28515625" style="1" customWidth="1"/>
    <col min="6" max="6" width="14.42578125" style="1" customWidth="1"/>
    <col min="7" max="9" width="13.140625" style="1" customWidth="1"/>
    <col min="10" max="13" width="14.7109375" style="1" customWidth="1"/>
    <col min="14" max="14" width="15.85546875" style="1" customWidth="1"/>
    <col min="15" max="15" width="17.5703125" style="1" customWidth="1"/>
    <col min="16" max="30" width="17.28515625" style="1" customWidth="1"/>
    <col min="31" max="31" width="28.28515625" style="1" customWidth="1"/>
    <col min="32" max="32" width="19.42578125" style="1" customWidth="1"/>
    <col min="33" max="33" width="11.140625" style="1" bestFit="1" customWidth="1"/>
    <col min="34" max="35" width="11.28515625" style="1" customWidth="1"/>
    <col min="36" max="36" width="11.5703125" style="1" customWidth="1"/>
    <col min="37" max="37" width="11.42578125" style="1" customWidth="1"/>
    <col min="38" max="40" width="14.140625" style="1" customWidth="1"/>
    <col min="41" max="16384" width="9.140625" style="1"/>
  </cols>
  <sheetData>
    <row r="1" spans="1:39" ht="20.25" customHeight="1" x14ac:dyDescent="0.25">
      <c r="A1" s="65" t="s">
        <v>45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50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66"/>
      <c r="AF1" s="66"/>
      <c r="AG1" s="66"/>
    </row>
    <row r="2" spans="1:39" x14ac:dyDescent="0.25">
      <c r="A2" s="66" t="s">
        <v>44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51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F2" s="14"/>
      <c r="AG2" s="14"/>
      <c r="AH2" s="14"/>
      <c r="AI2" s="14"/>
      <c r="AJ2" s="14"/>
      <c r="AK2" s="15"/>
      <c r="AL2" s="15"/>
      <c r="AM2" s="16"/>
    </row>
    <row r="3" spans="1:39" s="4" customFormat="1" ht="17.25" x14ac:dyDescent="0.25">
      <c r="A3" s="51"/>
      <c r="B3" s="5"/>
      <c r="C3" s="5"/>
      <c r="D3" s="5"/>
      <c r="E3" s="5"/>
      <c r="I3" s="22" t="s">
        <v>38</v>
      </c>
      <c r="J3" s="23" t="s">
        <v>39</v>
      </c>
      <c r="P3" s="51"/>
      <c r="Q3" s="51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F3" s="34"/>
      <c r="AG3" s="34"/>
      <c r="AH3" s="34"/>
      <c r="AI3" s="34"/>
      <c r="AJ3" s="34"/>
      <c r="AK3" s="35"/>
      <c r="AL3" s="35"/>
      <c r="AM3" s="36"/>
    </row>
    <row r="4" spans="1:39" ht="1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AF4" s="14"/>
      <c r="AG4" s="14"/>
      <c r="AH4" s="14"/>
      <c r="AI4" s="14"/>
      <c r="AJ4" s="14"/>
      <c r="AK4" s="15"/>
      <c r="AL4" s="15"/>
      <c r="AM4" s="16"/>
    </row>
    <row r="5" spans="1:39" ht="17.25" customHeight="1" x14ac:dyDescent="0.25">
      <c r="A5" s="67" t="s">
        <v>13</v>
      </c>
      <c r="B5" s="69" t="s">
        <v>14</v>
      </c>
      <c r="C5" s="69"/>
      <c r="D5" s="69"/>
      <c r="E5" s="70"/>
      <c r="F5" s="73" t="s">
        <v>15</v>
      </c>
      <c r="G5" s="69"/>
      <c r="H5" s="69"/>
      <c r="I5" s="70"/>
      <c r="J5" s="73" t="s">
        <v>17</v>
      </c>
      <c r="K5" s="69"/>
      <c r="L5" s="69"/>
      <c r="M5" s="70"/>
      <c r="N5" s="73" t="s">
        <v>40</v>
      </c>
      <c r="O5" s="69"/>
      <c r="P5" s="60" t="s">
        <v>19</v>
      </c>
      <c r="Q5" s="48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F5" s="14"/>
      <c r="AG5" s="14"/>
      <c r="AH5" s="14"/>
      <c r="AI5" s="14"/>
      <c r="AJ5" s="14"/>
      <c r="AK5" s="15"/>
      <c r="AL5" s="15"/>
      <c r="AM5" s="16"/>
    </row>
    <row r="6" spans="1:39" ht="15" customHeight="1" x14ac:dyDescent="0.25">
      <c r="A6" s="63"/>
      <c r="B6" s="71" t="s">
        <v>32</v>
      </c>
      <c r="C6" s="71"/>
      <c r="D6" s="71"/>
      <c r="E6" s="72"/>
      <c r="F6" s="74" t="s">
        <v>33</v>
      </c>
      <c r="G6" s="71"/>
      <c r="H6" s="71"/>
      <c r="I6" s="72"/>
      <c r="J6" s="74" t="s">
        <v>34</v>
      </c>
      <c r="K6" s="71"/>
      <c r="L6" s="71"/>
      <c r="M6" s="72"/>
      <c r="N6" s="75" t="s">
        <v>43</v>
      </c>
      <c r="O6" s="76"/>
      <c r="P6" s="61"/>
      <c r="Q6" s="48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F6" s="14"/>
      <c r="AG6" s="14"/>
      <c r="AH6" s="14"/>
      <c r="AI6" s="14"/>
      <c r="AJ6" s="14"/>
      <c r="AK6" s="15"/>
      <c r="AL6" s="15"/>
      <c r="AM6" s="16"/>
    </row>
    <row r="7" spans="1:39" ht="18" customHeight="1" x14ac:dyDescent="0.25">
      <c r="A7" s="68"/>
      <c r="B7" s="52">
        <v>2012</v>
      </c>
      <c r="C7" s="52">
        <v>2013</v>
      </c>
      <c r="D7" s="52">
        <v>2014</v>
      </c>
      <c r="E7" s="52">
        <v>2015</v>
      </c>
      <c r="F7" s="18">
        <v>2012</v>
      </c>
      <c r="G7" s="17">
        <v>2013</v>
      </c>
      <c r="H7" s="52">
        <v>2014</v>
      </c>
      <c r="I7" s="3">
        <v>2015</v>
      </c>
      <c r="J7" s="18">
        <v>2012</v>
      </c>
      <c r="K7" s="17">
        <v>2013</v>
      </c>
      <c r="L7" s="52">
        <v>2014</v>
      </c>
      <c r="M7" s="3">
        <v>2015</v>
      </c>
      <c r="N7" s="42">
        <v>2014</v>
      </c>
      <c r="O7" s="53">
        <v>2015</v>
      </c>
      <c r="P7" s="62"/>
      <c r="Q7" s="48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F7" s="14"/>
      <c r="AG7" s="14"/>
      <c r="AH7" s="14"/>
      <c r="AI7" s="14"/>
      <c r="AJ7" s="14"/>
      <c r="AK7" s="15"/>
      <c r="AL7" s="15"/>
      <c r="AM7" s="16"/>
    </row>
    <row r="8" spans="1:39" ht="21.75" customHeight="1" x14ac:dyDescent="0.25">
      <c r="A8" s="49" t="s">
        <v>0</v>
      </c>
      <c r="B8" s="12">
        <f t="shared" ref="B8" si="0">SUM(B9:B20)</f>
        <v>414738936.51999998</v>
      </c>
      <c r="C8" s="33">
        <f t="shared" ref="C8:J8" si="1">SUM(C9:C20)</f>
        <v>421204350.24000007</v>
      </c>
      <c r="D8" s="33">
        <f>SUM(D9:D20)</f>
        <v>431707102.44000006</v>
      </c>
      <c r="E8" s="33">
        <f>SUM(E9:E20)</f>
        <v>426999240</v>
      </c>
      <c r="F8" s="19">
        <f t="shared" si="1"/>
        <v>21452251.599999998</v>
      </c>
      <c r="G8" s="6">
        <f>SUM(G9:G20)</f>
        <v>25887906.539999999</v>
      </c>
      <c r="H8" s="6">
        <f>SUM(H9:H20)</f>
        <v>35973669.200000003</v>
      </c>
      <c r="I8" s="6">
        <f>SUM(I9:I20)</f>
        <v>48839669.629999995</v>
      </c>
      <c r="J8" s="19">
        <f t="shared" si="1"/>
        <v>240701239.62</v>
      </c>
      <c r="K8" s="6">
        <f t="shared" ref="K8:L8" si="2">SUM(K9:K20)</f>
        <v>244384239.25999996</v>
      </c>
      <c r="L8" s="6">
        <f t="shared" si="2"/>
        <v>259554054.59000003</v>
      </c>
      <c r="M8" s="6">
        <f>SUM(M9:M20)</f>
        <v>260118262.70999998</v>
      </c>
      <c r="N8" s="38">
        <f t="shared" ref="N8:O8" si="3">SUM(N9:N20)</f>
        <v>471311711.34999996</v>
      </c>
      <c r="O8" s="46">
        <f t="shared" si="3"/>
        <v>524547328.45999992</v>
      </c>
      <c r="P8" s="45" t="s">
        <v>16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F8" s="14"/>
      <c r="AG8" s="14"/>
      <c r="AH8" s="14"/>
      <c r="AI8" s="14"/>
      <c r="AJ8" s="14"/>
      <c r="AK8" s="15"/>
      <c r="AL8" s="15"/>
      <c r="AM8" s="16"/>
    </row>
    <row r="9" spans="1:39" ht="21.75" customHeight="1" x14ac:dyDescent="0.25">
      <c r="A9" s="24" t="s">
        <v>1</v>
      </c>
      <c r="B9" s="7">
        <v>33712286.649999999</v>
      </c>
      <c r="C9" s="7">
        <v>34352075.579999998</v>
      </c>
      <c r="D9" s="7">
        <v>35615904.57</v>
      </c>
      <c r="E9" s="7">
        <v>35173546.780000001</v>
      </c>
      <c r="F9" s="20">
        <v>495363.58</v>
      </c>
      <c r="G9" s="8">
        <v>1151046.49</v>
      </c>
      <c r="H9" s="8">
        <v>3333784.74</v>
      </c>
      <c r="I9" s="10">
        <v>2869612.88</v>
      </c>
      <c r="J9" s="20">
        <v>19009622.079999998</v>
      </c>
      <c r="K9" s="8">
        <v>27084863.539999999</v>
      </c>
      <c r="L9" s="8">
        <v>25311700.800000001</v>
      </c>
      <c r="M9" s="10">
        <v>26150112.129999999</v>
      </c>
      <c r="N9" s="39">
        <v>0</v>
      </c>
      <c r="O9" s="54">
        <v>43131466.32</v>
      </c>
      <c r="P9" s="26" t="s">
        <v>20</v>
      </c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13"/>
      <c r="AF9" s="37"/>
      <c r="AG9" s="14"/>
      <c r="AH9" s="14"/>
      <c r="AI9" s="14"/>
      <c r="AK9" s="15"/>
      <c r="AL9" s="15"/>
      <c r="AM9" s="16"/>
    </row>
    <row r="10" spans="1:39" ht="21.75" customHeight="1" x14ac:dyDescent="0.25">
      <c r="A10" s="24" t="s">
        <v>2</v>
      </c>
      <c r="B10" s="7">
        <v>34725809.649999999</v>
      </c>
      <c r="C10" s="7">
        <v>35042781.850000001</v>
      </c>
      <c r="D10" s="7">
        <v>36309505.119999997</v>
      </c>
      <c r="E10" s="7">
        <v>35619868.369999997</v>
      </c>
      <c r="F10" s="20">
        <v>2641610.33</v>
      </c>
      <c r="G10" s="8">
        <v>1295097.28</v>
      </c>
      <c r="H10" s="8">
        <v>2690826.28</v>
      </c>
      <c r="I10" s="10">
        <v>3359620.91</v>
      </c>
      <c r="J10" s="20">
        <v>21786716.879999999</v>
      </c>
      <c r="K10" s="8">
        <v>19943936.890000001</v>
      </c>
      <c r="L10" s="8">
        <v>23169187.48</v>
      </c>
      <c r="M10" s="10">
        <v>22405366.890000001</v>
      </c>
      <c r="N10" s="40">
        <v>42210402.700000003</v>
      </c>
      <c r="O10" s="54">
        <v>43254914.210000001</v>
      </c>
      <c r="P10" s="26" t="s">
        <v>21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F10" s="37"/>
      <c r="AG10" s="14"/>
      <c r="AH10" s="14"/>
      <c r="AI10" s="14"/>
      <c r="AK10" s="15"/>
      <c r="AL10" s="15"/>
      <c r="AM10" s="16"/>
    </row>
    <row r="11" spans="1:39" ht="21.75" customHeight="1" x14ac:dyDescent="0.25">
      <c r="A11" s="24" t="s">
        <v>3</v>
      </c>
      <c r="B11" s="7">
        <v>34806344.93</v>
      </c>
      <c r="C11" s="7">
        <v>35333148.090000004</v>
      </c>
      <c r="D11" s="7">
        <v>36566082.140000001</v>
      </c>
      <c r="E11" s="7">
        <v>35936900.219999999</v>
      </c>
      <c r="F11" s="20">
        <v>1964141.55</v>
      </c>
      <c r="G11" s="8">
        <v>1035616.01</v>
      </c>
      <c r="H11" s="8">
        <v>3356711.13</v>
      </c>
      <c r="I11" s="10">
        <v>4080271.26</v>
      </c>
      <c r="J11" s="20">
        <v>20394069.57</v>
      </c>
      <c r="K11" s="8">
        <v>18946228.300000001</v>
      </c>
      <c r="L11" s="8">
        <v>21310307.780000001</v>
      </c>
      <c r="M11" s="10">
        <v>22893114.670000002</v>
      </c>
      <c r="N11" s="40">
        <v>42833238.119999997</v>
      </c>
      <c r="O11" s="54">
        <v>44149568.780000001</v>
      </c>
      <c r="P11" s="26" t="s">
        <v>22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F11" s="37"/>
      <c r="AG11" s="14"/>
      <c r="AH11" s="14"/>
      <c r="AI11" s="14"/>
      <c r="AJ11" s="14"/>
      <c r="AK11" s="15"/>
      <c r="AL11" s="15"/>
      <c r="AM11" s="16"/>
    </row>
    <row r="12" spans="1:39" ht="21.75" customHeight="1" x14ac:dyDescent="0.25">
      <c r="A12" s="24" t="s">
        <v>4</v>
      </c>
      <c r="B12" s="7">
        <v>34551091.759999998</v>
      </c>
      <c r="C12" s="7">
        <v>34763162.600000001</v>
      </c>
      <c r="D12" s="7">
        <v>36384131.350000001</v>
      </c>
      <c r="E12" s="7">
        <v>35534750.799999997</v>
      </c>
      <c r="F12" s="20">
        <v>1339288.5</v>
      </c>
      <c r="G12" s="8">
        <v>1307379.8500000001</v>
      </c>
      <c r="H12" s="8">
        <v>2347830.7599999998</v>
      </c>
      <c r="I12" s="10">
        <v>3657817.89</v>
      </c>
      <c r="J12" s="20">
        <v>24106647.079999998</v>
      </c>
      <c r="K12" s="8">
        <v>20630305.239999998</v>
      </c>
      <c r="L12" s="8">
        <v>20403653.850000001</v>
      </c>
      <c r="M12" s="10">
        <v>20138268.329999998</v>
      </c>
      <c r="N12" s="40">
        <v>43089362.960000001</v>
      </c>
      <c r="O12" s="54">
        <v>43619940.25</v>
      </c>
      <c r="P12" s="26" t="s">
        <v>23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F12" s="37"/>
      <c r="AG12" s="14"/>
      <c r="AH12" s="14"/>
      <c r="AI12" s="14"/>
      <c r="AJ12" s="14"/>
      <c r="AK12" s="15"/>
      <c r="AL12" s="15"/>
      <c r="AM12" s="16"/>
    </row>
    <row r="13" spans="1:39" ht="21.75" customHeight="1" x14ac:dyDescent="0.25">
      <c r="A13" s="24" t="s">
        <v>5</v>
      </c>
      <c r="B13" s="7">
        <v>35154019.579999998</v>
      </c>
      <c r="C13" s="7">
        <v>35516487.740000002</v>
      </c>
      <c r="D13" s="7">
        <v>36107445.780000001</v>
      </c>
      <c r="E13" s="7">
        <v>35552003.799999997</v>
      </c>
      <c r="F13" s="20">
        <v>1215734.1599999999</v>
      </c>
      <c r="G13" s="8">
        <v>2078811.7</v>
      </c>
      <c r="H13" s="8">
        <v>2585483.37</v>
      </c>
      <c r="I13" s="10">
        <v>3167794.24</v>
      </c>
      <c r="J13" s="20">
        <v>20547997.280000001</v>
      </c>
      <c r="K13" s="8">
        <v>20270298.870000001</v>
      </c>
      <c r="L13" s="8">
        <v>25011795.809999999</v>
      </c>
      <c r="M13" s="10">
        <v>23579889.43</v>
      </c>
      <c r="N13" s="40">
        <v>42951893.25</v>
      </c>
      <c r="O13" s="54">
        <v>43724982.609999999</v>
      </c>
      <c r="P13" s="26" t="s">
        <v>24</v>
      </c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F13" s="37"/>
      <c r="AG13" s="14"/>
      <c r="AH13" s="14"/>
      <c r="AI13" s="14"/>
      <c r="AJ13" s="14"/>
      <c r="AK13" s="15"/>
      <c r="AL13" s="15"/>
      <c r="AM13" s="16"/>
    </row>
    <row r="14" spans="1:39" ht="21.75" customHeight="1" x14ac:dyDescent="0.25">
      <c r="A14" s="24" t="s">
        <v>6</v>
      </c>
      <c r="B14" s="7">
        <v>34846940.390000001</v>
      </c>
      <c r="C14" s="7">
        <v>34426002.350000001</v>
      </c>
      <c r="D14" s="7">
        <v>35813486.210000001</v>
      </c>
      <c r="E14" s="7">
        <v>35602279.990000002</v>
      </c>
      <c r="F14" s="20">
        <v>3534981.49</v>
      </c>
      <c r="G14" s="8">
        <v>3303174.44</v>
      </c>
      <c r="H14" s="8">
        <v>3069467.57</v>
      </c>
      <c r="I14" s="10">
        <v>2571052.06</v>
      </c>
      <c r="J14" s="20">
        <v>18337900.530000001</v>
      </c>
      <c r="K14" s="8">
        <v>20376029.489999998</v>
      </c>
      <c r="L14" s="8">
        <v>19985113.239999998</v>
      </c>
      <c r="M14" s="10">
        <v>20098179.469999999</v>
      </c>
      <c r="N14" s="40">
        <v>42755542.670000002</v>
      </c>
      <c r="O14" s="54">
        <v>43737662.259999998</v>
      </c>
      <c r="P14" s="26" t="s">
        <v>25</v>
      </c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F14" s="37"/>
      <c r="AG14" s="14"/>
      <c r="AH14" s="14"/>
      <c r="AI14" s="14"/>
      <c r="AJ14" s="14"/>
      <c r="AK14" s="15"/>
      <c r="AL14" s="15"/>
      <c r="AM14" s="16"/>
    </row>
    <row r="15" spans="1:39" ht="21.75" customHeight="1" x14ac:dyDescent="0.25">
      <c r="A15" s="24" t="s">
        <v>7</v>
      </c>
      <c r="B15" s="7">
        <v>34616936.060000002</v>
      </c>
      <c r="C15" s="7">
        <v>35501207.700000003</v>
      </c>
      <c r="D15" s="7">
        <v>36084345.200000003</v>
      </c>
      <c r="E15" s="7">
        <v>35579809.939999998</v>
      </c>
      <c r="F15" s="20">
        <v>1519284.65</v>
      </c>
      <c r="G15" s="8">
        <v>1333414.57</v>
      </c>
      <c r="H15" s="8">
        <v>2042202.73</v>
      </c>
      <c r="I15" s="10">
        <v>2344401.7000000002</v>
      </c>
      <c r="J15" s="20">
        <v>19283504.379999999</v>
      </c>
      <c r="K15" s="8">
        <v>19964302.440000001</v>
      </c>
      <c r="L15" s="8">
        <v>21626914.359999999</v>
      </c>
      <c r="M15" s="10">
        <v>21660890.57</v>
      </c>
      <c r="N15" s="40">
        <v>43020315.149999999</v>
      </c>
      <c r="O15" s="54">
        <v>43752500.329999998</v>
      </c>
      <c r="P15" s="26" t="s">
        <v>26</v>
      </c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F15" s="37"/>
      <c r="AG15" s="14"/>
      <c r="AH15" s="14"/>
      <c r="AI15" s="14"/>
      <c r="AJ15" s="14"/>
      <c r="AK15" s="15"/>
      <c r="AL15" s="15"/>
      <c r="AM15" s="16"/>
    </row>
    <row r="16" spans="1:39" ht="21.75" customHeight="1" x14ac:dyDescent="0.25">
      <c r="A16" s="24" t="s">
        <v>8</v>
      </c>
      <c r="B16" s="7">
        <v>34533025.399999999</v>
      </c>
      <c r="C16" s="7">
        <v>35434664.979999997</v>
      </c>
      <c r="D16" s="7">
        <v>35620342.140000001</v>
      </c>
      <c r="E16" s="7">
        <v>35615495.32</v>
      </c>
      <c r="F16" s="20">
        <v>916177.57</v>
      </c>
      <c r="G16" s="8">
        <v>3627198.68</v>
      </c>
      <c r="H16" s="8">
        <v>2588532.9900000002</v>
      </c>
      <c r="I16" s="10">
        <v>5470143.8399999999</v>
      </c>
      <c r="J16" s="20">
        <v>20570070.73</v>
      </c>
      <c r="K16" s="8">
        <v>18948103.859999999</v>
      </c>
      <c r="L16" s="8">
        <v>20233894.109999999</v>
      </c>
      <c r="M16" s="10">
        <v>22064482.57</v>
      </c>
      <c r="N16" s="40">
        <v>42960311.329999998</v>
      </c>
      <c r="O16" s="54">
        <v>43870459</v>
      </c>
      <c r="P16" s="26" t="s">
        <v>27</v>
      </c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F16" s="37"/>
      <c r="AG16" s="14"/>
      <c r="AH16" s="14"/>
      <c r="AI16" s="14"/>
      <c r="AJ16" s="14"/>
      <c r="AK16" s="15"/>
      <c r="AL16" s="15"/>
      <c r="AM16" s="16"/>
    </row>
    <row r="17" spans="1:41" ht="21.75" customHeight="1" x14ac:dyDescent="0.25">
      <c r="A17" s="24" t="s">
        <v>9</v>
      </c>
      <c r="B17" s="7">
        <v>34475645.299999997</v>
      </c>
      <c r="C17" s="7">
        <v>35107026.060000002</v>
      </c>
      <c r="D17" s="7">
        <v>35819459.600000001</v>
      </c>
      <c r="E17" s="7">
        <v>35678427.479999997</v>
      </c>
      <c r="F17" s="20">
        <v>2685645.5</v>
      </c>
      <c r="G17" s="8">
        <v>2986912.9</v>
      </c>
      <c r="H17" s="8">
        <v>2389738.73</v>
      </c>
      <c r="I17" s="10">
        <v>4094036.36</v>
      </c>
      <c r="J17" s="20">
        <v>18016782.370000001</v>
      </c>
      <c r="K17" s="8">
        <v>18818491.969999999</v>
      </c>
      <c r="L17" s="8">
        <v>21343950.440000001</v>
      </c>
      <c r="M17" s="10">
        <v>21025502.440000001</v>
      </c>
      <c r="N17" s="40">
        <v>42967536.020000003</v>
      </c>
      <c r="O17" s="54">
        <v>43935052.659999996</v>
      </c>
      <c r="P17" s="26" t="s">
        <v>28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F17" s="37"/>
      <c r="AG17" s="14"/>
      <c r="AH17" s="14"/>
      <c r="AI17" s="14"/>
      <c r="AJ17" s="14"/>
      <c r="AK17" s="15"/>
      <c r="AL17" s="15"/>
      <c r="AM17" s="16"/>
    </row>
    <row r="18" spans="1:41" ht="21.75" customHeight="1" x14ac:dyDescent="0.25">
      <c r="A18" s="24" t="s">
        <v>10</v>
      </c>
      <c r="B18" s="7">
        <v>34594343.560000002</v>
      </c>
      <c r="C18" s="7">
        <v>35317143.350000001</v>
      </c>
      <c r="D18" s="7">
        <v>35809800.469999999</v>
      </c>
      <c r="E18" s="7">
        <v>35659371.909999996</v>
      </c>
      <c r="F18" s="20">
        <v>1715961.41</v>
      </c>
      <c r="G18" s="8">
        <v>2911512.09</v>
      </c>
      <c r="H18" s="8">
        <v>3281668.64</v>
      </c>
      <c r="I18" s="10">
        <v>3127019.99</v>
      </c>
      <c r="J18" s="20">
        <v>19528164.620000001</v>
      </c>
      <c r="K18" s="8">
        <v>19052611.420000002</v>
      </c>
      <c r="L18" s="8">
        <v>20222911.489999998</v>
      </c>
      <c r="M18" s="10">
        <v>19694687.600000001</v>
      </c>
      <c r="N18" s="40">
        <v>43043959.509999998</v>
      </c>
      <c r="O18" s="54">
        <v>43913866.189999998</v>
      </c>
      <c r="P18" s="26" t="s">
        <v>29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F18" s="37"/>
      <c r="AG18" s="14"/>
      <c r="AH18" s="14"/>
      <c r="AI18" s="14"/>
      <c r="AJ18" s="14"/>
      <c r="AK18" s="15"/>
      <c r="AL18" s="15"/>
      <c r="AM18" s="16"/>
    </row>
    <row r="19" spans="1:41" ht="21.75" customHeight="1" x14ac:dyDescent="0.55000000000000004">
      <c r="A19" s="24" t="s">
        <v>11</v>
      </c>
      <c r="B19" s="7">
        <v>34186099.060000002</v>
      </c>
      <c r="C19" s="7">
        <v>35528647</v>
      </c>
      <c r="D19" s="7">
        <v>35916765.130000003</v>
      </c>
      <c r="E19" s="7">
        <v>35594151.450000003</v>
      </c>
      <c r="F19" s="20">
        <v>1718102.79</v>
      </c>
      <c r="G19" s="8">
        <v>3115225.24</v>
      </c>
      <c r="H19" s="8">
        <v>6316239.1299999999</v>
      </c>
      <c r="I19" s="10">
        <v>10717532.66</v>
      </c>
      <c r="J19" s="20">
        <v>18635257.670000002</v>
      </c>
      <c r="K19" s="8">
        <v>20720584.449999999</v>
      </c>
      <c r="L19" s="8">
        <v>20730230.550000001</v>
      </c>
      <c r="M19" s="10">
        <v>20986081.460000001</v>
      </c>
      <c r="N19" s="40">
        <v>42800573.149999999</v>
      </c>
      <c r="O19" s="54">
        <v>43822391.649999999</v>
      </c>
      <c r="P19" s="27" t="s">
        <v>31</v>
      </c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F19" s="37"/>
      <c r="AG19" s="14"/>
      <c r="AH19" s="14"/>
      <c r="AI19" s="14"/>
      <c r="AJ19" s="14"/>
      <c r="AK19" s="15"/>
      <c r="AL19" s="15"/>
      <c r="AM19" s="16"/>
    </row>
    <row r="20" spans="1:41" ht="21.75" customHeight="1" x14ac:dyDescent="0.25">
      <c r="A20" s="25" t="s">
        <v>12</v>
      </c>
      <c r="B20" s="9">
        <v>34536394.18</v>
      </c>
      <c r="C20" s="9">
        <v>34882002.939999998</v>
      </c>
      <c r="D20" s="9">
        <v>35659834.729999997</v>
      </c>
      <c r="E20" s="9">
        <v>35452633.939999998</v>
      </c>
      <c r="F20" s="21">
        <v>1705960.07</v>
      </c>
      <c r="G20" s="9">
        <v>1742517.29</v>
      </c>
      <c r="H20" s="9">
        <v>1971183.13</v>
      </c>
      <c r="I20" s="11">
        <v>3380365.84</v>
      </c>
      <c r="J20" s="21">
        <v>20484506.43</v>
      </c>
      <c r="K20" s="9">
        <v>19628482.789999999</v>
      </c>
      <c r="L20" s="9">
        <v>20204394.68</v>
      </c>
      <c r="M20" s="11">
        <v>19421687.149999999</v>
      </c>
      <c r="N20" s="41">
        <v>42678576.490000002</v>
      </c>
      <c r="O20" s="55">
        <v>43634524.200000003</v>
      </c>
      <c r="P20" s="28" t="s">
        <v>30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F20" s="37"/>
      <c r="AG20" s="14"/>
      <c r="AH20" s="14"/>
      <c r="AI20" s="14"/>
      <c r="AJ20" s="14"/>
      <c r="AK20" s="15"/>
      <c r="AL20" s="15"/>
      <c r="AM20" s="16"/>
    </row>
    <row r="21" spans="1:41" s="30" customFormat="1" ht="17.25" x14ac:dyDescent="0.2">
      <c r="A21" s="43" t="s">
        <v>41</v>
      </c>
      <c r="P21" s="44" t="s">
        <v>42</v>
      </c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F21" s="37"/>
      <c r="AG21" s="14"/>
      <c r="AH21" s="14"/>
      <c r="AI21" s="14"/>
      <c r="AJ21" s="14"/>
      <c r="AK21" s="14"/>
      <c r="AL21" s="14"/>
      <c r="AM21" s="32"/>
    </row>
    <row r="22" spans="1:41" s="30" customFormat="1" ht="17.25" x14ac:dyDescent="0.45">
      <c r="A22" s="29" t="s">
        <v>18</v>
      </c>
      <c r="P22" s="31" t="s">
        <v>35</v>
      </c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F22" s="37"/>
      <c r="AG22" s="64" t="s">
        <v>36</v>
      </c>
      <c r="AH22" s="64"/>
      <c r="AI22" s="64"/>
      <c r="AJ22" s="64"/>
      <c r="AL22" s="64" t="s">
        <v>37</v>
      </c>
      <c r="AM22" s="64"/>
      <c r="AN22" s="64"/>
      <c r="AO22" s="64"/>
    </row>
    <row r="23" spans="1:41" x14ac:dyDescent="0.25">
      <c r="AF23" s="37"/>
      <c r="AG23" s="14">
        <v>2012</v>
      </c>
      <c r="AH23" s="14">
        <v>2013</v>
      </c>
      <c r="AI23" s="14">
        <v>2014</v>
      </c>
      <c r="AJ23" s="14">
        <v>2015</v>
      </c>
      <c r="AL23" s="47">
        <v>2012</v>
      </c>
      <c r="AM23" s="47">
        <v>2013</v>
      </c>
      <c r="AN23" s="47">
        <v>2014</v>
      </c>
      <c r="AO23" s="47">
        <v>2015</v>
      </c>
    </row>
    <row r="24" spans="1:41" x14ac:dyDescent="0.25">
      <c r="A24" s="5"/>
      <c r="AF24" s="1" t="str">
        <f>B6</f>
        <v>Basic pension</v>
      </c>
      <c r="AG24" s="56">
        <f t="shared" ref="AG24:AJ27" si="4">AL24/1000000</f>
        <v>414.73893651999998</v>
      </c>
      <c r="AH24" s="56">
        <f t="shared" si="4"/>
        <v>421.20435024000005</v>
      </c>
      <c r="AI24" s="56">
        <f t="shared" si="4"/>
        <v>431.70710244000009</v>
      </c>
      <c r="AJ24" s="56">
        <f t="shared" si="4"/>
        <v>426.99923999999999</v>
      </c>
      <c r="AL24" s="13">
        <f>B8</f>
        <v>414738936.51999998</v>
      </c>
      <c r="AM24" s="13">
        <f>C8</f>
        <v>421204350.24000007</v>
      </c>
      <c r="AN24" s="13">
        <f>D8</f>
        <v>431707102.44000006</v>
      </c>
      <c r="AO24" s="13">
        <f>E8</f>
        <v>426999240</v>
      </c>
    </row>
    <row r="25" spans="1:41" x14ac:dyDescent="0.25">
      <c r="B25" s="30"/>
      <c r="AF25" s="1" t="str">
        <f>J6</f>
        <v>Other  pension</v>
      </c>
      <c r="AG25" s="56">
        <f t="shared" si="4"/>
        <v>240.70123962</v>
      </c>
      <c r="AH25" s="56">
        <f t="shared" si="4"/>
        <v>244.38423925999996</v>
      </c>
      <c r="AI25" s="56">
        <f t="shared" si="4"/>
        <v>259.55405459000002</v>
      </c>
      <c r="AJ25" s="56">
        <f t="shared" si="4"/>
        <v>260.11826270999995</v>
      </c>
      <c r="AL25" s="13">
        <f>J8</f>
        <v>240701239.62</v>
      </c>
      <c r="AM25" s="13">
        <f>K8</f>
        <v>244384239.25999996</v>
      </c>
      <c r="AN25" s="13">
        <f>L8</f>
        <v>259554054.59000003</v>
      </c>
      <c r="AO25" s="13">
        <f>M8</f>
        <v>260118262.70999998</v>
      </c>
    </row>
    <row r="26" spans="1:41" x14ac:dyDescent="0.25">
      <c r="AF26" s="1" t="str">
        <f>F6</f>
        <v>Retirement  pension</v>
      </c>
      <c r="AG26" s="56">
        <f t="shared" si="4"/>
        <v>21.452251599999997</v>
      </c>
      <c r="AH26" s="56">
        <f t="shared" si="4"/>
        <v>25.887906539999999</v>
      </c>
      <c r="AI26" s="56">
        <f t="shared" si="4"/>
        <v>35.973669200000003</v>
      </c>
      <c r="AJ26" s="56">
        <f t="shared" si="4"/>
        <v>48.839669629999996</v>
      </c>
      <c r="AL26" s="13">
        <f>F8</f>
        <v>21452251.599999998</v>
      </c>
      <c r="AM26" s="13">
        <f>G8</f>
        <v>25887906.539999999</v>
      </c>
      <c r="AN26" s="13">
        <f>H8</f>
        <v>35973669.200000003</v>
      </c>
      <c r="AO26" s="13">
        <f>I8</f>
        <v>48839669.629999995</v>
      </c>
    </row>
    <row r="27" spans="1:41" x14ac:dyDescent="0.25">
      <c r="AF27" s="1" t="str">
        <f>N6</f>
        <v xml:space="preserve"> Senior Citizen Allowance</v>
      </c>
      <c r="AG27" s="56">
        <f t="shared" si="4"/>
        <v>0</v>
      </c>
      <c r="AH27" s="56">
        <f t="shared" si="4"/>
        <v>0</v>
      </c>
      <c r="AI27" s="56">
        <f t="shared" si="4"/>
        <v>471.31171134999994</v>
      </c>
      <c r="AJ27" s="56">
        <f t="shared" si="4"/>
        <v>524.5473284599999</v>
      </c>
      <c r="AL27" s="1">
        <v>0</v>
      </c>
      <c r="AM27" s="1">
        <v>0</v>
      </c>
      <c r="AN27" s="13">
        <f>N8</f>
        <v>471311711.34999996</v>
      </c>
      <c r="AO27" s="13">
        <f>O8</f>
        <v>524547328.45999992</v>
      </c>
    </row>
    <row r="28" spans="1:41" x14ac:dyDescent="0.25">
      <c r="AF28" s="14"/>
      <c r="AG28" s="14"/>
      <c r="AH28" s="15"/>
      <c r="AI28" s="15"/>
      <c r="AL28" s="15"/>
      <c r="AM28" s="16"/>
    </row>
    <row r="29" spans="1:41" x14ac:dyDescent="0.25">
      <c r="AF29" s="14"/>
      <c r="AG29" s="14"/>
      <c r="AH29" s="15"/>
      <c r="AI29" s="15"/>
      <c r="AJ29" s="15"/>
      <c r="AK29" s="16"/>
    </row>
  </sheetData>
  <mergeCells count="15">
    <mergeCell ref="AG22:AJ22"/>
    <mergeCell ref="AL22:AO22"/>
    <mergeCell ref="A1:P1"/>
    <mergeCell ref="AE1:AG1"/>
    <mergeCell ref="A5:A7"/>
    <mergeCell ref="P5:P7"/>
    <mergeCell ref="A2:P2"/>
    <mergeCell ref="B5:E5"/>
    <mergeCell ref="B6:E6"/>
    <mergeCell ref="F5:I5"/>
    <mergeCell ref="F6:I6"/>
    <mergeCell ref="J5:M5"/>
    <mergeCell ref="J6:M6"/>
    <mergeCell ref="N5:O5"/>
    <mergeCell ref="N6:O6"/>
  </mergeCells>
  <pageMargins left="0.17" right="0.16" top="0.39" bottom="0.2" header="0.3" footer="0.17"/>
  <pageSetup paperSize="9" scale="65" orientation="landscape" r:id="rId1"/>
  <colBreaks count="1" manualBreakCount="1">
    <brk id="3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</vt:lpstr>
      <vt:lpstr>'18.2'!Print_Area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2016-09-08T08:31:29Z</cp:lastPrinted>
  <dcterms:created xsi:type="dcterms:W3CDTF">2013-03-14T06:06:17Z</dcterms:created>
  <dcterms:modified xsi:type="dcterms:W3CDTF">2016-09-08T08:31:30Z</dcterms:modified>
</cp:coreProperties>
</file>