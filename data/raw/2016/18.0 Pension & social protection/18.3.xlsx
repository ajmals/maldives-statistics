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25" windowWidth="6975" windowHeight="4110" tabRatio="857"/>
  </bookViews>
  <sheets>
    <sheet name="18.3" sheetId="7" r:id="rId1"/>
  </sheets>
  <externalReferences>
    <externalReference r:id="rId2"/>
  </externalReferences>
  <definedNames>
    <definedName name="_xlnm.Print_Area" localSheetId="0">'18.3'!$A$1:$U$33</definedName>
  </definedNames>
  <calcPr calcId="145621"/>
</workbook>
</file>

<file path=xl/calcChain.xml><?xml version="1.0" encoding="utf-8"?>
<calcChain xmlns="http://schemas.openxmlformats.org/spreadsheetml/2006/main">
  <c r="AE15" i="7" l="1"/>
  <c r="AE16" i="7"/>
  <c r="AE17" i="7"/>
  <c r="AE18" i="7"/>
  <c r="AD16" i="7"/>
  <c r="AD17" i="7"/>
  <c r="AD18" i="7"/>
  <c r="AD15" i="7"/>
  <c r="Q10" i="7"/>
  <c r="M9" i="7"/>
  <c r="L9" i="7"/>
  <c r="K11" i="7"/>
  <c r="Q11" i="7" s="1"/>
  <c r="K12" i="7"/>
  <c r="Q12" i="7" s="1"/>
  <c r="K13" i="7"/>
  <c r="Q13" i="7" s="1"/>
  <c r="K10" i="7"/>
  <c r="R10" i="7" l="1"/>
  <c r="R13" i="7" l="1"/>
  <c r="R12" i="7"/>
  <c r="R11" i="7"/>
  <c r="K9" i="7"/>
  <c r="P12" i="7" l="1"/>
  <c r="P9" i="7"/>
  <c r="Q9" i="7"/>
  <c r="P11" i="7"/>
  <c r="P10" i="7"/>
  <c r="P13" i="7"/>
  <c r="J9" i="7" l="1"/>
  <c r="I9" i="7"/>
  <c r="N13" i="7" l="1"/>
  <c r="H9" i="7" l="1"/>
  <c r="R9" i="7" s="1"/>
  <c r="O10" i="7" l="1"/>
  <c r="O12" i="7"/>
  <c r="O13" i="7"/>
  <c r="O11" i="7"/>
  <c r="O9" i="7"/>
  <c r="G9" i="7" l="1"/>
  <c r="F9" i="7"/>
  <c r="E9" i="7" l="1"/>
  <c r="N9" i="7" l="1"/>
  <c r="N11" i="7"/>
  <c r="N12" i="7"/>
  <c r="N10" i="7"/>
  <c r="AE14" i="7" l="1"/>
  <c r="AD14" i="7"/>
  <c r="B12" i="7"/>
  <c r="B10" i="7" l="1"/>
  <c r="D9" i="7"/>
  <c r="C9" i="7"/>
  <c r="B9" i="7" l="1"/>
</calcChain>
</file>

<file path=xl/sharedStrings.xml><?xml version="1.0" encoding="utf-8"?>
<sst xmlns="http://schemas.openxmlformats.org/spreadsheetml/2006/main" count="57" uniqueCount="32">
  <si>
    <t>Male</t>
  </si>
  <si>
    <t>Female</t>
  </si>
  <si>
    <t>Total</t>
  </si>
  <si>
    <t>% share</t>
  </si>
  <si>
    <t>% change</t>
  </si>
  <si>
    <t>Basic Pension</t>
  </si>
  <si>
    <t>Retirement Pension</t>
  </si>
  <si>
    <t>Other Pension</t>
  </si>
  <si>
    <t>ފިރިހެން</t>
  </si>
  <si>
    <t>އަންހެން</t>
  </si>
  <si>
    <t>އަސާސީ ޕެންޝަން</t>
  </si>
  <si>
    <t>ރިޓަޔަރމަންޓް ޕެންޝަން</t>
  </si>
  <si>
    <t>ޖުމްލަ</t>
  </si>
  <si>
    <t>އެހެނިހެން ޕެންޝަން</t>
  </si>
  <si>
    <t>Type of pension</t>
  </si>
  <si>
    <t>ޕެންޝަންގެ ބާވަތް</t>
  </si>
  <si>
    <t>Source: Maldives Pension Administration</t>
  </si>
  <si>
    <t>beneficiaries</t>
  </si>
  <si>
    <t>% share of females</t>
  </si>
  <si>
    <t>މަޢުލޫމާތު ދެއްވި ފަރާތް: މޯލްޑިވްސް ޕެންޝަން އެޑްމިނިސްޓްރޭޝަން</t>
  </si>
  <si>
    <t>އިތުރުވި މިންވަރު</t>
  </si>
  <si>
    <t>އިންސައްތަ</t>
  </si>
  <si>
    <t>އަންހެނުންގެ އިން ސައްތަ</t>
  </si>
  <si>
    <r>
      <t xml:space="preserve">Benficiaries (end year)           </t>
    </r>
    <r>
      <rPr>
        <b/>
        <sz val="11"/>
        <color theme="1"/>
        <rFont val="Faruma"/>
      </rPr>
      <t>ޕެންޝަން ލިބޭ މީހުންގެ އަދަދު</t>
    </r>
  </si>
  <si>
    <t>Senior Citizen Allowance</t>
  </si>
  <si>
    <t>ސީނިއަރ ސިޓިޒަން އެލަވަންސް</t>
  </si>
  <si>
    <t xml:space="preserve">ދައުލަތުން ޕެންޝަންލިބޭ ފަރާޓްތަކުގެ ތެރެއިން މަހަކު 000،5ރ އަށްވުރެ މަދުން ޕެންޝަން ފައިސާ ލިބޭ ފަރާޓްތަކަށް 000،5ރ ހަމަކޮށްދިނުމަށްޓަކާ ހެދި ސްކީމެއް.  ސީނިއަރ ސިޓިޒަން އެލަވަންސް ސްކީމް ތަޢާރަފުކުރެވިފައިވާ ފެބްރުއަރީ 2014 ގައެވެ. </t>
  </si>
  <si>
    <t>1_/</t>
  </si>
  <si>
    <r>
      <rPr>
        <i/>
        <vertAlign val="superscript"/>
        <sz val="10"/>
        <color theme="1"/>
        <rFont val="Calibri"/>
        <family val="2"/>
        <scheme val="minor"/>
      </rPr>
      <t>1_/</t>
    </r>
    <r>
      <rPr>
        <i/>
        <sz val="10"/>
        <color theme="1"/>
        <rFont val="Calibri"/>
        <family val="2"/>
        <scheme val="minor"/>
      </rPr>
      <t xml:space="preserve"> Those pensioners receiving less than 5,000 mvr is given the balance amount to reach 5,000 mvr under this scheme. Senior Citizen Allowance was introduced in February 2014.</t>
    </r>
  </si>
  <si>
    <t>2014-2015</t>
  </si>
  <si>
    <t>ތާވަލު 18.3: އެކި ޕެންޝަން ސްކީމްތަކުން ޕެންޝަން ލިބޭ މީހުންގެ އަދަދު، 2013 - 2015</t>
  </si>
  <si>
    <t>TABLE   18.3:  NUMBER OF BENFICIARIES BY PENSION SCHEME AND SEX, 2013 - 2015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</si>
</sst>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Faruma"/>
    </font>
    <font>
      <b/>
      <sz val="11"/>
      <color theme="1"/>
      <name val="Faruma"/>
    </font>
    <font>
      <b/>
      <sz val="10"/>
      <color theme="1"/>
      <name val="Faruma"/>
    </font>
    <font>
      <i/>
      <sz val="10"/>
      <color theme="1"/>
      <name val="Calibri"/>
      <family val="2"/>
      <scheme val="minor"/>
    </font>
    <font>
      <sz val="10"/>
      <color theme="1"/>
      <name val="Faruma"/>
    </font>
    <font>
      <sz val="10"/>
      <name val="Arial"/>
      <family val="2"/>
    </font>
    <font>
      <b/>
      <sz val="9"/>
      <color theme="1" tint="0.14999847407452621"/>
      <name val="Faruma"/>
    </font>
    <font>
      <sz val="9"/>
      <color theme="1"/>
      <name val="Faruma"/>
    </font>
    <font>
      <sz val="10"/>
      <name val="Courier"/>
      <family val="3"/>
    </font>
    <font>
      <b/>
      <sz val="9"/>
      <color theme="1"/>
      <name val="Calibri"/>
      <family val="2"/>
      <scheme val="minor"/>
    </font>
    <font>
      <i/>
      <vertAlign val="superscript"/>
      <sz val="10"/>
      <color theme="1"/>
      <name val="Calibri"/>
      <family val="2"/>
      <scheme val="minor"/>
    </font>
    <font>
      <vertAlign val="superscript"/>
      <sz val="10"/>
      <color theme="1"/>
      <name val="Faruma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8" fillId="0" borderId="0"/>
    <xf numFmtId="164" fontId="11" fillId="0" borderId="0"/>
  </cellStyleXfs>
  <cellXfs count="85">
    <xf numFmtId="0" fontId="0" fillId="0" borderId="0" xfId="0"/>
    <xf numFmtId="0" fontId="0" fillId="2" borderId="0" xfId="0" applyFill="1"/>
    <xf numFmtId="0" fontId="0" fillId="2" borderId="0" xfId="0" applyFill="1" applyBorder="1"/>
    <xf numFmtId="164" fontId="0" fillId="2" borderId="2" xfId="1" applyNumberFormat="1" applyFont="1" applyFill="1" applyBorder="1" applyAlignment="1">
      <alignment horizontal="right" vertical="center"/>
    </xf>
    <xf numFmtId="0" fontId="3" fillId="2" borderId="0" xfId="0" applyFont="1" applyFill="1" applyBorder="1"/>
    <xf numFmtId="164" fontId="0" fillId="2" borderId="2" xfId="1" applyNumberFormat="1" applyFont="1" applyFill="1" applyBorder="1" applyAlignment="1">
      <alignment horizontal="center" vertical="center"/>
    </xf>
    <xf numFmtId="0" fontId="3" fillId="2" borderId="2" xfId="0" applyFont="1" applyFill="1" applyBorder="1"/>
    <xf numFmtId="0" fontId="2" fillId="2" borderId="0" xfId="0" applyFont="1" applyFill="1" applyBorder="1"/>
    <xf numFmtId="164" fontId="0" fillId="2" borderId="0" xfId="1" applyNumberFormat="1" applyFont="1" applyFill="1" applyBorder="1" applyAlignment="1">
      <alignment horizontal="center" vertical="center"/>
    </xf>
    <xf numFmtId="164" fontId="0" fillId="2" borderId="0" xfId="1" applyNumberFormat="1" applyFont="1" applyFill="1" applyBorder="1"/>
    <xf numFmtId="164" fontId="2" fillId="2" borderId="0" xfId="1" applyNumberFormat="1" applyFont="1" applyFill="1" applyBorder="1" applyAlignment="1">
      <alignment horizontal="right" vertical="center"/>
    </xf>
    <xf numFmtId="164" fontId="0" fillId="2" borderId="0" xfId="1" applyNumberFormat="1" applyFont="1" applyFill="1" applyBorder="1" applyAlignment="1">
      <alignment horizontal="right" vertical="center"/>
    </xf>
    <xf numFmtId="0" fontId="4" fillId="2" borderId="0" xfId="0" applyFont="1" applyFill="1" applyBorder="1"/>
    <xf numFmtId="0" fontId="6" fillId="2" borderId="0" xfId="0" applyFont="1" applyFill="1"/>
    <xf numFmtId="0" fontId="2" fillId="2" borderId="2" xfId="0" applyFont="1" applyFill="1" applyBorder="1" applyAlignment="1">
      <alignment horizontal="right"/>
    </xf>
    <xf numFmtId="164" fontId="0" fillId="2" borderId="6" xfId="1" applyNumberFormat="1" applyFont="1" applyFill="1" applyBorder="1" applyAlignment="1">
      <alignment horizontal="center" vertical="center"/>
    </xf>
    <xf numFmtId="3" fontId="9" fillId="2" borderId="0" xfId="2" applyNumberFormat="1" applyFont="1" applyFill="1" applyBorder="1" applyAlignment="1" applyProtection="1">
      <alignment horizontal="right"/>
    </xf>
    <xf numFmtId="0" fontId="7" fillId="2" borderId="0" xfId="0" applyFont="1" applyFill="1" applyAlignment="1">
      <alignment vertical="center"/>
    </xf>
    <xf numFmtId="0" fontId="5" fillId="2" borderId="0" xfId="0" applyFont="1" applyFill="1" applyBorder="1" applyAlignment="1">
      <alignment horizontal="right" vertical="center"/>
    </xf>
    <xf numFmtId="0" fontId="5" fillId="2" borderId="10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0" fontId="10" fillId="2" borderId="0" xfId="0" applyFont="1" applyFill="1"/>
    <xf numFmtId="0" fontId="0" fillId="2" borderId="0" xfId="0" applyFont="1" applyFill="1" applyBorder="1"/>
    <xf numFmtId="0" fontId="0" fillId="2" borderId="2" xfId="0" applyFont="1" applyFill="1" applyBorder="1"/>
    <xf numFmtId="164" fontId="0" fillId="2" borderId="17" xfId="1" applyNumberFormat="1" applyFont="1" applyFill="1" applyBorder="1"/>
    <xf numFmtId="0" fontId="2" fillId="2" borderId="9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right"/>
    </xf>
    <xf numFmtId="164" fontId="2" fillId="2" borderId="17" xfId="1" applyNumberFormat="1" applyFont="1" applyFill="1" applyBorder="1"/>
    <xf numFmtId="3" fontId="0" fillId="2" borderId="0" xfId="0" applyNumberFormat="1" applyFill="1" applyBorder="1"/>
    <xf numFmtId="0" fontId="0" fillId="2" borderId="5" xfId="0" applyFill="1" applyBorder="1"/>
    <xf numFmtId="0" fontId="5" fillId="2" borderId="3" xfId="0" applyFont="1" applyFill="1" applyBorder="1" applyAlignment="1">
      <alignment horizontal="right" vertical="center"/>
    </xf>
    <xf numFmtId="0" fontId="5" fillId="2" borderId="19" xfId="0" applyFont="1" applyFill="1" applyBorder="1" applyAlignment="1">
      <alignment horizontal="right" vertical="center"/>
    </xf>
    <xf numFmtId="164" fontId="2" fillId="2" borderId="3" xfId="1" applyNumberFormat="1" applyFont="1" applyFill="1" applyBorder="1" applyAlignment="1">
      <alignment horizontal="right" vertical="center"/>
    </xf>
    <xf numFmtId="164" fontId="2" fillId="2" borderId="6" xfId="1" applyNumberFormat="1" applyFont="1" applyFill="1" applyBorder="1" applyAlignment="1">
      <alignment horizontal="right" vertical="center"/>
    </xf>
    <xf numFmtId="164" fontId="0" fillId="2" borderId="3" xfId="1" applyNumberFormat="1" applyFont="1" applyFill="1" applyBorder="1" applyAlignment="1">
      <alignment horizontal="right" vertical="center"/>
    </xf>
    <xf numFmtId="164" fontId="1" fillId="2" borderId="6" xfId="1" applyNumberFormat="1" applyFont="1" applyFill="1" applyBorder="1"/>
    <xf numFmtId="164" fontId="0" fillId="2" borderId="13" xfId="1" applyNumberFormat="1" applyFont="1" applyFill="1" applyBorder="1" applyAlignment="1">
      <alignment horizontal="right" vertical="center"/>
    </xf>
    <xf numFmtId="0" fontId="6" fillId="2" borderId="0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164" fontId="2" fillId="2" borderId="12" xfId="1" applyNumberFormat="1" applyFont="1" applyFill="1" applyBorder="1"/>
    <xf numFmtId="0" fontId="14" fillId="2" borderId="0" xfId="0" applyFont="1" applyFill="1" applyAlignment="1">
      <alignment horizontal="left" vertical="center"/>
    </xf>
    <xf numFmtId="164" fontId="2" fillId="2" borderId="5" xfId="1" applyNumberFormat="1" applyFont="1" applyFill="1" applyBorder="1"/>
    <xf numFmtId="164" fontId="1" fillId="2" borderId="0" xfId="1" applyNumberFormat="1" applyFont="1" applyFill="1" applyBorder="1"/>
    <xf numFmtId="0" fontId="2" fillId="2" borderId="14" xfId="0" applyFont="1" applyFill="1" applyBorder="1" applyAlignment="1">
      <alignment horizontal="right"/>
    </xf>
    <xf numFmtId="164" fontId="1" fillId="2" borderId="7" xfId="1" applyNumberFormat="1" applyFont="1" applyFill="1" applyBorder="1"/>
    <xf numFmtId="0" fontId="2" fillId="2" borderId="0" xfId="0" applyFont="1" applyFill="1" applyAlignment="1">
      <alignment horizontal="center"/>
    </xf>
    <xf numFmtId="0" fontId="2" fillId="2" borderId="17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right" vertical="center"/>
    </xf>
    <xf numFmtId="0" fontId="2" fillId="2" borderId="11" xfId="0" applyFont="1" applyFill="1" applyBorder="1" applyAlignment="1">
      <alignment horizontal="right"/>
    </xf>
    <xf numFmtId="1" fontId="2" fillId="2" borderId="14" xfId="0" applyNumberFormat="1" applyFont="1" applyFill="1" applyBorder="1" applyAlignment="1">
      <alignment horizontal="center" vertical="center"/>
    </xf>
    <xf numFmtId="1" fontId="2" fillId="2" borderId="5" xfId="1" applyNumberFormat="1" applyFont="1" applyFill="1" applyBorder="1" applyAlignment="1">
      <alignment horizontal="center" vertical="center"/>
    </xf>
    <xf numFmtId="1" fontId="2" fillId="2" borderId="15" xfId="1" applyNumberFormat="1" applyFont="1" applyFill="1" applyBorder="1" applyAlignment="1">
      <alignment horizontal="right" vertical="center" indent="4"/>
    </xf>
    <xf numFmtId="1" fontId="2" fillId="2" borderId="17" xfId="1" applyNumberFormat="1" applyFont="1" applyFill="1" applyBorder="1" applyAlignment="1">
      <alignment horizontal="right" vertical="center" indent="4"/>
    </xf>
    <xf numFmtId="1" fontId="2" fillId="2" borderId="9" xfId="1" applyNumberFormat="1" applyFont="1" applyFill="1" applyBorder="1" applyAlignment="1">
      <alignment horizontal="right" vertical="center" indent="4"/>
    </xf>
    <xf numFmtId="0" fontId="2" fillId="2" borderId="13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right"/>
    </xf>
    <xf numFmtId="3" fontId="0" fillId="2" borderId="2" xfId="0" applyNumberFormat="1" applyFill="1" applyBorder="1"/>
    <xf numFmtId="1" fontId="1" fillId="2" borderId="22" xfId="1" applyNumberFormat="1" applyFont="1" applyFill="1" applyBorder="1" applyAlignment="1">
      <alignment horizontal="center" vertical="center"/>
    </xf>
    <xf numFmtId="1" fontId="1" fillId="2" borderId="23" xfId="1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8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Normal 2" xfId="3"/>
    <cellStyle name="Normal_II-15(Population) 2" xfId="2"/>
  </cellStyles>
  <dxfs count="0"/>
  <tableStyles count="0" defaultTableStyle="TableStyleMedium2" defaultPivotStyle="PivotStyleLight16"/>
  <colors>
    <mruColors>
      <color rgb="FF1C706E"/>
      <color rgb="FF28B2AF"/>
      <color rgb="FFD4F5F4"/>
      <color rgb="FF8DE5E3"/>
      <color rgb="FF33CCCC"/>
      <color rgb="FFA7EBE9"/>
      <color rgb="FF9933FF"/>
      <color rgb="FF9900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</a:t>
            </a:r>
            <a:r>
              <a:rPr lang="en-US" sz="1100" baseline="0">
                <a:latin typeface="Consolas" pitchFamily="49" charset="0"/>
                <a:cs typeface="Consolas" pitchFamily="49" charset="0"/>
              </a:rPr>
              <a:t> 18.5: </a:t>
            </a:r>
            <a:r>
              <a:rPr lang="en-US" sz="1100">
                <a:latin typeface="Consolas" pitchFamily="49" charset="0"/>
                <a:cs typeface="Consolas" pitchFamily="49" charset="0"/>
              </a:rPr>
              <a:t>Number of beneficiaries</a:t>
            </a:r>
            <a:r>
              <a:rPr lang="en-US" sz="1100" baseline="0">
                <a:latin typeface="Consolas" pitchFamily="49" charset="0"/>
                <a:cs typeface="Consolas" pitchFamily="49" charset="0"/>
              </a:rPr>
              <a:t> under different pension schemes by sex, 2015</a:t>
            </a:r>
            <a:endParaRPr lang="en-US" sz="1100">
              <a:latin typeface="Consolas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18321760441745105"/>
          <c:y val="3.776216206940476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9411158775585262E-2"/>
          <c:y val="0.17575240594925634"/>
          <c:w val="0.87946507879462443"/>
          <c:h val="0.677553951589388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'18.3'!$AD$14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dLbls>
            <c:dLbl>
              <c:idx val="0"/>
              <c:layout>
                <c:manualLayout>
                  <c:x val="-1.9521411837691923E-3"/>
                  <c:y val="9.769933452906040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>
                <c:manualLayout>
                  <c:x val="0"/>
                  <c:y val="1.46549001793590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'18.3'!$AC$15:$AC$18</c:f>
              <c:strCache>
                <c:ptCount val="4"/>
                <c:pt idx="0">
                  <c:v>Basic Pension</c:v>
                </c:pt>
                <c:pt idx="1">
                  <c:v>Retirement Pension</c:v>
                </c:pt>
                <c:pt idx="2">
                  <c:v>Other Pension</c:v>
                </c:pt>
                <c:pt idx="3">
                  <c:v>Senior Citizen Allowance</c:v>
                </c:pt>
              </c:strCache>
            </c:strRef>
          </c:cat>
          <c:val>
            <c:numRef>
              <c:f>'18.3'!$AD$15:$AD$18</c:f>
              <c:numCache>
                <c:formatCode>_(* #,##0_);_(* \(#,##0\);_(* "-"??_);_(@_)</c:formatCode>
                <c:ptCount val="4"/>
                <c:pt idx="0">
                  <c:v>8201</c:v>
                </c:pt>
                <c:pt idx="1">
                  <c:v>699</c:v>
                </c:pt>
                <c:pt idx="2">
                  <c:v>5198</c:v>
                </c:pt>
                <c:pt idx="3">
                  <c:v>8553</c:v>
                </c:pt>
              </c:numCache>
            </c:numRef>
          </c:val>
        </c:ser>
        <c:ser>
          <c:idx val="1"/>
          <c:order val="1"/>
          <c:tx>
            <c:strRef>
              <c:f>'18.3'!$AE$14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cat>
            <c:strRef>
              <c:f>'18.3'!$AC$15:$AC$18</c:f>
              <c:strCache>
                <c:ptCount val="4"/>
                <c:pt idx="0">
                  <c:v>Basic Pension</c:v>
                </c:pt>
                <c:pt idx="1">
                  <c:v>Retirement Pension</c:v>
                </c:pt>
                <c:pt idx="2">
                  <c:v>Other Pension</c:v>
                </c:pt>
                <c:pt idx="3">
                  <c:v>Senior Citizen Allowance</c:v>
                </c:pt>
              </c:strCache>
            </c:strRef>
          </c:cat>
          <c:val>
            <c:numRef>
              <c:f>'18.3'!$AE$15:$AE$18</c:f>
              <c:numCache>
                <c:formatCode>_(* #,##0_);_(* \(#,##0\);_(* "-"??_);_(@_)</c:formatCode>
                <c:ptCount val="4"/>
                <c:pt idx="0">
                  <c:v>7890</c:v>
                </c:pt>
                <c:pt idx="1">
                  <c:v>196</c:v>
                </c:pt>
                <c:pt idx="2">
                  <c:v>2066</c:v>
                </c:pt>
                <c:pt idx="3">
                  <c:v>8008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46121088"/>
        <c:axId val="146122624"/>
      </c:barChart>
      <c:catAx>
        <c:axId val="146121088"/>
        <c:scaling>
          <c:orientation val="minMax"/>
        </c:scaling>
        <c:delete val="0"/>
        <c:axPos val="b"/>
        <c:majorTickMark val="out"/>
        <c:minorTickMark val="none"/>
        <c:tickLblPos val="nextTo"/>
        <c:crossAx val="146122624"/>
        <c:crosses val="autoZero"/>
        <c:auto val="1"/>
        <c:lblAlgn val="ctr"/>
        <c:lblOffset val="100"/>
        <c:noMultiLvlLbl val="0"/>
      </c:catAx>
      <c:valAx>
        <c:axId val="14612262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number</a:t>
                </a:r>
                <a:r>
                  <a:rPr lang="en-US" b="0" baseline="0"/>
                  <a:t> of persons</a:t>
                </a:r>
                <a:endParaRPr lang="en-US" b="0"/>
              </a:p>
            </c:rich>
          </c:tx>
          <c:layout>
            <c:manualLayout>
              <c:xMode val="edge"/>
              <c:yMode val="edge"/>
              <c:x val="1.1326757671272825E-2"/>
              <c:y val="0.28176290463692039"/>
            </c:manualLayout>
          </c:layout>
          <c:overlay val="0"/>
        </c:title>
        <c:numFmt formatCode="_(* #,##0_);_(* \(#,##0\);_(* &quot;-&quot;??_);_(@_)" sourceLinked="1"/>
        <c:majorTickMark val="out"/>
        <c:minorTickMark val="none"/>
        <c:tickLblPos val="nextTo"/>
        <c:crossAx val="146121088"/>
        <c:crosses val="autoZero"/>
        <c:crossBetween val="between"/>
      </c:valAx>
      <c:spPr>
        <a:solidFill>
          <a:srgbClr val="D4F5F4"/>
        </a:solidFill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5310783182134623"/>
          <c:y val="0.22716518457289059"/>
          <c:w val="0.22889887622494667"/>
          <c:h val="6.3539954604427323E-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389" l="0.70000000000000062" r="0.70000000000000062" t="0.750000000000003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1458451</xdr:colOff>
      <xdr:row>16</xdr:row>
      <xdr:rowOff>107847</xdr:rowOff>
    </xdr:from>
    <xdr:to>
      <xdr:col>16</xdr:col>
      <xdr:colOff>0</xdr:colOff>
      <xdr:row>32</xdr:row>
      <xdr:rowOff>24581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655485</xdr:colOff>
      <xdr:row>18</xdr:row>
      <xdr:rowOff>51208</xdr:rowOff>
    </xdr:from>
    <xdr:to>
      <xdr:col>14</xdr:col>
      <xdr:colOff>532582</xdr:colOff>
      <xdr:row>18</xdr:row>
      <xdr:rowOff>61450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2980404" y="4096773"/>
          <a:ext cx="6370484" cy="10242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ifaza\AppData\Local\Microsoft\Windows\INetCache\Content.Outlook\ODPSUPO0\Documents%20and%20Settings\f.shifaza\Application%20Data\Microsoft\Excel\18.%20SOCIAL%20PROTECTION%20_%2029%20July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.1 "/>
      <sheetName val="18.2 "/>
      <sheetName val="Figures"/>
      <sheetName val="18.3"/>
      <sheetName val="18.4"/>
      <sheetName val="18.5 new"/>
      <sheetName val="18.6"/>
      <sheetName val="18.7"/>
      <sheetName val="18.8"/>
      <sheetName val="18.9"/>
      <sheetName val="18.10"/>
      <sheetName val="Sheet1"/>
      <sheetName val="18.11"/>
      <sheetName val="18.12"/>
      <sheetName val="18.13"/>
      <sheetName val="18.14"/>
      <sheetName val="18.15"/>
      <sheetName val="18.16"/>
      <sheetName val="18.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>
            <v>2010</v>
          </cell>
          <cell r="D5">
            <v>2011</v>
          </cell>
          <cell r="E5">
            <v>2012</v>
          </cell>
        </row>
        <row r="7">
          <cell r="A7" t="str">
            <v>January</v>
          </cell>
          <cell r="D7">
            <v>13828</v>
          </cell>
          <cell r="E7">
            <v>18448</v>
          </cell>
        </row>
        <row r="8">
          <cell r="A8" t="str">
            <v>February</v>
          </cell>
          <cell r="D8">
            <v>13973</v>
          </cell>
          <cell r="E8">
            <v>18752</v>
          </cell>
        </row>
        <row r="9">
          <cell r="A9" t="str">
            <v>March</v>
          </cell>
          <cell r="D9">
            <v>14118</v>
          </cell>
          <cell r="E9">
            <v>18955</v>
          </cell>
        </row>
        <row r="10">
          <cell r="A10" t="str">
            <v>April</v>
          </cell>
          <cell r="D10">
            <v>14339</v>
          </cell>
          <cell r="E10">
            <v>19216</v>
          </cell>
        </row>
        <row r="11">
          <cell r="A11" t="str">
            <v>May</v>
          </cell>
          <cell r="D11">
            <v>14703</v>
          </cell>
          <cell r="E11">
            <v>19500</v>
          </cell>
        </row>
        <row r="12">
          <cell r="A12" t="str">
            <v>June</v>
          </cell>
          <cell r="D12">
            <v>15283</v>
          </cell>
          <cell r="E12">
            <v>19773</v>
          </cell>
        </row>
        <row r="13">
          <cell r="A13" t="str">
            <v>July</v>
          </cell>
          <cell r="D13">
            <v>15897</v>
          </cell>
          <cell r="E13">
            <v>19992</v>
          </cell>
        </row>
        <row r="14">
          <cell r="A14" t="str">
            <v>August</v>
          </cell>
          <cell r="D14">
            <v>16459</v>
          </cell>
          <cell r="E14">
            <v>20166</v>
          </cell>
        </row>
        <row r="15">
          <cell r="A15" t="str">
            <v>September</v>
          </cell>
          <cell r="D15">
            <v>16943</v>
          </cell>
          <cell r="E15">
            <v>20369</v>
          </cell>
        </row>
        <row r="16">
          <cell r="A16" t="str">
            <v>October</v>
          </cell>
          <cell r="D16">
            <v>17538</v>
          </cell>
          <cell r="E16">
            <v>20507</v>
          </cell>
        </row>
        <row r="17">
          <cell r="A17" t="str">
            <v>November</v>
          </cell>
          <cell r="D17">
            <v>17804</v>
          </cell>
          <cell r="E17">
            <v>20638</v>
          </cell>
        </row>
        <row r="18">
          <cell r="A18" t="str">
            <v>December</v>
          </cell>
          <cell r="D18">
            <v>18072</v>
          </cell>
          <cell r="E18">
            <v>20719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E19"/>
  <sheetViews>
    <sheetView tabSelected="1" zoomScale="93" zoomScaleNormal="93" zoomScaleSheetLayoutView="86" workbookViewId="0">
      <selection activeCell="X1" sqref="X1:X1048576"/>
    </sheetView>
  </sheetViews>
  <sheetFormatPr defaultColWidth="9.140625" defaultRowHeight="15" x14ac:dyDescent="0.25"/>
  <cols>
    <col min="1" max="1" width="24.140625" style="2" customWidth="1"/>
    <col min="2" max="2" width="13.140625" style="2" hidden="1" customWidth="1"/>
    <col min="3" max="4" width="10.42578125" style="2" hidden="1" customWidth="1"/>
    <col min="5" max="5" width="10.7109375" style="2" customWidth="1"/>
    <col min="6" max="7" width="10.42578125" style="2" customWidth="1"/>
    <col min="8" max="8" width="13.140625" style="2" customWidth="1"/>
    <col min="9" max="10" width="10.42578125" style="2" customWidth="1"/>
    <col min="11" max="11" width="13.140625" style="2" customWidth="1"/>
    <col min="12" max="13" width="10.42578125" style="2" customWidth="1"/>
    <col min="14" max="16" width="8.28515625" style="2" customWidth="1"/>
    <col min="17" max="17" width="17.140625" style="2" customWidth="1"/>
    <col min="18" max="18" width="14.140625" style="2" customWidth="1"/>
    <col min="19" max="19" width="23.85546875" style="2" customWidth="1"/>
    <col min="20" max="20" width="1.28515625" style="2" customWidth="1"/>
    <col min="21" max="22" width="2" style="2" customWidth="1"/>
    <col min="23" max="28" width="61.7109375" style="2" customWidth="1"/>
    <col min="29" max="16384" width="9.140625" style="2"/>
  </cols>
  <sheetData>
    <row r="1" spans="1:31" x14ac:dyDescent="0.25">
      <c r="AC1" s="2" t="s">
        <v>5</v>
      </c>
      <c r="AD1" s="8">
        <v>7948</v>
      </c>
      <c r="AE1" s="8">
        <v>7320</v>
      </c>
    </row>
    <row r="2" spans="1:31" s="1" customFormat="1" ht="21.75" customHeight="1" x14ac:dyDescent="0.25">
      <c r="A2" s="69" t="s">
        <v>30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</row>
    <row r="3" spans="1:31" ht="15.75" x14ac:dyDescent="0.25">
      <c r="A3" s="74" t="s">
        <v>31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</row>
    <row r="4" spans="1:31" ht="5.25" customHeight="1" x14ac:dyDescent="0.45">
      <c r="C4" s="45"/>
      <c r="D4" s="16"/>
      <c r="F4" s="45"/>
      <c r="G4" s="16"/>
      <c r="I4" s="45"/>
      <c r="J4" s="16"/>
      <c r="L4" s="45"/>
      <c r="M4" s="16"/>
    </row>
    <row r="5" spans="1:31" ht="17.25" customHeight="1" x14ac:dyDescent="0.25">
      <c r="A5" s="64" t="s">
        <v>14</v>
      </c>
      <c r="B5" s="20"/>
      <c r="C5" s="20"/>
      <c r="D5" s="20"/>
      <c r="E5" s="76" t="s">
        <v>23</v>
      </c>
      <c r="F5" s="76"/>
      <c r="G5" s="76"/>
      <c r="H5" s="76"/>
      <c r="I5" s="76"/>
      <c r="J5" s="76"/>
      <c r="K5" s="76"/>
      <c r="L5" s="76"/>
      <c r="M5" s="77"/>
      <c r="N5" s="78" t="s">
        <v>21</v>
      </c>
      <c r="O5" s="79"/>
      <c r="P5" s="80"/>
      <c r="Q5" s="83" t="s">
        <v>22</v>
      </c>
      <c r="R5" s="48" t="s">
        <v>20</v>
      </c>
      <c r="S5" s="61" t="s">
        <v>15</v>
      </c>
    </row>
    <row r="6" spans="1:31" ht="15" customHeight="1" x14ac:dyDescent="0.25">
      <c r="A6" s="65"/>
      <c r="B6" s="70">
        <v>2012</v>
      </c>
      <c r="C6" s="70"/>
      <c r="D6" s="70"/>
      <c r="E6" s="70">
        <v>2013</v>
      </c>
      <c r="F6" s="70"/>
      <c r="G6" s="70"/>
      <c r="H6" s="75">
        <v>2014</v>
      </c>
      <c r="I6" s="70"/>
      <c r="J6" s="71"/>
      <c r="K6" s="75">
        <v>2015</v>
      </c>
      <c r="L6" s="70"/>
      <c r="M6" s="71"/>
      <c r="N6" s="67" t="s">
        <v>3</v>
      </c>
      <c r="O6" s="68"/>
      <c r="P6" s="81"/>
      <c r="Q6" s="84"/>
      <c r="S6" s="62"/>
    </row>
    <row r="7" spans="1:31" ht="24" customHeight="1" x14ac:dyDescent="0.25">
      <c r="A7" s="65"/>
      <c r="B7" s="18" t="s">
        <v>12</v>
      </c>
      <c r="C7" s="18" t="s">
        <v>8</v>
      </c>
      <c r="D7" s="19" t="s">
        <v>9</v>
      </c>
      <c r="E7" s="18" t="s">
        <v>12</v>
      </c>
      <c r="F7" s="18" t="s">
        <v>8</v>
      </c>
      <c r="G7" s="19" t="s">
        <v>9</v>
      </c>
      <c r="H7" s="30" t="s">
        <v>12</v>
      </c>
      <c r="I7" s="18" t="s">
        <v>8</v>
      </c>
      <c r="J7" s="31" t="s">
        <v>9</v>
      </c>
      <c r="K7" s="30" t="s">
        <v>12</v>
      </c>
      <c r="L7" s="18" t="s">
        <v>8</v>
      </c>
      <c r="M7" s="31" t="s">
        <v>9</v>
      </c>
      <c r="N7" s="72"/>
      <c r="O7" s="73"/>
      <c r="P7" s="82"/>
      <c r="Q7" s="47" t="s">
        <v>18</v>
      </c>
      <c r="R7" s="46" t="s">
        <v>4</v>
      </c>
      <c r="S7" s="62"/>
    </row>
    <row r="8" spans="1:31" ht="13.5" customHeight="1" x14ac:dyDescent="0.25">
      <c r="A8" s="66"/>
      <c r="B8" s="49" t="s">
        <v>2</v>
      </c>
      <c r="C8" s="49" t="s">
        <v>0</v>
      </c>
      <c r="D8" s="49" t="s">
        <v>1</v>
      </c>
      <c r="E8" s="14" t="s">
        <v>2</v>
      </c>
      <c r="F8" s="14" t="s">
        <v>0</v>
      </c>
      <c r="G8" s="14" t="s">
        <v>1</v>
      </c>
      <c r="H8" s="56" t="s">
        <v>2</v>
      </c>
      <c r="I8" s="14" t="s">
        <v>0</v>
      </c>
      <c r="J8" s="57" t="s">
        <v>1</v>
      </c>
      <c r="K8" s="56" t="s">
        <v>2</v>
      </c>
      <c r="L8" s="14" t="s">
        <v>0</v>
      </c>
      <c r="M8" s="57" t="s">
        <v>1</v>
      </c>
      <c r="N8" s="26">
        <v>2013</v>
      </c>
      <c r="O8" s="43">
        <v>2014</v>
      </c>
      <c r="P8" s="50">
        <v>2015</v>
      </c>
      <c r="Q8" s="51">
        <v>2015</v>
      </c>
      <c r="R8" s="25" t="s">
        <v>29</v>
      </c>
      <c r="S8" s="63"/>
    </row>
    <row r="9" spans="1:31" s="7" customFormat="1" ht="21" x14ac:dyDescent="0.55000000000000004">
      <c r="A9" s="7" t="s">
        <v>2</v>
      </c>
      <c r="B9" s="10">
        <f>C9+D9</f>
        <v>22875</v>
      </c>
      <c r="C9" s="10">
        <f>SUM(C10:C12)</f>
        <v>13653</v>
      </c>
      <c r="D9" s="10">
        <f>SUM(D10:D12)</f>
        <v>9222</v>
      </c>
      <c r="E9" s="10">
        <f>F9+G9</f>
        <v>23165</v>
      </c>
      <c r="F9" s="10">
        <f>SUM(F10:F12)</f>
        <v>13562</v>
      </c>
      <c r="G9" s="10">
        <f>SUM(G10:G12)</f>
        <v>9603</v>
      </c>
      <c r="H9" s="32">
        <f>I9+J9</f>
        <v>39895</v>
      </c>
      <c r="I9" s="10">
        <f>SUM(I10:I13)</f>
        <v>22176</v>
      </c>
      <c r="J9" s="33">
        <f>SUM(J10:J13)</f>
        <v>17719</v>
      </c>
      <c r="K9" s="32">
        <f>L9+M9</f>
        <v>40811</v>
      </c>
      <c r="L9" s="10">
        <f>SUM(L10:L13)</f>
        <v>22651</v>
      </c>
      <c r="M9" s="10">
        <f>SUM(M10:M13)</f>
        <v>18160</v>
      </c>
      <c r="N9" s="27">
        <f>E9/E9*100</f>
        <v>100</v>
      </c>
      <c r="O9" s="41">
        <f>H9/H9*100</f>
        <v>100</v>
      </c>
      <c r="P9" s="39">
        <f>K9/$K$9*100</f>
        <v>100</v>
      </c>
      <c r="Q9" s="52">
        <f>M9/K9*100</f>
        <v>44.497806963808777</v>
      </c>
      <c r="R9" s="53">
        <f>((K9-H9)/H9)*100</f>
        <v>2.2960270710615367</v>
      </c>
      <c r="S9" s="12" t="s">
        <v>12</v>
      </c>
    </row>
    <row r="10" spans="1:31" ht="21" x14ac:dyDescent="0.55000000000000004">
      <c r="A10" s="22" t="s">
        <v>5</v>
      </c>
      <c r="B10" s="11">
        <f>SUM(C10:D10)</f>
        <v>15268</v>
      </c>
      <c r="C10" s="8">
        <v>7948</v>
      </c>
      <c r="D10" s="8">
        <v>7320</v>
      </c>
      <c r="E10" s="11">
        <v>15447</v>
      </c>
      <c r="F10" s="8">
        <v>7972</v>
      </c>
      <c r="G10" s="8">
        <v>7475</v>
      </c>
      <c r="H10" s="34">
        <v>15767</v>
      </c>
      <c r="I10" s="8">
        <v>8062</v>
      </c>
      <c r="J10" s="15">
        <v>7705</v>
      </c>
      <c r="K10" s="34">
        <f>SUM(L10:M10)</f>
        <v>16091</v>
      </c>
      <c r="L10" s="28">
        <v>8201</v>
      </c>
      <c r="M10" s="28">
        <v>7890</v>
      </c>
      <c r="N10" s="24">
        <f>E10/E9*100</f>
        <v>66.682495143535505</v>
      </c>
      <c r="O10" s="42">
        <f>H10/H9*100</f>
        <v>39.521243263566866</v>
      </c>
      <c r="P10" s="35">
        <f>K10/$K$9*100</f>
        <v>39.428095366445319</v>
      </c>
      <c r="Q10" s="59">
        <f>M10/K10*100</f>
        <v>49.033621278975822</v>
      </c>
      <c r="R10" s="54">
        <f>((K10-H10)/H10)*100</f>
        <v>2.0549248430265745</v>
      </c>
      <c r="S10" s="4" t="s">
        <v>10</v>
      </c>
    </row>
    <row r="11" spans="1:31" ht="21" x14ac:dyDescent="0.55000000000000004">
      <c r="A11" s="22" t="s">
        <v>6</v>
      </c>
      <c r="B11" s="11">
        <v>393</v>
      </c>
      <c r="C11" s="8">
        <v>217</v>
      </c>
      <c r="D11" s="8">
        <v>76</v>
      </c>
      <c r="E11" s="11">
        <v>425</v>
      </c>
      <c r="F11" s="8">
        <v>333</v>
      </c>
      <c r="G11" s="8">
        <v>92</v>
      </c>
      <c r="H11" s="34">
        <v>646</v>
      </c>
      <c r="I11" s="8">
        <v>501</v>
      </c>
      <c r="J11" s="15">
        <v>145</v>
      </c>
      <c r="K11" s="34">
        <f t="shared" ref="K11:K13" si="0">SUM(L11:M11)</f>
        <v>895</v>
      </c>
      <c r="L11" s="28">
        <v>699</v>
      </c>
      <c r="M11" s="28">
        <v>196</v>
      </c>
      <c r="N11" s="24">
        <f>E11/E9*100</f>
        <v>1.8346643643427585</v>
      </c>
      <c r="O11" s="42">
        <f>H11/H9*100</f>
        <v>1.6192505326482014</v>
      </c>
      <c r="P11" s="35">
        <f>K11/$K$9*100</f>
        <v>2.1930361912229546</v>
      </c>
      <c r="Q11" s="59">
        <f>M11/K11*100</f>
        <v>21.899441340782122</v>
      </c>
      <c r="R11" s="54">
        <f t="shared" ref="R11:R13" si="1">((K11-H11)/H11)*100</f>
        <v>38.544891640866872</v>
      </c>
      <c r="S11" s="4" t="s">
        <v>11</v>
      </c>
    </row>
    <row r="12" spans="1:31" ht="21" x14ac:dyDescent="0.55000000000000004">
      <c r="A12" s="22" t="s">
        <v>7</v>
      </c>
      <c r="B12" s="11">
        <f>SUM(C12:D12)</f>
        <v>7314</v>
      </c>
      <c r="C12" s="8">
        <v>5488</v>
      </c>
      <c r="D12" s="8">
        <v>1826</v>
      </c>
      <c r="E12" s="11">
        <v>7293</v>
      </c>
      <c r="F12" s="8">
        <v>5257</v>
      </c>
      <c r="G12" s="8">
        <v>2036</v>
      </c>
      <c r="H12" s="34">
        <v>7284</v>
      </c>
      <c r="I12" s="8">
        <v>5225</v>
      </c>
      <c r="J12" s="15">
        <v>2059</v>
      </c>
      <c r="K12" s="34">
        <f t="shared" si="0"/>
        <v>7264</v>
      </c>
      <c r="L12" s="28">
        <v>5198</v>
      </c>
      <c r="M12" s="28">
        <v>2066</v>
      </c>
      <c r="N12" s="24">
        <f>E12/E9*100</f>
        <v>31.482840492121731</v>
      </c>
      <c r="O12" s="42">
        <f>H12/H9*100</f>
        <v>18.257927058528637</v>
      </c>
      <c r="P12" s="35">
        <f>K12/$K$9*100</f>
        <v>17.799122785523512</v>
      </c>
      <c r="Q12" s="59">
        <f>M12/K12*100</f>
        <v>28.441629955947135</v>
      </c>
      <c r="R12" s="54">
        <f t="shared" si="1"/>
        <v>-0.27457440966501923</v>
      </c>
      <c r="S12" s="4" t="s">
        <v>13</v>
      </c>
      <c r="AD12" s="2" t="s">
        <v>17</v>
      </c>
    </row>
    <row r="13" spans="1:31" ht="21" x14ac:dyDescent="0.55000000000000004">
      <c r="A13" s="23" t="s">
        <v>24</v>
      </c>
      <c r="B13" s="3"/>
      <c r="C13" s="5"/>
      <c r="D13" s="5"/>
      <c r="E13" s="3">
        <v>0</v>
      </c>
      <c r="F13" s="5">
        <v>0</v>
      </c>
      <c r="G13" s="5">
        <v>0</v>
      </c>
      <c r="H13" s="36">
        <v>16198</v>
      </c>
      <c r="I13" s="5">
        <v>8388</v>
      </c>
      <c r="J13" s="15">
        <v>7810</v>
      </c>
      <c r="K13" s="36">
        <f t="shared" si="0"/>
        <v>16561</v>
      </c>
      <c r="L13" s="58">
        <v>8553</v>
      </c>
      <c r="M13" s="28">
        <v>8008</v>
      </c>
      <c r="N13" s="24">
        <f>E13/E10*100</f>
        <v>0</v>
      </c>
      <c r="O13" s="42">
        <f>H13/H9*100</f>
        <v>40.601579145256302</v>
      </c>
      <c r="P13" s="44">
        <f>K13/$K$9*100</f>
        <v>40.579745656808214</v>
      </c>
      <c r="Q13" s="60">
        <f>M13/K13*100</f>
        <v>48.354567960871933</v>
      </c>
      <c r="R13" s="55">
        <f t="shared" si="1"/>
        <v>2.2410174095567355</v>
      </c>
      <c r="S13" s="6" t="s">
        <v>25</v>
      </c>
    </row>
    <row r="14" spans="1:31" ht="17.25" x14ac:dyDescent="0.25">
      <c r="A14" s="37" t="s">
        <v>28</v>
      </c>
      <c r="J14" s="29"/>
      <c r="M14" s="29"/>
      <c r="N14" s="29"/>
      <c r="O14" s="29"/>
      <c r="Q14" s="29"/>
      <c r="S14" s="38"/>
      <c r="AD14" s="2" t="str">
        <f>C8</f>
        <v>Male</v>
      </c>
      <c r="AE14" s="2" t="str">
        <f>D8</f>
        <v>Female</v>
      </c>
    </row>
    <row r="15" spans="1:31" ht="19.5" x14ac:dyDescent="0.25">
      <c r="T15" s="17" t="s">
        <v>26</v>
      </c>
      <c r="U15" s="40" t="s">
        <v>27</v>
      </c>
      <c r="V15" s="40"/>
      <c r="W15" s="40"/>
      <c r="X15" s="40"/>
      <c r="Y15" s="40"/>
      <c r="Z15" s="40"/>
      <c r="AA15" s="40"/>
      <c r="AB15" s="40"/>
      <c r="AC15" s="22" t="s">
        <v>5</v>
      </c>
      <c r="AD15" s="8">
        <f>L10</f>
        <v>8201</v>
      </c>
      <c r="AE15" s="8">
        <f>M10</f>
        <v>7890</v>
      </c>
    </row>
    <row r="16" spans="1:31" ht="18" x14ac:dyDescent="0.45">
      <c r="A16" s="13" t="s">
        <v>16</v>
      </c>
      <c r="S16" s="21" t="s">
        <v>19</v>
      </c>
      <c r="AC16" s="22" t="s">
        <v>6</v>
      </c>
      <c r="AD16" s="8">
        <f t="shared" ref="AD16:AE18" si="2">L11</f>
        <v>699</v>
      </c>
      <c r="AE16" s="8">
        <f t="shared" si="2"/>
        <v>196</v>
      </c>
    </row>
    <row r="17" spans="3:31" x14ac:dyDescent="0.25">
      <c r="AC17" s="22" t="s">
        <v>7</v>
      </c>
      <c r="AD17" s="8">
        <f t="shared" si="2"/>
        <v>5198</v>
      </c>
      <c r="AE17" s="8">
        <f t="shared" si="2"/>
        <v>2066</v>
      </c>
    </row>
    <row r="18" spans="3:31" x14ac:dyDescent="0.25">
      <c r="C18" s="9"/>
      <c r="D18" s="9"/>
      <c r="F18" s="9"/>
      <c r="G18" s="9"/>
      <c r="I18" s="9"/>
      <c r="J18" s="9"/>
      <c r="L18" s="9"/>
      <c r="M18" s="9"/>
      <c r="AC18" s="23" t="s">
        <v>24</v>
      </c>
      <c r="AD18" s="8">
        <f t="shared" si="2"/>
        <v>8553</v>
      </c>
      <c r="AE18" s="8">
        <f t="shared" si="2"/>
        <v>8008</v>
      </c>
    </row>
    <row r="19" spans="3:31" x14ac:dyDescent="0.25">
      <c r="C19" s="9"/>
      <c r="D19" s="9"/>
      <c r="F19" s="9"/>
      <c r="G19" s="9"/>
      <c r="I19" s="9"/>
      <c r="J19" s="9"/>
      <c r="L19" s="9"/>
      <c r="M19" s="9"/>
    </row>
  </sheetData>
  <mergeCells count="12">
    <mergeCell ref="A2:S2"/>
    <mergeCell ref="A3:S3"/>
    <mergeCell ref="B6:D6"/>
    <mergeCell ref="A5:A8"/>
    <mergeCell ref="S5:S8"/>
    <mergeCell ref="E6:G6"/>
    <mergeCell ref="H6:J6"/>
    <mergeCell ref="K6:M6"/>
    <mergeCell ref="E5:M5"/>
    <mergeCell ref="N5:P5"/>
    <mergeCell ref="N6:P7"/>
    <mergeCell ref="Q5:Q6"/>
  </mergeCells>
  <pageMargins left="0.17" right="0.35" top="0.75" bottom="0.75" header="0.3" footer="0.3"/>
  <pageSetup paperSize="9" scale="68" orientation="landscape" r:id="rId1"/>
  <colBreaks count="1" manualBreakCount="1">
    <brk id="28" max="1048575" man="1"/>
  </colBreaks>
  <ignoredErrors>
    <ignoredError sqref="B9 E9" formula="1"/>
    <ignoredError sqref="B10 B12" formula="1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18.3</vt:lpstr>
      <vt:lpstr>'18.3'!Print_Area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Fathmath Shifaza</cp:lastModifiedBy>
  <cp:lastPrinted>2016-09-08T08:33:04Z</cp:lastPrinted>
  <dcterms:created xsi:type="dcterms:W3CDTF">2013-03-14T06:06:17Z</dcterms:created>
  <dcterms:modified xsi:type="dcterms:W3CDTF">2016-09-08T08:33:05Z</dcterms:modified>
</cp:coreProperties>
</file>