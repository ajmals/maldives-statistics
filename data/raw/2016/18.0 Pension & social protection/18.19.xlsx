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6975" windowHeight="4110" tabRatio="857"/>
  </bookViews>
  <sheets>
    <sheet name="18.19" sheetId="33" r:id="rId1"/>
  </sheets>
  <externalReferences>
    <externalReference r:id="rId2"/>
  </externalReferences>
  <definedNames>
    <definedName name="_xlnm.Print_Area" localSheetId="0">'18.19'!$A$1:$I$53</definedName>
  </definedNames>
  <calcPr calcId="144525"/>
</workbook>
</file>

<file path=xl/calcChain.xml><?xml version="1.0" encoding="utf-8"?>
<calcChain xmlns="http://schemas.openxmlformats.org/spreadsheetml/2006/main">
  <c r="B22" i="33" l="1"/>
  <c r="B21" i="33"/>
  <c r="B20" i="33"/>
  <c r="G19" i="33"/>
  <c r="F19" i="33"/>
  <c r="E19" i="33"/>
  <c r="D19" i="33"/>
  <c r="C19" i="33"/>
  <c r="B9" i="33"/>
  <c r="B8" i="33"/>
  <c r="B7" i="33"/>
  <c r="H6" i="33"/>
  <c r="G6" i="33"/>
  <c r="F6" i="33"/>
  <c r="E6" i="33"/>
  <c r="D6" i="33"/>
  <c r="C6" i="33"/>
  <c r="B19" i="33" l="1"/>
  <c r="B6" i="33"/>
</calcChain>
</file>

<file path=xl/sharedStrings.xml><?xml version="1.0" encoding="utf-8"?>
<sst xmlns="http://schemas.openxmlformats.org/spreadsheetml/2006/main" count="66" uniqueCount="34">
  <si>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</si>
  <si>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</si>
  <si>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</si>
  <si>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</si>
  <si>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</si>
  <si>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</si>
  <si>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</si>
  <si>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</si>
  <si>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 xml:space="preserve">މަޢުލޫމާތު ދެއްވީ: ނެޝަނަލް ސޯޝަލް ޕްރޮޓެކްޝަން އޭޖެންސީ 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</si>
  <si>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</si>
  <si>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</si>
  <si>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</si>
  <si>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</si>
  <si>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</si>
  <si>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</si>
  <si>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</si>
  <si>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</si>
  <si>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</si>
  <si>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</si>
  <si>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</si>
  <si>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</si>
  <si>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</si>
  <si>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</si>
  <si>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</si>
  <si>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</si>
  <si>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National Social Protection Agency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</si>
  <si>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</si>
  <si>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</si>
  <si>
    <t>Source: Aasandha Pvt Ltd</t>
  </si>
  <si>
    <t>މަޢުލޫމާތު ދެއްވީ: އާސަންދަ ޕްރައިވެޓް ލިމިޓެޑް</t>
  </si>
  <si>
    <t>Table 18.19 :  EXPENDITURE ON AASANDHA SERVICES BY TYPE OF INSTITUTION ,  2014</t>
  </si>
  <si>
    <t>ތާވަލް 18.19: އިޖްތިމާއީ ރައްކާތެރިކަމުގެ ދަށުން ދެވޭ ޙިދުމަތްތައް ފޯރުކޮށްދޭ ތަންތަނަށް ކުރެވިފައިވާ ޚަރަދު، 2014</t>
  </si>
  <si>
    <t>ތާވަލް 18.19: އިޖްތިމާއީ ރައްކާތެރިކަމުގެ ދަށުން ދެވޭ ޙިދުމަތްތައް ފޯރުކޮށްދޭ ތަންތަނަށް ކުރެވިފައިވާ ޚަރަދު، 2015</t>
  </si>
  <si>
    <t>Table 18.19 :  EXPENDITURE ON AASANDHA SERVICES BY TYPE OF INSTITUTION ,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</si>
</sst>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8" formatCode="General_)"/>
    <numFmt numFmtId="169" formatCode="_-* #,##0.00_-;\-* #,##0.00_-;_-* &quot;-&quot;??_-;_-@_-"/>
    <numFmt numFmtId="170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ourier"/>
      <family val="3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4" fontId="8" fillId="0" borderId="0"/>
    <xf numFmtId="0" fontId="8" fillId="0" borderId="0"/>
    <xf numFmtId="0" fontId="5" fillId="0" borderId="0"/>
  </cellStyleXfs>
  <cellXfs count="4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168" fontId="11" fillId="2" borderId="1" xfId="3" applyNumberFormat="1" applyFont="1" applyFill="1" applyBorder="1" applyAlignment="1">
      <alignment horizontal="right" vertical="center" wrapText="1"/>
    </xf>
    <xf numFmtId="168" fontId="16" fillId="2" borderId="0" xfId="3" applyNumberFormat="1" applyFont="1" applyFill="1" applyBorder="1" applyAlignment="1" applyProtection="1">
      <alignment horizontal="left" vertical="center"/>
    </xf>
    <xf numFmtId="168" fontId="17" fillId="2" borderId="0" xfId="4" applyNumberFormat="1" applyFont="1" applyFill="1" applyAlignment="1">
      <alignment horizontal="right" vertical="center"/>
    </xf>
    <xf numFmtId="164" fontId="13" fillId="2" borderId="0" xfId="1" applyNumberFormat="1" applyFont="1" applyFill="1" applyBorder="1" applyAlignment="1">
      <alignment horizontal="right" vertical="center"/>
    </xf>
    <xf numFmtId="169" fontId="2" fillId="2" borderId="3" xfId="1" applyNumberFormat="1" applyFont="1" applyFill="1" applyBorder="1" applyAlignment="1">
      <alignment horizontal="right" vertical="center" wrapText="1"/>
    </xf>
    <xf numFmtId="168" fontId="15" fillId="2" borderId="3" xfId="3" applyNumberFormat="1" applyFont="1" applyFill="1" applyBorder="1" applyAlignment="1">
      <alignment horizontal="right" vertical="center" wrapText="1"/>
    </xf>
    <xf numFmtId="169" fontId="2" fillId="2" borderId="3" xfId="1" applyNumberFormat="1" applyFont="1" applyFill="1" applyBorder="1" applyAlignment="1">
      <alignment horizontal="right" vertical="center"/>
    </xf>
    <xf numFmtId="169" fontId="13" fillId="2" borderId="3" xfId="1" applyNumberFormat="1" applyFont="1" applyFill="1" applyBorder="1" applyAlignment="1">
      <alignment horizontal="right" vertical="center" wrapText="1"/>
    </xf>
    <xf numFmtId="168" fontId="21" fillId="2" borderId="1" xfId="3" applyNumberFormat="1" applyFont="1" applyFill="1" applyBorder="1" applyAlignment="1">
      <alignment horizontal="right" vertical="center" wrapText="1"/>
    </xf>
    <xf numFmtId="170" fontId="19" fillId="2" borderId="0" xfId="0" applyNumberFormat="1" applyFont="1" applyFill="1" applyAlignment="1">
      <alignment horizontal="left" vertical="center"/>
    </xf>
    <xf numFmtId="164" fontId="13" fillId="2" borderId="0" xfId="1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170" fontId="14" fillId="2" borderId="0" xfId="1" applyNumberFormat="1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4" fillId="2" borderId="0" xfId="0" applyFont="1" applyFill="1" applyBorder="1" applyAlignment="1">
      <alignment vertical="center"/>
    </xf>
    <xf numFmtId="170" fontId="14" fillId="2" borderId="1" xfId="1" applyNumberFormat="1" applyFont="1" applyFill="1" applyBorder="1" applyAlignment="1">
      <alignment vertical="center"/>
    </xf>
    <xf numFmtId="164" fontId="13" fillId="2" borderId="1" xfId="1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6" fillId="2" borderId="0" xfId="0" applyNumberFormat="1" applyFont="1" applyFill="1"/>
    <xf numFmtId="3" fontId="20" fillId="2" borderId="0" xfId="2" applyNumberFormat="1" applyFont="1" applyFill="1" applyBorder="1" applyAlignment="1">
      <alignment vertical="center"/>
    </xf>
    <xf numFmtId="164" fontId="7" fillId="2" borderId="0" xfId="1" applyNumberFormat="1" applyFont="1" applyFill="1" applyBorder="1" applyAlignment="1">
      <alignment horizontal="center" vertical="center"/>
    </xf>
    <xf numFmtId="4" fontId="7" fillId="2" borderId="0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164" fontId="18" fillId="2" borderId="0" xfId="1" applyNumberFormat="1" applyFont="1" applyFill="1" applyAlignment="1">
      <alignment horizontal="right" vertical="center"/>
    </xf>
    <xf numFmtId="164" fontId="18" fillId="2" borderId="0" xfId="1" applyNumberFormat="1" applyFont="1" applyFill="1" applyBorder="1" applyAlignment="1">
      <alignment horizontal="right" vertical="center"/>
    </xf>
    <xf numFmtId="164" fontId="18" fillId="2" borderId="1" xfId="1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vertical="center" readingOrder="2"/>
    </xf>
    <xf numFmtId="3" fontId="10" fillId="2" borderId="0" xfId="2" applyNumberFormat="1" applyFont="1" applyFill="1" applyBorder="1" applyAlignment="1" applyProtection="1">
      <alignment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center" vertical="center" readingOrder="2"/>
    </xf>
    <xf numFmtId="3" fontId="10" fillId="2" borderId="0" xfId="2" applyNumberFormat="1" applyFont="1" applyFill="1" applyBorder="1" applyAlignment="1" applyProtection="1">
      <alignment horizontal="center" vertical="center"/>
    </xf>
    <xf numFmtId="3" fontId="10" fillId="2" borderId="1" xfId="2" applyNumberFormat="1" applyFont="1" applyFill="1" applyBorder="1" applyAlignment="1" applyProtection="1">
      <alignment horizontal="center" vertical="center"/>
    </xf>
    <xf numFmtId="168" fontId="15" fillId="2" borderId="2" xfId="3" applyNumberFormat="1" applyFont="1" applyFill="1" applyBorder="1" applyAlignment="1">
      <alignment horizontal="left" vertical="center" wrapText="1"/>
    </xf>
    <xf numFmtId="168" fontId="15" fillId="2" borderId="1" xfId="3" applyNumberFormat="1" applyFont="1" applyFill="1" applyBorder="1" applyAlignment="1">
      <alignment horizontal="left" vertical="center" wrapText="1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1C706E"/>
      <color rgb="FF28B2AF"/>
      <color rgb="FFD4F5F4"/>
      <color rgb="FF8DE5E3"/>
      <color rgb="FF33CCCC"/>
      <color rgb="FFA7EBE9"/>
      <color rgb="FF9933FF"/>
      <color rgb="FF9900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5"/>
    </mc:Choice>
    <mc:Fallback>
      <c:style val="15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647872111875105"/>
          <c:y val="0.20083303516422615"/>
          <c:w val="0.47256255468066538"/>
          <c:h val="0.74615140212736564"/>
        </c:manualLayout>
      </c:layout>
      <c:pieChart>
        <c:varyColors val="1"/>
        <c:ser>
          <c:idx val="0"/>
          <c:order val="0"/>
          <c:spPr>
            <a:solidFill>
              <a:srgbClr val="1C706E"/>
            </a:solidFill>
          </c:spPr>
          <c:dPt>
            <c:idx val="1"/>
            <c:bubble3D val="0"/>
            <c:spPr>
              <a:solidFill>
                <a:srgbClr val="33CCCC"/>
              </a:solidFill>
            </c:spPr>
          </c:dPt>
          <c:dPt>
            <c:idx val="2"/>
            <c:bubble3D val="0"/>
            <c:spPr>
              <a:solidFill>
                <a:srgbClr val="A7EBE9"/>
              </a:solidFill>
            </c:spPr>
          </c:dPt>
          <c:dLbls>
            <c:dLbl>
              <c:idx val="0"/>
              <c:layout>
                <c:manualLayout>
                  <c:x val="-0.14042785345909176"/>
                  <c:y val="-5.44102573759863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2902822218782289"/>
                  <c:y val="-0.1186832986739769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7.8457410456325705E-2"/>
                  <c:y val="0.19018268126215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0"/>
          </c:dLbls>
          <c:cat>
            <c:strRef>
              <c:f>'18.19'!$A$7:$A$9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'18.19'!$B$7:$B$9</c:f>
              <c:numCache>
                <c:formatCode>_(* #,##0_);_(* \(#,##0\);_(* "-"??_);_(@_)</c:formatCode>
                <c:ptCount val="3"/>
                <c:pt idx="0">
                  <c:v>694778647.7112</c:v>
                </c:pt>
                <c:pt idx="1">
                  <c:v>483525096.47310001</c:v>
                </c:pt>
                <c:pt idx="2">
                  <c:v>222306097.64719999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'18.19'!$AA$19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28B2AF"/>
            </a:solidFill>
          </c:spPr>
          <c:invertIfNegative val="0"/>
          <c:cat>
            <c:strRef>
              <c:f>'18.19'!$Z$20:$Z$23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'18.19'!$AA$20:$AA$23</c:f>
              <c:numCache>
                <c:formatCode>General</c:formatCode>
                <c:ptCount val="4"/>
                <c:pt idx="0">
                  <c:v>1063054680.1288999</c:v>
                </c:pt>
                <c:pt idx="1">
                  <c:v>529844339.34140003</c:v>
                </c:pt>
                <c:pt idx="2">
                  <c:v>364203693.46629995</c:v>
                </c:pt>
                <c:pt idx="3">
                  <c:v>169006647.32120001</c:v>
                </c:pt>
              </c:numCache>
            </c:numRef>
          </c:val>
        </c:ser>
        <c:ser>
          <c:idx val="1"/>
          <c:order val="1"/>
          <c:tx>
            <c:strRef>
              <c:f>'18.19'!$AB$19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'18.19'!$Z$20:$Z$23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'18.19'!$AB$20:$AB$23</c:f>
              <c:numCache>
                <c:formatCode>General</c:formatCode>
                <c:ptCount val="4"/>
                <c:pt idx="0">
                  <c:v>1400609841.8314998</c:v>
                </c:pt>
                <c:pt idx="1">
                  <c:v>694778647.7112</c:v>
                </c:pt>
                <c:pt idx="2">
                  <c:v>483525096.47310001</c:v>
                </c:pt>
                <c:pt idx="3">
                  <c:v>222306097.64719999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624704"/>
        <c:axId val="61626240"/>
      </c:barChart>
      <c:catAx>
        <c:axId val="6162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61626240"/>
        <c:crosses val="autoZero"/>
        <c:auto val="1"/>
        <c:lblAlgn val="ctr"/>
        <c:lblOffset val="100"/>
        <c:noMultiLvlLbl val="0"/>
      </c:catAx>
      <c:valAx>
        <c:axId val="6162624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6162470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861564960629919"/>
          <c:y val="0.28202354913969085"/>
          <c:w val="0.19638435039370078"/>
          <c:h val="9.7989938757655298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137161</xdr:rowOff>
    </xdr:from>
    <xdr:to>
      <xdr:col>7</xdr:col>
      <xdr:colOff>200024</xdr:colOff>
      <xdr:row>52</xdr:row>
      <xdr:rowOff>15240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476250</xdr:colOff>
      <xdr:row>41</xdr:row>
      <xdr:rowOff>114299</xdr:rowOff>
    </xdr:from>
    <xdr:to>
      <xdr:col>6</xdr:col>
      <xdr:colOff>809625</xdr:colOff>
      <xdr:row>41</xdr:row>
      <xdr:rowOff>114299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257300" y="10629899"/>
          <a:ext cx="5353050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257175</xdr:colOff>
      <xdr:row>25</xdr:row>
      <xdr:rowOff>228600</xdr:rowOff>
    </xdr:from>
    <xdr:to>
      <xdr:col>7</xdr:col>
      <xdr:colOff>352425</xdr:colOff>
      <xdr:row>37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400050</xdr:colOff>
      <xdr:row>27</xdr:row>
      <xdr:rowOff>114300</xdr:rowOff>
    </xdr:from>
    <xdr:to>
      <xdr:col>6</xdr:col>
      <xdr:colOff>371475</xdr:colOff>
      <xdr:row>27</xdr:row>
      <xdr:rowOff>114300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2276475" y="7296150"/>
          <a:ext cx="38957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419101</xdr:colOff>
      <xdr:row>40</xdr:row>
      <xdr:rowOff>76201</xdr:rowOff>
    </xdr:from>
    <xdr:to>
      <xdr:col>7</xdr:col>
      <xdr:colOff>104775</xdr:colOff>
      <xdr:row>41</xdr:row>
      <xdr:rowOff>85726</xdr:rowOff>
    </xdr:to>
    <xdr:sp macro="" textlink="">
      <xdr:nvSpPr>
        <xdr:cNvPr id="7" name="TextBox 6"/>
        <xdr:cNvSpPr txBox="1"/>
      </xdr:nvSpPr>
      <xdr:spPr>
        <a:xfrm>
          <a:off x="1200151" y="10353676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2015</a:t>
          </a:r>
          <a:endParaRPr lang="en-US" sz="1100" b="1">
            <a:latin typeface="Candara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2014 - 2015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B25"/>
  <sheetViews>
    <sheetView tabSelected="1" topLeftCell="B1" zoomScaleNormal="100" zoomScaleSheetLayoutView="100" workbookViewId="0">
      <selection activeCell="P1" sqref="P1:R1048576"/>
    </sheetView>
  </sheetViews>
  <sheetFormatPr defaultColWidth="9.140625" defaultRowHeight="18.75" customHeight="1" x14ac:dyDescent="0.25"/>
  <cols>
    <col min="1" max="1" width="11.7109375" style="1" customWidth="1"/>
    <col min="2" max="2" width="16.42578125" style="1" customWidth="1"/>
    <col min="3" max="8" width="14.7109375" style="1" customWidth="1"/>
    <col min="9" max="9" width="15.85546875" style="1" customWidth="1"/>
    <col min="10" max="13" width="9.140625" style="1"/>
    <col min="14" max="21" width="14.7109375" style="1" customWidth="1"/>
    <col min="22" max="26" width="9.140625" style="1"/>
    <col min="27" max="28" width="13.42578125" style="1" bestFit="1" customWidth="1"/>
    <col min="29" max="16384" width="9.140625" style="1"/>
  </cols>
  <sheetData>
    <row r="2" spans="1:9" ht="21" x14ac:dyDescent="0.25">
      <c r="A2" s="36" t="s">
        <v>32</v>
      </c>
      <c r="B2" s="36"/>
      <c r="C2" s="36"/>
      <c r="D2" s="36"/>
      <c r="E2" s="36"/>
      <c r="F2" s="36"/>
      <c r="G2" s="36"/>
      <c r="H2" s="36"/>
      <c r="I2" s="36"/>
    </row>
    <row r="3" spans="1:9" ht="15" x14ac:dyDescent="0.25">
      <c r="A3" s="37" t="s">
        <v>33</v>
      </c>
      <c r="B3" s="37"/>
      <c r="C3" s="37"/>
      <c r="D3" s="37"/>
      <c r="E3" s="37"/>
      <c r="F3" s="37"/>
      <c r="G3" s="37"/>
      <c r="H3" s="37"/>
      <c r="I3" s="37"/>
    </row>
    <row r="4" spans="1:9" s="2" customFormat="1" ht="45" x14ac:dyDescent="0.25">
      <c r="A4" s="39" t="s">
        <v>2</v>
      </c>
      <c r="B4" s="7" t="s">
        <v>9</v>
      </c>
      <c r="C4" s="8" t="s">
        <v>10</v>
      </c>
      <c r="D4" s="8" t="s">
        <v>0</v>
      </c>
      <c r="E4" s="8" t="s">
        <v>11</v>
      </c>
      <c r="F4" s="8" t="s">
        <v>12</v>
      </c>
      <c r="G4" s="9" t="s">
        <v>13</v>
      </c>
      <c r="H4" s="10" t="s">
        <v>14</v>
      </c>
      <c r="I4" s="34" t="s">
        <v>1</v>
      </c>
    </row>
    <row r="5" spans="1:9" s="2" customFormat="1" ht="37.5" x14ac:dyDescent="0.25">
      <c r="A5" s="40"/>
      <c r="B5" s="3" t="s">
        <v>15</v>
      </c>
      <c r="C5" s="11" t="s">
        <v>16</v>
      </c>
      <c r="D5" s="11" t="s">
        <v>17</v>
      </c>
      <c r="E5" s="11" t="s">
        <v>18</v>
      </c>
      <c r="F5" s="11" t="s">
        <v>19</v>
      </c>
      <c r="G5" s="3" t="s">
        <v>20</v>
      </c>
      <c r="H5" s="3" t="s">
        <v>21</v>
      </c>
      <c r="I5" s="35"/>
    </row>
    <row r="6" spans="1:9" s="15" customFormat="1" x14ac:dyDescent="0.25">
      <c r="A6" s="12" t="s">
        <v>3</v>
      </c>
      <c r="B6" s="13">
        <f>SUM(C6:H6)</f>
        <v>1400609841.8314998</v>
      </c>
      <c r="C6" s="13">
        <f t="shared" ref="C6:H6" si="0">C7+C8+C9</f>
        <v>913984781.45029998</v>
      </c>
      <c r="D6" s="13">
        <f t="shared" si="0"/>
        <v>355615300.89999998</v>
      </c>
      <c r="E6" s="13">
        <f t="shared" si="0"/>
        <v>22435986.039999999</v>
      </c>
      <c r="F6" s="13">
        <f t="shared" si="0"/>
        <v>29156242.75</v>
      </c>
      <c r="G6" s="13">
        <f t="shared" si="0"/>
        <v>77329802.691200003</v>
      </c>
      <c r="H6" s="13">
        <f t="shared" si="0"/>
        <v>2087728</v>
      </c>
      <c r="I6" s="14" t="s">
        <v>22</v>
      </c>
    </row>
    <row r="7" spans="1:9" s="18" customFormat="1" x14ac:dyDescent="0.25">
      <c r="A7" s="16" t="s">
        <v>4</v>
      </c>
      <c r="B7" s="13">
        <f>SUM(C7:H7)</f>
        <v>694778647.7112</v>
      </c>
      <c r="C7" s="29">
        <v>413691030.44999999</v>
      </c>
      <c r="D7" s="29">
        <v>154147532.47999999</v>
      </c>
      <c r="E7" s="29">
        <v>21361177.34</v>
      </c>
      <c r="F7" s="29">
        <v>26161376.75</v>
      </c>
      <c r="G7" s="29">
        <v>77329802.691200003</v>
      </c>
      <c r="H7" s="29">
        <v>2087728</v>
      </c>
      <c r="I7" s="17" t="s">
        <v>5</v>
      </c>
    </row>
    <row r="8" spans="1:9" s="18" customFormat="1" x14ac:dyDescent="0.25">
      <c r="A8" s="16" t="s">
        <v>6</v>
      </c>
      <c r="B8" s="6">
        <f>SUM(C8:H8)</f>
        <v>483525096.47310001</v>
      </c>
      <c r="C8" s="30">
        <v>277987653.3531</v>
      </c>
      <c r="D8" s="30">
        <v>201467768.41999999</v>
      </c>
      <c r="E8" s="30">
        <v>1074808.7</v>
      </c>
      <c r="F8" s="30">
        <v>2994866</v>
      </c>
      <c r="G8" s="30">
        <v>0</v>
      </c>
      <c r="H8" s="30">
        <v>0</v>
      </c>
      <c r="I8" s="19" t="s">
        <v>7</v>
      </c>
    </row>
    <row r="9" spans="1:9" s="18" customFormat="1" x14ac:dyDescent="0.25">
      <c r="A9" s="20" t="s">
        <v>23</v>
      </c>
      <c r="B9" s="21">
        <f>SUM(C9:H9)</f>
        <v>222306097.64719999</v>
      </c>
      <c r="C9" s="31">
        <v>222306097.64719999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22" t="s">
        <v>24</v>
      </c>
    </row>
    <row r="10" spans="1:9" ht="17.25" x14ac:dyDescent="0.25">
      <c r="A10" s="23" t="s">
        <v>28</v>
      </c>
      <c r="I10" s="5" t="s">
        <v>29</v>
      </c>
    </row>
    <row r="11" spans="1:9" ht="17.25" x14ac:dyDescent="0.25">
      <c r="A11" s="4" t="s">
        <v>25</v>
      </c>
      <c r="I11" s="5" t="s">
        <v>8</v>
      </c>
    </row>
    <row r="12" spans="1:9" s="28" customFormat="1" ht="17.25" x14ac:dyDescent="0.25">
      <c r="A12" s="24" t="s">
        <v>26</v>
      </c>
      <c r="B12" s="25"/>
      <c r="C12" s="26"/>
      <c r="D12" s="27"/>
      <c r="E12" s="27"/>
      <c r="F12" s="27"/>
      <c r="G12" s="27"/>
      <c r="H12" s="27"/>
      <c r="I12" s="5" t="s">
        <v>27</v>
      </c>
    </row>
    <row r="15" spans="1:9" ht="21" x14ac:dyDescent="0.25">
      <c r="A15" s="36" t="s">
        <v>31</v>
      </c>
      <c r="B15" s="36"/>
      <c r="C15" s="36"/>
      <c r="D15" s="36"/>
      <c r="E15" s="36"/>
      <c r="F15" s="36"/>
      <c r="G15" s="36"/>
      <c r="H15" s="36"/>
      <c r="I15" s="32"/>
    </row>
    <row r="16" spans="1:9" ht="15" x14ac:dyDescent="0.25">
      <c r="A16" s="38" t="s">
        <v>30</v>
      </c>
      <c r="B16" s="38"/>
      <c r="C16" s="38"/>
      <c r="D16" s="38"/>
      <c r="E16" s="38"/>
      <c r="F16" s="38"/>
      <c r="G16" s="38"/>
      <c r="H16" s="38"/>
      <c r="I16" s="33"/>
    </row>
    <row r="17" spans="1:28" s="2" customFormat="1" ht="45" x14ac:dyDescent="0.25">
      <c r="A17" s="39" t="s">
        <v>2</v>
      </c>
      <c r="B17" s="7" t="s">
        <v>9</v>
      </c>
      <c r="C17" s="8" t="s">
        <v>10</v>
      </c>
      <c r="D17" s="8" t="s">
        <v>0</v>
      </c>
      <c r="E17" s="8" t="s">
        <v>11</v>
      </c>
      <c r="F17" s="8" t="s">
        <v>12</v>
      </c>
      <c r="G17" s="9" t="s">
        <v>13</v>
      </c>
      <c r="H17" s="34" t="s">
        <v>1</v>
      </c>
    </row>
    <row r="18" spans="1:28" s="2" customFormat="1" x14ac:dyDescent="0.25">
      <c r="A18" s="40"/>
      <c r="B18" s="3" t="s">
        <v>15</v>
      </c>
      <c r="C18" s="11" t="s">
        <v>16</v>
      </c>
      <c r="D18" s="11" t="s">
        <v>17</v>
      </c>
      <c r="E18" s="11" t="s">
        <v>18</v>
      </c>
      <c r="F18" s="11" t="s">
        <v>19</v>
      </c>
      <c r="G18" s="3" t="s">
        <v>20</v>
      </c>
      <c r="H18" s="35"/>
    </row>
    <row r="19" spans="1:28" s="15" customFormat="1" x14ac:dyDescent="0.25">
      <c r="A19" s="12" t="s">
        <v>3</v>
      </c>
      <c r="B19" s="13">
        <f>SUM(C19:G19)</f>
        <v>1063054680.1288999</v>
      </c>
      <c r="C19" s="13">
        <f>C20+C21+C22</f>
        <v>702918952.94270003</v>
      </c>
      <c r="D19" s="13">
        <f>D20+D21+D22</f>
        <v>251490148.69999999</v>
      </c>
      <c r="E19" s="13">
        <f>E20+E21+E22</f>
        <v>25939088.800000001</v>
      </c>
      <c r="F19" s="13">
        <f>F20+F21+F22</f>
        <v>17272151.5</v>
      </c>
      <c r="G19" s="13">
        <f>G20+G21+G22</f>
        <v>65434338.1862</v>
      </c>
      <c r="H19" s="14" t="s">
        <v>22</v>
      </c>
      <c r="AA19" s="15">
        <v>2014</v>
      </c>
      <c r="AB19" s="15">
        <v>2015</v>
      </c>
    </row>
    <row r="20" spans="1:28" s="18" customFormat="1" x14ac:dyDescent="0.25">
      <c r="A20" s="16" t="s">
        <v>4</v>
      </c>
      <c r="B20" s="13">
        <f>SUM(C20:G20)</f>
        <v>529844339.34140003</v>
      </c>
      <c r="C20" s="29">
        <v>310442295.6552</v>
      </c>
      <c r="D20" s="29">
        <v>113615224.23</v>
      </c>
      <c r="E20" s="29">
        <v>24661169.77</v>
      </c>
      <c r="F20" s="29">
        <v>15691311.5</v>
      </c>
      <c r="G20" s="29">
        <v>65434338.1862</v>
      </c>
      <c r="H20" s="17" t="s">
        <v>5</v>
      </c>
      <c r="Z20" s="12" t="s">
        <v>3</v>
      </c>
      <c r="AA20" s="18">
        <v>1063054680.1288999</v>
      </c>
      <c r="AB20" s="2">
        <v>1400609841.8314998</v>
      </c>
    </row>
    <row r="21" spans="1:28" s="18" customFormat="1" x14ac:dyDescent="0.25">
      <c r="A21" s="16" t="s">
        <v>6</v>
      </c>
      <c r="B21" s="6">
        <f>SUM(C21:G21)</f>
        <v>364203693.46629995</v>
      </c>
      <c r="C21" s="30">
        <v>223470009.96629998</v>
      </c>
      <c r="D21" s="30">
        <v>137874924.47</v>
      </c>
      <c r="E21" s="30">
        <v>1277919.03</v>
      </c>
      <c r="F21" s="30">
        <v>1580840</v>
      </c>
      <c r="G21" s="30">
        <v>0</v>
      </c>
      <c r="H21" s="19" t="s">
        <v>7</v>
      </c>
      <c r="Z21" s="16" t="s">
        <v>4</v>
      </c>
      <c r="AA21" s="18">
        <v>529844339.34140003</v>
      </c>
      <c r="AB21" s="2">
        <v>694778647.7112</v>
      </c>
    </row>
    <row r="22" spans="1:28" s="18" customFormat="1" x14ac:dyDescent="0.25">
      <c r="A22" s="20" t="s">
        <v>23</v>
      </c>
      <c r="B22" s="21">
        <f>SUM(C22:G22)</f>
        <v>169006647.32120001</v>
      </c>
      <c r="C22" s="31">
        <v>169006647.32120001</v>
      </c>
      <c r="D22" s="31">
        <v>0</v>
      </c>
      <c r="E22" s="31">
        <v>0</v>
      </c>
      <c r="F22" s="31">
        <v>0</v>
      </c>
      <c r="G22" s="31">
        <v>0</v>
      </c>
      <c r="H22" s="22" t="s">
        <v>24</v>
      </c>
      <c r="Z22" s="16" t="s">
        <v>6</v>
      </c>
      <c r="AA22" s="18">
        <v>364203693.46629995</v>
      </c>
      <c r="AB22" s="15">
        <v>483525096.47310001</v>
      </c>
    </row>
    <row r="23" spans="1:28" ht="17.25" x14ac:dyDescent="0.25">
      <c r="A23" s="23" t="s">
        <v>28</v>
      </c>
      <c r="H23" s="5" t="s">
        <v>29</v>
      </c>
      <c r="Z23" s="20" t="s">
        <v>23</v>
      </c>
      <c r="AA23" s="1">
        <v>169006647.32120001</v>
      </c>
      <c r="AB23" s="18">
        <v>222306097.64719999</v>
      </c>
    </row>
    <row r="24" spans="1:28" ht="17.25" x14ac:dyDescent="0.25">
      <c r="A24" s="4" t="s">
        <v>25</v>
      </c>
      <c r="H24" s="5" t="s">
        <v>8</v>
      </c>
    </row>
    <row r="25" spans="1:28" s="28" customFormat="1" ht="17.25" x14ac:dyDescent="0.25">
      <c r="A25" s="24" t="s">
        <v>26</v>
      </c>
      <c r="B25" s="25"/>
      <c r="C25" s="26"/>
      <c r="D25" s="27"/>
      <c r="E25" s="27"/>
      <c r="F25" s="27"/>
      <c r="G25" s="27"/>
      <c r="H25" s="5" t="s">
        <v>27</v>
      </c>
    </row>
  </sheetData>
  <mergeCells count="8">
    <mergeCell ref="A17:A18"/>
    <mergeCell ref="H17:H18"/>
    <mergeCell ref="A2:I2"/>
    <mergeCell ref="A3:I3"/>
    <mergeCell ref="A4:A5"/>
    <mergeCell ref="I4:I5"/>
    <mergeCell ref="A15:H15"/>
    <mergeCell ref="A16:H16"/>
  </mergeCells>
  <pageMargins left="0.7" right="0.7" top="0.75" bottom="0.75" header="0.3" footer="0.3"/>
  <pageSetup paperSize="9" scale="66" orientation="portrait" r:id="rId1"/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Fathmath Shifaza</cp:lastModifiedBy>
  <cp:lastPrinted>2016-09-28T08:41:56Z</cp:lastPrinted>
  <dcterms:created xsi:type="dcterms:W3CDTF">2013-03-14T06:06:17Z</dcterms:created>
  <dcterms:modified xsi:type="dcterms:W3CDTF">2016-09-28T08:42:05Z</dcterms:modified>
</cp:coreProperties>
</file>