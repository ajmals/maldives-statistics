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10" sheetId="14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D12" i="14" l="1"/>
  <c r="F12" i="14" l="1"/>
  <c r="G12" i="14"/>
  <c r="F11" i="14" l="1"/>
  <c r="G11" i="14" l="1"/>
  <c r="G10" i="14" l="1"/>
  <c r="F10" i="14"/>
  <c r="F9" i="14"/>
  <c r="F8" i="14"/>
  <c r="F7" i="14"/>
  <c r="G9" i="14"/>
  <c r="G8" i="14" l="1"/>
</calcChain>
</file>

<file path=xl/sharedStrings.xml><?xml version="1.0" encoding="utf-8"?>
<sst xmlns="http://schemas.openxmlformats.org/spreadsheetml/2006/main" count="18" uniqueCount="18">
  <si>
    <t>Total</t>
  </si>
  <si>
    <t>% share</t>
  </si>
  <si>
    <t>% change</t>
  </si>
  <si>
    <t>Year</t>
  </si>
  <si>
    <t>Public sector</t>
  </si>
  <si>
    <t>Private Sector</t>
  </si>
  <si>
    <t>ޖުމްލަ</t>
  </si>
  <si>
    <t>Source: Maldives Pension Administration</t>
  </si>
  <si>
    <t>Public</t>
  </si>
  <si>
    <t>އަހަރު</t>
  </si>
  <si>
    <t>އިން ސައްތަ</t>
  </si>
  <si>
    <t>މަޢުލޫމާތު ދެއްވި ފަރާތް: މޯލްޑިވްސް ޕެންޝަން އެޑްމިނިސްޓްރޭޝަން</t>
  </si>
  <si>
    <t>އިތުރުވި މިންވަރު</t>
  </si>
  <si>
    <t>ޕަބްލިކް ސެކްޓަރ</t>
  </si>
  <si>
    <t>ޕްރައިވެޓް ސެކްޓަރ</t>
  </si>
  <si>
    <t>_</t>
  </si>
  <si>
    <t>TABLE   18.10:  AMOUNT OF CONTRIBUTION TO RETIREMENT PENSION SCHEME BY SECTOR, 2010 - 2015</t>
  </si>
  <si>
    <t>ތާވަލު 18.10 :ރިޓާޔަމަންޓް ޕެންޝަން ސްކީމްއަށް ޕަބްލިކް އަދި ޕްރައިވެޓް ސެކްޓަރއިން ފައިސާދެއްކި މިންވަރު، 2010 - 2015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</si>
</sst>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164" fontId="6" fillId="0" borderId="0"/>
  </cellStyleXfs>
  <cellXfs count="36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/>
    <xf numFmtId="0" fontId="2" fillId="2" borderId="0" xfId="0" applyFont="1" applyFill="1" applyAlignment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3" fontId="0" fillId="2" borderId="0" xfId="0" applyNumberFormat="1" applyFill="1" applyAlignment="1">
      <alignment horizontal="right" vertical="center"/>
    </xf>
    <xf numFmtId="3" fontId="0" fillId="2" borderId="0" xfId="0" applyNumberFormat="1" applyFill="1"/>
    <xf numFmtId="0" fontId="1" fillId="2" borderId="8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0" fontId="4" fillId="2" borderId="0" xfId="0" applyFont="1" applyFill="1"/>
    <xf numFmtId="0" fontId="5" fillId="2" borderId="0" xfId="0" applyFont="1" applyFill="1"/>
    <xf numFmtId="1" fontId="0" fillId="2" borderId="0" xfId="0" applyNumberFormat="1" applyFill="1" applyBorder="1" applyAlignment="1">
      <alignment horizontal="right" vertical="center"/>
    </xf>
    <xf numFmtId="1" fontId="0" fillId="2" borderId="10" xfId="0" applyNumberFormat="1" applyFill="1" applyBorder="1" applyAlignment="1">
      <alignment horizontal="right" vertical="center"/>
    </xf>
    <xf numFmtId="3" fontId="0" fillId="2" borderId="0" xfId="0" applyNumberFormat="1" applyFill="1" applyBorder="1"/>
    <xf numFmtId="3" fontId="0" fillId="2" borderId="2" xfId="0" applyNumberFormat="1" applyFill="1" applyBorder="1" applyAlignment="1">
      <alignment horizontal="right" vertical="center"/>
    </xf>
    <xf numFmtId="1" fontId="0" fillId="2" borderId="7" xfId="0" applyNumberFormat="1" applyFill="1" applyBorder="1" applyAlignment="1">
      <alignment horizontal="right" vertical="center"/>
    </xf>
    <xf numFmtId="1" fontId="0" fillId="2" borderId="2" xfId="0" applyNumberFormat="1" applyFill="1" applyBorder="1" applyAlignment="1">
      <alignment horizontal="right" vertical="center"/>
    </xf>
    <xf numFmtId="1" fontId="0" fillId="2" borderId="9" xfId="0" applyNumberForma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13"/>
  <sheetViews>
    <sheetView tabSelected="1" zoomScaleNormal="100" workbookViewId="0">
      <selection activeCell="A2" sqref="A2:G2"/>
    </sheetView>
  </sheetViews>
  <sheetFormatPr defaultColWidth="9.140625" defaultRowHeight="15" x14ac:dyDescent="0.25"/>
  <cols>
    <col min="1" max="1" width="13.42578125" style="1" customWidth="1"/>
    <col min="2" max="2" width="22.5703125" style="1" customWidth="1"/>
    <col min="3" max="3" width="18.5703125" style="1" customWidth="1"/>
    <col min="4" max="4" width="20" style="1" customWidth="1"/>
    <col min="5" max="5" width="1.42578125" style="1" customWidth="1"/>
    <col min="6" max="6" width="12.85546875" style="1" customWidth="1"/>
    <col min="7" max="7" width="15.7109375" style="1" customWidth="1"/>
    <col min="8" max="8" width="10.7109375" style="1" customWidth="1"/>
    <col min="9" max="9" width="11.140625" style="1" bestFit="1" customWidth="1"/>
    <col min="10" max="16384" width="9.140625" style="1"/>
  </cols>
  <sheetData>
    <row r="1" spans="1:11" ht="21" x14ac:dyDescent="0.55000000000000004">
      <c r="A1" s="29" t="s">
        <v>17</v>
      </c>
      <c r="B1" s="29"/>
      <c r="C1" s="29"/>
      <c r="D1" s="29"/>
      <c r="E1" s="29"/>
      <c r="F1" s="29"/>
      <c r="G1" s="29"/>
      <c r="K1" s="4"/>
    </row>
    <row r="2" spans="1:11" x14ac:dyDescent="0.25">
      <c r="A2" s="30" t="s">
        <v>16</v>
      </c>
      <c r="B2" s="30"/>
      <c r="C2" s="30"/>
      <c r="D2" s="30"/>
      <c r="E2" s="30"/>
      <c r="F2" s="30"/>
      <c r="G2" s="30"/>
    </row>
    <row r="3" spans="1:11" ht="14.45" customHeight="1" x14ac:dyDescent="0.25">
      <c r="A3" s="2"/>
      <c r="B3" s="2"/>
      <c r="C3" s="2"/>
      <c r="D3" s="2"/>
      <c r="E3" s="2"/>
      <c r="F3" s="2"/>
      <c r="G3" s="2"/>
    </row>
    <row r="4" spans="1:11" s="3" customFormat="1" x14ac:dyDescent="0.25">
      <c r="A4" s="31" t="s">
        <v>3</v>
      </c>
      <c r="B4" s="34" t="s">
        <v>4</v>
      </c>
      <c r="C4" s="34" t="s">
        <v>5</v>
      </c>
      <c r="D4" s="34" t="s">
        <v>0</v>
      </c>
      <c r="E4" s="14"/>
      <c r="F4" s="33" t="s">
        <v>8</v>
      </c>
      <c r="G4" s="33"/>
    </row>
    <row r="5" spans="1:11" s="3" customFormat="1" x14ac:dyDescent="0.25">
      <c r="A5" s="32"/>
      <c r="B5" s="35"/>
      <c r="C5" s="35"/>
      <c r="D5" s="35"/>
      <c r="E5" s="15"/>
      <c r="F5" s="26" t="s">
        <v>1</v>
      </c>
      <c r="G5" s="26" t="s">
        <v>2</v>
      </c>
    </row>
    <row r="6" spans="1:11" s="11" customFormat="1" ht="21" customHeight="1" x14ac:dyDescent="0.5">
      <c r="A6" s="7" t="s">
        <v>9</v>
      </c>
      <c r="B6" s="8" t="s">
        <v>13</v>
      </c>
      <c r="C6" s="8" t="s">
        <v>14</v>
      </c>
      <c r="D6" s="8" t="s">
        <v>6</v>
      </c>
      <c r="E6" s="9"/>
      <c r="F6" s="10" t="s">
        <v>10</v>
      </c>
      <c r="G6" s="10" t="s">
        <v>12</v>
      </c>
    </row>
    <row r="7" spans="1:11" ht="31.5" customHeight="1" x14ac:dyDescent="0.25">
      <c r="A7" s="5">
        <v>2010</v>
      </c>
      <c r="B7" s="12">
        <v>144012812.99000001</v>
      </c>
      <c r="C7" s="12">
        <v>4343052.63</v>
      </c>
      <c r="D7" s="16">
        <v>148355865.62</v>
      </c>
      <c r="E7" s="16"/>
      <c r="F7" s="25">
        <f t="shared" ref="F7:F12" si="0">(B7/D7)*100</f>
        <v>97.072544040068948</v>
      </c>
      <c r="G7" s="6" t="s">
        <v>15</v>
      </c>
      <c r="I7" s="13"/>
    </row>
    <row r="8" spans="1:11" ht="31.5" customHeight="1" x14ac:dyDescent="0.25">
      <c r="A8" s="5">
        <v>2011</v>
      </c>
      <c r="B8" s="12">
        <v>326364381.68000001</v>
      </c>
      <c r="C8" s="12">
        <v>256249489.41</v>
      </c>
      <c r="D8" s="16">
        <v>582613871.09000003</v>
      </c>
      <c r="E8" s="16"/>
      <c r="F8" s="20">
        <f t="shared" si="0"/>
        <v>56.017269391374377</v>
      </c>
      <c r="G8" s="6">
        <f>((B8-B7)/B8)*100</f>
        <v>55.873612111506567</v>
      </c>
      <c r="I8" s="13"/>
    </row>
    <row r="9" spans="1:11" ht="31.5" customHeight="1" x14ac:dyDescent="0.25">
      <c r="A9" s="27">
        <v>2012</v>
      </c>
      <c r="B9" s="16">
        <v>302095970.83999997</v>
      </c>
      <c r="C9" s="16">
        <v>399524598.81999999</v>
      </c>
      <c r="D9" s="16">
        <v>701620569.65999997</v>
      </c>
      <c r="E9" s="16"/>
      <c r="F9" s="20">
        <f t="shared" si="0"/>
        <v>43.056886286329004</v>
      </c>
      <c r="G9" s="19">
        <f>((B9-B8)/B9)*100</f>
        <v>-8.0333447587930227</v>
      </c>
      <c r="H9" s="2"/>
      <c r="I9" s="13"/>
    </row>
    <row r="10" spans="1:11" s="2" customFormat="1" ht="31.5" customHeight="1" x14ac:dyDescent="0.25">
      <c r="A10" s="27">
        <v>2013</v>
      </c>
      <c r="B10" s="16">
        <v>328802942.31999999</v>
      </c>
      <c r="C10" s="16">
        <v>414071405.61000001</v>
      </c>
      <c r="D10" s="16">
        <v>742874347.92999995</v>
      </c>
      <c r="E10" s="16"/>
      <c r="F10" s="20">
        <f t="shared" si="0"/>
        <v>44.260909430538398</v>
      </c>
      <c r="G10" s="19">
        <f>((B10-B9)/B10)*100</f>
        <v>8.1224855506335665</v>
      </c>
      <c r="I10" s="21"/>
    </row>
    <row r="11" spans="1:11" ht="31.5" customHeight="1" x14ac:dyDescent="0.25">
      <c r="A11" s="27">
        <v>2014</v>
      </c>
      <c r="B11" s="16">
        <v>343675121.81999999</v>
      </c>
      <c r="C11" s="16">
        <v>454365280.81999999</v>
      </c>
      <c r="D11" s="16">
        <v>798040402.63999999</v>
      </c>
      <c r="E11" s="16"/>
      <c r="F11" s="20">
        <f t="shared" si="0"/>
        <v>43.064877502829084</v>
      </c>
      <c r="G11" s="19">
        <f>((B11-B10)/B11)*100</f>
        <v>4.327394843490973</v>
      </c>
      <c r="I11" s="13"/>
    </row>
    <row r="12" spans="1:11" ht="31.5" customHeight="1" x14ac:dyDescent="0.25">
      <c r="A12" s="28">
        <v>2015</v>
      </c>
      <c r="B12" s="22">
        <v>387387234.02999997</v>
      </c>
      <c r="C12" s="22">
        <v>504476564.63999999</v>
      </c>
      <c r="D12" s="22">
        <f>SUM(B12:C12)</f>
        <v>891863798.66999996</v>
      </c>
      <c r="E12" s="22"/>
      <c r="F12" s="23">
        <f t="shared" si="0"/>
        <v>43.4356943972493</v>
      </c>
      <c r="G12" s="24">
        <f>((B12-B11)/B12)*100</f>
        <v>11.283828781671941</v>
      </c>
      <c r="I12" s="13"/>
    </row>
    <row r="13" spans="1:11" ht="17.45" customHeight="1" x14ac:dyDescent="0.45">
      <c r="A13" s="17" t="s">
        <v>7</v>
      </c>
      <c r="G13" s="18" t="s">
        <v>11</v>
      </c>
    </row>
  </sheetData>
  <mergeCells count="7">
    <mergeCell ref="A1:G1"/>
    <mergeCell ref="A2:G2"/>
    <mergeCell ref="B4:B5"/>
    <mergeCell ref="C4:C5"/>
    <mergeCell ref="D4:D5"/>
    <mergeCell ref="F4:G4"/>
    <mergeCell ref="A4:A5"/>
  </mergeCells>
  <pageMargins left="0.7" right="0.7" top="0.75" bottom="0.75" header="0.3" footer="0.3"/>
  <pageSetup paperSize="9" scale="90" orientation="landscape" r:id="rId1"/>
  <ignoredErrors>
    <ignoredError sqref="D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2016-09-08T08:58:36Z</cp:lastPrinted>
  <dcterms:created xsi:type="dcterms:W3CDTF">2013-03-14T06:06:17Z</dcterms:created>
  <dcterms:modified xsi:type="dcterms:W3CDTF">2016-09-08T08:58:54Z</dcterms:modified>
</cp:coreProperties>
</file>