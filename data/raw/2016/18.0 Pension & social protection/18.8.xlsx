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8" sheetId="29" r:id="rId1"/>
  </sheets>
  <externalReferences>
    <externalReference r:id="rId2"/>
  </externalReferences>
  <definedNames>
    <definedName name="_xlnm.Print_Area" localSheetId="0">'18.8'!$A$1:$I$26</definedName>
  </definedNames>
  <calcPr calcId="144525"/>
</workbook>
</file>

<file path=xl/calcChain.xml><?xml version="1.0" encoding="utf-8"?>
<calcChain xmlns="http://schemas.openxmlformats.org/spreadsheetml/2006/main">
  <c r="AN15" i="29" l="1"/>
  <c r="AN14" i="29"/>
  <c r="AN13" i="29"/>
  <c r="AM12" i="29"/>
  <c r="AL12" i="29"/>
  <c r="AK12" i="29"/>
  <c r="AN12" i="29" s="1"/>
  <c r="AI12" i="29"/>
</calcChain>
</file>

<file path=xl/sharedStrings.xml><?xml version="1.0" encoding="utf-8"?>
<sst xmlns="http://schemas.openxmlformats.org/spreadsheetml/2006/main" count="36" uniqueCount="32">
  <si>
    <t>Total</t>
  </si>
  <si>
    <t>Basic Pension</t>
  </si>
  <si>
    <t>Retirement Pension</t>
  </si>
  <si>
    <t>Other Pension</t>
  </si>
  <si>
    <t>55-64</t>
  </si>
  <si>
    <t>65-69</t>
  </si>
  <si>
    <t>70-74</t>
  </si>
  <si>
    <t>އަސާސީ ޕެންޝަން</t>
  </si>
  <si>
    <t>ރިޓަޔަރމަންޓް ޕެންޝަން</t>
  </si>
  <si>
    <t>ޖުމްލަ</t>
  </si>
  <si>
    <t>އެހެނިހެން ޕެންޝަން</t>
  </si>
  <si>
    <t>Type of pension</t>
  </si>
  <si>
    <t>ޕެންޝަންގެ ބާވަތް</t>
  </si>
  <si>
    <t>Source: Maldives Pension Administration</t>
  </si>
  <si>
    <t>75 &amp; over</t>
  </si>
  <si>
    <t>Basic pension</t>
  </si>
  <si>
    <t>މަޢުލޫމާތު ދެއްވި ފަރާތް: މޯލްޑިވްސް ޕެންޝަން އެޑްމިނިސްޓްރޭޝަން</t>
  </si>
  <si>
    <t>age-group</t>
  </si>
  <si>
    <t>Retirement pension</t>
  </si>
  <si>
    <t>Other pension</t>
  </si>
  <si>
    <t>under 55</t>
  </si>
  <si>
    <t>75 +</t>
  </si>
  <si>
    <t>&lt; 55</t>
  </si>
  <si>
    <t>Senior Citizen Allowance</t>
  </si>
  <si>
    <t>ސީނިއަރ ސިޓިޒަން އެލަވަންސް</t>
  </si>
  <si>
    <t>All ages</t>
  </si>
  <si>
    <t>-</t>
  </si>
  <si>
    <t xml:space="preserve">Total </t>
  </si>
  <si>
    <t>ތާވަލު 18.8:  އެކި ޕެންޝަން ސްކީމްތަކުން ޕެންޝަން ލިބޭ މީހުންގެ އަދަދު އަދި އުމުރުފުރާ، 2015</t>
  </si>
  <si>
    <t>TABLE 18.8: NUMBER OF BEFEFICIARIES BY AGE GROUP FOR  DIFFERENT  PENSION SCHEMES, 2015</t>
  </si>
  <si>
    <t>2015 end</t>
  </si>
  <si>
    <t>Age groups, 2015 ( as of end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</si>
</sst>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Courier"/>
      <family val="3"/>
    </font>
    <font>
      <b/>
      <sz val="12"/>
      <color theme="1"/>
      <name val="Calibri"/>
      <family val="2"/>
      <scheme val="minor"/>
    </font>
    <font>
      <b/>
      <sz val="12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9" fillId="0" borderId="0"/>
    <xf numFmtId="0" fontId="5" fillId="0" borderId="0"/>
  </cellStyleXfs>
  <cellXfs count="49">
    <xf numFmtId="0" fontId="0" fillId="0" borderId="0" xfId="0"/>
    <xf numFmtId="0" fontId="0" fillId="2" borderId="0" xfId="0" applyFill="1"/>
    <xf numFmtId="0" fontId="0" fillId="2" borderId="0" xfId="0" applyFill="1" applyBorder="1"/>
    <xf numFmtId="0" fontId="3" fillId="2" borderId="0" xfId="0" applyFont="1" applyFill="1" applyBorder="1"/>
    <xf numFmtId="0" fontId="3" fillId="2" borderId="1" xfId="0" applyFont="1" applyFill="1" applyBorder="1"/>
    <xf numFmtId="164" fontId="0" fillId="2" borderId="1" xfId="1" applyNumberFormat="1" applyFont="1" applyFill="1" applyBorder="1"/>
    <xf numFmtId="164" fontId="2" fillId="2" borderId="0" xfId="1" applyNumberFormat="1" applyFont="1" applyFill="1" applyBorder="1" applyAlignment="1">
      <alignment horizontal="right" vertical="center"/>
    </xf>
    <xf numFmtId="3" fontId="0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3" fontId="0" fillId="2" borderId="0" xfId="0" applyNumberFormat="1" applyFill="1"/>
    <xf numFmtId="0" fontId="7" fillId="2" borderId="0" xfId="0" applyFont="1" applyFill="1"/>
    <xf numFmtId="0" fontId="0" fillId="2" borderId="1" xfId="0" applyFont="1" applyFill="1" applyBorder="1"/>
    <xf numFmtId="3" fontId="0" fillId="2" borderId="1" xfId="1" applyNumberFormat="1" applyFont="1" applyFill="1" applyBorder="1" applyAlignment="1">
      <alignment vertical="center" wrapText="1"/>
    </xf>
    <xf numFmtId="0" fontId="6" fillId="2" borderId="0" xfId="0" applyFont="1" applyFill="1" applyBorder="1"/>
    <xf numFmtId="0" fontId="7" fillId="2" borderId="0" xfId="0" applyFont="1" applyFill="1" applyBorder="1"/>
    <xf numFmtId="0" fontId="8" fillId="2" borderId="0" xfId="0" applyFont="1" applyFill="1" applyBorder="1"/>
    <xf numFmtId="3" fontId="0" fillId="2" borderId="1" xfId="0" applyNumberForma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/>
    </xf>
    <xf numFmtId="37" fontId="2" fillId="2" borderId="0" xfId="1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37" fontId="2" fillId="2" borderId="0" xfId="0" applyNumberFormat="1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/>
    </xf>
    <xf numFmtId="0" fontId="4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0" fillId="2" borderId="0" xfId="0" applyFill="1" applyBorder="1" applyAlignment="1">
      <alignment horizontal="right"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1" xfId="1" applyNumberFormat="1" applyFont="1" applyFill="1" applyBorder="1" applyAlignment="1">
      <alignment horizontal="right" vertical="center"/>
    </xf>
    <xf numFmtId="3" fontId="0" fillId="2" borderId="0" xfId="0" applyNumberFormat="1" applyFill="1" applyAlignment="1">
      <alignment horizontal="right"/>
    </xf>
    <xf numFmtId="3" fontId="0" fillId="2" borderId="1" xfId="0" applyNumberFormat="1" applyFill="1" applyBorder="1" applyAlignment="1">
      <alignment horizontal="right"/>
    </xf>
    <xf numFmtId="0" fontId="4" fillId="2" borderId="2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</cellXfs>
  <cellStyles count="4">
    <cellStyle name="Comma" xfId="1" builtinId="3"/>
    <cellStyle name="Normal" xfId="0" builtinId="0"/>
    <cellStyle name="Normal 2" xfId="2"/>
    <cellStyle name="Normal 5" xfId="3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672025723472669"/>
          <c:y val="0.23507422770891809"/>
          <c:w val="0.37084673097534832"/>
          <c:h val="0.7276550998948475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DE5E3"/>
              </a:solidFill>
            </c:spPr>
          </c:dPt>
          <c:dPt>
            <c:idx val="1"/>
            <c:bubble3D val="0"/>
            <c:spPr>
              <a:solidFill>
                <a:srgbClr val="D4F5F4"/>
              </a:solidFill>
            </c:spPr>
          </c:dPt>
          <c:dPt>
            <c:idx val="2"/>
            <c:bubble3D val="0"/>
            <c:spPr>
              <a:solidFill>
                <a:srgbClr val="33CCCC"/>
              </a:solidFill>
            </c:spPr>
          </c:dPt>
          <c:dPt>
            <c:idx val="3"/>
            <c:bubble3D val="0"/>
            <c:spPr>
              <a:solidFill>
                <a:srgbClr val="1C706E"/>
              </a:solidFill>
            </c:spPr>
          </c:dPt>
          <c:dLbls>
            <c:dLbl>
              <c:idx val="1"/>
              <c:layout>
                <c:manualLayout>
                  <c:x val="3.6441586280814578E-2"/>
                  <c:y val="-0.115740579746143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1.2861736334405145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6.4308681672025723E-3"/>
                  <c:y val="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'18.8'!$C$6:$G$6</c:f>
              <c:strCache>
                <c:ptCount val="5"/>
                <c:pt idx="0">
                  <c:v>&lt;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+</c:v>
                </c:pt>
              </c:strCache>
            </c:strRef>
          </c:cat>
          <c:val>
            <c:numRef>
              <c:f>'18.8'!$C$7:$G$7</c:f>
              <c:numCache>
                <c:formatCode>#,##0</c:formatCode>
                <c:ptCount val="5"/>
                <c:pt idx="0">
                  <c:v>2452</c:v>
                </c:pt>
                <c:pt idx="1">
                  <c:v>1600</c:v>
                </c:pt>
                <c:pt idx="2">
                  <c:v>9687</c:v>
                </c:pt>
                <c:pt idx="3">
                  <c:v>10288</c:v>
                </c:pt>
                <c:pt idx="4">
                  <c:v>16784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1066800</xdr:colOff>
      <xdr:row>13</xdr:row>
      <xdr:rowOff>104774</xdr:rowOff>
    </xdr:from>
    <xdr:to>
      <xdr:col>7</xdr:col>
      <xdr:colOff>962025</xdr:colOff>
      <xdr:row>24</xdr:row>
      <xdr:rowOff>276224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1228725</xdr:colOff>
      <xdr:row>13</xdr:row>
      <xdr:rowOff>152400</xdr:rowOff>
    </xdr:from>
    <xdr:to>
      <xdr:col>7</xdr:col>
      <xdr:colOff>885825</xdr:colOff>
      <xdr:row>15</xdr:row>
      <xdr:rowOff>200025</xdr:rowOff>
    </xdr:to>
    <xdr:sp macro="" textlink="">
      <xdr:nvSpPr>
        <xdr:cNvPr id="5" name="TextBox 4"/>
        <xdr:cNvSpPr txBox="1"/>
      </xdr:nvSpPr>
      <xdr:spPr>
        <a:xfrm>
          <a:off x="1228725" y="3533775"/>
          <a:ext cx="568642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18.10: Number of beneficiaries under different pension schemes by age-groups, end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1371600</xdr:colOff>
      <xdr:row>15</xdr:row>
      <xdr:rowOff>161925</xdr:rowOff>
    </xdr:from>
    <xdr:to>
      <xdr:col>7</xdr:col>
      <xdr:colOff>790575</xdr:colOff>
      <xdr:row>15</xdr:row>
      <xdr:rowOff>171449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371600" y="3924300"/>
          <a:ext cx="5448300" cy="9524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0.06431</cdr:x>
      <cdr:y>0.03472</cdr:y>
    </cdr:from>
    <cdr:to>
      <cdr:x>1</cdr:x>
      <cdr:y>0.13889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00050" y="95250"/>
          <a:ext cx="55435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AO36"/>
  <sheetViews>
    <sheetView tabSelected="1" zoomScaleNormal="100" workbookViewId="0">
      <selection activeCell="K31" sqref="K31"/>
    </sheetView>
  </sheetViews>
  <sheetFormatPr defaultColWidth="9.140625" defaultRowHeight="15" x14ac:dyDescent="0.25"/>
  <cols>
    <col min="1" max="1" width="25.28515625" style="1" customWidth="1"/>
    <col min="2" max="7" width="10.85546875" style="1" customWidth="1"/>
    <col min="8" max="8" width="29.28515625" style="1" customWidth="1"/>
    <col min="9" max="16384" width="9.140625" style="1"/>
  </cols>
  <sheetData>
    <row r="2" spans="1:41" ht="21.75" x14ac:dyDescent="0.55000000000000004">
      <c r="A2" s="48" t="s">
        <v>28</v>
      </c>
      <c r="B2" s="48"/>
      <c r="C2" s="48"/>
      <c r="D2" s="48"/>
      <c r="E2" s="48"/>
      <c r="F2" s="48"/>
      <c r="G2" s="48"/>
      <c r="H2" s="48"/>
    </row>
    <row r="3" spans="1:41" ht="19.5" customHeight="1" x14ac:dyDescent="0.25">
      <c r="A3" s="46" t="s">
        <v>29</v>
      </c>
      <c r="B3" s="46"/>
      <c r="C3" s="46"/>
      <c r="D3" s="46"/>
      <c r="E3" s="46"/>
      <c r="F3" s="46"/>
      <c r="G3" s="46"/>
      <c r="H3" s="46"/>
    </row>
    <row r="5" spans="1:41" ht="24" customHeight="1" x14ac:dyDescent="0.25">
      <c r="A5" s="40" t="s">
        <v>11</v>
      </c>
      <c r="B5" s="43" t="s">
        <v>31</v>
      </c>
      <c r="C5" s="43"/>
      <c r="D5" s="43"/>
      <c r="E5" s="43"/>
      <c r="F5" s="43"/>
      <c r="G5" s="43"/>
      <c r="H5" s="37" t="s">
        <v>12</v>
      </c>
    </row>
    <row r="6" spans="1:41" ht="21" customHeight="1" x14ac:dyDescent="0.25">
      <c r="A6" s="42"/>
      <c r="B6" s="28" t="s">
        <v>25</v>
      </c>
      <c r="C6" s="24" t="s">
        <v>22</v>
      </c>
      <c r="D6" s="24" t="s">
        <v>4</v>
      </c>
      <c r="E6" s="24" t="s">
        <v>5</v>
      </c>
      <c r="F6" s="24" t="s">
        <v>6</v>
      </c>
      <c r="G6" s="24" t="s">
        <v>21</v>
      </c>
      <c r="H6" s="39"/>
    </row>
    <row r="7" spans="1:41" ht="21" customHeight="1" x14ac:dyDescent="0.25">
      <c r="A7" s="27" t="s">
        <v>27</v>
      </c>
      <c r="B7" s="9">
        <v>40811</v>
      </c>
      <c r="C7" s="33">
        <v>2452</v>
      </c>
      <c r="D7" s="33">
        <v>1600</v>
      </c>
      <c r="E7" s="33">
        <v>9687</v>
      </c>
      <c r="F7" s="33">
        <v>10288</v>
      </c>
      <c r="G7" s="33">
        <v>16784</v>
      </c>
      <c r="H7" s="26" t="s">
        <v>9</v>
      </c>
    </row>
    <row r="8" spans="1:41" ht="24" customHeight="1" x14ac:dyDescent="0.55000000000000004">
      <c r="A8" s="21" t="s">
        <v>1</v>
      </c>
      <c r="B8" s="8">
        <v>16091</v>
      </c>
      <c r="C8" s="10">
        <v>0</v>
      </c>
      <c r="D8" s="10">
        <v>0</v>
      </c>
      <c r="E8" s="7">
        <v>3902</v>
      </c>
      <c r="F8" s="7">
        <v>4530</v>
      </c>
      <c r="G8" s="7">
        <v>7659</v>
      </c>
      <c r="H8" s="3" t="s">
        <v>7</v>
      </c>
    </row>
    <row r="9" spans="1:41" ht="24" customHeight="1" x14ac:dyDescent="0.55000000000000004">
      <c r="A9" s="21" t="s">
        <v>2</v>
      </c>
      <c r="B9" s="8">
        <v>895</v>
      </c>
      <c r="C9" s="35">
        <v>11</v>
      </c>
      <c r="D9" s="35">
        <v>7</v>
      </c>
      <c r="E9" s="7">
        <v>708</v>
      </c>
      <c r="F9" s="7">
        <v>169</v>
      </c>
      <c r="G9" s="10">
        <v>0</v>
      </c>
      <c r="H9" s="3" t="s">
        <v>8</v>
      </c>
    </row>
    <row r="10" spans="1:41" ht="24" customHeight="1" x14ac:dyDescent="0.55000000000000004">
      <c r="A10" s="21" t="s">
        <v>3</v>
      </c>
      <c r="B10" s="8">
        <v>7264</v>
      </c>
      <c r="C10" s="35">
        <v>2441</v>
      </c>
      <c r="D10" s="35">
        <v>1593</v>
      </c>
      <c r="E10" s="35">
        <v>930</v>
      </c>
      <c r="F10" s="35">
        <v>933</v>
      </c>
      <c r="G10" s="35">
        <v>1367</v>
      </c>
      <c r="H10" s="3" t="s">
        <v>10</v>
      </c>
      <c r="AI10" s="1" t="s">
        <v>17</v>
      </c>
      <c r="AO10" s="12"/>
    </row>
    <row r="11" spans="1:41" ht="24" customHeight="1" x14ac:dyDescent="0.55000000000000004">
      <c r="A11" s="22" t="s">
        <v>23</v>
      </c>
      <c r="B11" s="34">
        <v>16561</v>
      </c>
      <c r="C11" s="18">
        <v>0</v>
      </c>
      <c r="D11" s="18">
        <v>0</v>
      </c>
      <c r="E11" s="36">
        <v>4147</v>
      </c>
      <c r="F11" s="36">
        <v>4656</v>
      </c>
      <c r="G11" s="36">
        <v>7758</v>
      </c>
      <c r="H11" s="4" t="s">
        <v>24</v>
      </c>
      <c r="AH11" s="30" t="s">
        <v>30</v>
      </c>
      <c r="AI11" s="31" t="s">
        <v>20</v>
      </c>
      <c r="AJ11" s="31" t="s">
        <v>4</v>
      </c>
      <c r="AK11" s="30" t="s">
        <v>5</v>
      </c>
      <c r="AL11" s="30" t="s">
        <v>6</v>
      </c>
      <c r="AM11" s="30" t="s">
        <v>14</v>
      </c>
      <c r="AN11" s="30" t="s">
        <v>0</v>
      </c>
    </row>
    <row r="12" spans="1:41" s="12" customFormat="1" ht="18" x14ac:dyDescent="0.45">
      <c r="A12" s="15" t="s">
        <v>13</v>
      </c>
      <c r="B12" s="16"/>
      <c r="C12" s="16"/>
      <c r="D12" s="16"/>
      <c r="F12" s="16"/>
      <c r="H12" s="17" t="s">
        <v>16</v>
      </c>
      <c r="AH12" s="1" t="s">
        <v>15</v>
      </c>
      <c r="AI12" s="1">
        <f>0</f>
        <v>0</v>
      </c>
      <c r="AJ12" s="1">
        <v>0</v>
      </c>
      <c r="AK12" s="11" t="e">
        <f>#REF!</f>
        <v>#REF!</v>
      </c>
      <c r="AL12" s="11" t="e">
        <f>#REF!</f>
        <v>#REF!</v>
      </c>
      <c r="AM12" s="11" t="e">
        <f>#REF!</f>
        <v>#REF!</v>
      </c>
      <c r="AN12" s="1" t="e">
        <f>SUM(AI12:AM12)</f>
        <v>#REF!</v>
      </c>
      <c r="AO12" s="1"/>
    </row>
    <row r="13" spans="1:41" x14ac:dyDescent="0.25">
      <c r="AH13" s="1" t="s">
        <v>19</v>
      </c>
      <c r="AI13" s="5">
        <v>2441</v>
      </c>
      <c r="AJ13" s="5">
        <v>1593</v>
      </c>
      <c r="AK13" s="5">
        <v>930</v>
      </c>
      <c r="AL13" s="5">
        <v>933</v>
      </c>
      <c r="AM13" s="5">
        <v>1367</v>
      </c>
      <c r="AN13" s="1">
        <f>SUM(AI13:AM13)</f>
        <v>7264</v>
      </c>
    </row>
    <row r="14" spans="1:41" x14ac:dyDescent="0.25">
      <c r="AH14" s="1" t="s">
        <v>18</v>
      </c>
      <c r="AI14" s="1">
        <v>11</v>
      </c>
      <c r="AJ14" s="14">
        <v>7</v>
      </c>
      <c r="AK14" s="14">
        <v>708</v>
      </c>
      <c r="AL14" s="14">
        <v>169</v>
      </c>
      <c r="AM14" s="14" t="s">
        <v>26</v>
      </c>
      <c r="AN14" s="1">
        <f>SUM(AI14:AM14)</f>
        <v>895</v>
      </c>
    </row>
    <row r="15" spans="1:41" x14ac:dyDescent="0.25">
      <c r="AH15" s="13" t="s">
        <v>23</v>
      </c>
      <c r="AK15" s="5">
        <v>4147</v>
      </c>
      <c r="AL15" s="5">
        <v>4656</v>
      </c>
      <c r="AM15" s="5">
        <v>7758</v>
      </c>
      <c r="AN15" s="1">
        <f>SUM(AI15:AM15)</f>
        <v>16561</v>
      </c>
    </row>
    <row r="16" spans="1:41" ht="21.75" x14ac:dyDescent="0.55000000000000004">
      <c r="A16" s="47"/>
      <c r="B16" s="47"/>
      <c r="C16" s="47"/>
      <c r="D16" s="47"/>
      <c r="E16" s="47"/>
      <c r="F16" s="47"/>
      <c r="G16" s="47"/>
      <c r="H16" s="47"/>
    </row>
    <row r="17" spans="1:8" ht="19.5" customHeight="1" x14ac:dyDescent="0.25">
      <c r="A17" s="45"/>
      <c r="B17" s="45"/>
      <c r="C17" s="45"/>
      <c r="D17" s="45"/>
      <c r="E17" s="45"/>
      <c r="F17" s="45"/>
      <c r="G17" s="45"/>
      <c r="H17" s="45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ht="24" customHeight="1" x14ac:dyDescent="0.25">
      <c r="A19" s="41"/>
      <c r="B19" s="44"/>
      <c r="C19" s="44"/>
      <c r="D19" s="44"/>
      <c r="E19" s="44"/>
      <c r="F19" s="44"/>
      <c r="G19" s="44"/>
      <c r="H19" s="38"/>
    </row>
    <row r="20" spans="1:8" ht="21" customHeight="1" x14ac:dyDescent="0.25">
      <c r="A20" s="41"/>
      <c r="B20" s="29"/>
      <c r="C20" s="6"/>
      <c r="D20" s="6"/>
      <c r="E20" s="6"/>
      <c r="F20" s="6"/>
      <c r="G20" s="6"/>
      <c r="H20" s="38"/>
    </row>
    <row r="21" spans="1:8" ht="21" customHeight="1" x14ac:dyDescent="0.25">
      <c r="A21" s="27"/>
      <c r="B21" s="23"/>
      <c r="C21" s="23"/>
      <c r="D21" s="23"/>
      <c r="E21" s="23"/>
      <c r="F21" s="23"/>
      <c r="G21" s="23"/>
      <c r="H21" s="26"/>
    </row>
    <row r="22" spans="1:8" ht="24" customHeight="1" x14ac:dyDescent="0.55000000000000004">
      <c r="A22" s="21"/>
      <c r="B22" s="20"/>
      <c r="C22" s="32"/>
      <c r="D22" s="32"/>
      <c r="E22" s="19"/>
      <c r="F22" s="19"/>
      <c r="G22" s="19"/>
      <c r="H22" s="3"/>
    </row>
    <row r="23" spans="1:8" ht="24" customHeight="1" x14ac:dyDescent="0.55000000000000004">
      <c r="A23" s="21"/>
      <c r="B23" s="20"/>
      <c r="C23" s="32"/>
      <c r="D23" s="32"/>
      <c r="E23" s="19"/>
      <c r="F23" s="19"/>
      <c r="G23" s="32"/>
      <c r="H23" s="3"/>
    </row>
    <row r="24" spans="1:8" ht="24" customHeight="1" x14ac:dyDescent="0.55000000000000004">
      <c r="A24" s="21"/>
      <c r="B24" s="20"/>
      <c r="C24" s="19"/>
      <c r="D24" s="19"/>
      <c r="E24" s="19"/>
      <c r="F24" s="19"/>
      <c r="G24" s="19"/>
      <c r="H24" s="3"/>
    </row>
    <row r="25" spans="1:8" ht="24" customHeight="1" x14ac:dyDescent="0.55000000000000004">
      <c r="A25" s="21"/>
      <c r="B25" s="20"/>
      <c r="C25" s="32"/>
      <c r="D25" s="32"/>
      <c r="E25" s="19"/>
      <c r="F25" s="19"/>
      <c r="G25" s="19"/>
      <c r="H25" s="3"/>
    </row>
    <row r="26" spans="1:8" s="12" customFormat="1" ht="17.25" x14ac:dyDescent="0.45">
      <c r="A26" s="15"/>
      <c r="B26" s="16"/>
      <c r="C26" s="16"/>
      <c r="D26" s="16"/>
      <c r="E26" s="16"/>
      <c r="F26" s="16"/>
      <c r="G26" s="16"/>
      <c r="H26" s="17"/>
    </row>
    <row r="31" spans="1:8" x14ac:dyDescent="0.25">
      <c r="D31" s="25"/>
      <c r="E31" s="25"/>
      <c r="F31" s="25"/>
      <c r="G31" s="25"/>
      <c r="H31" s="25"/>
    </row>
    <row r="32" spans="1:8" x14ac:dyDescent="0.25">
      <c r="D32" s="25"/>
      <c r="E32" s="25"/>
      <c r="F32" s="25"/>
      <c r="G32" s="25"/>
      <c r="H32" s="25"/>
    </row>
    <row r="33" spans="4:8" x14ac:dyDescent="0.25">
      <c r="D33" s="25"/>
      <c r="E33" s="25"/>
      <c r="F33" s="25"/>
      <c r="G33" s="25"/>
      <c r="H33" s="25"/>
    </row>
    <row r="34" spans="4:8" x14ac:dyDescent="0.25">
      <c r="D34" s="25"/>
      <c r="E34" s="25"/>
      <c r="F34" s="25"/>
      <c r="G34" s="25"/>
      <c r="H34" s="25"/>
    </row>
    <row r="35" spans="4:8" x14ac:dyDescent="0.25">
      <c r="D35" s="25"/>
      <c r="E35" s="25"/>
      <c r="F35" s="25"/>
      <c r="G35" s="25"/>
      <c r="H35" s="25"/>
    </row>
    <row r="36" spans="4:8" x14ac:dyDescent="0.25">
      <c r="D36" s="25"/>
      <c r="E36" s="25"/>
      <c r="F36" s="25"/>
      <c r="G36" s="25"/>
      <c r="H36" s="25"/>
    </row>
  </sheetData>
  <mergeCells count="10">
    <mergeCell ref="A2:H2"/>
    <mergeCell ref="A3:H3"/>
    <mergeCell ref="A5:A6"/>
    <mergeCell ref="B5:G5"/>
    <mergeCell ref="H5:H6"/>
    <mergeCell ref="A19:A20"/>
    <mergeCell ref="B19:G19"/>
    <mergeCell ref="H19:H20"/>
    <mergeCell ref="A17:H17"/>
    <mergeCell ref="A16:H16"/>
  </mergeCells>
  <pageMargins left="0.7" right="0.7" top="0.75" bottom="0.75" header="0.3" footer="0.3"/>
  <pageSetup paperSize="9" scale="94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18.8</vt:lpstr>
      <vt:lpstr>'18.8'!Print_Area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2016-09-28T08:11:18Z</cp:lastPrinted>
  <dcterms:created xsi:type="dcterms:W3CDTF">2013-03-14T06:06:17Z</dcterms:created>
  <dcterms:modified xsi:type="dcterms:W3CDTF">2016-09-28T08:11:20Z</dcterms:modified>
</cp:coreProperties>
</file>