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857"/>
  </bookViews>
  <sheets>
    <sheet name="18.17" sheetId="31" r:id="rId1"/>
  </sheets>
  <externalReferences>
    <externalReference r:id="rId2"/>
  </externalReferences>
  <definedNames>
    <definedName name="_xlnm.Print_Area" localSheetId="0">'18.17'!$A$1:$J$499</definedName>
    <definedName name="_xlnm.Print_Titles" localSheetId="0">'18.17'!$4:$8</definedName>
  </definedNames>
  <calcPr calcId="144525"/>
</workbook>
</file>

<file path=xl/calcChain.xml><?xml version="1.0" encoding="utf-8"?>
<calcChain xmlns="http://schemas.openxmlformats.org/spreadsheetml/2006/main">
  <c r="C12" i="31" l="1"/>
  <c r="C11" i="31" s="1"/>
  <c r="C9" i="31" s="1"/>
  <c r="C61" i="31"/>
  <c r="C45" i="31"/>
  <c r="D277" i="31" l="1"/>
  <c r="B493" i="31" l="1"/>
  <c r="B492" i="31"/>
  <c r="B491" i="31"/>
  <c r="B490" i="31"/>
  <c r="B489" i="31"/>
  <c r="B488" i="31"/>
  <c r="H487" i="31"/>
  <c r="G487" i="31"/>
  <c r="F487" i="31"/>
  <c r="E487" i="31"/>
  <c r="D487" i="31"/>
  <c r="C487" i="31"/>
  <c r="B485" i="31"/>
  <c r="H484" i="31"/>
  <c r="G484" i="31"/>
  <c r="F484" i="31"/>
  <c r="E484" i="31"/>
  <c r="D484" i="31"/>
  <c r="C484" i="31"/>
  <c r="B482" i="31"/>
  <c r="B481" i="31"/>
  <c r="B480" i="31"/>
  <c r="B479" i="31"/>
  <c r="B478" i="31"/>
  <c r="B477" i="31"/>
  <c r="B476" i="31"/>
  <c r="B475" i="31"/>
  <c r="B474" i="31"/>
  <c r="H473" i="31"/>
  <c r="G473" i="31"/>
  <c r="F473" i="31"/>
  <c r="E473" i="31"/>
  <c r="D473" i="31"/>
  <c r="C473" i="31"/>
  <c r="B471" i="31"/>
  <c r="B470" i="31"/>
  <c r="B469" i="31"/>
  <c r="B468" i="31"/>
  <c r="B467" i="31"/>
  <c r="B466" i="31"/>
  <c r="B465" i="31"/>
  <c r="B464" i="31"/>
  <c r="B463" i="31"/>
  <c r="B462" i="31"/>
  <c r="H461" i="31"/>
  <c r="G461" i="31"/>
  <c r="F461" i="31"/>
  <c r="E461" i="31"/>
  <c r="D461" i="31"/>
  <c r="C461" i="31"/>
  <c r="B459" i="31"/>
  <c r="B458" i="31"/>
  <c r="B457" i="31"/>
  <c r="B456" i="31"/>
  <c r="B455" i="31"/>
  <c r="B454" i="31"/>
  <c r="B453" i="31"/>
  <c r="B452" i="31"/>
  <c r="B451" i="31"/>
  <c r="B450" i="31"/>
  <c r="B449" i="31"/>
  <c r="B448" i="31"/>
  <c r="H447" i="31"/>
  <c r="G447" i="31"/>
  <c r="F447" i="31"/>
  <c r="E447" i="31"/>
  <c r="D447" i="31"/>
  <c r="C447" i="31"/>
  <c r="B445" i="31"/>
  <c r="B444" i="31"/>
  <c r="B443" i="31"/>
  <c r="B442" i="31"/>
  <c r="B441" i="31"/>
  <c r="B440" i="31"/>
  <c r="B439" i="31"/>
  <c r="B438" i="31"/>
  <c r="B437" i="31"/>
  <c r="B436" i="31"/>
  <c r="B435" i="31"/>
  <c r="B434" i="31"/>
  <c r="B433" i="31"/>
  <c r="H432" i="31"/>
  <c r="G432" i="31"/>
  <c r="F432" i="31"/>
  <c r="E432" i="31"/>
  <c r="D432" i="31"/>
  <c r="C432" i="31"/>
  <c r="B430" i="31"/>
  <c r="B429" i="31"/>
  <c r="B428" i="31"/>
  <c r="B427" i="31"/>
  <c r="B426" i="31"/>
  <c r="B425" i="31"/>
  <c r="B424" i="31"/>
  <c r="B423" i="31"/>
  <c r="H422" i="31"/>
  <c r="G422" i="31"/>
  <c r="F422" i="31"/>
  <c r="E422" i="31"/>
  <c r="D422" i="31"/>
  <c r="C422" i="31"/>
  <c r="B420" i="31"/>
  <c r="B419" i="31"/>
  <c r="B418" i="31"/>
  <c r="B417" i="31"/>
  <c r="B416" i="31"/>
  <c r="H415" i="31"/>
  <c r="G415" i="31"/>
  <c r="F415" i="31"/>
  <c r="E415" i="31"/>
  <c r="D415" i="31"/>
  <c r="C415" i="31"/>
  <c r="B413" i="31"/>
  <c r="B412" i="31"/>
  <c r="B411" i="31"/>
  <c r="B410" i="31"/>
  <c r="B409" i="31"/>
  <c r="B408" i="31"/>
  <c r="B407" i="31"/>
  <c r="B406" i="31"/>
  <c r="H405" i="31"/>
  <c r="G405" i="31"/>
  <c r="F405" i="31"/>
  <c r="E405" i="31"/>
  <c r="D405" i="31"/>
  <c r="C405" i="31"/>
  <c r="B403" i="31"/>
  <c r="B402" i="31"/>
  <c r="B401" i="31"/>
  <c r="B400" i="31"/>
  <c r="B399" i="31"/>
  <c r="H398" i="31"/>
  <c r="G398" i="31"/>
  <c r="F398" i="31"/>
  <c r="E398" i="31"/>
  <c r="D398" i="31"/>
  <c r="C398" i="31"/>
  <c r="B396" i="31"/>
  <c r="B395" i="31"/>
  <c r="B394" i="31"/>
  <c r="B393" i="31"/>
  <c r="B392" i="31"/>
  <c r="B391" i="31"/>
  <c r="B390" i="31"/>
  <c r="B389" i="31"/>
  <c r="B388" i="31"/>
  <c r="B387" i="31"/>
  <c r="H386" i="31"/>
  <c r="G386" i="31"/>
  <c r="F386" i="31"/>
  <c r="E386" i="31"/>
  <c r="D386" i="31"/>
  <c r="C386" i="31"/>
  <c r="B384" i="31"/>
  <c r="B383" i="31"/>
  <c r="B382" i="31"/>
  <c r="B381" i="31"/>
  <c r="B380" i="31"/>
  <c r="B379" i="31"/>
  <c r="B378" i="31"/>
  <c r="B377" i="31"/>
  <c r="H376" i="31"/>
  <c r="G376" i="31"/>
  <c r="F376" i="31"/>
  <c r="E376" i="31"/>
  <c r="D376" i="31"/>
  <c r="C376" i="31"/>
  <c r="B374" i="31"/>
  <c r="B373" i="31"/>
  <c r="B372" i="31"/>
  <c r="B371" i="31"/>
  <c r="B370" i="31"/>
  <c r="B369" i="31"/>
  <c r="B368" i="31"/>
  <c r="B367" i="31"/>
  <c r="B366" i="31"/>
  <c r="H365" i="31"/>
  <c r="G365" i="31"/>
  <c r="F365" i="31"/>
  <c r="E365" i="31"/>
  <c r="D365" i="31"/>
  <c r="C365" i="31"/>
  <c r="B363" i="31"/>
  <c r="B362" i="31"/>
  <c r="B361" i="31"/>
  <c r="B360" i="31"/>
  <c r="B359" i="31"/>
  <c r="H358" i="31"/>
  <c r="G358" i="31"/>
  <c r="F358" i="31"/>
  <c r="E358" i="31"/>
  <c r="D358" i="31"/>
  <c r="C358" i="31"/>
  <c r="B356" i="31"/>
  <c r="B355" i="31"/>
  <c r="B354" i="31"/>
  <c r="B353" i="31"/>
  <c r="B352" i="31"/>
  <c r="B351" i="31"/>
  <c r="B350" i="31"/>
  <c r="B349" i="31"/>
  <c r="B348" i="31"/>
  <c r="B347" i="31"/>
  <c r="B346" i="31"/>
  <c r="B345" i="31"/>
  <c r="B344" i="31"/>
  <c r="H343" i="31"/>
  <c r="G343" i="31"/>
  <c r="F343" i="31"/>
  <c r="E343" i="31"/>
  <c r="D343" i="31"/>
  <c r="C343" i="31"/>
  <c r="B341" i="31"/>
  <c r="B340" i="31"/>
  <c r="B339" i="31"/>
  <c r="B338" i="31"/>
  <c r="B337" i="31"/>
  <c r="B336" i="31"/>
  <c r="B335" i="31"/>
  <c r="B334" i="31"/>
  <c r="B333" i="31"/>
  <c r="B332" i="31"/>
  <c r="B331" i="31"/>
  <c r="B330" i="31"/>
  <c r="B329" i="31"/>
  <c r="B328" i="31"/>
  <c r="B327" i="31"/>
  <c r="B326" i="31"/>
  <c r="H325" i="31"/>
  <c r="G325" i="31"/>
  <c r="F325" i="31"/>
  <c r="E325" i="31"/>
  <c r="D325" i="31"/>
  <c r="C325" i="31"/>
  <c r="B323" i="31"/>
  <c r="B322" i="31"/>
  <c r="B321" i="31"/>
  <c r="B320" i="31"/>
  <c r="B319" i="31"/>
  <c r="B318" i="31"/>
  <c r="B317" i="31"/>
  <c r="B316" i="31"/>
  <c r="B315" i="31"/>
  <c r="B314" i="31"/>
  <c r="B313" i="31"/>
  <c r="B312" i="31"/>
  <c r="B311" i="31"/>
  <c r="H310" i="31"/>
  <c r="G310" i="31"/>
  <c r="F310" i="31"/>
  <c r="E310" i="31"/>
  <c r="D310" i="31"/>
  <c r="C310" i="31"/>
  <c r="B308" i="31"/>
  <c r="B307" i="31"/>
  <c r="B306" i="31"/>
  <c r="B305" i="31"/>
  <c r="B304" i="31"/>
  <c r="B303" i="31"/>
  <c r="B302" i="31"/>
  <c r="B301" i="31"/>
  <c r="B300" i="31"/>
  <c r="B299" i="31"/>
  <c r="B298" i="31"/>
  <c r="B297" i="31"/>
  <c r="B296" i="31"/>
  <c r="B295" i="31"/>
  <c r="H294" i="31"/>
  <c r="G294" i="31"/>
  <c r="F294" i="31"/>
  <c r="E294" i="31"/>
  <c r="D294" i="31"/>
  <c r="C294" i="31"/>
  <c r="B292" i="31"/>
  <c r="B291" i="31"/>
  <c r="B290" i="31"/>
  <c r="B289" i="31"/>
  <c r="B288" i="31"/>
  <c r="B287" i="31"/>
  <c r="B286" i="31"/>
  <c r="B285" i="31"/>
  <c r="B284" i="31"/>
  <c r="B283" i="31"/>
  <c r="B282" i="31"/>
  <c r="B281" i="31"/>
  <c r="B280" i="31"/>
  <c r="B279" i="31"/>
  <c r="B278" i="31"/>
  <c r="H277" i="31"/>
  <c r="G277" i="31"/>
  <c r="F277" i="31"/>
  <c r="E277" i="31"/>
  <c r="C277" i="31"/>
  <c r="B275" i="31"/>
  <c r="B274" i="31"/>
  <c r="B273" i="31"/>
  <c r="B272" i="31"/>
  <c r="B271" i="31"/>
  <c r="B270" i="31"/>
  <c r="B269" i="31"/>
  <c r="B268" i="31"/>
  <c r="B267" i="31"/>
  <c r="B266" i="31"/>
  <c r="B265" i="31"/>
  <c r="B264" i="31"/>
  <c r="B263" i="31"/>
  <c r="B262" i="31"/>
  <c r="H261" i="31"/>
  <c r="G261" i="31"/>
  <c r="F261" i="31"/>
  <c r="E261" i="31"/>
  <c r="D261" i="31"/>
  <c r="C261" i="31"/>
  <c r="B259" i="31"/>
  <c r="B244" i="31"/>
  <c r="B243" i="31"/>
  <c r="B242" i="31"/>
  <c r="B241" i="31"/>
  <c r="B240" i="31"/>
  <c r="B239" i="31"/>
  <c r="I238" i="31"/>
  <c r="H238" i="31"/>
  <c r="G238" i="31"/>
  <c r="F238" i="31"/>
  <c r="E238" i="31"/>
  <c r="D238" i="31"/>
  <c r="C238" i="31"/>
  <c r="B236" i="31"/>
  <c r="I235" i="31"/>
  <c r="H235" i="31"/>
  <c r="G235" i="31"/>
  <c r="F235" i="31"/>
  <c r="E235" i="31"/>
  <c r="D235" i="31"/>
  <c r="C235" i="31"/>
  <c r="B233" i="31"/>
  <c r="B232" i="31"/>
  <c r="B231" i="31"/>
  <c r="B230" i="31"/>
  <c r="B229" i="31"/>
  <c r="B228" i="31"/>
  <c r="B227" i="31"/>
  <c r="B226" i="31"/>
  <c r="B225" i="31"/>
  <c r="I224" i="31"/>
  <c r="H224" i="31"/>
  <c r="G224" i="31"/>
  <c r="F224" i="31"/>
  <c r="E224" i="31"/>
  <c r="D224" i="31"/>
  <c r="C224" i="31"/>
  <c r="B222" i="31"/>
  <c r="B221" i="31"/>
  <c r="B220" i="31"/>
  <c r="B219" i="31"/>
  <c r="B218" i="31"/>
  <c r="B217" i="31"/>
  <c r="B216" i="31"/>
  <c r="B215" i="31"/>
  <c r="B214" i="31"/>
  <c r="B213" i="31"/>
  <c r="I212" i="31"/>
  <c r="H212" i="31"/>
  <c r="G212" i="31"/>
  <c r="F212" i="31"/>
  <c r="E212" i="31"/>
  <c r="D212" i="31"/>
  <c r="C212" i="31"/>
  <c r="B210" i="31"/>
  <c r="B209" i="31"/>
  <c r="B208" i="31"/>
  <c r="B207" i="31"/>
  <c r="B206" i="31"/>
  <c r="B205" i="31"/>
  <c r="B204" i="31"/>
  <c r="B203" i="31"/>
  <c r="B202" i="31"/>
  <c r="B201" i="31"/>
  <c r="B200" i="31"/>
  <c r="B199" i="31"/>
  <c r="I198" i="31"/>
  <c r="H198" i="31"/>
  <c r="G198" i="31"/>
  <c r="F198" i="31"/>
  <c r="E198" i="31"/>
  <c r="D198" i="31"/>
  <c r="C198" i="31"/>
  <c r="B196" i="31"/>
  <c r="B195" i="31"/>
  <c r="B194" i="31"/>
  <c r="B193" i="31"/>
  <c r="B192" i="31"/>
  <c r="B191" i="31"/>
  <c r="B190" i="31"/>
  <c r="B189" i="31"/>
  <c r="B188" i="31"/>
  <c r="B187" i="31"/>
  <c r="B186" i="31"/>
  <c r="B185" i="31"/>
  <c r="B184" i="31"/>
  <c r="I183" i="31"/>
  <c r="H183" i="31"/>
  <c r="G183" i="31"/>
  <c r="F183" i="31"/>
  <c r="E183" i="31"/>
  <c r="D183" i="31"/>
  <c r="C183" i="31"/>
  <c r="B181" i="31"/>
  <c r="B180" i="31"/>
  <c r="B179" i="31"/>
  <c r="B178" i="31"/>
  <c r="B177" i="31"/>
  <c r="B176" i="31"/>
  <c r="B175" i="31"/>
  <c r="B174" i="31"/>
  <c r="I173" i="31"/>
  <c r="H173" i="31"/>
  <c r="G173" i="31"/>
  <c r="F173" i="31"/>
  <c r="E173" i="31"/>
  <c r="D173" i="31"/>
  <c r="C173" i="31"/>
  <c r="B171" i="31"/>
  <c r="B170" i="31"/>
  <c r="B169" i="31"/>
  <c r="B168" i="31"/>
  <c r="B167" i="31"/>
  <c r="I166" i="31"/>
  <c r="H166" i="31"/>
  <c r="G166" i="31"/>
  <c r="F166" i="31"/>
  <c r="E166" i="31"/>
  <c r="D166" i="31"/>
  <c r="C166" i="31"/>
  <c r="B164" i="31"/>
  <c r="B163" i="31"/>
  <c r="B162" i="31"/>
  <c r="B161" i="31"/>
  <c r="B160" i="31"/>
  <c r="B159" i="31"/>
  <c r="B158" i="31"/>
  <c r="B157" i="31"/>
  <c r="I156" i="31"/>
  <c r="H156" i="31"/>
  <c r="G156" i="31"/>
  <c r="F156" i="31"/>
  <c r="E156" i="31"/>
  <c r="D156" i="31"/>
  <c r="C156" i="31"/>
  <c r="B154" i="31"/>
  <c r="B153" i="31"/>
  <c r="B152" i="31"/>
  <c r="B151" i="31"/>
  <c r="B150" i="31"/>
  <c r="I149" i="31"/>
  <c r="H149" i="31"/>
  <c r="G149" i="31"/>
  <c r="F149" i="31"/>
  <c r="E149" i="31"/>
  <c r="D149" i="31"/>
  <c r="C149" i="31"/>
  <c r="B147" i="31"/>
  <c r="B146" i="31"/>
  <c r="B145" i="31"/>
  <c r="B144" i="31"/>
  <c r="B143" i="31"/>
  <c r="B142" i="31"/>
  <c r="B141" i="31"/>
  <c r="B140" i="31"/>
  <c r="B139" i="31"/>
  <c r="B138" i="31"/>
  <c r="I137" i="31"/>
  <c r="H137" i="31"/>
  <c r="G137" i="31"/>
  <c r="F137" i="31"/>
  <c r="E137" i="31"/>
  <c r="D137" i="31"/>
  <c r="C137" i="31"/>
  <c r="B135" i="31"/>
  <c r="B134" i="31"/>
  <c r="B133" i="31"/>
  <c r="B132" i="31"/>
  <c r="B131" i="31"/>
  <c r="B130" i="31"/>
  <c r="B129" i="31"/>
  <c r="B128" i="31"/>
  <c r="I127" i="31"/>
  <c r="H127" i="31"/>
  <c r="G127" i="31"/>
  <c r="F127" i="31"/>
  <c r="E127" i="31"/>
  <c r="D127" i="31"/>
  <c r="C127" i="31"/>
  <c r="B125" i="31"/>
  <c r="B124" i="31"/>
  <c r="B123" i="31"/>
  <c r="B122" i="31"/>
  <c r="B121" i="31"/>
  <c r="B120" i="31"/>
  <c r="B119" i="31"/>
  <c r="B118" i="31"/>
  <c r="B117" i="31"/>
  <c r="I116" i="31"/>
  <c r="H116" i="31"/>
  <c r="G116" i="31"/>
  <c r="F116" i="31"/>
  <c r="E116" i="31"/>
  <c r="D116" i="31"/>
  <c r="C116" i="31"/>
  <c r="B114" i="31"/>
  <c r="B113" i="31"/>
  <c r="B112" i="31"/>
  <c r="B111" i="31"/>
  <c r="B110" i="31"/>
  <c r="I109" i="31"/>
  <c r="H109" i="31"/>
  <c r="G109" i="31"/>
  <c r="F109" i="31"/>
  <c r="E109" i="31"/>
  <c r="D109" i="31"/>
  <c r="C109" i="31"/>
  <c r="B107" i="31"/>
  <c r="B106" i="31"/>
  <c r="B105" i="31"/>
  <c r="B104" i="31"/>
  <c r="B103" i="31"/>
  <c r="B102" i="31"/>
  <c r="B101" i="31"/>
  <c r="B100" i="31"/>
  <c r="B99" i="31"/>
  <c r="B98" i="31"/>
  <c r="B97" i="31"/>
  <c r="B96" i="31"/>
  <c r="B95" i="31"/>
  <c r="I94" i="31"/>
  <c r="H94" i="31"/>
  <c r="G94" i="31"/>
  <c r="F94" i="31"/>
  <c r="E94" i="31"/>
  <c r="D94" i="31"/>
  <c r="C94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I76" i="31"/>
  <c r="H76" i="31"/>
  <c r="G76" i="31"/>
  <c r="F76" i="31"/>
  <c r="E76" i="31"/>
  <c r="D76" i="31"/>
  <c r="C76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I61" i="31"/>
  <c r="H61" i="31"/>
  <c r="G61" i="31"/>
  <c r="F61" i="31"/>
  <c r="E61" i="31"/>
  <c r="D61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I45" i="31"/>
  <c r="H45" i="31"/>
  <c r="G45" i="31"/>
  <c r="F45" i="31"/>
  <c r="E45" i="31"/>
  <c r="D45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I28" i="31"/>
  <c r="H28" i="31"/>
  <c r="G28" i="31"/>
  <c r="F28" i="31"/>
  <c r="E28" i="31"/>
  <c r="D28" i="31"/>
  <c r="C28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I12" i="31"/>
  <c r="H12" i="31"/>
  <c r="G12" i="31"/>
  <c r="F12" i="31"/>
  <c r="E12" i="31"/>
  <c r="D12" i="31"/>
  <c r="B10" i="31"/>
  <c r="I11" i="31" l="1"/>
  <c r="I9" i="31" s="1"/>
  <c r="B116" i="31"/>
  <c r="B12" i="31"/>
  <c r="B76" i="31"/>
  <c r="H11" i="31"/>
  <c r="H9" i="31" s="1"/>
  <c r="B9" i="31" s="1"/>
  <c r="D11" i="31"/>
  <c r="D9" i="31" s="1"/>
  <c r="B61" i="31"/>
  <c r="B398" i="31"/>
  <c r="B94" i="31"/>
  <c r="B149" i="31"/>
  <c r="B212" i="31"/>
  <c r="G260" i="31"/>
  <c r="G258" i="31" s="1"/>
  <c r="B487" i="31"/>
  <c r="B28" i="31"/>
  <c r="B261" i="31"/>
  <c r="B473" i="31"/>
  <c r="B183" i="31"/>
  <c r="B358" i="31"/>
  <c r="B447" i="31"/>
  <c r="B294" i="31"/>
  <c r="E11" i="31"/>
  <c r="E9" i="31" s="1"/>
  <c r="B166" i="31"/>
  <c r="B238" i="31"/>
  <c r="H260" i="31"/>
  <c r="H258" i="31" s="1"/>
  <c r="B156" i="31"/>
  <c r="F260" i="31"/>
  <c r="F258" i="31" s="1"/>
  <c r="G11" i="31"/>
  <c r="G9" i="31" s="1"/>
  <c r="B127" i="31"/>
  <c r="B277" i="31"/>
  <c r="D260" i="31"/>
  <c r="D258" i="31" s="1"/>
  <c r="B365" i="31"/>
  <c r="B386" i="31"/>
  <c r="B461" i="31"/>
  <c r="B484" i="31"/>
  <c r="B198" i="31"/>
  <c r="B325" i="31"/>
  <c r="B343" i="31"/>
  <c r="B376" i="31"/>
  <c r="B109" i="31"/>
  <c r="B224" i="31"/>
  <c r="E260" i="31"/>
  <c r="E258" i="31" s="1"/>
  <c r="B432" i="31"/>
  <c r="F11" i="31"/>
  <c r="F9" i="31" s="1"/>
  <c r="B415" i="31"/>
  <c r="B137" i="31"/>
  <c r="B173" i="31"/>
  <c r="B235" i="31"/>
  <c r="B310" i="31"/>
  <c r="B405" i="31"/>
  <c r="B422" i="31"/>
  <c r="C260" i="31"/>
  <c r="B45" i="31"/>
  <c r="B11" i="31" l="1"/>
  <c r="B260" i="31"/>
  <c r="C258" i="31"/>
  <c r="B258" i="31" s="1"/>
</calcChain>
</file>

<file path=xl/sharedStrings.xml><?xml version="1.0" encoding="utf-8"?>
<sst xmlns="http://schemas.openxmlformats.org/spreadsheetml/2006/main" count="935" uniqueCount="438">
  <si>
    <t>Total</t>
  </si>
  <si>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</si>
  <si>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</si>
  <si>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</si>
  <si>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</si>
  <si>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</si>
  <si>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</si>
  <si>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cnwt</t>
  </si>
  <si>
    <t>HEALTH INSURANCE SCHEMES</t>
  </si>
  <si>
    <t>SINGLE PARENT ALLOWANCE</t>
  </si>
  <si>
    <t>FOSTER PARENT ALLOWANCE ALLOWANCE</t>
  </si>
  <si>
    <t>Aasandha</t>
  </si>
  <si>
    <t xml:space="preserve">Parent </t>
  </si>
  <si>
    <t>Children</t>
  </si>
  <si>
    <t xml:space="preserve">Children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</si>
  <si>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</si>
  <si>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</si>
  <si>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</si>
  <si>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</si>
  <si>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</si>
  <si>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</si>
  <si>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</si>
  <si>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</si>
  <si>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</si>
  <si>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</si>
  <si>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</si>
  <si>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</si>
  <si>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</si>
  <si>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</si>
  <si>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</si>
  <si>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</si>
  <si>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</si>
  <si>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</si>
  <si>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</si>
  <si>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</si>
  <si>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</si>
  <si>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</si>
  <si>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</si>
  <si>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</si>
  <si>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</si>
  <si>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</si>
  <si>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</si>
  <si>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</si>
  <si>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</si>
  <si>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</si>
  <si>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</si>
  <si>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</si>
  <si>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</si>
  <si>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</si>
  <si>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</si>
  <si>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</si>
  <si>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</si>
  <si>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</si>
  <si>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</si>
  <si>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</si>
  <si>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</si>
  <si>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</si>
  <si>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</si>
  <si>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</si>
  <si>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</si>
  <si>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</si>
  <si>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</si>
  <si>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</si>
  <si>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</si>
  <si>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Source: National Social Protection Agency</t>
  </si>
  <si>
    <t xml:space="preserve">މަޢުލޫމާތު ދެއްވީ: ނެޝަނަލް ސޯޝަލް ޕްރޮޓެކްޝަން އޭޖެންސީ </t>
  </si>
  <si>
    <t>EMERGENCY MEDICAL WELFARE</t>
  </si>
  <si>
    <t>DISABILITY ALLOWANCE</t>
  </si>
  <si>
    <t>އާސަންދަ</t>
  </si>
  <si>
    <t>Thuraakunu</t>
  </si>
  <si>
    <t>unukWrut</t>
  </si>
  <si>
    <t>Uligamu</t>
  </si>
  <si>
    <t>umwgilua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</si>
  <si>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</si>
  <si>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</si>
  <si>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</si>
  <si>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</si>
  <si>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</si>
  <si>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</si>
  <si>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</si>
  <si>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</si>
  <si>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</si>
  <si>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</si>
  <si>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</si>
  <si>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</si>
  <si>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</si>
  <si>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</si>
  <si>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</si>
  <si>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</si>
  <si>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</si>
  <si>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</si>
  <si>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</si>
  <si>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</si>
  <si>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</si>
  <si>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</si>
  <si>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</si>
  <si>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</si>
  <si>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</si>
  <si>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</si>
  <si>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</si>
  <si>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</si>
  <si>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</si>
  <si>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</si>
  <si>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</si>
  <si>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</si>
  <si>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</si>
  <si>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</si>
  <si>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</si>
  <si>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</si>
  <si>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</si>
  <si>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</si>
  <si>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</si>
  <si>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</si>
  <si>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</si>
  <si>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</si>
  <si>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</si>
  <si>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</si>
  <si>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</si>
  <si>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</si>
  <si>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</si>
  <si>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</si>
  <si>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</si>
  <si>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</si>
  <si>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</si>
  <si>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</si>
  <si>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</si>
  <si>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Udunukwm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</si>
  <si>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</si>
  <si>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</si>
  <si>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</si>
  <si>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</si>
  <si>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</si>
  <si>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</si>
  <si>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</si>
  <si>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</si>
  <si>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</si>
  <si>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</si>
  <si>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</si>
  <si>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</si>
  <si>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</si>
  <si>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</si>
  <si>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</si>
  <si>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</si>
  <si>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Maroshi</t>
  </si>
  <si>
    <t>iSorwm</t>
  </si>
  <si>
    <t>Lhaimagu</t>
  </si>
  <si>
    <t>ugwmiawL</t>
  </si>
  <si>
    <t>Komandhoo</t>
  </si>
  <si>
    <t>UDcnwmok</t>
  </si>
  <si>
    <t>Maaun'goodhoo</t>
  </si>
  <si>
    <t>UdUgnuaWm</t>
  </si>
  <si>
    <t>Funadhoo</t>
  </si>
  <si>
    <t>Udwnuf</t>
  </si>
  <si>
    <r>
      <t xml:space="preserve">Milandhoo </t>
    </r>
    <r>
      <rPr>
        <vertAlign val="superscript"/>
        <sz val="10"/>
        <color indexed="63"/>
        <rFont val="Calibri"/>
        <family val="2"/>
        <scheme val="minor"/>
      </rPr>
      <t>3_/</t>
    </r>
  </si>
  <si>
    <r>
      <t>3_/</t>
    </r>
    <r>
      <rPr>
        <sz val="10"/>
        <color indexed="63"/>
        <rFont val="A_Randhoo"/>
      </rPr>
      <t xml:space="preserve"> Udcnwlim</t>
    </r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</si>
  <si>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</si>
  <si>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</si>
  <si>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</si>
  <si>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</si>
  <si>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</si>
  <si>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</si>
  <si>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</si>
  <si>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</si>
  <si>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</si>
  <si>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</si>
  <si>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</si>
  <si>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</si>
  <si>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</si>
  <si>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</si>
  <si>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</si>
  <si>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</si>
  <si>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</si>
  <si>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</si>
  <si>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</si>
  <si>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</si>
  <si>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</si>
  <si>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</si>
  <si>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</si>
  <si>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</si>
  <si>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</si>
  <si>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</si>
  <si>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</si>
  <si>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</si>
  <si>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</si>
  <si>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</si>
  <si>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</si>
  <si>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</si>
  <si>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</si>
  <si>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</si>
  <si>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</si>
  <si>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</si>
  <si>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r>
      <t xml:space="preserve">Kandolhudhoo </t>
    </r>
    <r>
      <rPr>
        <vertAlign val="superscript"/>
        <sz val="10"/>
        <color indexed="63"/>
        <rFont val="Calibri"/>
        <family val="2"/>
        <scheme val="minor"/>
      </rPr>
      <t xml:space="preserve"> 2_/</t>
    </r>
  </si>
  <si>
    <r>
      <t>2_/</t>
    </r>
    <r>
      <rPr>
        <sz val="10"/>
        <color indexed="63"/>
        <rFont val="A_Randhoo"/>
      </rPr>
      <t xml:space="preserve"> UduLodnwk</t>
    </r>
  </si>
  <si>
    <r>
      <t xml:space="preserve">Dhuvaafaru  </t>
    </r>
    <r>
      <rPr>
        <sz val="10"/>
        <color indexed="63"/>
        <rFont val="Calibri"/>
        <family val="2"/>
        <scheme val="minor"/>
      </rPr>
      <t>3_/</t>
    </r>
  </si>
  <si>
    <t>3_/ urwfWvud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</si>
  <si>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</si>
  <si>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</si>
  <si>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</si>
  <si>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</si>
  <si>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</si>
  <si>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</si>
  <si>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</si>
  <si>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</si>
  <si>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</si>
  <si>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</si>
  <si>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</si>
  <si>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</si>
  <si>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</si>
  <si>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</si>
  <si>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</si>
  <si>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</si>
  <si>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</si>
  <si>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</si>
  <si>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</si>
  <si>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</si>
  <si>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</si>
  <si>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</si>
  <si>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</si>
  <si>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</si>
  <si>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</si>
  <si>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</si>
  <si>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</si>
  <si>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</si>
  <si>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</si>
  <si>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</si>
  <si>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</si>
  <si>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</si>
  <si>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</si>
  <si>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</si>
  <si>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</si>
  <si>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</si>
  <si>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</si>
  <si>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</si>
  <si>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</si>
  <si>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</si>
  <si>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</si>
  <si>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</si>
  <si>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</si>
  <si>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</si>
  <si>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</si>
  <si>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</si>
  <si>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</si>
  <si>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</si>
  <si>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</si>
  <si>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</si>
  <si>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</si>
  <si>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</si>
  <si>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</si>
  <si>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</si>
  <si>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</si>
  <si>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</si>
  <si>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</si>
  <si>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</si>
  <si>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</si>
  <si>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</si>
  <si>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</si>
  <si>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</si>
  <si>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</si>
  <si>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</si>
  <si>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</si>
  <si>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</si>
  <si>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</si>
  <si>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</si>
  <si>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</si>
  <si>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</si>
  <si>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</si>
  <si>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</si>
  <si>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</si>
  <si>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</si>
  <si>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</si>
  <si>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</si>
  <si>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</si>
  <si>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</si>
  <si>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</si>
  <si>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</si>
  <si>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</si>
  <si>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</si>
  <si>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</si>
  <si>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</si>
  <si>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</si>
  <si>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</si>
  <si>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</si>
  <si>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</si>
  <si>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</si>
  <si>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</si>
  <si>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</si>
  <si>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</si>
  <si>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</si>
  <si>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</si>
  <si>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</si>
  <si>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</si>
  <si>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</si>
  <si>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</si>
  <si>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</si>
  <si>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</si>
  <si>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</si>
  <si>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</si>
  <si>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</si>
  <si>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</si>
  <si>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</si>
  <si>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</si>
  <si>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</si>
  <si>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</si>
  <si>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</si>
  <si>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</si>
  <si>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Raiymandhoo</t>
  </si>
  <si>
    <t>Udcnwmctwr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</si>
  <si>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</si>
  <si>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</si>
  <si>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</si>
  <si>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</si>
  <si>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</si>
  <si>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</si>
  <si>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</si>
  <si>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</si>
  <si>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</si>
  <si>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</si>
  <si>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</si>
  <si>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</si>
  <si>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</si>
  <si>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</si>
  <si>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</si>
  <si>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</si>
  <si>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</si>
  <si>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</si>
  <si>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</si>
  <si>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</si>
  <si>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Ban'didhoo</t>
  </si>
  <si>
    <t>UdiDnwb</t>
  </si>
  <si>
    <t>Rin'budhoo</t>
  </si>
  <si>
    <t>Udubnir</t>
  </si>
  <si>
    <t>Hulhudeli</t>
  </si>
  <si>
    <t>ileduLuh</t>
  </si>
  <si>
    <r>
      <t>Gemendhoo</t>
    </r>
    <r>
      <rPr>
        <vertAlign val="superscript"/>
        <sz val="10"/>
        <color indexed="63"/>
        <rFont val="Calibri"/>
        <family val="2"/>
        <scheme val="minor"/>
      </rPr>
      <t xml:space="preserve"> 2_/</t>
    </r>
  </si>
  <si>
    <r>
      <t>2_/</t>
    </r>
    <r>
      <rPr>
        <sz val="10"/>
        <color indexed="63"/>
        <rFont val="A_Randhoo"/>
      </rPr>
      <t xml:space="preserve"> Udcnemeg</t>
    </r>
  </si>
  <si>
    <t>Vaani</t>
  </si>
  <si>
    <t>inWv</t>
  </si>
  <si>
    <t>Maaen'boodhoo</t>
  </si>
  <si>
    <t>UdUbneaWm</t>
  </si>
  <si>
    <t>Kudahuvadhoo</t>
  </si>
  <si>
    <t>UdwvuhwDuk</t>
  </si>
  <si>
    <t>Buruni</t>
  </si>
  <si>
    <t>inurub</t>
  </si>
  <si>
    <r>
      <t xml:space="preserve">Vilufushi </t>
    </r>
    <r>
      <rPr>
        <vertAlign val="superscript"/>
        <sz val="10"/>
        <color indexed="63"/>
        <rFont val="Calibri"/>
        <family val="2"/>
        <scheme val="minor"/>
      </rPr>
      <t>2_/</t>
    </r>
  </si>
  <si>
    <r>
      <t>2_/</t>
    </r>
    <r>
      <rPr>
        <sz val="10"/>
        <color indexed="63"/>
        <rFont val="A_Randhoo"/>
      </rPr>
      <t xml:space="preserve"> iSufuliv</t>
    </r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</si>
  <si>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</si>
  <si>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</si>
  <si>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</si>
  <si>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</si>
  <si>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</si>
  <si>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</si>
  <si>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</si>
  <si>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</si>
  <si>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</si>
  <si>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</si>
  <si>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</si>
  <si>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</si>
  <si>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</si>
  <si>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</si>
  <si>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</si>
  <si>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</si>
  <si>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</si>
  <si>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</si>
  <si>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</si>
  <si>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</si>
  <si>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</si>
  <si>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</si>
  <si>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</si>
  <si>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</si>
  <si>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</si>
  <si>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</si>
  <si>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Kalhaidhoo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</si>
  <si>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</si>
  <si>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</si>
  <si>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</si>
  <si>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</si>
  <si>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</si>
  <si>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</si>
  <si>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</si>
  <si>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</si>
  <si>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</si>
  <si>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</si>
  <si>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</si>
  <si>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</si>
  <si>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</si>
  <si>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</si>
  <si>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</si>
  <si>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Kolamaafushi</t>
  </si>
  <si>
    <t>iSufWmwlok</t>
  </si>
  <si>
    <t>Viligili</t>
  </si>
  <si>
    <t>iligiliv</t>
  </si>
  <si>
    <t>Dhaandhoo</t>
  </si>
  <si>
    <t>UdcnWd</t>
  </si>
  <si>
    <t>Devvadhoo</t>
  </si>
  <si>
    <t>Udwvcaed</t>
  </si>
  <si>
    <t>Kodey</t>
  </si>
  <si>
    <t>EDnok</t>
  </si>
  <si>
    <t xml:space="preserve">Dhiyadhoo 2_/  </t>
  </si>
  <si>
    <t xml:space="preserve"> 1_/ Udwyid</t>
  </si>
  <si>
    <t>Gemanafushi</t>
  </si>
  <si>
    <t>iSufwnwmeg</t>
  </si>
  <si>
    <t>Kandhuhulhudhoo</t>
  </si>
  <si>
    <t>UduLuhuDnwk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</si>
  <si>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</si>
  <si>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</si>
  <si>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</si>
  <si>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</si>
  <si>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</si>
  <si>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</si>
  <si>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</si>
  <si>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</si>
  <si>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</si>
  <si>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</si>
  <si>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</si>
  <si>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</si>
  <si>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</si>
  <si>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</si>
  <si>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Fuvahmulah</t>
  </si>
  <si>
    <t>cawlumcawvuf</t>
  </si>
  <si>
    <t>Maradhoo</t>
  </si>
  <si>
    <t>Udwrwm</t>
  </si>
  <si>
    <t>Maradhoofeydhoo</t>
  </si>
  <si>
    <t>UdEfUdwrwm</t>
  </si>
  <si>
    <t>Hulhudhoo</t>
  </si>
  <si>
    <t>UduLuh</t>
  </si>
  <si>
    <r>
      <rPr>
        <i/>
        <vertAlign val="superscript"/>
        <sz val="9"/>
        <color theme="1" tint="0.14996795556505021"/>
        <rFont val="Calibri"/>
        <family val="2"/>
        <scheme val="minor"/>
      </rPr>
      <t>1_/</t>
    </r>
    <r>
      <rPr>
        <i/>
        <sz val="9"/>
        <color theme="1" tint="0.14999847407452621"/>
        <rFont val="Calibri"/>
        <family val="2"/>
        <scheme val="minor"/>
      </rPr>
      <t xml:space="preserve"> Population relocated to other islands under population consolidation programme</t>
    </r>
  </si>
  <si>
    <r>
      <t xml:space="preserve">iawfevulwdwb cSwSwrcSwrcnehea cnuhIm cnuSwd egcmWrcgorcp egumurukcswfcaea IdWbWa </t>
    </r>
    <r>
      <rPr>
        <vertAlign val="superscript"/>
        <sz val="9"/>
        <color theme="1" tint="0.14996795556505021"/>
        <rFont val="A_Randhoo"/>
      </rPr>
      <t>1_/</t>
    </r>
  </si>
  <si>
    <r>
      <rPr>
        <i/>
        <vertAlign val="superscript"/>
        <sz val="9"/>
        <color theme="1" tint="0.14996795556505021"/>
        <rFont val="Calibri"/>
        <family val="2"/>
        <scheme val="minor"/>
      </rPr>
      <t>2_/</t>
    </r>
    <r>
      <rPr>
        <i/>
        <sz val="9"/>
        <color theme="1" tint="0.14999847407452621"/>
        <rFont val="Calibri"/>
        <family val="2"/>
        <scheme val="minor"/>
      </rPr>
      <t xml:space="preserve"> Population displaced to other islands due to tsunami </t>
    </r>
  </si>
  <si>
    <r>
      <t xml:space="preserve">iawfevulwdwb cSwSwrcSwrcnehea cnuhIm cnegiLugiaWaImWnus </t>
    </r>
    <r>
      <rPr>
        <vertAlign val="superscript"/>
        <sz val="9"/>
        <color theme="1" tint="0.14996795556505021"/>
        <rFont val="A_Randhoo"/>
      </rPr>
      <t>2_/</t>
    </r>
  </si>
  <si>
    <r>
      <rPr>
        <i/>
        <vertAlign val="superscript"/>
        <sz val="9"/>
        <color theme="1" tint="0.14996795556505021"/>
        <rFont val="Calibri"/>
        <family val="2"/>
        <scheme val="minor"/>
      </rPr>
      <t>3_/</t>
    </r>
    <r>
      <rPr>
        <i/>
        <sz val="9"/>
        <color theme="1" tint="0.14999847407452621"/>
        <rFont val="Calibri"/>
        <family val="2"/>
        <scheme val="minor"/>
      </rPr>
      <t xml:space="preserve"> Newly inhabited under population consolidation programme</t>
    </r>
  </si>
  <si>
    <r>
      <t xml:space="preserve">iawfiverukudWbWa cSwlwa cnuSwd egcmWrcgorcp egumurukcswfcaea IdWbWa </t>
    </r>
    <r>
      <rPr>
        <vertAlign val="superscript"/>
        <sz val="9"/>
        <color theme="1" tint="0.14996795556505021"/>
        <rFont val="A_Randhoo"/>
      </rPr>
      <t>3_/</t>
    </r>
  </si>
  <si>
    <t>ތާވަލް 18.15: އިޖްތިމާއީ ރައްކާތެރިކަމުގެ ދަށުން ރަށްރަށުން ޙިދުމަތްދެވިފައިވާ މީހުންގެ އަދަދު، 2014</t>
  </si>
  <si>
    <t>Table 18.15 :  NUMBER OF PERSONS COVERED UNDER DIFFERENT SOCIAL PROTECTION SCHEMES BY ISLAND,  2014</t>
  </si>
  <si>
    <t>Table 18.17 :  NUMBER OF PERSONS COVERED UNDER DIFFERENT SOCIAL PROTECTION SCHEMES BY ISLAND,  2015</t>
  </si>
  <si>
    <t>ތާވަލް 18.17: އިޖްތިމާއީ ރައްކާތެރިކަމުގެ ދަށުން ރަށްރަށުން ޙިދުމަތްދެވިފައިވާ މީހުންގެ އަދަދު، 2015</t>
  </si>
  <si>
    <t>އިމަޖެންސީ ވެލްފެއަރ އެހީގެ މައުލޫމާތު އެއްކުރެވިފައި ނުވޭ</t>
  </si>
  <si>
    <t xml:space="preserve">Emergency medical welfare data was not  available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</si>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</sst>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8" formatCode="General_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Faruma"/>
    </font>
    <font>
      <sz val="10"/>
      <name val="Arial"/>
      <family val="2"/>
    </font>
    <font>
      <b/>
      <sz val="9"/>
      <color theme="1" tint="0.14999847407452621"/>
      <name val="Calibri"/>
      <family val="2"/>
      <scheme val="minor"/>
    </font>
    <font>
      <b/>
      <sz val="9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_Randhoo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b/>
      <sz val="10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A_Randhoo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8"/>
      <color theme="1" tint="0.14999847407452621"/>
      <name val="Calibri"/>
      <family val="2"/>
      <scheme val="minor"/>
    </font>
    <font>
      <b/>
      <sz val="10"/>
      <name val="Arial"/>
      <family val="2"/>
    </font>
    <font>
      <b/>
      <sz val="10"/>
      <color theme="1" tint="0.14999847407452621"/>
      <name val="A_Randhoo"/>
    </font>
    <font>
      <sz val="10"/>
      <color rgb="FFFF0000"/>
      <name val="Calibri"/>
      <family val="2"/>
      <scheme val="minor"/>
    </font>
    <font>
      <vertAlign val="superscript"/>
      <sz val="10"/>
      <color indexed="63"/>
      <name val="Calibri"/>
      <family val="2"/>
      <scheme val="minor"/>
    </font>
    <font>
      <vertAlign val="superscript"/>
      <sz val="10"/>
      <color theme="1" tint="0.14999847407452621"/>
      <name val="Arial"/>
      <family val="2"/>
    </font>
    <font>
      <sz val="10"/>
      <color indexed="63"/>
      <name val="A_Randhoo"/>
    </font>
    <font>
      <sz val="10"/>
      <color indexed="63"/>
      <name val="Calibri"/>
      <family val="2"/>
      <scheme val="minor"/>
    </font>
    <font>
      <i/>
      <sz val="10"/>
      <color theme="1" tint="0.14999847407452621"/>
      <name val="Calibri"/>
      <family val="2"/>
      <scheme val="minor"/>
    </font>
    <font>
      <b/>
      <i/>
      <sz val="10"/>
      <color theme="1" tint="0.14999847407452621"/>
      <name val="Calibri"/>
      <family val="2"/>
      <scheme val="minor"/>
    </font>
    <font>
      <i/>
      <sz val="9"/>
      <color theme="1" tint="0.14999847407452621"/>
      <name val="Calibri"/>
      <family val="2"/>
      <scheme val="minor"/>
    </font>
    <font>
      <i/>
      <vertAlign val="superscript"/>
      <sz val="9"/>
      <color theme="1" tint="0.14996795556505021"/>
      <name val="Calibri"/>
      <family val="2"/>
      <scheme val="minor"/>
    </font>
    <font>
      <sz val="9"/>
      <color theme="1" tint="0.14999847407452621"/>
      <name val="A_Randhoo"/>
    </font>
    <font>
      <vertAlign val="superscript"/>
      <sz val="9"/>
      <color theme="1" tint="0.14996795556505021"/>
      <name val="A_Randhoo"/>
    </font>
    <font>
      <sz val="9"/>
      <color theme="1"/>
      <name val="Calibri"/>
      <family val="2"/>
      <charset val="1"/>
      <scheme val="minor"/>
    </font>
    <font>
      <b/>
      <sz val="8"/>
      <color theme="1"/>
      <name val="Calibri"/>
      <family val="2"/>
      <scheme val="minor"/>
    </font>
    <font>
      <i/>
      <sz val="8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8"/>
      <color theme="1" tint="0.1499984740745262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4" fontId="10" fillId="0" borderId="0"/>
    <xf numFmtId="41" fontId="1" fillId="0" borderId="0" applyFont="0" applyFill="0" applyBorder="0" applyAlignment="0" applyProtection="0"/>
    <xf numFmtId="0" fontId="10" fillId="0" borderId="0"/>
    <xf numFmtId="0" fontId="4" fillId="0" borderId="0"/>
  </cellStyleXfs>
  <cellXfs count="117">
    <xf numFmtId="0" fontId="0" fillId="0" borderId="0" xfId="0"/>
    <xf numFmtId="0" fontId="0" fillId="2" borderId="0" xfId="0" applyFill="1"/>
    <xf numFmtId="0" fontId="9" fillId="2" borderId="0" xfId="0" applyFont="1" applyFill="1"/>
    <xf numFmtId="0" fontId="7" fillId="2" borderId="0" xfId="0" applyFont="1" applyFill="1" applyAlignment="1">
      <alignment vertical="center"/>
    </xf>
    <xf numFmtId="3" fontId="13" fillId="2" borderId="0" xfId="2" applyNumberFormat="1" applyFont="1" applyFill="1"/>
    <xf numFmtId="168" fontId="18" fillId="2" borderId="0" xfId="3" applyNumberFormat="1" applyFont="1" applyFill="1" applyBorder="1" applyAlignment="1">
      <alignment horizontal="right" vertical="center" wrapText="1"/>
    </xf>
    <xf numFmtId="168" fontId="18" fillId="2" borderId="7" xfId="3" applyNumberFormat="1" applyFont="1" applyFill="1" applyBorder="1" applyAlignment="1">
      <alignment horizontal="right" vertical="center" wrapText="1"/>
    </xf>
    <xf numFmtId="168" fontId="18" fillId="2" borderId="3" xfId="3" applyNumberFormat="1" applyFont="1" applyFill="1" applyBorder="1" applyAlignment="1">
      <alignment horizontal="right" vertical="center" wrapText="1"/>
    </xf>
    <xf numFmtId="168" fontId="0" fillId="2" borderId="0" xfId="0" applyNumberFormat="1" applyFill="1"/>
    <xf numFmtId="168" fontId="18" fillId="2" borderId="0" xfId="3" applyNumberFormat="1" applyFont="1" applyFill="1" applyBorder="1" applyAlignment="1" applyProtection="1">
      <alignment horizontal="left" vertical="center"/>
    </xf>
    <xf numFmtId="37" fontId="18" fillId="2" borderId="0" xfId="1" applyNumberFormat="1" applyFont="1" applyFill="1" applyBorder="1" applyAlignment="1" applyProtection="1">
      <alignment horizontal="right" vertical="center"/>
    </xf>
    <xf numFmtId="3" fontId="22" fillId="2" borderId="0" xfId="2" applyNumberFormat="1" applyFont="1" applyFill="1" applyBorder="1" applyAlignment="1" applyProtection="1">
      <alignment horizontal="right" vertical="center"/>
    </xf>
    <xf numFmtId="3" fontId="23" fillId="2" borderId="0" xfId="2" applyNumberFormat="1" applyFont="1" applyFill="1"/>
    <xf numFmtId="37" fontId="21" fillId="2" borderId="0" xfId="1" applyNumberFormat="1" applyFont="1" applyFill="1" applyAlignment="1">
      <alignment horizontal="right" vertical="center"/>
    </xf>
    <xf numFmtId="3" fontId="24" fillId="2" borderId="0" xfId="2" applyNumberFormat="1" applyFont="1" applyFill="1"/>
    <xf numFmtId="3" fontId="27" fillId="2" borderId="0" xfId="2" applyNumberFormat="1" applyFont="1" applyFill="1" applyBorder="1" applyAlignment="1" applyProtection="1">
      <alignment horizontal="right" vertical="center"/>
    </xf>
    <xf numFmtId="3" fontId="24" fillId="2" borderId="0" xfId="2" applyNumberFormat="1" applyFont="1" applyFill="1" applyBorder="1"/>
    <xf numFmtId="3" fontId="24" fillId="2" borderId="1" xfId="2" applyNumberFormat="1" applyFont="1" applyFill="1" applyBorder="1"/>
    <xf numFmtId="3" fontId="27" fillId="2" borderId="1" xfId="2" applyNumberFormat="1" applyFont="1" applyFill="1" applyBorder="1" applyAlignment="1" applyProtection="1">
      <alignment horizontal="right" vertical="center"/>
    </xf>
    <xf numFmtId="168" fontId="28" fillId="2" borderId="0" xfId="3" applyNumberFormat="1" applyFont="1" applyFill="1" applyBorder="1" applyAlignment="1" applyProtection="1">
      <alignment horizontal="left" vertical="center"/>
    </xf>
    <xf numFmtId="168" fontId="29" fillId="2" borderId="0" xfId="5" applyNumberFormat="1" applyFont="1" applyFill="1" applyAlignment="1">
      <alignment horizontal="right" vertical="center"/>
    </xf>
    <xf numFmtId="37" fontId="21" fillId="2" borderId="7" xfId="1" applyNumberFormat="1" applyFont="1" applyFill="1" applyBorder="1" applyAlignment="1">
      <alignment horizontal="right" vertical="center"/>
    </xf>
    <xf numFmtId="37" fontId="26" fillId="2" borderId="0" xfId="1" applyNumberFormat="1" applyFont="1" applyFill="1" applyAlignment="1">
      <alignment horizontal="right" vertical="center"/>
    </xf>
    <xf numFmtId="0" fontId="30" fillId="2" borderId="0" xfId="0" applyFont="1" applyFill="1"/>
    <xf numFmtId="0" fontId="31" fillId="2" borderId="0" xfId="0" applyFont="1" applyFill="1"/>
    <xf numFmtId="0" fontId="30" fillId="2" borderId="0" xfId="0" applyFont="1" applyFill="1" applyAlignment="1">
      <alignment horizontal="right"/>
    </xf>
    <xf numFmtId="0" fontId="21" fillId="2" borderId="0" xfId="0" applyFont="1" applyFill="1" applyAlignment="1">
      <alignment horizontal="right" vertical="center"/>
    </xf>
    <xf numFmtId="0" fontId="6" fillId="2" borderId="2" xfId="0" applyFont="1" applyFill="1" applyBorder="1"/>
    <xf numFmtId="0" fontId="6" fillId="2" borderId="0" xfId="0" applyFont="1" applyFill="1" applyBorder="1"/>
    <xf numFmtId="168" fontId="17" fillId="2" borderId="0" xfId="0" applyNumberFormat="1" applyFont="1" applyFill="1" applyBorder="1"/>
    <xf numFmtId="168" fontId="18" fillId="2" borderId="1" xfId="3" applyNumberFormat="1" applyFont="1" applyFill="1" applyBorder="1" applyAlignment="1">
      <alignment horizontal="right" vertical="center" wrapText="1"/>
    </xf>
    <xf numFmtId="168" fontId="32" fillId="2" borderId="0" xfId="0" applyNumberFormat="1" applyFont="1" applyFill="1"/>
    <xf numFmtId="3" fontId="33" fillId="2" borderId="0" xfId="2" applyNumberFormat="1" applyFont="1" applyFill="1" applyBorder="1"/>
    <xf numFmtId="168" fontId="32" fillId="2" borderId="0" xfId="0" applyNumberFormat="1" applyFont="1" applyFill="1" applyBorder="1"/>
    <xf numFmtId="168" fontId="34" fillId="2" borderId="1" xfId="3" applyNumberFormat="1" applyFont="1" applyFill="1" applyBorder="1" applyAlignment="1" applyProtection="1">
      <alignment horizontal="left" vertical="center"/>
    </xf>
    <xf numFmtId="168" fontId="19" fillId="2" borderId="1" xfId="3" applyNumberFormat="1" applyFont="1" applyFill="1" applyBorder="1" applyAlignment="1">
      <alignment horizontal="right" vertical="top" wrapText="1"/>
    </xf>
    <xf numFmtId="168" fontId="19" fillId="2" borderId="5" xfId="3" applyNumberFormat="1" applyFont="1" applyFill="1" applyBorder="1" applyAlignment="1">
      <alignment horizontal="right" vertical="top" wrapText="1"/>
    </xf>
    <xf numFmtId="168" fontId="19" fillId="2" borderId="4" xfId="3" applyNumberFormat="1" applyFont="1" applyFill="1" applyBorder="1" applyAlignment="1">
      <alignment horizontal="right" vertical="top" wrapText="1"/>
    </xf>
    <xf numFmtId="37" fontId="18" fillId="2" borderId="9" xfId="1" applyNumberFormat="1" applyFont="1" applyFill="1" applyBorder="1" applyAlignment="1" applyProtection="1">
      <alignment horizontal="right" vertical="center"/>
    </xf>
    <xf numFmtId="37" fontId="18" fillId="2" borderId="8" xfId="1" applyNumberFormat="1" applyFont="1" applyFill="1" applyBorder="1" applyAlignment="1" applyProtection="1">
      <alignment horizontal="right" vertical="center"/>
    </xf>
    <xf numFmtId="168" fontId="31" fillId="2" borderId="0" xfId="0" applyNumberFormat="1" applyFont="1" applyFill="1"/>
    <xf numFmtId="3" fontId="35" fillId="2" borderId="0" xfId="2" applyNumberFormat="1" applyFont="1" applyFill="1" applyBorder="1" applyAlignment="1" applyProtection="1">
      <alignment horizontal="right" vertical="center"/>
    </xf>
    <xf numFmtId="168" fontId="30" fillId="2" borderId="0" xfId="0" applyNumberFormat="1" applyFont="1" applyFill="1"/>
    <xf numFmtId="37" fontId="23" fillId="2" borderId="0" xfId="1" applyNumberFormat="1" applyFont="1" applyFill="1" applyAlignment="1">
      <alignment horizontal="right"/>
    </xf>
    <xf numFmtId="37" fontId="26" fillId="2" borderId="9" xfId="1" applyNumberFormat="1" applyFont="1" applyFill="1" applyBorder="1" applyAlignment="1">
      <alignment horizontal="right" vertical="center"/>
    </xf>
    <xf numFmtId="168" fontId="30" fillId="2" borderId="0" xfId="0" applyNumberFormat="1" applyFont="1" applyFill="1" applyAlignment="1">
      <alignment horizontal="right"/>
    </xf>
    <xf numFmtId="37" fontId="21" fillId="2" borderId="9" xfId="1" applyNumberFormat="1" applyFont="1" applyFill="1" applyBorder="1" applyAlignment="1">
      <alignment horizontal="right" vertical="center"/>
    </xf>
    <xf numFmtId="37" fontId="23" fillId="2" borderId="0" xfId="1" applyNumberFormat="1" applyFont="1" applyFill="1" applyBorder="1" applyAlignment="1">
      <alignment horizontal="right"/>
    </xf>
    <xf numFmtId="37" fontId="36" fillId="2" borderId="0" xfId="1" applyNumberFormat="1" applyFont="1" applyFill="1" applyAlignment="1">
      <alignment horizontal="right" vertical="center"/>
    </xf>
    <xf numFmtId="3" fontId="38" fillId="2" borderId="0" xfId="2" applyNumberFormat="1" applyFont="1" applyFill="1" applyBorder="1" applyAlignment="1" applyProtection="1">
      <alignment horizontal="right" vertical="center"/>
    </xf>
    <xf numFmtId="37" fontId="25" fillId="2" borderId="9" xfId="1" applyNumberFormat="1" applyFont="1" applyFill="1" applyBorder="1" applyAlignment="1">
      <alignment horizontal="right" vertical="center"/>
    </xf>
    <xf numFmtId="168" fontId="30" fillId="2" borderId="0" xfId="0" applyNumberFormat="1" applyFont="1" applyFill="1" applyBorder="1"/>
    <xf numFmtId="37" fontId="26" fillId="2" borderId="0" xfId="1" applyNumberFormat="1" applyFont="1" applyFill="1" applyBorder="1" applyAlignment="1">
      <alignment horizontal="right" vertical="center"/>
    </xf>
    <xf numFmtId="3" fontId="24" fillId="2" borderId="0" xfId="2" applyNumberFormat="1" applyFont="1" applyFill="1" applyAlignment="1">
      <alignment vertical="center"/>
    </xf>
    <xf numFmtId="3" fontId="27" fillId="2" borderId="0" xfId="2" applyNumberFormat="1" applyFont="1" applyFill="1" applyAlignment="1">
      <alignment horizontal="right" vertical="center"/>
    </xf>
    <xf numFmtId="168" fontId="30" fillId="2" borderId="0" xfId="0" applyNumberFormat="1" applyFont="1" applyFill="1" applyBorder="1" applyAlignment="1">
      <alignment horizontal="right"/>
    </xf>
    <xf numFmtId="3" fontId="23" fillId="2" borderId="0" xfId="2" applyNumberFormat="1" applyFont="1" applyFill="1" applyBorder="1"/>
    <xf numFmtId="3" fontId="41" fillId="2" borderId="0" xfId="2" applyNumberFormat="1" applyFont="1" applyFill="1" applyAlignment="1">
      <alignment vertical="center"/>
    </xf>
    <xf numFmtId="37" fontId="42" fillId="2" borderId="0" xfId="1" applyNumberFormat="1" applyFont="1" applyFill="1" applyAlignment="1">
      <alignment horizontal="right" vertical="center"/>
    </xf>
    <xf numFmtId="0" fontId="30" fillId="2" borderId="0" xfId="0" applyFont="1" applyFill="1" applyBorder="1"/>
    <xf numFmtId="37" fontId="18" fillId="2" borderId="1" xfId="1" applyNumberFormat="1" applyFont="1" applyFill="1" applyBorder="1" applyAlignment="1" applyProtection="1">
      <alignment horizontal="right" vertical="center"/>
    </xf>
    <xf numFmtId="3" fontId="43" fillId="2" borderId="0" xfId="2" applyNumberFormat="1" applyFont="1" applyFill="1" applyAlignment="1">
      <alignment vertical="center"/>
    </xf>
    <xf numFmtId="3" fontId="5" fillId="2" borderId="0" xfId="2" applyNumberFormat="1" applyFont="1" applyFill="1"/>
    <xf numFmtId="168" fontId="8" fillId="2" borderId="0" xfId="0" applyNumberFormat="1" applyFont="1" applyFill="1" applyAlignment="1">
      <alignment horizontal="center" vertical="center"/>
    </xf>
    <xf numFmtId="168" fontId="8" fillId="2" borderId="0" xfId="0" applyNumberFormat="1" applyFont="1" applyFill="1" applyAlignment="1">
      <alignment horizontal="right" vertical="center"/>
    </xf>
    <xf numFmtId="168" fontId="11" fillId="2" borderId="0" xfId="0" applyNumberFormat="1" applyFont="1" applyFill="1" applyAlignment="1">
      <alignment horizontal="right" vertical="center"/>
    </xf>
    <xf numFmtId="0" fontId="45" fillId="2" borderId="0" xfId="2" applyFont="1" applyFill="1" applyAlignment="1">
      <alignment horizontal="right" vertical="center"/>
    </xf>
    <xf numFmtId="0" fontId="47" fillId="2" borderId="0" xfId="0" applyFont="1" applyFill="1"/>
    <xf numFmtId="0" fontId="47" fillId="2" borderId="0" xfId="0" applyFont="1" applyFill="1" applyAlignment="1">
      <alignment horizontal="right"/>
    </xf>
    <xf numFmtId="0" fontId="11" fillId="2" borderId="0" xfId="0" applyFont="1" applyFill="1" applyAlignment="1">
      <alignment horizontal="right" vertical="center"/>
    </xf>
    <xf numFmtId="37" fontId="25" fillId="2" borderId="3" xfId="1" applyNumberFormat="1" applyFont="1" applyFill="1" applyBorder="1" applyAlignment="1">
      <alignment horizontal="right" vertical="center"/>
    </xf>
    <xf numFmtId="0" fontId="26" fillId="2" borderId="9" xfId="0" applyFont="1" applyFill="1" applyBorder="1" applyAlignment="1">
      <alignment horizontal="right"/>
    </xf>
    <xf numFmtId="37" fontId="25" fillId="2" borderId="9" xfId="1" applyNumberFormat="1" applyFont="1" applyFill="1" applyBorder="1" applyAlignment="1" applyProtection="1">
      <alignment horizontal="right" vertical="center"/>
    </xf>
    <xf numFmtId="37" fontId="25" fillId="2" borderId="12" xfId="1" applyNumberFormat="1" applyFont="1" applyFill="1" applyBorder="1" applyAlignment="1">
      <alignment horizontal="right" vertical="center"/>
    </xf>
    <xf numFmtId="0" fontId="20" fillId="2" borderId="0" xfId="0" applyFont="1" applyFill="1"/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right" vertical="center"/>
    </xf>
    <xf numFmtId="3" fontId="12" fillId="2" borderId="0" xfId="2" applyNumberFormat="1" applyFont="1" applyFill="1" applyAlignment="1">
      <alignment vertical="center" readingOrder="2"/>
    </xf>
    <xf numFmtId="3" fontId="14" fillId="2" borderId="0" xfId="2" applyNumberFormat="1" applyFont="1" applyFill="1" applyBorder="1" applyAlignment="1" applyProtection="1">
      <alignment vertical="center"/>
    </xf>
    <xf numFmtId="37" fontId="26" fillId="2" borderId="12" xfId="1" applyNumberFormat="1" applyFont="1" applyFill="1" applyBorder="1" applyAlignment="1">
      <alignment horizontal="right" vertical="center"/>
    </xf>
    <xf numFmtId="37" fontId="36" fillId="2" borderId="0" xfId="1" applyNumberFormat="1" applyFont="1" applyFill="1" applyBorder="1" applyAlignment="1">
      <alignment horizontal="right" vertical="center"/>
    </xf>
    <xf numFmtId="37" fontId="25" fillId="2" borderId="4" xfId="1" applyNumberFormat="1" applyFont="1" applyFill="1" applyBorder="1" applyAlignment="1">
      <alignment horizontal="right" vertical="center"/>
    </xf>
    <xf numFmtId="168" fontId="30" fillId="2" borderId="9" xfId="0" applyNumberFormat="1" applyFont="1" applyFill="1" applyBorder="1" applyAlignment="1">
      <alignment horizontal="right"/>
    </xf>
    <xf numFmtId="41" fontId="2" fillId="2" borderId="9" xfId="4" applyFont="1" applyFill="1" applyBorder="1" applyAlignment="1">
      <alignment horizontal="right"/>
    </xf>
    <xf numFmtId="168" fontId="49" fillId="2" borderId="0" xfId="3" applyNumberFormat="1" applyFont="1" applyFill="1" applyBorder="1" applyAlignment="1" applyProtection="1">
      <alignment horizontal="left" vertical="center"/>
    </xf>
    <xf numFmtId="3" fontId="33" fillId="2" borderId="0" xfId="2" applyNumberFormat="1" applyFont="1" applyFill="1"/>
    <xf numFmtId="0" fontId="50" fillId="2" borderId="0" xfId="0" applyFont="1" applyFill="1"/>
    <xf numFmtId="0" fontId="50" fillId="2" borderId="0" xfId="0" applyFont="1" applyFill="1" applyAlignment="1">
      <alignment horizontal="right"/>
    </xf>
    <xf numFmtId="0" fontId="48" fillId="2" borderId="0" xfId="0" applyFont="1" applyFill="1" applyAlignment="1">
      <alignment horizontal="right" vertical="center"/>
    </xf>
    <xf numFmtId="168" fontId="51" fillId="2" borderId="0" xfId="5" applyNumberFormat="1" applyFont="1" applyFill="1" applyAlignment="1">
      <alignment horizontal="right" vertical="center"/>
    </xf>
    <xf numFmtId="0" fontId="3" fillId="2" borderId="2" xfId="0" applyFont="1" applyFill="1" applyBorder="1" applyAlignment="1">
      <alignment horizontal="center" vertical="center" wrapText="1"/>
    </xf>
    <xf numFmtId="3" fontId="12" fillId="2" borderId="0" xfId="2" applyNumberFormat="1" applyFont="1" applyFill="1" applyAlignment="1">
      <alignment horizontal="center" vertical="center" readingOrder="2"/>
    </xf>
    <xf numFmtId="0" fontId="3" fillId="2" borderId="10" xfId="0" applyFont="1" applyFill="1" applyBorder="1" applyAlignment="1">
      <alignment horizontal="center" vertical="center" wrapText="1"/>
    </xf>
    <xf numFmtId="3" fontId="15" fillId="2" borderId="2" xfId="2" applyNumberFormat="1" applyFont="1" applyFill="1" applyBorder="1" applyAlignment="1">
      <alignment horizontal="right" vertical="center" wrapText="1"/>
    </xf>
    <xf numFmtId="3" fontId="15" fillId="2" borderId="0" xfId="2" applyNumberFormat="1" applyFont="1" applyFill="1" applyBorder="1" applyAlignment="1">
      <alignment horizontal="right" vertical="center" wrapText="1"/>
    </xf>
    <xf numFmtId="3" fontId="15" fillId="2" borderId="1" xfId="2" applyNumberFormat="1" applyFont="1" applyFill="1" applyBorder="1" applyAlignment="1">
      <alignment horizontal="right" vertical="center" wrapText="1"/>
    </xf>
    <xf numFmtId="3" fontId="14" fillId="2" borderId="1" xfId="2" applyNumberFormat="1" applyFont="1" applyFill="1" applyBorder="1" applyAlignment="1" applyProtection="1">
      <alignment horizontal="center" vertical="center"/>
    </xf>
    <xf numFmtId="168" fontId="18" fillId="2" borderId="2" xfId="3" applyNumberFormat="1" applyFont="1" applyFill="1" applyBorder="1" applyAlignment="1">
      <alignment horizontal="center" vertical="center" wrapText="1"/>
    </xf>
    <xf numFmtId="168" fontId="18" fillId="2" borderId="0" xfId="3" applyNumberFormat="1" applyFont="1" applyFill="1" applyBorder="1" applyAlignment="1">
      <alignment horizontal="center" vertical="center" wrapText="1"/>
    </xf>
    <xf numFmtId="168" fontId="18" fillId="2" borderId="1" xfId="3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168" fontId="18" fillId="2" borderId="12" xfId="3" applyNumberFormat="1" applyFont="1" applyFill="1" applyBorder="1" applyAlignment="1">
      <alignment horizontal="right" vertical="center" wrapText="1"/>
    </xf>
    <xf numFmtId="168" fontId="18" fillId="2" borderId="13" xfId="3" applyNumberFormat="1" applyFont="1" applyFill="1" applyBorder="1" applyAlignment="1">
      <alignment horizontal="right" vertical="center" wrapText="1"/>
    </xf>
    <xf numFmtId="168" fontId="18" fillId="2" borderId="14" xfId="3" applyNumberFormat="1" applyFont="1" applyFill="1" applyBorder="1" applyAlignment="1">
      <alignment horizontal="right" vertical="center" wrapText="1"/>
    </xf>
    <xf numFmtId="168" fontId="16" fillId="2" borderId="9" xfId="3" applyNumberFormat="1" applyFont="1" applyFill="1" applyBorder="1" applyAlignment="1">
      <alignment horizontal="right" vertical="center" wrapText="1"/>
    </xf>
    <xf numFmtId="168" fontId="16" fillId="2" borderId="12" xfId="3" applyNumberFormat="1" applyFont="1" applyFill="1" applyBorder="1" applyAlignment="1">
      <alignment horizontal="right" vertical="center" wrapText="1"/>
    </xf>
    <xf numFmtId="168" fontId="18" fillId="2" borderId="15" xfId="3" applyNumberFormat="1" applyFont="1" applyFill="1" applyBorder="1" applyAlignment="1">
      <alignment horizontal="right" vertical="center" wrapText="1"/>
    </xf>
    <xf numFmtId="168" fontId="18" fillId="2" borderId="9" xfId="3" applyNumberFormat="1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9" fillId="2" borderId="6" xfId="0" applyFont="1" applyFill="1" applyBorder="1"/>
    <xf numFmtId="0" fontId="9" fillId="2" borderId="7" xfId="0" applyFont="1" applyFill="1" applyBorder="1"/>
    <xf numFmtId="168" fontId="32" fillId="2" borderId="7" xfId="0" applyNumberFormat="1" applyFont="1" applyFill="1" applyBorder="1"/>
    <xf numFmtId="168" fontId="0" fillId="2" borderId="5" xfId="0" applyNumberFormat="1" applyFill="1" applyBorder="1"/>
    <xf numFmtId="0" fontId="30" fillId="2" borderId="5" xfId="0" applyFont="1" applyFill="1" applyBorder="1"/>
  </cellXfs>
  <cellStyles count="7">
    <cellStyle name="Comma" xfId="1" builtinId="3"/>
    <cellStyle name="Comma [0]" xfId="4" builtinId="6"/>
    <cellStyle name="Normal" xfId="0" builtinId="0"/>
    <cellStyle name="Normal 2" xfId="3"/>
    <cellStyle name="Normal 5" xfId="6"/>
    <cellStyle name="Normal_3 Population." xfId="5"/>
    <cellStyle name="Normal_II-15(Population) 2" xfId="2"/>
  </cellStyles>
  <dxfs count="0"/>
  <tableStyles count="0" defaultTableStyle="TableStyleMedium2" defaultPivotStyle="PivotStyleLight16"/>
  <colors>
    <mruColors>
      <color rgb="FF1C706E"/>
      <color rgb="FF28B2AF"/>
      <color rgb="FFD4F5F4"/>
      <color rgb="FF8DE5E3"/>
      <color rgb="FF33CCCC"/>
      <color rgb="FFA7EBE9"/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65"/>
  <sheetViews>
    <sheetView tabSelected="1" view="pageBreakPreview" zoomScaleNormal="100" zoomScaleSheetLayoutView="100" workbookViewId="0">
      <selection activeCell="L479" sqref="L479"/>
    </sheetView>
  </sheetViews>
  <sheetFormatPr defaultColWidth="9.140625" defaultRowHeight="15" x14ac:dyDescent="0.25"/>
  <cols>
    <col min="1" max="1" width="26.5703125" style="1" customWidth="1"/>
    <col min="2" max="2" width="12.42578125" style="74" customWidth="1"/>
    <col min="3" max="3" width="18.140625" style="1" customWidth="1"/>
    <col min="4" max="7" width="11.85546875" style="75" customWidth="1"/>
    <col min="8" max="8" width="14.5703125" style="75" customWidth="1"/>
    <col min="9" max="9" width="24" style="76" customWidth="1"/>
    <col min="10" max="10" width="27.42578125" style="1" customWidth="1"/>
    <col min="11" max="16384" width="9.140625" style="1"/>
  </cols>
  <sheetData>
    <row r="1" spans="1:10" s="23" customFormat="1" ht="6" customHeight="1" x14ac:dyDescent="0.2">
      <c r="B1" s="24"/>
      <c r="D1" s="25"/>
      <c r="E1" s="25"/>
      <c r="F1" s="25"/>
      <c r="G1" s="25"/>
      <c r="H1" s="25"/>
      <c r="I1" s="26"/>
    </row>
    <row r="2" spans="1:10" s="4" customFormat="1" ht="21" x14ac:dyDescent="0.2">
      <c r="A2" s="91" t="s">
        <v>434</v>
      </c>
      <c r="B2" s="91"/>
      <c r="C2" s="91"/>
      <c r="D2" s="91"/>
      <c r="E2" s="91"/>
      <c r="F2" s="91"/>
      <c r="G2" s="91"/>
      <c r="H2" s="91"/>
      <c r="I2" s="91"/>
      <c r="J2" s="91"/>
    </row>
    <row r="3" spans="1:10" s="4" customFormat="1" x14ac:dyDescent="0.2">
      <c r="A3" s="96" t="s">
        <v>433</v>
      </c>
      <c r="B3" s="96"/>
      <c r="C3" s="96"/>
      <c r="D3" s="96"/>
      <c r="E3" s="96"/>
      <c r="F3" s="96"/>
      <c r="G3" s="96"/>
      <c r="H3" s="96"/>
      <c r="I3" s="96"/>
      <c r="J3" s="96"/>
    </row>
    <row r="4" spans="1:10" s="2" customFormat="1" ht="17.25" x14ac:dyDescent="0.45">
      <c r="A4" s="27"/>
      <c r="B4" s="97" t="s">
        <v>0</v>
      </c>
      <c r="C4" s="90" t="s">
        <v>2</v>
      </c>
      <c r="D4" s="100" t="s">
        <v>3</v>
      </c>
      <c r="E4" s="100"/>
      <c r="F4" s="102" t="s">
        <v>4</v>
      </c>
      <c r="G4" s="102"/>
      <c r="H4" s="100" t="s">
        <v>5</v>
      </c>
      <c r="I4" s="100" t="s">
        <v>6</v>
      </c>
      <c r="J4" s="93" t="s">
        <v>7</v>
      </c>
    </row>
    <row r="5" spans="1:10" s="2" customFormat="1" ht="17.25" x14ac:dyDescent="0.45">
      <c r="A5" s="28"/>
      <c r="B5" s="98"/>
      <c r="C5" s="92"/>
      <c r="D5" s="101"/>
      <c r="E5" s="101"/>
      <c r="F5" s="103"/>
      <c r="G5" s="103"/>
      <c r="H5" s="101"/>
      <c r="I5" s="101"/>
      <c r="J5" s="94"/>
    </row>
    <row r="6" spans="1:10" s="31" customFormat="1" ht="25.5" x14ac:dyDescent="0.2">
      <c r="A6" s="29"/>
      <c r="B6" s="98"/>
      <c r="C6" s="30" t="s">
        <v>8</v>
      </c>
      <c r="D6" s="104" t="s">
        <v>9</v>
      </c>
      <c r="E6" s="104"/>
      <c r="F6" s="105" t="s">
        <v>10</v>
      </c>
      <c r="G6" s="106"/>
      <c r="H6" s="107" t="s">
        <v>66</v>
      </c>
      <c r="I6" s="109" t="s">
        <v>67</v>
      </c>
      <c r="J6" s="94"/>
    </row>
    <row r="7" spans="1:10" s="33" customFormat="1" ht="12.75" x14ac:dyDescent="0.2">
      <c r="A7" s="32" t="s">
        <v>1</v>
      </c>
      <c r="B7" s="98"/>
      <c r="C7" s="5" t="s">
        <v>11</v>
      </c>
      <c r="D7" s="6" t="s">
        <v>12</v>
      </c>
      <c r="E7" s="7" t="s">
        <v>13</v>
      </c>
      <c r="F7" s="5" t="s">
        <v>12</v>
      </c>
      <c r="G7" s="7" t="s">
        <v>14</v>
      </c>
      <c r="H7" s="107"/>
      <c r="I7" s="110"/>
      <c r="J7" s="94"/>
    </row>
    <row r="8" spans="1:10" s="8" customFormat="1" ht="18.75" x14ac:dyDescent="0.25">
      <c r="A8" s="34"/>
      <c r="B8" s="99"/>
      <c r="C8" s="35" t="s">
        <v>68</v>
      </c>
      <c r="D8" s="36" t="s">
        <v>15</v>
      </c>
      <c r="E8" s="37" t="s">
        <v>16</v>
      </c>
      <c r="F8" s="35" t="s">
        <v>17</v>
      </c>
      <c r="G8" s="37" t="s">
        <v>16</v>
      </c>
      <c r="H8" s="108"/>
      <c r="I8" s="104"/>
      <c r="J8" s="95"/>
    </row>
    <row r="9" spans="1:10" s="40" customFormat="1" ht="18.75" x14ac:dyDescent="0.2">
      <c r="A9" s="9" t="s">
        <v>18</v>
      </c>
      <c r="B9" s="10">
        <f>SUM(C9:I9)</f>
        <v>337940</v>
      </c>
      <c r="C9" s="10">
        <f>C10+C11</f>
        <v>317545</v>
      </c>
      <c r="D9" s="38">
        <f t="shared" ref="D9:I9" si="0">D10+D11</f>
        <v>3049</v>
      </c>
      <c r="E9" s="38">
        <f t="shared" si="0"/>
        <v>5230</v>
      </c>
      <c r="F9" s="38">
        <f t="shared" si="0"/>
        <v>107</v>
      </c>
      <c r="G9" s="38">
        <f t="shared" si="0"/>
        <v>151</v>
      </c>
      <c r="H9" s="38">
        <f t="shared" si="0"/>
        <v>5682</v>
      </c>
      <c r="I9" s="39">
        <f t="shared" si="0"/>
        <v>6176</v>
      </c>
      <c r="J9" s="11" t="s">
        <v>19</v>
      </c>
    </row>
    <row r="10" spans="1:10" s="40" customFormat="1" ht="18.75" x14ac:dyDescent="0.2">
      <c r="A10" s="12" t="s">
        <v>20</v>
      </c>
      <c r="B10" s="10">
        <f>SUM(C10:I10)</f>
        <v>58062</v>
      </c>
      <c r="C10" s="13">
        <v>52253</v>
      </c>
      <c r="D10" s="46">
        <v>931</v>
      </c>
      <c r="E10" s="46">
        <v>1468</v>
      </c>
      <c r="F10" s="46">
        <v>26</v>
      </c>
      <c r="G10" s="46">
        <v>35</v>
      </c>
      <c r="H10" s="22">
        <v>1724</v>
      </c>
      <c r="I10" s="46">
        <v>1625</v>
      </c>
      <c r="J10" s="11" t="s">
        <v>21</v>
      </c>
    </row>
    <row r="11" spans="1:10" s="40" customFormat="1" ht="18.75" x14ac:dyDescent="0.2">
      <c r="A11" s="9" t="s">
        <v>22</v>
      </c>
      <c r="B11" s="10">
        <f>SUM(C11:I11)</f>
        <v>279878</v>
      </c>
      <c r="C11" s="10">
        <f>C12+C28+C45+C61+C76+C94+C109+C116+C127+C137+C149+C156+C166+C173+C183+C198+C212+C224+C235+C238</f>
        <v>265292</v>
      </c>
      <c r="D11" s="38">
        <f t="shared" ref="D11:H11" si="1">D12+D28+D45+D61+D76+D94+D109+D116+D127+D137+D149+D156+D166+D173+D183+D198+D212+D224+D235+D238</f>
        <v>2118</v>
      </c>
      <c r="E11" s="38">
        <f t="shared" si="1"/>
        <v>3762</v>
      </c>
      <c r="F11" s="38">
        <f>F12+F26+F45+F61+F76+F94+F109+F116+F127+F137+F149+F156+F166+F173+F183+F198+F212+F224+F235+F238</f>
        <v>81</v>
      </c>
      <c r="G11" s="38">
        <f>G12+G26+G45+G61+G76+G94+G109+G116+G127+G137+G149+G156+G166+G173+G183+G198+G212+G224+G235+G238</f>
        <v>116</v>
      </c>
      <c r="H11" s="38">
        <f t="shared" si="1"/>
        <v>3958</v>
      </c>
      <c r="I11" s="38">
        <f>I12+I28+I45+I61+I76+I94+I109+I116+I127+I137+I149+I156+I166+I173+I183+I198+I212+I224+I235+I238</f>
        <v>4551</v>
      </c>
      <c r="J11" s="11" t="s">
        <v>23</v>
      </c>
    </row>
    <row r="12" spans="1:10" s="40" customFormat="1" ht="15.75" x14ac:dyDescent="0.2">
      <c r="A12" s="12" t="s">
        <v>24</v>
      </c>
      <c r="B12" s="10">
        <f t="shared" ref="B12:B26" si="2">SUM(C12:I12)</f>
        <v>20490</v>
      </c>
      <c r="C12" s="10">
        <f>SUM(C13:C26)</f>
        <v>19492</v>
      </c>
      <c r="D12" s="38">
        <f t="shared" ref="D12:H12" si="3">SUM(D13:D26)</f>
        <v>119</v>
      </c>
      <c r="E12" s="38">
        <f t="shared" si="3"/>
        <v>187</v>
      </c>
      <c r="F12" s="38">
        <f>SUM(F13:F26)</f>
        <v>3</v>
      </c>
      <c r="G12" s="38">
        <f>SUM(G13:G26)</f>
        <v>3</v>
      </c>
      <c r="H12" s="38">
        <f t="shared" si="3"/>
        <v>334</v>
      </c>
      <c r="I12" s="38">
        <f>SUM(I13:I26)</f>
        <v>352</v>
      </c>
      <c r="J12" s="41" t="s">
        <v>25</v>
      </c>
    </row>
    <row r="13" spans="1:10" s="42" customFormat="1" ht="15.75" x14ac:dyDescent="0.2">
      <c r="A13" s="14" t="s">
        <v>69</v>
      </c>
      <c r="B13" s="10">
        <f t="shared" si="2"/>
        <v>619</v>
      </c>
      <c r="C13" s="70">
        <v>588</v>
      </c>
      <c r="D13" s="50">
        <v>0</v>
      </c>
      <c r="E13" s="50">
        <v>0</v>
      </c>
      <c r="F13" s="50">
        <v>0</v>
      </c>
      <c r="G13" s="50">
        <v>0</v>
      </c>
      <c r="H13" s="44">
        <v>12</v>
      </c>
      <c r="I13" s="44">
        <v>19</v>
      </c>
      <c r="J13" s="15" t="s">
        <v>70</v>
      </c>
    </row>
    <row r="14" spans="1:10" s="42" customFormat="1" ht="15.75" x14ac:dyDescent="0.2">
      <c r="A14" s="14" t="s">
        <v>71</v>
      </c>
      <c r="B14" s="10">
        <f t="shared" si="2"/>
        <v>507</v>
      </c>
      <c r="C14" s="70">
        <v>472</v>
      </c>
      <c r="D14" s="50">
        <v>7</v>
      </c>
      <c r="E14" s="50">
        <v>14</v>
      </c>
      <c r="F14" s="50">
        <v>0</v>
      </c>
      <c r="G14" s="50">
        <v>0</v>
      </c>
      <c r="H14" s="44">
        <v>5</v>
      </c>
      <c r="I14" s="44">
        <v>9</v>
      </c>
      <c r="J14" s="15" t="s">
        <v>72</v>
      </c>
    </row>
    <row r="15" spans="1:10" s="42" customFormat="1" ht="15.75" x14ac:dyDescent="0.2">
      <c r="A15" s="14" t="s">
        <v>73</v>
      </c>
      <c r="B15" s="10">
        <f t="shared" si="2"/>
        <v>360</v>
      </c>
      <c r="C15" s="70">
        <v>340</v>
      </c>
      <c r="D15" s="50">
        <v>4</v>
      </c>
      <c r="E15" s="50">
        <v>6</v>
      </c>
      <c r="F15" s="50">
        <v>0</v>
      </c>
      <c r="G15" s="50">
        <v>0</v>
      </c>
      <c r="H15" s="44">
        <v>8</v>
      </c>
      <c r="I15" s="44">
        <v>2</v>
      </c>
      <c r="J15" s="15" t="s">
        <v>74</v>
      </c>
    </row>
    <row r="16" spans="1:10" s="42" customFormat="1" ht="15.75" x14ac:dyDescent="0.2">
      <c r="A16" s="14" t="s">
        <v>75</v>
      </c>
      <c r="B16" s="10">
        <f t="shared" si="2"/>
        <v>3131</v>
      </c>
      <c r="C16" s="70">
        <v>2963</v>
      </c>
      <c r="D16" s="50">
        <v>21</v>
      </c>
      <c r="E16" s="50">
        <v>35</v>
      </c>
      <c r="F16" s="50">
        <v>0</v>
      </c>
      <c r="G16" s="50">
        <v>0</v>
      </c>
      <c r="H16" s="44">
        <v>60</v>
      </c>
      <c r="I16" s="44">
        <v>52</v>
      </c>
      <c r="J16" s="15" t="s">
        <v>76</v>
      </c>
    </row>
    <row r="17" spans="1:21" s="42" customFormat="1" ht="15.75" x14ac:dyDescent="0.2">
      <c r="A17" s="14" t="s">
        <v>77</v>
      </c>
      <c r="B17" s="10">
        <f t="shared" si="2"/>
        <v>3106</v>
      </c>
      <c r="C17" s="70">
        <v>2906</v>
      </c>
      <c r="D17" s="50">
        <v>19</v>
      </c>
      <c r="E17" s="50">
        <v>35</v>
      </c>
      <c r="F17" s="50">
        <v>0</v>
      </c>
      <c r="G17" s="50">
        <v>0</v>
      </c>
      <c r="H17" s="44">
        <v>62</v>
      </c>
      <c r="I17" s="44">
        <v>84</v>
      </c>
      <c r="J17" s="15" t="s">
        <v>78</v>
      </c>
    </row>
    <row r="18" spans="1:21" s="42" customFormat="1" ht="15.75" x14ac:dyDescent="0.2">
      <c r="A18" s="14" t="s">
        <v>79</v>
      </c>
      <c r="B18" s="10">
        <f t="shared" si="2"/>
        <v>2051</v>
      </c>
      <c r="C18" s="70">
        <v>1941</v>
      </c>
      <c r="D18" s="50">
        <v>10</v>
      </c>
      <c r="E18" s="50">
        <v>15</v>
      </c>
      <c r="F18" s="50">
        <v>1</v>
      </c>
      <c r="G18" s="50">
        <v>1</v>
      </c>
      <c r="H18" s="44">
        <v>55</v>
      </c>
      <c r="I18" s="44">
        <v>28</v>
      </c>
      <c r="J18" s="15" t="s">
        <v>80</v>
      </c>
    </row>
    <row r="19" spans="1:21" s="42" customFormat="1" ht="15.75" x14ac:dyDescent="0.2">
      <c r="A19" s="14" t="s">
        <v>81</v>
      </c>
      <c r="B19" s="10">
        <f t="shared" si="2"/>
        <v>823</v>
      </c>
      <c r="C19" s="70">
        <v>786</v>
      </c>
      <c r="D19" s="50">
        <v>3</v>
      </c>
      <c r="E19" s="50">
        <v>6</v>
      </c>
      <c r="F19" s="50">
        <v>0</v>
      </c>
      <c r="G19" s="50">
        <v>0</v>
      </c>
      <c r="H19" s="44">
        <v>15</v>
      </c>
      <c r="I19" s="44">
        <v>13</v>
      </c>
      <c r="J19" s="15" t="s">
        <v>82</v>
      </c>
    </row>
    <row r="20" spans="1:21" s="42" customFormat="1" ht="15.75" x14ac:dyDescent="0.2">
      <c r="A20" s="14" t="s">
        <v>83</v>
      </c>
      <c r="B20" s="10">
        <f t="shared" si="2"/>
        <v>3659</v>
      </c>
      <c r="C20" s="70">
        <v>3518</v>
      </c>
      <c r="D20" s="50">
        <v>14</v>
      </c>
      <c r="E20" s="50">
        <v>18</v>
      </c>
      <c r="F20" s="50">
        <v>0</v>
      </c>
      <c r="G20" s="50">
        <v>0</v>
      </c>
      <c r="H20" s="44">
        <v>29</v>
      </c>
      <c r="I20" s="72">
        <v>80</v>
      </c>
      <c r="J20" s="15" t="s">
        <v>84</v>
      </c>
    </row>
    <row r="21" spans="1:21" s="42" customFormat="1" ht="15.75" x14ac:dyDescent="0.2">
      <c r="A21" s="14" t="s">
        <v>85</v>
      </c>
      <c r="B21" s="10">
        <f t="shared" si="2"/>
        <v>991</v>
      </c>
      <c r="C21" s="70">
        <v>947</v>
      </c>
      <c r="D21" s="50">
        <v>6</v>
      </c>
      <c r="E21" s="50">
        <v>10</v>
      </c>
      <c r="F21" s="50">
        <v>0</v>
      </c>
      <c r="G21" s="50">
        <v>0</v>
      </c>
      <c r="H21" s="44">
        <v>16</v>
      </c>
      <c r="I21" s="44">
        <v>12</v>
      </c>
      <c r="J21" s="15" t="s">
        <v>86</v>
      </c>
    </row>
    <row r="22" spans="1:21" s="42" customFormat="1" ht="15.75" x14ac:dyDescent="0.2">
      <c r="A22" s="14" t="s">
        <v>87</v>
      </c>
      <c r="B22" s="10">
        <f t="shared" si="2"/>
        <v>927</v>
      </c>
      <c r="C22" s="70">
        <v>894</v>
      </c>
      <c r="D22" s="50">
        <v>7</v>
      </c>
      <c r="E22" s="50">
        <v>12</v>
      </c>
      <c r="F22" s="50">
        <v>0</v>
      </c>
      <c r="G22" s="50">
        <v>0</v>
      </c>
      <c r="H22" s="44">
        <v>8</v>
      </c>
      <c r="I22" s="44">
        <v>6</v>
      </c>
      <c r="J22" s="15" t="s">
        <v>88</v>
      </c>
    </row>
    <row r="23" spans="1:21" s="42" customFormat="1" ht="15.75" x14ac:dyDescent="0.2">
      <c r="A23" s="14" t="s">
        <v>89</v>
      </c>
      <c r="B23" s="10">
        <f t="shared" si="2"/>
        <v>866</v>
      </c>
      <c r="C23" s="70">
        <v>831</v>
      </c>
      <c r="D23" s="50">
        <v>6</v>
      </c>
      <c r="E23" s="50">
        <v>7</v>
      </c>
      <c r="F23" s="50">
        <v>0</v>
      </c>
      <c r="G23" s="50">
        <v>0</v>
      </c>
      <c r="H23" s="44">
        <v>19</v>
      </c>
      <c r="I23" s="44">
        <v>3</v>
      </c>
      <c r="J23" s="15" t="s">
        <v>90</v>
      </c>
    </row>
    <row r="24" spans="1:21" s="42" customFormat="1" ht="15.75" x14ac:dyDescent="0.2">
      <c r="A24" s="14" t="s">
        <v>91</v>
      </c>
      <c r="B24" s="10">
        <f t="shared" si="2"/>
        <v>812</v>
      </c>
      <c r="C24" s="70">
        <v>772</v>
      </c>
      <c r="D24" s="50">
        <v>8</v>
      </c>
      <c r="E24" s="50">
        <v>10</v>
      </c>
      <c r="F24" s="50">
        <v>0</v>
      </c>
      <c r="G24" s="50">
        <v>0</v>
      </c>
      <c r="H24" s="44">
        <v>16</v>
      </c>
      <c r="I24" s="44">
        <v>6</v>
      </c>
      <c r="J24" s="15" t="s">
        <v>92</v>
      </c>
    </row>
    <row r="25" spans="1:21" s="42" customFormat="1" ht="15.75" x14ac:dyDescent="0.2">
      <c r="A25" s="14" t="s">
        <v>93</v>
      </c>
      <c r="B25" s="10">
        <f t="shared" si="2"/>
        <v>803</v>
      </c>
      <c r="C25" s="70">
        <v>786</v>
      </c>
      <c r="D25" s="50">
        <v>0</v>
      </c>
      <c r="E25" s="50">
        <v>0</v>
      </c>
      <c r="F25" s="50">
        <v>0</v>
      </c>
      <c r="G25" s="50">
        <v>0</v>
      </c>
      <c r="H25" s="44">
        <v>8</v>
      </c>
      <c r="I25" s="44">
        <v>9</v>
      </c>
      <c r="J25" s="15" t="s">
        <v>94</v>
      </c>
    </row>
    <row r="26" spans="1:21" s="42" customFormat="1" ht="15.75" x14ac:dyDescent="0.2">
      <c r="A26" s="16" t="s">
        <v>95</v>
      </c>
      <c r="B26" s="10">
        <f t="shared" si="2"/>
        <v>1835</v>
      </c>
      <c r="C26" s="70">
        <v>1748</v>
      </c>
      <c r="D26" s="50">
        <v>14</v>
      </c>
      <c r="E26" s="50">
        <v>19</v>
      </c>
      <c r="F26" s="50">
        <v>2</v>
      </c>
      <c r="G26" s="50">
        <v>2</v>
      </c>
      <c r="H26" s="44">
        <v>21</v>
      </c>
      <c r="I26" s="44">
        <v>29</v>
      </c>
      <c r="J26" s="15" t="s">
        <v>96</v>
      </c>
    </row>
    <row r="27" spans="1:21" s="42" customFormat="1" ht="15.75" x14ac:dyDescent="0.2">
      <c r="A27" s="16"/>
      <c r="B27" s="43"/>
      <c r="C27" s="52"/>
      <c r="D27" s="44"/>
      <c r="E27" s="44"/>
      <c r="F27" s="82"/>
      <c r="G27" s="45"/>
      <c r="H27" s="44"/>
      <c r="I27" s="46"/>
      <c r="J27" s="15"/>
    </row>
    <row r="28" spans="1:21" s="42" customFormat="1" ht="15.75" x14ac:dyDescent="0.2">
      <c r="A28" s="12" t="s">
        <v>26</v>
      </c>
      <c r="B28" s="10">
        <f t="shared" ref="B28:B43" si="4">SUM(C28:I28)</f>
        <v>24275</v>
      </c>
      <c r="C28" s="10">
        <f>SUM(C29:C43)</f>
        <v>23057</v>
      </c>
      <c r="D28" s="38">
        <f t="shared" ref="D28:H28" si="5">SUM(D29:D43)</f>
        <v>214</v>
      </c>
      <c r="E28" s="38">
        <f t="shared" si="5"/>
        <v>370</v>
      </c>
      <c r="F28" s="38">
        <f>SUM(F29:F43)</f>
        <v>2</v>
      </c>
      <c r="G28" s="38">
        <f>SUM(G29:G43)</f>
        <v>2</v>
      </c>
      <c r="H28" s="38">
        <f t="shared" si="5"/>
        <v>173</v>
      </c>
      <c r="I28" s="38">
        <f>SUM(I29:I43)</f>
        <v>457</v>
      </c>
      <c r="J28" s="41" t="s">
        <v>27</v>
      </c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</row>
    <row r="29" spans="1:21" s="42" customFormat="1" ht="15.75" x14ac:dyDescent="0.2">
      <c r="A29" s="14" t="s">
        <v>97</v>
      </c>
      <c r="B29" s="10">
        <f t="shared" si="4"/>
        <v>1874</v>
      </c>
      <c r="C29" s="70">
        <v>1771</v>
      </c>
      <c r="D29" s="71">
        <v>21</v>
      </c>
      <c r="E29" s="71">
        <v>35</v>
      </c>
      <c r="F29" s="50">
        <v>1</v>
      </c>
      <c r="G29" s="50">
        <v>1</v>
      </c>
      <c r="H29" s="44">
        <v>17</v>
      </c>
      <c r="I29" s="44">
        <v>28</v>
      </c>
      <c r="J29" s="15" t="s">
        <v>98</v>
      </c>
    </row>
    <row r="30" spans="1:21" s="42" customFormat="1" ht="15.75" x14ac:dyDescent="0.2">
      <c r="A30" s="14" t="s">
        <v>99</v>
      </c>
      <c r="B30" s="10">
        <f t="shared" si="4"/>
        <v>506</v>
      </c>
      <c r="C30" s="70">
        <v>493</v>
      </c>
      <c r="D30" s="71">
        <v>1</v>
      </c>
      <c r="E30" s="71">
        <v>1</v>
      </c>
      <c r="F30" s="50">
        <v>0</v>
      </c>
      <c r="G30" s="50">
        <v>0</v>
      </c>
      <c r="H30" s="44">
        <v>3</v>
      </c>
      <c r="I30" s="44">
        <v>8</v>
      </c>
      <c r="J30" s="15" t="s">
        <v>100</v>
      </c>
    </row>
    <row r="31" spans="1:21" s="42" customFormat="1" ht="15.75" x14ac:dyDescent="0.2">
      <c r="A31" s="14" t="s">
        <v>101</v>
      </c>
      <c r="B31" s="10">
        <f t="shared" si="4"/>
        <v>727</v>
      </c>
      <c r="C31" s="70">
        <v>712</v>
      </c>
      <c r="D31" s="71">
        <v>1</v>
      </c>
      <c r="E31" s="71">
        <v>1</v>
      </c>
      <c r="F31" s="50">
        <v>0</v>
      </c>
      <c r="G31" s="50">
        <v>0</v>
      </c>
      <c r="H31" s="44">
        <v>2</v>
      </c>
      <c r="I31" s="44">
        <v>11</v>
      </c>
      <c r="J31" s="15" t="s">
        <v>102</v>
      </c>
    </row>
    <row r="32" spans="1:21" s="42" customFormat="1" ht="15.75" x14ac:dyDescent="0.2">
      <c r="A32" s="14" t="s">
        <v>103</v>
      </c>
      <c r="B32" s="10">
        <f t="shared" si="4"/>
        <v>470</v>
      </c>
      <c r="C32" s="70">
        <v>459</v>
      </c>
      <c r="D32" s="71">
        <v>1</v>
      </c>
      <c r="E32" s="71">
        <v>2</v>
      </c>
      <c r="F32" s="50">
        <v>0</v>
      </c>
      <c r="G32" s="50">
        <v>0</v>
      </c>
      <c r="H32" s="44">
        <v>1</v>
      </c>
      <c r="I32" s="44">
        <v>7</v>
      </c>
      <c r="J32" s="15" t="s">
        <v>104</v>
      </c>
    </row>
    <row r="33" spans="1:10" s="42" customFormat="1" ht="15.75" x14ac:dyDescent="0.2">
      <c r="A33" s="14" t="s">
        <v>105</v>
      </c>
      <c r="B33" s="10">
        <f t="shared" si="4"/>
        <v>1658</v>
      </c>
      <c r="C33" s="70">
        <v>1576</v>
      </c>
      <c r="D33" s="71">
        <v>8</v>
      </c>
      <c r="E33" s="71">
        <v>13</v>
      </c>
      <c r="F33" s="50">
        <v>0</v>
      </c>
      <c r="G33" s="50">
        <v>0</v>
      </c>
      <c r="H33" s="44">
        <v>18</v>
      </c>
      <c r="I33" s="44">
        <v>43</v>
      </c>
      <c r="J33" s="15" t="s">
        <v>106</v>
      </c>
    </row>
    <row r="34" spans="1:10" s="42" customFormat="1" ht="15.75" x14ac:dyDescent="0.2">
      <c r="A34" s="14" t="s">
        <v>107</v>
      </c>
      <c r="B34" s="10">
        <f t="shared" si="4"/>
        <v>1178</v>
      </c>
      <c r="C34" s="70">
        <v>1132</v>
      </c>
      <c r="D34" s="71">
        <v>5</v>
      </c>
      <c r="E34" s="71">
        <v>9</v>
      </c>
      <c r="F34" s="50">
        <v>0</v>
      </c>
      <c r="G34" s="50">
        <v>0</v>
      </c>
      <c r="H34" s="44">
        <v>11</v>
      </c>
      <c r="I34" s="44">
        <v>21</v>
      </c>
      <c r="J34" s="15" t="s">
        <v>108</v>
      </c>
    </row>
    <row r="35" spans="1:10" s="42" customFormat="1" ht="15.75" x14ac:dyDescent="0.2">
      <c r="A35" s="14" t="s">
        <v>109</v>
      </c>
      <c r="B35" s="10">
        <f t="shared" si="4"/>
        <v>2403</v>
      </c>
      <c r="C35" s="70">
        <v>2274</v>
      </c>
      <c r="D35" s="71">
        <v>27</v>
      </c>
      <c r="E35" s="71">
        <v>53</v>
      </c>
      <c r="F35" s="50">
        <v>0</v>
      </c>
      <c r="G35" s="50">
        <v>0</v>
      </c>
      <c r="H35" s="44">
        <v>9</v>
      </c>
      <c r="I35" s="44">
        <v>40</v>
      </c>
      <c r="J35" s="15" t="s">
        <v>110</v>
      </c>
    </row>
    <row r="36" spans="1:10" s="42" customFormat="1" ht="15.75" x14ac:dyDescent="0.2">
      <c r="A36" s="16" t="s">
        <v>111</v>
      </c>
      <c r="B36" s="10">
        <f t="shared" si="4"/>
        <v>684</v>
      </c>
      <c r="C36" s="70">
        <v>647</v>
      </c>
      <c r="D36" s="71">
        <v>6</v>
      </c>
      <c r="E36" s="71">
        <v>11</v>
      </c>
      <c r="F36" s="50">
        <v>1</v>
      </c>
      <c r="G36" s="50">
        <v>1</v>
      </c>
      <c r="H36" s="44">
        <v>5</v>
      </c>
      <c r="I36" s="44">
        <v>13</v>
      </c>
      <c r="J36" s="15" t="s">
        <v>112</v>
      </c>
    </row>
    <row r="37" spans="1:10" s="42" customFormat="1" ht="15.75" x14ac:dyDescent="0.2">
      <c r="A37" s="14" t="s">
        <v>113</v>
      </c>
      <c r="B37" s="10">
        <f t="shared" si="4"/>
        <v>15</v>
      </c>
      <c r="C37" s="70">
        <v>4</v>
      </c>
      <c r="D37" s="71">
        <v>0</v>
      </c>
      <c r="E37" s="71">
        <v>0</v>
      </c>
      <c r="F37" s="50">
        <v>0</v>
      </c>
      <c r="G37" s="50">
        <v>0</v>
      </c>
      <c r="H37" s="44">
        <v>0</v>
      </c>
      <c r="I37" s="44">
        <v>11</v>
      </c>
      <c r="J37" s="15" t="s">
        <v>114</v>
      </c>
    </row>
    <row r="38" spans="1:10" s="42" customFormat="1" ht="15.75" x14ac:dyDescent="0.2">
      <c r="A38" s="14" t="s">
        <v>115</v>
      </c>
      <c r="B38" s="10">
        <f t="shared" si="4"/>
        <v>8813</v>
      </c>
      <c r="C38" s="70">
        <v>8297</v>
      </c>
      <c r="D38" s="71">
        <v>107</v>
      </c>
      <c r="E38" s="71">
        <v>177</v>
      </c>
      <c r="F38" s="50">
        <v>0</v>
      </c>
      <c r="G38" s="50">
        <v>0</v>
      </c>
      <c r="H38" s="44">
        <v>54</v>
      </c>
      <c r="I38" s="44">
        <v>178</v>
      </c>
      <c r="J38" s="15" t="s">
        <v>116</v>
      </c>
    </row>
    <row r="39" spans="1:10" s="42" customFormat="1" ht="15.75" x14ac:dyDescent="0.2">
      <c r="A39" s="14" t="s">
        <v>117</v>
      </c>
      <c r="B39" s="10">
        <f t="shared" si="4"/>
        <v>1344</v>
      </c>
      <c r="C39" s="70">
        <v>1276</v>
      </c>
      <c r="D39" s="71">
        <v>9</v>
      </c>
      <c r="E39" s="71">
        <v>21</v>
      </c>
      <c r="F39" s="50">
        <v>0</v>
      </c>
      <c r="G39" s="50">
        <v>0</v>
      </c>
      <c r="H39" s="44">
        <v>16</v>
      </c>
      <c r="I39" s="44">
        <v>22</v>
      </c>
      <c r="J39" s="15" t="s">
        <v>118</v>
      </c>
    </row>
    <row r="40" spans="1:10" s="42" customFormat="1" ht="15.75" x14ac:dyDescent="0.2">
      <c r="A40" s="14" t="s">
        <v>119</v>
      </c>
      <c r="B40" s="10">
        <f t="shared" si="4"/>
        <v>1289</v>
      </c>
      <c r="C40" s="70">
        <v>1225</v>
      </c>
      <c r="D40" s="71">
        <v>14</v>
      </c>
      <c r="E40" s="71">
        <v>23</v>
      </c>
      <c r="F40" s="50">
        <v>0</v>
      </c>
      <c r="G40" s="50">
        <v>0</v>
      </c>
      <c r="H40" s="44">
        <v>9</v>
      </c>
      <c r="I40" s="44">
        <v>18</v>
      </c>
      <c r="J40" s="15" t="s">
        <v>120</v>
      </c>
    </row>
    <row r="41" spans="1:10" s="42" customFormat="1" ht="15.75" x14ac:dyDescent="0.2">
      <c r="A41" s="14" t="s">
        <v>121</v>
      </c>
      <c r="B41" s="10">
        <f t="shared" si="4"/>
        <v>1733</v>
      </c>
      <c r="C41" s="70">
        <v>1656</v>
      </c>
      <c r="D41" s="71">
        <v>9</v>
      </c>
      <c r="E41" s="71">
        <v>16</v>
      </c>
      <c r="F41" s="50">
        <v>0</v>
      </c>
      <c r="G41" s="50">
        <v>0</v>
      </c>
      <c r="H41" s="44">
        <v>19</v>
      </c>
      <c r="I41" s="44">
        <v>33</v>
      </c>
      <c r="J41" s="15" t="s">
        <v>122</v>
      </c>
    </row>
    <row r="42" spans="1:10" s="42" customFormat="1" ht="15.75" x14ac:dyDescent="0.2">
      <c r="A42" s="14" t="s">
        <v>123</v>
      </c>
      <c r="B42" s="10">
        <f t="shared" si="4"/>
        <v>32</v>
      </c>
      <c r="C42" s="70">
        <v>31</v>
      </c>
      <c r="D42" s="71">
        <v>0</v>
      </c>
      <c r="E42" s="71">
        <v>0</v>
      </c>
      <c r="F42" s="50">
        <v>0</v>
      </c>
      <c r="G42" s="50">
        <v>0</v>
      </c>
      <c r="H42" s="44">
        <v>0</v>
      </c>
      <c r="I42" s="44">
        <v>1</v>
      </c>
      <c r="J42" s="15" t="s">
        <v>124</v>
      </c>
    </row>
    <row r="43" spans="1:10" s="42" customFormat="1" ht="15.75" x14ac:dyDescent="0.2">
      <c r="A43" s="16" t="s">
        <v>125</v>
      </c>
      <c r="B43" s="10">
        <f t="shared" si="4"/>
        <v>1549</v>
      </c>
      <c r="C43" s="70">
        <v>1504</v>
      </c>
      <c r="D43" s="71">
        <v>5</v>
      </c>
      <c r="E43" s="71">
        <v>8</v>
      </c>
      <c r="F43" s="50">
        <v>0</v>
      </c>
      <c r="G43" s="50">
        <v>0</v>
      </c>
      <c r="H43" s="44">
        <v>9</v>
      </c>
      <c r="I43" s="44">
        <v>23</v>
      </c>
      <c r="J43" s="15" t="s">
        <v>126</v>
      </c>
    </row>
    <row r="44" spans="1:10" s="42" customFormat="1" ht="12.75" x14ac:dyDescent="0.2">
      <c r="A44" s="16"/>
      <c r="B44" s="47"/>
      <c r="C44" s="80"/>
      <c r="D44" s="44"/>
      <c r="E44" s="44"/>
      <c r="F44" s="44"/>
      <c r="G44" s="44"/>
      <c r="H44" s="44"/>
      <c r="I44" s="46"/>
    </row>
    <row r="45" spans="1:10" s="42" customFormat="1" ht="15.75" x14ac:dyDescent="0.2">
      <c r="A45" s="12" t="s">
        <v>28</v>
      </c>
      <c r="B45" s="10">
        <f t="shared" ref="B45:B59" si="6">SUM(C45:I45)</f>
        <v>16354</v>
      </c>
      <c r="C45" s="10">
        <f>SUM(C46:C59)</f>
        <v>15572</v>
      </c>
      <c r="D45" s="38">
        <f t="shared" ref="D45:I45" si="7">SUM(D46:D59)</f>
        <v>106</v>
      </c>
      <c r="E45" s="38">
        <f t="shared" si="7"/>
        <v>171</v>
      </c>
      <c r="F45" s="38">
        <f>SUM(F46:F59)</f>
        <v>0</v>
      </c>
      <c r="G45" s="38">
        <f>SUM(G46:G59)</f>
        <v>0</v>
      </c>
      <c r="H45" s="38">
        <f>SUM(H46:H59)</f>
        <v>173</v>
      </c>
      <c r="I45" s="38">
        <f t="shared" si="7"/>
        <v>332</v>
      </c>
      <c r="J45" s="41" t="s">
        <v>29</v>
      </c>
    </row>
    <row r="46" spans="1:10" s="42" customFormat="1" ht="15.75" x14ac:dyDescent="0.2">
      <c r="A46" s="14" t="s">
        <v>127</v>
      </c>
      <c r="B46" s="10">
        <f t="shared" si="6"/>
        <v>1385</v>
      </c>
      <c r="C46" s="70">
        <v>1344</v>
      </c>
      <c r="D46" s="44">
        <v>5</v>
      </c>
      <c r="E46" s="44">
        <v>5</v>
      </c>
      <c r="F46" s="50">
        <v>0</v>
      </c>
      <c r="G46" s="50">
        <v>0</v>
      </c>
      <c r="H46" s="44">
        <v>12</v>
      </c>
      <c r="I46" s="44">
        <v>19</v>
      </c>
      <c r="J46" s="15" t="s">
        <v>128</v>
      </c>
    </row>
    <row r="47" spans="1:10" s="42" customFormat="1" ht="15.75" x14ac:dyDescent="0.2">
      <c r="A47" s="14" t="s">
        <v>129</v>
      </c>
      <c r="B47" s="10">
        <f t="shared" si="6"/>
        <v>435</v>
      </c>
      <c r="C47" s="70">
        <v>417</v>
      </c>
      <c r="D47" s="44">
        <v>2</v>
      </c>
      <c r="E47" s="44">
        <v>2</v>
      </c>
      <c r="F47" s="50">
        <v>0</v>
      </c>
      <c r="G47" s="50">
        <v>0</v>
      </c>
      <c r="H47" s="44">
        <v>4</v>
      </c>
      <c r="I47" s="44">
        <v>10</v>
      </c>
      <c r="J47" s="15" t="s">
        <v>130</v>
      </c>
    </row>
    <row r="48" spans="1:10" s="42" customFormat="1" ht="15.75" x14ac:dyDescent="0.2">
      <c r="A48" s="14" t="s">
        <v>131</v>
      </c>
      <c r="B48" s="10">
        <f t="shared" si="6"/>
        <v>720</v>
      </c>
      <c r="C48" s="70">
        <v>677</v>
      </c>
      <c r="D48" s="44">
        <v>8</v>
      </c>
      <c r="E48" s="44">
        <v>12</v>
      </c>
      <c r="F48" s="50">
        <v>0</v>
      </c>
      <c r="G48" s="50">
        <v>0</v>
      </c>
      <c r="H48" s="44">
        <v>10</v>
      </c>
      <c r="I48" s="44">
        <v>13</v>
      </c>
      <c r="J48" s="15" t="s">
        <v>132</v>
      </c>
    </row>
    <row r="49" spans="1:10" s="42" customFormat="1" ht="15.75" x14ac:dyDescent="0.2">
      <c r="A49" s="14" t="s">
        <v>133</v>
      </c>
      <c r="B49" s="10">
        <f t="shared" si="6"/>
        <v>1112</v>
      </c>
      <c r="C49" s="70">
        <v>1051</v>
      </c>
      <c r="D49" s="44">
        <v>8</v>
      </c>
      <c r="E49" s="44">
        <v>15</v>
      </c>
      <c r="F49" s="50">
        <v>0</v>
      </c>
      <c r="G49" s="50">
        <v>0</v>
      </c>
      <c r="H49" s="44">
        <v>11</v>
      </c>
      <c r="I49" s="44">
        <v>27</v>
      </c>
      <c r="J49" s="15" t="s">
        <v>134</v>
      </c>
    </row>
    <row r="50" spans="1:10" s="42" customFormat="1" ht="15.75" x14ac:dyDescent="0.2">
      <c r="A50" s="14" t="s">
        <v>135</v>
      </c>
      <c r="B50" s="10">
        <f t="shared" si="6"/>
        <v>951</v>
      </c>
      <c r="C50" s="70">
        <v>909</v>
      </c>
      <c r="D50" s="44">
        <v>4</v>
      </c>
      <c r="E50" s="44">
        <v>7</v>
      </c>
      <c r="F50" s="50">
        <v>0</v>
      </c>
      <c r="G50" s="50">
        <v>0</v>
      </c>
      <c r="H50" s="44">
        <v>16</v>
      </c>
      <c r="I50" s="44">
        <v>15</v>
      </c>
      <c r="J50" s="15" t="s">
        <v>136</v>
      </c>
    </row>
    <row r="51" spans="1:10" s="42" customFormat="1" ht="15.75" x14ac:dyDescent="0.2">
      <c r="A51" s="14" t="s">
        <v>137</v>
      </c>
      <c r="B51" s="10">
        <f t="shared" si="6"/>
        <v>630</v>
      </c>
      <c r="C51" s="70">
        <v>600</v>
      </c>
      <c r="D51" s="44">
        <v>0</v>
      </c>
      <c r="E51" s="44">
        <v>0</v>
      </c>
      <c r="F51" s="50">
        <v>0</v>
      </c>
      <c r="G51" s="50">
        <v>0</v>
      </c>
      <c r="H51" s="44">
        <v>8</v>
      </c>
      <c r="I51" s="44">
        <v>22</v>
      </c>
      <c r="J51" s="15" t="s">
        <v>138</v>
      </c>
    </row>
    <row r="52" spans="1:10" s="42" customFormat="1" ht="15.75" x14ac:dyDescent="0.2">
      <c r="A52" s="14" t="s">
        <v>139</v>
      </c>
      <c r="B52" s="10">
        <f t="shared" si="6"/>
        <v>1629</v>
      </c>
      <c r="C52" s="70">
        <v>1579</v>
      </c>
      <c r="D52" s="44">
        <v>7</v>
      </c>
      <c r="E52" s="44">
        <v>8</v>
      </c>
      <c r="F52" s="50">
        <v>0</v>
      </c>
      <c r="G52" s="50">
        <v>0</v>
      </c>
      <c r="H52" s="44">
        <v>12</v>
      </c>
      <c r="I52" s="44">
        <v>23</v>
      </c>
      <c r="J52" s="15" t="s">
        <v>140</v>
      </c>
    </row>
    <row r="53" spans="1:10" s="42" customFormat="1" ht="15.75" x14ac:dyDescent="0.2">
      <c r="A53" s="14" t="s">
        <v>141</v>
      </c>
      <c r="B53" s="10">
        <f t="shared" si="6"/>
        <v>553</v>
      </c>
      <c r="C53" s="70">
        <v>534</v>
      </c>
      <c r="D53" s="44">
        <v>3</v>
      </c>
      <c r="E53" s="44">
        <v>5</v>
      </c>
      <c r="F53" s="50">
        <v>0</v>
      </c>
      <c r="G53" s="50">
        <v>0</v>
      </c>
      <c r="H53" s="44">
        <v>6</v>
      </c>
      <c r="I53" s="44">
        <v>5</v>
      </c>
      <c r="J53" s="15" t="s">
        <v>142</v>
      </c>
    </row>
    <row r="54" spans="1:10" s="42" customFormat="1" ht="15.75" x14ac:dyDescent="0.2">
      <c r="A54" s="14" t="s">
        <v>143</v>
      </c>
      <c r="B54" s="10">
        <f t="shared" si="6"/>
        <v>841</v>
      </c>
      <c r="C54" s="70">
        <v>796</v>
      </c>
      <c r="D54" s="44">
        <v>7</v>
      </c>
      <c r="E54" s="44">
        <v>8</v>
      </c>
      <c r="F54" s="50">
        <v>0</v>
      </c>
      <c r="G54" s="50">
        <v>0</v>
      </c>
      <c r="H54" s="44">
        <v>13</v>
      </c>
      <c r="I54" s="44">
        <v>17</v>
      </c>
      <c r="J54" s="15" t="s">
        <v>144</v>
      </c>
    </row>
    <row r="55" spans="1:10" s="42" customFormat="1" ht="15.75" x14ac:dyDescent="0.2">
      <c r="A55" s="14" t="s">
        <v>145</v>
      </c>
      <c r="B55" s="10">
        <f t="shared" si="6"/>
        <v>712</v>
      </c>
      <c r="C55" s="70">
        <v>699</v>
      </c>
      <c r="D55" s="44">
        <v>3</v>
      </c>
      <c r="E55" s="44">
        <v>5</v>
      </c>
      <c r="F55" s="50">
        <v>0</v>
      </c>
      <c r="G55" s="50">
        <v>0</v>
      </c>
      <c r="H55" s="44">
        <v>2</v>
      </c>
      <c r="I55" s="44">
        <v>3</v>
      </c>
      <c r="J55" s="15" t="s">
        <v>146</v>
      </c>
    </row>
    <row r="56" spans="1:10" s="42" customFormat="1" ht="15.75" x14ac:dyDescent="0.2">
      <c r="A56" s="14" t="s">
        <v>147</v>
      </c>
      <c r="B56" s="10">
        <f t="shared" si="6"/>
        <v>1752</v>
      </c>
      <c r="C56" s="70">
        <v>1644</v>
      </c>
      <c r="D56" s="44">
        <v>7</v>
      </c>
      <c r="E56" s="44">
        <v>7</v>
      </c>
      <c r="F56" s="50">
        <v>0</v>
      </c>
      <c r="G56" s="50">
        <v>0</v>
      </c>
      <c r="H56" s="44">
        <v>33</v>
      </c>
      <c r="I56" s="44">
        <v>61</v>
      </c>
      <c r="J56" s="15" t="s">
        <v>148</v>
      </c>
    </row>
    <row r="57" spans="1:10" s="42" customFormat="1" ht="15.75" x14ac:dyDescent="0.2">
      <c r="A57" s="14" t="s">
        <v>149</v>
      </c>
      <c r="B57" s="10">
        <f t="shared" si="6"/>
        <v>1008</v>
      </c>
      <c r="C57" s="70">
        <v>970</v>
      </c>
      <c r="D57" s="44">
        <v>5</v>
      </c>
      <c r="E57" s="44">
        <v>7</v>
      </c>
      <c r="F57" s="50">
        <v>0</v>
      </c>
      <c r="G57" s="50">
        <v>0</v>
      </c>
      <c r="H57" s="44">
        <v>9</v>
      </c>
      <c r="I57" s="44">
        <v>17</v>
      </c>
      <c r="J57" s="15" t="s">
        <v>150</v>
      </c>
    </row>
    <row r="58" spans="1:10" s="42" customFormat="1" ht="15.75" x14ac:dyDescent="0.2">
      <c r="A58" s="14" t="s">
        <v>151</v>
      </c>
      <c r="B58" s="10">
        <f t="shared" si="6"/>
        <v>2300</v>
      </c>
      <c r="C58" s="70">
        <v>2174</v>
      </c>
      <c r="D58" s="44">
        <v>24</v>
      </c>
      <c r="E58" s="44">
        <v>46</v>
      </c>
      <c r="F58" s="50">
        <v>0</v>
      </c>
      <c r="G58" s="50">
        <v>0</v>
      </c>
      <c r="H58" s="44">
        <v>8</v>
      </c>
      <c r="I58" s="44">
        <v>48</v>
      </c>
      <c r="J58" s="15" t="s">
        <v>152</v>
      </c>
    </row>
    <row r="59" spans="1:10" s="42" customFormat="1" ht="15.75" x14ac:dyDescent="0.2">
      <c r="A59" s="14" t="s">
        <v>153</v>
      </c>
      <c r="B59" s="10">
        <f t="shared" si="6"/>
        <v>2326</v>
      </c>
      <c r="C59" s="70">
        <v>2178</v>
      </c>
      <c r="D59" s="44">
        <v>23</v>
      </c>
      <c r="E59" s="44">
        <v>44</v>
      </c>
      <c r="F59" s="50">
        <v>0</v>
      </c>
      <c r="G59" s="50">
        <v>0</v>
      </c>
      <c r="H59" s="44">
        <v>29</v>
      </c>
      <c r="I59" s="44">
        <v>52</v>
      </c>
      <c r="J59" s="49" t="s">
        <v>154</v>
      </c>
    </row>
    <row r="60" spans="1:10" s="42" customFormat="1" ht="12.75" x14ac:dyDescent="0.2">
      <c r="A60" s="16"/>
      <c r="B60" s="43"/>
      <c r="C60" s="52"/>
      <c r="D60" s="44"/>
      <c r="E60" s="44"/>
      <c r="F60" s="50"/>
      <c r="G60" s="50"/>
      <c r="H60" s="45"/>
      <c r="I60" s="46"/>
    </row>
    <row r="61" spans="1:10" s="42" customFormat="1" ht="15.75" x14ac:dyDescent="0.2">
      <c r="A61" s="12" t="s">
        <v>30</v>
      </c>
      <c r="B61" s="10">
        <f t="shared" ref="B61:B74" si="8">SUM(C61:I61)</f>
        <v>14820</v>
      </c>
      <c r="C61" s="10">
        <f>SUM(C62:C74)</f>
        <v>14154</v>
      </c>
      <c r="D61" s="38">
        <f t="shared" ref="D61:I61" si="9">SUM(D62:D74)</f>
        <v>119</v>
      </c>
      <c r="E61" s="38">
        <f t="shared" si="9"/>
        <v>225</v>
      </c>
      <c r="F61" s="38">
        <f t="shared" si="9"/>
        <v>5</v>
      </c>
      <c r="G61" s="38">
        <f>SUM(G62:G74)</f>
        <v>7</v>
      </c>
      <c r="H61" s="38">
        <f t="shared" si="9"/>
        <v>125</v>
      </c>
      <c r="I61" s="38">
        <f t="shared" si="9"/>
        <v>185</v>
      </c>
      <c r="J61" s="41" t="s">
        <v>31</v>
      </c>
    </row>
    <row r="62" spans="1:10" s="42" customFormat="1" ht="15.75" x14ac:dyDescent="0.2">
      <c r="A62" s="14" t="s">
        <v>155</v>
      </c>
      <c r="B62" s="10">
        <f t="shared" si="8"/>
        <v>616</v>
      </c>
      <c r="C62" s="70">
        <v>592</v>
      </c>
      <c r="D62" s="44">
        <v>5</v>
      </c>
      <c r="E62" s="44">
        <v>9</v>
      </c>
      <c r="F62" s="50">
        <v>0</v>
      </c>
      <c r="G62" s="50">
        <v>0</v>
      </c>
      <c r="H62" s="44">
        <v>2</v>
      </c>
      <c r="I62" s="44">
        <v>8</v>
      </c>
      <c r="J62" s="15" t="s">
        <v>156</v>
      </c>
    </row>
    <row r="63" spans="1:10" s="42" customFormat="1" ht="15.75" x14ac:dyDescent="0.2">
      <c r="A63" s="14" t="s">
        <v>157</v>
      </c>
      <c r="B63" s="10">
        <f t="shared" si="8"/>
        <v>1603</v>
      </c>
      <c r="C63" s="70">
        <v>1538</v>
      </c>
      <c r="D63" s="44">
        <v>12</v>
      </c>
      <c r="E63" s="44">
        <v>26</v>
      </c>
      <c r="F63" s="50">
        <v>0</v>
      </c>
      <c r="G63" s="50">
        <v>0</v>
      </c>
      <c r="H63" s="44">
        <v>8</v>
      </c>
      <c r="I63" s="44">
        <v>19</v>
      </c>
      <c r="J63" s="15" t="s">
        <v>158</v>
      </c>
    </row>
    <row r="64" spans="1:10" s="42" customFormat="1" ht="15.75" x14ac:dyDescent="0.2">
      <c r="A64" s="14" t="s">
        <v>159</v>
      </c>
      <c r="B64" s="10">
        <f t="shared" si="8"/>
        <v>816</v>
      </c>
      <c r="C64" s="70">
        <v>783</v>
      </c>
      <c r="D64" s="44">
        <v>6</v>
      </c>
      <c r="E64" s="44">
        <v>12</v>
      </c>
      <c r="F64" s="50">
        <v>0</v>
      </c>
      <c r="G64" s="50">
        <v>0</v>
      </c>
      <c r="H64" s="44">
        <v>2</v>
      </c>
      <c r="I64" s="44">
        <v>13</v>
      </c>
      <c r="J64" s="15" t="s">
        <v>160</v>
      </c>
    </row>
    <row r="65" spans="1:10" s="42" customFormat="1" ht="15.75" x14ac:dyDescent="0.2">
      <c r="A65" s="14" t="s">
        <v>161</v>
      </c>
      <c r="B65" s="10">
        <f t="shared" si="8"/>
        <v>722</v>
      </c>
      <c r="C65" s="70">
        <v>704</v>
      </c>
      <c r="D65" s="44">
        <v>1</v>
      </c>
      <c r="E65" s="44">
        <v>4</v>
      </c>
      <c r="F65" s="50">
        <v>0</v>
      </c>
      <c r="G65" s="50">
        <v>0</v>
      </c>
      <c r="H65" s="44">
        <v>2</v>
      </c>
      <c r="I65" s="44">
        <v>11</v>
      </c>
      <c r="J65" s="15" t="s">
        <v>162</v>
      </c>
    </row>
    <row r="66" spans="1:10" s="42" customFormat="1" ht="15.75" x14ac:dyDescent="0.2">
      <c r="A66" s="14" t="s">
        <v>163</v>
      </c>
      <c r="B66" s="10">
        <f t="shared" si="8"/>
        <v>966</v>
      </c>
      <c r="C66" s="70">
        <v>929</v>
      </c>
      <c r="D66" s="44">
        <v>6</v>
      </c>
      <c r="E66" s="44">
        <v>12</v>
      </c>
      <c r="F66" s="50">
        <v>1</v>
      </c>
      <c r="G66" s="50">
        <v>1</v>
      </c>
      <c r="H66" s="44">
        <v>5</v>
      </c>
      <c r="I66" s="44">
        <v>12</v>
      </c>
      <c r="J66" s="15" t="s">
        <v>164</v>
      </c>
    </row>
    <row r="67" spans="1:10" s="42" customFormat="1" ht="15.75" x14ac:dyDescent="0.2">
      <c r="A67" s="14" t="s">
        <v>165</v>
      </c>
      <c r="B67" s="10">
        <f t="shared" si="8"/>
        <v>1078</v>
      </c>
      <c r="C67" s="70">
        <v>1007</v>
      </c>
      <c r="D67" s="44">
        <v>18</v>
      </c>
      <c r="E67" s="44">
        <v>31</v>
      </c>
      <c r="F67" s="50">
        <v>0</v>
      </c>
      <c r="G67" s="50">
        <v>0</v>
      </c>
      <c r="H67" s="44">
        <v>8</v>
      </c>
      <c r="I67" s="44">
        <v>14</v>
      </c>
      <c r="J67" s="15" t="s">
        <v>166</v>
      </c>
    </row>
    <row r="68" spans="1:10" s="42" customFormat="1" ht="15.75" x14ac:dyDescent="0.2">
      <c r="A68" s="14" t="s">
        <v>167</v>
      </c>
      <c r="B68" s="10">
        <f t="shared" si="8"/>
        <v>841</v>
      </c>
      <c r="C68" s="70">
        <v>799</v>
      </c>
      <c r="D68" s="44">
        <v>11</v>
      </c>
      <c r="E68" s="44">
        <v>25</v>
      </c>
      <c r="F68" s="50">
        <v>0</v>
      </c>
      <c r="G68" s="50">
        <v>0</v>
      </c>
      <c r="H68" s="44">
        <v>1</v>
      </c>
      <c r="I68" s="44">
        <v>5</v>
      </c>
      <c r="J68" s="15" t="s">
        <v>168</v>
      </c>
    </row>
    <row r="69" spans="1:10" s="42" customFormat="1" ht="15.75" x14ac:dyDescent="0.2">
      <c r="A69" s="14" t="s">
        <v>169</v>
      </c>
      <c r="B69" s="10">
        <f t="shared" si="8"/>
        <v>1226</v>
      </c>
      <c r="C69" s="70">
        <v>1175</v>
      </c>
      <c r="D69" s="44">
        <v>8</v>
      </c>
      <c r="E69" s="44">
        <v>19</v>
      </c>
      <c r="F69" s="50">
        <v>0</v>
      </c>
      <c r="G69" s="50">
        <v>0</v>
      </c>
      <c r="H69" s="44">
        <v>3</v>
      </c>
      <c r="I69" s="44">
        <v>21</v>
      </c>
      <c r="J69" s="15" t="s">
        <v>170</v>
      </c>
    </row>
    <row r="70" spans="1:10" s="42" customFormat="1" ht="15.75" x14ac:dyDescent="0.2">
      <c r="A70" s="14" t="s">
        <v>171</v>
      </c>
      <c r="B70" s="10">
        <f t="shared" si="8"/>
        <v>369</v>
      </c>
      <c r="C70" s="70">
        <v>361</v>
      </c>
      <c r="D70" s="44">
        <v>1</v>
      </c>
      <c r="E70" s="44">
        <v>2</v>
      </c>
      <c r="F70" s="50">
        <v>0</v>
      </c>
      <c r="G70" s="50">
        <v>0</v>
      </c>
      <c r="H70" s="44">
        <v>2</v>
      </c>
      <c r="I70" s="44">
        <v>3</v>
      </c>
      <c r="J70" s="15" t="s">
        <v>172</v>
      </c>
    </row>
    <row r="71" spans="1:10" s="42" customFormat="1" ht="15.75" x14ac:dyDescent="0.2">
      <c r="A71" s="14" t="s">
        <v>173</v>
      </c>
      <c r="B71" s="10">
        <f t="shared" si="8"/>
        <v>1754</v>
      </c>
      <c r="C71" s="70">
        <v>1646</v>
      </c>
      <c r="D71" s="44">
        <v>18</v>
      </c>
      <c r="E71" s="44">
        <v>33</v>
      </c>
      <c r="F71" s="50">
        <v>1</v>
      </c>
      <c r="G71" s="50">
        <v>1</v>
      </c>
      <c r="H71" s="44">
        <v>31</v>
      </c>
      <c r="I71" s="44">
        <v>24</v>
      </c>
      <c r="J71" s="15" t="s">
        <v>174</v>
      </c>
    </row>
    <row r="72" spans="1:10" s="42" customFormat="1" ht="15.75" x14ac:dyDescent="0.2">
      <c r="A72" s="14" t="s">
        <v>175</v>
      </c>
      <c r="B72" s="10">
        <f t="shared" si="8"/>
        <v>2018</v>
      </c>
      <c r="C72" s="70">
        <v>1957</v>
      </c>
      <c r="D72" s="44">
        <v>9</v>
      </c>
      <c r="E72" s="44">
        <v>16</v>
      </c>
      <c r="F72" s="50">
        <v>0</v>
      </c>
      <c r="G72" s="50">
        <v>0</v>
      </c>
      <c r="H72" s="44">
        <v>20</v>
      </c>
      <c r="I72" s="44">
        <v>16</v>
      </c>
      <c r="J72" s="15" t="s">
        <v>176</v>
      </c>
    </row>
    <row r="73" spans="1:10" s="42" customFormat="1" ht="15.75" x14ac:dyDescent="0.2">
      <c r="A73" s="16" t="s">
        <v>177</v>
      </c>
      <c r="B73" s="10">
        <f t="shared" si="8"/>
        <v>440</v>
      </c>
      <c r="C73" s="70">
        <v>418</v>
      </c>
      <c r="D73" s="44">
        <v>2</v>
      </c>
      <c r="E73" s="44">
        <v>2</v>
      </c>
      <c r="F73" s="50">
        <v>0</v>
      </c>
      <c r="G73" s="50">
        <v>0</v>
      </c>
      <c r="H73" s="44">
        <v>16</v>
      </c>
      <c r="I73" s="44">
        <v>2</v>
      </c>
      <c r="J73" s="15" t="s">
        <v>178</v>
      </c>
    </row>
    <row r="74" spans="1:10" s="51" customFormat="1" ht="15.75" x14ac:dyDescent="0.2">
      <c r="A74" s="16" t="s">
        <v>179</v>
      </c>
      <c r="B74" s="10">
        <f t="shared" si="8"/>
        <v>2371</v>
      </c>
      <c r="C74" s="70">
        <v>2245</v>
      </c>
      <c r="D74" s="44">
        <v>22</v>
      </c>
      <c r="E74" s="44">
        <v>34</v>
      </c>
      <c r="F74" s="50">
        <v>3</v>
      </c>
      <c r="G74" s="50">
        <v>5</v>
      </c>
      <c r="H74" s="44">
        <v>25</v>
      </c>
      <c r="I74" s="44">
        <v>37</v>
      </c>
      <c r="J74" s="15" t="s">
        <v>180</v>
      </c>
    </row>
    <row r="75" spans="1:10" s="42" customFormat="1" ht="12.75" x14ac:dyDescent="0.2">
      <c r="A75" s="16"/>
      <c r="B75" s="47"/>
      <c r="C75" s="52"/>
      <c r="D75" s="44"/>
      <c r="E75" s="44"/>
      <c r="F75" s="44"/>
      <c r="G75" s="44"/>
      <c r="H75" s="44"/>
      <c r="I75" s="46"/>
    </row>
    <row r="76" spans="1:10" s="42" customFormat="1" ht="15.75" x14ac:dyDescent="0.2">
      <c r="A76" s="12" t="s">
        <v>32</v>
      </c>
      <c r="B76" s="10">
        <f t="shared" ref="B76:B92" si="10">SUM(C76:I76)</f>
        <v>21111</v>
      </c>
      <c r="C76" s="10">
        <f>SUM(C77:C92)</f>
        <v>20204</v>
      </c>
      <c r="D76" s="38">
        <f t="shared" ref="D76:I76" si="11">SUM(D77:D92)</f>
        <v>112</v>
      </c>
      <c r="E76" s="38">
        <f t="shared" si="11"/>
        <v>210</v>
      </c>
      <c r="F76" s="38">
        <f t="shared" si="11"/>
        <v>6</v>
      </c>
      <c r="G76" s="38">
        <f t="shared" si="11"/>
        <v>6</v>
      </c>
      <c r="H76" s="38">
        <f t="shared" si="11"/>
        <v>251</v>
      </c>
      <c r="I76" s="38">
        <f t="shared" si="11"/>
        <v>322</v>
      </c>
      <c r="J76" s="41" t="s">
        <v>33</v>
      </c>
    </row>
    <row r="77" spans="1:10" s="42" customFormat="1" ht="15.75" x14ac:dyDescent="0.2">
      <c r="A77" s="14" t="s">
        <v>181</v>
      </c>
      <c r="B77" s="10">
        <f t="shared" si="10"/>
        <v>2581</v>
      </c>
      <c r="C77" s="70">
        <v>2464</v>
      </c>
      <c r="D77" s="44">
        <v>13</v>
      </c>
      <c r="E77" s="44">
        <v>27</v>
      </c>
      <c r="F77" s="50">
        <v>1</v>
      </c>
      <c r="G77" s="50">
        <v>1</v>
      </c>
      <c r="H77" s="44">
        <v>39</v>
      </c>
      <c r="I77" s="44">
        <v>36</v>
      </c>
      <c r="J77" s="15" t="s">
        <v>182</v>
      </c>
    </row>
    <row r="78" spans="1:10" s="42" customFormat="1" ht="15.75" x14ac:dyDescent="0.2">
      <c r="A78" s="14" t="s">
        <v>183</v>
      </c>
      <c r="B78" s="10">
        <f t="shared" si="10"/>
        <v>524</v>
      </c>
      <c r="C78" s="70">
        <v>511</v>
      </c>
      <c r="D78" s="44">
        <v>2</v>
      </c>
      <c r="E78" s="44">
        <v>2</v>
      </c>
      <c r="F78" s="50">
        <v>0</v>
      </c>
      <c r="G78" s="50">
        <v>0</v>
      </c>
      <c r="H78" s="44">
        <v>3</v>
      </c>
      <c r="I78" s="44">
        <v>6</v>
      </c>
      <c r="J78" s="15" t="s">
        <v>184</v>
      </c>
    </row>
    <row r="79" spans="1:10" s="42" customFormat="1" ht="15.75" x14ac:dyDescent="0.2">
      <c r="A79" s="14" t="s">
        <v>185</v>
      </c>
      <c r="B79" s="10">
        <f t="shared" si="10"/>
        <v>845</v>
      </c>
      <c r="C79" s="70">
        <v>818</v>
      </c>
      <c r="D79" s="44">
        <v>1</v>
      </c>
      <c r="E79" s="44">
        <v>2</v>
      </c>
      <c r="F79" s="50">
        <v>1</v>
      </c>
      <c r="G79" s="50">
        <v>1</v>
      </c>
      <c r="H79" s="44">
        <v>13</v>
      </c>
      <c r="I79" s="44">
        <v>9</v>
      </c>
      <c r="J79" s="15" t="s">
        <v>186</v>
      </c>
    </row>
    <row r="80" spans="1:10" s="42" customFormat="1" ht="15.75" x14ac:dyDescent="0.2">
      <c r="A80" s="14" t="s">
        <v>187</v>
      </c>
      <c r="B80" s="10">
        <f t="shared" si="10"/>
        <v>468</v>
      </c>
      <c r="C80" s="70">
        <v>447</v>
      </c>
      <c r="D80" s="44">
        <v>3</v>
      </c>
      <c r="E80" s="44">
        <v>5</v>
      </c>
      <c r="F80" s="50">
        <v>0</v>
      </c>
      <c r="G80" s="50">
        <v>0</v>
      </c>
      <c r="H80" s="44">
        <v>2</v>
      </c>
      <c r="I80" s="44">
        <v>11</v>
      </c>
      <c r="J80" s="15" t="s">
        <v>188</v>
      </c>
    </row>
    <row r="81" spans="1:10" s="42" customFormat="1" ht="15.75" x14ac:dyDescent="0.2">
      <c r="A81" s="14" t="s">
        <v>189</v>
      </c>
      <c r="B81" s="10">
        <f t="shared" si="10"/>
        <v>1549</v>
      </c>
      <c r="C81" s="70">
        <v>1443</v>
      </c>
      <c r="D81" s="44">
        <v>12</v>
      </c>
      <c r="E81" s="44">
        <v>24</v>
      </c>
      <c r="F81" s="50">
        <v>1</v>
      </c>
      <c r="G81" s="50">
        <v>1</v>
      </c>
      <c r="H81" s="44">
        <v>30</v>
      </c>
      <c r="I81" s="44">
        <v>38</v>
      </c>
      <c r="J81" s="15" t="s">
        <v>190</v>
      </c>
    </row>
    <row r="82" spans="1:10" s="42" customFormat="1" ht="15.75" x14ac:dyDescent="0.2">
      <c r="A82" s="14" t="s">
        <v>191</v>
      </c>
      <c r="B82" s="10">
        <f t="shared" si="10"/>
        <v>4142</v>
      </c>
      <c r="C82" s="70">
        <v>4108</v>
      </c>
      <c r="D82" s="44">
        <v>0</v>
      </c>
      <c r="E82" s="44">
        <v>0</v>
      </c>
      <c r="F82" s="50">
        <v>1</v>
      </c>
      <c r="G82" s="50">
        <v>1</v>
      </c>
      <c r="H82" s="44">
        <v>26</v>
      </c>
      <c r="I82" s="44">
        <v>6</v>
      </c>
      <c r="J82" s="49" t="s">
        <v>192</v>
      </c>
    </row>
    <row r="83" spans="1:10" s="42" customFormat="1" ht="15.75" x14ac:dyDescent="0.2">
      <c r="A83" s="14" t="s">
        <v>193</v>
      </c>
      <c r="B83" s="10">
        <f t="shared" si="10"/>
        <v>110</v>
      </c>
      <c r="C83" s="70"/>
      <c r="D83" s="44">
        <v>22</v>
      </c>
      <c r="E83" s="44">
        <v>46</v>
      </c>
      <c r="F83" s="50">
        <v>0</v>
      </c>
      <c r="G83" s="50">
        <v>0</v>
      </c>
      <c r="H83" s="44">
        <v>0</v>
      </c>
      <c r="I83" s="44">
        <v>42</v>
      </c>
      <c r="J83" s="15" t="s">
        <v>194</v>
      </c>
    </row>
    <row r="84" spans="1:10" s="42" customFormat="1" ht="15.75" x14ac:dyDescent="0.2">
      <c r="A84" s="14" t="s">
        <v>195</v>
      </c>
      <c r="B84" s="10">
        <f t="shared" si="10"/>
        <v>1118</v>
      </c>
      <c r="C84" s="70">
        <v>1070</v>
      </c>
      <c r="D84" s="44">
        <v>7</v>
      </c>
      <c r="E84" s="44">
        <v>12</v>
      </c>
      <c r="F84" s="50">
        <v>0</v>
      </c>
      <c r="G84" s="50">
        <v>0</v>
      </c>
      <c r="H84" s="44">
        <v>22</v>
      </c>
      <c r="I84" s="44">
        <v>7</v>
      </c>
      <c r="J84" s="15" t="s">
        <v>196</v>
      </c>
    </row>
    <row r="85" spans="1:10" s="42" customFormat="1" ht="15.75" x14ac:dyDescent="0.2">
      <c r="A85" s="14" t="s">
        <v>197</v>
      </c>
      <c r="B85" s="10">
        <f t="shared" si="10"/>
        <v>779</v>
      </c>
      <c r="C85" s="70">
        <v>738</v>
      </c>
      <c r="D85" s="44">
        <v>7</v>
      </c>
      <c r="E85" s="44">
        <v>15</v>
      </c>
      <c r="F85" s="50">
        <v>0</v>
      </c>
      <c r="G85" s="50">
        <v>0</v>
      </c>
      <c r="H85" s="44">
        <v>9</v>
      </c>
      <c r="I85" s="44">
        <v>10</v>
      </c>
      <c r="J85" s="15" t="s">
        <v>198</v>
      </c>
    </row>
    <row r="86" spans="1:10" s="42" customFormat="1" ht="15.75" x14ac:dyDescent="0.2">
      <c r="A86" s="14" t="s">
        <v>199</v>
      </c>
      <c r="B86" s="10">
        <f t="shared" si="10"/>
        <v>818</v>
      </c>
      <c r="C86" s="70">
        <v>776</v>
      </c>
      <c r="D86" s="44">
        <v>8</v>
      </c>
      <c r="E86" s="44">
        <v>12</v>
      </c>
      <c r="F86" s="50">
        <v>1</v>
      </c>
      <c r="G86" s="50">
        <v>1</v>
      </c>
      <c r="H86" s="44">
        <v>7</v>
      </c>
      <c r="I86" s="44">
        <v>13</v>
      </c>
      <c r="J86" s="15" t="s">
        <v>200</v>
      </c>
    </row>
    <row r="87" spans="1:10" s="42" customFormat="1" ht="15.75" x14ac:dyDescent="0.2">
      <c r="A87" s="14" t="s">
        <v>201</v>
      </c>
      <c r="B87" s="10">
        <f t="shared" si="10"/>
        <v>2149</v>
      </c>
      <c r="C87" s="70">
        <v>2056</v>
      </c>
      <c r="D87" s="44">
        <v>14</v>
      </c>
      <c r="E87" s="44">
        <v>19</v>
      </c>
      <c r="F87" s="50">
        <v>1</v>
      </c>
      <c r="G87" s="50">
        <v>1</v>
      </c>
      <c r="H87" s="44">
        <v>25</v>
      </c>
      <c r="I87" s="44">
        <v>33</v>
      </c>
      <c r="J87" s="15" t="s">
        <v>202</v>
      </c>
    </row>
    <row r="88" spans="1:10" s="42" customFormat="1" ht="15.75" x14ac:dyDescent="0.2">
      <c r="A88" s="14" t="s">
        <v>203</v>
      </c>
      <c r="B88" s="10">
        <f t="shared" si="10"/>
        <v>1809</v>
      </c>
      <c r="C88" s="70">
        <v>1747</v>
      </c>
      <c r="D88" s="44">
        <v>3</v>
      </c>
      <c r="E88" s="44">
        <v>5</v>
      </c>
      <c r="F88" s="50">
        <v>0</v>
      </c>
      <c r="G88" s="50">
        <v>0</v>
      </c>
      <c r="H88" s="44">
        <v>12</v>
      </c>
      <c r="I88" s="44">
        <v>42</v>
      </c>
      <c r="J88" s="15" t="s">
        <v>204</v>
      </c>
    </row>
    <row r="89" spans="1:10" s="42" customFormat="1" ht="15.75" x14ac:dyDescent="0.2">
      <c r="A89" s="14" t="s">
        <v>205</v>
      </c>
      <c r="B89" s="10">
        <f t="shared" si="10"/>
        <v>396</v>
      </c>
      <c r="C89" s="70">
        <v>387</v>
      </c>
      <c r="D89" s="44">
        <v>1</v>
      </c>
      <c r="E89" s="44">
        <v>1</v>
      </c>
      <c r="F89" s="50">
        <v>0</v>
      </c>
      <c r="G89" s="50">
        <v>0</v>
      </c>
      <c r="H89" s="44">
        <v>3</v>
      </c>
      <c r="I89" s="44">
        <v>4</v>
      </c>
      <c r="J89" s="15" t="s">
        <v>206</v>
      </c>
    </row>
    <row r="90" spans="1:10" s="42" customFormat="1" ht="15.75" x14ac:dyDescent="0.2">
      <c r="A90" s="14" t="s">
        <v>207</v>
      </c>
      <c r="B90" s="10">
        <f t="shared" si="10"/>
        <v>1898</v>
      </c>
      <c r="C90" s="70">
        <v>1807</v>
      </c>
      <c r="D90" s="44">
        <v>6</v>
      </c>
      <c r="E90" s="44">
        <v>13</v>
      </c>
      <c r="F90" s="50">
        <v>0</v>
      </c>
      <c r="G90" s="50">
        <v>0</v>
      </c>
      <c r="H90" s="44">
        <v>42</v>
      </c>
      <c r="I90" s="44">
        <v>30</v>
      </c>
      <c r="J90" s="15" t="s">
        <v>208</v>
      </c>
    </row>
    <row r="91" spans="1:10" s="42" customFormat="1" ht="15.75" x14ac:dyDescent="0.2">
      <c r="A91" s="14" t="s">
        <v>209</v>
      </c>
      <c r="B91" s="10">
        <f t="shared" si="10"/>
        <v>556</v>
      </c>
      <c r="C91" s="70">
        <v>535</v>
      </c>
      <c r="D91" s="44">
        <v>2</v>
      </c>
      <c r="E91" s="44">
        <v>4</v>
      </c>
      <c r="F91" s="50">
        <v>0</v>
      </c>
      <c r="G91" s="50">
        <v>0</v>
      </c>
      <c r="H91" s="44">
        <v>6</v>
      </c>
      <c r="I91" s="44">
        <v>9</v>
      </c>
      <c r="J91" s="15" t="s">
        <v>210</v>
      </c>
    </row>
    <row r="92" spans="1:10" s="42" customFormat="1" ht="15.75" x14ac:dyDescent="0.2">
      <c r="A92" s="14" t="s">
        <v>211</v>
      </c>
      <c r="B92" s="10">
        <f t="shared" si="10"/>
        <v>1369</v>
      </c>
      <c r="C92" s="70">
        <v>1297</v>
      </c>
      <c r="D92" s="44">
        <v>11</v>
      </c>
      <c r="E92" s="44">
        <v>23</v>
      </c>
      <c r="F92" s="50">
        <v>0</v>
      </c>
      <c r="G92" s="50">
        <v>0</v>
      </c>
      <c r="H92" s="44">
        <v>12</v>
      </c>
      <c r="I92" s="44">
        <v>26</v>
      </c>
      <c r="J92" s="15" t="s">
        <v>212</v>
      </c>
    </row>
    <row r="93" spans="1:10" s="42" customFormat="1" ht="12.75" x14ac:dyDescent="0.2">
      <c r="A93" s="16"/>
      <c r="B93" s="47"/>
      <c r="C93" s="52"/>
      <c r="D93" s="44"/>
      <c r="E93" s="44"/>
      <c r="F93" s="50"/>
      <c r="G93" s="50"/>
      <c r="H93" s="44"/>
      <c r="I93" s="46"/>
    </row>
    <row r="94" spans="1:10" s="42" customFormat="1" ht="15.75" x14ac:dyDescent="0.2">
      <c r="A94" s="12" t="s">
        <v>34</v>
      </c>
      <c r="B94" s="10">
        <f t="shared" ref="B94:B107" si="12">SUM(C94:I94)</f>
        <v>12978</v>
      </c>
      <c r="C94" s="10">
        <f>SUM(C95:C107)</f>
        <v>12455</v>
      </c>
      <c r="D94" s="38">
        <f t="shared" ref="D94:I94" si="13">SUM(D95:D107)</f>
        <v>67</v>
      </c>
      <c r="E94" s="38">
        <f t="shared" si="13"/>
        <v>106</v>
      </c>
      <c r="F94" s="38">
        <f t="shared" si="13"/>
        <v>5</v>
      </c>
      <c r="G94" s="38">
        <f t="shared" si="13"/>
        <v>5</v>
      </c>
      <c r="H94" s="38">
        <f t="shared" si="13"/>
        <v>148</v>
      </c>
      <c r="I94" s="38">
        <f t="shared" si="13"/>
        <v>192</v>
      </c>
      <c r="J94" s="41" t="s">
        <v>35</v>
      </c>
    </row>
    <row r="95" spans="1:10" s="42" customFormat="1" ht="15.75" x14ac:dyDescent="0.2">
      <c r="A95" s="16" t="s">
        <v>213</v>
      </c>
      <c r="B95" s="10">
        <f t="shared" si="12"/>
        <v>591</v>
      </c>
      <c r="C95" s="70">
        <v>582</v>
      </c>
      <c r="D95" s="44">
        <v>0</v>
      </c>
      <c r="E95" s="44">
        <v>0</v>
      </c>
      <c r="F95" s="50">
        <v>0</v>
      </c>
      <c r="G95" s="50">
        <v>0</v>
      </c>
      <c r="H95" s="44">
        <v>4</v>
      </c>
      <c r="I95" s="44">
        <v>5</v>
      </c>
      <c r="J95" s="15" t="s">
        <v>214</v>
      </c>
    </row>
    <row r="96" spans="1:10" s="42" customFormat="1" ht="15.75" x14ac:dyDescent="0.2">
      <c r="A96" s="16" t="s">
        <v>215</v>
      </c>
      <c r="B96" s="10">
        <f t="shared" si="12"/>
        <v>493</v>
      </c>
      <c r="C96" s="70">
        <v>461</v>
      </c>
      <c r="D96" s="44">
        <v>8</v>
      </c>
      <c r="E96" s="44">
        <v>13</v>
      </c>
      <c r="F96" s="50">
        <v>0</v>
      </c>
      <c r="G96" s="50">
        <v>0</v>
      </c>
      <c r="H96" s="44">
        <v>7</v>
      </c>
      <c r="I96" s="44">
        <v>4</v>
      </c>
      <c r="J96" s="15" t="s">
        <v>216</v>
      </c>
    </row>
    <row r="97" spans="1:10" s="42" customFormat="1" ht="15.75" x14ac:dyDescent="0.2">
      <c r="A97" s="16" t="s">
        <v>217</v>
      </c>
      <c r="B97" s="10">
        <f t="shared" si="12"/>
        <v>1139</v>
      </c>
      <c r="C97" s="70">
        <v>1088</v>
      </c>
      <c r="D97" s="44">
        <v>8</v>
      </c>
      <c r="E97" s="44">
        <v>11</v>
      </c>
      <c r="F97" s="50">
        <v>1</v>
      </c>
      <c r="G97" s="50">
        <v>1</v>
      </c>
      <c r="H97" s="44">
        <v>5</v>
      </c>
      <c r="I97" s="44">
        <v>25</v>
      </c>
      <c r="J97" s="15" t="s">
        <v>218</v>
      </c>
    </row>
    <row r="98" spans="1:10" s="42" customFormat="1" ht="15.75" x14ac:dyDescent="0.2">
      <c r="A98" s="16" t="s">
        <v>219</v>
      </c>
      <c r="B98" s="10">
        <f t="shared" si="12"/>
        <v>443</v>
      </c>
      <c r="C98" s="70">
        <v>425</v>
      </c>
      <c r="D98" s="44">
        <v>3</v>
      </c>
      <c r="E98" s="44">
        <v>4</v>
      </c>
      <c r="F98" s="50">
        <v>0</v>
      </c>
      <c r="G98" s="50">
        <v>0</v>
      </c>
      <c r="H98" s="44">
        <v>6</v>
      </c>
      <c r="I98" s="44">
        <v>5</v>
      </c>
      <c r="J98" s="15" t="s">
        <v>220</v>
      </c>
    </row>
    <row r="99" spans="1:10" s="42" customFormat="1" ht="15.75" x14ac:dyDescent="0.2">
      <c r="A99" s="16" t="s">
        <v>221</v>
      </c>
      <c r="B99" s="10">
        <f t="shared" si="12"/>
        <v>468</v>
      </c>
      <c r="C99" s="70">
        <v>452</v>
      </c>
      <c r="D99" s="44">
        <v>0</v>
      </c>
      <c r="E99" s="44">
        <v>0</v>
      </c>
      <c r="F99" s="50">
        <v>0</v>
      </c>
      <c r="G99" s="50">
        <v>0</v>
      </c>
      <c r="H99" s="44">
        <v>7</v>
      </c>
      <c r="I99" s="44">
        <v>9</v>
      </c>
      <c r="J99" s="15" t="s">
        <v>222</v>
      </c>
    </row>
    <row r="100" spans="1:10" s="42" customFormat="1" ht="15.75" x14ac:dyDescent="0.2">
      <c r="A100" s="16" t="s">
        <v>223</v>
      </c>
      <c r="B100" s="10">
        <f t="shared" si="12"/>
        <v>1016</v>
      </c>
      <c r="C100" s="70">
        <v>977</v>
      </c>
      <c r="D100" s="44">
        <v>5</v>
      </c>
      <c r="E100" s="44">
        <v>8</v>
      </c>
      <c r="F100" s="50">
        <v>0</v>
      </c>
      <c r="G100" s="50">
        <v>0</v>
      </c>
      <c r="H100" s="44">
        <v>5</v>
      </c>
      <c r="I100" s="44">
        <v>21</v>
      </c>
      <c r="J100" s="15" t="s">
        <v>224</v>
      </c>
    </row>
    <row r="101" spans="1:10" s="42" customFormat="1" ht="15.75" x14ac:dyDescent="0.2">
      <c r="A101" s="16" t="s">
        <v>225</v>
      </c>
      <c r="B101" s="10">
        <f t="shared" si="12"/>
        <v>659</v>
      </c>
      <c r="C101" s="70">
        <v>624</v>
      </c>
      <c r="D101" s="44">
        <v>7</v>
      </c>
      <c r="E101" s="44">
        <v>14</v>
      </c>
      <c r="F101" s="50">
        <v>0</v>
      </c>
      <c r="G101" s="50">
        <v>0</v>
      </c>
      <c r="H101" s="44">
        <v>8</v>
      </c>
      <c r="I101" s="44">
        <v>6</v>
      </c>
      <c r="J101" s="15" t="s">
        <v>226</v>
      </c>
    </row>
    <row r="102" spans="1:10" s="42" customFormat="1" ht="15.75" x14ac:dyDescent="0.2">
      <c r="A102" s="16" t="s">
        <v>227</v>
      </c>
      <c r="B102" s="10">
        <f t="shared" si="12"/>
        <v>2949</v>
      </c>
      <c r="C102" s="70">
        <v>2816</v>
      </c>
      <c r="D102" s="44">
        <v>19</v>
      </c>
      <c r="E102" s="44">
        <v>27</v>
      </c>
      <c r="F102" s="50">
        <v>1</v>
      </c>
      <c r="G102" s="50">
        <v>1</v>
      </c>
      <c r="H102" s="44">
        <v>37</v>
      </c>
      <c r="I102" s="44">
        <v>48</v>
      </c>
      <c r="J102" s="15" t="s">
        <v>228</v>
      </c>
    </row>
    <row r="103" spans="1:10" s="42" customFormat="1" ht="15.75" x14ac:dyDescent="0.2">
      <c r="A103" s="16" t="s">
        <v>229</v>
      </c>
      <c r="B103" s="10">
        <f t="shared" si="12"/>
        <v>2643</v>
      </c>
      <c r="C103" s="70">
        <v>2542</v>
      </c>
      <c r="D103" s="44">
        <v>8</v>
      </c>
      <c r="E103" s="44">
        <v>12</v>
      </c>
      <c r="F103" s="50">
        <v>3</v>
      </c>
      <c r="G103" s="50">
        <v>3</v>
      </c>
      <c r="H103" s="44">
        <v>29</v>
      </c>
      <c r="I103" s="44">
        <v>46</v>
      </c>
      <c r="J103" s="15" t="s">
        <v>230</v>
      </c>
    </row>
    <row r="104" spans="1:10" s="42" customFormat="1" ht="15.75" x14ac:dyDescent="0.2">
      <c r="A104" s="16" t="s">
        <v>231</v>
      </c>
      <c r="B104" s="10">
        <f t="shared" si="12"/>
        <v>1278</v>
      </c>
      <c r="C104" s="70">
        <v>1226</v>
      </c>
      <c r="D104" s="44">
        <v>3</v>
      </c>
      <c r="E104" s="44">
        <v>5</v>
      </c>
      <c r="F104" s="50">
        <v>0</v>
      </c>
      <c r="G104" s="50">
        <v>0</v>
      </c>
      <c r="H104" s="44">
        <v>27</v>
      </c>
      <c r="I104" s="44">
        <v>17</v>
      </c>
      <c r="J104" s="15" t="s">
        <v>232</v>
      </c>
    </row>
    <row r="105" spans="1:10" s="42" customFormat="1" ht="15.75" x14ac:dyDescent="0.2">
      <c r="A105" s="16" t="s">
        <v>233</v>
      </c>
      <c r="B105" s="10">
        <f t="shared" si="12"/>
        <v>305</v>
      </c>
      <c r="C105" s="70">
        <v>300</v>
      </c>
      <c r="D105" s="44">
        <v>1</v>
      </c>
      <c r="E105" s="44">
        <v>1</v>
      </c>
      <c r="F105" s="50">
        <v>0</v>
      </c>
      <c r="G105" s="50">
        <v>0</v>
      </c>
      <c r="H105" s="44">
        <v>3</v>
      </c>
      <c r="I105" s="44">
        <v>0</v>
      </c>
      <c r="J105" s="15" t="s">
        <v>234</v>
      </c>
    </row>
    <row r="106" spans="1:10" s="42" customFormat="1" ht="15.75" x14ac:dyDescent="0.2">
      <c r="A106" s="16" t="s">
        <v>235</v>
      </c>
      <c r="B106" s="10">
        <f t="shared" si="12"/>
        <v>248</v>
      </c>
      <c r="C106" s="70">
        <v>243</v>
      </c>
      <c r="D106" s="44">
        <v>1</v>
      </c>
      <c r="E106" s="44">
        <v>1</v>
      </c>
      <c r="F106" s="50">
        <v>0</v>
      </c>
      <c r="G106" s="50">
        <v>0</v>
      </c>
      <c r="H106" s="44">
        <v>1</v>
      </c>
      <c r="I106" s="44">
        <v>2</v>
      </c>
      <c r="J106" s="15" t="s">
        <v>236</v>
      </c>
    </row>
    <row r="107" spans="1:10" s="42" customFormat="1" ht="15.75" x14ac:dyDescent="0.2">
      <c r="A107" s="16" t="s">
        <v>131</v>
      </c>
      <c r="B107" s="10">
        <f t="shared" si="12"/>
        <v>746</v>
      </c>
      <c r="C107" s="70">
        <v>719</v>
      </c>
      <c r="D107" s="44">
        <v>4</v>
      </c>
      <c r="E107" s="44">
        <v>10</v>
      </c>
      <c r="F107" s="50">
        <v>0</v>
      </c>
      <c r="G107" s="50">
        <v>0</v>
      </c>
      <c r="H107" s="44">
        <v>9</v>
      </c>
      <c r="I107" s="44">
        <v>4</v>
      </c>
      <c r="J107" s="15" t="s">
        <v>132</v>
      </c>
    </row>
    <row r="108" spans="1:10" s="51" customFormat="1" ht="12.75" x14ac:dyDescent="0.2">
      <c r="A108" s="16"/>
      <c r="B108" s="47"/>
      <c r="C108" s="52"/>
      <c r="D108" s="44"/>
      <c r="E108" s="44"/>
      <c r="F108" s="44"/>
      <c r="G108" s="44"/>
      <c r="H108" s="44"/>
      <c r="I108" s="46"/>
    </row>
    <row r="109" spans="1:10" s="42" customFormat="1" ht="15.75" x14ac:dyDescent="0.2">
      <c r="A109" s="12" t="s">
        <v>36</v>
      </c>
      <c r="B109" s="10">
        <f t="shared" ref="B109:B114" si="14">SUM(C109:I109)</f>
        <v>12096</v>
      </c>
      <c r="C109" s="10">
        <f>SUM(C110:C114)</f>
        <v>11405</v>
      </c>
      <c r="D109" s="38">
        <f t="shared" ref="D109:I109" si="15">SUM(D110:D114)</f>
        <v>108</v>
      </c>
      <c r="E109" s="38">
        <f t="shared" si="15"/>
        <v>162</v>
      </c>
      <c r="F109" s="38">
        <f t="shared" si="15"/>
        <v>3</v>
      </c>
      <c r="G109" s="38">
        <f t="shared" si="15"/>
        <v>4</v>
      </c>
      <c r="H109" s="38">
        <f t="shared" si="15"/>
        <v>225</v>
      </c>
      <c r="I109" s="38">
        <f t="shared" si="15"/>
        <v>189</v>
      </c>
      <c r="J109" s="41" t="s">
        <v>37</v>
      </c>
    </row>
    <row r="110" spans="1:10" s="42" customFormat="1" ht="15.75" x14ac:dyDescent="0.2">
      <c r="A110" s="14" t="s">
        <v>237</v>
      </c>
      <c r="B110" s="10">
        <f t="shared" si="14"/>
        <v>4436</v>
      </c>
      <c r="C110" s="70">
        <v>4205</v>
      </c>
      <c r="D110" s="44">
        <v>33</v>
      </c>
      <c r="E110" s="44">
        <v>45</v>
      </c>
      <c r="F110" s="50">
        <v>1</v>
      </c>
      <c r="G110" s="50">
        <v>1</v>
      </c>
      <c r="H110" s="44">
        <v>91</v>
      </c>
      <c r="I110" s="44">
        <v>60</v>
      </c>
      <c r="J110" s="15" t="s">
        <v>238</v>
      </c>
    </row>
    <row r="111" spans="1:10" s="42" customFormat="1" ht="15.75" x14ac:dyDescent="0.2">
      <c r="A111" s="14" t="s">
        <v>239</v>
      </c>
      <c r="B111" s="10">
        <f t="shared" si="14"/>
        <v>5155</v>
      </c>
      <c r="C111" s="70">
        <v>4810</v>
      </c>
      <c r="D111" s="44">
        <v>55</v>
      </c>
      <c r="E111" s="44">
        <v>86</v>
      </c>
      <c r="F111" s="50">
        <v>2</v>
      </c>
      <c r="G111" s="50">
        <v>3</v>
      </c>
      <c r="H111" s="44">
        <v>110</v>
      </c>
      <c r="I111" s="44">
        <v>89</v>
      </c>
      <c r="J111" s="15" t="s">
        <v>240</v>
      </c>
    </row>
    <row r="112" spans="1:10" s="42" customFormat="1" ht="15.75" x14ac:dyDescent="0.2">
      <c r="A112" s="14" t="s">
        <v>241</v>
      </c>
      <c r="B112" s="10">
        <f t="shared" si="14"/>
        <v>1867</v>
      </c>
      <c r="C112" s="70">
        <v>1778</v>
      </c>
      <c r="D112" s="44">
        <v>19</v>
      </c>
      <c r="E112" s="44">
        <v>30</v>
      </c>
      <c r="F112" s="50">
        <v>0</v>
      </c>
      <c r="G112" s="50">
        <v>0</v>
      </c>
      <c r="H112" s="44">
        <v>18</v>
      </c>
      <c r="I112" s="44">
        <v>22</v>
      </c>
      <c r="J112" s="15" t="s">
        <v>242</v>
      </c>
    </row>
    <row r="113" spans="1:10" s="42" customFormat="1" ht="15.75" x14ac:dyDescent="0.2">
      <c r="A113" s="14" t="s">
        <v>243</v>
      </c>
      <c r="B113" s="10">
        <f t="shared" si="14"/>
        <v>635</v>
      </c>
      <c r="C113" s="70">
        <v>612</v>
      </c>
      <c r="D113" s="44">
        <v>1</v>
      </c>
      <c r="E113" s="44">
        <v>1</v>
      </c>
      <c r="F113" s="50">
        <v>0</v>
      </c>
      <c r="G113" s="50">
        <v>0</v>
      </c>
      <c r="H113" s="44">
        <v>6</v>
      </c>
      <c r="I113" s="44">
        <v>15</v>
      </c>
      <c r="J113" s="15" t="s">
        <v>244</v>
      </c>
    </row>
    <row r="114" spans="1:10" s="42" customFormat="1" ht="15.75" x14ac:dyDescent="0.2">
      <c r="A114" s="14" t="s">
        <v>245</v>
      </c>
      <c r="B114" s="10">
        <f t="shared" si="14"/>
        <v>3</v>
      </c>
      <c r="C114" s="70">
        <v>0</v>
      </c>
      <c r="D114" s="44">
        <v>0</v>
      </c>
      <c r="E114" s="44">
        <v>0</v>
      </c>
      <c r="F114" s="50">
        <v>0</v>
      </c>
      <c r="G114" s="50">
        <v>0</v>
      </c>
      <c r="H114" s="44">
        <v>0</v>
      </c>
      <c r="I114" s="44">
        <v>3</v>
      </c>
      <c r="J114" s="15" t="s">
        <v>246</v>
      </c>
    </row>
    <row r="115" spans="1:10" s="42" customFormat="1" ht="12.75" x14ac:dyDescent="0.2">
      <c r="A115" s="16"/>
      <c r="B115" s="47"/>
      <c r="C115" s="52"/>
      <c r="D115" s="44"/>
      <c r="E115" s="44"/>
      <c r="F115" s="44"/>
      <c r="G115" s="44"/>
      <c r="H115" s="44"/>
      <c r="I115" s="46"/>
    </row>
    <row r="116" spans="1:10" s="42" customFormat="1" ht="15.75" x14ac:dyDescent="0.2">
      <c r="A116" s="12" t="s">
        <v>38</v>
      </c>
      <c r="B116" s="10">
        <f t="shared" ref="B116:B125" si="16">SUM(C116:I116)</f>
        <v>12171</v>
      </c>
      <c r="C116" s="10">
        <f>SUM(C117:C125)</f>
        <v>11458</v>
      </c>
      <c r="D116" s="38">
        <f t="shared" ref="D116:I116" si="17">SUM(D117:D125)</f>
        <v>115</v>
      </c>
      <c r="E116" s="38">
        <f t="shared" si="17"/>
        <v>193</v>
      </c>
      <c r="F116" s="38">
        <f t="shared" si="17"/>
        <v>6</v>
      </c>
      <c r="G116" s="38">
        <f t="shared" si="17"/>
        <v>6</v>
      </c>
      <c r="H116" s="38">
        <f t="shared" si="17"/>
        <v>192</v>
      </c>
      <c r="I116" s="38">
        <f t="shared" si="17"/>
        <v>201</v>
      </c>
      <c r="J116" s="41" t="s">
        <v>39</v>
      </c>
    </row>
    <row r="117" spans="1:10" s="42" customFormat="1" ht="15.75" x14ac:dyDescent="0.2">
      <c r="A117" s="14" t="s">
        <v>247</v>
      </c>
      <c r="B117" s="10">
        <f t="shared" si="16"/>
        <v>2254</v>
      </c>
      <c r="C117" s="70">
        <v>2066</v>
      </c>
      <c r="D117" s="44">
        <v>37</v>
      </c>
      <c r="E117" s="44">
        <v>53</v>
      </c>
      <c r="F117" s="50">
        <v>1</v>
      </c>
      <c r="G117" s="50">
        <v>1</v>
      </c>
      <c r="H117" s="44">
        <v>36</v>
      </c>
      <c r="I117" s="44">
        <v>60</v>
      </c>
      <c r="J117" s="15" t="s">
        <v>248</v>
      </c>
    </row>
    <row r="118" spans="1:10" s="42" customFormat="1" ht="15.75" x14ac:dyDescent="0.2">
      <c r="A118" s="14" t="s">
        <v>249</v>
      </c>
      <c r="B118" s="10">
        <f t="shared" si="16"/>
        <v>1278</v>
      </c>
      <c r="C118" s="70">
        <v>1213</v>
      </c>
      <c r="D118" s="44">
        <v>9</v>
      </c>
      <c r="E118" s="44">
        <v>14</v>
      </c>
      <c r="F118" s="50">
        <v>0</v>
      </c>
      <c r="G118" s="50">
        <v>0</v>
      </c>
      <c r="H118" s="44">
        <v>20</v>
      </c>
      <c r="I118" s="44">
        <v>22</v>
      </c>
      <c r="J118" s="15" t="s">
        <v>250</v>
      </c>
    </row>
    <row r="119" spans="1:10" s="42" customFormat="1" ht="15.75" x14ac:dyDescent="0.2">
      <c r="A119" s="14" t="s">
        <v>251</v>
      </c>
      <c r="B119" s="10">
        <f t="shared" si="16"/>
        <v>1135</v>
      </c>
      <c r="C119" s="70">
        <v>1082</v>
      </c>
      <c r="D119" s="44">
        <v>12</v>
      </c>
      <c r="E119" s="44">
        <v>21</v>
      </c>
      <c r="F119" s="50">
        <v>0</v>
      </c>
      <c r="G119" s="50">
        <v>0</v>
      </c>
      <c r="H119" s="44">
        <v>10</v>
      </c>
      <c r="I119" s="44">
        <v>10</v>
      </c>
      <c r="J119" s="15" t="s">
        <v>252</v>
      </c>
    </row>
    <row r="120" spans="1:10" s="42" customFormat="1" ht="15.75" x14ac:dyDescent="0.2">
      <c r="A120" s="14" t="s">
        <v>253</v>
      </c>
      <c r="B120" s="10">
        <f t="shared" si="16"/>
        <v>1425</v>
      </c>
      <c r="C120" s="70">
        <v>1345</v>
      </c>
      <c r="D120" s="44">
        <v>12</v>
      </c>
      <c r="E120" s="44">
        <v>21</v>
      </c>
      <c r="F120" s="50">
        <v>1</v>
      </c>
      <c r="G120" s="50">
        <v>1</v>
      </c>
      <c r="H120" s="44">
        <v>19</v>
      </c>
      <c r="I120" s="44">
        <v>26</v>
      </c>
      <c r="J120" s="15" t="s">
        <v>254</v>
      </c>
    </row>
    <row r="121" spans="1:10" s="42" customFormat="1" ht="15.75" x14ac:dyDescent="0.2">
      <c r="A121" s="14" t="s">
        <v>255</v>
      </c>
      <c r="B121" s="10">
        <f t="shared" si="16"/>
        <v>887</v>
      </c>
      <c r="C121" s="70">
        <v>859</v>
      </c>
      <c r="D121" s="44">
        <v>2</v>
      </c>
      <c r="E121" s="44">
        <v>3</v>
      </c>
      <c r="F121" s="50">
        <v>0</v>
      </c>
      <c r="G121" s="50">
        <v>0</v>
      </c>
      <c r="H121" s="44">
        <v>7</v>
      </c>
      <c r="I121" s="44">
        <v>16</v>
      </c>
      <c r="J121" s="15" t="s">
        <v>256</v>
      </c>
    </row>
    <row r="122" spans="1:10" s="42" customFormat="1" ht="15.75" x14ac:dyDescent="0.2">
      <c r="A122" s="14" t="s">
        <v>257</v>
      </c>
      <c r="B122" s="10">
        <f t="shared" si="16"/>
        <v>1014</v>
      </c>
      <c r="C122" s="70">
        <v>942</v>
      </c>
      <c r="D122" s="44">
        <v>13</v>
      </c>
      <c r="E122" s="44">
        <v>29</v>
      </c>
      <c r="F122" s="50">
        <v>0</v>
      </c>
      <c r="G122" s="50">
        <v>0</v>
      </c>
      <c r="H122" s="44">
        <v>23</v>
      </c>
      <c r="I122" s="44">
        <v>7</v>
      </c>
      <c r="J122" s="15" t="s">
        <v>258</v>
      </c>
    </row>
    <row r="123" spans="1:10" s="42" customFormat="1" ht="15.75" x14ac:dyDescent="0.2">
      <c r="A123" s="14" t="s">
        <v>259</v>
      </c>
      <c r="B123" s="10">
        <f t="shared" si="16"/>
        <v>780</v>
      </c>
      <c r="C123" s="70">
        <v>753</v>
      </c>
      <c r="D123" s="44">
        <v>4</v>
      </c>
      <c r="E123" s="44">
        <v>5</v>
      </c>
      <c r="F123" s="50">
        <v>0</v>
      </c>
      <c r="G123" s="50">
        <v>0</v>
      </c>
      <c r="H123" s="44">
        <v>12</v>
      </c>
      <c r="I123" s="44">
        <v>6</v>
      </c>
      <c r="J123" s="15" t="s">
        <v>260</v>
      </c>
    </row>
    <row r="124" spans="1:10" s="42" customFormat="1" ht="15.75" x14ac:dyDescent="0.2">
      <c r="A124" s="14" t="s">
        <v>261</v>
      </c>
      <c r="B124" s="10">
        <f t="shared" si="16"/>
        <v>1584</v>
      </c>
      <c r="C124" s="70">
        <v>1517</v>
      </c>
      <c r="D124" s="44">
        <v>9</v>
      </c>
      <c r="E124" s="44">
        <v>14</v>
      </c>
      <c r="F124" s="50">
        <v>1</v>
      </c>
      <c r="G124" s="50">
        <v>1</v>
      </c>
      <c r="H124" s="44">
        <v>29</v>
      </c>
      <c r="I124" s="44">
        <v>13</v>
      </c>
      <c r="J124" s="15" t="s">
        <v>262</v>
      </c>
    </row>
    <row r="125" spans="1:10" s="42" customFormat="1" ht="15.75" x14ac:dyDescent="0.2">
      <c r="A125" s="14" t="s">
        <v>263</v>
      </c>
      <c r="B125" s="10">
        <f t="shared" si="16"/>
        <v>1814</v>
      </c>
      <c r="C125" s="70">
        <v>1681</v>
      </c>
      <c r="D125" s="44">
        <v>17</v>
      </c>
      <c r="E125" s="44">
        <v>33</v>
      </c>
      <c r="F125" s="50">
        <v>3</v>
      </c>
      <c r="G125" s="50">
        <v>3</v>
      </c>
      <c r="H125" s="44">
        <v>36</v>
      </c>
      <c r="I125" s="44">
        <v>41</v>
      </c>
      <c r="J125" s="15" t="s">
        <v>264</v>
      </c>
    </row>
    <row r="126" spans="1:10" s="42" customFormat="1" ht="12.75" x14ac:dyDescent="0.2">
      <c r="A126" s="16"/>
      <c r="B126" s="47"/>
      <c r="C126" s="52"/>
      <c r="D126" s="44"/>
      <c r="E126" s="44"/>
      <c r="F126" s="44"/>
      <c r="G126" s="44"/>
      <c r="H126" s="44"/>
      <c r="I126" s="46"/>
    </row>
    <row r="127" spans="1:10" s="42" customFormat="1" ht="15.75" x14ac:dyDescent="0.2">
      <c r="A127" s="12" t="s">
        <v>40</v>
      </c>
      <c r="B127" s="10">
        <f t="shared" ref="B127:B135" si="18">SUM(C127:I127)</f>
        <v>7376</v>
      </c>
      <c r="C127" s="10">
        <f>SUM(C128:C135)</f>
        <v>6994</v>
      </c>
      <c r="D127" s="38">
        <f t="shared" ref="D127:I127" si="19">SUM(D128:D135)</f>
        <v>51</v>
      </c>
      <c r="E127" s="38">
        <f t="shared" si="19"/>
        <v>88</v>
      </c>
      <c r="F127" s="38">
        <f t="shared" si="19"/>
        <v>0</v>
      </c>
      <c r="G127" s="38">
        <f t="shared" si="19"/>
        <v>0</v>
      </c>
      <c r="H127" s="38">
        <f t="shared" si="19"/>
        <v>127</v>
      </c>
      <c r="I127" s="38">
        <f t="shared" si="19"/>
        <v>116</v>
      </c>
      <c r="J127" s="41" t="s">
        <v>41</v>
      </c>
    </row>
    <row r="128" spans="1:10" s="42" customFormat="1" ht="15.75" x14ac:dyDescent="0.2">
      <c r="A128" s="14" t="s">
        <v>265</v>
      </c>
      <c r="B128" s="10">
        <f t="shared" si="18"/>
        <v>1581</v>
      </c>
      <c r="C128" s="70">
        <v>1506</v>
      </c>
      <c r="D128" s="44">
        <v>11</v>
      </c>
      <c r="E128" s="44">
        <v>14</v>
      </c>
      <c r="F128" s="50">
        <v>0</v>
      </c>
      <c r="G128" s="50">
        <v>0</v>
      </c>
      <c r="H128" s="44">
        <v>14</v>
      </c>
      <c r="I128" s="44">
        <v>36</v>
      </c>
      <c r="J128" s="15" t="s">
        <v>266</v>
      </c>
    </row>
    <row r="129" spans="1:10" s="42" customFormat="1" ht="15.75" x14ac:dyDescent="0.2">
      <c r="A129" s="14" t="s">
        <v>267</v>
      </c>
      <c r="B129" s="10">
        <f t="shared" si="18"/>
        <v>1101</v>
      </c>
      <c r="C129" s="70">
        <v>1043</v>
      </c>
      <c r="D129" s="44">
        <v>12</v>
      </c>
      <c r="E129" s="44">
        <v>20</v>
      </c>
      <c r="F129" s="50">
        <v>0</v>
      </c>
      <c r="G129" s="50">
        <v>0</v>
      </c>
      <c r="H129" s="44">
        <v>13</v>
      </c>
      <c r="I129" s="44">
        <v>13</v>
      </c>
      <c r="J129" s="15" t="s">
        <v>268</v>
      </c>
    </row>
    <row r="130" spans="1:10" s="42" customFormat="1" ht="15.75" x14ac:dyDescent="0.2">
      <c r="A130" s="14" t="s">
        <v>269</v>
      </c>
      <c r="B130" s="10">
        <f t="shared" si="18"/>
        <v>937</v>
      </c>
      <c r="C130" s="70">
        <v>866</v>
      </c>
      <c r="D130" s="44">
        <v>8</v>
      </c>
      <c r="E130" s="44">
        <v>16</v>
      </c>
      <c r="F130" s="50">
        <v>0</v>
      </c>
      <c r="G130" s="50">
        <v>0</v>
      </c>
      <c r="H130" s="44">
        <v>25</v>
      </c>
      <c r="I130" s="44">
        <v>22</v>
      </c>
      <c r="J130" s="15" t="s">
        <v>270</v>
      </c>
    </row>
    <row r="131" spans="1:10" s="42" customFormat="1" ht="15.75" x14ac:dyDescent="0.2">
      <c r="A131" s="14" t="s">
        <v>271</v>
      </c>
      <c r="B131" s="10">
        <f t="shared" si="18"/>
        <v>893</v>
      </c>
      <c r="C131" s="70">
        <v>840</v>
      </c>
      <c r="D131" s="44">
        <v>3</v>
      </c>
      <c r="E131" s="44">
        <v>7</v>
      </c>
      <c r="F131" s="50">
        <v>0</v>
      </c>
      <c r="G131" s="50">
        <v>0</v>
      </c>
      <c r="H131" s="44">
        <v>27</v>
      </c>
      <c r="I131" s="44">
        <v>16</v>
      </c>
      <c r="J131" s="15" t="s">
        <v>272</v>
      </c>
    </row>
    <row r="132" spans="1:10" s="42" customFormat="1" ht="15.75" x14ac:dyDescent="0.2">
      <c r="A132" s="53" t="s">
        <v>273</v>
      </c>
      <c r="B132" s="10">
        <f t="shared" si="18"/>
        <v>677</v>
      </c>
      <c r="C132" s="70">
        <v>643</v>
      </c>
      <c r="D132" s="44">
        <v>7</v>
      </c>
      <c r="E132" s="44">
        <v>13</v>
      </c>
      <c r="F132" s="50">
        <v>0</v>
      </c>
      <c r="G132" s="50">
        <v>0</v>
      </c>
      <c r="H132" s="44">
        <v>10</v>
      </c>
      <c r="I132" s="44">
        <v>4</v>
      </c>
      <c r="J132" s="54" t="s">
        <v>274</v>
      </c>
    </row>
    <row r="133" spans="1:10" s="42" customFormat="1" ht="15.75" x14ac:dyDescent="0.2">
      <c r="A133" s="14" t="s">
        <v>275</v>
      </c>
      <c r="B133" s="10">
        <f t="shared" si="18"/>
        <v>747</v>
      </c>
      <c r="C133" s="70">
        <v>714</v>
      </c>
      <c r="D133" s="44">
        <v>6</v>
      </c>
      <c r="E133" s="44">
        <v>10</v>
      </c>
      <c r="F133" s="50">
        <v>0</v>
      </c>
      <c r="G133" s="50">
        <v>0</v>
      </c>
      <c r="H133" s="44">
        <v>9</v>
      </c>
      <c r="I133" s="44">
        <v>8</v>
      </c>
      <c r="J133" s="15" t="s">
        <v>276</v>
      </c>
    </row>
    <row r="134" spans="1:10" s="42" customFormat="1" ht="15.75" x14ac:dyDescent="0.2">
      <c r="A134" s="16" t="s">
        <v>225</v>
      </c>
      <c r="B134" s="10">
        <f t="shared" si="18"/>
        <v>686</v>
      </c>
      <c r="C134" s="70">
        <v>657</v>
      </c>
      <c r="D134" s="44">
        <v>2</v>
      </c>
      <c r="E134" s="44">
        <v>3</v>
      </c>
      <c r="F134" s="50">
        <v>0</v>
      </c>
      <c r="G134" s="50">
        <v>0</v>
      </c>
      <c r="H134" s="44">
        <v>14</v>
      </c>
      <c r="I134" s="44">
        <v>10</v>
      </c>
      <c r="J134" s="15" t="s">
        <v>226</v>
      </c>
    </row>
    <row r="135" spans="1:10" s="42" customFormat="1" ht="15.75" x14ac:dyDescent="0.2">
      <c r="A135" s="16" t="s">
        <v>277</v>
      </c>
      <c r="B135" s="10">
        <f t="shared" si="18"/>
        <v>754</v>
      </c>
      <c r="C135" s="70">
        <v>725</v>
      </c>
      <c r="D135" s="44">
        <v>2</v>
      </c>
      <c r="E135" s="44">
        <v>5</v>
      </c>
      <c r="F135" s="50">
        <v>0</v>
      </c>
      <c r="G135" s="50">
        <v>0</v>
      </c>
      <c r="H135" s="44">
        <v>15</v>
      </c>
      <c r="I135" s="44">
        <v>7</v>
      </c>
      <c r="J135" s="15" t="s">
        <v>278</v>
      </c>
    </row>
    <row r="136" spans="1:10" s="51" customFormat="1" ht="12.75" x14ac:dyDescent="0.2">
      <c r="A136" s="16"/>
      <c r="B136" s="47"/>
      <c r="C136" s="52"/>
      <c r="D136" s="44"/>
      <c r="E136" s="44"/>
      <c r="F136" s="44"/>
      <c r="G136" s="44"/>
      <c r="H136" s="44"/>
      <c r="I136" s="46"/>
    </row>
    <row r="137" spans="1:10" s="42" customFormat="1" ht="15.75" x14ac:dyDescent="0.2">
      <c r="A137" s="12" t="s">
        <v>42</v>
      </c>
      <c r="B137" s="10">
        <f t="shared" ref="B137:B147" si="20">SUM(C137:I137)</f>
        <v>10470</v>
      </c>
      <c r="C137" s="10">
        <f>SUM(C138:C147)</f>
        <v>9969</v>
      </c>
      <c r="D137" s="38">
        <f t="shared" ref="D137:I137" si="21">SUM(D138:D147)</f>
        <v>44</v>
      </c>
      <c r="E137" s="38">
        <f t="shared" si="21"/>
        <v>68</v>
      </c>
      <c r="F137" s="38">
        <f t="shared" si="21"/>
        <v>4</v>
      </c>
      <c r="G137" s="38">
        <f t="shared" si="21"/>
        <v>6</v>
      </c>
      <c r="H137" s="38">
        <f t="shared" si="21"/>
        <v>167</v>
      </c>
      <c r="I137" s="38">
        <f t="shared" si="21"/>
        <v>212</v>
      </c>
      <c r="J137" s="41" t="s">
        <v>43</v>
      </c>
    </row>
    <row r="138" spans="1:10" s="42" customFormat="1" ht="15.75" x14ac:dyDescent="0.2">
      <c r="A138" s="14" t="s">
        <v>279</v>
      </c>
      <c r="B138" s="10">
        <f t="shared" si="20"/>
        <v>662</v>
      </c>
      <c r="C138" s="70">
        <v>638</v>
      </c>
      <c r="D138" s="44">
        <v>4</v>
      </c>
      <c r="E138" s="44">
        <v>4</v>
      </c>
      <c r="F138" s="50">
        <v>0</v>
      </c>
      <c r="G138" s="50">
        <v>0</v>
      </c>
      <c r="H138" s="44">
        <v>11</v>
      </c>
      <c r="I138" s="44">
        <v>5</v>
      </c>
      <c r="J138" s="15" t="s">
        <v>280</v>
      </c>
    </row>
    <row r="139" spans="1:10" s="42" customFormat="1" ht="15.75" x14ac:dyDescent="0.2">
      <c r="A139" s="14" t="s">
        <v>281</v>
      </c>
      <c r="B139" s="10">
        <f t="shared" si="20"/>
        <v>1067</v>
      </c>
      <c r="C139" s="70">
        <v>975</v>
      </c>
      <c r="D139" s="44">
        <v>5</v>
      </c>
      <c r="E139" s="44">
        <v>6</v>
      </c>
      <c r="F139" s="50">
        <v>0</v>
      </c>
      <c r="G139" s="50">
        <v>0</v>
      </c>
      <c r="H139" s="44">
        <v>22</v>
      </c>
      <c r="I139" s="44">
        <v>59</v>
      </c>
      <c r="J139" s="15" t="s">
        <v>282</v>
      </c>
    </row>
    <row r="140" spans="1:10" s="42" customFormat="1" ht="15.75" x14ac:dyDescent="0.2">
      <c r="A140" s="14" t="s">
        <v>283</v>
      </c>
      <c r="B140" s="10">
        <f t="shared" si="20"/>
        <v>570</v>
      </c>
      <c r="C140" s="70">
        <v>541</v>
      </c>
      <c r="D140" s="44">
        <v>2</v>
      </c>
      <c r="E140" s="44">
        <v>3</v>
      </c>
      <c r="F140" s="50">
        <v>0</v>
      </c>
      <c r="G140" s="50">
        <v>0</v>
      </c>
      <c r="H140" s="44">
        <v>9</v>
      </c>
      <c r="I140" s="44">
        <v>15</v>
      </c>
      <c r="J140" s="15" t="s">
        <v>114</v>
      </c>
    </row>
    <row r="141" spans="1:10" s="42" customFormat="1" ht="15.75" x14ac:dyDescent="0.2">
      <c r="A141" s="14" t="s">
        <v>284</v>
      </c>
      <c r="B141" s="10">
        <f t="shared" si="20"/>
        <v>2277</v>
      </c>
      <c r="C141" s="70">
        <v>2191</v>
      </c>
      <c r="D141" s="44">
        <v>11</v>
      </c>
      <c r="E141" s="44">
        <v>19</v>
      </c>
      <c r="F141" s="50">
        <v>0</v>
      </c>
      <c r="G141" s="50">
        <v>0</v>
      </c>
      <c r="H141" s="44">
        <v>29</v>
      </c>
      <c r="I141" s="44">
        <v>27</v>
      </c>
      <c r="J141" s="15" t="s">
        <v>285</v>
      </c>
    </row>
    <row r="142" spans="1:10" s="42" customFormat="1" ht="15.75" x14ac:dyDescent="0.2">
      <c r="A142" s="14" t="s">
        <v>286</v>
      </c>
      <c r="B142" s="10">
        <f t="shared" si="20"/>
        <v>436</v>
      </c>
      <c r="C142" s="70">
        <v>419</v>
      </c>
      <c r="D142" s="44">
        <v>1</v>
      </c>
      <c r="E142" s="44">
        <v>2</v>
      </c>
      <c r="F142" s="50">
        <v>0</v>
      </c>
      <c r="G142" s="50">
        <v>0</v>
      </c>
      <c r="H142" s="44">
        <v>7</v>
      </c>
      <c r="I142" s="44">
        <v>7</v>
      </c>
      <c r="J142" s="15" t="s">
        <v>174</v>
      </c>
    </row>
    <row r="143" spans="1:10" s="42" customFormat="1" ht="15.75" x14ac:dyDescent="0.2">
      <c r="A143" s="53" t="s">
        <v>287</v>
      </c>
      <c r="B143" s="10">
        <f t="shared" si="20"/>
        <v>988</v>
      </c>
      <c r="C143" s="70">
        <v>938</v>
      </c>
      <c r="D143" s="44">
        <v>1</v>
      </c>
      <c r="E143" s="44">
        <v>1</v>
      </c>
      <c r="F143" s="50">
        <v>0</v>
      </c>
      <c r="G143" s="50">
        <v>0</v>
      </c>
      <c r="H143" s="44">
        <v>32</v>
      </c>
      <c r="I143" s="44">
        <v>16</v>
      </c>
      <c r="J143" s="15" t="s">
        <v>288</v>
      </c>
    </row>
    <row r="144" spans="1:10" s="42" customFormat="1" ht="15.75" x14ac:dyDescent="0.2">
      <c r="A144" s="53" t="s">
        <v>289</v>
      </c>
      <c r="B144" s="10">
        <f t="shared" si="20"/>
        <v>613</v>
      </c>
      <c r="C144" s="70">
        <v>580</v>
      </c>
      <c r="D144" s="44">
        <v>6</v>
      </c>
      <c r="E144" s="44">
        <v>9</v>
      </c>
      <c r="F144" s="50">
        <v>0</v>
      </c>
      <c r="G144" s="50">
        <v>0</v>
      </c>
      <c r="H144" s="44">
        <v>6</v>
      </c>
      <c r="I144" s="44">
        <v>12</v>
      </c>
      <c r="J144" s="54" t="s">
        <v>290</v>
      </c>
    </row>
    <row r="145" spans="1:10" s="42" customFormat="1" ht="15.75" x14ac:dyDescent="0.2">
      <c r="A145" s="14" t="s">
        <v>291</v>
      </c>
      <c r="B145" s="10">
        <f t="shared" si="20"/>
        <v>967</v>
      </c>
      <c r="C145" s="70">
        <v>927</v>
      </c>
      <c r="D145" s="44">
        <v>4</v>
      </c>
      <c r="E145" s="44">
        <v>6</v>
      </c>
      <c r="F145" s="50">
        <v>3</v>
      </c>
      <c r="G145" s="50">
        <v>3</v>
      </c>
      <c r="H145" s="44">
        <v>13</v>
      </c>
      <c r="I145" s="44">
        <v>11</v>
      </c>
      <c r="J145" s="15" t="s">
        <v>292</v>
      </c>
    </row>
    <row r="146" spans="1:10" s="42" customFormat="1" ht="15.75" x14ac:dyDescent="0.2">
      <c r="A146" s="14" t="s">
        <v>83</v>
      </c>
      <c r="B146" s="10">
        <f t="shared" si="20"/>
        <v>193</v>
      </c>
      <c r="C146" s="70">
        <v>184</v>
      </c>
      <c r="D146" s="44">
        <v>2</v>
      </c>
      <c r="E146" s="44">
        <v>3</v>
      </c>
      <c r="F146" s="50">
        <v>0</v>
      </c>
      <c r="G146" s="50">
        <v>0</v>
      </c>
      <c r="H146" s="44">
        <v>1</v>
      </c>
      <c r="I146" s="50">
        <v>3</v>
      </c>
      <c r="J146" s="15" t="s">
        <v>84</v>
      </c>
    </row>
    <row r="147" spans="1:10" s="42" customFormat="1" ht="15.75" x14ac:dyDescent="0.2">
      <c r="A147" s="14" t="s">
        <v>293</v>
      </c>
      <c r="B147" s="10">
        <f t="shared" si="20"/>
        <v>2697</v>
      </c>
      <c r="C147" s="70">
        <v>2576</v>
      </c>
      <c r="D147" s="44">
        <v>8</v>
      </c>
      <c r="E147" s="44">
        <v>15</v>
      </c>
      <c r="F147" s="50">
        <v>1</v>
      </c>
      <c r="G147" s="50">
        <v>3</v>
      </c>
      <c r="H147" s="44">
        <v>37</v>
      </c>
      <c r="I147" s="44">
        <v>57</v>
      </c>
      <c r="J147" s="15" t="s">
        <v>294</v>
      </c>
    </row>
    <row r="148" spans="1:10" s="42" customFormat="1" ht="12.75" x14ac:dyDescent="0.2">
      <c r="A148" s="14"/>
      <c r="B148" s="43"/>
      <c r="C148" s="52"/>
      <c r="D148" s="44"/>
      <c r="E148" s="44"/>
      <c r="F148" s="44"/>
      <c r="G148" s="44"/>
      <c r="H148" s="44"/>
      <c r="I148" s="46"/>
    </row>
    <row r="149" spans="1:10" s="42" customFormat="1" ht="15.75" x14ac:dyDescent="0.2">
      <c r="A149" s="12" t="s">
        <v>44</v>
      </c>
      <c r="B149" s="10">
        <f t="shared" ref="B149:B154" si="22">SUM(C149:I149)</f>
        <v>2176</v>
      </c>
      <c r="C149" s="10">
        <f>SUM(C150:C154)</f>
        <v>2099</v>
      </c>
      <c r="D149" s="38">
        <f t="shared" ref="D149:I149" si="23">SUM(D150:D154)</f>
        <v>10</v>
      </c>
      <c r="E149" s="38">
        <f t="shared" si="23"/>
        <v>19</v>
      </c>
      <c r="F149" s="38">
        <f t="shared" si="23"/>
        <v>0</v>
      </c>
      <c r="G149" s="38">
        <f t="shared" si="23"/>
        <v>0</v>
      </c>
      <c r="H149" s="38">
        <f t="shared" si="23"/>
        <v>23</v>
      </c>
      <c r="I149" s="38">
        <f t="shared" si="23"/>
        <v>25</v>
      </c>
      <c r="J149" s="41" t="s">
        <v>45</v>
      </c>
    </row>
    <row r="150" spans="1:10" s="42" customFormat="1" ht="15.75" x14ac:dyDescent="0.2">
      <c r="A150" s="14" t="s">
        <v>295</v>
      </c>
      <c r="B150" s="10">
        <f t="shared" si="22"/>
        <v>419</v>
      </c>
      <c r="C150" s="70">
        <v>393</v>
      </c>
      <c r="D150" s="44">
        <v>4</v>
      </c>
      <c r="E150" s="44">
        <v>7</v>
      </c>
      <c r="F150" s="50">
        <v>0</v>
      </c>
      <c r="G150" s="50">
        <v>0</v>
      </c>
      <c r="H150" s="44">
        <v>8</v>
      </c>
      <c r="I150" s="44">
        <v>7</v>
      </c>
      <c r="J150" s="15" t="s">
        <v>296</v>
      </c>
    </row>
    <row r="151" spans="1:10" s="42" customFormat="1" ht="15.75" x14ac:dyDescent="0.2">
      <c r="A151" s="14" t="s">
        <v>297</v>
      </c>
      <c r="B151" s="10">
        <f t="shared" si="22"/>
        <v>155</v>
      </c>
      <c r="C151" s="70">
        <v>153</v>
      </c>
      <c r="D151" s="44">
        <v>0</v>
      </c>
      <c r="E151" s="44">
        <v>0</v>
      </c>
      <c r="F151" s="50">
        <v>0</v>
      </c>
      <c r="G151" s="50">
        <v>0</v>
      </c>
      <c r="H151" s="44">
        <v>1</v>
      </c>
      <c r="I151" s="44">
        <v>1</v>
      </c>
      <c r="J151" s="15" t="s">
        <v>298</v>
      </c>
    </row>
    <row r="152" spans="1:10" s="42" customFormat="1" ht="15.75" x14ac:dyDescent="0.2">
      <c r="A152" s="14" t="s">
        <v>299</v>
      </c>
      <c r="B152" s="10">
        <f t="shared" si="22"/>
        <v>572</v>
      </c>
      <c r="C152" s="70">
        <v>559</v>
      </c>
      <c r="D152" s="44">
        <v>0</v>
      </c>
      <c r="E152" s="44">
        <v>0</v>
      </c>
      <c r="F152" s="50">
        <v>0</v>
      </c>
      <c r="G152" s="50">
        <v>0</v>
      </c>
      <c r="H152" s="44">
        <v>6</v>
      </c>
      <c r="I152" s="44">
        <v>7</v>
      </c>
      <c r="J152" s="15" t="s">
        <v>300</v>
      </c>
    </row>
    <row r="153" spans="1:10" s="42" customFormat="1" ht="15.75" x14ac:dyDescent="0.2">
      <c r="A153" s="14" t="s">
        <v>301</v>
      </c>
      <c r="B153" s="10">
        <f t="shared" si="22"/>
        <v>698</v>
      </c>
      <c r="C153" s="70">
        <v>665</v>
      </c>
      <c r="D153" s="44">
        <v>5</v>
      </c>
      <c r="E153" s="44">
        <v>11</v>
      </c>
      <c r="F153" s="50">
        <v>0</v>
      </c>
      <c r="G153" s="50">
        <v>0</v>
      </c>
      <c r="H153" s="44">
        <v>8</v>
      </c>
      <c r="I153" s="44">
        <v>9</v>
      </c>
      <c r="J153" s="15" t="s">
        <v>302</v>
      </c>
    </row>
    <row r="154" spans="1:10" s="42" customFormat="1" ht="15.75" x14ac:dyDescent="0.2">
      <c r="A154" s="14" t="s">
        <v>303</v>
      </c>
      <c r="B154" s="10">
        <f t="shared" si="22"/>
        <v>332</v>
      </c>
      <c r="C154" s="70">
        <v>329</v>
      </c>
      <c r="D154" s="44">
        <v>1</v>
      </c>
      <c r="E154" s="44">
        <v>1</v>
      </c>
      <c r="F154" s="50">
        <v>0</v>
      </c>
      <c r="G154" s="50">
        <v>0</v>
      </c>
      <c r="H154" s="44">
        <v>0</v>
      </c>
      <c r="I154" s="44">
        <v>1</v>
      </c>
      <c r="J154" s="15" t="s">
        <v>304</v>
      </c>
    </row>
    <row r="155" spans="1:10" s="42" customFormat="1" ht="12.75" x14ac:dyDescent="0.2">
      <c r="A155" s="16"/>
      <c r="B155" s="47"/>
      <c r="C155" s="52"/>
      <c r="D155" s="44"/>
      <c r="E155" s="44"/>
      <c r="F155" s="44"/>
      <c r="G155" s="44"/>
      <c r="H155" s="44"/>
      <c r="I155" s="46"/>
    </row>
    <row r="156" spans="1:10" s="42" customFormat="1" ht="15.75" x14ac:dyDescent="0.2">
      <c r="A156" s="12" t="s">
        <v>46</v>
      </c>
      <c r="B156" s="10">
        <f t="shared" ref="B156:B164" si="24">SUM(C156:I156)</f>
        <v>6754</v>
      </c>
      <c r="C156" s="10">
        <f>SUM(C157:C164)</f>
        <v>6489</v>
      </c>
      <c r="D156" s="38">
        <f>SUM(D157:D164)</f>
        <v>36</v>
      </c>
      <c r="E156" s="38">
        <f>SUM(E157:E164)</f>
        <v>66</v>
      </c>
      <c r="F156" s="38">
        <f t="shared" ref="F156:G156" si="25">SUM(F157:F164)</f>
        <v>1</v>
      </c>
      <c r="G156" s="38">
        <f t="shared" si="25"/>
        <v>2</v>
      </c>
      <c r="H156" s="38">
        <f>SUM(H157:H164)</f>
        <v>72</v>
      </c>
      <c r="I156" s="38">
        <f>SUM(I157:I164)</f>
        <v>88</v>
      </c>
      <c r="J156" s="41" t="s">
        <v>47</v>
      </c>
    </row>
    <row r="157" spans="1:10" s="42" customFormat="1" ht="15.75" x14ac:dyDescent="0.2">
      <c r="A157" s="16" t="s">
        <v>305</v>
      </c>
      <c r="B157" s="10">
        <f t="shared" si="24"/>
        <v>219</v>
      </c>
      <c r="C157" s="70">
        <v>211</v>
      </c>
      <c r="D157" s="44">
        <v>0</v>
      </c>
      <c r="E157" s="44">
        <v>0</v>
      </c>
      <c r="F157" s="50">
        <v>0</v>
      </c>
      <c r="G157" s="50">
        <v>0</v>
      </c>
      <c r="H157" s="44">
        <v>5</v>
      </c>
      <c r="I157" s="44">
        <v>3</v>
      </c>
      <c r="J157" s="15" t="s">
        <v>306</v>
      </c>
    </row>
    <row r="158" spans="1:10" s="42" customFormat="1" ht="15.75" x14ac:dyDescent="0.2">
      <c r="A158" s="16" t="s">
        <v>307</v>
      </c>
      <c r="B158" s="10">
        <f t="shared" si="24"/>
        <v>298</v>
      </c>
      <c r="C158" s="70">
        <v>284</v>
      </c>
      <c r="D158" s="44">
        <v>1</v>
      </c>
      <c r="E158" s="44">
        <v>2</v>
      </c>
      <c r="F158" s="50">
        <v>0</v>
      </c>
      <c r="G158" s="50">
        <v>0</v>
      </c>
      <c r="H158" s="44">
        <v>5</v>
      </c>
      <c r="I158" s="44">
        <v>6</v>
      </c>
      <c r="J158" s="15" t="s">
        <v>308</v>
      </c>
    </row>
    <row r="159" spans="1:10" s="42" customFormat="1" ht="15.75" x14ac:dyDescent="0.2">
      <c r="A159" s="16" t="s">
        <v>309</v>
      </c>
      <c r="B159" s="10">
        <f t="shared" si="24"/>
        <v>1698</v>
      </c>
      <c r="C159" s="70">
        <v>1602</v>
      </c>
      <c r="D159" s="44">
        <v>10</v>
      </c>
      <c r="E159" s="44">
        <v>18</v>
      </c>
      <c r="F159" s="50">
        <v>0</v>
      </c>
      <c r="G159" s="50">
        <v>0</v>
      </c>
      <c r="H159" s="44">
        <v>21</v>
      </c>
      <c r="I159" s="44">
        <v>47</v>
      </c>
      <c r="J159" s="15" t="s">
        <v>310</v>
      </c>
    </row>
    <row r="160" spans="1:10" s="42" customFormat="1" ht="15.75" x14ac:dyDescent="0.2">
      <c r="A160" s="16" t="s">
        <v>311</v>
      </c>
      <c r="B160" s="10">
        <f t="shared" si="24"/>
        <v>937</v>
      </c>
      <c r="C160" s="70">
        <v>892</v>
      </c>
      <c r="D160" s="44">
        <v>9</v>
      </c>
      <c r="E160" s="44">
        <v>20</v>
      </c>
      <c r="F160" s="50">
        <v>0</v>
      </c>
      <c r="G160" s="50">
        <v>0</v>
      </c>
      <c r="H160" s="44">
        <v>10</v>
      </c>
      <c r="I160" s="44">
        <v>6</v>
      </c>
      <c r="J160" s="15" t="s">
        <v>312</v>
      </c>
    </row>
    <row r="161" spans="1:10" s="42" customFormat="1" ht="15.75" x14ac:dyDescent="0.2">
      <c r="A161" s="16" t="s">
        <v>313</v>
      </c>
      <c r="B161" s="10">
        <f t="shared" si="24"/>
        <v>481</v>
      </c>
      <c r="C161" s="70">
        <v>471</v>
      </c>
      <c r="D161" s="44">
        <v>1</v>
      </c>
      <c r="E161" s="44">
        <v>2</v>
      </c>
      <c r="F161" s="50">
        <v>0</v>
      </c>
      <c r="G161" s="50">
        <v>0</v>
      </c>
      <c r="H161" s="44">
        <v>2</v>
      </c>
      <c r="I161" s="44">
        <v>5</v>
      </c>
      <c r="J161" s="15" t="s">
        <v>314</v>
      </c>
    </row>
    <row r="162" spans="1:10" s="42" customFormat="1" ht="15.75" x14ac:dyDescent="0.2">
      <c r="A162" s="16" t="s">
        <v>315</v>
      </c>
      <c r="B162" s="10">
        <f t="shared" si="24"/>
        <v>1294</v>
      </c>
      <c r="C162" s="70">
        <v>1251</v>
      </c>
      <c r="D162" s="44">
        <v>8</v>
      </c>
      <c r="E162" s="44">
        <v>10</v>
      </c>
      <c r="F162" s="50">
        <v>1</v>
      </c>
      <c r="G162" s="50">
        <v>2</v>
      </c>
      <c r="H162" s="44">
        <v>13</v>
      </c>
      <c r="I162" s="44">
        <v>9</v>
      </c>
      <c r="J162" s="15" t="s">
        <v>316</v>
      </c>
    </row>
    <row r="163" spans="1:10" s="42" customFormat="1" ht="15.75" x14ac:dyDescent="0.2">
      <c r="A163" s="16" t="s">
        <v>317</v>
      </c>
      <c r="B163" s="10">
        <f t="shared" si="24"/>
        <v>1147</v>
      </c>
      <c r="C163" s="70">
        <v>1118</v>
      </c>
      <c r="D163" s="44">
        <v>5</v>
      </c>
      <c r="E163" s="44">
        <v>9</v>
      </c>
      <c r="F163" s="50">
        <v>0</v>
      </c>
      <c r="G163" s="50">
        <v>0</v>
      </c>
      <c r="H163" s="44">
        <v>8</v>
      </c>
      <c r="I163" s="44">
        <v>7</v>
      </c>
      <c r="J163" s="15" t="s">
        <v>318</v>
      </c>
    </row>
    <row r="164" spans="1:10" s="42" customFormat="1" ht="15.75" x14ac:dyDescent="0.2">
      <c r="A164" s="16" t="s">
        <v>201</v>
      </c>
      <c r="B164" s="10">
        <f t="shared" si="24"/>
        <v>680</v>
      </c>
      <c r="C164" s="70">
        <v>660</v>
      </c>
      <c r="D164" s="44">
        <v>2</v>
      </c>
      <c r="E164" s="44">
        <v>5</v>
      </c>
      <c r="F164" s="50">
        <v>0</v>
      </c>
      <c r="G164" s="50">
        <v>0</v>
      </c>
      <c r="H164" s="44">
        <v>8</v>
      </c>
      <c r="I164" s="44">
        <v>5</v>
      </c>
      <c r="J164" s="15" t="s">
        <v>202</v>
      </c>
    </row>
    <row r="165" spans="1:10" s="51" customFormat="1" ht="12.75" x14ac:dyDescent="0.2">
      <c r="A165" s="16"/>
      <c r="B165" s="47"/>
      <c r="C165" s="52"/>
      <c r="F165" s="50"/>
      <c r="G165" s="50"/>
      <c r="H165" s="55"/>
      <c r="I165" s="46"/>
    </row>
    <row r="166" spans="1:10" s="42" customFormat="1" ht="15.75" x14ac:dyDescent="0.2">
      <c r="A166" s="12" t="s">
        <v>48</v>
      </c>
      <c r="B166" s="10">
        <f t="shared" ref="B166:B171" si="26">SUM(C166:I166)</f>
        <v>5785</v>
      </c>
      <c r="C166" s="10">
        <f>SUM(C167:C171)</f>
        <v>5469</v>
      </c>
      <c r="D166" s="38">
        <f t="shared" ref="D166:I166" si="27">SUM(D167:D171)</f>
        <v>34</v>
      </c>
      <c r="E166" s="38">
        <f t="shared" si="27"/>
        <v>59</v>
      </c>
      <c r="F166" s="38">
        <f t="shared" si="27"/>
        <v>1</v>
      </c>
      <c r="G166" s="38">
        <f t="shared" si="27"/>
        <v>4</v>
      </c>
      <c r="H166" s="38">
        <f t="shared" si="27"/>
        <v>100</v>
      </c>
      <c r="I166" s="38">
        <f t="shared" si="27"/>
        <v>118</v>
      </c>
      <c r="J166" s="41" t="s">
        <v>49</v>
      </c>
    </row>
    <row r="167" spans="1:10" s="42" customFormat="1" ht="15.75" x14ac:dyDescent="0.2">
      <c r="A167" s="14" t="s">
        <v>319</v>
      </c>
      <c r="B167" s="10">
        <f t="shared" si="26"/>
        <v>1174</v>
      </c>
      <c r="C167" s="70">
        <v>1112</v>
      </c>
      <c r="D167" s="44">
        <v>7</v>
      </c>
      <c r="E167" s="44">
        <v>12</v>
      </c>
      <c r="F167" s="50">
        <v>0</v>
      </c>
      <c r="G167" s="50">
        <v>0</v>
      </c>
      <c r="H167" s="44">
        <v>17</v>
      </c>
      <c r="I167" s="44">
        <v>26</v>
      </c>
      <c r="J167" s="15" t="s">
        <v>320</v>
      </c>
    </row>
    <row r="168" spans="1:10" s="42" customFormat="1" ht="15.75" x14ac:dyDescent="0.2">
      <c r="A168" s="14" t="s">
        <v>321</v>
      </c>
      <c r="B168" s="10">
        <f t="shared" si="26"/>
        <v>1267</v>
      </c>
      <c r="C168" s="70">
        <v>1208</v>
      </c>
      <c r="D168" s="44">
        <v>11</v>
      </c>
      <c r="E168" s="44">
        <v>13</v>
      </c>
      <c r="F168" s="50">
        <v>1</v>
      </c>
      <c r="G168" s="50">
        <v>4</v>
      </c>
      <c r="H168" s="44">
        <v>9</v>
      </c>
      <c r="I168" s="44">
        <v>21</v>
      </c>
      <c r="J168" s="15" t="s">
        <v>322</v>
      </c>
    </row>
    <row r="169" spans="1:10" s="42" customFormat="1" ht="15.75" x14ac:dyDescent="0.2">
      <c r="A169" s="14" t="s">
        <v>171</v>
      </c>
      <c r="B169" s="10">
        <f t="shared" si="26"/>
        <v>788</v>
      </c>
      <c r="C169" s="70">
        <v>753</v>
      </c>
      <c r="D169" s="44">
        <v>2</v>
      </c>
      <c r="E169" s="44">
        <v>2</v>
      </c>
      <c r="F169" s="50">
        <v>0</v>
      </c>
      <c r="G169" s="50">
        <v>0</v>
      </c>
      <c r="H169" s="44">
        <v>22</v>
      </c>
      <c r="I169" s="44">
        <v>9</v>
      </c>
      <c r="J169" s="15" t="s">
        <v>172</v>
      </c>
    </row>
    <row r="170" spans="1:10" s="42" customFormat="1" ht="15.75" x14ac:dyDescent="0.2">
      <c r="A170" s="14" t="s">
        <v>323</v>
      </c>
      <c r="B170" s="10">
        <f t="shared" si="26"/>
        <v>543</v>
      </c>
      <c r="C170" s="70">
        <v>510</v>
      </c>
      <c r="D170" s="44">
        <v>4</v>
      </c>
      <c r="E170" s="44">
        <v>7</v>
      </c>
      <c r="F170" s="50">
        <v>0</v>
      </c>
      <c r="G170" s="50">
        <v>0</v>
      </c>
      <c r="H170" s="44">
        <v>11</v>
      </c>
      <c r="I170" s="44">
        <v>11</v>
      </c>
      <c r="J170" s="15" t="s">
        <v>324</v>
      </c>
    </row>
    <row r="171" spans="1:10" s="42" customFormat="1" ht="15.75" x14ac:dyDescent="0.2">
      <c r="A171" s="14" t="s">
        <v>325</v>
      </c>
      <c r="B171" s="10">
        <f t="shared" si="26"/>
        <v>2013</v>
      </c>
      <c r="C171" s="70">
        <v>1886</v>
      </c>
      <c r="D171" s="44">
        <v>10</v>
      </c>
      <c r="E171" s="44">
        <v>25</v>
      </c>
      <c r="F171" s="50">
        <v>0</v>
      </c>
      <c r="G171" s="50">
        <v>0</v>
      </c>
      <c r="H171" s="44">
        <v>41</v>
      </c>
      <c r="I171" s="44">
        <v>51</v>
      </c>
      <c r="J171" s="15" t="s">
        <v>326</v>
      </c>
    </row>
    <row r="172" spans="1:10" s="42" customFormat="1" ht="12.75" x14ac:dyDescent="0.2">
      <c r="A172" s="16"/>
      <c r="B172" s="47"/>
      <c r="C172" s="52"/>
      <c r="D172" s="44"/>
      <c r="E172" s="44"/>
      <c r="F172" s="44"/>
      <c r="G172" s="44"/>
      <c r="H172" s="44"/>
      <c r="I172" s="46"/>
    </row>
    <row r="173" spans="1:10" s="42" customFormat="1" ht="15.75" x14ac:dyDescent="0.2">
      <c r="A173" s="12" t="s">
        <v>50</v>
      </c>
      <c r="B173" s="10">
        <f t="shared" ref="B173:B181" si="28">SUM(C173:I173)</f>
        <v>7196</v>
      </c>
      <c r="C173" s="10">
        <f>SUM(C174:C181)</f>
        <v>6822</v>
      </c>
      <c r="D173" s="38">
        <f t="shared" ref="D173:I173" si="29">SUM(D174:D181)</f>
        <v>57</v>
      </c>
      <c r="E173" s="38">
        <f t="shared" si="29"/>
        <v>92</v>
      </c>
      <c r="F173" s="38">
        <f t="shared" si="29"/>
        <v>1</v>
      </c>
      <c r="G173" s="38">
        <f t="shared" si="29"/>
        <v>1</v>
      </c>
      <c r="H173" s="38">
        <f t="shared" si="29"/>
        <v>130</v>
      </c>
      <c r="I173" s="38">
        <f t="shared" si="29"/>
        <v>93</v>
      </c>
      <c r="J173" s="41" t="s">
        <v>51</v>
      </c>
    </row>
    <row r="174" spans="1:10" s="42" customFormat="1" ht="15.75" x14ac:dyDescent="0.2">
      <c r="A174" s="14" t="s">
        <v>207</v>
      </c>
      <c r="B174" s="10">
        <f t="shared" si="28"/>
        <v>1279</v>
      </c>
      <c r="C174" s="70">
        <v>1224</v>
      </c>
      <c r="D174" s="44">
        <v>3</v>
      </c>
      <c r="E174" s="44">
        <v>4</v>
      </c>
      <c r="F174" s="50">
        <v>0</v>
      </c>
      <c r="G174" s="50">
        <v>0</v>
      </c>
      <c r="H174" s="44">
        <v>28</v>
      </c>
      <c r="I174" s="44">
        <v>20</v>
      </c>
      <c r="J174" s="15" t="s">
        <v>208</v>
      </c>
    </row>
    <row r="175" spans="1:10" s="42" customFormat="1" ht="15.75" x14ac:dyDescent="0.2">
      <c r="A175" s="14" t="s">
        <v>327</v>
      </c>
      <c r="B175" s="10">
        <f t="shared" si="28"/>
        <v>888</v>
      </c>
      <c r="C175" s="70">
        <v>837</v>
      </c>
      <c r="D175" s="44">
        <v>8</v>
      </c>
      <c r="E175" s="44">
        <v>15</v>
      </c>
      <c r="F175" s="50">
        <v>0</v>
      </c>
      <c r="G175" s="50">
        <v>0</v>
      </c>
      <c r="H175" s="44">
        <v>19</v>
      </c>
      <c r="I175" s="44">
        <v>9</v>
      </c>
      <c r="J175" s="15" t="s">
        <v>328</v>
      </c>
    </row>
    <row r="176" spans="1:10" s="42" customFormat="1" ht="15.75" x14ac:dyDescent="0.2">
      <c r="A176" s="14" t="s">
        <v>329</v>
      </c>
      <c r="B176" s="10">
        <f t="shared" si="28"/>
        <v>381</v>
      </c>
      <c r="C176" s="70">
        <v>350</v>
      </c>
      <c r="D176" s="44">
        <v>5</v>
      </c>
      <c r="E176" s="44">
        <v>8</v>
      </c>
      <c r="F176" s="50">
        <v>0</v>
      </c>
      <c r="G176" s="50">
        <v>0</v>
      </c>
      <c r="H176" s="44">
        <v>6</v>
      </c>
      <c r="I176" s="44">
        <v>12</v>
      </c>
      <c r="J176" s="15" t="s">
        <v>330</v>
      </c>
    </row>
    <row r="177" spans="1:10" s="42" customFormat="1" ht="15.75" x14ac:dyDescent="0.2">
      <c r="A177" s="14" t="s">
        <v>331</v>
      </c>
      <c r="B177" s="10">
        <f t="shared" si="28"/>
        <v>882</v>
      </c>
      <c r="C177" s="70">
        <v>830</v>
      </c>
      <c r="D177" s="44">
        <v>10</v>
      </c>
      <c r="E177" s="44">
        <v>16</v>
      </c>
      <c r="F177" s="50">
        <v>0</v>
      </c>
      <c r="G177" s="50">
        <v>0</v>
      </c>
      <c r="H177" s="44">
        <v>18</v>
      </c>
      <c r="I177" s="44">
        <v>8</v>
      </c>
      <c r="J177" s="15" t="s">
        <v>332</v>
      </c>
    </row>
    <row r="178" spans="1:10" s="42" customFormat="1" ht="15.75" x14ac:dyDescent="0.2">
      <c r="A178" s="14" t="s">
        <v>333</v>
      </c>
      <c r="B178" s="10">
        <f t="shared" si="28"/>
        <v>2</v>
      </c>
      <c r="C178" s="70">
        <v>2</v>
      </c>
      <c r="D178" s="44">
        <v>0</v>
      </c>
      <c r="E178" s="44">
        <v>0</v>
      </c>
      <c r="F178" s="50">
        <v>0</v>
      </c>
      <c r="G178" s="50">
        <v>0</v>
      </c>
      <c r="H178" s="44">
        <v>0</v>
      </c>
      <c r="I178" s="44">
        <v>0</v>
      </c>
      <c r="J178" s="49" t="s">
        <v>334</v>
      </c>
    </row>
    <row r="179" spans="1:10" s="42" customFormat="1" ht="15.75" x14ac:dyDescent="0.2">
      <c r="A179" s="14" t="s">
        <v>335</v>
      </c>
      <c r="B179" s="10">
        <f t="shared" si="28"/>
        <v>233</v>
      </c>
      <c r="C179" s="70">
        <v>225</v>
      </c>
      <c r="D179" s="44">
        <v>1</v>
      </c>
      <c r="E179" s="44">
        <v>2</v>
      </c>
      <c r="F179" s="50">
        <v>0</v>
      </c>
      <c r="G179" s="50">
        <v>0</v>
      </c>
      <c r="H179" s="44">
        <v>5</v>
      </c>
      <c r="I179" s="44">
        <v>0</v>
      </c>
      <c r="J179" s="15" t="s">
        <v>336</v>
      </c>
    </row>
    <row r="180" spans="1:10" s="42" customFormat="1" ht="15.75" x14ac:dyDescent="0.2">
      <c r="A180" s="14" t="s">
        <v>337</v>
      </c>
      <c r="B180" s="10">
        <f t="shared" si="28"/>
        <v>962</v>
      </c>
      <c r="C180" s="70">
        <v>925</v>
      </c>
      <c r="D180" s="44">
        <v>6</v>
      </c>
      <c r="E180" s="44">
        <v>9</v>
      </c>
      <c r="F180" s="50">
        <v>0</v>
      </c>
      <c r="G180" s="50">
        <v>0</v>
      </c>
      <c r="H180" s="44">
        <v>10</v>
      </c>
      <c r="I180" s="44">
        <v>12</v>
      </c>
      <c r="J180" s="15" t="s">
        <v>338</v>
      </c>
    </row>
    <row r="181" spans="1:10" s="42" customFormat="1" ht="15.75" x14ac:dyDescent="0.2">
      <c r="A181" s="14" t="s">
        <v>339</v>
      </c>
      <c r="B181" s="10">
        <f t="shared" si="28"/>
        <v>2569</v>
      </c>
      <c r="C181" s="70">
        <v>2429</v>
      </c>
      <c r="D181" s="44">
        <v>24</v>
      </c>
      <c r="E181" s="44">
        <v>38</v>
      </c>
      <c r="F181" s="50">
        <v>1</v>
      </c>
      <c r="G181" s="50">
        <v>1</v>
      </c>
      <c r="H181" s="44">
        <v>44</v>
      </c>
      <c r="I181" s="44">
        <v>32</v>
      </c>
      <c r="J181" s="15" t="s">
        <v>340</v>
      </c>
    </row>
    <row r="182" spans="1:10" s="42" customFormat="1" ht="12.75" x14ac:dyDescent="0.2">
      <c r="A182" s="14"/>
      <c r="B182" s="43"/>
      <c r="C182" s="52"/>
      <c r="D182" s="44"/>
      <c r="E182" s="44"/>
      <c r="F182" s="44"/>
      <c r="G182" s="44"/>
      <c r="H182" s="44"/>
      <c r="I182" s="46"/>
    </row>
    <row r="183" spans="1:10" s="42" customFormat="1" ht="15.75" x14ac:dyDescent="0.2">
      <c r="A183" s="12" t="s">
        <v>52</v>
      </c>
      <c r="B183" s="10">
        <f t="shared" ref="B183:B196" si="30">SUM(C183:I183)</f>
        <v>14699</v>
      </c>
      <c r="C183" s="10">
        <f>SUM(C184:C196)</f>
        <v>14052</v>
      </c>
      <c r="D183" s="38">
        <f t="shared" ref="D183:H183" si="31">SUM(D184:D196)</f>
        <v>78</v>
      </c>
      <c r="E183" s="38">
        <f t="shared" si="31"/>
        <v>135</v>
      </c>
      <c r="F183" s="38">
        <f t="shared" si="31"/>
        <v>4</v>
      </c>
      <c r="G183" s="38">
        <f t="shared" si="31"/>
        <v>5</v>
      </c>
      <c r="H183" s="38">
        <f t="shared" si="31"/>
        <v>256</v>
      </c>
      <c r="I183" s="38">
        <f>SUM(I184:I196)</f>
        <v>169</v>
      </c>
      <c r="J183" s="41" t="s">
        <v>53</v>
      </c>
    </row>
    <row r="184" spans="1:10" s="42" customFormat="1" ht="15.75" x14ac:dyDescent="0.2">
      <c r="A184" s="14" t="s">
        <v>341</v>
      </c>
      <c r="B184" s="10">
        <f t="shared" si="30"/>
        <v>557</v>
      </c>
      <c r="C184" s="70">
        <v>539</v>
      </c>
      <c r="D184" s="44">
        <v>1</v>
      </c>
      <c r="E184" s="44">
        <v>3</v>
      </c>
      <c r="F184" s="50">
        <v>0</v>
      </c>
      <c r="G184" s="50">
        <v>0</v>
      </c>
      <c r="H184" s="44">
        <v>7</v>
      </c>
      <c r="I184" s="46">
        <v>7</v>
      </c>
      <c r="J184" s="15" t="s">
        <v>342</v>
      </c>
    </row>
    <row r="185" spans="1:10" s="42" customFormat="1" ht="15.75" x14ac:dyDescent="0.2">
      <c r="A185" s="14" t="s">
        <v>343</v>
      </c>
      <c r="B185" s="10">
        <f t="shared" si="30"/>
        <v>1872</v>
      </c>
      <c r="C185" s="70">
        <v>1823</v>
      </c>
      <c r="D185" s="44">
        <v>5</v>
      </c>
      <c r="E185" s="44">
        <v>6</v>
      </c>
      <c r="F185" s="50">
        <v>0</v>
      </c>
      <c r="G185" s="50">
        <v>0</v>
      </c>
      <c r="H185" s="44">
        <v>31</v>
      </c>
      <c r="I185" s="44">
        <v>7</v>
      </c>
      <c r="J185" s="49" t="s">
        <v>344</v>
      </c>
    </row>
    <row r="186" spans="1:10" s="42" customFormat="1" ht="15.75" x14ac:dyDescent="0.2">
      <c r="A186" s="14" t="s">
        <v>345</v>
      </c>
      <c r="B186" s="10">
        <f t="shared" si="30"/>
        <v>1173</v>
      </c>
      <c r="C186" s="70">
        <v>1119</v>
      </c>
      <c r="D186" s="44">
        <v>2</v>
      </c>
      <c r="E186" s="44">
        <v>3</v>
      </c>
      <c r="F186" s="50">
        <v>0</v>
      </c>
      <c r="G186" s="50">
        <v>0</v>
      </c>
      <c r="H186" s="44">
        <v>34</v>
      </c>
      <c r="I186" s="44">
        <v>15</v>
      </c>
      <c r="J186" s="15" t="s">
        <v>346</v>
      </c>
    </row>
    <row r="187" spans="1:10" s="42" customFormat="1" ht="15.75" x14ac:dyDescent="0.2">
      <c r="A187" s="14" t="s">
        <v>347</v>
      </c>
      <c r="B187" s="10">
        <f t="shared" si="30"/>
        <v>806</v>
      </c>
      <c r="C187" s="70">
        <v>779</v>
      </c>
      <c r="D187" s="44">
        <v>2</v>
      </c>
      <c r="E187" s="44">
        <v>6</v>
      </c>
      <c r="F187" s="50">
        <v>0</v>
      </c>
      <c r="G187" s="50">
        <v>0</v>
      </c>
      <c r="H187" s="44">
        <v>10</v>
      </c>
      <c r="I187" s="44">
        <v>9</v>
      </c>
      <c r="J187" s="15" t="s">
        <v>348</v>
      </c>
    </row>
    <row r="188" spans="1:10" s="42" customFormat="1" ht="15.75" x14ac:dyDescent="0.2">
      <c r="A188" s="14" t="s">
        <v>263</v>
      </c>
      <c r="B188" s="10">
        <f t="shared" si="30"/>
        <v>1896</v>
      </c>
      <c r="C188" s="70">
        <v>1820</v>
      </c>
      <c r="D188" s="44">
        <v>13</v>
      </c>
      <c r="E188" s="44">
        <v>21</v>
      </c>
      <c r="F188" s="50">
        <v>1</v>
      </c>
      <c r="G188" s="50">
        <v>2</v>
      </c>
      <c r="H188" s="44">
        <v>27</v>
      </c>
      <c r="I188" s="44">
        <v>12</v>
      </c>
      <c r="J188" s="15" t="s">
        <v>264</v>
      </c>
    </row>
    <row r="189" spans="1:10" s="42" customFormat="1" ht="15.75" x14ac:dyDescent="0.2">
      <c r="A189" s="14" t="s">
        <v>349</v>
      </c>
      <c r="B189" s="10">
        <f t="shared" si="30"/>
        <v>630</v>
      </c>
      <c r="C189" s="70">
        <v>613</v>
      </c>
      <c r="D189" s="44">
        <v>1</v>
      </c>
      <c r="E189" s="44">
        <v>1</v>
      </c>
      <c r="F189" s="50">
        <v>0</v>
      </c>
      <c r="G189" s="50">
        <v>0</v>
      </c>
      <c r="H189" s="44">
        <v>9</v>
      </c>
      <c r="I189" s="44">
        <v>6</v>
      </c>
      <c r="J189" s="15" t="s">
        <v>350</v>
      </c>
    </row>
    <row r="190" spans="1:10" s="42" customFormat="1" ht="15.75" x14ac:dyDescent="0.2">
      <c r="A190" s="14" t="s">
        <v>351</v>
      </c>
      <c r="B190" s="10">
        <f t="shared" si="30"/>
        <v>390</v>
      </c>
      <c r="C190" s="70">
        <v>362</v>
      </c>
      <c r="D190" s="44">
        <v>1</v>
      </c>
      <c r="E190" s="44">
        <v>3</v>
      </c>
      <c r="F190" s="50">
        <v>0</v>
      </c>
      <c r="G190" s="50">
        <v>0</v>
      </c>
      <c r="H190" s="44">
        <v>16</v>
      </c>
      <c r="I190" s="44">
        <v>8</v>
      </c>
      <c r="J190" s="15" t="s">
        <v>352</v>
      </c>
    </row>
    <row r="191" spans="1:10" s="42" customFormat="1" ht="15.75" x14ac:dyDescent="0.2">
      <c r="A191" s="14" t="s">
        <v>353</v>
      </c>
      <c r="B191" s="10">
        <f t="shared" si="30"/>
        <v>1155</v>
      </c>
      <c r="C191" s="70">
        <v>1067</v>
      </c>
      <c r="D191" s="44">
        <v>16</v>
      </c>
      <c r="E191" s="44">
        <v>31</v>
      </c>
      <c r="F191" s="50">
        <v>0</v>
      </c>
      <c r="G191" s="50">
        <v>0</v>
      </c>
      <c r="H191" s="44">
        <v>24</v>
      </c>
      <c r="I191" s="44">
        <v>17</v>
      </c>
      <c r="J191" s="15" t="s">
        <v>354</v>
      </c>
    </row>
    <row r="192" spans="1:10" s="42" customFormat="1" ht="15.75" x14ac:dyDescent="0.2">
      <c r="A192" s="14" t="s">
        <v>355</v>
      </c>
      <c r="B192" s="10">
        <f t="shared" si="30"/>
        <v>593</v>
      </c>
      <c r="C192" s="70">
        <v>578</v>
      </c>
      <c r="D192" s="44">
        <v>1</v>
      </c>
      <c r="E192" s="44">
        <v>1</v>
      </c>
      <c r="F192" s="50">
        <v>0</v>
      </c>
      <c r="G192" s="50">
        <v>0</v>
      </c>
      <c r="H192" s="44">
        <v>4</v>
      </c>
      <c r="I192" s="44">
        <v>9</v>
      </c>
      <c r="J192" s="15" t="s">
        <v>356</v>
      </c>
    </row>
    <row r="193" spans="1:10" s="42" customFormat="1" ht="15.75" x14ac:dyDescent="0.2">
      <c r="A193" s="14" t="s">
        <v>357</v>
      </c>
      <c r="B193" s="10">
        <f t="shared" si="30"/>
        <v>2313</v>
      </c>
      <c r="C193" s="70">
        <v>2201</v>
      </c>
      <c r="D193" s="44">
        <v>10</v>
      </c>
      <c r="E193" s="44">
        <v>19</v>
      </c>
      <c r="F193" s="50">
        <v>1</v>
      </c>
      <c r="G193" s="50">
        <v>1</v>
      </c>
      <c r="H193" s="44">
        <v>49</v>
      </c>
      <c r="I193" s="44">
        <v>32</v>
      </c>
      <c r="J193" s="15" t="s">
        <v>358</v>
      </c>
    </row>
    <row r="194" spans="1:10" s="42" customFormat="1" ht="15.75" x14ac:dyDescent="0.2">
      <c r="A194" s="16" t="s">
        <v>359</v>
      </c>
      <c r="B194" s="10">
        <f t="shared" si="30"/>
        <v>1239</v>
      </c>
      <c r="C194" s="70">
        <v>1187</v>
      </c>
      <c r="D194" s="44">
        <v>12</v>
      </c>
      <c r="E194" s="44">
        <v>19</v>
      </c>
      <c r="F194" s="50">
        <v>0</v>
      </c>
      <c r="G194" s="50">
        <v>0</v>
      </c>
      <c r="H194" s="44">
        <v>3</v>
      </c>
      <c r="I194" s="44">
        <v>18</v>
      </c>
      <c r="J194" s="15" t="s">
        <v>360</v>
      </c>
    </row>
    <row r="195" spans="1:10" s="42" customFormat="1" ht="15.75" x14ac:dyDescent="0.2">
      <c r="A195" s="16" t="s">
        <v>361</v>
      </c>
      <c r="B195" s="10">
        <f t="shared" si="30"/>
        <v>1389</v>
      </c>
      <c r="C195" s="70">
        <v>1301</v>
      </c>
      <c r="D195" s="44">
        <v>11</v>
      </c>
      <c r="E195" s="44">
        <v>15</v>
      </c>
      <c r="F195" s="50">
        <v>1</v>
      </c>
      <c r="G195" s="50">
        <v>1</v>
      </c>
      <c r="H195" s="44">
        <v>37</v>
      </c>
      <c r="I195" s="44">
        <v>23</v>
      </c>
      <c r="J195" s="15" t="s">
        <v>362</v>
      </c>
    </row>
    <row r="196" spans="1:10" s="42" customFormat="1" ht="15.75" x14ac:dyDescent="0.2">
      <c r="A196" s="16" t="s">
        <v>281</v>
      </c>
      <c r="B196" s="10">
        <f t="shared" si="30"/>
        <v>686</v>
      </c>
      <c r="C196" s="70">
        <v>663</v>
      </c>
      <c r="D196" s="44">
        <v>3</v>
      </c>
      <c r="E196" s="44">
        <v>7</v>
      </c>
      <c r="F196" s="50">
        <v>1</v>
      </c>
      <c r="G196" s="50">
        <v>1</v>
      </c>
      <c r="H196" s="44">
        <v>5</v>
      </c>
      <c r="I196" s="44">
        <v>6</v>
      </c>
      <c r="J196" s="15" t="s">
        <v>282</v>
      </c>
    </row>
    <row r="197" spans="1:10" s="42" customFormat="1" ht="15.75" x14ac:dyDescent="0.2">
      <c r="A197" s="16"/>
      <c r="B197" s="10"/>
      <c r="C197" s="52"/>
      <c r="D197" s="44"/>
      <c r="E197" s="44"/>
      <c r="F197" s="50"/>
      <c r="G197" s="50"/>
      <c r="H197" s="44"/>
      <c r="I197" s="46"/>
      <c r="J197" s="15"/>
    </row>
    <row r="198" spans="1:10" s="51" customFormat="1" ht="15.75" x14ac:dyDescent="0.2">
      <c r="A198" s="56" t="s">
        <v>54</v>
      </c>
      <c r="B198" s="10">
        <f t="shared" ref="B198:B210" si="32">SUM(C198:I198)</f>
        <v>16493</v>
      </c>
      <c r="C198" s="10">
        <f>SUM(C199:C210)</f>
        <v>15563</v>
      </c>
      <c r="D198" s="38">
        <f t="shared" ref="D198:I198" si="33">SUM(D199:D210)</f>
        <v>164</v>
      </c>
      <c r="E198" s="38">
        <f t="shared" si="33"/>
        <v>307</v>
      </c>
      <c r="F198" s="38">
        <f t="shared" si="33"/>
        <v>3</v>
      </c>
      <c r="G198" s="38">
        <f t="shared" si="33"/>
        <v>6</v>
      </c>
      <c r="H198" s="38">
        <f t="shared" si="33"/>
        <v>212</v>
      </c>
      <c r="I198" s="38">
        <f t="shared" si="33"/>
        <v>238</v>
      </c>
      <c r="J198" s="41" t="s">
        <v>55</v>
      </c>
    </row>
    <row r="199" spans="1:10" s="42" customFormat="1" ht="15.75" x14ac:dyDescent="0.2">
      <c r="A199" s="16" t="s">
        <v>363</v>
      </c>
      <c r="B199" s="10">
        <f t="shared" si="32"/>
        <v>1194</v>
      </c>
      <c r="C199" s="70">
        <v>1128</v>
      </c>
      <c r="D199" s="44">
        <v>8</v>
      </c>
      <c r="E199" s="44">
        <v>12</v>
      </c>
      <c r="F199" s="50">
        <v>0</v>
      </c>
      <c r="G199" s="50">
        <v>0</v>
      </c>
      <c r="H199" s="44">
        <v>17</v>
      </c>
      <c r="I199" s="44">
        <v>29</v>
      </c>
      <c r="J199" s="15" t="s">
        <v>364</v>
      </c>
    </row>
    <row r="200" spans="1:10" s="42" customFormat="1" ht="15.75" x14ac:dyDescent="0.2">
      <c r="A200" s="16" t="s">
        <v>365</v>
      </c>
      <c r="B200" s="10">
        <f t="shared" si="32"/>
        <v>942</v>
      </c>
      <c r="C200" s="70">
        <v>896</v>
      </c>
      <c r="D200" s="44">
        <v>6</v>
      </c>
      <c r="E200" s="44">
        <v>15</v>
      </c>
      <c r="F200" s="50">
        <v>0</v>
      </c>
      <c r="G200" s="50">
        <v>0</v>
      </c>
      <c r="H200" s="44">
        <v>9</v>
      </c>
      <c r="I200" s="44">
        <v>16</v>
      </c>
      <c r="J200" s="15" t="s">
        <v>366</v>
      </c>
    </row>
    <row r="201" spans="1:10" s="42" customFormat="1" ht="15.75" x14ac:dyDescent="0.2">
      <c r="A201" s="14" t="s">
        <v>367</v>
      </c>
      <c r="B201" s="10">
        <f t="shared" si="32"/>
        <v>1033</v>
      </c>
      <c r="C201" s="70">
        <v>989</v>
      </c>
      <c r="D201" s="44">
        <v>4</v>
      </c>
      <c r="E201" s="44">
        <v>9</v>
      </c>
      <c r="F201" s="50">
        <v>0</v>
      </c>
      <c r="G201" s="50">
        <v>0</v>
      </c>
      <c r="H201" s="44">
        <v>8</v>
      </c>
      <c r="I201" s="44">
        <v>23</v>
      </c>
      <c r="J201" s="15" t="s">
        <v>368</v>
      </c>
    </row>
    <row r="202" spans="1:10" s="42" customFormat="1" ht="15.75" x14ac:dyDescent="0.2">
      <c r="A202" s="14" t="s">
        <v>369</v>
      </c>
      <c r="B202" s="10">
        <f t="shared" si="32"/>
        <v>277</v>
      </c>
      <c r="C202" s="70">
        <v>256</v>
      </c>
      <c r="D202" s="44">
        <v>3</v>
      </c>
      <c r="E202" s="44">
        <v>10</v>
      </c>
      <c r="F202" s="50">
        <v>0</v>
      </c>
      <c r="G202" s="50">
        <v>0</v>
      </c>
      <c r="H202" s="44">
        <v>4</v>
      </c>
      <c r="I202" s="44">
        <v>4</v>
      </c>
      <c r="J202" s="15" t="s">
        <v>370</v>
      </c>
    </row>
    <row r="203" spans="1:10" s="42" customFormat="1" ht="15.75" x14ac:dyDescent="0.2">
      <c r="A203" s="14" t="s">
        <v>371</v>
      </c>
      <c r="B203" s="10">
        <f t="shared" si="32"/>
        <v>895</v>
      </c>
      <c r="C203" s="70">
        <v>847</v>
      </c>
      <c r="D203" s="44">
        <v>11</v>
      </c>
      <c r="E203" s="44">
        <v>16</v>
      </c>
      <c r="F203" s="50">
        <v>0</v>
      </c>
      <c r="G203" s="50">
        <v>0</v>
      </c>
      <c r="H203" s="44">
        <v>15</v>
      </c>
      <c r="I203" s="44">
        <v>6</v>
      </c>
      <c r="J203" s="15" t="s">
        <v>372</v>
      </c>
    </row>
    <row r="204" spans="1:10" s="42" customFormat="1" ht="15.75" x14ac:dyDescent="0.2">
      <c r="A204" s="14" t="s">
        <v>373</v>
      </c>
      <c r="B204" s="10">
        <f t="shared" si="32"/>
        <v>4449</v>
      </c>
      <c r="C204" s="70">
        <v>4136</v>
      </c>
      <c r="D204" s="44">
        <v>55</v>
      </c>
      <c r="E204" s="44">
        <v>99</v>
      </c>
      <c r="F204" s="50">
        <v>3</v>
      </c>
      <c r="G204" s="50">
        <v>6</v>
      </c>
      <c r="H204" s="44">
        <v>76</v>
      </c>
      <c r="I204" s="44">
        <v>74</v>
      </c>
      <c r="J204" s="15" t="s">
        <v>374</v>
      </c>
    </row>
    <row r="205" spans="1:10" s="42" customFormat="1" ht="15.75" x14ac:dyDescent="0.2">
      <c r="A205" s="14" t="s">
        <v>375</v>
      </c>
      <c r="B205" s="10">
        <f t="shared" si="32"/>
        <v>1857</v>
      </c>
      <c r="C205" s="70">
        <v>1777</v>
      </c>
      <c r="D205" s="44">
        <v>16</v>
      </c>
      <c r="E205" s="44">
        <v>28</v>
      </c>
      <c r="F205" s="50">
        <v>0</v>
      </c>
      <c r="G205" s="50">
        <v>0</v>
      </c>
      <c r="H205" s="44">
        <v>15</v>
      </c>
      <c r="I205" s="44">
        <v>21</v>
      </c>
      <c r="J205" s="15" t="s">
        <v>376</v>
      </c>
    </row>
    <row r="206" spans="1:10" s="42" customFormat="1" ht="15.75" x14ac:dyDescent="0.2">
      <c r="A206" s="14" t="s">
        <v>377</v>
      </c>
      <c r="B206" s="10">
        <f t="shared" si="32"/>
        <v>2229</v>
      </c>
      <c r="C206" s="70">
        <v>2123</v>
      </c>
      <c r="D206" s="44">
        <v>16</v>
      </c>
      <c r="E206" s="44">
        <v>34</v>
      </c>
      <c r="F206" s="50">
        <v>0</v>
      </c>
      <c r="G206" s="50">
        <v>0</v>
      </c>
      <c r="H206" s="44">
        <v>39</v>
      </c>
      <c r="I206" s="44">
        <v>17</v>
      </c>
      <c r="J206" s="15" t="s">
        <v>378</v>
      </c>
    </row>
    <row r="207" spans="1:10" s="42" customFormat="1" ht="15.75" x14ac:dyDescent="0.2">
      <c r="A207" s="14" t="s">
        <v>379</v>
      </c>
      <c r="B207" s="10">
        <f t="shared" si="32"/>
        <v>405</v>
      </c>
      <c r="C207" s="70">
        <v>386</v>
      </c>
      <c r="D207" s="44">
        <v>2</v>
      </c>
      <c r="E207" s="44">
        <v>2</v>
      </c>
      <c r="F207" s="50">
        <v>0</v>
      </c>
      <c r="G207" s="50">
        <v>0</v>
      </c>
      <c r="H207" s="44">
        <v>4</v>
      </c>
      <c r="I207" s="44">
        <v>11</v>
      </c>
      <c r="J207" s="15" t="s">
        <v>380</v>
      </c>
    </row>
    <row r="208" spans="1:10" s="42" customFormat="1" ht="15.75" x14ac:dyDescent="0.2">
      <c r="A208" s="14" t="s">
        <v>381</v>
      </c>
      <c r="B208" s="10">
        <f t="shared" si="32"/>
        <v>1186</v>
      </c>
      <c r="C208" s="70">
        <v>1108</v>
      </c>
      <c r="D208" s="44">
        <v>18</v>
      </c>
      <c r="E208" s="44">
        <v>33</v>
      </c>
      <c r="F208" s="50">
        <v>0</v>
      </c>
      <c r="G208" s="50">
        <v>0</v>
      </c>
      <c r="H208" s="44">
        <v>12</v>
      </c>
      <c r="I208" s="44">
        <v>15</v>
      </c>
      <c r="J208" s="15" t="s">
        <v>382</v>
      </c>
    </row>
    <row r="209" spans="1:21" s="42" customFormat="1" ht="15.75" x14ac:dyDescent="0.2">
      <c r="A209" s="14" t="s">
        <v>383</v>
      </c>
      <c r="B209" s="10">
        <f t="shared" si="32"/>
        <v>1197</v>
      </c>
      <c r="C209" s="70">
        <v>1116</v>
      </c>
      <c r="D209" s="44">
        <v>22</v>
      </c>
      <c r="E209" s="44">
        <v>44</v>
      </c>
      <c r="F209" s="50">
        <v>0</v>
      </c>
      <c r="G209" s="50">
        <v>0</v>
      </c>
      <c r="H209" s="44">
        <v>6</v>
      </c>
      <c r="I209" s="44">
        <v>9</v>
      </c>
      <c r="J209" s="15" t="s">
        <v>384</v>
      </c>
    </row>
    <row r="210" spans="1:21" s="42" customFormat="1" ht="15.75" x14ac:dyDescent="0.2">
      <c r="A210" s="16" t="s">
        <v>385</v>
      </c>
      <c r="B210" s="10">
        <f t="shared" si="32"/>
        <v>829</v>
      </c>
      <c r="C210" s="70">
        <v>801</v>
      </c>
      <c r="D210" s="44">
        <v>3</v>
      </c>
      <c r="E210" s="44">
        <v>5</v>
      </c>
      <c r="F210" s="50">
        <v>0</v>
      </c>
      <c r="G210" s="50">
        <v>0</v>
      </c>
      <c r="H210" s="44">
        <v>7</v>
      </c>
      <c r="I210" s="44">
        <v>13</v>
      </c>
      <c r="J210" s="15" t="s">
        <v>386</v>
      </c>
    </row>
    <row r="211" spans="1:21" s="23" customFormat="1" ht="12.75" x14ac:dyDescent="0.2">
      <c r="A211" s="57"/>
      <c r="B211" s="58"/>
      <c r="C211" s="52"/>
      <c r="D211" s="44"/>
      <c r="E211" s="44"/>
      <c r="F211" s="44"/>
      <c r="G211" s="44"/>
      <c r="H211" s="44"/>
      <c r="I211" s="46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</row>
    <row r="212" spans="1:21" s="23" customFormat="1" ht="15.75" x14ac:dyDescent="0.2">
      <c r="A212" s="12" t="s">
        <v>56</v>
      </c>
      <c r="B212" s="10">
        <f t="shared" ref="B212:B222" si="34">SUM(C212:I212)</f>
        <v>13435</v>
      </c>
      <c r="C212" s="10">
        <f>SUM(C213:C222)</f>
        <v>12673</v>
      </c>
      <c r="D212" s="38">
        <f t="shared" ref="D212:I212" si="35">SUM(D213:D222)</f>
        <v>60</v>
      </c>
      <c r="E212" s="38">
        <f t="shared" si="35"/>
        <v>123</v>
      </c>
      <c r="F212" s="38">
        <f t="shared" si="35"/>
        <v>6</v>
      </c>
      <c r="G212" s="38">
        <f t="shared" si="35"/>
        <v>6</v>
      </c>
      <c r="H212" s="38">
        <f t="shared" si="35"/>
        <v>300</v>
      </c>
      <c r="I212" s="38">
        <f t="shared" si="35"/>
        <v>267</v>
      </c>
      <c r="J212" s="41" t="s">
        <v>57</v>
      </c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</row>
    <row r="213" spans="1:21" s="23" customFormat="1" ht="15.75" x14ac:dyDescent="0.2">
      <c r="A213" s="16" t="s">
        <v>387</v>
      </c>
      <c r="B213" s="10">
        <f t="shared" si="34"/>
        <v>1566</v>
      </c>
      <c r="C213" s="70">
        <v>1498</v>
      </c>
      <c r="D213" s="44">
        <v>4</v>
      </c>
      <c r="E213" s="44">
        <v>5</v>
      </c>
      <c r="F213" s="50">
        <v>0</v>
      </c>
      <c r="G213" s="50">
        <v>0</v>
      </c>
      <c r="H213" s="44">
        <v>37</v>
      </c>
      <c r="I213" s="44">
        <v>22</v>
      </c>
      <c r="J213" s="15" t="s">
        <v>388</v>
      </c>
    </row>
    <row r="214" spans="1:21" s="23" customFormat="1" ht="15.75" x14ac:dyDescent="0.2">
      <c r="A214" s="16" t="s">
        <v>389</v>
      </c>
      <c r="B214" s="10">
        <f t="shared" si="34"/>
        <v>3409</v>
      </c>
      <c r="C214" s="70">
        <v>3218</v>
      </c>
      <c r="D214" s="44">
        <v>16</v>
      </c>
      <c r="E214" s="44">
        <v>30</v>
      </c>
      <c r="F214" s="50">
        <v>2</v>
      </c>
      <c r="G214" s="50">
        <v>2</v>
      </c>
      <c r="H214" s="44">
        <v>84</v>
      </c>
      <c r="I214" s="44">
        <v>57</v>
      </c>
      <c r="J214" s="15" t="s">
        <v>390</v>
      </c>
    </row>
    <row r="215" spans="1:21" s="23" customFormat="1" ht="15.75" x14ac:dyDescent="0.2">
      <c r="A215" s="16" t="s">
        <v>381</v>
      </c>
      <c r="B215" s="10">
        <f t="shared" si="34"/>
        <v>1441</v>
      </c>
      <c r="C215" s="70">
        <v>1361</v>
      </c>
      <c r="D215" s="44">
        <v>4</v>
      </c>
      <c r="E215" s="44">
        <v>11</v>
      </c>
      <c r="F215" s="50">
        <v>0</v>
      </c>
      <c r="G215" s="50">
        <v>0</v>
      </c>
      <c r="H215" s="44">
        <v>26</v>
      </c>
      <c r="I215" s="44">
        <v>39</v>
      </c>
      <c r="J215" s="15" t="s">
        <v>382</v>
      </c>
    </row>
    <row r="216" spans="1:21" s="23" customFormat="1" ht="15.75" x14ac:dyDescent="0.2">
      <c r="A216" s="16" t="s">
        <v>325</v>
      </c>
      <c r="B216" s="10">
        <f t="shared" si="34"/>
        <v>820</v>
      </c>
      <c r="C216" s="70">
        <v>774</v>
      </c>
      <c r="D216" s="44">
        <v>6</v>
      </c>
      <c r="E216" s="44">
        <v>13</v>
      </c>
      <c r="F216" s="50">
        <v>2</v>
      </c>
      <c r="G216" s="50">
        <v>2</v>
      </c>
      <c r="H216" s="44">
        <v>6</v>
      </c>
      <c r="I216" s="44">
        <v>17</v>
      </c>
      <c r="J216" s="15" t="s">
        <v>326</v>
      </c>
    </row>
    <row r="217" spans="1:21" s="23" customFormat="1" ht="15.75" x14ac:dyDescent="0.2">
      <c r="A217" s="16" t="s">
        <v>391</v>
      </c>
      <c r="B217" s="10">
        <f t="shared" si="34"/>
        <v>1950</v>
      </c>
      <c r="C217" s="70">
        <v>1805</v>
      </c>
      <c r="D217" s="44">
        <v>11</v>
      </c>
      <c r="E217" s="44">
        <v>25</v>
      </c>
      <c r="F217" s="50">
        <v>0</v>
      </c>
      <c r="G217" s="50">
        <v>0</v>
      </c>
      <c r="H217" s="44">
        <v>36</v>
      </c>
      <c r="I217" s="44">
        <v>73</v>
      </c>
      <c r="J217" s="15" t="s">
        <v>392</v>
      </c>
      <c r="K217" s="23" t="s">
        <v>437</v>
      </c>
    </row>
    <row r="218" spans="1:21" s="23" customFormat="1" ht="15.75" x14ac:dyDescent="0.2">
      <c r="A218" s="16" t="s">
        <v>393</v>
      </c>
      <c r="B218" s="10">
        <f t="shared" si="34"/>
        <v>1195</v>
      </c>
      <c r="C218" s="70">
        <v>1123</v>
      </c>
      <c r="D218" s="44">
        <v>1</v>
      </c>
      <c r="E218" s="44">
        <v>1</v>
      </c>
      <c r="F218" s="50">
        <v>0</v>
      </c>
      <c r="G218" s="50">
        <v>0</v>
      </c>
      <c r="H218" s="44">
        <v>50</v>
      </c>
      <c r="I218" s="44">
        <v>20</v>
      </c>
      <c r="J218" s="15" t="s">
        <v>394</v>
      </c>
    </row>
    <row r="219" spans="1:21" s="23" customFormat="1" ht="15.75" x14ac:dyDescent="0.2">
      <c r="A219" s="16" t="s">
        <v>395</v>
      </c>
      <c r="B219" s="10">
        <f t="shared" si="34"/>
        <v>495</v>
      </c>
      <c r="C219" s="70">
        <v>472</v>
      </c>
      <c r="D219" s="44">
        <v>2</v>
      </c>
      <c r="E219" s="44">
        <v>5</v>
      </c>
      <c r="F219" s="50">
        <v>0</v>
      </c>
      <c r="G219" s="50">
        <v>0</v>
      </c>
      <c r="H219" s="44">
        <v>10</v>
      </c>
      <c r="I219" s="44">
        <v>6</v>
      </c>
      <c r="J219" s="15" t="s">
        <v>396</v>
      </c>
    </row>
    <row r="220" spans="1:21" s="23" customFormat="1" ht="15.75" x14ac:dyDescent="0.2">
      <c r="A220" s="16" t="s">
        <v>397</v>
      </c>
      <c r="B220" s="10">
        <f t="shared" si="34"/>
        <v>16</v>
      </c>
      <c r="C220" s="70">
        <v>14</v>
      </c>
      <c r="D220" s="44">
        <v>0</v>
      </c>
      <c r="E220" s="44">
        <v>0</v>
      </c>
      <c r="F220" s="50">
        <v>0</v>
      </c>
      <c r="G220" s="50">
        <v>0</v>
      </c>
      <c r="H220" s="44">
        <v>1</v>
      </c>
      <c r="I220" s="44">
        <v>1</v>
      </c>
      <c r="J220" s="15" t="s">
        <v>398</v>
      </c>
    </row>
    <row r="221" spans="1:21" s="23" customFormat="1" ht="15.75" x14ac:dyDescent="0.2">
      <c r="A221" s="16" t="s">
        <v>399</v>
      </c>
      <c r="B221" s="10">
        <f t="shared" si="34"/>
        <v>1625</v>
      </c>
      <c r="C221" s="70">
        <v>1549</v>
      </c>
      <c r="D221" s="44">
        <v>9</v>
      </c>
      <c r="E221" s="44">
        <v>19</v>
      </c>
      <c r="F221" s="50">
        <v>2</v>
      </c>
      <c r="G221" s="50">
        <v>2</v>
      </c>
      <c r="H221" s="44">
        <v>25</v>
      </c>
      <c r="I221" s="44">
        <v>19</v>
      </c>
      <c r="J221" s="15" t="s">
        <v>400</v>
      </c>
    </row>
    <row r="222" spans="1:21" s="23" customFormat="1" ht="15.75" x14ac:dyDescent="0.2">
      <c r="A222" s="16" t="s">
        <v>401</v>
      </c>
      <c r="B222" s="10">
        <f t="shared" si="34"/>
        <v>918</v>
      </c>
      <c r="C222" s="70">
        <v>859</v>
      </c>
      <c r="D222" s="44">
        <v>7</v>
      </c>
      <c r="E222" s="44">
        <v>14</v>
      </c>
      <c r="F222" s="50">
        <v>0</v>
      </c>
      <c r="G222" s="50">
        <v>0</v>
      </c>
      <c r="H222" s="44">
        <v>25</v>
      </c>
      <c r="I222" s="44">
        <v>13</v>
      </c>
      <c r="J222" s="15" t="s">
        <v>402</v>
      </c>
    </row>
    <row r="223" spans="1:21" s="23" customFormat="1" ht="15.75" x14ac:dyDescent="0.2">
      <c r="A223" s="16"/>
      <c r="B223" s="10"/>
      <c r="C223" s="52"/>
      <c r="D223" s="44"/>
      <c r="E223" s="44"/>
      <c r="F223" s="50"/>
      <c r="G223" s="50"/>
      <c r="H223" s="44"/>
      <c r="I223" s="46"/>
      <c r="J223" s="15"/>
    </row>
    <row r="224" spans="1:21" s="59" customFormat="1" ht="15.75" x14ac:dyDescent="0.2">
      <c r="A224" s="56" t="s">
        <v>58</v>
      </c>
      <c r="B224" s="10">
        <f t="shared" ref="B224:B233" si="36">SUM(C224:I224)</f>
        <v>19760</v>
      </c>
      <c r="C224" s="10">
        <f>SUM(C225:C233)</f>
        <v>18440</v>
      </c>
      <c r="D224" s="38">
        <f t="shared" ref="D224:I224" si="37">SUM(D225:D233)</f>
        <v>177</v>
      </c>
      <c r="E224" s="38">
        <f t="shared" si="37"/>
        <v>349</v>
      </c>
      <c r="F224" s="38">
        <f t="shared" si="37"/>
        <v>9</v>
      </c>
      <c r="G224" s="38">
        <f t="shared" si="37"/>
        <v>17</v>
      </c>
      <c r="H224" s="38">
        <f t="shared" si="37"/>
        <v>428</v>
      </c>
      <c r="I224" s="38">
        <f t="shared" si="37"/>
        <v>340</v>
      </c>
      <c r="J224" s="41" t="s">
        <v>59</v>
      </c>
    </row>
    <row r="225" spans="1:10" s="59" customFormat="1" ht="15.75" x14ac:dyDescent="0.2">
      <c r="A225" s="16" t="s">
        <v>403</v>
      </c>
      <c r="B225" s="10">
        <f t="shared" si="36"/>
        <v>1880</v>
      </c>
      <c r="C225" s="70">
        <v>1749</v>
      </c>
      <c r="D225" s="44">
        <v>14</v>
      </c>
      <c r="E225" s="44">
        <v>25</v>
      </c>
      <c r="F225" s="50">
        <v>0</v>
      </c>
      <c r="G225" s="50">
        <v>0</v>
      </c>
      <c r="H225" s="44">
        <v>40</v>
      </c>
      <c r="I225" s="44">
        <v>52</v>
      </c>
      <c r="J225" s="15" t="s">
        <v>404</v>
      </c>
    </row>
    <row r="226" spans="1:10" s="59" customFormat="1" ht="15.75" x14ac:dyDescent="0.2">
      <c r="A226" s="16" t="s">
        <v>405</v>
      </c>
      <c r="B226" s="10">
        <f t="shared" si="36"/>
        <v>1255</v>
      </c>
      <c r="C226" s="70">
        <v>1177</v>
      </c>
      <c r="D226" s="44">
        <v>9</v>
      </c>
      <c r="E226" s="44">
        <v>18</v>
      </c>
      <c r="F226" s="50">
        <v>1</v>
      </c>
      <c r="G226" s="50">
        <v>1</v>
      </c>
      <c r="H226" s="44">
        <v>30</v>
      </c>
      <c r="I226" s="44">
        <v>19</v>
      </c>
      <c r="J226" s="15" t="s">
        <v>406</v>
      </c>
    </row>
    <row r="227" spans="1:10" s="59" customFormat="1" ht="15.75" x14ac:dyDescent="0.2">
      <c r="A227" s="16" t="s">
        <v>407</v>
      </c>
      <c r="B227" s="10">
        <f t="shared" si="36"/>
        <v>1113</v>
      </c>
      <c r="C227" s="70">
        <v>1031</v>
      </c>
      <c r="D227" s="44">
        <v>12</v>
      </c>
      <c r="E227" s="44">
        <v>24</v>
      </c>
      <c r="F227" s="50">
        <v>1</v>
      </c>
      <c r="G227" s="50">
        <v>1</v>
      </c>
      <c r="H227" s="44">
        <v>14</v>
      </c>
      <c r="I227" s="44">
        <v>30</v>
      </c>
      <c r="J227" s="15" t="s">
        <v>408</v>
      </c>
    </row>
    <row r="228" spans="1:10" s="59" customFormat="1" ht="15.75" x14ac:dyDescent="0.2">
      <c r="A228" s="16" t="s">
        <v>409</v>
      </c>
      <c r="B228" s="10">
        <f t="shared" si="36"/>
        <v>2813</v>
      </c>
      <c r="C228" s="70">
        <v>2671</v>
      </c>
      <c r="D228" s="44">
        <v>21</v>
      </c>
      <c r="E228" s="44">
        <v>36</v>
      </c>
      <c r="F228" s="50">
        <v>1</v>
      </c>
      <c r="G228" s="50">
        <v>2</v>
      </c>
      <c r="H228" s="44">
        <v>50</v>
      </c>
      <c r="I228" s="44">
        <v>32</v>
      </c>
      <c r="J228" s="15" t="s">
        <v>410</v>
      </c>
    </row>
    <row r="229" spans="1:10" s="59" customFormat="1" ht="15.75" x14ac:dyDescent="0.2">
      <c r="A229" s="16" t="s">
        <v>411</v>
      </c>
      <c r="B229" s="10">
        <f t="shared" si="36"/>
        <v>1278</v>
      </c>
      <c r="C229" s="70">
        <v>1244</v>
      </c>
      <c r="D229" s="44">
        <v>2</v>
      </c>
      <c r="E229" s="44">
        <v>5</v>
      </c>
      <c r="F229" s="50">
        <v>0</v>
      </c>
      <c r="G229" s="50">
        <v>0</v>
      </c>
      <c r="H229" s="44">
        <v>16</v>
      </c>
      <c r="I229" s="44">
        <v>11</v>
      </c>
      <c r="J229" s="15" t="s">
        <v>412</v>
      </c>
    </row>
    <row r="230" spans="1:10" s="23" customFormat="1" ht="15.75" x14ac:dyDescent="0.2">
      <c r="A230" s="14" t="s">
        <v>183</v>
      </c>
      <c r="B230" s="10">
        <f t="shared" si="36"/>
        <v>1351</v>
      </c>
      <c r="C230" s="70">
        <v>1241</v>
      </c>
      <c r="D230" s="44">
        <v>12</v>
      </c>
      <c r="E230" s="44">
        <v>25</v>
      </c>
      <c r="F230" s="50">
        <v>0</v>
      </c>
      <c r="G230" s="50">
        <v>0</v>
      </c>
      <c r="H230" s="44">
        <v>53</v>
      </c>
      <c r="I230" s="44">
        <v>20</v>
      </c>
      <c r="J230" s="15" t="s">
        <v>184</v>
      </c>
    </row>
    <row r="231" spans="1:10" s="23" customFormat="1" ht="15.75" x14ac:dyDescent="0.2">
      <c r="A231" s="14" t="s">
        <v>413</v>
      </c>
      <c r="B231" s="10">
        <f t="shared" si="36"/>
        <v>1409</v>
      </c>
      <c r="C231" s="70">
        <v>1344</v>
      </c>
      <c r="D231" s="44">
        <v>12</v>
      </c>
      <c r="E231" s="44">
        <v>33</v>
      </c>
      <c r="F231" s="50">
        <v>0</v>
      </c>
      <c r="G231" s="50">
        <v>0</v>
      </c>
      <c r="H231" s="44">
        <v>12</v>
      </c>
      <c r="I231" s="44">
        <v>8</v>
      </c>
      <c r="J231" s="15" t="s">
        <v>414</v>
      </c>
    </row>
    <row r="232" spans="1:10" s="23" customFormat="1" ht="15.75" x14ac:dyDescent="0.2">
      <c r="A232" s="14" t="s">
        <v>415</v>
      </c>
      <c r="B232" s="10">
        <f t="shared" si="36"/>
        <v>1709</v>
      </c>
      <c r="C232" s="70">
        <v>1564</v>
      </c>
      <c r="D232" s="44">
        <v>20</v>
      </c>
      <c r="E232" s="44">
        <v>43</v>
      </c>
      <c r="F232" s="50">
        <v>1</v>
      </c>
      <c r="G232" s="50">
        <v>1</v>
      </c>
      <c r="H232" s="44">
        <v>37</v>
      </c>
      <c r="I232" s="44">
        <v>43</v>
      </c>
      <c r="J232" s="15" t="s">
        <v>416</v>
      </c>
    </row>
    <row r="233" spans="1:10" s="23" customFormat="1" ht="15.75" x14ac:dyDescent="0.2">
      <c r="A233" s="14" t="s">
        <v>297</v>
      </c>
      <c r="B233" s="10">
        <f t="shared" si="36"/>
        <v>6952</v>
      </c>
      <c r="C233" s="70">
        <v>6419</v>
      </c>
      <c r="D233" s="44">
        <v>75</v>
      </c>
      <c r="E233" s="44">
        <v>140</v>
      </c>
      <c r="F233" s="50">
        <v>5</v>
      </c>
      <c r="G233" s="50">
        <v>12</v>
      </c>
      <c r="H233" s="44">
        <v>176</v>
      </c>
      <c r="I233" s="44">
        <v>125</v>
      </c>
      <c r="J233" s="15" t="s">
        <v>298</v>
      </c>
    </row>
    <row r="234" spans="1:10" s="23" customFormat="1" ht="12.75" x14ac:dyDescent="0.2">
      <c r="A234" s="16"/>
      <c r="B234" s="47"/>
      <c r="C234" s="52"/>
      <c r="D234" s="44"/>
      <c r="E234" s="44"/>
      <c r="F234" s="44"/>
      <c r="G234" s="44"/>
      <c r="H234" s="44"/>
      <c r="I234" s="46"/>
      <c r="J234" s="42"/>
    </row>
    <row r="235" spans="1:10" s="23" customFormat="1" ht="15.75" x14ac:dyDescent="0.2">
      <c r="A235" s="56" t="s">
        <v>60</v>
      </c>
      <c r="B235" s="10">
        <f>SUM(C235:I235)</f>
        <v>11513</v>
      </c>
      <c r="C235" s="10">
        <f>SUM(C236)</f>
        <v>10673</v>
      </c>
      <c r="D235" s="38">
        <f t="shared" ref="D235:I235" si="38">SUM(D236)</f>
        <v>147</v>
      </c>
      <c r="E235" s="38">
        <f t="shared" si="38"/>
        <v>281</v>
      </c>
      <c r="F235" s="38">
        <f t="shared" si="38"/>
        <v>13</v>
      </c>
      <c r="G235" s="38">
        <f t="shared" si="38"/>
        <v>23</v>
      </c>
      <c r="H235" s="38">
        <f t="shared" si="38"/>
        <v>147</v>
      </c>
      <c r="I235" s="38">
        <f t="shared" si="38"/>
        <v>229</v>
      </c>
      <c r="J235" s="41" t="s">
        <v>61</v>
      </c>
    </row>
    <row r="236" spans="1:10" s="23" customFormat="1" ht="15.75" x14ac:dyDescent="0.2">
      <c r="A236" s="16" t="s">
        <v>417</v>
      </c>
      <c r="B236" s="10">
        <f>SUM(C236:I236)</f>
        <v>11513</v>
      </c>
      <c r="C236" s="70">
        <v>10673</v>
      </c>
      <c r="D236" s="44">
        <v>147</v>
      </c>
      <c r="E236" s="44">
        <v>281</v>
      </c>
      <c r="F236" s="50">
        <v>13</v>
      </c>
      <c r="G236" s="50">
        <v>23</v>
      </c>
      <c r="H236" s="44">
        <v>147</v>
      </c>
      <c r="I236" s="44">
        <v>229</v>
      </c>
      <c r="J236" s="15" t="s">
        <v>418</v>
      </c>
    </row>
    <row r="237" spans="1:10" s="23" customFormat="1" ht="12.75" x14ac:dyDescent="0.2">
      <c r="A237" s="16"/>
      <c r="B237" s="47"/>
      <c r="C237" s="52"/>
      <c r="D237" s="44"/>
      <c r="E237" s="44"/>
      <c r="F237" s="44"/>
      <c r="G237" s="44"/>
      <c r="H237" s="44"/>
      <c r="I237" s="46"/>
      <c r="J237" s="42"/>
    </row>
    <row r="238" spans="1:10" s="23" customFormat="1" ht="15.75" x14ac:dyDescent="0.2">
      <c r="A238" s="56" t="s">
        <v>62</v>
      </c>
      <c r="B238" s="10">
        <f t="shared" ref="B238:B244" si="39">SUM(C238:I238)</f>
        <v>29926</v>
      </c>
      <c r="C238" s="10">
        <f>SUM(C239:C244)</f>
        <v>28252</v>
      </c>
      <c r="D238" s="38">
        <f t="shared" ref="D238:I238" si="40">SUM(D239:D244)</f>
        <v>300</v>
      </c>
      <c r="E238" s="38">
        <f t="shared" si="40"/>
        <v>551</v>
      </c>
      <c r="F238" s="38">
        <f t="shared" si="40"/>
        <v>9</v>
      </c>
      <c r="G238" s="38">
        <f t="shared" si="40"/>
        <v>13</v>
      </c>
      <c r="H238" s="38">
        <f t="shared" si="40"/>
        <v>375</v>
      </c>
      <c r="I238" s="38">
        <f t="shared" si="40"/>
        <v>426</v>
      </c>
      <c r="J238" s="41" t="s">
        <v>63</v>
      </c>
    </row>
    <row r="239" spans="1:10" s="23" customFormat="1" ht="15.75" x14ac:dyDescent="0.2">
      <c r="A239" s="16" t="s">
        <v>207</v>
      </c>
      <c r="B239" s="10">
        <f t="shared" si="39"/>
        <v>2645</v>
      </c>
      <c r="C239" s="70">
        <v>2475</v>
      </c>
      <c r="D239" s="44">
        <v>36</v>
      </c>
      <c r="E239" s="44">
        <v>66</v>
      </c>
      <c r="F239" s="50">
        <v>0</v>
      </c>
      <c r="G239" s="50">
        <v>0</v>
      </c>
      <c r="H239" s="44">
        <v>29</v>
      </c>
      <c r="I239" s="44">
        <v>39</v>
      </c>
      <c r="J239" s="15" t="s">
        <v>208</v>
      </c>
    </row>
    <row r="240" spans="1:10" s="23" customFormat="1" ht="15.75" x14ac:dyDescent="0.2">
      <c r="A240" s="16" t="s">
        <v>383</v>
      </c>
      <c r="B240" s="10">
        <f t="shared" si="39"/>
        <v>14116</v>
      </c>
      <c r="C240" s="70">
        <v>13351</v>
      </c>
      <c r="D240" s="44">
        <v>135</v>
      </c>
      <c r="E240" s="44">
        <v>255</v>
      </c>
      <c r="F240" s="50">
        <v>4</v>
      </c>
      <c r="G240" s="50">
        <v>5</v>
      </c>
      <c r="H240" s="44">
        <v>154</v>
      </c>
      <c r="I240" s="44">
        <v>212</v>
      </c>
      <c r="J240" s="15" t="s">
        <v>384</v>
      </c>
    </row>
    <row r="241" spans="1:10" s="23" customFormat="1" ht="15.75" x14ac:dyDescent="0.2">
      <c r="A241" s="16" t="s">
        <v>419</v>
      </c>
      <c r="B241" s="10">
        <f t="shared" si="39"/>
        <v>3322</v>
      </c>
      <c r="C241" s="70">
        <v>3133</v>
      </c>
      <c r="D241" s="44">
        <v>33</v>
      </c>
      <c r="E241" s="44">
        <v>60</v>
      </c>
      <c r="F241" s="50">
        <v>2</v>
      </c>
      <c r="G241" s="50">
        <v>3</v>
      </c>
      <c r="H241" s="44">
        <v>28</v>
      </c>
      <c r="I241" s="44">
        <v>63</v>
      </c>
      <c r="J241" s="15" t="s">
        <v>420</v>
      </c>
    </row>
    <row r="242" spans="1:10" s="23" customFormat="1" ht="15.75" x14ac:dyDescent="0.2">
      <c r="A242" s="16" t="s">
        <v>133</v>
      </c>
      <c r="B242" s="10">
        <f t="shared" si="39"/>
        <v>4875</v>
      </c>
      <c r="C242" s="70">
        <v>4587</v>
      </c>
      <c r="D242" s="44">
        <v>55</v>
      </c>
      <c r="E242" s="44">
        <v>94</v>
      </c>
      <c r="F242" s="50">
        <v>3</v>
      </c>
      <c r="G242" s="50">
        <v>5</v>
      </c>
      <c r="H242" s="44">
        <v>72</v>
      </c>
      <c r="I242" s="44">
        <v>59</v>
      </c>
      <c r="J242" s="15" t="s">
        <v>134</v>
      </c>
    </row>
    <row r="243" spans="1:10" s="23" customFormat="1" ht="15.75" x14ac:dyDescent="0.2">
      <c r="A243" s="16" t="s">
        <v>421</v>
      </c>
      <c r="B243" s="10">
        <f t="shared" si="39"/>
        <v>1704</v>
      </c>
      <c r="C243" s="70">
        <v>1592</v>
      </c>
      <c r="D243" s="44">
        <v>20</v>
      </c>
      <c r="E243" s="44">
        <v>38</v>
      </c>
      <c r="F243" s="50">
        <v>0</v>
      </c>
      <c r="G243" s="50">
        <v>0</v>
      </c>
      <c r="H243" s="44">
        <v>29</v>
      </c>
      <c r="I243" s="44">
        <v>25</v>
      </c>
      <c r="J243" s="15" t="s">
        <v>422</v>
      </c>
    </row>
    <row r="244" spans="1:10" s="23" customFormat="1" ht="15.75" x14ac:dyDescent="0.2">
      <c r="A244" s="17" t="s">
        <v>423</v>
      </c>
      <c r="B244" s="60">
        <f t="shared" si="39"/>
        <v>3264</v>
      </c>
      <c r="C244" s="81">
        <v>3114</v>
      </c>
      <c r="D244" s="73">
        <v>21</v>
      </c>
      <c r="E244" s="73">
        <v>38</v>
      </c>
      <c r="F244" s="73">
        <v>0</v>
      </c>
      <c r="G244" s="73">
        <v>0</v>
      </c>
      <c r="H244" s="79">
        <v>63</v>
      </c>
      <c r="I244" s="73">
        <v>28</v>
      </c>
      <c r="J244" s="18" t="s">
        <v>424</v>
      </c>
    </row>
    <row r="245" spans="1:10" s="67" customFormat="1" ht="16.5" x14ac:dyDescent="0.2">
      <c r="A245" s="61" t="s">
        <v>425</v>
      </c>
      <c r="B245" s="62"/>
      <c r="C245" s="63"/>
      <c r="D245" s="64"/>
      <c r="E245" s="64"/>
      <c r="F245" s="64"/>
      <c r="G245" s="64"/>
      <c r="H245" s="64"/>
      <c r="I245" s="65"/>
      <c r="J245" s="66" t="s">
        <v>426</v>
      </c>
    </row>
    <row r="246" spans="1:10" s="67" customFormat="1" ht="16.5" x14ac:dyDescent="0.2">
      <c r="A246" s="61" t="s">
        <v>427</v>
      </c>
      <c r="B246" s="62"/>
      <c r="D246" s="68"/>
      <c r="E246" s="68"/>
      <c r="F246" s="68"/>
      <c r="G246" s="68"/>
      <c r="H246" s="68"/>
      <c r="I246" s="69"/>
      <c r="J246" s="66" t="s">
        <v>428</v>
      </c>
    </row>
    <row r="247" spans="1:10" s="67" customFormat="1" ht="16.5" x14ac:dyDescent="0.2">
      <c r="A247" s="61" t="s">
        <v>429</v>
      </c>
      <c r="B247" s="62"/>
      <c r="D247" s="68"/>
      <c r="E247" s="68"/>
      <c r="F247" s="68"/>
      <c r="G247" s="68"/>
      <c r="H247" s="68"/>
      <c r="I247" s="69"/>
      <c r="J247" s="66" t="s">
        <v>430</v>
      </c>
    </row>
    <row r="248" spans="1:10" s="67" customFormat="1" ht="17.25" x14ac:dyDescent="0.2">
      <c r="A248" s="19" t="s">
        <v>64</v>
      </c>
      <c r="B248" s="62"/>
      <c r="D248" s="68"/>
      <c r="E248" s="68"/>
      <c r="F248" s="68"/>
      <c r="G248" s="68"/>
      <c r="H248" s="68"/>
      <c r="I248" s="69"/>
      <c r="J248" s="20" t="s">
        <v>65</v>
      </c>
    </row>
    <row r="249" spans="1:10" s="23" customFormat="1" ht="12.75" x14ac:dyDescent="0.2">
      <c r="B249" s="24"/>
      <c r="D249" s="25"/>
      <c r="E249" s="25"/>
      <c r="F249" s="25"/>
      <c r="G249" s="25"/>
      <c r="H249" s="25"/>
      <c r="I249" s="26"/>
    </row>
    <row r="250" spans="1:10" s="23" customFormat="1" ht="12.75" x14ac:dyDescent="0.2">
      <c r="B250" s="24"/>
      <c r="D250" s="25"/>
      <c r="E250" s="25"/>
      <c r="F250" s="25"/>
      <c r="G250" s="25"/>
      <c r="H250" s="25"/>
      <c r="I250" s="26"/>
    </row>
    <row r="251" spans="1:10" s="4" customFormat="1" ht="21" x14ac:dyDescent="0.2">
      <c r="A251" s="91" t="s">
        <v>431</v>
      </c>
      <c r="B251" s="91"/>
      <c r="C251" s="91"/>
      <c r="D251" s="91"/>
      <c r="E251" s="91"/>
      <c r="F251" s="91"/>
      <c r="G251" s="91"/>
      <c r="H251" s="91"/>
      <c r="I251" s="91"/>
      <c r="J251" s="77"/>
    </row>
    <row r="252" spans="1:10" s="4" customFormat="1" x14ac:dyDescent="0.2">
      <c r="A252" s="96" t="s">
        <v>432</v>
      </c>
      <c r="B252" s="96"/>
      <c r="C252" s="96"/>
      <c r="D252" s="96"/>
      <c r="E252" s="96"/>
      <c r="F252" s="96"/>
      <c r="G252" s="96"/>
      <c r="H252" s="96"/>
      <c r="I252" s="96"/>
      <c r="J252" s="78"/>
    </row>
    <row r="253" spans="1:10" s="2" customFormat="1" ht="17.25" customHeight="1" x14ac:dyDescent="0.45">
      <c r="A253" s="27"/>
      <c r="B253" s="97" t="s">
        <v>0</v>
      </c>
      <c r="C253" s="90" t="s">
        <v>2</v>
      </c>
      <c r="D253" s="100" t="s">
        <v>3</v>
      </c>
      <c r="E253" s="100"/>
      <c r="F253" s="102" t="s">
        <v>4</v>
      </c>
      <c r="G253" s="102"/>
      <c r="H253" s="100" t="s">
        <v>6</v>
      </c>
      <c r="I253" s="112"/>
      <c r="J253" s="93" t="s">
        <v>7</v>
      </c>
    </row>
    <row r="254" spans="1:10" s="2" customFormat="1" ht="17.25" customHeight="1" x14ac:dyDescent="0.45">
      <c r="A254" s="28"/>
      <c r="B254" s="98"/>
      <c r="C254" s="92"/>
      <c r="D254" s="101"/>
      <c r="E254" s="101"/>
      <c r="F254" s="103"/>
      <c r="G254" s="103"/>
      <c r="H254" s="111"/>
      <c r="I254" s="113"/>
      <c r="J254" s="94"/>
    </row>
    <row r="255" spans="1:10" s="31" customFormat="1" ht="25.5" x14ac:dyDescent="0.2">
      <c r="A255" s="29"/>
      <c r="B255" s="98"/>
      <c r="C255" s="30" t="s">
        <v>8</v>
      </c>
      <c r="D255" s="104" t="s">
        <v>9</v>
      </c>
      <c r="E255" s="104"/>
      <c r="F255" s="105" t="s">
        <v>10</v>
      </c>
      <c r="G255" s="106"/>
      <c r="H255" s="101"/>
      <c r="I255" s="114"/>
      <c r="J255" s="94"/>
    </row>
    <row r="256" spans="1:10" s="33" customFormat="1" ht="17.25" customHeight="1" x14ac:dyDescent="0.2">
      <c r="A256" s="32" t="s">
        <v>1</v>
      </c>
      <c r="B256" s="98"/>
      <c r="C256" s="5" t="s">
        <v>11</v>
      </c>
      <c r="D256" s="6" t="s">
        <v>12</v>
      </c>
      <c r="E256" s="7" t="s">
        <v>13</v>
      </c>
      <c r="F256" s="5" t="s">
        <v>12</v>
      </c>
      <c r="G256" s="7" t="s">
        <v>14</v>
      </c>
      <c r="H256" s="109" t="s">
        <v>67</v>
      </c>
      <c r="I256" s="114"/>
      <c r="J256" s="94"/>
    </row>
    <row r="257" spans="1:10" s="8" customFormat="1" ht="17.25" customHeight="1" x14ac:dyDescent="0.25">
      <c r="A257" s="34"/>
      <c r="B257" s="99"/>
      <c r="C257" s="35" t="s">
        <v>68</v>
      </c>
      <c r="D257" s="36" t="s">
        <v>15</v>
      </c>
      <c r="E257" s="37" t="s">
        <v>16</v>
      </c>
      <c r="F257" s="35" t="s">
        <v>17</v>
      </c>
      <c r="G257" s="37" t="s">
        <v>16</v>
      </c>
      <c r="H257" s="104"/>
      <c r="I257" s="115"/>
      <c r="J257" s="95"/>
    </row>
    <row r="258" spans="1:10" s="40" customFormat="1" ht="18.75" x14ac:dyDescent="0.2">
      <c r="A258" s="9" t="s">
        <v>18</v>
      </c>
      <c r="B258" s="10">
        <f t="shared" ref="B258:B275" si="41">SUM(C258:H258)</f>
        <v>315206</v>
      </c>
      <c r="C258" s="10">
        <f t="shared" ref="C258:G258" si="42">C259+C260</f>
        <v>302104</v>
      </c>
      <c r="D258" s="38">
        <f t="shared" si="42"/>
        <v>2707</v>
      </c>
      <c r="E258" s="38">
        <f t="shared" si="42"/>
        <v>4553</v>
      </c>
      <c r="F258" s="38">
        <f t="shared" si="42"/>
        <v>100</v>
      </c>
      <c r="G258" s="38">
        <f t="shared" si="42"/>
        <v>141</v>
      </c>
      <c r="H258" s="39">
        <f>H259+H260</f>
        <v>5601</v>
      </c>
      <c r="J258" s="11" t="s">
        <v>19</v>
      </c>
    </row>
    <row r="259" spans="1:10" s="40" customFormat="1" ht="18.75" x14ac:dyDescent="0.25">
      <c r="A259" s="12" t="s">
        <v>20</v>
      </c>
      <c r="B259" s="10">
        <f t="shared" si="41"/>
        <v>53751</v>
      </c>
      <c r="C259" s="13">
        <v>49489</v>
      </c>
      <c r="D259" s="46">
        <v>1054</v>
      </c>
      <c r="E259" s="46">
        <v>1688</v>
      </c>
      <c r="F259" s="46">
        <v>26</v>
      </c>
      <c r="G259" s="21">
        <v>36</v>
      </c>
      <c r="H259" s="83">
        <v>1458</v>
      </c>
      <c r="J259" s="11" t="s">
        <v>21</v>
      </c>
    </row>
    <row r="260" spans="1:10" s="40" customFormat="1" ht="18.75" x14ac:dyDescent="0.2">
      <c r="A260" s="9" t="s">
        <v>22</v>
      </c>
      <c r="B260" s="10">
        <f t="shared" si="41"/>
        <v>261455</v>
      </c>
      <c r="C260" s="10">
        <f>C261+C277+C294+C310+C325+C343+C358+C365+C376+C386+C398+C405+C415+C422+C432+C447+C461+C473+C484+C487</f>
        <v>252615</v>
      </c>
      <c r="D260" s="38">
        <f t="shared" ref="D260:G260" si="43">D261+D277+D294+D310+D325+D343+D358+D365+D376+D386+D398+D405+D415+D422+D432+D447+D461+D473+D484+D487</f>
        <v>1653</v>
      </c>
      <c r="E260" s="38">
        <f t="shared" si="43"/>
        <v>2865</v>
      </c>
      <c r="F260" s="38">
        <f t="shared" si="43"/>
        <v>74</v>
      </c>
      <c r="G260" s="38">
        <f t="shared" si="43"/>
        <v>105</v>
      </c>
      <c r="H260" s="38">
        <f>H261+H277+H294+H310+H325+H343+H358+H365+H376+H386+H398+H405+H415+H422+H432+H447+H461+H473+H484+H487</f>
        <v>4143</v>
      </c>
      <c r="J260" s="11" t="s">
        <v>23</v>
      </c>
    </row>
    <row r="261" spans="1:10" s="40" customFormat="1" ht="15.75" x14ac:dyDescent="0.2">
      <c r="A261" s="12" t="s">
        <v>24</v>
      </c>
      <c r="B261" s="10">
        <f t="shared" si="41"/>
        <v>19330</v>
      </c>
      <c r="C261" s="10">
        <f>SUM(C262:C275)</f>
        <v>18659</v>
      </c>
      <c r="D261" s="38">
        <f t="shared" ref="D261:G261" si="44">SUM(D262:D275)</f>
        <v>125</v>
      </c>
      <c r="E261" s="38">
        <f t="shared" si="44"/>
        <v>200</v>
      </c>
      <c r="F261" s="38">
        <f t="shared" si="44"/>
        <v>3</v>
      </c>
      <c r="G261" s="38">
        <f t="shared" si="44"/>
        <v>3</v>
      </c>
      <c r="H261" s="38">
        <f>SUM(H262:H275)</f>
        <v>340</v>
      </c>
      <c r="J261" s="41" t="s">
        <v>25</v>
      </c>
    </row>
    <row r="262" spans="1:10" s="42" customFormat="1" ht="15.75" x14ac:dyDescent="0.2">
      <c r="A262" s="14" t="s">
        <v>69</v>
      </c>
      <c r="B262" s="10">
        <f t="shared" si="41"/>
        <v>573</v>
      </c>
      <c r="C262" s="10">
        <v>554</v>
      </c>
      <c r="D262" s="50">
        <v>0</v>
      </c>
      <c r="E262" s="50">
        <v>0</v>
      </c>
      <c r="F262" s="50">
        <v>0</v>
      </c>
      <c r="G262" s="50">
        <v>0</v>
      </c>
      <c r="H262" s="44">
        <v>19</v>
      </c>
      <c r="J262" s="15" t="s">
        <v>70</v>
      </c>
    </row>
    <row r="263" spans="1:10" s="42" customFormat="1" ht="15.75" x14ac:dyDescent="0.2">
      <c r="A263" s="14" t="s">
        <v>71</v>
      </c>
      <c r="B263" s="10">
        <f t="shared" si="41"/>
        <v>456</v>
      </c>
      <c r="C263" s="10">
        <v>430</v>
      </c>
      <c r="D263" s="71">
        <v>6</v>
      </c>
      <c r="E263" s="71">
        <v>10</v>
      </c>
      <c r="F263" s="50">
        <v>0</v>
      </c>
      <c r="G263" s="50">
        <v>0</v>
      </c>
      <c r="H263" s="44">
        <v>10</v>
      </c>
      <c r="J263" s="15" t="s">
        <v>72</v>
      </c>
    </row>
    <row r="264" spans="1:10" s="42" customFormat="1" ht="15.75" x14ac:dyDescent="0.2">
      <c r="A264" s="14" t="s">
        <v>73</v>
      </c>
      <c r="B264" s="10">
        <f t="shared" si="41"/>
        <v>344</v>
      </c>
      <c r="C264" s="10">
        <v>323</v>
      </c>
      <c r="D264" s="71">
        <v>7</v>
      </c>
      <c r="E264" s="71">
        <v>10</v>
      </c>
      <c r="F264" s="50">
        <v>0</v>
      </c>
      <c r="G264" s="50">
        <v>0</v>
      </c>
      <c r="H264" s="44">
        <v>4</v>
      </c>
      <c r="J264" s="15" t="s">
        <v>74</v>
      </c>
    </row>
    <row r="265" spans="1:10" s="42" customFormat="1" ht="15.75" x14ac:dyDescent="0.2">
      <c r="A265" s="14" t="s">
        <v>75</v>
      </c>
      <c r="B265" s="10">
        <f t="shared" si="41"/>
        <v>2969</v>
      </c>
      <c r="C265" s="10">
        <v>2852</v>
      </c>
      <c r="D265" s="71">
        <v>23</v>
      </c>
      <c r="E265" s="71">
        <v>43</v>
      </c>
      <c r="F265" s="50">
        <v>0</v>
      </c>
      <c r="G265" s="50">
        <v>0</v>
      </c>
      <c r="H265" s="44">
        <v>51</v>
      </c>
      <c r="J265" s="15" t="s">
        <v>76</v>
      </c>
    </row>
    <row r="266" spans="1:10" s="42" customFormat="1" ht="15.75" x14ac:dyDescent="0.2">
      <c r="A266" s="14" t="s">
        <v>77</v>
      </c>
      <c r="B266" s="10">
        <f t="shared" si="41"/>
        <v>2933</v>
      </c>
      <c r="C266" s="10">
        <v>2810</v>
      </c>
      <c r="D266" s="71">
        <v>18</v>
      </c>
      <c r="E266" s="71">
        <v>30</v>
      </c>
      <c r="F266" s="50">
        <v>0</v>
      </c>
      <c r="G266" s="50">
        <v>0</v>
      </c>
      <c r="H266" s="44">
        <v>75</v>
      </c>
      <c r="J266" s="15" t="s">
        <v>78</v>
      </c>
    </row>
    <row r="267" spans="1:10" s="42" customFormat="1" ht="15.75" x14ac:dyDescent="0.2">
      <c r="A267" s="14" t="s">
        <v>79</v>
      </c>
      <c r="B267" s="10">
        <f t="shared" si="41"/>
        <v>1922</v>
      </c>
      <c r="C267" s="10">
        <v>1862</v>
      </c>
      <c r="D267" s="71">
        <v>11</v>
      </c>
      <c r="E267" s="71">
        <v>17</v>
      </c>
      <c r="F267" s="50">
        <v>1</v>
      </c>
      <c r="G267" s="50">
        <v>1</v>
      </c>
      <c r="H267" s="44">
        <v>30</v>
      </c>
      <c r="J267" s="15" t="s">
        <v>80</v>
      </c>
    </row>
    <row r="268" spans="1:10" s="42" customFormat="1" ht="15.75" x14ac:dyDescent="0.2">
      <c r="A268" s="14" t="s">
        <v>81</v>
      </c>
      <c r="B268" s="10">
        <f t="shared" si="41"/>
        <v>781</v>
      </c>
      <c r="C268" s="10">
        <v>761</v>
      </c>
      <c r="D268" s="71">
        <v>2</v>
      </c>
      <c r="E268" s="71">
        <v>4</v>
      </c>
      <c r="F268" s="50">
        <v>0</v>
      </c>
      <c r="G268" s="50">
        <v>0</v>
      </c>
      <c r="H268" s="44">
        <v>14</v>
      </c>
      <c r="J268" s="15" t="s">
        <v>82</v>
      </c>
    </row>
    <row r="269" spans="1:10" s="42" customFormat="1" ht="15.75" x14ac:dyDescent="0.2">
      <c r="A269" s="14" t="s">
        <v>83</v>
      </c>
      <c r="B269" s="10">
        <f t="shared" si="41"/>
        <v>3522</v>
      </c>
      <c r="C269" s="10">
        <v>3395</v>
      </c>
      <c r="D269" s="71">
        <v>17</v>
      </c>
      <c r="E269" s="71">
        <v>24</v>
      </c>
      <c r="F269" s="50">
        <v>0</v>
      </c>
      <c r="G269" s="50">
        <v>0</v>
      </c>
      <c r="H269" s="72">
        <v>86</v>
      </c>
      <c r="J269" s="15" t="s">
        <v>84</v>
      </c>
    </row>
    <row r="270" spans="1:10" s="42" customFormat="1" ht="15.75" x14ac:dyDescent="0.2">
      <c r="A270" s="14" t="s">
        <v>85</v>
      </c>
      <c r="B270" s="10">
        <f t="shared" si="41"/>
        <v>932</v>
      </c>
      <c r="C270" s="10">
        <v>909</v>
      </c>
      <c r="D270" s="71">
        <v>5</v>
      </c>
      <c r="E270" s="71">
        <v>6</v>
      </c>
      <c r="F270" s="50">
        <v>0</v>
      </c>
      <c r="G270" s="50">
        <v>0</v>
      </c>
      <c r="H270" s="44">
        <v>12</v>
      </c>
      <c r="J270" s="15" t="s">
        <v>86</v>
      </c>
    </row>
    <row r="271" spans="1:10" s="42" customFormat="1" ht="15.75" x14ac:dyDescent="0.2">
      <c r="A271" s="14" t="s">
        <v>87</v>
      </c>
      <c r="B271" s="10">
        <f t="shared" si="41"/>
        <v>874</v>
      </c>
      <c r="C271" s="10">
        <v>849</v>
      </c>
      <c r="D271" s="71">
        <v>7</v>
      </c>
      <c r="E271" s="71">
        <v>13</v>
      </c>
      <c r="F271" s="50">
        <v>0</v>
      </c>
      <c r="G271" s="50">
        <v>0</v>
      </c>
      <c r="H271" s="44">
        <v>5</v>
      </c>
      <c r="J271" s="15" t="s">
        <v>88</v>
      </c>
    </row>
    <row r="272" spans="1:10" s="42" customFormat="1" ht="15.75" x14ac:dyDescent="0.2">
      <c r="A272" s="14" t="s">
        <v>89</v>
      </c>
      <c r="B272" s="10">
        <f t="shared" si="41"/>
        <v>800</v>
      </c>
      <c r="C272" s="10">
        <v>782</v>
      </c>
      <c r="D272" s="71">
        <v>7</v>
      </c>
      <c r="E272" s="71">
        <v>8</v>
      </c>
      <c r="F272" s="50">
        <v>0</v>
      </c>
      <c r="G272" s="50">
        <v>0</v>
      </c>
      <c r="H272" s="44">
        <v>3</v>
      </c>
      <c r="J272" s="15" t="s">
        <v>90</v>
      </c>
    </row>
    <row r="273" spans="1:21" s="42" customFormat="1" ht="15.75" x14ac:dyDescent="0.2">
      <c r="A273" s="14" t="s">
        <v>91</v>
      </c>
      <c r="B273" s="10">
        <f t="shared" si="41"/>
        <v>764</v>
      </c>
      <c r="C273" s="10">
        <v>748</v>
      </c>
      <c r="D273" s="71">
        <v>3</v>
      </c>
      <c r="E273" s="71">
        <v>4</v>
      </c>
      <c r="F273" s="50">
        <v>0</v>
      </c>
      <c r="G273" s="50">
        <v>0</v>
      </c>
      <c r="H273" s="44">
        <v>9</v>
      </c>
      <c r="J273" s="15" t="s">
        <v>92</v>
      </c>
    </row>
    <row r="274" spans="1:21" s="42" customFormat="1" ht="15.75" x14ac:dyDescent="0.2">
      <c r="A274" s="14" t="s">
        <v>93</v>
      </c>
      <c r="B274" s="10">
        <f t="shared" si="41"/>
        <v>722</v>
      </c>
      <c r="C274" s="10">
        <v>711</v>
      </c>
      <c r="D274" s="71">
        <v>1</v>
      </c>
      <c r="E274" s="71">
        <v>2</v>
      </c>
      <c r="F274" s="50">
        <v>0</v>
      </c>
      <c r="G274" s="50">
        <v>0</v>
      </c>
      <c r="H274" s="44">
        <v>8</v>
      </c>
      <c r="J274" s="15" t="s">
        <v>94</v>
      </c>
    </row>
    <row r="275" spans="1:21" s="42" customFormat="1" ht="15.75" x14ac:dyDescent="0.2">
      <c r="A275" s="16" t="s">
        <v>95</v>
      </c>
      <c r="B275" s="10">
        <f t="shared" si="41"/>
        <v>1738</v>
      </c>
      <c r="C275" s="10">
        <v>1673</v>
      </c>
      <c r="D275" s="71">
        <v>18</v>
      </c>
      <c r="E275" s="71">
        <v>29</v>
      </c>
      <c r="F275" s="50">
        <v>2</v>
      </c>
      <c r="G275" s="50">
        <v>2</v>
      </c>
      <c r="H275" s="44">
        <v>14</v>
      </c>
      <c r="J275" s="15" t="s">
        <v>96</v>
      </c>
    </row>
    <row r="276" spans="1:21" s="42" customFormat="1" ht="15.75" x14ac:dyDescent="0.2">
      <c r="A276" s="16"/>
      <c r="B276" s="43"/>
      <c r="C276" s="22"/>
      <c r="D276" s="44"/>
      <c r="E276" s="44"/>
      <c r="F276" s="50"/>
      <c r="G276" s="50"/>
      <c r="H276" s="46"/>
      <c r="J276" s="15"/>
    </row>
    <row r="277" spans="1:21" s="42" customFormat="1" ht="15.75" x14ac:dyDescent="0.2">
      <c r="A277" s="12" t="s">
        <v>26</v>
      </c>
      <c r="B277" s="10">
        <f t="shared" ref="B277:B292" si="45">SUM(C277:H277)</f>
        <v>23142</v>
      </c>
      <c r="C277" s="10">
        <f>SUM(C278:C292)</f>
        <v>22166</v>
      </c>
      <c r="D277" s="38">
        <f>SUM(D278:D292)</f>
        <v>224</v>
      </c>
      <c r="E277" s="38">
        <f t="shared" ref="E277:G277" si="46">SUM(E278:E292)</f>
        <v>374</v>
      </c>
      <c r="F277" s="38">
        <f t="shared" si="46"/>
        <v>2</v>
      </c>
      <c r="G277" s="38">
        <f t="shared" si="46"/>
        <v>2</v>
      </c>
      <c r="H277" s="38">
        <f>SUM(H278:H292)</f>
        <v>374</v>
      </c>
      <c r="J277" s="41" t="s">
        <v>27</v>
      </c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</row>
    <row r="278" spans="1:21" s="42" customFormat="1" ht="15.75" x14ac:dyDescent="0.2">
      <c r="A278" s="14" t="s">
        <v>97</v>
      </c>
      <c r="B278" s="10">
        <f t="shared" si="45"/>
        <v>1826</v>
      </c>
      <c r="C278" s="10">
        <v>1734</v>
      </c>
      <c r="D278" s="71">
        <v>24</v>
      </c>
      <c r="E278" s="71">
        <v>41</v>
      </c>
      <c r="F278" s="50">
        <v>1</v>
      </c>
      <c r="G278" s="50">
        <v>1</v>
      </c>
      <c r="H278" s="44">
        <v>25</v>
      </c>
      <c r="J278" s="15" t="s">
        <v>98</v>
      </c>
    </row>
    <row r="279" spans="1:21" s="42" customFormat="1" ht="15.75" x14ac:dyDescent="0.2">
      <c r="A279" s="14" t="s">
        <v>99</v>
      </c>
      <c r="B279" s="10">
        <f t="shared" si="45"/>
        <v>463</v>
      </c>
      <c r="C279" s="10">
        <v>454</v>
      </c>
      <c r="D279" s="71">
        <v>1</v>
      </c>
      <c r="E279" s="71">
        <v>1</v>
      </c>
      <c r="F279" s="50">
        <v>0</v>
      </c>
      <c r="G279" s="50">
        <v>0</v>
      </c>
      <c r="H279" s="44">
        <v>7</v>
      </c>
      <c r="J279" s="15" t="s">
        <v>100</v>
      </c>
    </row>
    <row r="280" spans="1:21" s="42" customFormat="1" ht="15.75" x14ac:dyDescent="0.2">
      <c r="A280" s="14" t="s">
        <v>101</v>
      </c>
      <c r="B280" s="10">
        <f t="shared" si="45"/>
        <v>717</v>
      </c>
      <c r="C280" s="10">
        <v>702</v>
      </c>
      <c r="D280" s="71">
        <v>2</v>
      </c>
      <c r="E280" s="71">
        <v>2</v>
      </c>
      <c r="F280" s="50">
        <v>0</v>
      </c>
      <c r="G280" s="50">
        <v>0</v>
      </c>
      <c r="H280" s="44">
        <v>11</v>
      </c>
      <c r="J280" s="15" t="s">
        <v>102</v>
      </c>
    </row>
    <row r="281" spans="1:21" s="42" customFormat="1" ht="15.75" x14ac:dyDescent="0.2">
      <c r="A281" s="14" t="s">
        <v>103</v>
      </c>
      <c r="B281" s="10">
        <f t="shared" si="45"/>
        <v>436</v>
      </c>
      <c r="C281" s="10">
        <v>430</v>
      </c>
      <c r="D281" s="71">
        <v>0</v>
      </c>
      <c r="E281" s="71">
        <v>0</v>
      </c>
      <c r="F281" s="50">
        <v>0</v>
      </c>
      <c r="G281" s="50">
        <v>0</v>
      </c>
      <c r="H281" s="44">
        <v>6</v>
      </c>
      <c r="J281" s="15" t="s">
        <v>104</v>
      </c>
    </row>
    <row r="282" spans="1:21" s="42" customFormat="1" ht="15.75" x14ac:dyDescent="0.2">
      <c r="A282" s="14" t="s">
        <v>105</v>
      </c>
      <c r="B282" s="10">
        <f t="shared" si="45"/>
        <v>1543</v>
      </c>
      <c r="C282" s="10">
        <v>1485</v>
      </c>
      <c r="D282" s="71">
        <v>8</v>
      </c>
      <c r="E282" s="71">
        <v>12</v>
      </c>
      <c r="F282" s="50">
        <v>0</v>
      </c>
      <c r="G282" s="50">
        <v>0</v>
      </c>
      <c r="H282" s="44">
        <v>38</v>
      </c>
      <c r="J282" s="15" t="s">
        <v>106</v>
      </c>
    </row>
    <row r="283" spans="1:21" s="42" customFormat="1" ht="15.75" x14ac:dyDescent="0.2">
      <c r="A283" s="14" t="s">
        <v>107</v>
      </c>
      <c r="B283" s="10">
        <f t="shared" si="45"/>
        <v>1128</v>
      </c>
      <c r="C283" s="10">
        <v>1095</v>
      </c>
      <c r="D283" s="71">
        <v>6</v>
      </c>
      <c r="E283" s="71">
        <v>12</v>
      </c>
      <c r="F283" s="50">
        <v>0</v>
      </c>
      <c r="G283" s="50">
        <v>0</v>
      </c>
      <c r="H283" s="44">
        <v>15</v>
      </c>
      <c r="J283" s="15" t="s">
        <v>108</v>
      </c>
    </row>
    <row r="284" spans="1:21" s="42" customFormat="1" ht="15.75" x14ac:dyDescent="0.2">
      <c r="A284" s="14" t="s">
        <v>109</v>
      </c>
      <c r="B284" s="10">
        <f t="shared" si="45"/>
        <v>2295</v>
      </c>
      <c r="C284" s="10">
        <v>2181</v>
      </c>
      <c r="D284" s="71">
        <v>27</v>
      </c>
      <c r="E284" s="71">
        <v>50</v>
      </c>
      <c r="F284" s="50">
        <v>0</v>
      </c>
      <c r="G284" s="50">
        <v>0</v>
      </c>
      <c r="H284" s="44">
        <v>37</v>
      </c>
      <c r="J284" s="15" t="s">
        <v>110</v>
      </c>
    </row>
    <row r="285" spans="1:21" s="42" customFormat="1" ht="15.75" x14ac:dyDescent="0.2">
      <c r="A285" s="16" t="s">
        <v>111</v>
      </c>
      <c r="B285" s="10">
        <f t="shared" si="45"/>
        <v>627</v>
      </c>
      <c r="C285" s="10">
        <v>593</v>
      </c>
      <c r="D285" s="71">
        <v>8</v>
      </c>
      <c r="E285" s="71">
        <v>14</v>
      </c>
      <c r="F285" s="50">
        <v>1</v>
      </c>
      <c r="G285" s="50">
        <v>1</v>
      </c>
      <c r="H285" s="44">
        <v>10</v>
      </c>
      <c r="J285" s="15" t="s">
        <v>112</v>
      </c>
    </row>
    <row r="286" spans="1:21" s="42" customFormat="1" ht="15.75" x14ac:dyDescent="0.2">
      <c r="A286" s="14" t="s">
        <v>113</v>
      </c>
      <c r="B286" s="10">
        <f t="shared" si="45"/>
        <v>14</v>
      </c>
      <c r="C286" s="10">
        <v>4</v>
      </c>
      <c r="D286" s="71">
        <v>1</v>
      </c>
      <c r="E286" s="71">
        <v>1</v>
      </c>
      <c r="F286" s="50">
        <v>0</v>
      </c>
      <c r="G286" s="50">
        <v>0</v>
      </c>
      <c r="H286" s="44">
        <v>8</v>
      </c>
      <c r="J286" s="15" t="s">
        <v>114</v>
      </c>
    </row>
    <row r="287" spans="1:21" s="42" customFormat="1" ht="15.75" x14ac:dyDescent="0.2">
      <c r="A287" s="14" t="s">
        <v>115</v>
      </c>
      <c r="B287" s="10">
        <f t="shared" si="45"/>
        <v>8517</v>
      </c>
      <c r="C287" s="10">
        <v>8106</v>
      </c>
      <c r="D287" s="71">
        <v>103</v>
      </c>
      <c r="E287" s="71">
        <v>170</v>
      </c>
      <c r="F287" s="50">
        <v>0</v>
      </c>
      <c r="G287" s="50">
        <v>0</v>
      </c>
      <c r="H287" s="44">
        <v>138</v>
      </c>
      <c r="J287" s="15" t="s">
        <v>116</v>
      </c>
    </row>
    <row r="288" spans="1:21" s="42" customFormat="1" ht="15.75" x14ac:dyDescent="0.2">
      <c r="A288" s="14" t="s">
        <v>117</v>
      </c>
      <c r="B288" s="10">
        <f t="shared" si="45"/>
        <v>1294</v>
      </c>
      <c r="C288" s="10">
        <v>1232</v>
      </c>
      <c r="D288" s="71">
        <v>14</v>
      </c>
      <c r="E288" s="71">
        <v>26</v>
      </c>
      <c r="F288" s="50">
        <v>0</v>
      </c>
      <c r="G288" s="50">
        <v>0</v>
      </c>
      <c r="H288" s="44">
        <v>22</v>
      </c>
      <c r="J288" s="15" t="s">
        <v>118</v>
      </c>
    </row>
    <row r="289" spans="1:10" s="42" customFormat="1" ht="15.75" x14ac:dyDescent="0.2">
      <c r="A289" s="14" t="s">
        <v>119</v>
      </c>
      <c r="B289" s="10">
        <f t="shared" si="45"/>
        <v>1212</v>
      </c>
      <c r="C289" s="10">
        <v>1175</v>
      </c>
      <c r="D289" s="71">
        <v>10</v>
      </c>
      <c r="E289" s="71">
        <v>13</v>
      </c>
      <c r="F289" s="50">
        <v>0</v>
      </c>
      <c r="G289" s="50">
        <v>0</v>
      </c>
      <c r="H289" s="44">
        <v>14</v>
      </c>
      <c r="J289" s="15" t="s">
        <v>120</v>
      </c>
    </row>
    <row r="290" spans="1:10" s="42" customFormat="1" ht="15.75" x14ac:dyDescent="0.2">
      <c r="A290" s="14" t="s">
        <v>121</v>
      </c>
      <c r="B290" s="10">
        <f t="shared" si="45"/>
        <v>1610</v>
      </c>
      <c r="C290" s="10">
        <v>1547</v>
      </c>
      <c r="D290" s="71">
        <v>13</v>
      </c>
      <c r="E290" s="71">
        <v>22</v>
      </c>
      <c r="F290" s="50">
        <v>0</v>
      </c>
      <c r="G290" s="50">
        <v>0</v>
      </c>
      <c r="H290" s="44">
        <v>28</v>
      </c>
      <c r="J290" s="15" t="s">
        <v>122</v>
      </c>
    </row>
    <row r="291" spans="1:10" s="42" customFormat="1" ht="15.75" x14ac:dyDescent="0.2">
      <c r="A291" s="14" t="s">
        <v>123</v>
      </c>
      <c r="B291" s="10">
        <f t="shared" si="45"/>
        <v>38</v>
      </c>
      <c r="C291" s="10">
        <v>35</v>
      </c>
      <c r="D291" s="71">
        <v>1</v>
      </c>
      <c r="E291" s="71">
        <v>1</v>
      </c>
      <c r="F291" s="50">
        <v>0</v>
      </c>
      <c r="G291" s="50">
        <v>0</v>
      </c>
      <c r="H291" s="44">
        <v>1</v>
      </c>
      <c r="J291" s="15" t="s">
        <v>124</v>
      </c>
    </row>
    <row r="292" spans="1:10" s="42" customFormat="1" ht="15.75" x14ac:dyDescent="0.2">
      <c r="A292" s="16" t="s">
        <v>125</v>
      </c>
      <c r="B292" s="10">
        <f t="shared" si="45"/>
        <v>1422</v>
      </c>
      <c r="C292" s="10">
        <v>1393</v>
      </c>
      <c r="D292" s="71">
        <v>6</v>
      </c>
      <c r="E292" s="71">
        <v>9</v>
      </c>
      <c r="F292" s="50">
        <v>0</v>
      </c>
      <c r="G292" s="50">
        <v>0</v>
      </c>
      <c r="H292" s="44">
        <v>14</v>
      </c>
      <c r="J292" s="15" t="s">
        <v>126</v>
      </c>
    </row>
    <row r="293" spans="1:10" s="42" customFormat="1" ht="12.75" x14ac:dyDescent="0.2">
      <c r="A293" s="16"/>
      <c r="B293" s="47"/>
      <c r="C293" s="48"/>
      <c r="D293" s="44"/>
      <c r="E293" s="44"/>
      <c r="F293" s="44"/>
      <c r="G293" s="44"/>
      <c r="H293" s="46"/>
    </row>
    <row r="294" spans="1:10" s="42" customFormat="1" ht="15.75" x14ac:dyDescent="0.2">
      <c r="A294" s="12" t="s">
        <v>28</v>
      </c>
      <c r="B294" s="10">
        <f t="shared" ref="B294:B308" si="47">SUM(C294:H294)</f>
        <v>15256</v>
      </c>
      <c r="C294" s="10">
        <f>SUM(C295:C308)</f>
        <v>14630</v>
      </c>
      <c r="D294" s="38">
        <f t="shared" ref="D294:G294" si="48">SUM(D295:D308)</f>
        <v>117</v>
      </c>
      <c r="E294" s="38">
        <f t="shared" si="48"/>
        <v>189</v>
      </c>
      <c r="F294" s="38">
        <f t="shared" si="48"/>
        <v>0</v>
      </c>
      <c r="G294" s="38">
        <f t="shared" si="48"/>
        <v>0</v>
      </c>
      <c r="H294" s="38">
        <f>SUM(H295:H308)</f>
        <v>320</v>
      </c>
      <c r="J294" s="41" t="s">
        <v>29</v>
      </c>
    </row>
    <row r="295" spans="1:10" s="42" customFormat="1" ht="15.75" x14ac:dyDescent="0.2">
      <c r="A295" s="14" t="s">
        <v>127</v>
      </c>
      <c r="B295" s="10">
        <f t="shared" si="47"/>
        <v>1349</v>
      </c>
      <c r="C295" s="10">
        <v>1325</v>
      </c>
      <c r="D295" s="44">
        <v>4</v>
      </c>
      <c r="E295" s="44">
        <v>4</v>
      </c>
      <c r="F295" s="50">
        <v>0</v>
      </c>
      <c r="G295" s="50">
        <v>0</v>
      </c>
      <c r="H295" s="44">
        <v>16</v>
      </c>
      <c r="J295" s="15" t="s">
        <v>128</v>
      </c>
    </row>
    <row r="296" spans="1:10" s="42" customFormat="1" ht="15.75" x14ac:dyDescent="0.2">
      <c r="A296" s="14" t="s">
        <v>129</v>
      </c>
      <c r="B296" s="10">
        <f t="shared" si="47"/>
        <v>348</v>
      </c>
      <c r="C296" s="10">
        <v>335</v>
      </c>
      <c r="D296" s="44">
        <v>2</v>
      </c>
      <c r="E296" s="44">
        <v>4</v>
      </c>
      <c r="F296" s="50">
        <v>0</v>
      </c>
      <c r="G296" s="50">
        <v>0</v>
      </c>
      <c r="H296" s="44">
        <v>7</v>
      </c>
      <c r="J296" s="15" t="s">
        <v>130</v>
      </c>
    </row>
    <row r="297" spans="1:10" s="42" customFormat="1" ht="15.75" x14ac:dyDescent="0.2">
      <c r="A297" s="14" t="s">
        <v>131</v>
      </c>
      <c r="B297" s="10">
        <f t="shared" si="47"/>
        <v>669</v>
      </c>
      <c r="C297" s="10">
        <v>636</v>
      </c>
      <c r="D297" s="44">
        <v>8</v>
      </c>
      <c r="E297" s="44">
        <v>11</v>
      </c>
      <c r="F297" s="50">
        <v>0</v>
      </c>
      <c r="G297" s="50">
        <v>0</v>
      </c>
      <c r="H297" s="44">
        <v>14</v>
      </c>
      <c r="J297" s="15" t="s">
        <v>132</v>
      </c>
    </row>
    <row r="298" spans="1:10" s="42" customFormat="1" ht="15.75" x14ac:dyDescent="0.2">
      <c r="A298" s="14" t="s">
        <v>133</v>
      </c>
      <c r="B298" s="10">
        <f t="shared" si="47"/>
        <v>1022</v>
      </c>
      <c r="C298" s="10">
        <v>966</v>
      </c>
      <c r="D298" s="44">
        <v>8</v>
      </c>
      <c r="E298" s="44">
        <v>15</v>
      </c>
      <c r="F298" s="50">
        <v>0</v>
      </c>
      <c r="G298" s="50">
        <v>0</v>
      </c>
      <c r="H298" s="44">
        <v>33</v>
      </c>
      <c r="J298" s="15" t="s">
        <v>134</v>
      </c>
    </row>
    <row r="299" spans="1:10" s="42" customFormat="1" ht="15.75" x14ac:dyDescent="0.2">
      <c r="A299" s="14" t="s">
        <v>135</v>
      </c>
      <c r="B299" s="10">
        <f t="shared" si="47"/>
        <v>872</v>
      </c>
      <c r="C299" s="10">
        <v>830</v>
      </c>
      <c r="D299" s="44">
        <v>9</v>
      </c>
      <c r="E299" s="44">
        <v>17</v>
      </c>
      <c r="F299" s="50">
        <v>0</v>
      </c>
      <c r="G299" s="50">
        <v>0</v>
      </c>
      <c r="H299" s="44">
        <v>16</v>
      </c>
      <c r="J299" s="15" t="s">
        <v>136</v>
      </c>
    </row>
    <row r="300" spans="1:10" s="42" customFormat="1" ht="15.75" x14ac:dyDescent="0.2">
      <c r="A300" s="14" t="s">
        <v>137</v>
      </c>
      <c r="B300" s="10">
        <f t="shared" si="47"/>
        <v>609</v>
      </c>
      <c r="C300" s="10">
        <v>582</v>
      </c>
      <c r="D300" s="44">
        <v>4</v>
      </c>
      <c r="E300" s="44">
        <v>5</v>
      </c>
      <c r="F300" s="50">
        <v>0</v>
      </c>
      <c r="G300" s="50">
        <v>0</v>
      </c>
      <c r="H300" s="44">
        <v>18</v>
      </c>
      <c r="J300" s="15" t="s">
        <v>138</v>
      </c>
    </row>
    <row r="301" spans="1:10" s="42" customFormat="1" ht="15.75" x14ac:dyDescent="0.2">
      <c r="A301" s="14" t="s">
        <v>139</v>
      </c>
      <c r="B301" s="10">
        <f t="shared" si="47"/>
        <v>1559</v>
      </c>
      <c r="C301" s="10">
        <v>1518</v>
      </c>
      <c r="D301" s="44">
        <v>7</v>
      </c>
      <c r="E301" s="44">
        <v>8</v>
      </c>
      <c r="F301" s="50">
        <v>0</v>
      </c>
      <c r="G301" s="50">
        <v>0</v>
      </c>
      <c r="H301" s="44">
        <v>26</v>
      </c>
      <c r="J301" s="15" t="s">
        <v>140</v>
      </c>
    </row>
    <row r="302" spans="1:10" s="42" customFormat="1" ht="15.75" x14ac:dyDescent="0.2">
      <c r="A302" s="14" t="s">
        <v>141</v>
      </c>
      <c r="B302" s="10">
        <f t="shared" si="47"/>
        <v>434</v>
      </c>
      <c r="C302" s="10">
        <v>418</v>
      </c>
      <c r="D302" s="44">
        <v>3</v>
      </c>
      <c r="E302" s="44">
        <v>6</v>
      </c>
      <c r="F302" s="50">
        <v>0</v>
      </c>
      <c r="G302" s="50">
        <v>0</v>
      </c>
      <c r="H302" s="44">
        <v>7</v>
      </c>
      <c r="J302" s="15" t="s">
        <v>142</v>
      </c>
    </row>
    <row r="303" spans="1:10" s="42" customFormat="1" ht="15.75" x14ac:dyDescent="0.2">
      <c r="A303" s="14" t="s">
        <v>143</v>
      </c>
      <c r="B303" s="10">
        <f t="shared" si="47"/>
        <v>759</v>
      </c>
      <c r="C303" s="10">
        <v>725</v>
      </c>
      <c r="D303" s="44">
        <v>8</v>
      </c>
      <c r="E303" s="44">
        <v>11</v>
      </c>
      <c r="F303" s="50">
        <v>0</v>
      </c>
      <c r="G303" s="50">
        <v>0</v>
      </c>
      <c r="H303" s="44">
        <v>15</v>
      </c>
      <c r="J303" s="15" t="s">
        <v>144</v>
      </c>
    </row>
    <row r="304" spans="1:10" s="42" customFormat="1" ht="15.75" x14ac:dyDescent="0.2">
      <c r="A304" s="14" t="s">
        <v>145</v>
      </c>
      <c r="B304" s="10">
        <f t="shared" si="47"/>
        <v>629</v>
      </c>
      <c r="C304" s="10">
        <v>610</v>
      </c>
      <c r="D304" s="44">
        <v>6</v>
      </c>
      <c r="E304" s="44">
        <v>10</v>
      </c>
      <c r="F304" s="50">
        <v>0</v>
      </c>
      <c r="G304" s="50">
        <v>0</v>
      </c>
      <c r="H304" s="44">
        <v>3</v>
      </c>
      <c r="J304" s="15" t="s">
        <v>146</v>
      </c>
    </row>
    <row r="305" spans="1:10" s="42" customFormat="1" ht="15.75" x14ac:dyDescent="0.2">
      <c r="A305" s="14" t="s">
        <v>147</v>
      </c>
      <c r="B305" s="10">
        <f t="shared" si="47"/>
        <v>1669</v>
      </c>
      <c r="C305" s="10">
        <v>1598</v>
      </c>
      <c r="D305" s="44">
        <v>8</v>
      </c>
      <c r="E305" s="44">
        <v>9</v>
      </c>
      <c r="F305" s="50">
        <v>0</v>
      </c>
      <c r="G305" s="50">
        <v>0</v>
      </c>
      <c r="H305" s="44">
        <v>54</v>
      </c>
      <c r="J305" s="15" t="s">
        <v>148</v>
      </c>
    </row>
    <row r="306" spans="1:10" s="42" customFormat="1" ht="15.75" x14ac:dyDescent="0.2">
      <c r="A306" s="14" t="s">
        <v>149</v>
      </c>
      <c r="B306" s="10">
        <f t="shared" si="47"/>
        <v>957</v>
      </c>
      <c r="C306" s="10">
        <v>927</v>
      </c>
      <c r="D306" s="44">
        <v>5</v>
      </c>
      <c r="E306" s="44">
        <v>9</v>
      </c>
      <c r="F306" s="50">
        <v>0</v>
      </c>
      <c r="G306" s="50">
        <v>0</v>
      </c>
      <c r="H306" s="44">
        <v>16</v>
      </c>
      <c r="J306" s="15" t="s">
        <v>150</v>
      </c>
    </row>
    <row r="307" spans="1:10" s="42" customFormat="1" ht="15.75" x14ac:dyDescent="0.2">
      <c r="A307" s="14" t="s">
        <v>151</v>
      </c>
      <c r="B307" s="10">
        <f t="shared" si="47"/>
        <v>2155</v>
      </c>
      <c r="C307" s="10">
        <v>2056</v>
      </c>
      <c r="D307" s="44">
        <v>22</v>
      </c>
      <c r="E307" s="44">
        <v>40</v>
      </c>
      <c r="F307" s="50">
        <v>0</v>
      </c>
      <c r="G307" s="50">
        <v>0</v>
      </c>
      <c r="H307" s="44">
        <v>37</v>
      </c>
      <c r="J307" s="15" t="s">
        <v>152</v>
      </c>
    </row>
    <row r="308" spans="1:10" s="42" customFormat="1" ht="15.75" x14ac:dyDescent="0.2">
      <c r="A308" s="14" t="s">
        <v>153</v>
      </c>
      <c r="B308" s="10">
        <f t="shared" si="47"/>
        <v>2225</v>
      </c>
      <c r="C308" s="10">
        <v>2104</v>
      </c>
      <c r="D308" s="44">
        <v>23</v>
      </c>
      <c r="E308" s="44">
        <v>40</v>
      </c>
      <c r="F308" s="50">
        <v>0</v>
      </c>
      <c r="G308" s="50">
        <v>0</v>
      </c>
      <c r="H308" s="44">
        <v>58</v>
      </c>
      <c r="J308" s="49" t="s">
        <v>154</v>
      </c>
    </row>
    <row r="309" spans="1:10" s="42" customFormat="1" ht="12.75" x14ac:dyDescent="0.2">
      <c r="A309" s="16"/>
      <c r="B309" s="43"/>
      <c r="C309" s="22"/>
      <c r="D309" s="44"/>
      <c r="E309" s="44"/>
      <c r="F309" s="50"/>
      <c r="G309" s="50"/>
      <c r="H309" s="46"/>
    </row>
    <row r="310" spans="1:10" s="42" customFormat="1" ht="15.75" x14ac:dyDescent="0.2">
      <c r="A310" s="12" t="s">
        <v>30</v>
      </c>
      <c r="B310" s="10">
        <f t="shared" ref="B310:B323" si="49">SUM(C310:H310)</f>
        <v>13567</v>
      </c>
      <c r="C310" s="10">
        <f>SUM(C311:C323)</f>
        <v>13115</v>
      </c>
      <c r="D310" s="38">
        <f t="shared" ref="D310:G310" si="50">SUM(D311:D323)</f>
        <v>98</v>
      </c>
      <c r="E310" s="38">
        <f t="shared" si="50"/>
        <v>165</v>
      </c>
      <c r="F310" s="38">
        <f t="shared" si="50"/>
        <v>5</v>
      </c>
      <c r="G310" s="38">
        <f t="shared" si="50"/>
        <v>6</v>
      </c>
      <c r="H310" s="38">
        <f>SUM(H311:H323)</f>
        <v>178</v>
      </c>
      <c r="J310" s="41" t="s">
        <v>31</v>
      </c>
    </row>
    <row r="311" spans="1:10" s="42" customFormat="1" ht="15.75" x14ac:dyDescent="0.2">
      <c r="A311" s="14" t="s">
        <v>155</v>
      </c>
      <c r="B311" s="10">
        <f t="shared" si="49"/>
        <v>469</v>
      </c>
      <c r="C311" s="10">
        <v>449</v>
      </c>
      <c r="D311" s="44">
        <v>4</v>
      </c>
      <c r="E311" s="44">
        <v>8</v>
      </c>
      <c r="F311" s="50">
        <v>0</v>
      </c>
      <c r="G311" s="50">
        <v>0</v>
      </c>
      <c r="H311" s="44">
        <v>8</v>
      </c>
      <c r="J311" s="15" t="s">
        <v>156</v>
      </c>
    </row>
    <row r="312" spans="1:10" s="42" customFormat="1" ht="15.75" x14ac:dyDescent="0.2">
      <c r="A312" s="14" t="s">
        <v>157</v>
      </c>
      <c r="B312" s="10">
        <f t="shared" si="49"/>
        <v>1453</v>
      </c>
      <c r="C312" s="10">
        <v>1425</v>
      </c>
      <c r="D312" s="44">
        <v>4</v>
      </c>
      <c r="E312" s="44">
        <v>5</v>
      </c>
      <c r="F312" s="50">
        <v>0</v>
      </c>
      <c r="G312" s="50">
        <v>0</v>
      </c>
      <c r="H312" s="44">
        <v>19</v>
      </c>
      <c r="J312" s="15" t="s">
        <v>158</v>
      </c>
    </row>
    <row r="313" spans="1:10" s="42" customFormat="1" ht="15.75" x14ac:dyDescent="0.2">
      <c r="A313" s="14" t="s">
        <v>159</v>
      </c>
      <c r="B313" s="10">
        <f t="shared" si="49"/>
        <v>611</v>
      </c>
      <c r="C313" s="10">
        <v>585</v>
      </c>
      <c r="D313" s="44">
        <v>5</v>
      </c>
      <c r="E313" s="44">
        <v>10</v>
      </c>
      <c r="F313" s="50">
        <v>0</v>
      </c>
      <c r="G313" s="50">
        <v>0</v>
      </c>
      <c r="H313" s="44">
        <v>11</v>
      </c>
      <c r="J313" s="15" t="s">
        <v>160</v>
      </c>
    </row>
    <row r="314" spans="1:10" s="42" customFormat="1" ht="15.75" x14ac:dyDescent="0.2">
      <c r="A314" s="14" t="s">
        <v>161</v>
      </c>
      <c r="B314" s="10">
        <f t="shared" si="49"/>
        <v>695</v>
      </c>
      <c r="C314" s="10">
        <v>674</v>
      </c>
      <c r="D314" s="44">
        <v>2</v>
      </c>
      <c r="E314" s="44">
        <v>5</v>
      </c>
      <c r="F314" s="50">
        <v>0</v>
      </c>
      <c r="G314" s="50">
        <v>0</v>
      </c>
      <c r="H314" s="44">
        <v>14</v>
      </c>
      <c r="J314" s="15" t="s">
        <v>162</v>
      </c>
    </row>
    <row r="315" spans="1:10" s="42" customFormat="1" ht="15.75" x14ac:dyDescent="0.2">
      <c r="A315" s="14" t="s">
        <v>163</v>
      </c>
      <c r="B315" s="10">
        <f t="shared" si="49"/>
        <v>915</v>
      </c>
      <c r="C315" s="10">
        <v>887</v>
      </c>
      <c r="D315" s="44">
        <v>5</v>
      </c>
      <c r="E315" s="44">
        <v>7</v>
      </c>
      <c r="F315" s="50">
        <v>1</v>
      </c>
      <c r="G315" s="50">
        <v>1</v>
      </c>
      <c r="H315" s="44">
        <v>14</v>
      </c>
      <c r="J315" s="15" t="s">
        <v>164</v>
      </c>
    </row>
    <row r="316" spans="1:10" s="42" customFormat="1" ht="15.75" x14ac:dyDescent="0.2">
      <c r="A316" s="14" t="s">
        <v>165</v>
      </c>
      <c r="B316" s="10">
        <f t="shared" si="49"/>
        <v>997</v>
      </c>
      <c r="C316" s="10">
        <v>936</v>
      </c>
      <c r="D316" s="44">
        <v>19</v>
      </c>
      <c r="E316" s="44">
        <v>32</v>
      </c>
      <c r="F316" s="50">
        <v>0</v>
      </c>
      <c r="G316" s="50">
        <v>0</v>
      </c>
      <c r="H316" s="44">
        <v>10</v>
      </c>
      <c r="J316" s="15" t="s">
        <v>166</v>
      </c>
    </row>
    <row r="317" spans="1:10" s="42" customFormat="1" ht="15.75" x14ac:dyDescent="0.2">
      <c r="A317" s="14" t="s">
        <v>167</v>
      </c>
      <c r="B317" s="10">
        <f t="shared" si="49"/>
        <v>735</v>
      </c>
      <c r="C317" s="10">
        <v>710</v>
      </c>
      <c r="D317" s="44">
        <v>7</v>
      </c>
      <c r="E317" s="44">
        <v>15</v>
      </c>
      <c r="F317" s="50">
        <v>0</v>
      </c>
      <c r="G317" s="50">
        <v>0</v>
      </c>
      <c r="H317" s="44">
        <v>3</v>
      </c>
      <c r="J317" s="15" t="s">
        <v>168</v>
      </c>
    </row>
    <row r="318" spans="1:10" s="42" customFormat="1" ht="15.75" x14ac:dyDescent="0.2">
      <c r="A318" s="14" t="s">
        <v>169</v>
      </c>
      <c r="B318" s="10">
        <f t="shared" si="49"/>
        <v>1111</v>
      </c>
      <c r="C318" s="10">
        <v>1076</v>
      </c>
      <c r="D318" s="44">
        <v>2</v>
      </c>
      <c r="E318" s="44">
        <v>6</v>
      </c>
      <c r="F318" s="50">
        <v>1</v>
      </c>
      <c r="G318" s="50">
        <v>1</v>
      </c>
      <c r="H318" s="44">
        <v>25</v>
      </c>
      <c r="J318" s="15" t="s">
        <v>170</v>
      </c>
    </row>
    <row r="319" spans="1:10" s="42" customFormat="1" ht="15.75" x14ac:dyDescent="0.2">
      <c r="A319" s="14" t="s">
        <v>171</v>
      </c>
      <c r="B319" s="10">
        <f t="shared" si="49"/>
        <v>318</v>
      </c>
      <c r="C319" s="10">
        <v>311</v>
      </c>
      <c r="D319" s="44">
        <v>2</v>
      </c>
      <c r="E319" s="44">
        <v>3</v>
      </c>
      <c r="F319" s="50">
        <v>0</v>
      </c>
      <c r="G319" s="50">
        <v>0</v>
      </c>
      <c r="H319" s="44">
        <v>2</v>
      </c>
      <c r="J319" s="15" t="s">
        <v>172</v>
      </c>
    </row>
    <row r="320" spans="1:10" s="42" customFormat="1" ht="15.75" x14ac:dyDescent="0.2">
      <c r="A320" s="14" t="s">
        <v>173</v>
      </c>
      <c r="B320" s="10">
        <f t="shared" si="49"/>
        <v>1651</v>
      </c>
      <c r="C320" s="10">
        <v>1578</v>
      </c>
      <c r="D320" s="44">
        <v>17</v>
      </c>
      <c r="E320" s="44">
        <v>31</v>
      </c>
      <c r="F320" s="50">
        <v>1</v>
      </c>
      <c r="G320" s="50">
        <v>1</v>
      </c>
      <c r="H320" s="44">
        <v>23</v>
      </c>
      <c r="J320" s="15" t="s">
        <v>174</v>
      </c>
    </row>
    <row r="321" spans="1:10" s="42" customFormat="1" ht="15.75" x14ac:dyDescent="0.2">
      <c r="A321" s="14" t="s">
        <v>175</v>
      </c>
      <c r="B321" s="10">
        <f t="shared" si="49"/>
        <v>1914</v>
      </c>
      <c r="C321" s="10">
        <v>1881</v>
      </c>
      <c r="D321" s="44">
        <v>6</v>
      </c>
      <c r="E321" s="44">
        <v>10</v>
      </c>
      <c r="F321" s="50">
        <v>0</v>
      </c>
      <c r="G321" s="50">
        <v>0</v>
      </c>
      <c r="H321" s="44">
        <v>17</v>
      </c>
      <c r="J321" s="15" t="s">
        <v>176</v>
      </c>
    </row>
    <row r="322" spans="1:10" s="42" customFormat="1" ht="15.75" x14ac:dyDescent="0.2">
      <c r="A322" s="16" t="s">
        <v>177</v>
      </c>
      <c r="B322" s="10">
        <f t="shared" si="49"/>
        <v>405</v>
      </c>
      <c r="C322" s="10">
        <v>400</v>
      </c>
      <c r="D322" s="44">
        <v>2</v>
      </c>
      <c r="E322" s="44">
        <v>3</v>
      </c>
      <c r="F322" s="50">
        <v>0</v>
      </c>
      <c r="G322" s="50">
        <v>0</v>
      </c>
      <c r="H322" s="44">
        <v>0</v>
      </c>
      <c r="J322" s="15" t="s">
        <v>178</v>
      </c>
    </row>
    <row r="323" spans="1:10" s="51" customFormat="1" ht="15.75" x14ac:dyDescent="0.2">
      <c r="A323" s="16" t="s">
        <v>179</v>
      </c>
      <c r="B323" s="10">
        <f t="shared" si="49"/>
        <v>2293</v>
      </c>
      <c r="C323" s="10">
        <v>2203</v>
      </c>
      <c r="D323" s="44">
        <v>23</v>
      </c>
      <c r="E323" s="44">
        <v>30</v>
      </c>
      <c r="F323" s="50">
        <v>2</v>
      </c>
      <c r="G323" s="50">
        <v>3</v>
      </c>
      <c r="H323" s="44">
        <v>32</v>
      </c>
      <c r="J323" s="15" t="s">
        <v>180</v>
      </c>
    </row>
    <row r="324" spans="1:10" s="42" customFormat="1" ht="12.75" x14ac:dyDescent="0.2">
      <c r="A324" s="16"/>
      <c r="B324" s="47"/>
      <c r="C324" s="22"/>
      <c r="D324" s="44"/>
      <c r="E324" s="44"/>
      <c r="F324" s="44"/>
      <c r="G324" s="44"/>
      <c r="H324" s="46"/>
    </row>
    <row r="325" spans="1:10" s="42" customFormat="1" ht="15.75" x14ac:dyDescent="0.2">
      <c r="A325" s="12" t="s">
        <v>32</v>
      </c>
      <c r="B325" s="10">
        <f t="shared" ref="B325:B341" si="51">SUM(C325:H325)</f>
        <v>19913</v>
      </c>
      <c r="C325" s="10">
        <f>SUM(C326:C341)</f>
        <v>19277</v>
      </c>
      <c r="D325" s="38">
        <f t="shared" ref="D325:G325" si="52">SUM(D326:D341)</f>
        <v>118</v>
      </c>
      <c r="E325" s="38">
        <f t="shared" si="52"/>
        <v>210</v>
      </c>
      <c r="F325" s="38">
        <f t="shared" si="52"/>
        <v>6</v>
      </c>
      <c r="G325" s="38">
        <f t="shared" si="52"/>
        <v>6</v>
      </c>
      <c r="H325" s="38">
        <f>SUM(H326:H341)</f>
        <v>296</v>
      </c>
      <c r="J325" s="41" t="s">
        <v>33</v>
      </c>
    </row>
    <row r="326" spans="1:10" s="42" customFormat="1" ht="15.75" x14ac:dyDescent="0.2">
      <c r="A326" s="14" t="s">
        <v>181</v>
      </c>
      <c r="B326" s="10">
        <f t="shared" si="51"/>
        <v>2447</v>
      </c>
      <c r="C326" s="10">
        <v>2386</v>
      </c>
      <c r="D326" s="44">
        <v>11</v>
      </c>
      <c r="E326" s="44">
        <v>22</v>
      </c>
      <c r="F326" s="50">
        <v>1</v>
      </c>
      <c r="G326" s="50">
        <v>1</v>
      </c>
      <c r="H326" s="44">
        <v>26</v>
      </c>
      <c r="J326" s="15" t="s">
        <v>182</v>
      </c>
    </row>
    <row r="327" spans="1:10" s="42" customFormat="1" ht="15.75" x14ac:dyDescent="0.2">
      <c r="A327" s="14" t="s">
        <v>183</v>
      </c>
      <c r="B327" s="10">
        <f t="shared" si="51"/>
        <v>460</v>
      </c>
      <c r="C327" s="10">
        <v>454</v>
      </c>
      <c r="D327" s="44">
        <v>0</v>
      </c>
      <c r="E327" s="44">
        <v>0</v>
      </c>
      <c r="F327" s="50">
        <v>0</v>
      </c>
      <c r="G327" s="50">
        <v>0</v>
      </c>
      <c r="H327" s="44">
        <v>6</v>
      </c>
      <c r="J327" s="15" t="s">
        <v>184</v>
      </c>
    </row>
    <row r="328" spans="1:10" s="42" customFormat="1" ht="15.75" x14ac:dyDescent="0.2">
      <c r="A328" s="14" t="s">
        <v>185</v>
      </c>
      <c r="B328" s="10">
        <f t="shared" si="51"/>
        <v>808</v>
      </c>
      <c r="C328" s="10">
        <v>797</v>
      </c>
      <c r="D328" s="44">
        <v>2</v>
      </c>
      <c r="E328" s="44">
        <v>2</v>
      </c>
      <c r="F328" s="50">
        <v>1</v>
      </c>
      <c r="G328" s="50">
        <v>1</v>
      </c>
      <c r="H328" s="44">
        <v>5</v>
      </c>
      <c r="J328" s="15" t="s">
        <v>186</v>
      </c>
    </row>
    <row r="329" spans="1:10" s="42" customFormat="1" ht="15.75" x14ac:dyDescent="0.2">
      <c r="A329" s="14" t="s">
        <v>187</v>
      </c>
      <c r="B329" s="10">
        <f t="shared" si="51"/>
        <v>455</v>
      </c>
      <c r="C329" s="10">
        <v>429</v>
      </c>
      <c r="D329" s="44">
        <v>8</v>
      </c>
      <c r="E329" s="44">
        <v>8</v>
      </c>
      <c r="F329" s="50">
        <v>0</v>
      </c>
      <c r="G329" s="50">
        <v>0</v>
      </c>
      <c r="H329" s="44">
        <v>10</v>
      </c>
      <c r="J329" s="15" t="s">
        <v>188</v>
      </c>
    </row>
    <row r="330" spans="1:10" s="42" customFormat="1" ht="15.75" x14ac:dyDescent="0.2">
      <c r="A330" s="14" t="s">
        <v>189</v>
      </c>
      <c r="B330" s="10">
        <f t="shared" si="51"/>
        <v>1488</v>
      </c>
      <c r="C330" s="10">
        <v>1419</v>
      </c>
      <c r="D330" s="44">
        <v>11</v>
      </c>
      <c r="E330" s="44">
        <v>18</v>
      </c>
      <c r="F330" s="50">
        <v>0</v>
      </c>
      <c r="G330" s="50">
        <v>0</v>
      </c>
      <c r="H330" s="44">
        <v>40</v>
      </c>
      <c r="J330" s="15" t="s">
        <v>190</v>
      </c>
    </row>
    <row r="331" spans="1:10" s="42" customFormat="1" ht="15.75" x14ac:dyDescent="0.2">
      <c r="A331" s="14" t="s">
        <v>191</v>
      </c>
      <c r="B331" s="10">
        <f t="shared" si="51"/>
        <v>3963</v>
      </c>
      <c r="C331" s="10">
        <v>3873</v>
      </c>
      <c r="D331" s="44">
        <v>28</v>
      </c>
      <c r="E331" s="44">
        <v>57</v>
      </c>
      <c r="F331" s="50">
        <v>1</v>
      </c>
      <c r="G331" s="50">
        <v>1</v>
      </c>
      <c r="H331" s="44">
        <v>3</v>
      </c>
      <c r="J331" s="49" t="s">
        <v>192</v>
      </c>
    </row>
    <row r="332" spans="1:10" s="42" customFormat="1" ht="15.75" x14ac:dyDescent="0.2">
      <c r="A332" s="14" t="s">
        <v>193</v>
      </c>
      <c r="B332" s="10">
        <f t="shared" si="51"/>
        <v>41</v>
      </c>
      <c r="C332" s="10">
        <v>0</v>
      </c>
      <c r="D332" s="44">
        <v>0</v>
      </c>
      <c r="E332" s="44">
        <v>0</v>
      </c>
      <c r="F332" s="50">
        <v>0</v>
      </c>
      <c r="G332" s="50">
        <v>0</v>
      </c>
      <c r="H332" s="44">
        <v>41</v>
      </c>
      <c r="J332" s="15" t="s">
        <v>194</v>
      </c>
    </row>
    <row r="333" spans="1:10" s="42" customFormat="1" ht="15.75" x14ac:dyDescent="0.2">
      <c r="A333" s="14" t="s">
        <v>195</v>
      </c>
      <c r="B333" s="10">
        <f t="shared" si="51"/>
        <v>1059</v>
      </c>
      <c r="C333" s="10">
        <v>1032</v>
      </c>
      <c r="D333" s="44">
        <v>8</v>
      </c>
      <c r="E333" s="44">
        <v>9</v>
      </c>
      <c r="F333" s="50">
        <v>0</v>
      </c>
      <c r="G333" s="50">
        <v>0</v>
      </c>
      <c r="H333" s="44">
        <v>10</v>
      </c>
      <c r="J333" s="15" t="s">
        <v>196</v>
      </c>
    </row>
    <row r="334" spans="1:10" s="42" customFormat="1" ht="15.75" x14ac:dyDescent="0.2">
      <c r="A334" s="14" t="s">
        <v>197</v>
      </c>
      <c r="B334" s="10">
        <f t="shared" si="51"/>
        <v>730</v>
      </c>
      <c r="C334" s="10">
        <v>705</v>
      </c>
      <c r="D334" s="44">
        <v>6</v>
      </c>
      <c r="E334" s="44">
        <v>11</v>
      </c>
      <c r="F334" s="50">
        <v>0</v>
      </c>
      <c r="G334" s="50">
        <v>0</v>
      </c>
      <c r="H334" s="44">
        <v>8</v>
      </c>
      <c r="J334" s="15" t="s">
        <v>198</v>
      </c>
    </row>
    <row r="335" spans="1:10" s="42" customFormat="1" ht="15.75" x14ac:dyDescent="0.2">
      <c r="A335" s="14" t="s">
        <v>199</v>
      </c>
      <c r="B335" s="10">
        <f t="shared" si="51"/>
        <v>764</v>
      </c>
      <c r="C335" s="10">
        <v>731</v>
      </c>
      <c r="D335" s="44">
        <v>9</v>
      </c>
      <c r="E335" s="44">
        <v>12</v>
      </c>
      <c r="F335" s="50">
        <v>1</v>
      </c>
      <c r="G335" s="50">
        <v>1</v>
      </c>
      <c r="H335" s="44">
        <v>10</v>
      </c>
      <c r="J335" s="15" t="s">
        <v>200</v>
      </c>
    </row>
    <row r="336" spans="1:10" s="42" customFormat="1" ht="15.75" x14ac:dyDescent="0.2">
      <c r="A336" s="14" t="s">
        <v>201</v>
      </c>
      <c r="B336" s="10">
        <f t="shared" si="51"/>
        <v>2008</v>
      </c>
      <c r="C336" s="10">
        <v>1973</v>
      </c>
      <c r="D336" s="44">
        <v>1</v>
      </c>
      <c r="E336" s="44">
        <v>1</v>
      </c>
      <c r="F336" s="50">
        <v>1</v>
      </c>
      <c r="G336" s="50">
        <v>1</v>
      </c>
      <c r="H336" s="44">
        <v>31</v>
      </c>
      <c r="J336" s="15" t="s">
        <v>202</v>
      </c>
    </row>
    <row r="337" spans="1:10" s="42" customFormat="1" ht="15.75" x14ac:dyDescent="0.2">
      <c r="A337" s="14" t="s">
        <v>203</v>
      </c>
      <c r="B337" s="10">
        <f t="shared" si="51"/>
        <v>1705</v>
      </c>
      <c r="C337" s="10">
        <v>1654</v>
      </c>
      <c r="D337" s="44">
        <v>6</v>
      </c>
      <c r="E337" s="44">
        <v>12</v>
      </c>
      <c r="F337" s="50">
        <v>0</v>
      </c>
      <c r="G337" s="50">
        <v>0</v>
      </c>
      <c r="H337" s="44">
        <v>33</v>
      </c>
      <c r="J337" s="15" t="s">
        <v>204</v>
      </c>
    </row>
    <row r="338" spans="1:10" s="42" customFormat="1" ht="15.75" x14ac:dyDescent="0.2">
      <c r="A338" s="14" t="s">
        <v>205</v>
      </c>
      <c r="B338" s="10">
        <f t="shared" si="51"/>
        <v>330</v>
      </c>
      <c r="C338" s="10">
        <v>327</v>
      </c>
      <c r="D338" s="44">
        <v>0</v>
      </c>
      <c r="E338" s="44">
        <v>0</v>
      </c>
      <c r="F338" s="50">
        <v>0</v>
      </c>
      <c r="G338" s="50">
        <v>0</v>
      </c>
      <c r="H338" s="44">
        <v>3</v>
      </c>
      <c r="J338" s="15" t="s">
        <v>206</v>
      </c>
    </row>
    <row r="339" spans="1:10" s="42" customFormat="1" ht="15.75" x14ac:dyDescent="0.2">
      <c r="A339" s="14" t="s">
        <v>207</v>
      </c>
      <c r="B339" s="10">
        <f t="shared" si="51"/>
        <v>1815</v>
      </c>
      <c r="C339" s="10">
        <v>1736</v>
      </c>
      <c r="D339" s="44">
        <v>14</v>
      </c>
      <c r="E339" s="44">
        <v>28</v>
      </c>
      <c r="F339" s="50">
        <v>1</v>
      </c>
      <c r="G339" s="50">
        <v>1</v>
      </c>
      <c r="H339" s="44">
        <v>35</v>
      </c>
      <c r="J339" s="15" t="s">
        <v>208</v>
      </c>
    </row>
    <row r="340" spans="1:10" s="42" customFormat="1" ht="15.75" x14ac:dyDescent="0.2">
      <c r="A340" s="14" t="s">
        <v>209</v>
      </c>
      <c r="B340" s="10">
        <f t="shared" si="51"/>
        <v>513</v>
      </c>
      <c r="C340" s="10">
        <v>497</v>
      </c>
      <c r="D340" s="44">
        <v>2</v>
      </c>
      <c r="E340" s="44">
        <v>4</v>
      </c>
      <c r="F340" s="50">
        <v>0</v>
      </c>
      <c r="G340" s="50">
        <v>0</v>
      </c>
      <c r="H340" s="44">
        <v>10</v>
      </c>
      <c r="J340" s="15" t="s">
        <v>210</v>
      </c>
    </row>
    <row r="341" spans="1:10" s="42" customFormat="1" ht="15.75" x14ac:dyDescent="0.2">
      <c r="A341" s="14" t="s">
        <v>211</v>
      </c>
      <c r="B341" s="10">
        <f t="shared" si="51"/>
        <v>1327</v>
      </c>
      <c r="C341" s="10">
        <v>1264</v>
      </c>
      <c r="D341" s="44">
        <v>12</v>
      </c>
      <c r="E341" s="44">
        <v>26</v>
      </c>
      <c r="F341" s="50">
        <v>0</v>
      </c>
      <c r="G341" s="50">
        <v>0</v>
      </c>
      <c r="H341" s="44">
        <v>25</v>
      </c>
      <c r="J341" s="15" t="s">
        <v>212</v>
      </c>
    </row>
    <row r="342" spans="1:10" s="42" customFormat="1" ht="12.75" x14ac:dyDescent="0.2">
      <c r="A342" s="16"/>
      <c r="B342" s="47"/>
      <c r="C342" s="22"/>
      <c r="D342" s="44"/>
      <c r="E342" s="44"/>
      <c r="F342" s="50"/>
      <c r="G342" s="50"/>
      <c r="H342" s="46"/>
    </row>
    <row r="343" spans="1:10" s="42" customFormat="1" ht="15.75" x14ac:dyDescent="0.2">
      <c r="A343" s="12" t="s">
        <v>34</v>
      </c>
      <c r="B343" s="10">
        <f t="shared" ref="B343:B356" si="53">SUM(C343:H343)</f>
        <v>12320</v>
      </c>
      <c r="C343" s="10">
        <f>SUM(C344:C356)</f>
        <v>11950</v>
      </c>
      <c r="D343" s="38">
        <f t="shared" ref="D343:G343" si="54">SUM(D344:D356)</f>
        <v>71</v>
      </c>
      <c r="E343" s="38">
        <f t="shared" si="54"/>
        <v>118</v>
      </c>
      <c r="F343" s="38">
        <f t="shared" si="54"/>
        <v>5</v>
      </c>
      <c r="G343" s="38">
        <f t="shared" si="54"/>
        <v>5</v>
      </c>
      <c r="H343" s="38">
        <f>SUM(H344:H356)</f>
        <v>171</v>
      </c>
      <c r="J343" s="41" t="s">
        <v>35</v>
      </c>
    </row>
    <row r="344" spans="1:10" s="42" customFormat="1" ht="15.75" x14ac:dyDescent="0.2">
      <c r="A344" s="16" t="s">
        <v>213</v>
      </c>
      <c r="B344" s="10">
        <f t="shared" si="53"/>
        <v>552</v>
      </c>
      <c r="C344" s="10">
        <v>546</v>
      </c>
      <c r="D344" s="44">
        <v>0</v>
      </c>
      <c r="E344" s="44">
        <v>0</v>
      </c>
      <c r="F344" s="50">
        <v>0</v>
      </c>
      <c r="G344" s="50">
        <v>0</v>
      </c>
      <c r="H344" s="44">
        <v>6</v>
      </c>
      <c r="J344" s="15" t="s">
        <v>214</v>
      </c>
    </row>
    <row r="345" spans="1:10" s="42" customFormat="1" ht="15.75" x14ac:dyDescent="0.2">
      <c r="A345" s="16" t="s">
        <v>215</v>
      </c>
      <c r="B345" s="10">
        <f t="shared" si="53"/>
        <v>429</v>
      </c>
      <c r="C345" s="10">
        <v>409</v>
      </c>
      <c r="D345" s="44">
        <v>6</v>
      </c>
      <c r="E345" s="44">
        <v>11</v>
      </c>
      <c r="F345" s="50">
        <v>0</v>
      </c>
      <c r="G345" s="50">
        <v>0</v>
      </c>
      <c r="H345" s="44">
        <v>3</v>
      </c>
      <c r="J345" s="15" t="s">
        <v>216</v>
      </c>
    </row>
    <row r="346" spans="1:10" s="42" customFormat="1" ht="15.75" x14ac:dyDescent="0.2">
      <c r="A346" s="16" t="s">
        <v>217</v>
      </c>
      <c r="B346" s="10">
        <f t="shared" si="53"/>
        <v>1093</v>
      </c>
      <c r="C346" s="10">
        <v>1051</v>
      </c>
      <c r="D346" s="44">
        <v>7</v>
      </c>
      <c r="E346" s="44">
        <v>11</v>
      </c>
      <c r="F346" s="50">
        <v>1</v>
      </c>
      <c r="G346" s="50">
        <v>1</v>
      </c>
      <c r="H346" s="44">
        <v>22</v>
      </c>
      <c r="J346" s="15" t="s">
        <v>218</v>
      </c>
    </row>
    <row r="347" spans="1:10" s="42" customFormat="1" ht="15.75" x14ac:dyDescent="0.2">
      <c r="A347" s="16" t="s">
        <v>219</v>
      </c>
      <c r="B347" s="10">
        <f t="shared" si="53"/>
        <v>407</v>
      </c>
      <c r="C347" s="10">
        <v>393</v>
      </c>
      <c r="D347" s="44">
        <v>3</v>
      </c>
      <c r="E347" s="44">
        <v>4</v>
      </c>
      <c r="F347" s="50">
        <v>0</v>
      </c>
      <c r="G347" s="50">
        <v>0</v>
      </c>
      <c r="H347" s="44">
        <v>7</v>
      </c>
      <c r="J347" s="15" t="s">
        <v>220</v>
      </c>
    </row>
    <row r="348" spans="1:10" s="42" customFormat="1" ht="15.75" x14ac:dyDescent="0.2">
      <c r="A348" s="16" t="s">
        <v>221</v>
      </c>
      <c r="B348" s="10">
        <f t="shared" si="53"/>
        <v>443</v>
      </c>
      <c r="C348" s="10">
        <v>434</v>
      </c>
      <c r="D348" s="44">
        <v>0</v>
      </c>
      <c r="E348" s="44">
        <v>0</v>
      </c>
      <c r="F348" s="50">
        <v>0</v>
      </c>
      <c r="G348" s="50">
        <v>0</v>
      </c>
      <c r="H348" s="44">
        <v>9</v>
      </c>
      <c r="J348" s="15" t="s">
        <v>222</v>
      </c>
    </row>
    <row r="349" spans="1:10" s="42" customFormat="1" ht="15.75" x14ac:dyDescent="0.2">
      <c r="A349" s="16" t="s">
        <v>223</v>
      </c>
      <c r="B349" s="10">
        <f t="shared" si="53"/>
        <v>949</v>
      </c>
      <c r="C349" s="10">
        <v>922</v>
      </c>
      <c r="D349" s="44">
        <v>6</v>
      </c>
      <c r="E349" s="44">
        <v>9</v>
      </c>
      <c r="F349" s="50">
        <v>0</v>
      </c>
      <c r="G349" s="50">
        <v>0</v>
      </c>
      <c r="H349" s="44">
        <v>12</v>
      </c>
      <c r="J349" s="15" t="s">
        <v>224</v>
      </c>
    </row>
    <row r="350" spans="1:10" s="42" customFormat="1" ht="15.75" x14ac:dyDescent="0.2">
      <c r="A350" s="16" t="s">
        <v>225</v>
      </c>
      <c r="B350" s="10">
        <f t="shared" si="53"/>
        <v>626</v>
      </c>
      <c r="C350" s="10">
        <v>595</v>
      </c>
      <c r="D350" s="44">
        <v>8</v>
      </c>
      <c r="E350" s="44">
        <v>15</v>
      </c>
      <c r="F350" s="50">
        <v>0</v>
      </c>
      <c r="G350" s="50">
        <v>0</v>
      </c>
      <c r="H350" s="44">
        <v>8</v>
      </c>
      <c r="J350" s="15" t="s">
        <v>226</v>
      </c>
    </row>
    <row r="351" spans="1:10" s="42" customFormat="1" ht="15.75" x14ac:dyDescent="0.2">
      <c r="A351" s="16" t="s">
        <v>227</v>
      </c>
      <c r="B351" s="10">
        <f t="shared" si="53"/>
        <v>2793</v>
      </c>
      <c r="C351" s="10">
        <v>2715</v>
      </c>
      <c r="D351" s="44">
        <v>12</v>
      </c>
      <c r="E351" s="44">
        <v>18</v>
      </c>
      <c r="F351" s="50">
        <v>2</v>
      </c>
      <c r="G351" s="50">
        <v>2</v>
      </c>
      <c r="H351" s="44">
        <v>44</v>
      </c>
      <c r="J351" s="15" t="s">
        <v>228</v>
      </c>
    </row>
    <row r="352" spans="1:10" s="42" customFormat="1" ht="15.75" x14ac:dyDescent="0.2">
      <c r="A352" s="16" t="s">
        <v>229</v>
      </c>
      <c r="B352" s="10">
        <f t="shared" si="53"/>
        <v>2559</v>
      </c>
      <c r="C352" s="10">
        <v>2479</v>
      </c>
      <c r="D352" s="44">
        <v>15</v>
      </c>
      <c r="E352" s="44">
        <v>22</v>
      </c>
      <c r="F352" s="50">
        <v>2</v>
      </c>
      <c r="G352" s="50">
        <v>2</v>
      </c>
      <c r="H352" s="44">
        <v>39</v>
      </c>
      <c r="J352" s="15" t="s">
        <v>230</v>
      </c>
    </row>
    <row r="353" spans="1:10" s="42" customFormat="1" ht="15.75" x14ac:dyDescent="0.2">
      <c r="A353" s="16" t="s">
        <v>231</v>
      </c>
      <c r="B353" s="10">
        <f t="shared" si="53"/>
        <v>1239</v>
      </c>
      <c r="C353" s="10">
        <v>1204</v>
      </c>
      <c r="D353" s="44">
        <v>7</v>
      </c>
      <c r="E353" s="44">
        <v>13</v>
      </c>
      <c r="F353" s="50">
        <v>0</v>
      </c>
      <c r="G353" s="50">
        <v>0</v>
      </c>
      <c r="H353" s="44">
        <v>15</v>
      </c>
      <c r="J353" s="15" t="s">
        <v>232</v>
      </c>
    </row>
    <row r="354" spans="1:10" s="42" customFormat="1" ht="15.75" x14ac:dyDescent="0.2">
      <c r="A354" s="16" t="s">
        <v>233</v>
      </c>
      <c r="B354" s="10">
        <f t="shared" si="53"/>
        <v>284</v>
      </c>
      <c r="C354" s="10">
        <v>280</v>
      </c>
      <c r="D354" s="44">
        <v>1</v>
      </c>
      <c r="E354" s="44">
        <v>3</v>
      </c>
      <c r="F354" s="50">
        <v>0</v>
      </c>
      <c r="G354" s="50">
        <v>0</v>
      </c>
      <c r="H354" s="44">
        <v>0</v>
      </c>
      <c r="J354" s="15" t="s">
        <v>234</v>
      </c>
    </row>
    <row r="355" spans="1:10" s="42" customFormat="1" ht="15.75" x14ac:dyDescent="0.2">
      <c r="A355" s="16" t="s">
        <v>235</v>
      </c>
      <c r="B355" s="10">
        <f t="shared" si="53"/>
        <v>240</v>
      </c>
      <c r="C355" s="10">
        <v>234</v>
      </c>
      <c r="D355" s="44">
        <v>2</v>
      </c>
      <c r="E355" s="44">
        <v>2</v>
      </c>
      <c r="F355" s="50">
        <v>0</v>
      </c>
      <c r="G355" s="50">
        <v>0</v>
      </c>
      <c r="H355" s="44">
        <v>2</v>
      </c>
      <c r="J355" s="15" t="s">
        <v>236</v>
      </c>
    </row>
    <row r="356" spans="1:10" s="42" customFormat="1" ht="15.75" x14ac:dyDescent="0.2">
      <c r="A356" s="16" t="s">
        <v>131</v>
      </c>
      <c r="B356" s="10">
        <f t="shared" si="53"/>
        <v>706</v>
      </c>
      <c r="C356" s="10">
        <v>688</v>
      </c>
      <c r="D356" s="44">
        <v>4</v>
      </c>
      <c r="E356" s="44">
        <v>10</v>
      </c>
      <c r="F356" s="50">
        <v>0</v>
      </c>
      <c r="G356" s="50">
        <v>0</v>
      </c>
      <c r="H356" s="44">
        <v>4</v>
      </c>
      <c r="J356" s="15" t="s">
        <v>132</v>
      </c>
    </row>
    <row r="357" spans="1:10" s="51" customFormat="1" ht="12.75" x14ac:dyDescent="0.2">
      <c r="A357" s="16"/>
      <c r="B357" s="47"/>
      <c r="C357" s="52"/>
      <c r="D357" s="44"/>
      <c r="E357" s="44"/>
      <c r="F357" s="44"/>
      <c r="G357" s="44"/>
      <c r="H357" s="46"/>
    </row>
    <row r="358" spans="1:10" s="42" customFormat="1" ht="15.75" x14ac:dyDescent="0.2">
      <c r="A358" s="12" t="s">
        <v>36</v>
      </c>
      <c r="B358" s="10">
        <f t="shared" ref="B358:B363" si="55">SUM(C358:H358)</f>
        <v>11511</v>
      </c>
      <c r="C358" s="10">
        <f>SUM(C359:C363)</f>
        <v>11097</v>
      </c>
      <c r="D358" s="38">
        <f t="shared" ref="D358:G358" si="56">SUM(D359:D363)</f>
        <v>98</v>
      </c>
      <c r="E358" s="38">
        <f t="shared" si="56"/>
        <v>151</v>
      </c>
      <c r="F358" s="38">
        <f t="shared" si="56"/>
        <v>2</v>
      </c>
      <c r="G358" s="38">
        <f t="shared" si="56"/>
        <v>2</v>
      </c>
      <c r="H358" s="38">
        <f>SUM(H359:H363)</f>
        <v>161</v>
      </c>
      <c r="J358" s="41" t="s">
        <v>37</v>
      </c>
    </row>
    <row r="359" spans="1:10" s="42" customFormat="1" ht="15.75" x14ac:dyDescent="0.2">
      <c r="A359" s="14" t="s">
        <v>237</v>
      </c>
      <c r="B359" s="10">
        <f t="shared" si="55"/>
        <v>4228</v>
      </c>
      <c r="C359" s="10">
        <v>4101</v>
      </c>
      <c r="D359" s="44">
        <v>31</v>
      </c>
      <c r="E359" s="44">
        <v>41</v>
      </c>
      <c r="F359" s="50">
        <v>1</v>
      </c>
      <c r="G359" s="50">
        <v>1</v>
      </c>
      <c r="H359" s="44">
        <v>53</v>
      </c>
      <c r="J359" s="15" t="s">
        <v>238</v>
      </c>
    </row>
    <row r="360" spans="1:10" s="42" customFormat="1" ht="15.75" x14ac:dyDescent="0.2">
      <c r="A360" s="14" t="s">
        <v>239</v>
      </c>
      <c r="B360" s="10">
        <f t="shared" si="55"/>
        <v>4939</v>
      </c>
      <c r="C360" s="10">
        <v>4736</v>
      </c>
      <c r="D360" s="44">
        <v>47</v>
      </c>
      <c r="E360" s="44">
        <v>78</v>
      </c>
      <c r="F360" s="50">
        <v>1</v>
      </c>
      <c r="G360" s="50">
        <v>1</v>
      </c>
      <c r="H360" s="44">
        <v>76</v>
      </c>
      <c r="J360" s="15" t="s">
        <v>240</v>
      </c>
    </row>
    <row r="361" spans="1:10" s="42" customFormat="1" ht="15.75" x14ac:dyDescent="0.2">
      <c r="A361" s="14" t="s">
        <v>241</v>
      </c>
      <c r="B361" s="10">
        <f t="shared" si="55"/>
        <v>1791</v>
      </c>
      <c r="C361" s="10">
        <v>1726</v>
      </c>
      <c r="D361" s="44">
        <v>20</v>
      </c>
      <c r="E361" s="44">
        <v>32</v>
      </c>
      <c r="F361" s="50">
        <v>0</v>
      </c>
      <c r="G361" s="50">
        <v>0</v>
      </c>
      <c r="H361" s="44">
        <v>13</v>
      </c>
      <c r="J361" s="15" t="s">
        <v>242</v>
      </c>
    </row>
    <row r="362" spans="1:10" s="42" customFormat="1" ht="15.75" x14ac:dyDescent="0.2">
      <c r="A362" s="14" t="s">
        <v>243</v>
      </c>
      <c r="B362" s="10">
        <f t="shared" si="55"/>
        <v>549</v>
      </c>
      <c r="C362" s="10">
        <v>534</v>
      </c>
      <c r="D362" s="44"/>
      <c r="E362" s="44"/>
      <c r="F362" s="50">
        <v>0</v>
      </c>
      <c r="G362" s="50">
        <v>0</v>
      </c>
      <c r="H362" s="44">
        <v>15</v>
      </c>
      <c r="J362" s="15" t="s">
        <v>244</v>
      </c>
    </row>
    <row r="363" spans="1:10" s="42" customFormat="1" ht="15.75" x14ac:dyDescent="0.2">
      <c r="A363" s="14" t="s">
        <v>245</v>
      </c>
      <c r="B363" s="10">
        <f t="shared" si="55"/>
        <v>4</v>
      </c>
      <c r="C363" s="10"/>
      <c r="D363" s="44"/>
      <c r="E363" s="44"/>
      <c r="F363" s="50">
        <v>0</v>
      </c>
      <c r="G363" s="50">
        <v>0</v>
      </c>
      <c r="H363" s="44">
        <v>4</v>
      </c>
      <c r="J363" s="15" t="s">
        <v>246</v>
      </c>
    </row>
    <row r="364" spans="1:10" s="42" customFormat="1" ht="12.75" x14ac:dyDescent="0.2">
      <c r="A364" s="16"/>
      <c r="B364" s="47"/>
      <c r="C364" s="22"/>
      <c r="D364" s="44"/>
      <c r="E364" s="44"/>
      <c r="F364" s="44"/>
      <c r="G364" s="44"/>
      <c r="H364" s="46"/>
    </row>
    <row r="365" spans="1:10" s="42" customFormat="1" ht="15.75" x14ac:dyDescent="0.2">
      <c r="A365" s="12" t="s">
        <v>38</v>
      </c>
      <c r="B365" s="10">
        <f t="shared" ref="B365:B374" si="57">SUM(C365:H365)</f>
        <v>11129</v>
      </c>
      <c r="C365" s="10">
        <f>SUM(C366:C374)</f>
        <v>10660</v>
      </c>
      <c r="D365" s="38">
        <f t="shared" ref="D365:G365" si="58">SUM(D366:D374)</f>
        <v>101</v>
      </c>
      <c r="E365" s="38">
        <f t="shared" si="58"/>
        <v>185</v>
      </c>
      <c r="F365" s="38">
        <f t="shared" si="58"/>
        <v>6</v>
      </c>
      <c r="G365" s="38">
        <f t="shared" si="58"/>
        <v>6</v>
      </c>
      <c r="H365" s="38">
        <f>SUM(H366:H374)</f>
        <v>171</v>
      </c>
      <c r="J365" s="41" t="s">
        <v>39</v>
      </c>
    </row>
    <row r="366" spans="1:10" s="42" customFormat="1" ht="15.75" x14ac:dyDescent="0.2">
      <c r="A366" s="14" t="s">
        <v>247</v>
      </c>
      <c r="B366" s="10">
        <f t="shared" si="57"/>
        <v>2047</v>
      </c>
      <c r="C366" s="10">
        <v>1914</v>
      </c>
      <c r="D366" s="44">
        <v>30</v>
      </c>
      <c r="E366" s="44">
        <v>47</v>
      </c>
      <c r="F366" s="50">
        <v>1</v>
      </c>
      <c r="G366" s="50">
        <v>1</v>
      </c>
      <c r="H366" s="44">
        <v>54</v>
      </c>
      <c r="J366" s="15" t="s">
        <v>248</v>
      </c>
    </row>
    <row r="367" spans="1:10" s="42" customFormat="1" ht="15.75" x14ac:dyDescent="0.2">
      <c r="A367" s="14" t="s">
        <v>249</v>
      </c>
      <c r="B367" s="10">
        <f t="shared" si="57"/>
        <v>1194</v>
      </c>
      <c r="C367" s="10">
        <v>1147</v>
      </c>
      <c r="D367" s="44">
        <v>10</v>
      </c>
      <c r="E367" s="44">
        <v>19</v>
      </c>
      <c r="F367" s="50">
        <v>0</v>
      </c>
      <c r="G367" s="50">
        <v>0</v>
      </c>
      <c r="H367" s="44">
        <v>18</v>
      </c>
      <c r="J367" s="15" t="s">
        <v>250</v>
      </c>
    </row>
    <row r="368" spans="1:10" s="42" customFormat="1" ht="15.75" x14ac:dyDescent="0.2">
      <c r="A368" s="14" t="s">
        <v>251</v>
      </c>
      <c r="B368" s="10">
        <f t="shared" si="57"/>
        <v>1012</v>
      </c>
      <c r="C368" s="10">
        <v>971</v>
      </c>
      <c r="D368" s="44">
        <v>10</v>
      </c>
      <c r="E368" s="44">
        <v>19</v>
      </c>
      <c r="F368" s="50">
        <v>0</v>
      </c>
      <c r="G368" s="50">
        <v>0</v>
      </c>
      <c r="H368" s="44">
        <v>12</v>
      </c>
      <c r="J368" s="15" t="s">
        <v>252</v>
      </c>
    </row>
    <row r="369" spans="1:10" s="42" customFormat="1" ht="15.75" x14ac:dyDescent="0.2">
      <c r="A369" s="14" t="s">
        <v>253</v>
      </c>
      <c r="B369" s="10">
        <f t="shared" si="57"/>
        <v>1346</v>
      </c>
      <c r="C369" s="10">
        <v>1289</v>
      </c>
      <c r="D369" s="44">
        <v>13</v>
      </c>
      <c r="E369" s="44">
        <v>21</v>
      </c>
      <c r="F369" s="50">
        <v>1</v>
      </c>
      <c r="G369" s="50">
        <v>1</v>
      </c>
      <c r="H369" s="44">
        <v>21</v>
      </c>
      <c r="J369" s="15" t="s">
        <v>254</v>
      </c>
    </row>
    <row r="370" spans="1:10" s="42" customFormat="1" ht="15.75" x14ac:dyDescent="0.2">
      <c r="A370" s="14" t="s">
        <v>255</v>
      </c>
      <c r="B370" s="10">
        <f t="shared" si="57"/>
        <v>805</v>
      </c>
      <c r="C370" s="10">
        <v>788</v>
      </c>
      <c r="D370" s="44">
        <v>2</v>
      </c>
      <c r="E370" s="44">
        <v>3</v>
      </c>
      <c r="F370" s="50">
        <v>0</v>
      </c>
      <c r="G370" s="50">
        <v>0</v>
      </c>
      <c r="H370" s="44">
        <v>12</v>
      </c>
      <c r="J370" s="15" t="s">
        <v>256</v>
      </c>
    </row>
    <row r="371" spans="1:10" s="42" customFormat="1" ht="15.75" x14ac:dyDescent="0.2">
      <c r="A371" s="14" t="s">
        <v>257</v>
      </c>
      <c r="B371" s="10">
        <f t="shared" si="57"/>
        <v>920</v>
      </c>
      <c r="C371" s="10">
        <v>891</v>
      </c>
      <c r="D371" s="44">
        <v>7</v>
      </c>
      <c r="E371" s="44">
        <v>18</v>
      </c>
      <c r="F371" s="50">
        <v>0</v>
      </c>
      <c r="G371" s="50">
        <v>0</v>
      </c>
      <c r="H371" s="44">
        <v>4</v>
      </c>
      <c r="J371" s="15" t="s">
        <v>258</v>
      </c>
    </row>
    <row r="372" spans="1:10" s="42" customFormat="1" ht="15.75" x14ac:dyDescent="0.2">
      <c r="A372" s="14" t="s">
        <v>259</v>
      </c>
      <c r="B372" s="10">
        <f t="shared" si="57"/>
        <v>713</v>
      </c>
      <c r="C372" s="10">
        <v>701</v>
      </c>
      <c r="D372" s="44">
        <v>2</v>
      </c>
      <c r="E372" s="44">
        <v>3</v>
      </c>
      <c r="F372" s="50">
        <v>0</v>
      </c>
      <c r="G372" s="50">
        <v>0</v>
      </c>
      <c r="H372" s="44">
        <v>7</v>
      </c>
      <c r="J372" s="15" t="s">
        <v>260</v>
      </c>
    </row>
    <row r="373" spans="1:10" s="42" customFormat="1" ht="15.75" x14ac:dyDescent="0.2">
      <c r="A373" s="14" t="s">
        <v>261</v>
      </c>
      <c r="B373" s="10">
        <f t="shared" si="57"/>
        <v>1431</v>
      </c>
      <c r="C373" s="10">
        <v>1397</v>
      </c>
      <c r="D373" s="44">
        <v>7</v>
      </c>
      <c r="E373" s="44">
        <v>13</v>
      </c>
      <c r="F373" s="50">
        <v>1</v>
      </c>
      <c r="G373" s="50">
        <v>1</v>
      </c>
      <c r="H373" s="44">
        <v>12</v>
      </c>
      <c r="J373" s="15" t="s">
        <v>262</v>
      </c>
    </row>
    <row r="374" spans="1:10" s="42" customFormat="1" ht="15.75" x14ac:dyDescent="0.2">
      <c r="A374" s="14" t="s">
        <v>263</v>
      </c>
      <c r="B374" s="10">
        <f t="shared" si="57"/>
        <v>1661</v>
      </c>
      <c r="C374" s="10">
        <v>1562</v>
      </c>
      <c r="D374" s="44">
        <v>20</v>
      </c>
      <c r="E374" s="44">
        <v>42</v>
      </c>
      <c r="F374" s="50">
        <v>3</v>
      </c>
      <c r="G374" s="50">
        <v>3</v>
      </c>
      <c r="H374" s="44">
        <v>31</v>
      </c>
      <c r="J374" s="15" t="s">
        <v>264</v>
      </c>
    </row>
    <row r="375" spans="1:10" s="42" customFormat="1" ht="12.75" x14ac:dyDescent="0.2">
      <c r="A375" s="16"/>
      <c r="B375" s="47"/>
      <c r="C375" s="22"/>
      <c r="D375" s="44"/>
      <c r="E375" s="44"/>
      <c r="F375" s="44"/>
      <c r="G375" s="44"/>
      <c r="H375" s="46"/>
    </row>
    <row r="376" spans="1:10" s="42" customFormat="1" ht="15.75" x14ac:dyDescent="0.2">
      <c r="A376" s="12" t="s">
        <v>40</v>
      </c>
      <c r="B376" s="10">
        <f t="shared" ref="B376:B384" si="59">SUM(C376:H376)</f>
        <v>6706</v>
      </c>
      <c r="C376" s="10">
        <f>SUM(C377:C384)</f>
        <v>6537</v>
      </c>
      <c r="D376" s="38">
        <f t="shared" ref="D376:G376" si="60">SUM(D377:D384)</f>
        <v>28</v>
      </c>
      <c r="E376" s="38">
        <f t="shared" si="60"/>
        <v>51</v>
      </c>
      <c r="F376" s="38">
        <f t="shared" si="60"/>
        <v>0</v>
      </c>
      <c r="G376" s="38">
        <f t="shared" si="60"/>
        <v>0</v>
      </c>
      <c r="H376" s="38">
        <f>SUM(H377:H384)</f>
        <v>90</v>
      </c>
      <c r="J376" s="41" t="s">
        <v>41</v>
      </c>
    </row>
    <row r="377" spans="1:10" s="42" customFormat="1" ht="15.75" x14ac:dyDescent="0.2">
      <c r="A377" s="14" t="s">
        <v>265</v>
      </c>
      <c r="B377" s="10">
        <f t="shared" si="59"/>
        <v>1435</v>
      </c>
      <c r="C377" s="10">
        <v>1398</v>
      </c>
      <c r="D377" s="44">
        <v>2</v>
      </c>
      <c r="E377" s="44">
        <v>2</v>
      </c>
      <c r="F377" s="50">
        <v>0</v>
      </c>
      <c r="G377" s="50">
        <v>0</v>
      </c>
      <c r="H377" s="44">
        <v>33</v>
      </c>
      <c r="J377" s="15" t="s">
        <v>266</v>
      </c>
    </row>
    <row r="378" spans="1:10" s="42" customFormat="1" ht="15.75" x14ac:dyDescent="0.2">
      <c r="A378" s="14" t="s">
        <v>267</v>
      </c>
      <c r="B378" s="10">
        <f t="shared" si="59"/>
        <v>1020</v>
      </c>
      <c r="C378" s="10">
        <v>1004</v>
      </c>
      <c r="D378" s="44">
        <v>2</v>
      </c>
      <c r="E378" s="44">
        <v>3</v>
      </c>
      <c r="F378" s="50">
        <v>0</v>
      </c>
      <c r="G378" s="50">
        <v>0</v>
      </c>
      <c r="H378" s="44">
        <v>11</v>
      </c>
      <c r="J378" s="15" t="s">
        <v>268</v>
      </c>
    </row>
    <row r="379" spans="1:10" s="42" customFormat="1" ht="15.75" x14ac:dyDescent="0.2">
      <c r="A379" s="14" t="s">
        <v>269</v>
      </c>
      <c r="B379" s="10">
        <f t="shared" si="59"/>
        <v>845</v>
      </c>
      <c r="C379" s="10">
        <v>817</v>
      </c>
      <c r="D379" s="44">
        <v>6</v>
      </c>
      <c r="E379" s="44">
        <v>11</v>
      </c>
      <c r="F379" s="50">
        <v>0</v>
      </c>
      <c r="G379" s="50">
        <v>0</v>
      </c>
      <c r="H379" s="44">
        <v>11</v>
      </c>
      <c r="J379" s="15" t="s">
        <v>270</v>
      </c>
    </row>
    <row r="380" spans="1:10" s="42" customFormat="1" ht="15.75" x14ac:dyDescent="0.2">
      <c r="A380" s="14" t="s">
        <v>271</v>
      </c>
      <c r="B380" s="10">
        <f t="shared" si="59"/>
        <v>816</v>
      </c>
      <c r="C380" s="10">
        <v>794</v>
      </c>
      <c r="D380" s="44">
        <v>3</v>
      </c>
      <c r="E380" s="44">
        <v>7</v>
      </c>
      <c r="F380" s="50">
        <v>0</v>
      </c>
      <c r="G380" s="50">
        <v>0</v>
      </c>
      <c r="H380" s="44">
        <v>12</v>
      </c>
      <c r="J380" s="15" t="s">
        <v>272</v>
      </c>
    </row>
    <row r="381" spans="1:10" s="42" customFormat="1" ht="15.75" x14ac:dyDescent="0.2">
      <c r="A381" s="53" t="s">
        <v>273</v>
      </c>
      <c r="B381" s="10">
        <f t="shared" si="59"/>
        <v>613</v>
      </c>
      <c r="C381" s="10">
        <v>589</v>
      </c>
      <c r="D381" s="44">
        <v>6</v>
      </c>
      <c r="E381" s="44">
        <v>14</v>
      </c>
      <c r="F381" s="50">
        <v>0</v>
      </c>
      <c r="G381" s="50">
        <v>0</v>
      </c>
      <c r="H381" s="44">
        <v>4</v>
      </c>
      <c r="J381" s="54" t="s">
        <v>274</v>
      </c>
    </row>
    <row r="382" spans="1:10" s="42" customFormat="1" ht="15.75" x14ac:dyDescent="0.2">
      <c r="A382" s="14" t="s">
        <v>275</v>
      </c>
      <c r="B382" s="10">
        <f t="shared" si="59"/>
        <v>684</v>
      </c>
      <c r="C382" s="10">
        <v>670</v>
      </c>
      <c r="D382" s="44">
        <v>5</v>
      </c>
      <c r="E382" s="44">
        <v>5</v>
      </c>
      <c r="F382" s="50">
        <v>0</v>
      </c>
      <c r="G382" s="50">
        <v>0</v>
      </c>
      <c r="H382" s="44">
        <v>4</v>
      </c>
      <c r="J382" s="15" t="s">
        <v>276</v>
      </c>
    </row>
    <row r="383" spans="1:10" s="42" customFormat="1" ht="15.75" x14ac:dyDescent="0.2">
      <c r="A383" s="16" t="s">
        <v>225</v>
      </c>
      <c r="B383" s="10">
        <f t="shared" si="59"/>
        <v>615</v>
      </c>
      <c r="C383" s="10">
        <v>599</v>
      </c>
      <c r="D383" s="44">
        <v>2</v>
      </c>
      <c r="E383" s="44">
        <v>5</v>
      </c>
      <c r="F383" s="50">
        <v>0</v>
      </c>
      <c r="G383" s="50">
        <v>0</v>
      </c>
      <c r="H383" s="44">
        <v>9</v>
      </c>
      <c r="J383" s="15" t="s">
        <v>226</v>
      </c>
    </row>
    <row r="384" spans="1:10" s="42" customFormat="1" ht="15.75" x14ac:dyDescent="0.2">
      <c r="A384" s="16" t="s">
        <v>277</v>
      </c>
      <c r="B384" s="10">
        <f t="shared" si="59"/>
        <v>678</v>
      </c>
      <c r="C384" s="10">
        <v>666</v>
      </c>
      <c r="D384" s="44">
        <v>2</v>
      </c>
      <c r="E384" s="44">
        <v>4</v>
      </c>
      <c r="F384" s="50">
        <v>0</v>
      </c>
      <c r="G384" s="50">
        <v>0</v>
      </c>
      <c r="H384" s="44">
        <v>6</v>
      </c>
      <c r="J384" s="15" t="s">
        <v>278</v>
      </c>
    </row>
    <row r="385" spans="1:10" s="51" customFormat="1" ht="12.75" x14ac:dyDescent="0.2">
      <c r="A385" s="16"/>
      <c r="B385" s="47"/>
      <c r="C385" s="52"/>
      <c r="D385" s="44"/>
      <c r="E385" s="44"/>
      <c r="F385" s="44"/>
      <c r="G385" s="44"/>
      <c r="H385" s="46"/>
    </row>
    <row r="386" spans="1:10" s="42" customFormat="1" ht="15.75" x14ac:dyDescent="0.2">
      <c r="A386" s="12" t="s">
        <v>42</v>
      </c>
      <c r="B386" s="10">
        <f t="shared" ref="B386:B396" si="61">SUM(C386:H386)</f>
        <v>9862</v>
      </c>
      <c r="C386" s="10">
        <f>SUM(C387:C396)</f>
        <v>9570</v>
      </c>
      <c r="D386" s="38">
        <f t="shared" ref="D386:G386" si="62">SUM(D387:D396)</f>
        <v>36</v>
      </c>
      <c r="E386" s="38">
        <f t="shared" si="62"/>
        <v>49</v>
      </c>
      <c r="F386" s="38">
        <f t="shared" si="62"/>
        <v>4</v>
      </c>
      <c r="G386" s="38">
        <f t="shared" si="62"/>
        <v>6</v>
      </c>
      <c r="H386" s="38">
        <f>SUM(H387:H396)</f>
        <v>197</v>
      </c>
      <c r="J386" s="41" t="s">
        <v>43</v>
      </c>
    </row>
    <row r="387" spans="1:10" s="42" customFormat="1" ht="15.75" x14ac:dyDescent="0.2">
      <c r="A387" s="14" t="s">
        <v>279</v>
      </c>
      <c r="B387" s="10">
        <f t="shared" si="61"/>
        <v>633</v>
      </c>
      <c r="C387" s="10">
        <v>624</v>
      </c>
      <c r="D387" s="44">
        <v>1</v>
      </c>
      <c r="E387" s="44">
        <v>1</v>
      </c>
      <c r="F387" s="50">
        <v>0</v>
      </c>
      <c r="G387" s="50">
        <v>0</v>
      </c>
      <c r="H387" s="44">
        <v>7</v>
      </c>
      <c r="J387" s="15" t="s">
        <v>280</v>
      </c>
    </row>
    <row r="388" spans="1:10" s="42" customFormat="1" ht="15.75" x14ac:dyDescent="0.2">
      <c r="A388" s="14" t="s">
        <v>281</v>
      </c>
      <c r="B388" s="10">
        <f t="shared" si="61"/>
        <v>1002</v>
      </c>
      <c r="C388" s="10">
        <v>927</v>
      </c>
      <c r="D388" s="44">
        <v>6</v>
      </c>
      <c r="E388" s="44">
        <v>7</v>
      </c>
      <c r="F388" s="50">
        <v>0</v>
      </c>
      <c r="G388" s="50">
        <v>0</v>
      </c>
      <c r="H388" s="44">
        <v>62</v>
      </c>
      <c r="J388" s="15" t="s">
        <v>282</v>
      </c>
    </row>
    <row r="389" spans="1:10" s="42" customFormat="1" ht="15.75" x14ac:dyDescent="0.2">
      <c r="A389" s="14" t="s">
        <v>283</v>
      </c>
      <c r="B389" s="10">
        <f t="shared" si="61"/>
        <v>534</v>
      </c>
      <c r="C389" s="10">
        <v>519</v>
      </c>
      <c r="D389" s="44">
        <v>1</v>
      </c>
      <c r="E389" s="44">
        <v>2</v>
      </c>
      <c r="F389" s="50">
        <v>0</v>
      </c>
      <c r="G389" s="50">
        <v>0</v>
      </c>
      <c r="H389" s="44">
        <v>12</v>
      </c>
      <c r="J389" s="15" t="s">
        <v>114</v>
      </c>
    </row>
    <row r="390" spans="1:10" s="42" customFormat="1" ht="15.75" x14ac:dyDescent="0.2">
      <c r="A390" s="14" t="s">
        <v>284</v>
      </c>
      <c r="B390" s="10">
        <f t="shared" si="61"/>
        <v>2192</v>
      </c>
      <c r="C390" s="10">
        <v>2146</v>
      </c>
      <c r="D390" s="44">
        <v>10</v>
      </c>
      <c r="E390" s="44">
        <v>14</v>
      </c>
      <c r="F390" s="50">
        <v>0</v>
      </c>
      <c r="G390" s="50">
        <v>0</v>
      </c>
      <c r="H390" s="44">
        <v>22</v>
      </c>
      <c r="J390" s="15" t="s">
        <v>285</v>
      </c>
    </row>
    <row r="391" spans="1:10" s="42" customFormat="1" ht="15.75" x14ac:dyDescent="0.2">
      <c r="A391" s="14" t="s">
        <v>286</v>
      </c>
      <c r="B391" s="10">
        <f t="shared" si="61"/>
        <v>351</v>
      </c>
      <c r="C391" s="10">
        <v>343</v>
      </c>
      <c r="D391" s="44">
        <v>1</v>
      </c>
      <c r="E391" s="44">
        <v>2</v>
      </c>
      <c r="F391" s="50">
        <v>0</v>
      </c>
      <c r="G391" s="50">
        <v>0</v>
      </c>
      <c r="H391" s="44">
        <v>5</v>
      </c>
      <c r="J391" s="15" t="s">
        <v>174</v>
      </c>
    </row>
    <row r="392" spans="1:10" s="42" customFormat="1" ht="15.75" x14ac:dyDescent="0.2">
      <c r="A392" s="53" t="s">
        <v>287</v>
      </c>
      <c r="B392" s="10">
        <f t="shared" si="61"/>
        <v>898</v>
      </c>
      <c r="C392" s="10">
        <v>888</v>
      </c>
      <c r="D392" s="44">
        <v>1</v>
      </c>
      <c r="E392" s="44">
        <v>1</v>
      </c>
      <c r="F392" s="50">
        <v>0</v>
      </c>
      <c r="G392" s="50">
        <v>0</v>
      </c>
      <c r="H392" s="44">
        <v>8</v>
      </c>
      <c r="J392" s="15" t="s">
        <v>288</v>
      </c>
    </row>
    <row r="393" spans="1:10" s="42" customFormat="1" ht="15.75" x14ac:dyDescent="0.2">
      <c r="A393" s="53" t="s">
        <v>289</v>
      </c>
      <c r="B393" s="10">
        <f t="shared" si="61"/>
        <v>578</v>
      </c>
      <c r="C393" s="10">
        <v>554</v>
      </c>
      <c r="D393" s="44">
        <v>6</v>
      </c>
      <c r="E393" s="44">
        <v>8</v>
      </c>
      <c r="F393" s="50">
        <v>0</v>
      </c>
      <c r="G393" s="50">
        <v>0</v>
      </c>
      <c r="H393" s="44">
        <v>10</v>
      </c>
      <c r="J393" s="54" t="s">
        <v>290</v>
      </c>
    </row>
    <row r="394" spans="1:10" s="42" customFormat="1" ht="15.75" x14ac:dyDescent="0.2">
      <c r="A394" s="14" t="s">
        <v>291</v>
      </c>
      <c r="B394" s="10">
        <f t="shared" si="61"/>
        <v>927</v>
      </c>
      <c r="C394" s="10">
        <v>896</v>
      </c>
      <c r="D394" s="44">
        <v>5</v>
      </c>
      <c r="E394" s="44">
        <v>8</v>
      </c>
      <c r="F394" s="50">
        <v>3</v>
      </c>
      <c r="G394" s="50">
        <v>3</v>
      </c>
      <c r="H394" s="44">
        <v>12</v>
      </c>
      <c r="J394" s="15" t="s">
        <v>292</v>
      </c>
    </row>
    <row r="395" spans="1:10" s="42" customFormat="1" ht="15.75" x14ac:dyDescent="0.2">
      <c r="A395" s="14" t="s">
        <v>83</v>
      </c>
      <c r="B395" s="10">
        <f t="shared" si="61"/>
        <v>160</v>
      </c>
      <c r="C395" s="10">
        <v>156</v>
      </c>
      <c r="D395" s="44">
        <v>1</v>
      </c>
      <c r="E395" s="44">
        <v>1</v>
      </c>
      <c r="F395" s="50">
        <v>0</v>
      </c>
      <c r="G395" s="50">
        <v>0</v>
      </c>
      <c r="H395" s="50">
        <v>2</v>
      </c>
      <c r="J395" s="15" t="s">
        <v>84</v>
      </c>
    </row>
    <row r="396" spans="1:10" s="42" customFormat="1" ht="15.75" x14ac:dyDescent="0.2">
      <c r="A396" s="14" t="s">
        <v>293</v>
      </c>
      <c r="B396" s="10">
        <f t="shared" si="61"/>
        <v>2587</v>
      </c>
      <c r="C396" s="10">
        <v>2517</v>
      </c>
      <c r="D396" s="44">
        <v>4</v>
      </c>
      <c r="E396" s="44">
        <v>5</v>
      </c>
      <c r="F396" s="50">
        <v>1</v>
      </c>
      <c r="G396" s="50">
        <v>3</v>
      </c>
      <c r="H396" s="44">
        <v>57</v>
      </c>
      <c r="J396" s="15" t="s">
        <v>294</v>
      </c>
    </row>
    <row r="397" spans="1:10" s="42" customFormat="1" ht="12.75" x14ac:dyDescent="0.2">
      <c r="A397" s="14"/>
      <c r="B397" s="43"/>
      <c r="C397" s="22"/>
      <c r="D397" s="44"/>
      <c r="E397" s="44"/>
      <c r="F397" s="44"/>
      <c r="G397" s="44"/>
      <c r="H397" s="46"/>
    </row>
    <row r="398" spans="1:10" s="42" customFormat="1" ht="15.75" x14ac:dyDescent="0.2">
      <c r="A398" s="12" t="s">
        <v>44</v>
      </c>
      <c r="B398" s="10">
        <f t="shared" ref="B398:B403" si="63">SUM(C398:H398)</f>
        <v>1825</v>
      </c>
      <c r="C398" s="10">
        <f>SUM(C399:C403)</f>
        <v>1770</v>
      </c>
      <c r="D398" s="38">
        <f t="shared" ref="D398:G398" si="64">SUM(D399:D403)</f>
        <v>9</v>
      </c>
      <c r="E398" s="38">
        <f t="shared" si="64"/>
        <v>16</v>
      </c>
      <c r="F398" s="38">
        <f t="shared" si="64"/>
        <v>0</v>
      </c>
      <c r="G398" s="38">
        <f t="shared" si="64"/>
        <v>0</v>
      </c>
      <c r="H398" s="38">
        <f>SUM(H399:H403)</f>
        <v>30</v>
      </c>
      <c r="J398" s="41" t="s">
        <v>45</v>
      </c>
    </row>
    <row r="399" spans="1:10" s="42" customFormat="1" ht="15.75" x14ac:dyDescent="0.2">
      <c r="A399" s="14" t="s">
        <v>295</v>
      </c>
      <c r="B399" s="10">
        <f t="shared" si="63"/>
        <v>318</v>
      </c>
      <c r="C399" s="10">
        <v>299</v>
      </c>
      <c r="D399" s="44">
        <v>4</v>
      </c>
      <c r="E399" s="44">
        <v>7</v>
      </c>
      <c r="F399" s="50">
        <v>0</v>
      </c>
      <c r="G399" s="50">
        <v>0</v>
      </c>
      <c r="H399" s="44">
        <v>8</v>
      </c>
      <c r="J399" s="15" t="s">
        <v>296</v>
      </c>
    </row>
    <row r="400" spans="1:10" s="42" customFormat="1" ht="15.75" x14ac:dyDescent="0.2">
      <c r="A400" s="14" t="s">
        <v>297</v>
      </c>
      <c r="B400" s="10">
        <f t="shared" si="63"/>
        <v>128</v>
      </c>
      <c r="C400" s="10">
        <v>127</v>
      </c>
      <c r="D400" s="44">
        <v>0</v>
      </c>
      <c r="E400" s="44">
        <v>0</v>
      </c>
      <c r="F400" s="50">
        <v>0</v>
      </c>
      <c r="G400" s="50">
        <v>0</v>
      </c>
      <c r="H400" s="44">
        <v>1</v>
      </c>
      <c r="J400" s="15" t="s">
        <v>298</v>
      </c>
    </row>
    <row r="401" spans="1:10" s="42" customFormat="1" ht="15.75" x14ac:dyDescent="0.2">
      <c r="A401" s="14" t="s">
        <v>299</v>
      </c>
      <c r="B401" s="10">
        <f t="shared" si="63"/>
        <v>561</v>
      </c>
      <c r="C401" s="10">
        <v>554</v>
      </c>
      <c r="D401" s="44">
        <v>0</v>
      </c>
      <c r="E401" s="44">
        <v>0</v>
      </c>
      <c r="F401" s="50">
        <v>0</v>
      </c>
      <c r="G401" s="50">
        <v>0</v>
      </c>
      <c r="H401" s="44">
        <v>7</v>
      </c>
      <c r="J401" s="15" t="s">
        <v>300</v>
      </c>
    </row>
    <row r="402" spans="1:10" s="42" customFormat="1" ht="15.75" x14ac:dyDescent="0.2">
      <c r="A402" s="14" t="s">
        <v>301</v>
      </c>
      <c r="B402" s="10">
        <f t="shared" si="63"/>
        <v>522</v>
      </c>
      <c r="C402" s="10">
        <v>495</v>
      </c>
      <c r="D402" s="44">
        <v>5</v>
      </c>
      <c r="E402" s="44">
        <v>9</v>
      </c>
      <c r="F402" s="50">
        <v>0</v>
      </c>
      <c r="G402" s="50">
        <v>0</v>
      </c>
      <c r="H402" s="44">
        <v>13</v>
      </c>
      <c r="J402" s="15" t="s">
        <v>302</v>
      </c>
    </row>
    <row r="403" spans="1:10" s="42" customFormat="1" ht="15.75" x14ac:dyDescent="0.2">
      <c r="A403" s="14" t="s">
        <v>303</v>
      </c>
      <c r="B403" s="10">
        <f t="shared" si="63"/>
        <v>296</v>
      </c>
      <c r="C403" s="10">
        <v>295</v>
      </c>
      <c r="D403" s="44">
        <v>0</v>
      </c>
      <c r="E403" s="44">
        <v>0</v>
      </c>
      <c r="F403" s="50">
        <v>0</v>
      </c>
      <c r="G403" s="50">
        <v>0</v>
      </c>
      <c r="H403" s="44">
        <v>1</v>
      </c>
      <c r="J403" s="15" t="s">
        <v>304</v>
      </c>
    </row>
    <row r="404" spans="1:10" s="42" customFormat="1" ht="12.75" x14ac:dyDescent="0.2">
      <c r="A404" s="16"/>
      <c r="B404" s="47"/>
      <c r="C404" s="22"/>
      <c r="D404" s="44"/>
      <c r="E404" s="44"/>
      <c r="F404" s="44"/>
      <c r="G404" s="44"/>
      <c r="H404" s="46"/>
    </row>
    <row r="405" spans="1:10" s="42" customFormat="1" ht="15.75" x14ac:dyDescent="0.2">
      <c r="A405" s="12" t="s">
        <v>46</v>
      </c>
      <c r="B405" s="10">
        <f t="shared" ref="B405:B413" si="65">SUM(C405:H405)</f>
        <v>6409</v>
      </c>
      <c r="C405" s="10">
        <f>SUM(C406:C413)</f>
        <v>6247</v>
      </c>
      <c r="D405" s="38">
        <f t="shared" ref="D405:G405" si="66">SUM(D406:D413)</f>
        <v>32</v>
      </c>
      <c r="E405" s="38">
        <f t="shared" si="66"/>
        <v>53</v>
      </c>
      <c r="F405" s="38">
        <f t="shared" si="66"/>
        <v>2</v>
      </c>
      <c r="G405" s="38">
        <f t="shared" si="66"/>
        <v>3</v>
      </c>
      <c r="H405" s="38">
        <f>SUM(H406:H413)</f>
        <v>72</v>
      </c>
      <c r="J405" s="41" t="s">
        <v>47</v>
      </c>
    </row>
    <row r="406" spans="1:10" s="42" customFormat="1" ht="15.75" x14ac:dyDescent="0.2">
      <c r="A406" s="16" t="s">
        <v>305</v>
      </c>
      <c r="B406" s="10">
        <f t="shared" si="65"/>
        <v>191</v>
      </c>
      <c r="C406" s="10">
        <v>188</v>
      </c>
      <c r="D406" s="44">
        <v>0</v>
      </c>
      <c r="E406" s="44">
        <v>0</v>
      </c>
      <c r="F406" s="50">
        <v>0</v>
      </c>
      <c r="G406" s="50">
        <v>0</v>
      </c>
      <c r="H406" s="44">
        <v>3</v>
      </c>
      <c r="J406" s="15" t="s">
        <v>306</v>
      </c>
    </row>
    <row r="407" spans="1:10" s="42" customFormat="1" ht="15.75" x14ac:dyDescent="0.2">
      <c r="A407" s="16" t="s">
        <v>307</v>
      </c>
      <c r="B407" s="10">
        <f t="shared" si="65"/>
        <v>283</v>
      </c>
      <c r="C407" s="10">
        <v>276</v>
      </c>
      <c r="D407" s="44">
        <v>1</v>
      </c>
      <c r="E407" s="44">
        <v>2</v>
      </c>
      <c r="F407" s="50">
        <v>0</v>
      </c>
      <c r="G407" s="50">
        <v>0</v>
      </c>
      <c r="H407" s="44">
        <v>4</v>
      </c>
      <c r="J407" s="15" t="s">
        <v>308</v>
      </c>
    </row>
    <row r="408" spans="1:10" s="42" customFormat="1" ht="15.75" x14ac:dyDescent="0.2">
      <c r="A408" s="16" t="s">
        <v>309</v>
      </c>
      <c r="B408" s="10">
        <f t="shared" si="65"/>
        <v>1575</v>
      </c>
      <c r="C408" s="10">
        <v>1510</v>
      </c>
      <c r="D408" s="44">
        <v>9</v>
      </c>
      <c r="E408" s="44">
        <v>14</v>
      </c>
      <c r="F408" s="50">
        <v>0</v>
      </c>
      <c r="G408" s="50">
        <v>0</v>
      </c>
      <c r="H408" s="44">
        <v>42</v>
      </c>
      <c r="J408" s="15" t="s">
        <v>310</v>
      </c>
    </row>
    <row r="409" spans="1:10" s="42" customFormat="1" ht="15.75" x14ac:dyDescent="0.2">
      <c r="A409" s="16" t="s">
        <v>311</v>
      </c>
      <c r="B409" s="10">
        <f t="shared" si="65"/>
        <v>905</v>
      </c>
      <c r="C409" s="10">
        <v>879</v>
      </c>
      <c r="D409" s="44">
        <v>6</v>
      </c>
      <c r="E409" s="44">
        <v>12</v>
      </c>
      <c r="F409" s="50">
        <v>1</v>
      </c>
      <c r="G409" s="50">
        <v>1</v>
      </c>
      <c r="H409" s="44">
        <v>6</v>
      </c>
      <c r="J409" s="15" t="s">
        <v>312</v>
      </c>
    </row>
    <row r="410" spans="1:10" s="42" customFormat="1" ht="15.75" x14ac:dyDescent="0.2">
      <c r="A410" s="16" t="s">
        <v>313</v>
      </c>
      <c r="B410" s="10">
        <f t="shared" si="65"/>
        <v>450</v>
      </c>
      <c r="C410" s="10">
        <v>438</v>
      </c>
      <c r="D410" s="44">
        <v>3</v>
      </c>
      <c r="E410" s="44">
        <v>4</v>
      </c>
      <c r="F410" s="50">
        <v>0</v>
      </c>
      <c r="G410" s="50">
        <v>0</v>
      </c>
      <c r="H410" s="44">
        <v>5</v>
      </c>
      <c r="J410" s="15" t="s">
        <v>314</v>
      </c>
    </row>
    <row r="411" spans="1:10" s="42" customFormat="1" ht="15.75" x14ac:dyDescent="0.2">
      <c r="A411" s="16" t="s">
        <v>315</v>
      </c>
      <c r="B411" s="10">
        <f t="shared" si="65"/>
        <v>1252</v>
      </c>
      <c r="C411" s="10">
        <v>1229</v>
      </c>
      <c r="D411" s="44">
        <v>7</v>
      </c>
      <c r="E411" s="44">
        <v>9</v>
      </c>
      <c r="F411" s="50">
        <v>1</v>
      </c>
      <c r="G411" s="50">
        <v>2</v>
      </c>
      <c r="H411" s="44">
        <v>4</v>
      </c>
      <c r="J411" s="15" t="s">
        <v>316</v>
      </c>
    </row>
    <row r="412" spans="1:10" s="42" customFormat="1" ht="15.75" x14ac:dyDescent="0.2">
      <c r="A412" s="16" t="s">
        <v>317</v>
      </c>
      <c r="B412" s="10">
        <f t="shared" si="65"/>
        <v>1105</v>
      </c>
      <c r="C412" s="10">
        <v>1086</v>
      </c>
      <c r="D412" s="44">
        <v>5</v>
      </c>
      <c r="E412" s="44">
        <v>8</v>
      </c>
      <c r="F412" s="50">
        <v>0</v>
      </c>
      <c r="G412" s="50">
        <v>0</v>
      </c>
      <c r="H412" s="44">
        <v>6</v>
      </c>
      <c r="J412" s="15" t="s">
        <v>318</v>
      </c>
    </row>
    <row r="413" spans="1:10" s="42" customFormat="1" ht="15.75" x14ac:dyDescent="0.2">
      <c r="A413" s="16" t="s">
        <v>201</v>
      </c>
      <c r="B413" s="10">
        <f t="shared" si="65"/>
        <v>648</v>
      </c>
      <c r="C413" s="10">
        <v>641</v>
      </c>
      <c r="D413" s="44">
        <v>1</v>
      </c>
      <c r="E413" s="44">
        <v>4</v>
      </c>
      <c r="F413" s="50">
        <v>0</v>
      </c>
      <c r="G413" s="50">
        <v>0</v>
      </c>
      <c r="H413" s="44">
        <v>2</v>
      </c>
      <c r="J413" s="15" t="s">
        <v>202</v>
      </c>
    </row>
    <row r="414" spans="1:10" s="51" customFormat="1" ht="12.75" x14ac:dyDescent="0.2">
      <c r="A414" s="16"/>
      <c r="B414" s="47"/>
      <c r="C414" s="52"/>
      <c r="D414" s="44"/>
      <c r="E414" s="44"/>
      <c r="F414" s="50"/>
      <c r="G414" s="50"/>
      <c r="H414" s="46"/>
    </row>
    <row r="415" spans="1:10" s="42" customFormat="1" ht="15.75" x14ac:dyDescent="0.2">
      <c r="A415" s="12" t="s">
        <v>48</v>
      </c>
      <c r="B415" s="10">
        <f t="shared" ref="B415:B420" si="67">SUM(C415:H415)</f>
        <v>5364</v>
      </c>
      <c r="C415" s="10">
        <f>SUM(C416:C420)</f>
        <v>5176</v>
      </c>
      <c r="D415" s="38">
        <f t="shared" ref="D415:G415" si="68">SUM(D416:D420)</f>
        <v>29</v>
      </c>
      <c r="E415" s="38">
        <f t="shared" si="68"/>
        <v>51</v>
      </c>
      <c r="F415" s="38">
        <f t="shared" si="68"/>
        <v>1</v>
      </c>
      <c r="G415" s="38">
        <f t="shared" si="68"/>
        <v>5</v>
      </c>
      <c r="H415" s="38">
        <f>SUM(H416:H420)</f>
        <v>102</v>
      </c>
      <c r="J415" s="41" t="s">
        <v>49</v>
      </c>
    </row>
    <row r="416" spans="1:10" s="42" customFormat="1" ht="15.75" x14ac:dyDescent="0.2">
      <c r="A416" s="14" t="s">
        <v>319</v>
      </c>
      <c r="B416" s="10">
        <f t="shared" si="67"/>
        <v>1081</v>
      </c>
      <c r="C416" s="10">
        <v>1045</v>
      </c>
      <c r="D416" s="44">
        <v>5</v>
      </c>
      <c r="E416" s="44">
        <v>8</v>
      </c>
      <c r="F416" s="50">
        <v>0</v>
      </c>
      <c r="G416" s="50">
        <v>0</v>
      </c>
      <c r="H416" s="44">
        <v>23</v>
      </c>
      <c r="J416" s="15" t="s">
        <v>320</v>
      </c>
    </row>
    <row r="417" spans="1:10" s="42" customFormat="1" ht="15.75" x14ac:dyDescent="0.2">
      <c r="A417" s="14" t="s">
        <v>321</v>
      </c>
      <c r="B417" s="10">
        <f t="shared" si="67"/>
        <v>1199</v>
      </c>
      <c r="C417" s="10">
        <v>1149</v>
      </c>
      <c r="D417" s="44">
        <v>9</v>
      </c>
      <c r="E417" s="44">
        <v>12</v>
      </c>
      <c r="F417" s="50">
        <v>1</v>
      </c>
      <c r="G417" s="50">
        <v>5</v>
      </c>
      <c r="H417" s="44">
        <v>23</v>
      </c>
      <c r="J417" s="15" t="s">
        <v>322</v>
      </c>
    </row>
    <row r="418" spans="1:10" s="42" customFormat="1" ht="15.75" x14ac:dyDescent="0.2">
      <c r="A418" s="14" t="s">
        <v>171</v>
      </c>
      <c r="B418" s="10">
        <f t="shared" si="67"/>
        <v>707</v>
      </c>
      <c r="C418" s="10">
        <v>695</v>
      </c>
      <c r="D418" s="44">
        <v>1</v>
      </c>
      <c r="E418" s="44">
        <v>1</v>
      </c>
      <c r="F418" s="50">
        <v>0</v>
      </c>
      <c r="G418" s="50">
        <v>0</v>
      </c>
      <c r="H418" s="44">
        <v>10</v>
      </c>
      <c r="J418" s="15" t="s">
        <v>172</v>
      </c>
    </row>
    <row r="419" spans="1:10" s="42" customFormat="1" ht="15.75" x14ac:dyDescent="0.2">
      <c r="A419" s="14" t="s">
        <v>323</v>
      </c>
      <c r="B419" s="10">
        <f t="shared" si="67"/>
        <v>497</v>
      </c>
      <c r="C419" s="10">
        <v>484</v>
      </c>
      <c r="D419" s="44">
        <v>3</v>
      </c>
      <c r="E419" s="44">
        <v>5</v>
      </c>
      <c r="F419" s="50">
        <v>0</v>
      </c>
      <c r="G419" s="50">
        <v>0</v>
      </c>
      <c r="H419" s="44">
        <v>5</v>
      </c>
      <c r="J419" s="15" t="s">
        <v>324</v>
      </c>
    </row>
    <row r="420" spans="1:10" s="42" customFormat="1" ht="15.75" x14ac:dyDescent="0.2">
      <c r="A420" s="14" t="s">
        <v>325</v>
      </c>
      <c r="B420" s="10">
        <f t="shared" si="67"/>
        <v>1880</v>
      </c>
      <c r="C420" s="10">
        <v>1803</v>
      </c>
      <c r="D420" s="44">
        <v>11</v>
      </c>
      <c r="E420" s="44">
        <v>25</v>
      </c>
      <c r="F420" s="50">
        <v>0</v>
      </c>
      <c r="G420" s="50">
        <v>0</v>
      </c>
      <c r="H420" s="44">
        <v>41</v>
      </c>
      <c r="J420" s="15" t="s">
        <v>326</v>
      </c>
    </row>
    <row r="421" spans="1:10" s="42" customFormat="1" ht="12.75" x14ac:dyDescent="0.2">
      <c r="A421" s="16"/>
      <c r="B421" s="47"/>
      <c r="C421" s="22"/>
      <c r="D421" s="44"/>
      <c r="E421" s="44"/>
      <c r="F421" s="44"/>
      <c r="G421" s="44"/>
      <c r="H421" s="46"/>
    </row>
    <row r="422" spans="1:10" s="42" customFormat="1" ht="15.75" x14ac:dyDescent="0.2">
      <c r="A422" s="12" t="s">
        <v>50</v>
      </c>
      <c r="B422" s="10">
        <f t="shared" ref="B422:B430" si="69">SUM(C422:H422)</f>
        <v>6717</v>
      </c>
      <c r="C422" s="10">
        <f>SUM(C423:C430)</f>
        <v>6497</v>
      </c>
      <c r="D422" s="38">
        <f t="shared" ref="D422:G422" si="70">SUM(D423:D430)</f>
        <v>51</v>
      </c>
      <c r="E422" s="38">
        <f t="shared" si="70"/>
        <v>80</v>
      </c>
      <c r="F422" s="38">
        <f t="shared" si="70"/>
        <v>2</v>
      </c>
      <c r="G422" s="38">
        <f t="shared" si="70"/>
        <v>2</v>
      </c>
      <c r="H422" s="38">
        <f>SUM(H423:H430)</f>
        <v>85</v>
      </c>
      <c r="J422" s="41" t="s">
        <v>51</v>
      </c>
    </row>
    <row r="423" spans="1:10" s="42" customFormat="1" ht="15.75" x14ac:dyDescent="0.2">
      <c r="A423" s="14" t="s">
        <v>207</v>
      </c>
      <c r="B423" s="10">
        <f t="shared" si="69"/>
        <v>1206</v>
      </c>
      <c r="C423" s="10">
        <v>1186</v>
      </c>
      <c r="D423" s="44">
        <v>2</v>
      </c>
      <c r="E423" s="44">
        <v>3</v>
      </c>
      <c r="F423" s="50">
        <v>0</v>
      </c>
      <c r="G423" s="50">
        <v>0</v>
      </c>
      <c r="H423" s="44">
        <v>15</v>
      </c>
      <c r="J423" s="15" t="s">
        <v>208</v>
      </c>
    </row>
    <row r="424" spans="1:10" s="42" customFormat="1" ht="15.75" x14ac:dyDescent="0.2">
      <c r="A424" s="14" t="s">
        <v>327</v>
      </c>
      <c r="B424" s="10">
        <f t="shared" si="69"/>
        <v>765</v>
      </c>
      <c r="C424" s="10">
        <v>753</v>
      </c>
      <c r="D424" s="44">
        <v>1</v>
      </c>
      <c r="E424" s="44">
        <v>2</v>
      </c>
      <c r="F424" s="50">
        <v>0</v>
      </c>
      <c r="G424" s="50">
        <v>0</v>
      </c>
      <c r="H424" s="44">
        <v>9</v>
      </c>
      <c r="J424" s="15" t="s">
        <v>328</v>
      </c>
    </row>
    <row r="425" spans="1:10" s="42" customFormat="1" ht="15.75" x14ac:dyDescent="0.2">
      <c r="A425" s="14" t="s">
        <v>329</v>
      </c>
      <c r="B425" s="10">
        <f t="shared" si="69"/>
        <v>363</v>
      </c>
      <c r="C425" s="10">
        <v>340</v>
      </c>
      <c r="D425" s="44">
        <v>3</v>
      </c>
      <c r="E425" s="44">
        <v>6</v>
      </c>
      <c r="F425" s="50">
        <v>0</v>
      </c>
      <c r="G425" s="50">
        <v>0</v>
      </c>
      <c r="H425" s="44">
        <v>14</v>
      </c>
      <c r="J425" s="15" t="s">
        <v>330</v>
      </c>
    </row>
    <row r="426" spans="1:10" s="42" customFormat="1" ht="15.75" x14ac:dyDescent="0.2">
      <c r="A426" s="14" t="s">
        <v>331</v>
      </c>
      <c r="B426" s="10">
        <f t="shared" si="69"/>
        <v>852</v>
      </c>
      <c r="C426" s="10">
        <v>803</v>
      </c>
      <c r="D426" s="44">
        <v>16</v>
      </c>
      <c r="E426" s="44">
        <v>25</v>
      </c>
      <c r="F426" s="50">
        <v>1</v>
      </c>
      <c r="G426" s="50">
        <v>1</v>
      </c>
      <c r="H426" s="44">
        <v>6</v>
      </c>
      <c r="J426" s="15" t="s">
        <v>332</v>
      </c>
    </row>
    <row r="427" spans="1:10" s="42" customFormat="1" ht="15.75" x14ac:dyDescent="0.2">
      <c r="A427" s="14" t="s">
        <v>333</v>
      </c>
      <c r="B427" s="10">
        <f t="shared" si="69"/>
        <v>1</v>
      </c>
      <c r="C427" s="10">
        <v>1</v>
      </c>
      <c r="D427" s="44">
        <v>0</v>
      </c>
      <c r="E427" s="44">
        <v>0</v>
      </c>
      <c r="F427" s="50">
        <v>0</v>
      </c>
      <c r="G427" s="50">
        <v>0</v>
      </c>
      <c r="H427" s="44">
        <v>0</v>
      </c>
      <c r="J427" s="49" t="s">
        <v>334</v>
      </c>
    </row>
    <row r="428" spans="1:10" s="42" customFormat="1" ht="15.75" x14ac:dyDescent="0.2">
      <c r="A428" s="14" t="s">
        <v>335</v>
      </c>
      <c r="B428" s="10">
        <f t="shared" si="69"/>
        <v>281</v>
      </c>
      <c r="C428" s="10">
        <v>272</v>
      </c>
      <c r="D428" s="44">
        <v>3</v>
      </c>
      <c r="E428" s="44">
        <v>6</v>
      </c>
      <c r="F428" s="50">
        <v>0</v>
      </c>
      <c r="G428" s="50">
        <v>0</v>
      </c>
      <c r="H428" s="44">
        <v>0</v>
      </c>
      <c r="J428" s="15" t="s">
        <v>336</v>
      </c>
    </row>
    <row r="429" spans="1:10" s="42" customFormat="1" ht="15.75" x14ac:dyDescent="0.2">
      <c r="A429" s="14" t="s">
        <v>337</v>
      </c>
      <c r="B429" s="10">
        <f t="shared" si="69"/>
        <v>919</v>
      </c>
      <c r="C429" s="10">
        <v>880</v>
      </c>
      <c r="D429" s="44">
        <v>8</v>
      </c>
      <c r="E429" s="44">
        <v>14</v>
      </c>
      <c r="F429" s="50">
        <v>0</v>
      </c>
      <c r="G429" s="50">
        <v>0</v>
      </c>
      <c r="H429" s="44">
        <v>17</v>
      </c>
      <c r="J429" s="15" t="s">
        <v>338</v>
      </c>
    </row>
    <row r="430" spans="1:10" s="42" customFormat="1" ht="15.75" x14ac:dyDescent="0.2">
      <c r="A430" s="14" t="s">
        <v>339</v>
      </c>
      <c r="B430" s="10">
        <f t="shared" si="69"/>
        <v>2330</v>
      </c>
      <c r="C430" s="10">
        <v>2262</v>
      </c>
      <c r="D430" s="44">
        <v>18</v>
      </c>
      <c r="E430" s="44">
        <v>24</v>
      </c>
      <c r="F430" s="50">
        <v>1</v>
      </c>
      <c r="G430" s="50">
        <v>1</v>
      </c>
      <c r="H430" s="44">
        <v>24</v>
      </c>
      <c r="J430" s="15" t="s">
        <v>340</v>
      </c>
    </row>
    <row r="431" spans="1:10" s="42" customFormat="1" ht="12.75" x14ac:dyDescent="0.2">
      <c r="A431" s="14"/>
      <c r="B431" s="43"/>
      <c r="C431" s="22"/>
      <c r="D431" s="44"/>
      <c r="E431" s="44"/>
      <c r="F431" s="44"/>
      <c r="G431" s="44"/>
      <c r="H431" s="46"/>
    </row>
    <row r="432" spans="1:10" s="42" customFormat="1" ht="15.75" x14ac:dyDescent="0.2">
      <c r="A432" s="12" t="s">
        <v>52</v>
      </c>
      <c r="B432" s="10">
        <f t="shared" ref="B432:B445" si="71">SUM(C432:H432)</f>
        <v>13815</v>
      </c>
      <c r="C432" s="10">
        <f>SUM(C433:C445)</f>
        <v>13508</v>
      </c>
      <c r="D432" s="38">
        <f t="shared" ref="D432:G432" si="72">SUM(D433:D445)</f>
        <v>50</v>
      </c>
      <c r="E432" s="38">
        <f t="shared" si="72"/>
        <v>83</v>
      </c>
      <c r="F432" s="38">
        <f t="shared" si="72"/>
        <v>4</v>
      </c>
      <c r="G432" s="38">
        <f t="shared" si="72"/>
        <v>5</v>
      </c>
      <c r="H432" s="38">
        <f>SUM(H433:H445)</f>
        <v>165</v>
      </c>
      <c r="J432" s="41" t="s">
        <v>53</v>
      </c>
    </row>
    <row r="433" spans="1:10" s="42" customFormat="1" ht="15.75" x14ac:dyDescent="0.2">
      <c r="A433" s="14" t="s">
        <v>341</v>
      </c>
      <c r="B433" s="10">
        <f t="shared" si="71"/>
        <v>521</v>
      </c>
      <c r="C433" s="10">
        <v>515</v>
      </c>
      <c r="D433" s="44">
        <v>0</v>
      </c>
      <c r="E433" s="44">
        <v>0</v>
      </c>
      <c r="F433" s="50">
        <v>0</v>
      </c>
      <c r="G433" s="50">
        <v>0</v>
      </c>
      <c r="H433" s="46">
        <v>6</v>
      </c>
      <c r="J433" s="15" t="s">
        <v>342</v>
      </c>
    </row>
    <row r="434" spans="1:10" s="42" customFormat="1" ht="15.75" x14ac:dyDescent="0.2">
      <c r="A434" s="14" t="s">
        <v>343</v>
      </c>
      <c r="B434" s="10">
        <f t="shared" si="71"/>
        <v>1742</v>
      </c>
      <c r="C434" s="10">
        <v>1733</v>
      </c>
      <c r="D434" s="44">
        <v>2</v>
      </c>
      <c r="E434" s="44">
        <v>2</v>
      </c>
      <c r="F434" s="50">
        <v>0</v>
      </c>
      <c r="G434" s="50">
        <v>0</v>
      </c>
      <c r="H434" s="44">
        <v>5</v>
      </c>
      <c r="J434" s="49" t="s">
        <v>344</v>
      </c>
    </row>
    <row r="435" spans="1:10" s="42" customFormat="1" ht="15.75" x14ac:dyDescent="0.2">
      <c r="A435" s="14" t="s">
        <v>345</v>
      </c>
      <c r="B435" s="10">
        <f t="shared" si="71"/>
        <v>1089</v>
      </c>
      <c r="C435" s="10">
        <v>1065</v>
      </c>
      <c r="D435" s="44">
        <v>4</v>
      </c>
      <c r="E435" s="44">
        <v>5</v>
      </c>
      <c r="F435" s="50">
        <v>0</v>
      </c>
      <c r="G435" s="50">
        <v>0</v>
      </c>
      <c r="H435" s="44">
        <v>15</v>
      </c>
      <c r="J435" s="15" t="s">
        <v>346</v>
      </c>
    </row>
    <row r="436" spans="1:10" s="42" customFormat="1" ht="15.75" x14ac:dyDescent="0.2">
      <c r="A436" s="14" t="s">
        <v>347</v>
      </c>
      <c r="B436" s="10">
        <f t="shared" si="71"/>
        <v>719</v>
      </c>
      <c r="C436" s="10">
        <v>713</v>
      </c>
      <c r="D436" s="44">
        <v>0</v>
      </c>
      <c r="E436" s="44">
        <v>0</v>
      </c>
      <c r="F436" s="50">
        <v>0</v>
      </c>
      <c r="G436" s="50">
        <v>0</v>
      </c>
      <c r="H436" s="44">
        <v>6</v>
      </c>
      <c r="J436" s="15" t="s">
        <v>348</v>
      </c>
    </row>
    <row r="437" spans="1:10" s="42" customFormat="1" ht="15.75" x14ac:dyDescent="0.2">
      <c r="A437" s="14" t="s">
        <v>263</v>
      </c>
      <c r="B437" s="10">
        <f t="shared" si="71"/>
        <v>1784</v>
      </c>
      <c r="C437" s="10">
        <v>1769</v>
      </c>
      <c r="D437" s="44">
        <v>2</v>
      </c>
      <c r="E437" s="44">
        <v>5</v>
      </c>
      <c r="F437" s="50">
        <v>1</v>
      </c>
      <c r="G437" s="50">
        <v>2</v>
      </c>
      <c r="H437" s="44">
        <v>5</v>
      </c>
      <c r="J437" s="15" t="s">
        <v>264</v>
      </c>
    </row>
    <row r="438" spans="1:10" s="42" customFormat="1" ht="15.75" x14ac:dyDescent="0.2">
      <c r="A438" s="14" t="s">
        <v>349</v>
      </c>
      <c r="B438" s="10">
        <f t="shared" si="71"/>
        <v>596</v>
      </c>
      <c r="C438" s="10">
        <v>588</v>
      </c>
      <c r="D438" s="44">
        <v>1</v>
      </c>
      <c r="E438" s="44">
        <v>1</v>
      </c>
      <c r="F438" s="50">
        <v>0</v>
      </c>
      <c r="G438" s="50">
        <v>0</v>
      </c>
      <c r="H438" s="44">
        <v>6</v>
      </c>
      <c r="J438" s="15" t="s">
        <v>350</v>
      </c>
    </row>
    <row r="439" spans="1:10" s="42" customFormat="1" ht="15.75" x14ac:dyDescent="0.2">
      <c r="A439" s="14" t="s">
        <v>351</v>
      </c>
      <c r="B439" s="10">
        <f t="shared" si="71"/>
        <v>352</v>
      </c>
      <c r="C439" s="10">
        <v>343</v>
      </c>
      <c r="D439" s="44">
        <v>0</v>
      </c>
      <c r="E439" s="44">
        <v>0</v>
      </c>
      <c r="F439" s="50">
        <v>0</v>
      </c>
      <c r="G439" s="50">
        <v>0</v>
      </c>
      <c r="H439" s="44">
        <v>9</v>
      </c>
      <c r="J439" s="15" t="s">
        <v>352</v>
      </c>
    </row>
    <row r="440" spans="1:10" s="42" customFormat="1" ht="15.75" x14ac:dyDescent="0.2">
      <c r="A440" s="14" t="s">
        <v>353</v>
      </c>
      <c r="B440" s="10">
        <f t="shared" si="71"/>
        <v>1098</v>
      </c>
      <c r="C440" s="10">
        <v>1041</v>
      </c>
      <c r="D440" s="44">
        <v>12</v>
      </c>
      <c r="E440" s="44">
        <v>23</v>
      </c>
      <c r="F440" s="50">
        <v>0</v>
      </c>
      <c r="G440" s="50">
        <v>0</v>
      </c>
      <c r="H440" s="44">
        <v>22</v>
      </c>
      <c r="J440" s="15" t="s">
        <v>354</v>
      </c>
    </row>
    <row r="441" spans="1:10" s="42" customFormat="1" ht="15.75" x14ac:dyDescent="0.2">
      <c r="A441" s="14" t="s">
        <v>355</v>
      </c>
      <c r="B441" s="10">
        <f t="shared" si="71"/>
        <v>559</v>
      </c>
      <c r="C441" s="10">
        <v>548</v>
      </c>
      <c r="D441" s="44">
        <v>0</v>
      </c>
      <c r="E441" s="44">
        <v>0</v>
      </c>
      <c r="F441" s="50">
        <v>0</v>
      </c>
      <c r="G441" s="50">
        <v>0</v>
      </c>
      <c r="H441" s="44">
        <v>11</v>
      </c>
      <c r="J441" s="15" t="s">
        <v>356</v>
      </c>
    </row>
    <row r="442" spans="1:10" s="42" customFormat="1" ht="15.75" x14ac:dyDescent="0.2">
      <c r="A442" s="14" t="s">
        <v>357</v>
      </c>
      <c r="B442" s="10">
        <f t="shared" si="71"/>
        <v>2176</v>
      </c>
      <c r="C442" s="10">
        <v>2134</v>
      </c>
      <c r="D442" s="44">
        <v>4</v>
      </c>
      <c r="E442" s="44">
        <v>7</v>
      </c>
      <c r="F442" s="50">
        <v>1</v>
      </c>
      <c r="G442" s="50">
        <v>1</v>
      </c>
      <c r="H442" s="44">
        <v>29</v>
      </c>
      <c r="J442" s="15" t="s">
        <v>358</v>
      </c>
    </row>
    <row r="443" spans="1:10" s="42" customFormat="1" ht="15.75" x14ac:dyDescent="0.2">
      <c r="A443" s="16" t="s">
        <v>359</v>
      </c>
      <c r="B443" s="10">
        <f t="shared" si="71"/>
        <v>1208</v>
      </c>
      <c r="C443" s="10">
        <v>1169</v>
      </c>
      <c r="D443" s="44">
        <v>9</v>
      </c>
      <c r="E443" s="44">
        <v>15</v>
      </c>
      <c r="F443" s="50">
        <v>0</v>
      </c>
      <c r="G443" s="50">
        <v>0</v>
      </c>
      <c r="H443" s="44">
        <v>15</v>
      </c>
      <c r="J443" s="15" t="s">
        <v>360</v>
      </c>
    </row>
    <row r="444" spans="1:10" s="42" customFormat="1" ht="15.75" x14ac:dyDescent="0.2">
      <c r="A444" s="16" t="s">
        <v>361</v>
      </c>
      <c r="B444" s="10">
        <f t="shared" si="71"/>
        <v>1307</v>
      </c>
      <c r="C444" s="10">
        <v>1246</v>
      </c>
      <c r="D444" s="44">
        <v>12</v>
      </c>
      <c r="E444" s="44">
        <v>16</v>
      </c>
      <c r="F444" s="50">
        <v>1</v>
      </c>
      <c r="G444" s="50">
        <v>1</v>
      </c>
      <c r="H444" s="44">
        <v>31</v>
      </c>
      <c r="J444" s="15" t="s">
        <v>362</v>
      </c>
    </row>
    <row r="445" spans="1:10" s="42" customFormat="1" ht="15.75" x14ac:dyDescent="0.2">
      <c r="A445" s="16" t="s">
        <v>281</v>
      </c>
      <c r="B445" s="10">
        <f t="shared" si="71"/>
        <v>664</v>
      </c>
      <c r="C445" s="10">
        <v>644</v>
      </c>
      <c r="D445" s="44">
        <v>4</v>
      </c>
      <c r="E445" s="44">
        <v>9</v>
      </c>
      <c r="F445" s="50">
        <v>1</v>
      </c>
      <c r="G445" s="50">
        <v>1</v>
      </c>
      <c r="H445" s="44">
        <v>5</v>
      </c>
      <c r="J445" s="15" t="s">
        <v>282</v>
      </c>
    </row>
    <row r="446" spans="1:10" s="42" customFormat="1" ht="15.75" x14ac:dyDescent="0.2">
      <c r="A446" s="16"/>
      <c r="B446" s="10"/>
      <c r="C446" s="52"/>
      <c r="D446" s="44"/>
      <c r="E446" s="44"/>
      <c r="F446" s="50"/>
      <c r="G446" s="50"/>
      <c r="H446" s="46"/>
      <c r="J446" s="15"/>
    </row>
    <row r="447" spans="1:10" s="51" customFormat="1" ht="15.75" x14ac:dyDescent="0.2">
      <c r="A447" s="56" t="s">
        <v>54</v>
      </c>
      <c r="B447" s="10">
        <f t="shared" ref="B447:B459" si="73">SUM(C447:H447)</f>
        <v>14968</v>
      </c>
      <c r="C447" s="10">
        <f>SUM(C448:C459)</f>
        <v>14567</v>
      </c>
      <c r="D447" s="38">
        <f t="shared" ref="D447:G447" si="74">SUM(D448:D459)</f>
        <v>75</v>
      </c>
      <c r="E447" s="38">
        <f t="shared" si="74"/>
        <v>113</v>
      </c>
      <c r="F447" s="38">
        <f t="shared" si="74"/>
        <v>3</v>
      </c>
      <c r="G447" s="38">
        <f t="shared" si="74"/>
        <v>6</v>
      </c>
      <c r="H447" s="38">
        <f>SUM(H448:H459)</f>
        <v>204</v>
      </c>
      <c r="J447" s="41" t="s">
        <v>55</v>
      </c>
    </row>
    <row r="448" spans="1:10" s="42" customFormat="1" ht="15.75" x14ac:dyDescent="0.2">
      <c r="A448" s="16" t="s">
        <v>363</v>
      </c>
      <c r="B448" s="10">
        <f t="shared" si="73"/>
        <v>1055</v>
      </c>
      <c r="C448" s="10">
        <v>1009</v>
      </c>
      <c r="D448" s="44">
        <v>10</v>
      </c>
      <c r="E448" s="44">
        <v>15</v>
      </c>
      <c r="F448" s="50">
        <v>0</v>
      </c>
      <c r="G448" s="50">
        <v>0</v>
      </c>
      <c r="H448" s="44">
        <v>21</v>
      </c>
      <c r="J448" s="15" t="s">
        <v>364</v>
      </c>
    </row>
    <row r="449" spans="1:21" s="42" customFormat="1" ht="15.75" x14ac:dyDescent="0.2">
      <c r="A449" s="16" t="s">
        <v>365</v>
      </c>
      <c r="B449" s="10">
        <f t="shared" si="73"/>
        <v>903</v>
      </c>
      <c r="C449" s="10">
        <v>880</v>
      </c>
      <c r="D449" s="44">
        <v>4</v>
      </c>
      <c r="E449" s="44">
        <v>9</v>
      </c>
      <c r="F449" s="50">
        <v>0</v>
      </c>
      <c r="G449" s="50">
        <v>0</v>
      </c>
      <c r="H449" s="44">
        <v>10</v>
      </c>
      <c r="J449" s="15" t="s">
        <v>366</v>
      </c>
    </row>
    <row r="450" spans="1:21" s="42" customFormat="1" ht="15.75" x14ac:dyDescent="0.2">
      <c r="A450" s="14" t="s">
        <v>367</v>
      </c>
      <c r="B450" s="10">
        <f t="shared" si="73"/>
        <v>963</v>
      </c>
      <c r="C450" s="10">
        <v>934</v>
      </c>
      <c r="D450" s="44">
        <v>2</v>
      </c>
      <c r="E450" s="44">
        <v>6</v>
      </c>
      <c r="F450" s="50">
        <v>0</v>
      </c>
      <c r="G450" s="50">
        <v>0</v>
      </c>
      <c r="H450" s="44">
        <v>21</v>
      </c>
      <c r="J450" s="15" t="s">
        <v>368</v>
      </c>
    </row>
    <row r="451" spans="1:21" s="42" customFormat="1" ht="15.75" x14ac:dyDescent="0.2">
      <c r="A451" s="14" t="s">
        <v>369</v>
      </c>
      <c r="B451" s="10">
        <f t="shared" si="73"/>
        <v>261</v>
      </c>
      <c r="C451" s="10">
        <v>244</v>
      </c>
      <c r="D451" s="44">
        <v>5</v>
      </c>
      <c r="E451" s="44">
        <v>8</v>
      </c>
      <c r="F451" s="50">
        <v>0</v>
      </c>
      <c r="G451" s="50">
        <v>0</v>
      </c>
      <c r="H451" s="44">
        <v>4</v>
      </c>
      <c r="J451" s="15" t="s">
        <v>370</v>
      </c>
    </row>
    <row r="452" spans="1:21" s="42" customFormat="1" ht="15.75" x14ac:dyDescent="0.2">
      <c r="A452" s="14" t="s">
        <v>371</v>
      </c>
      <c r="B452" s="10">
        <f t="shared" si="73"/>
        <v>773</v>
      </c>
      <c r="C452" s="10">
        <v>755</v>
      </c>
      <c r="D452" s="44">
        <v>6</v>
      </c>
      <c r="E452" s="44">
        <v>10</v>
      </c>
      <c r="F452" s="50">
        <v>0</v>
      </c>
      <c r="G452" s="50">
        <v>0</v>
      </c>
      <c r="H452" s="44">
        <v>2</v>
      </c>
      <c r="J452" s="15" t="s">
        <v>372</v>
      </c>
    </row>
    <row r="453" spans="1:21" s="42" customFormat="1" ht="15.75" x14ac:dyDescent="0.2">
      <c r="A453" s="14" t="s">
        <v>373</v>
      </c>
      <c r="B453" s="10">
        <f t="shared" si="73"/>
        <v>4107</v>
      </c>
      <c r="C453" s="10">
        <v>3976</v>
      </c>
      <c r="D453" s="44">
        <v>28</v>
      </c>
      <c r="E453" s="44">
        <v>29</v>
      </c>
      <c r="F453" s="50">
        <v>3</v>
      </c>
      <c r="G453" s="50">
        <v>6</v>
      </c>
      <c r="H453" s="44">
        <v>65</v>
      </c>
      <c r="J453" s="15" t="s">
        <v>374</v>
      </c>
    </row>
    <row r="454" spans="1:21" s="42" customFormat="1" ht="15.75" x14ac:dyDescent="0.2">
      <c r="A454" s="14" t="s">
        <v>375</v>
      </c>
      <c r="B454" s="10">
        <f t="shared" si="73"/>
        <v>1726</v>
      </c>
      <c r="C454" s="10">
        <v>1699</v>
      </c>
      <c r="D454" s="44">
        <v>3</v>
      </c>
      <c r="E454" s="44">
        <v>3</v>
      </c>
      <c r="F454" s="50">
        <v>0</v>
      </c>
      <c r="G454" s="50">
        <v>0</v>
      </c>
      <c r="H454" s="44">
        <v>21</v>
      </c>
      <c r="J454" s="15" t="s">
        <v>376</v>
      </c>
    </row>
    <row r="455" spans="1:21" s="42" customFormat="1" ht="15.75" x14ac:dyDescent="0.2">
      <c r="A455" s="14" t="s">
        <v>377</v>
      </c>
      <c r="B455" s="10">
        <f t="shared" si="73"/>
        <v>2006</v>
      </c>
      <c r="C455" s="10">
        <v>1982</v>
      </c>
      <c r="D455" s="44">
        <v>2</v>
      </c>
      <c r="E455" s="44">
        <v>4</v>
      </c>
      <c r="F455" s="50">
        <v>0</v>
      </c>
      <c r="G455" s="50">
        <v>0</v>
      </c>
      <c r="H455" s="44">
        <v>18</v>
      </c>
      <c r="J455" s="15" t="s">
        <v>378</v>
      </c>
    </row>
    <row r="456" spans="1:21" s="42" customFormat="1" ht="15.75" x14ac:dyDescent="0.2">
      <c r="A456" s="14" t="s">
        <v>379</v>
      </c>
      <c r="B456" s="10">
        <f t="shared" si="73"/>
        <v>380</v>
      </c>
      <c r="C456" s="10">
        <v>367</v>
      </c>
      <c r="D456" s="44">
        <v>1</v>
      </c>
      <c r="E456" s="44">
        <v>1</v>
      </c>
      <c r="F456" s="50">
        <v>0</v>
      </c>
      <c r="G456" s="50">
        <v>0</v>
      </c>
      <c r="H456" s="44">
        <v>11</v>
      </c>
      <c r="J456" s="15" t="s">
        <v>380</v>
      </c>
    </row>
    <row r="457" spans="1:21" s="42" customFormat="1" ht="15.75" x14ac:dyDescent="0.2">
      <c r="A457" s="14" t="s">
        <v>381</v>
      </c>
      <c r="B457" s="10">
        <f t="shared" si="73"/>
        <v>972</v>
      </c>
      <c r="C457" s="10">
        <v>956</v>
      </c>
      <c r="D457" s="44">
        <v>1</v>
      </c>
      <c r="E457" s="44">
        <v>2</v>
      </c>
      <c r="F457" s="50">
        <v>0</v>
      </c>
      <c r="G457" s="50">
        <v>0</v>
      </c>
      <c r="H457" s="44">
        <v>13</v>
      </c>
      <c r="J457" s="15" t="s">
        <v>382</v>
      </c>
    </row>
    <row r="458" spans="1:21" s="42" customFormat="1" ht="15.75" x14ac:dyDescent="0.2">
      <c r="A458" s="14" t="s">
        <v>383</v>
      </c>
      <c r="B458" s="10">
        <f t="shared" si="73"/>
        <v>1080</v>
      </c>
      <c r="C458" s="10">
        <v>1040</v>
      </c>
      <c r="D458" s="44">
        <v>10</v>
      </c>
      <c r="E458" s="44">
        <v>22</v>
      </c>
      <c r="F458" s="50">
        <v>0</v>
      </c>
      <c r="G458" s="50">
        <v>0</v>
      </c>
      <c r="H458" s="44">
        <v>8</v>
      </c>
      <c r="J458" s="15" t="s">
        <v>384</v>
      </c>
    </row>
    <row r="459" spans="1:21" s="42" customFormat="1" ht="15.75" x14ac:dyDescent="0.2">
      <c r="A459" s="16" t="s">
        <v>385</v>
      </c>
      <c r="B459" s="10">
        <f t="shared" si="73"/>
        <v>742</v>
      </c>
      <c r="C459" s="10">
        <v>725</v>
      </c>
      <c r="D459" s="44">
        <v>3</v>
      </c>
      <c r="E459" s="44">
        <v>4</v>
      </c>
      <c r="F459" s="50">
        <v>0</v>
      </c>
      <c r="G459" s="50">
        <v>0</v>
      </c>
      <c r="H459" s="44">
        <v>10</v>
      </c>
      <c r="J459" s="15" t="s">
        <v>386</v>
      </c>
    </row>
    <row r="460" spans="1:21" s="23" customFormat="1" ht="12.75" x14ac:dyDescent="0.2">
      <c r="A460" s="57"/>
      <c r="B460" s="58"/>
      <c r="C460" s="22"/>
      <c r="D460" s="44"/>
      <c r="E460" s="44"/>
      <c r="F460" s="44"/>
      <c r="G460" s="44"/>
      <c r="H460" s="46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</row>
    <row r="461" spans="1:21" s="23" customFormat="1" ht="15.75" x14ac:dyDescent="0.2">
      <c r="A461" s="12" t="s">
        <v>56</v>
      </c>
      <c r="B461" s="10">
        <f t="shared" ref="B461:B471" si="75">SUM(C461:H461)</f>
        <v>12627</v>
      </c>
      <c r="C461" s="10">
        <f>SUM(C462:C471)</f>
        <v>12163</v>
      </c>
      <c r="D461" s="38">
        <f t="shared" ref="D461:G461" si="76">SUM(D462:D471)</f>
        <v>70</v>
      </c>
      <c r="E461" s="38">
        <f t="shared" si="76"/>
        <v>137</v>
      </c>
      <c r="F461" s="38">
        <f t="shared" si="76"/>
        <v>5</v>
      </c>
      <c r="G461" s="38">
        <f t="shared" si="76"/>
        <v>5</v>
      </c>
      <c r="H461" s="38">
        <f>SUM(H462:H471)</f>
        <v>247</v>
      </c>
      <c r="J461" s="41" t="s">
        <v>57</v>
      </c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</row>
    <row r="462" spans="1:21" s="23" customFormat="1" ht="15.75" x14ac:dyDescent="0.2">
      <c r="A462" s="16" t="s">
        <v>387</v>
      </c>
      <c r="B462" s="10">
        <f t="shared" si="75"/>
        <v>1543</v>
      </c>
      <c r="C462" s="10">
        <v>1479</v>
      </c>
      <c r="D462" s="44">
        <v>16</v>
      </c>
      <c r="E462" s="44">
        <v>30</v>
      </c>
      <c r="F462" s="50">
        <v>0</v>
      </c>
      <c r="G462" s="50">
        <v>0</v>
      </c>
      <c r="H462" s="44">
        <v>18</v>
      </c>
      <c r="J462" s="15" t="s">
        <v>388</v>
      </c>
    </row>
    <row r="463" spans="1:21" s="23" customFormat="1" ht="15.75" x14ac:dyDescent="0.2">
      <c r="A463" s="16" t="s">
        <v>389</v>
      </c>
      <c r="B463" s="10">
        <f t="shared" si="75"/>
        <v>3188</v>
      </c>
      <c r="C463" s="10">
        <v>3094</v>
      </c>
      <c r="D463" s="44">
        <v>10</v>
      </c>
      <c r="E463" s="44">
        <v>20</v>
      </c>
      <c r="F463" s="50">
        <v>2</v>
      </c>
      <c r="G463" s="50">
        <v>2</v>
      </c>
      <c r="H463" s="44">
        <v>60</v>
      </c>
      <c r="J463" s="15" t="s">
        <v>390</v>
      </c>
    </row>
    <row r="464" spans="1:21" s="23" customFormat="1" ht="15.75" x14ac:dyDescent="0.2">
      <c r="A464" s="16" t="s">
        <v>381</v>
      </c>
      <c r="B464" s="10">
        <f t="shared" si="75"/>
        <v>1350</v>
      </c>
      <c r="C464" s="10">
        <v>1299</v>
      </c>
      <c r="D464" s="44">
        <v>6</v>
      </c>
      <c r="E464" s="44">
        <v>11</v>
      </c>
      <c r="F464" s="50">
        <v>0</v>
      </c>
      <c r="G464" s="50">
        <v>0</v>
      </c>
      <c r="H464" s="44">
        <v>34</v>
      </c>
      <c r="J464" s="15" t="s">
        <v>382</v>
      </c>
    </row>
    <row r="465" spans="1:10" s="23" customFormat="1" ht="15.75" x14ac:dyDescent="0.2">
      <c r="A465" s="16" t="s">
        <v>325</v>
      </c>
      <c r="B465" s="10">
        <f t="shared" si="75"/>
        <v>741</v>
      </c>
      <c r="C465" s="10">
        <v>715</v>
      </c>
      <c r="D465" s="44">
        <v>3</v>
      </c>
      <c r="E465" s="44">
        <v>7</v>
      </c>
      <c r="F465" s="50">
        <v>2</v>
      </c>
      <c r="G465" s="50">
        <v>2</v>
      </c>
      <c r="H465" s="44">
        <v>12</v>
      </c>
      <c r="J465" s="15" t="s">
        <v>326</v>
      </c>
    </row>
    <row r="466" spans="1:10" s="23" customFormat="1" ht="15.75" x14ac:dyDescent="0.2">
      <c r="A466" s="16" t="s">
        <v>391</v>
      </c>
      <c r="B466" s="10">
        <f t="shared" si="75"/>
        <v>1857</v>
      </c>
      <c r="C466" s="10">
        <v>1758</v>
      </c>
      <c r="D466" s="44">
        <v>9</v>
      </c>
      <c r="E466" s="44">
        <v>16</v>
      </c>
      <c r="F466" s="50">
        <v>0</v>
      </c>
      <c r="G466" s="50">
        <v>0</v>
      </c>
      <c r="H466" s="44">
        <v>74</v>
      </c>
      <c r="J466" s="15" t="s">
        <v>392</v>
      </c>
    </row>
    <row r="467" spans="1:10" s="23" customFormat="1" ht="15.75" x14ac:dyDescent="0.2">
      <c r="A467" s="16" t="s">
        <v>393</v>
      </c>
      <c r="B467" s="10">
        <f t="shared" si="75"/>
        <v>1073</v>
      </c>
      <c r="C467" s="10">
        <v>1048</v>
      </c>
      <c r="D467" s="44">
        <v>3</v>
      </c>
      <c r="E467" s="44">
        <v>5</v>
      </c>
      <c r="F467" s="50">
        <v>0</v>
      </c>
      <c r="G467" s="50">
        <v>0</v>
      </c>
      <c r="H467" s="44">
        <v>17</v>
      </c>
      <c r="J467" s="15" t="s">
        <v>394</v>
      </c>
    </row>
    <row r="468" spans="1:10" s="23" customFormat="1" ht="15.75" x14ac:dyDescent="0.2">
      <c r="A468" s="16" t="s">
        <v>395</v>
      </c>
      <c r="B468" s="10">
        <f t="shared" si="75"/>
        <v>450</v>
      </c>
      <c r="C468" s="10">
        <v>437</v>
      </c>
      <c r="D468" s="44">
        <v>3</v>
      </c>
      <c r="E468" s="44">
        <v>5</v>
      </c>
      <c r="F468" s="50">
        <v>0</v>
      </c>
      <c r="G468" s="50">
        <v>0</v>
      </c>
      <c r="H468" s="44">
        <v>5</v>
      </c>
      <c r="J468" s="15" t="s">
        <v>396</v>
      </c>
    </row>
    <row r="469" spans="1:10" s="23" customFormat="1" ht="15.75" x14ac:dyDescent="0.2">
      <c r="A469" s="16" t="s">
        <v>397</v>
      </c>
      <c r="B469" s="10">
        <f t="shared" si="75"/>
        <v>13</v>
      </c>
      <c r="C469" s="10">
        <v>12</v>
      </c>
      <c r="D469" s="44">
        <v>0</v>
      </c>
      <c r="E469" s="44">
        <v>0</v>
      </c>
      <c r="F469" s="50">
        <v>0</v>
      </c>
      <c r="G469" s="50">
        <v>0</v>
      </c>
      <c r="H469" s="44">
        <v>1</v>
      </c>
      <c r="J469" s="15" t="s">
        <v>398</v>
      </c>
    </row>
    <row r="470" spans="1:10" s="23" customFormat="1" ht="15.75" x14ac:dyDescent="0.2">
      <c r="A470" s="16" t="s">
        <v>399</v>
      </c>
      <c r="B470" s="10">
        <f t="shared" si="75"/>
        <v>1526</v>
      </c>
      <c r="C470" s="10">
        <v>1474</v>
      </c>
      <c r="D470" s="44">
        <v>10</v>
      </c>
      <c r="E470" s="44">
        <v>24</v>
      </c>
      <c r="F470" s="50">
        <v>1</v>
      </c>
      <c r="G470" s="50">
        <v>1</v>
      </c>
      <c r="H470" s="44">
        <v>16</v>
      </c>
      <c r="J470" s="15" t="s">
        <v>400</v>
      </c>
    </row>
    <row r="471" spans="1:10" s="23" customFormat="1" ht="15.75" x14ac:dyDescent="0.2">
      <c r="A471" s="16" t="s">
        <v>401</v>
      </c>
      <c r="B471" s="10">
        <f t="shared" si="75"/>
        <v>886</v>
      </c>
      <c r="C471" s="10">
        <v>847</v>
      </c>
      <c r="D471" s="44">
        <v>10</v>
      </c>
      <c r="E471" s="44">
        <v>19</v>
      </c>
      <c r="F471" s="50">
        <v>0</v>
      </c>
      <c r="G471" s="50">
        <v>0</v>
      </c>
      <c r="H471" s="44">
        <v>10</v>
      </c>
      <c r="J471" s="15" t="s">
        <v>402</v>
      </c>
    </row>
    <row r="472" spans="1:10" s="23" customFormat="1" ht="15.75" x14ac:dyDescent="0.2">
      <c r="A472" s="16"/>
      <c r="B472" s="10"/>
      <c r="C472" s="52"/>
      <c r="D472" s="44"/>
      <c r="E472" s="44"/>
      <c r="F472" s="50"/>
      <c r="G472" s="50"/>
      <c r="H472" s="46"/>
      <c r="J472" s="15"/>
    </row>
    <row r="473" spans="1:10" s="59" customFormat="1" ht="15.75" x14ac:dyDescent="0.2">
      <c r="A473" s="56" t="s">
        <v>58</v>
      </c>
      <c r="B473" s="10">
        <f t="shared" ref="B473:B482" si="77">SUM(C473:H473)</f>
        <v>18100</v>
      </c>
      <c r="C473" s="10">
        <f>SUM(C474:C482)</f>
        <v>17520</v>
      </c>
      <c r="D473" s="38">
        <f t="shared" ref="D473:G473" si="78">SUM(D474:D482)</f>
        <v>87</v>
      </c>
      <c r="E473" s="38">
        <f t="shared" si="78"/>
        <v>179</v>
      </c>
      <c r="F473" s="38">
        <f t="shared" si="78"/>
        <v>7</v>
      </c>
      <c r="G473" s="38">
        <f t="shared" si="78"/>
        <v>12</v>
      </c>
      <c r="H473" s="38">
        <f>SUM(H474:H482)</f>
        <v>295</v>
      </c>
      <c r="J473" s="41" t="s">
        <v>59</v>
      </c>
    </row>
    <row r="474" spans="1:10" s="59" customFormat="1" ht="15.75" x14ac:dyDescent="0.2">
      <c r="A474" s="16" t="s">
        <v>403</v>
      </c>
      <c r="B474" s="10">
        <f t="shared" si="77"/>
        <v>1732</v>
      </c>
      <c r="C474" s="10">
        <v>1644</v>
      </c>
      <c r="D474" s="44">
        <v>14</v>
      </c>
      <c r="E474" s="44">
        <v>29</v>
      </c>
      <c r="F474" s="50">
        <v>0</v>
      </c>
      <c r="G474" s="50">
        <v>0</v>
      </c>
      <c r="H474" s="44">
        <v>45</v>
      </c>
      <c r="J474" s="15" t="s">
        <v>404</v>
      </c>
    </row>
    <row r="475" spans="1:10" s="59" customFormat="1" ht="15.75" x14ac:dyDescent="0.2">
      <c r="A475" s="16" t="s">
        <v>405</v>
      </c>
      <c r="B475" s="10">
        <f t="shared" si="77"/>
        <v>1153</v>
      </c>
      <c r="C475" s="10">
        <v>1120</v>
      </c>
      <c r="D475" s="44">
        <v>5</v>
      </c>
      <c r="E475" s="44">
        <v>8</v>
      </c>
      <c r="F475" s="50">
        <v>0</v>
      </c>
      <c r="G475" s="50">
        <v>0</v>
      </c>
      <c r="H475" s="44">
        <v>20</v>
      </c>
      <c r="J475" s="15" t="s">
        <v>406</v>
      </c>
    </row>
    <row r="476" spans="1:10" s="59" customFormat="1" ht="15.75" x14ac:dyDescent="0.2">
      <c r="A476" s="16" t="s">
        <v>407</v>
      </c>
      <c r="B476" s="10">
        <f t="shared" si="77"/>
        <v>1008</v>
      </c>
      <c r="C476" s="10">
        <v>932</v>
      </c>
      <c r="D476" s="44">
        <v>16</v>
      </c>
      <c r="E476" s="44">
        <v>34</v>
      </c>
      <c r="F476" s="50">
        <v>1</v>
      </c>
      <c r="G476" s="50">
        <v>1</v>
      </c>
      <c r="H476" s="44">
        <v>24</v>
      </c>
      <c r="J476" s="15" t="s">
        <v>408</v>
      </c>
    </row>
    <row r="477" spans="1:10" s="59" customFormat="1" ht="15.75" x14ac:dyDescent="0.2">
      <c r="A477" s="16" t="s">
        <v>409</v>
      </c>
      <c r="B477" s="10">
        <f t="shared" si="77"/>
        <v>2673</v>
      </c>
      <c r="C477" s="10">
        <v>2592</v>
      </c>
      <c r="D477" s="44">
        <v>17</v>
      </c>
      <c r="E477" s="44">
        <v>30</v>
      </c>
      <c r="F477" s="50">
        <v>2</v>
      </c>
      <c r="G477" s="50">
        <v>2</v>
      </c>
      <c r="H477" s="44">
        <v>30</v>
      </c>
      <c r="J477" s="15" t="s">
        <v>410</v>
      </c>
    </row>
    <row r="478" spans="1:10" s="59" customFormat="1" ht="15.75" x14ac:dyDescent="0.2">
      <c r="A478" s="16" t="s">
        <v>411</v>
      </c>
      <c r="B478" s="10">
        <f t="shared" si="77"/>
        <v>1227</v>
      </c>
      <c r="C478" s="10">
        <v>1203</v>
      </c>
      <c r="D478" s="44">
        <v>5</v>
      </c>
      <c r="E478" s="44">
        <v>8</v>
      </c>
      <c r="F478" s="50">
        <v>0</v>
      </c>
      <c r="G478" s="50">
        <v>0</v>
      </c>
      <c r="H478" s="44">
        <v>11</v>
      </c>
      <c r="J478" s="15" t="s">
        <v>412</v>
      </c>
    </row>
    <row r="479" spans="1:10" s="23" customFormat="1" ht="15.75" x14ac:dyDescent="0.2">
      <c r="A479" s="14" t="s">
        <v>183</v>
      </c>
      <c r="B479" s="10">
        <f t="shared" si="77"/>
        <v>1246</v>
      </c>
      <c r="C479" s="10">
        <v>1197</v>
      </c>
      <c r="D479" s="44">
        <v>8</v>
      </c>
      <c r="E479" s="44">
        <v>19</v>
      </c>
      <c r="F479" s="50">
        <v>0</v>
      </c>
      <c r="G479" s="50">
        <v>0</v>
      </c>
      <c r="H479" s="44">
        <v>22</v>
      </c>
      <c r="J479" s="15" t="s">
        <v>184</v>
      </c>
    </row>
    <row r="480" spans="1:10" s="23" customFormat="1" ht="15.75" x14ac:dyDescent="0.2">
      <c r="A480" s="14" t="s">
        <v>413</v>
      </c>
      <c r="B480" s="10">
        <f t="shared" si="77"/>
        <v>1283</v>
      </c>
      <c r="C480" s="10">
        <v>1259</v>
      </c>
      <c r="D480" s="44">
        <v>5</v>
      </c>
      <c r="E480" s="44">
        <v>16</v>
      </c>
      <c r="F480" s="50">
        <v>0</v>
      </c>
      <c r="G480" s="50">
        <v>0</v>
      </c>
      <c r="H480" s="44">
        <v>3</v>
      </c>
      <c r="J480" s="15" t="s">
        <v>414</v>
      </c>
    </row>
    <row r="481" spans="1:10" s="23" customFormat="1" ht="15.75" x14ac:dyDescent="0.2">
      <c r="A481" s="14" t="s">
        <v>415</v>
      </c>
      <c r="B481" s="10">
        <f t="shared" si="77"/>
        <v>1413</v>
      </c>
      <c r="C481" s="10">
        <v>1375</v>
      </c>
      <c r="D481" s="44">
        <v>3</v>
      </c>
      <c r="E481" s="44">
        <v>6</v>
      </c>
      <c r="F481" s="50">
        <v>1</v>
      </c>
      <c r="G481" s="50">
        <v>1</v>
      </c>
      <c r="H481" s="44">
        <v>27</v>
      </c>
      <c r="J481" s="15" t="s">
        <v>416</v>
      </c>
    </row>
    <row r="482" spans="1:10" s="23" customFormat="1" ht="15.75" x14ac:dyDescent="0.2">
      <c r="A482" s="14" t="s">
        <v>297</v>
      </c>
      <c r="B482" s="10">
        <f t="shared" si="77"/>
        <v>6365</v>
      </c>
      <c r="C482" s="10">
        <v>6198</v>
      </c>
      <c r="D482" s="44">
        <v>14</v>
      </c>
      <c r="E482" s="44">
        <v>29</v>
      </c>
      <c r="F482" s="50">
        <v>3</v>
      </c>
      <c r="G482" s="50">
        <v>8</v>
      </c>
      <c r="H482" s="44">
        <v>113</v>
      </c>
      <c r="J482" s="15" t="s">
        <v>298</v>
      </c>
    </row>
    <row r="483" spans="1:10" s="23" customFormat="1" ht="12.75" x14ac:dyDescent="0.2">
      <c r="A483" s="16"/>
      <c r="B483" s="47"/>
      <c r="C483" s="52"/>
      <c r="D483" s="44"/>
      <c r="E483" s="44"/>
      <c r="F483" s="44"/>
      <c r="G483" s="44"/>
      <c r="H483" s="46"/>
      <c r="J483" s="42"/>
    </row>
    <row r="484" spans="1:10" s="23" customFormat="1" ht="15.75" x14ac:dyDescent="0.2">
      <c r="A484" s="56" t="s">
        <v>60</v>
      </c>
      <c r="B484" s="10">
        <f>SUM(C484:H484)</f>
        <v>10649</v>
      </c>
      <c r="C484" s="10">
        <f>SUM(C485)</f>
        <v>10203</v>
      </c>
      <c r="D484" s="38">
        <f t="shared" ref="D484:G484" si="79">SUM(D485)</f>
        <v>60</v>
      </c>
      <c r="E484" s="38">
        <f t="shared" si="79"/>
        <v>127</v>
      </c>
      <c r="F484" s="38">
        <f t="shared" si="79"/>
        <v>10</v>
      </c>
      <c r="G484" s="38">
        <f t="shared" si="79"/>
        <v>21</v>
      </c>
      <c r="H484" s="38">
        <f>SUM(H485)</f>
        <v>228</v>
      </c>
      <c r="J484" s="41" t="s">
        <v>61</v>
      </c>
    </row>
    <row r="485" spans="1:10" s="23" customFormat="1" ht="15.75" x14ac:dyDescent="0.2">
      <c r="A485" s="16" t="s">
        <v>417</v>
      </c>
      <c r="B485" s="10">
        <f>SUM(C485:H485)</f>
        <v>10649</v>
      </c>
      <c r="C485" s="10">
        <v>10203</v>
      </c>
      <c r="D485" s="44">
        <v>60</v>
      </c>
      <c r="E485" s="44">
        <v>127</v>
      </c>
      <c r="F485" s="50">
        <v>10</v>
      </c>
      <c r="G485" s="50">
        <v>21</v>
      </c>
      <c r="H485" s="44">
        <v>228</v>
      </c>
      <c r="J485" s="15" t="s">
        <v>418</v>
      </c>
    </row>
    <row r="486" spans="1:10" s="23" customFormat="1" ht="12.75" x14ac:dyDescent="0.2">
      <c r="A486" s="16"/>
      <c r="B486" s="47"/>
      <c r="C486" s="52"/>
      <c r="D486" s="44"/>
      <c r="E486" s="44"/>
      <c r="F486" s="44"/>
      <c r="G486" s="44"/>
      <c r="H486" s="46"/>
      <c r="J486" s="42"/>
    </row>
    <row r="487" spans="1:10" s="23" customFormat="1" ht="15.75" x14ac:dyDescent="0.2">
      <c r="A487" s="56" t="s">
        <v>62</v>
      </c>
      <c r="B487" s="10">
        <f t="shared" ref="B487:B493" si="80">SUM(C487:H487)</f>
        <v>28245</v>
      </c>
      <c r="C487" s="10">
        <f>SUM(C488:C493)</f>
        <v>27303</v>
      </c>
      <c r="D487" s="38">
        <f t="shared" ref="D487:G487" si="81">SUM(D488:D493)</f>
        <v>174</v>
      </c>
      <c r="E487" s="38">
        <f t="shared" si="81"/>
        <v>334</v>
      </c>
      <c r="F487" s="38">
        <f t="shared" si="81"/>
        <v>7</v>
      </c>
      <c r="G487" s="38">
        <f t="shared" si="81"/>
        <v>10</v>
      </c>
      <c r="H487" s="38">
        <f>SUM(H488:H493)</f>
        <v>417</v>
      </c>
      <c r="J487" s="41" t="s">
        <v>63</v>
      </c>
    </row>
    <row r="488" spans="1:10" s="23" customFormat="1" ht="15.75" x14ac:dyDescent="0.2">
      <c r="A488" s="16" t="s">
        <v>207</v>
      </c>
      <c r="B488" s="10">
        <f t="shared" si="80"/>
        <v>2446</v>
      </c>
      <c r="C488" s="10">
        <v>2408</v>
      </c>
      <c r="D488" s="44">
        <v>1</v>
      </c>
      <c r="E488" s="44">
        <v>2</v>
      </c>
      <c r="F488" s="50">
        <v>0</v>
      </c>
      <c r="G488" s="50">
        <v>0</v>
      </c>
      <c r="H488" s="44">
        <v>35</v>
      </c>
      <c r="J488" s="15" t="s">
        <v>208</v>
      </c>
    </row>
    <row r="489" spans="1:10" s="23" customFormat="1" ht="15.75" x14ac:dyDescent="0.2">
      <c r="A489" s="16" t="s">
        <v>383</v>
      </c>
      <c r="B489" s="10">
        <f t="shared" si="80"/>
        <v>13343</v>
      </c>
      <c r="C489" s="10">
        <v>12828</v>
      </c>
      <c r="D489" s="44">
        <v>93</v>
      </c>
      <c r="E489" s="44">
        <v>188</v>
      </c>
      <c r="F489" s="50">
        <v>4</v>
      </c>
      <c r="G489" s="50">
        <v>5</v>
      </c>
      <c r="H489" s="44">
        <v>225</v>
      </c>
      <c r="J489" s="15" t="s">
        <v>384</v>
      </c>
    </row>
    <row r="490" spans="1:10" s="23" customFormat="1" ht="15.75" x14ac:dyDescent="0.2">
      <c r="A490" s="16" t="s">
        <v>419</v>
      </c>
      <c r="B490" s="10">
        <f t="shared" si="80"/>
        <v>3073</v>
      </c>
      <c r="C490" s="10">
        <v>3008</v>
      </c>
      <c r="D490" s="44">
        <v>3</v>
      </c>
      <c r="E490" s="44">
        <v>7</v>
      </c>
      <c r="F490" s="50">
        <v>0</v>
      </c>
      <c r="G490" s="50">
        <v>0</v>
      </c>
      <c r="H490" s="44">
        <v>55</v>
      </c>
      <c r="J490" s="15" t="s">
        <v>420</v>
      </c>
    </row>
    <row r="491" spans="1:10" s="23" customFormat="1" ht="15.75" x14ac:dyDescent="0.2">
      <c r="A491" s="16" t="s">
        <v>133</v>
      </c>
      <c r="B491" s="10">
        <f t="shared" si="80"/>
        <v>4649</v>
      </c>
      <c r="C491" s="10">
        <v>4460</v>
      </c>
      <c r="D491" s="44">
        <v>49</v>
      </c>
      <c r="E491" s="44">
        <v>84</v>
      </c>
      <c r="F491" s="50">
        <v>3</v>
      </c>
      <c r="G491" s="50">
        <v>5</v>
      </c>
      <c r="H491" s="44">
        <v>48</v>
      </c>
      <c r="J491" s="15" t="s">
        <v>134</v>
      </c>
    </row>
    <row r="492" spans="1:10" s="23" customFormat="1" ht="15.75" x14ac:dyDescent="0.2">
      <c r="A492" s="16" t="s">
        <v>421</v>
      </c>
      <c r="B492" s="10">
        <f t="shared" si="80"/>
        <v>1632</v>
      </c>
      <c r="C492" s="10">
        <v>1564</v>
      </c>
      <c r="D492" s="44">
        <v>13</v>
      </c>
      <c r="E492" s="44">
        <v>24</v>
      </c>
      <c r="F492" s="50">
        <v>0</v>
      </c>
      <c r="G492" s="50">
        <v>0</v>
      </c>
      <c r="H492" s="44">
        <v>31</v>
      </c>
      <c r="J492" s="15" t="s">
        <v>422</v>
      </c>
    </row>
    <row r="493" spans="1:10" s="23" customFormat="1" ht="15.75" x14ac:dyDescent="0.2">
      <c r="A493" s="17" t="s">
        <v>423</v>
      </c>
      <c r="B493" s="60">
        <f t="shared" si="80"/>
        <v>3102</v>
      </c>
      <c r="C493" s="60">
        <v>3035</v>
      </c>
      <c r="D493" s="73">
        <v>15</v>
      </c>
      <c r="E493" s="73">
        <v>29</v>
      </c>
      <c r="F493" s="73">
        <v>0</v>
      </c>
      <c r="G493" s="73">
        <v>0</v>
      </c>
      <c r="H493" s="73">
        <v>23</v>
      </c>
      <c r="I493" s="116"/>
      <c r="J493" s="18" t="s">
        <v>424</v>
      </c>
    </row>
    <row r="494" spans="1:10" s="67" customFormat="1" ht="16.5" x14ac:dyDescent="0.2">
      <c r="A494" s="61" t="s">
        <v>425</v>
      </c>
      <c r="B494" s="62"/>
      <c r="C494" s="63"/>
      <c r="D494" s="64"/>
      <c r="E494" s="64"/>
      <c r="F494" s="64"/>
      <c r="G494" s="64"/>
      <c r="H494" s="65"/>
      <c r="J494" s="66" t="s">
        <v>426</v>
      </c>
    </row>
    <row r="495" spans="1:10" s="67" customFormat="1" ht="16.5" x14ac:dyDescent="0.2">
      <c r="A495" s="61" t="s">
        <v>427</v>
      </c>
      <c r="B495" s="62"/>
      <c r="D495" s="68"/>
      <c r="E495" s="68"/>
      <c r="F495" s="68"/>
      <c r="G495" s="68"/>
      <c r="H495" s="69"/>
      <c r="J495" s="66" t="s">
        <v>428</v>
      </c>
    </row>
    <row r="496" spans="1:10" s="67" customFormat="1" ht="16.5" x14ac:dyDescent="0.2">
      <c r="A496" s="61" t="s">
        <v>429</v>
      </c>
      <c r="B496" s="62"/>
      <c r="D496" s="68"/>
      <c r="E496" s="68"/>
      <c r="F496" s="68"/>
      <c r="G496" s="68"/>
      <c r="H496" s="69"/>
      <c r="J496" s="66" t="s">
        <v>430</v>
      </c>
    </row>
    <row r="497" spans="1:10" s="67" customFormat="1" ht="17.25" x14ac:dyDescent="0.45">
      <c r="A497" s="3" t="s">
        <v>436</v>
      </c>
      <c r="J497" s="2" t="s">
        <v>435</v>
      </c>
    </row>
    <row r="498" spans="1:10" s="86" customFormat="1" ht="16.5" x14ac:dyDescent="0.2">
      <c r="A498" s="84" t="s">
        <v>64</v>
      </c>
      <c r="B498" s="85"/>
      <c r="D498" s="87"/>
      <c r="E498" s="87"/>
      <c r="F498" s="87"/>
      <c r="G498" s="87"/>
      <c r="H498" s="88"/>
      <c r="J498" s="89" t="s">
        <v>65</v>
      </c>
    </row>
    <row r="499" spans="1:10" x14ac:dyDescent="0.25">
      <c r="H499" s="76"/>
    </row>
    <row r="500" spans="1:10" x14ac:dyDescent="0.25">
      <c r="H500" s="76"/>
      <c r="I500" s="1"/>
    </row>
    <row r="501" spans="1:10" x14ac:dyDescent="0.25">
      <c r="H501" s="76"/>
      <c r="I501" s="1"/>
    </row>
    <row r="502" spans="1:10" x14ac:dyDescent="0.25">
      <c r="H502" s="76"/>
      <c r="I502" s="1"/>
    </row>
    <row r="503" spans="1:10" x14ac:dyDescent="0.25">
      <c r="H503" s="76"/>
      <c r="I503" s="1"/>
    </row>
    <row r="504" spans="1:10" x14ac:dyDescent="0.25">
      <c r="H504" s="76"/>
      <c r="I504" s="1"/>
    </row>
    <row r="505" spans="1:10" x14ac:dyDescent="0.25">
      <c r="H505" s="76"/>
      <c r="I505" s="1"/>
    </row>
    <row r="506" spans="1:10" x14ac:dyDescent="0.25">
      <c r="H506" s="76"/>
      <c r="I506" s="1"/>
    </row>
    <row r="507" spans="1:10" x14ac:dyDescent="0.25">
      <c r="H507" s="76"/>
      <c r="I507" s="1"/>
    </row>
    <row r="508" spans="1:10" x14ac:dyDescent="0.25">
      <c r="H508" s="76"/>
      <c r="I508" s="1"/>
    </row>
    <row r="509" spans="1:10" x14ac:dyDescent="0.25">
      <c r="H509" s="76"/>
      <c r="I509" s="1"/>
    </row>
    <row r="510" spans="1:10" x14ac:dyDescent="0.25">
      <c r="H510" s="76"/>
      <c r="I510" s="1"/>
    </row>
    <row r="511" spans="1:10" x14ac:dyDescent="0.25">
      <c r="H511" s="76"/>
      <c r="I511" s="1"/>
    </row>
    <row r="512" spans="1:10" x14ac:dyDescent="0.25">
      <c r="H512" s="76"/>
      <c r="I512" s="1"/>
    </row>
    <row r="513" spans="8:9" x14ac:dyDescent="0.25">
      <c r="H513" s="76"/>
      <c r="I513" s="1"/>
    </row>
    <row r="514" spans="8:9" x14ac:dyDescent="0.25">
      <c r="H514" s="76"/>
      <c r="I514" s="1"/>
    </row>
    <row r="515" spans="8:9" x14ac:dyDescent="0.25">
      <c r="H515" s="76"/>
      <c r="I515" s="1"/>
    </row>
    <row r="516" spans="8:9" x14ac:dyDescent="0.25">
      <c r="H516" s="76"/>
      <c r="I516" s="1"/>
    </row>
    <row r="517" spans="8:9" x14ac:dyDescent="0.25">
      <c r="H517" s="76"/>
      <c r="I517" s="1"/>
    </row>
    <row r="518" spans="8:9" x14ac:dyDescent="0.25">
      <c r="H518" s="76"/>
      <c r="I518" s="1"/>
    </row>
    <row r="519" spans="8:9" x14ac:dyDescent="0.25">
      <c r="H519" s="76"/>
      <c r="I519" s="1"/>
    </row>
    <row r="520" spans="8:9" x14ac:dyDescent="0.25">
      <c r="H520" s="76"/>
      <c r="I520" s="1"/>
    </row>
    <row r="521" spans="8:9" x14ac:dyDescent="0.25">
      <c r="H521" s="76"/>
      <c r="I521" s="1"/>
    </row>
    <row r="522" spans="8:9" x14ac:dyDescent="0.25">
      <c r="H522" s="76"/>
      <c r="I522" s="1"/>
    </row>
    <row r="523" spans="8:9" x14ac:dyDescent="0.25">
      <c r="H523" s="76"/>
      <c r="I523" s="1"/>
    </row>
    <row r="524" spans="8:9" x14ac:dyDescent="0.25">
      <c r="H524" s="76"/>
      <c r="I524" s="1"/>
    </row>
    <row r="525" spans="8:9" x14ac:dyDescent="0.25">
      <c r="H525" s="76"/>
      <c r="I525" s="1"/>
    </row>
    <row r="526" spans="8:9" x14ac:dyDescent="0.25">
      <c r="H526" s="76"/>
      <c r="I526" s="1"/>
    </row>
    <row r="527" spans="8:9" x14ac:dyDescent="0.25">
      <c r="H527" s="76"/>
      <c r="I527" s="1"/>
    </row>
    <row r="528" spans="8:9" x14ac:dyDescent="0.25">
      <c r="H528" s="76"/>
      <c r="I528" s="1"/>
    </row>
    <row r="529" spans="8:9" x14ac:dyDescent="0.25">
      <c r="H529" s="76"/>
      <c r="I529" s="1"/>
    </row>
    <row r="530" spans="8:9" x14ac:dyDescent="0.25">
      <c r="H530" s="76"/>
      <c r="I530" s="1"/>
    </row>
    <row r="531" spans="8:9" x14ac:dyDescent="0.25">
      <c r="H531" s="76"/>
      <c r="I531" s="1"/>
    </row>
    <row r="532" spans="8:9" x14ac:dyDescent="0.25">
      <c r="H532" s="76"/>
      <c r="I532" s="1"/>
    </row>
    <row r="533" spans="8:9" x14ac:dyDescent="0.25">
      <c r="H533" s="76"/>
      <c r="I533" s="1"/>
    </row>
    <row r="534" spans="8:9" x14ac:dyDescent="0.25">
      <c r="H534" s="76"/>
      <c r="I534" s="1"/>
    </row>
    <row r="535" spans="8:9" x14ac:dyDescent="0.25">
      <c r="H535" s="76"/>
      <c r="I535" s="1"/>
    </row>
    <row r="536" spans="8:9" x14ac:dyDescent="0.25">
      <c r="H536" s="76"/>
      <c r="I536" s="1"/>
    </row>
    <row r="537" spans="8:9" x14ac:dyDescent="0.25">
      <c r="H537" s="76"/>
      <c r="I537" s="1"/>
    </row>
    <row r="538" spans="8:9" x14ac:dyDescent="0.25">
      <c r="H538" s="76"/>
      <c r="I538" s="1"/>
    </row>
    <row r="539" spans="8:9" x14ac:dyDescent="0.25">
      <c r="H539" s="76"/>
      <c r="I539" s="1"/>
    </row>
    <row r="540" spans="8:9" x14ac:dyDescent="0.25">
      <c r="H540" s="76"/>
      <c r="I540" s="1"/>
    </row>
    <row r="541" spans="8:9" x14ac:dyDescent="0.25">
      <c r="H541" s="76"/>
      <c r="I541" s="1"/>
    </row>
    <row r="542" spans="8:9" x14ac:dyDescent="0.25">
      <c r="H542" s="76"/>
      <c r="I542" s="1"/>
    </row>
    <row r="543" spans="8:9" x14ac:dyDescent="0.25">
      <c r="H543" s="76"/>
      <c r="I543" s="1"/>
    </row>
    <row r="544" spans="8:9" x14ac:dyDescent="0.25">
      <c r="H544" s="76"/>
      <c r="I544" s="1"/>
    </row>
    <row r="545" spans="8:9" x14ac:dyDescent="0.25">
      <c r="H545" s="76"/>
      <c r="I545" s="1"/>
    </row>
    <row r="546" spans="8:9" x14ac:dyDescent="0.25">
      <c r="H546" s="76"/>
      <c r="I546" s="1"/>
    </row>
    <row r="547" spans="8:9" x14ac:dyDescent="0.25">
      <c r="H547" s="76"/>
      <c r="I547" s="1"/>
    </row>
    <row r="548" spans="8:9" x14ac:dyDescent="0.25">
      <c r="H548" s="76"/>
      <c r="I548" s="1"/>
    </row>
    <row r="549" spans="8:9" x14ac:dyDescent="0.25">
      <c r="H549" s="76"/>
      <c r="I549" s="1"/>
    </row>
    <row r="550" spans="8:9" x14ac:dyDescent="0.25">
      <c r="H550" s="76"/>
      <c r="I550" s="1"/>
    </row>
    <row r="551" spans="8:9" x14ac:dyDescent="0.25">
      <c r="H551" s="76"/>
      <c r="I551" s="1"/>
    </row>
    <row r="552" spans="8:9" x14ac:dyDescent="0.25">
      <c r="H552" s="76"/>
      <c r="I552" s="1"/>
    </row>
    <row r="553" spans="8:9" x14ac:dyDescent="0.25">
      <c r="H553" s="76"/>
      <c r="I553" s="1"/>
    </row>
    <row r="554" spans="8:9" x14ac:dyDescent="0.25">
      <c r="H554" s="76"/>
      <c r="I554" s="1"/>
    </row>
    <row r="555" spans="8:9" x14ac:dyDescent="0.25">
      <c r="H555" s="76"/>
      <c r="I555" s="1"/>
    </row>
    <row r="556" spans="8:9" x14ac:dyDescent="0.25">
      <c r="H556" s="76"/>
      <c r="I556" s="1"/>
    </row>
    <row r="557" spans="8:9" x14ac:dyDescent="0.25">
      <c r="H557" s="76"/>
      <c r="I557" s="1"/>
    </row>
    <row r="558" spans="8:9" x14ac:dyDescent="0.25">
      <c r="H558" s="76"/>
      <c r="I558" s="1"/>
    </row>
    <row r="559" spans="8:9" x14ac:dyDescent="0.25">
      <c r="H559" s="76"/>
      <c r="I559" s="1"/>
    </row>
    <row r="560" spans="8:9" x14ac:dyDescent="0.25">
      <c r="H560" s="76"/>
      <c r="I560" s="1"/>
    </row>
    <row r="561" spans="8:9" x14ac:dyDescent="0.25">
      <c r="H561" s="76"/>
      <c r="I561" s="1"/>
    </row>
    <row r="562" spans="8:9" x14ac:dyDescent="0.25">
      <c r="H562" s="76"/>
      <c r="I562" s="1"/>
    </row>
    <row r="563" spans="8:9" x14ac:dyDescent="0.25">
      <c r="H563" s="76"/>
      <c r="I563" s="1"/>
    </row>
    <row r="564" spans="8:9" x14ac:dyDescent="0.25">
      <c r="H564" s="76"/>
      <c r="I564" s="1"/>
    </row>
    <row r="565" spans="8:9" x14ac:dyDescent="0.25">
      <c r="H565" s="76"/>
      <c r="I565" s="1"/>
    </row>
    <row r="566" spans="8:9" x14ac:dyDescent="0.25">
      <c r="H566" s="76"/>
      <c r="I566" s="1"/>
    </row>
    <row r="567" spans="8:9" x14ac:dyDescent="0.25">
      <c r="H567" s="76"/>
      <c r="I567" s="1"/>
    </row>
    <row r="568" spans="8:9" x14ac:dyDescent="0.25">
      <c r="H568" s="76"/>
      <c r="I568" s="1"/>
    </row>
    <row r="569" spans="8:9" x14ac:dyDescent="0.25">
      <c r="H569" s="76"/>
      <c r="I569" s="1"/>
    </row>
    <row r="570" spans="8:9" x14ac:dyDescent="0.25">
      <c r="H570" s="76"/>
      <c r="I570" s="1"/>
    </row>
    <row r="571" spans="8:9" x14ac:dyDescent="0.25">
      <c r="H571" s="76"/>
      <c r="I571" s="1"/>
    </row>
    <row r="572" spans="8:9" x14ac:dyDescent="0.25">
      <c r="H572" s="76"/>
      <c r="I572" s="1"/>
    </row>
    <row r="573" spans="8:9" x14ac:dyDescent="0.25">
      <c r="H573" s="76"/>
      <c r="I573" s="1"/>
    </row>
    <row r="574" spans="8:9" x14ac:dyDescent="0.25">
      <c r="H574" s="76"/>
      <c r="I574" s="1"/>
    </row>
    <row r="575" spans="8:9" x14ac:dyDescent="0.25">
      <c r="H575" s="76"/>
      <c r="I575" s="1"/>
    </row>
    <row r="576" spans="8:9" x14ac:dyDescent="0.25">
      <c r="H576" s="76"/>
      <c r="I576" s="1"/>
    </row>
    <row r="577" spans="8:9" x14ac:dyDescent="0.25">
      <c r="H577" s="76"/>
      <c r="I577" s="1"/>
    </row>
    <row r="578" spans="8:9" x14ac:dyDescent="0.25">
      <c r="H578" s="76"/>
      <c r="I578" s="1"/>
    </row>
    <row r="579" spans="8:9" x14ac:dyDescent="0.25">
      <c r="H579" s="76"/>
      <c r="I579" s="1"/>
    </row>
    <row r="580" spans="8:9" x14ac:dyDescent="0.25">
      <c r="H580" s="76"/>
      <c r="I580" s="1"/>
    </row>
    <row r="581" spans="8:9" x14ac:dyDescent="0.25">
      <c r="H581" s="76"/>
      <c r="I581" s="1"/>
    </row>
    <row r="582" spans="8:9" x14ac:dyDescent="0.25">
      <c r="H582" s="76"/>
      <c r="I582" s="1"/>
    </row>
    <row r="583" spans="8:9" x14ac:dyDescent="0.25">
      <c r="H583" s="76"/>
      <c r="I583" s="1"/>
    </row>
    <row r="584" spans="8:9" x14ac:dyDescent="0.25">
      <c r="H584" s="76"/>
      <c r="I584" s="1"/>
    </row>
    <row r="585" spans="8:9" x14ac:dyDescent="0.25">
      <c r="H585" s="76"/>
      <c r="I585" s="1"/>
    </row>
    <row r="586" spans="8:9" x14ac:dyDescent="0.25">
      <c r="H586" s="76"/>
      <c r="I586" s="1"/>
    </row>
    <row r="587" spans="8:9" x14ac:dyDescent="0.25">
      <c r="H587" s="76"/>
      <c r="I587" s="1"/>
    </row>
    <row r="588" spans="8:9" x14ac:dyDescent="0.25">
      <c r="H588" s="76"/>
      <c r="I588" s="1"/>
    </row>
    <row r="589" spans="8:9" x14ac:dyDescent="0.25">
      <c r="H589" s="76"/>
      <c r="I589" s="1"/>
    </row>
    <row r="590" spans="8:9" x14ac:dyDescent="0.25">
      <c r="H590" s="76"/>
      <c r="I590" s="1"/>
    </row>
    <row r="591" spans="8:9" x14ac:dyDescent="0.25">
      <c r="H591" s="76"/>
      <c r="I591" s="1"/>
    </row>
    <row r="592" spans="8:9" x14ac:dyDescent="0.25">
      <c r="H592" s="76"/>
      <c r="I592" s="1"/>
    </row>
    <row r="593" spans="8:9" x14ac:dyDescent="0.25">
      <c r="H593" s="76"/>
      <c r="I593" s="1"/>
    </row>
    <row r="594" spans="8:9" x14ac:dyDescent="0.25">
      <c r="H594" s="76"/>
      <c r="I594" s="1"/>
    </row>
    <row r="595" spans="8:9" x14ac:dyDescent="0.25">
      <c r="H595" s="76"/>
      <c r="I595" s="1"/>
    </row>
    <row r="596" spans="8:9" x14ac:dyDescent="0.25">
      <c r="H596" s="76"/>
      <c r="I596" s="1"/>
    </row>
    <row r="597" spans="8:9" x14ac:dyDescent="0.25">
      <c r="H597" s="76"/>
      <c r="I597" s="1"/>
    </row>
    <row r="598" spans="8:9" x14ac:dyDescent="0.25">
      <c r="H598" s="76"/>
      <c r="I598" s="1"/>
    </row>
    <row r="599" spans="8:9" x14ac:dyDescent="0.25">
      <c r="H599" s="76"/>
      <c r="I599" s="1"/>
    </row>
    <row r="600" spans="8:9" x14ac:dyDescent="0.25">
      <c r="H600" s="76"/>
      <c r="I600" s="1"/>
    </row>
    <row r="601" spans="8:9" x14ac:dyDescent="0.25">
      <c r="H601" s="76"/>
      <c r="I601" s="1"/>
    </row>
    <row r="602" spans="8:9" x14ac:dyDescent="0.25">
      <c r="H602" s="76"/>
      <c r="I602" s="1"/>
    </row>
    <row r="603" spans="8:9" x14ac:dyDescent="0.25">
      <c r="H603" s="76"/>
      <c r="I603" s="1"/>
    </row>
    <row r="604" spans="8:9" x14ac:dyDescent="0.25">
      <c r="H604" s="76"/>
      <c r="I604" s="1"/>
    </row>
    <row r="605" spans="8:9" x14ac:dyDescent="0.25">
      <c r="H605" s="76"/>
      <c r="I605" s="1"/>
    </row>
    <row r="606" spans="8:9" x14ac:dyDescent="0.25">
      <c r="H606" s="76"/>
      <c r="I606" s="1"/>
    </row>
    <row r="607" spans="8:9" x14ac:dyDescent="0.25">
      <c r="H607" s="76"/>
      <c r="I607" s="1"/>
    </row>
    <row r="608" spans="8:9" x14ac:dyDescent="0.25">
      <c r="H608" s="76"/>
      <c r="I608" s="1"/>
    </row>
    <row r="609" spans="8:9" x14ac:dyDescent="0.25">
      <c r="H609" s="76"/>
      <c r="I609" s="1"/>
    </row>
    <row r="610" spans="8:9" x14ac:dyDescent="0.25">
      <c r="H610" s="76"/>
      <c r="I610" s="1"/>
    </row>
    <row r="611" spans="8:9" x14ac:dyDescent="0.25">
      <c r="H611" s="76"/>
      <c r="I611" s="1"/>
    </row>
    <row r="612" spans="8:9" x14ac:dyDescent="0.25">
      <c r="H612" s="76"/>
      <c r="I612" s="1"/>
    </row>
    <row r="613" spans="8:9" x14ac:dyDescent="0.25">
      <c r="H613" s="76"/>
      <c r="I613" s="1"/>
    </row>
    <row r="614" spans="8:9" x14ac:dyDescent="0.25">
      <c r="H614" s="76"/>
      <c r="I614" s="1"/>
    </row>
    <row r="615" spans="8:9" x14ac:dyDescent="0.25">
      <c r="H615" s="76"/>
      <c r="I615" s="1"/>
    </row>
    <row r="616" spans="8:9" x14ac:dyDescent="0.25">
      <c r="H616" s="76"/>
      <c r="I616" s="1"/>
    </row>
    <row r="617" spans="8:9" x14ac:dyDescent="0.25">
      <c r="H617" s="76"/>
      <c r="I617" s="1"/>
    </row>
    <row r="618" spans="8:9" x14ac:dyDescent="0.25">
      <c r="H618" s="76"/>
      <c r="I618" s="1"/>
    </row>
    <row r="619" spans="8:9" x14ac:dyDescent="0.25">
      <c r="H619" s="76"/>
      <c r="I619" s="1"/>
    </row>
    <row r="620" spans="8:9" x14ac:dyDescent="0.25">
      <c r="H620" s="76"/>
      <c r="I620" s="1"/>
    </row>
    <row r="621" spans="8:9" x14ac:dyDescent="0.25">
      <c r="H621" s="76"/>
      <c r="I621" s="1"/>
    </row>
    <row r="622" spans="8:9" x14ac:dyDescent="0.25">
      <c r="H622" s="76"/>
      <c r="I622" s="1"/>
    </row>
    <row r="623" spans="8:9" x14ac:dyDescent="0.25">
      <c r="H623" s="76"/>
      <c r="I623" s="1"/>
    </row>
    <row r="624" spans="8:9" x14ac:dyDescent="0.25">
      <c r="H624" s="76"/>
      <c r="I624" s="1"/>
    </row>
    <row r="625" spans="8:9" x14ac:dyDescent="0.25">
      <c r="H625" s="76"/>
      <c r="I625" s="1"/>
    </row>
    <row r="626" spans="8:9" x14ac:dyDescent="0.25">
      <c r="H626" s="76"/>
      <c r="I626" s="1"/>
    </row>
    <row r="627" spans="8:9" x14ac:dyDescent="0.25">
      <c r="H627" s="76"/>
      <c r="I627" s="1"/>
    </row>
    <row r="628" spans="8:9" x14ac:dyDescent="0.25">
      <c r="H628" s="76"/>
      <c r="I628" s="1"/>
    </row>
    <row r="629" spans="8:9" x14ac:dyDescent="0.25">
      <c r="H629" s="76"/>
      <c r="I629" s="1"/>
    </row>
    <row r="630" spans="8:9" x14ac:dyDescent="0.25">
      <c r="H630" s="76"/>
      <c r="I630" s="1"/>
    </row>
    <row r="631" spans="8:9" x14ac:dyDescent="0.25">
      <c r="H631" s="76"/>
      <c r="I631" s="1"/>
    </row>
    <row r="632" spans="8:9" x14ac:dyDescent="0.25">
      <c r="H632" s="76"/>
      <c r="I632" s="1"/>
    </row>
    <row r="633" spans="8:9" x14ac:dyDescent="0.25">
      <c r="H633" s="76"/>
      <c r="I633" s="1"/>
    </row>
    <row r="634" spans="8:9" x14ac:dyDescent="0.25">
      <c r="H634" s="76"/>
      <c r="I634" s="1"/>
    </row>
    <row r="635" spans="8:9" x14ac:dyDescent="0.25">
      <c r="H635" s="76"/>
      <c r="I635" s="1"/>
    </row>
    <row r="636" spans="8:9" x14ac:dyDescent="0.25">
      <c r="H636" s="76"/>
      <c r="I636" s="1"/>
    </row>
    <row r="637" spans="8:9" x14ac:dyDescent="0.25">
      <c r="H637" s="76"/>
      <c r="I637" s="1"/>
    </row>
    <row r="638" spans="8:9" x14ac:dyDescent="0.25">
      <c r="H638" s="76"/>
      <c r="I638" s="1"/>
    </row>
    <row r="639" spans="8:9" x14ac:dyDescent="0.25">
      <c r="H639" s="76"/>
      <c r="I639" s="1"/>
    </row>
    <row r="640" spans="8:9" x14ac:dyDescent="0.25">
      <c r="H640" s="76"/>
      <c r="I640" s="1"/>
    </row>
    <row r="641" spans="8:9" x14ac:dyDescent="0.25">
      <c r="H641" s="76"/>
      <c r="I641" s="1"/>
    </row>
    <row r="642" spans="8:9" x14ac:dyDescent="0.25">
      <c r="H642" s="76"/>
      <c r="I642" s="1"/>
    </row>
    <row r="643" spans="8:9" x14ac:dyDescent="0.25">
      <c r="H643" s="76"/>
      <c r="I643" s="1"/>
    </row>
    <row r="644" spans="8:9" x14ac:dyDescent="0.25">
      <c r="H644" s="76"/>
      <c r="I644" s="1"/>
    </row>
    <row r="645" spans="8:9" x14ac:dyDescent="0.25">
      <c r="H645" s="76"/>
      <c r="I645" s="1"/>
    </row>
    <row r="646" spans="8:9" x14ac:dyDescent="0.25">
      <c r="H646" s="76"/>
      <c r="I646" s="1"/>
    </row>
    <row r="647" spans="8:9" x14ac:dyDescent="0.25">
      <c r="H647" s="76"/>
      <c r="I647" s="1"/>
    </row>
    <row r="648" spans="8:9" x14ac:dyDescent="0.25">
      <c r="H648" s="76"/>
      <c r="I648" s="1"/>
    </row>
    <row r="649" spans="8:9" x14ac:dyDescent="0.25">
      <c r="H649" s="76"/>
      <c r="I649" s="1"/>
    </row>
    <row r="650" spans="8:9" x14ac:dyDescent="0.25">
      <c r="H650" s="76"/>
      <c r="I650" s="1"/>
    </row>
    <row r="651" spans="8:9" x14ac:dyDescent="0.25">
      <c r="H651" s="76"/>
      <c r="I651" s="1"/>
    </row>
    <row r="652" spans="8:9" x14ac:dyDescent="0.25">
      <c r="H652" s="76"/>
      <c r="I652" s="1"/>
    </row>
    <row r="653" spans="8:9" x14ac:dyDescent="0.25">
      <c r="H653" s="76"/>
      <c r="I653" s="1"/>
    </row>
    <row r="654" spans="8:9" x14ac:dyDescent="0.25">
      <c r="H654" s="76"/>
      <c r="I654" s="1"/>
    </row>
    <row r="655" spans="8:9" x14ac:dyDescent="0.25">
      <c r="H655" s="76"/>
      <c r="I655" s="1"/>
    </row>
    <row r="656" spans="8:9" x14ac:dyDescent="0.25">
      <c r="H656" s="76"/>
      <c r="I656" s="1"/>
    </row>
    <row r="657" spans="8:9" x14ac:dyDescent="0.25">
      <c r="H657" s="76"/>
      <c r="I657" s="1"/>
    </row>
    <row r="658" spans="8:9" x14ac:dyDescent="0.25">
      <c r="H658" s="76"/>
      <c r="I658" s="1"/>
    </row>
    <row r="659" spans="8:9" x14ac:dyDescent="0.25">
      <c r="H659" s="76"/>
      <c r="I659" s="1"/>
    </row>
    <row r="660" spans="8:9" x14ac:dyDescent="0.25">
      <c r="H660" s="76"/>
      <c r="I660" s="1"/>
    </row>
    <row r="661" spans="8:9" x14ac:dyDescent="0.25">
      <c r="H661" s="76"/>
      <c r="I661" s="1"/>
    </row>
    <row r="662" spans="8:9" x14ac:dyDescent="0.25">
      <c r="H662" s="76"/>
      <c r="I662" s="1"/>
    </row>
    <row r="663" spans="8:9" x14ac:dyDescent="0.25">
      <c r="H663" s="76"/>
      <c r="I663" s="1"/>
    </row>
    <row r="664" spans="8:9" x14ac:dyDescent="0.25">
      <c r="H664" s="76"/>
      <c r="I664" s="1"/>
    </row>
    <row r="665" spans="8:9" x14ac:dyDescent="0.25">
      <c r="H665" s="76"/>
      <c r="I665" s="1"/>
    </row>
  </sheetData>
  <mergeCells count="24">
    <mergeCell ref="B253:B257"/>
    <mergeCell ref="C253:C254"/>
    <mergeCell ref="D253:E254"/>
    <mergeCell ref="F253:G254"/>
    <mergeCell ref="A251:I251"/>
    <mergeCell ref="A252:I252"/>
    <mergeCell ref="J253:J257"/>
    <mergeCell ref="D255:E255"/>
    <mergeCell ref="F255:G255"/>
    <mergeCell ref="H256:H257"/>
    <mergeCell ref="H253:H255"/>
    <mergeCell ref="A2:J2"/>
    <mergeCell ref="A3:J3"/>
    <mergeCell ref="B4:B8"/>
    <mergeCell ref="C4:C5"/>
    <mergeCell ref="D4:E5"/>
    <mergeCell ref="F4:G5"/>
    <mergeCell ref="H4:H5"/>
    <mergeCell ref="I4:I5"/>
    <mergeCell ref="J4:J8"/>
    <mergeCell ref="D6:E6"/>
    <mergeCell ref="F6:G6"/>
    <mergeCell ref="H6:H8"/>
    <mergeCell ref="I6:I8"/>
  </mergeCells>
  <pageMargins left="0.7" right="0.7" top="0.75" bottom="0.75" header="0.3" footer="0.3"/>
  <pageSetup paperSize="9" scale="68" orientation="landscape" r:id="rId1"/>
  <rowBreaks count="13" manualBreakCount="13">
    <brk id="41" max="9" man="1"/>
    <brk id="74" max="9" man="1"/>
    <brk id="111" max="9" man="1"/>
    <brk id="147" max="9" man="1"/>
    <brk id="181" max="9" man="1"/>
    <brk id="211" max="9" man="1"/>
    <brk id="248" max="9" man="1"/>
    <brk id="287" max="9" man="1"/>
    <brk id="323" max="9" man="1"/>
    <brk id="363" max="9" man="1"/>
    <brk id="396" max="9" man="1"/>
    <brk id="430" max="9" man="1"/>
    <brk id="45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18.17</vt:lpstr>
      <vt:lpstr>'18.17'!Print_Area</vt:lpstr>
      <vt:lpstr>'18.17'!Print_Titles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2016-09-28T08:40:08Z</cp:lastPrinted>
  <dcterms:created xsi:type="dcterms:W3CDTF">2013-03-14T06:06:17Z</dcterms:created>
  <dcterms:modified xsi:type="dcterms:W3CDTF">2016-09-28T08:40:13Z</dcterms:modified>
</cp:coreProperties>
</file>