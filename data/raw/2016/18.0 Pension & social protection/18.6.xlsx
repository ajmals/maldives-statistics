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225" windowWidth="6975" windowHeight="4110" tabRatio="857"/>
  </bookViews>
  <sheets>
    <sheet name="18.6" sheetId="12" r:id="rId1"/>
  </sheets>
  <externalReferences>
    <externalReference r:id="rId2"/>
  </externalReferences>
  <definedNames>
    <definedName name="_xlnm.Print_Area" localSheetId="0">'18.6'!$A$1:$U$34</definedName>
  </definedNames>
  <calcPr calcId="144525"/>
</workbook>
</file>

<file path=xl/calcChain.xml><?xml version="1.0" encoding="utf-8"?>
<calcChain xmlns="http://schemas.openxmlformats.org/spreadsheetml/2006/main">
  <c r="N18" i="12" l="1"/>
  <c r="N17" i="12"/>
  <c r="N16" i="12"/>
  <c r="N15" i="12"/>
  <c r="N14" i="12"/>
  <c r="N13" i="12"/>
  <c r="N12" i="12"/>
  <c r="N11" i="12"/>
  <c r="N10" i="12"/>
  <c r="N9" i="12"/>
  <c r="N8" i="12"/>
  <c r="N7" i="12"/>
  <c r="H18" i="12" l="1"/>
  <c r="H17" i="12"/>
  <c r="H16" i="12"/>
  <c r="H15" i="12"/>
  <c r="H14" i="12"/>
  <c r="H13" i="12"/>
  <c r="H12" i="12"/>
  <c r="H11" i="12"/>
  <c r="H10" i="12"/>
  <c r="H9" i="12"/>
  <c r="H8" i="12"/>
  <c r="H7" i="12"/>
  <c r="B18" i="12" l="1"/>
  <c r="B17" i="12"/>
  <c r="B16" i="12"/>
  <c r="B15" i="12"/>
  <c r="B14" i="12"/>
  <c r="B13" i="12"/>
  <c r="B12" i="12"/>
  <c r="B11" i="12"/>
  <c r="B10" i="12"/>
  <c r="B9" i="12"/>
  <c r="B8" i="12"/>
  <c r="B7" i="12"/>
</calcChain>
</file>

<file path=xl/sharedStrings.xml><?xml version="1.0" encoding="utf-8"?>
<sst xmlns="http://schemas.openxmlformats.org/spreadsheetml/2006/main" count="56" uniqueCount="42">
  <si>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</si>
  <si>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</si>
  <si>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</si>
  <si>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</si>
  <si>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</si>
  <si>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</si>
  <si>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</si>
  <si>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</si>
  <si>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</si>
  <si>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</si>
  <si>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</si>
  <si>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</si>
  <si>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</si>
  <si>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</si>
  <si>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>55-64</t>
  </si>
  <si>
    <t>65-69</t>
  </si>
  <si>
    <t>70-74</t>
  </si>
  <si>
    <t>Source: Maldives Pension Administration</t>
  </si>
  <si>
    <t>މަސް</t>
  </si>
  <si>
    <t>ޖެނުއަރީ</t>
  </si>
  <si>
    <t>ފެބްރުއަރީ</t>
  </si>
  <si>
    <t>މާޗް</t>
  </si>
  <si>
    <t>އޭޕްރީލް</t>
  </si>
  <si>
    <t>މެއި</t>
  </si>
  <si>
    <t>ޖޫން</t>
  </si>
  <si>
    <t>ޖުލައި</t>
  </si>
  <si>
    <t>އޮގަސްޓް</t>
  </si>
  <si>
    <t>ސެޕްޓެމްބަރ</t>
  </si>
  <si>
    <t>އޮކްޓޫބަރ</t>
  </si>
  <si>
    <t>ޑިސެމްބަރ</t>
  </si>
  <si>
    <t>ނޮވެމްބަރ</t>
  </si>
  <si>
    <r>
      <t xml:space="preserve">Age Groups   </t>
    </r>
    <r>
      <rPr>
        <b/>
        <sz val="11"/>
        <color theme="1"/>
        <rFont val="Faruma"/>
      </rPr>
      <t>ޢުމުރުފުރާ</t>
    </r>
    <r>
      <rPr>
        <b/>
        <sz val="11"/>
        <color theme="1"/>
        <rFont val="Calibri"/>
        <family val="2"/>
        <scheme val="minor"/>
      </rPr>
      <t xml:space="preserve"> </t>
    </r>
  </si>
  <si>
    <t>މަޢުލޫމާތު ދެއްވި ފަރާތް: މޯލްޑިވްސް ޕެންޝަން އެޑްމިނިސްޓްރޭޝަން</t>
  </si>
  <si>
    <t>75 +</t>
  </si>
  <si>
    <t>&lt; 55</t>
  </si>
  <si>
    <t>TABLE   18.6: NUMBER OF BENEFICIARIES OF OTHER PENSION SCHEMES BY AGE, 2013 - 2015</t>
  </si>
  <si>
    <t>ތާވަލު  18.6 :އެހެނިހެން ޕެންޝަން ލިބޭ މީހުންގެ އަދަދު އަދި ޢުމުރުފުރާތައް، 2013 - 2015</t>
  </si>
  <si>
    <t>65-69 yrs</t>
  </si>
  <si>
    <t>70-74 yrs</t>
  </si>
  <si>
    <t>&lt; 55 yrs</t>
  </si>
  <si>
    <t>55-64 yrs</t>
  </si>
  <si>
    <t>75 yrs and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</si>
</sst>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Faruma"/>
    </font>
    <font>
      <b/>
      <sz val="11"/>
      <color theme="1"/>
      <name val="Faruma"/>
    </font>
    <font>
      <sz val="10"/>
      <name val="Arial"/>
      <family val="2"/>
    </font>
    <font>
      <i/>
      <sz val="9"/>
      <color theme="1"/>
      <name val="Calibri"/>
      <family val="2"/>
      <scheme val="minor"/>
    </font>
    <font>
      <sz val="9"/>
      <color theme="1"/>
      <name val="Faruma"/>
    </font>
    <font>
      <sz val="10"/>
      <name val="Courier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8" fillId="0" borderId="0"/>
  </cellStyleXfs>
  <cellXfs count="38">
    <xf numFmtId="0" fontId="0" fillId="0" borderId="0" xfId="0"/>
    <xf numFmtId="0" fontId="0" fillId="2" borderId="0" xfId="0" applyFill="1"/>
    <xf numFmtId="0" fontId="0" fillId="2" borderId="0" xfId="0" applyFill="1" applyBorder="1"/>
    <xf numFmtId="164" fontId="0" fillId="2" borderId="0" xfId="1" applyNumberFormat="1" applyFont="1" applyFill="1" applyBorder="1"/>
    <xf numFmtId="164" fontId="0" fillId="2" borderId="2" xfId="1" applyNumberFormat="1" applyFont="1" applyFill="1" applyBorder="1"/>
    <xf numFmtId="0" fontId="0" fillId="2" borderId="0" xfId="0" applyFill="1" applyAlignment="1">
      <alignment vertical="center"/>
    </xf>
    <xf numFmtId="14" fontId="0" fillId="2" borderId="0" xfId="0" applyNumberFormat="1" applyFill="1"/>
    <xf numFmtId="0" fontId="0" fillId="2" borderId="0" xfId="0" applyFill="1" applyBorder="1" applyAlignment="1">
      <alignment vertical="center"/>
    </xf>
    <xf numFmtId="164" fontId="0" fillId="2" borderId="4" xfId="1" applyNumberFormat="1" applyFont="1" applyFill="1" applyBorder="1"/>
    <xf numFmtId="164" fontId="0" fillId="2" borderId="5" xfId="1" applyNumberFormat="1" applyFont="1" applyFill="1" applyBorder="1"/>
    <xf numFmtId="165" fontId="0" fillId="2" borderId="0" xfId="0" applyNumberFormat="1" applyFill="1"/>
    <xf numFmtId="0" fontId="2" fillId="2" borderId="10" xfId="0" applyFont="1" applyFill="1" applyBorder="1" applyAlignment="1">
      <alignment horizontal="right" vertical="center"/>
    </xf>
    <xf numFmtId="0" fontId="0" fillId="2" borderId="0" xfId="0" applyFill="1" applyAlignment="1">
      <alignment horizontal="left" vertical="center" indent="1"/>
    </xf>
    <xf numFmtId="0" fontId="0" fillId="2" borderId="2" xfId="0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right" vertical="center" indent="1"/>
    </xf>
    <xf numFmtId="0" fontId="3" fillId="2" borderId="2" xfId="0" applyFont="1" applyFill="1" applyBorder="1" applyAlignment="1">
      <alignment horizontal="right" vertical="center" indent="1"/>
    </xf>
    <xf numFmtId="0" fontId="6" fillId="2" borderId="0" xfId="0" applyFont="1" applyFill="1"/>
    <xf numFmtId="0" fontId="7" fillId="2" borderId="0" xfId="0" applyFont="1" applyFill="1"/>
    <xf numFmtId="164" fontId="0" fillId="2" borderId="11" xfId="1" applyNumberFormat="1" applyFont="1" applyFill="1" applyBorder="1"/>
    <xf numFmtId="164" fontId="0" fillId="2" borderId="6" xfId="1" applyNumberFormat="1" applyFont="1" applyFill="1" applyBorder="1"/>
    <xf numFmtId="0" fontId="2" fillId="2" borderId="14" xfId="0" applyFont="1" applyFill="1" applyBorder="1" applyAlignment="1">
      <alignment horizontal="right" vertical="center"/>
    </xf>
    <xf numFmtId="0" fontId="0" fillId="2" borderId="0" xfId="0" applyFill="1" applyAlignment="1">
      <alignment wrapText="1"/>
    </xf>
    <xf numFmtId="0" fontId="2" fillId="2" borderId="9" xfId="0" applyFont="1" applyFill="1" applyBorder="1" applyAlignment="1">
      <alignment horizontal="right" vertical="center"/>
    </xf>
    <xf numFmtId="164" fontId="2" fillId="2" borderId="0" xfId="1" applyNumberFormat="1" applyFont="1" applyFill="1" applyBorder="1" applyAlignment="1">
      <alignment horizontal="right"/>
    </xf>
    <xf numFmtId="0" fontId="4" fillId="2" borderId="0" xfId="0" applyFont="1" applyFill="1" applyAlignment="1">
      <alignment horizontal="center"/>
    </xf>
    <xf numFmtId="0" fontId="4" fillId="2" borderId="3" xfId="0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7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colors>
    <mruColors>
      <color rgb="FF1C706E"/>
      <color rgb="FF28B2AF"/>
      <color rgb="FFD4F5F4"/>
      <color rgb="FF8DE5E3"/>
      <color rgb="FF33CCCC"/>
      <color rgb="FFA7EBE9"/>
      <color rgb="FF9933FF"/>
      <color rgb="FF9900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1930407478312411"/>
          <c:y val="0.20400185270958776"/>
          <c:w val="0.38297033827027982"/>
          <c:h val="0.78022765289053897"/>
        </c:manualLayout>
      </c:layout>
      <c:doughnutChart>
        <c:varyColors val="1"/>
        <c:ser>
          <c:idx val="0"/>
          <c:order val="0"/>
          <c:spPr>
            <a:solidFill>
              <a:srgbClr val="7030A0"/>
            </a:solidFill>
          </c:spPr>
          <c:explosion val="6"/>
          <c:dPt>
            <c:idx val="0"/>
            <c:bubble3D val="0"/>
            <c:spPr>
              <a:solidFill>
                <a:srgbClr val="1C706E"/>
              </a:solidFill>
            </c:spPr>
          </c:dPt>
          <c:dPt>
            <c:idx val="1"/>
            <c:bubble3D val="0"/>
            <c:spPr>
              <a:solidFill>
                <a:srgbClr val="33CCCC"/>
              </a:solidFill>
            </c:spPr>
          </c:dPt>
          <c:dPt>
            <c:idx val="2"/>
            <c:bubble3D val="0"/>
            <c:spPr>
              <a:solidFill>
                <a:srgbClr val="28B2AF"/>
              </a:solidFill>
            </c:spPr>
          </c:dPt>
          <c:dPt>
            <c:idx val="3"/>
            <c:bubble3D val="0"/>
            <c:spPr>
              <a:solidFill>
                <a:srgbClr val="8DE5E3"/>
              </a:solidFill>
            </c:spPr>
          </c:dPt>
          <c:dPt>
            <c:idx val="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</c:spPr>
          </c:dPt>
          <c:dLbls>
            <c:dLbl>
              <c:idx val="0"/>
              <c:layout>
                <c:manualLayout>
                  <c:x val="-1.0609174870435119E-2"/>
                  <c:y val="-6.459488229605971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4.4403681482846182E-3"/>
                  <c:y val="-7.5168003380382403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-1.3881657468299677E-3"/>
                  <c:y val="5.5916075506041623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3"/>
              <c:layout>
                <c:manualLayout>
                  <c:x val="4.773592009035493E-3"/>
                  <c:y val="3.9267692157675333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txPr>
              <a:bodyPr/>
              <a:lstStyle/>
              <a:p>
                <a:pPr>
                  <a:defRPr b="1">
                    <a:solidFill>
                      <a:schemeClr val="tx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'18.6'!$AF$26:$AJ$26</c:f>
              <c:strCache>
                <c:ptCount val="5"/>
                <c:pt idx="0">
                  <c:v>&lt; 55 yrs</c:v>
                </c:pt>
                <c:pt idx="1">
                  <c:v>55-64 yrs</c:v>
                </c:pt>
                <c:pt idx="2">
                  <c:v>65-69 yrs</c:v>
                </c:pt>
                <c:pt idx="3">
                  <c:v>70-74 yrs</c:v>
                </c:pt>
                <c:pt idx="4">
                  <c:v>75 yrs and over</c:v>
                </c:pt>
              </c:strCache>
            </c:strRef>
          </c:cat>
          <c:val>
            <c:numRef>
              <c:f>'18.6'!$AF$27:$AJ$27</c:f>
              <c:numCache>
                <c:formatCode>General</c:formatCode>
                <c:ptCount val="5"/>
                <c:pt idx="0">
                  <c:v>33.604074889867839</c:v>
                </c:pt>
                <c:pt idx="1">
                  <c:v>21.930066079295155</c:v>
                </c:pt>
                <c:pt idx="2">
                  <c:v>12.802863436123349</c:v>
                </c:pt>
                <c:pt idx="3">
                  <c:v>12.844162995594713</c:v>
                </c:pt>
                <c:pt idx="4">
                  <c:v>18.818832599118942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ln>
          <a:noFill/>
        </a:ln>
      </c:spPr>
    </c:plotArea>
    <c:plotVisOnly val="1"/>
    <c:dispBlanksAs val="zero"/>
    <c:showDLblsOverMax val="0"/>
  </c:chart>
  <c:spPr>
    <a:solidFill>
      <a:schemeClr val="bg1"/>
    </a:solidFill>
  </c:spPr>
  <c:printSettings>
    <c:headerFooter/>
    <c:pageMargins b="0.750000000000004" l="0.70000000000000062" r="0.70000000000000062" t="0.750000000000004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19</xdr:row>
      <xdr:rowOff>66675</xdr:rowOff>
    </xdr:from>
    <xdr:to>
      <xdr:col>12</xdr:col>
      <xdr:colOff>412750</xdr:colOff>
      <xdr:row>33</xdr:row>
      <xdr:rowOff>209550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390525</xdr:colOff>
      <xdr:row>21</xdr:row>
      <xdr:rowOff>107950</xdr:rowOff>
    </xdr:from>
    <xdr:to>
      <xdr:col>12</xdr:col>
      <xdr:colOff>95250</xdr:colOff>
      <xdr:row>21</xdr:row>
      <xdr:rowOff>107950</xdr:rowOff>
    </xdr:to>
    <xdr:sp macro="" textlink="">
      <xdr:nvSpPr>
        <xdr:cNvPr id="6" name="Line 4"/>
        <xdr:cNvSpPr>
          <a:spLocks noChangeShapeType="1"/>
        </xdr:cNvSpPr>
      </xdr:nvSpPr>
      <xdr:spPr bwMode="auto">
        <a:xfrm>
          <a:off x="3219450" y="5022850"/>
          <a:ext cx="5419725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0.07111</cdr:x>
      <cdr:y>0.04626</cdr:y>
    </cdr:from>
    <cdr:to>
      <cdr:x>0.97481</cdr:x>
      <cdr:y>0.13622</cdr:y>
    </cdr:to>
    <cdr:sp macro="" textlink="">
      <cdr:nvSpPr>
        <cdr:cNvPr id="2" name="TextBox 9"/>
        <cdr:cNvSpPr txBox="1"/>
      </cdr:nvSpPr>
      <cdr:spPr>
        <a:xfrm xmlns:a="http://schemas.openxmlformats.org/drawingml/2006/main">
          <a:off x="443872" y="142316"/>
          <a:ext cx="5640941" cy="276784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algn="ctr" rtl="0"/>
          <a:r>
            <a:rPr lang="en-US" sz="1100" b="1" i="0" baseline="0">
              <a:solidFill>
                <a:sysClr val="windowText" lastClr="000000"/>
              </a:solidFill>
              <a:latin typeface="Consolas" pitchFamily="49" charset="0"/>
              <a:ea typeface="+mn-ea"/>
              <a:cs typeface="Consolas" pitchFamily="49" charset="0"/>
            </a:rPr>
            <a:t>Figure 18.8: Percentage of beneficiaries under basic pension scheme by age group, 2015</a:t>
          </a:r>
          <a:endParaRPr lang="en-US"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hifaza\AppData\Local\Microsoft\Windows\INetCache\Content.Outlook\ODPSUPO0\Documents%20and%20Settings\f.shifaza\Application%20Data\Microsoft\Excel\18.%20SOCIAL%20PROTECTION%20_%2029%20July%20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8.1 "/>
      <sheetName val="18.2 "/>
      <sheetName val="Figures"/>
      <sheetName val="18.3"/>
      <sheetName val="18.4"/>
      <sheetName val="18.5 new"/>
      <sheetName val="18.6"/>
      <sheetName val="18.7"/>
      <sheetName val="18.8"/>
      <sheetName val="18.9"/>
      <sheetName val="18.10"/>
      <sheetName val="Sheet1"/>
      <sheetName val="18.11"/>
      <sheetName val="18.12"/>
      <sheetName val="18.13"/>
      <sheetName val="18.14"/>
      <sheetName val="18.15"/>
      <sheetName val="18.16"/>
      <sheetName val="18.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C5">
            <v>2010</v>
          </cell>
          <cell r="D5">
            <v>2011</v>
          </cell>
          <cell r="E5">
            <v>2012</v>
          </cell>
        </row>
        <row r="7">
          <cell r="A7" t="str">
            <v>January</v>
          </cell>
          <cell r="D7">
            <v>13828</v>
          </cell>
          <cell r="E7">
            <v>18448</v>
          </cell>
        </row>
        <row r="8">
          <cell r="A8" t="str">
            <v>February</v>
          </cell>
          <cell r="D8">
            <v>13973</v>
          </cell>
          <cell r="E8">
            <v>18752</v>
          </cell>
        </row>
        <row r="9">
          <cell r="A9" t="str">
            <v>March</v>
          </cell>
          <cell r="D9">
            <v>14118</v>
          </cell>
          <cell r="E9">
            <v>18955</v>
          </cell>
        </row>
        <row r="10">
          <cell r="A10" t="str">
            <v>April</v>
          </cell>
          <cell r="D10">
            <v>14339</v>
          </cell>
          <cell r="E10">
            <v>19216</v>
          </cell>
        </row>
        <row r="11">
          <cell r="A11" t="str">
            <v>May</v>
          </cell>
          <cell r="D11">
            <v>14703</v>
          </cell>
          <cell r="E11">
            <v>19500</v>
          </cell>
        </row>
        <row r="12">
          <cell r="A12" t="str">
            <v>June</v>
          </cell>
          <cell r="D12">
            <v>15283</v>
          </cell>
          <cell r="E12">
            <v>19773</v>
          </cell>
        </row>
        <row r="13">
          <cell r="A13" t="str">
            <v>July</v>
          </cell>
          <cell r="D13">
            <v>15897</v>
          </cell>
          <cell r="E13">
            <v>19992</v>
          </cell>
        </row>
        <row r="14">
          <cell r="A14" t="str">
            <v>August</v>
          </cell>
          <cell r="D14">
            <v>16459</v>
          </cell>
          <cell r="E14">
            <v>20166</v>
          </cell>
        </row>
        <row r="15">
          <cell r="A15" t="str">
            <v>September</v>
          </cell>
          <cell r="D15">
            <v>16943</v>
          </cell>
          <cell r="E15">
            <v>20369</v>
          </cell>
        </row>
        <row r="16">
          <cell r="A16" t="str">
            <v>October</v>
          </cell>
          <cell r="D16">
            <v>17538</v>
          </cell>
          <cell r="E16">
            <v>20507</v>
          </cell>
        </row>
        <row r="17">
          <cell r="A17" t="str">
            <v>November</v>
          </cell>
          <cell r="D17">
            <v>17804</v>
          </cell>
          <cell r="E17">
            <v>20638</v>
          </cell>
        </row>
        <row r="18">
          <cell r="A18" t="str">
            <v>December</v>
          </cell>
          <cell r="D18">
            <v>18072</v>
          </cell>
          <cell r="E18">
            <v>20719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J36"/>
  <sheetViews>
    <sheetView tabSelected="1" topLeftCell="E1" zoomScaleNormal="100" workbookViewId="0">
      <selection activeCell="AA14" sqref="AA14"/>
    </sheetView>
  </sheetViews>
  <sheetFormatPr defaultColWidth="9.140625" defaultRowHeight="15" x14ac:dyDescent="0.25"/>
  <cols>
    <col min="1" max="1" width="10.28515625" style="1" customWidth="1"/>
    <col min="2" max="19" width="10.7109375" style="1" customWidth="1"/>
    <col min="20" max="20" width="14.5703125" style="1" customWidth="1"/>
    <col min="21" max="21" width="2" style="1" customWidth="1"/>
    <col min="22" max="16384" width="9.140625" style="1"/>
  </cols>
  <sheetData>
    <row r="1" spans="1:30" ht="21" x14ac:dyDescent="0.55000000000000004">
      <c r="A1" s="24" t="s">
        <v>36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</row>
    <row r="2" spans="1:30" x14ac:dyDescent="0.25">
      <c r="A2" s="31" t="s">
        <v>35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</row>
    <row r="3" spans="1:30" ht="5.25" customHeight="1" x14ac:dyDescent="0.25">
      <c r="A3" s="2"/>
      <c r="D3" s="2"/>
      <c r="E3" s="2"/>
      <c r="F3" s="2"/>
      <c r="G3" s="2"/>
      <c r="J3" s="2"/>
      <c r="K3" s="2"/>
      <c r="L3" s="2"/>
      <c r="M3" s="2"/>
      <c r="P3" s="2"/>
      <c r="Q3" s="2"/>
      <c r="R3" s="2"/>
      <c r="S3" s="2"/>
    </row>
    <row r="4" spans="1:30" x14ac:dyDescent="0.25">
      <c r="A4" s="28" t="s">
        <v>13</v>
      </c>
      <c r="B4" s="34">
        <v>2013</v>
      </c>
      <c r="C4" s="34"/>
      <c r="D4" s="34"/>
      <c r="E4" s="34"/>
      <c r="F4" s="34"/>
      <c r="G4" s="35"/>
      <c r="H4" s="37">
        <v>2014</v>
      </c>
      <c r="I4" s="34"/>
      <c r="J4" s="34"/>
      <c r="K4" s="34"/>
      <c r="L4" s="34"/>
      <c r="M4" s="34"/>
      <c r="N4" s="37">
        <v>2015</v>
      </c>
      <c r="O4" s="34"/>
      <c r="P4" s="34"/>
      <c r="Q4" s="34"/>
      <c r="R4" s="34"/>
      <c r="S4" s="34"/>
      <c r="T4" s="25" t="s">
        <v>18</v>
      </c>
      <c r="AD4" s="6"/>
    </row>
    <row r="5" spans="1:30" ht="21" x14ac:dyDescent="0.55000000000000004">
      <c r="A5" s="29"/>
      <c r="B5" s="32" t="s">
        <v>31</v>
      </c>
      <c r="C5" s="32"/>
      <c r="D5" s="32"/>
      <c r="E5" s="32"/>
      <c r="F5" s="32"/>
      <c r="G5" s="36"/>
      <c r="H5" s="33" t="s">
        <v>31</v>
      </c>
      <c r="I5" s="32"/>
      <c r="J5" s="32"/>
      <c r="K5" s="32"/>
      <c r="L5" s="32"/>
      <c r="M5" s="32"/>
      <c r="N5" s="33" t="s">
        <v>31</v>
      </c>
      <c r="O5" s="32"/>
      <c r="P5" s="32"/>
      <c r="Q5" s="32"/>
      <c r="R5" s="32"/>
      <c r="S5" s="32"/>
      <c r="T5" s="26"/>
      <c r="V5" s="6"/>
      <c r="W5" s="6"/>
      <c r="X5" s="6"/>
      <c r="Y5" s="6"/>
      <c r="Z5" s="6"/>
      <c r="AA5" s="6"/>
      <c r="AB5" s="6"/>
      <c r="AD5" s="6"/>
    </row>
    <row r="6" spans="1:30" ht="14.25" customHeight="1" x14ac:dyDescent="0.25">
      <c r="A6" s="30"/>
      <c r="B6" s="11" t="s">
        <v>0</v>
      </c>
      <c r="C6" s="11" t="s">
        <v>34</v>
      </c>
      <c r="D6" s="11" t="s">
        <v>14</v>
      </c>
      <c r="E6" s="11" t="s">
        <v>15</v>
      </c>
      <c r="F6" s="11" t="s">
        <v>16</v>
      </c>
      <c r="G6" s="22" t="s">
        <v>33</v>
      </c>
      <c r="H6" s="20" t="s">
        <v>0</v>
      </c>
      <c r="I6" s="11" t="s">
        <v>34</v>
      </c>
      <c r="J6" s="11" t="s">
        <v>14</v>
      </c>
      <c r="K6" s="11" t="s">
        <v>15</v>
      </c>
      <c r="L6" s="11" t="s">
        <v>16</v>
      </c>
      <c r="M6" s="11" t="s">
        <v>33</v>
      </c>
      <c r="N6" s="20" t="s">
        <v>0</v>
      </c>
      <c r="O6" s="11" t="s">
        <v>34</v>
      </c>
      <c r="P6" s="11" t="s">
        <v>14</v>
      </c>
      <c r="Q6" s="11" t="s">
        <v>15</v>
      </c>
      <c r="R6" s="11" t="s">
        <v>16</v>
      </c>
      <c r="S6" s="11" t="s">
        <v>33</v>
      </c>
      <c r="T6" s="27"/>
      <c r="V6" s="6"/>
      <c r="W6" s="6"/>
      <c r="X6" s="6"/>
      <c r="Y6" s="6"/>
      <c r="Z6" s="6"/>
      <c r="AA6" s="6"/>
      <c r="AB6" s="6"/>
      <c r="AD6" s="6"/>
    </row>
    <row r="7" spans="1:30" ht="15" customHeight="1" x14ac:dyDescent="0.25">
      <c r="A7" s="12" t="s">
        <v>1</v>
      </c>
      <c r="B7" s="3">
        <f>SUM(C7:G7)</f>
        <v>7356</v>
      </c>
      <c r="C7" s="3">
        <v>2947</v>
      </c>
      <c r="D7" s="3">
        <v>1430</v>
      </c>
      <c r="E7" s="3">
        <v>925</v>
      </c>
      <c r="F7" s="3">
        <v>958</v>
      </c>
      <c r="G7" s="8">
        <v>1096</v>
      </c>
      <c r="H7" s="18">
        <f>SUM(I7:M7)</f>
        <v>7317</v>
      </c>
      <c r="I7" s="3">
        <v>2810</v>
      </c>
      <c r="J7" s="3">
        <v>1471</v>
      </c>
      <c r="K7" s="3">
        <v>915</v>
      </c>
      <c r="L7" s="3">
        <v>928</v>
      </c>
      <c r="M7" s="3">
        <v>1193</v>
      </c>
      <c r="N7" s="18">
        <f>SUM(O7:S7)</f>
        <v>7330</v>
      </c>
      <c r="O7" s="3">
        <v>2588</v>
      </c>
      <c r="P7" s="3">
        <v>1535</v>
      </c>
      <c r="Q7" s="3">
        <v>965</v>
      </c>
      <c r="R7" s="3">
        <v>925</v>
      </c>
      <c r="S7" s="3">
        <v>1317</v>
      </c>
      <c r="T7" s="14" t="s">
        <v>19</v>
      </c>
      <c r="V7" s="6"/>
      <c r="W7" s="6"/>
      <c r="X7" s="6"/>
      <c r="Y7" s="6"/>
      <c r="Z7" s="6"/>
      <c r="AA7" s="6"/>
      <c r="AB7" s="6"/>
      <c r="AD7" s="6"/>
    </row>
    <row r="8" spans="1:30" ht="21" x14ac:dyDescent="0.25">
      <c r="A8" s="12" t="s">
        <v>2</v>
      </c>
      <c r="B8" s="3">
        <f t="shared" ref="B8:B18" si="0">SUM(C8:G8)</f>
        <v>7339</v>
      </c>
      <c r="C8" s="3">
        <v>2943</v>
      </c>
      <c r="D8" s="3">
        <v>1426</v>
      </c>
      <c r="E8" s="3">
        <v>925</v>
      </c>
      <c r="F8" s="3">
        <v>950</v>
      </c>
      <c r="G8" s="8">
        <v>1095</v>
      </c>
      <c r="H8" s="18">
        <f t="shared" ref="H8:H18" si="1">SUM(I8:M8)</f>
        <v>7332</v>
      </c>
      <c r="I8" s="3">
        <v>2803</v>
      </c>
      <c r="J8" s="3">
        <v>1455</v>
      </c>
      <c r="K8" s="3">
        <v>960</v>
      </c>
      <c r="L8" s="3">
        <v>919</v>
      </c>
      <c r="M8" s="3">
        <v>1195</v>
      </c>
      <c r="N8" s="18">
        <f t="shared" ref="N8:N18" si="2">SUM(O8:S8)</f>
        <v>7298</v>
      </c>
      <c r="O8" s="3">
        <v>2579</v>
      </c>
      <c r="P8" s="3">
        <v>1535</v>
      </c>
      <c r="Q8" s="3">
        <v>960</v>
      </c>
      <c r="R8" s="3">
        <v>920</v>
      </c>
      <c r="S8" s="3">
        <v>1304</v>
      </c>
      <c r="T8" s="14" t="s">
        <v>20</v>
      </c>
      <c r="V8" s="6"/>
      <c r="W8" s="6"/>
      <c r="X8" s="6"/>
      <c r="Y8" s="6"/>
      <c r="Z8" s="6"/>
      <c r="AA8" s="6"/>
      <c r="AB8" s="6"/>
      <c r="AD8" s="6"/>
    </row>
    <row r="9" spans="1:30" ht="21" x14ac:dyDescent="0.25">
      <c r="A9" s="12" t="s">
        <v>3</v>
      </c>
      <c r="B9" s="3">
        <f t="shared" si="0"/>
        <v>7341</v>
      </c>
      <c r="C9" s="3">
        <v>2923</v>
      </c>
      <c r="D9" s="3">
        <v>1440</v>
      </c>
      <c r="E9" s="3">
        <v>926</v>
      </c>
      <c r="F9" s="3">
        <v>948</v>
      </c>
      <c r="G9" s="8">
        <v>1104</v>
      </c>
      <c r="H9" s="18">
        <f t="shared" si="1"/>
        <v>7330</v>
      </c>
      <c r="I9" s="3">
        <v>2789</v>
      </c>
      <c r="J9" s="3">
        <v>1464</v>
      </c>
      <c r="K9" s="3">
        <v>957</v>
      </c>
      <c r="L9" s="3">
        <v>919</v>
      </c>
      <c r="M9" s="3">
        <v>1201</v>
      </c>
      <c r="N9" s="18">
        <f t="shared" si="2"/>
        <v>7333</v>
      </c>
      <c r="O9" s="3">
        <v>2583</v>
      </c>
      <c r="P9" s="3">
        <v>1542</v>
      </c>
      <c r="Q9" s="3">
        <v>987</v>
      </c>
      <c r="R9" s="3">
        <v>922</v>
      </c>
      <c r="S9" s="3">
        <v>1299</v>
      </c>
      <c r="T9" s="14" t="s">
        <v>21</v>
      </c>
      <c r="V9" s="6"/>
      <c r="W9" s="6"/>
      <c r="X9" s="6"/>
      <c r="Y9" s="6"/>
      <c r="Z9" s="6"/>
      <c r="AA9" s="6"/>
      <c r="AB9" s="6"/>
      <c r="AD9" s="6"/>
    </row>
    <row r="10" spans="1:30" ht="21" x14ac:dyDescent="0.25">
      <c r="A10" s="12" t="s">
        <v>4</v>
      </c>
      <c r="B10" s="3">
        <f t="shared" si="0"/>
        <v>7287</v>
      </c>
      <c r="C10" s="3">
        <v>2829</v>
      </c>
      <c r="D10" s="3">
        <v>1460</v>
      </c>
      <c r="E10" s="3">
        <v>889</v>
      </c>
      <c r="F10" s="3">
        <v>941</v>
      </c>
      <c r="G10" s="8">
        <v>1168</v>
      </c>
      <c r="H10" s="18">
        <f t="shared" si="1"/>
        <v>7363</v>
      </c>
      <c r="I10" s="3">
        <v>2774</v>
      </c>
      <c r="J10" s="3">
        <v>1489</v>
      </c>
      <c r="K10" s="3">
        <v>974</v>
      </c>
      <c r="L10" s="3">
        <v>916</v>
      </c>
      <c r="M10" s="3">
        <v>1210</v>
      </c>
      <c r="N10" s="18">
        <f t="shared" si="2"/>
        <v>7298</v>
      </c>
      <c r="O10" s="3">
        <v>2572</v>
      </c>
      <c r="P10" s="3">
        <v>1531</v>
      </c>
      <c r="Q10" s="3">
        <v>972</v>
      </c>
      <c r="R10" s="3">
        <v>923</v>
      </c>
      <c r="S10" s="3">
        <v>1300</v>
      </c>
      <c r="T10" s="14" t="s">
        <v>22</v>
      </c>
      <c r="V10" s="6"/>
      <c r="W10" s="6"/>
      <c r="X10" s="6"/>
      <c r="Y10" s="6"/>
      <c r="Z10" s="6"/>
      <c r="AA10" s="6"/>
      <c r="AB10" s="6"/>
      <c r="AD10" s="6"/>
    </row>
    <row r="11" spans="1:30" ht="21" x14ac:dyDescent="0.25">
      <c r="A11" s="12" t="s">
        <v>5</v>
      </c>
      <c r="B11" s="3">
        <f t="shared" si="0"/>
        <v>7325</v>
      </c>
      <c r="C11" s="3">
        <v>2906</v>
      </c>
      <c r="D11" s="3">
        <v>1450</v>
      </c>
      <c r="E11" s="3">
        <v>920</v>
      </c>
      <c r="F11" s="3">
        <v>936</v>
      </c>
      <c r="G11" s="8">
        <v>1113</v>
      </c>
      <c r="H11" s="18">
        <f t="shared" si="1"/>
        <v>7326</v>
      </c>
      <c r="I11" s="3">
        <v>2761</v>
      </c>
      <c r="J11" s="3">
        <v>1482</v>
      </c>
      <c r="K11" s="3">
        <v>973</v>
      </c>
      <c r="L11" s="3">
        <v>914</v>
      </c>
      <c r="M11" s="3">
        <v>1196</v>
      </c>
      <c r="N11" s="18">
        <f t="shared" si="2"/>
        <v>7300</v>
      </c>
      <c r="O11" s="3">
        <v>2567</v>
      </c>
      <c r="P11" s="3">
        <v>1543</v>
      </c>
      <c r="Q11" s="3">
        <v>979</v>
      </c>
      <c r="R11" s="3">
        <v>918</v>
      </c>
      <c r="S11" s="3">
        <v>1293</v>
      </c>
      <c r="T11" s="14" t="s">
        <v>23</v>
      </c>
      <c r="V11" s="6"/>
      <c r="W11" s="6"/>
      <c r="X11" s="6"/>
      <c r="Y11" s="6"/>
      <c r="Z11" s="6"/>
      <c r="AA11" s="6"/>
      <c r="AB11" s="6"/>
      <c r="AD11" s="6"/>
    </row>
    <row r="12" spans="1:30" ht="21" x14ac:dyDescent="0.25">
      <c r="A12" s="12" t="s">
        <v>6</v>
      </c>
      <c r="B12" s="3">
        <f t="shared" si="0"/>
        <v>7363</v>
      </c>
      <c r="C12" s="3">
        <v>2895</v>
      </c>
      <c r="D12" s="3">
        <v>1475</v>
      </c>
      <c r="E12" s="3">
        <v>925</v>
      </c>
      <c r="F12" s="3">
        <v>945</v>
      </c>
      <c r="G12" s="8">
        <v>1123</v>
      </c>
      <c r="H12" s="18">
        <f t="shared" si="1"/>
        <v>7324</v>
      </c>
      <c r="I12" s="3">
        <v>2747</v>
      </c>
      <c r="J12" s="3">
        <v>1485</v>
      </c>
      <c r="K12" s="3">
        <v>983</v>
      </c>
      <c r="L12" s="3">
        <v>908</v>
      </c>
      <c r="M12" s="3">
        <v>1201</v>
      </c>
      <c r="N12" s="18">
        <f t="shared" si="2"/>
        <v>7304</v>
      </c>
      <c r="O12" s="3">
        <v>2557</v>
      </c>
      <c r="P12" s="3">
        <v>1543</v>
      </c>
      <c r="Q12" s="3">
        <v>983</v>
      </c>
      <c r="R12" s="3">
        <v>926</v>
      </c>
      <c r="S12" s="3">
        <v>1295</v>
      </c>
      <c r="T12" s="14" t="s">
        <v>24</v>
      </c>
      <c r="V12" s="6"/>
      <c r="W12" s="6"/>
      <c r="X12" s="6"/>
      <c r="Y12" s="6"/>
      <c r="Z12" s="6"/>
      <c r="AA12" s="6"/>
      <c r="AB12" s="6"/>
      <c r="AD12" s="6"/>
    </row>
    <row r="13" spans="1:30" ht="21" x14ac:dyDescent="0.25">
      <c r="A13" s="12" t="s">
        <v>7</v>
      </c>
      <c r="B13" s="3">
        <f t="shared" si="0"/>
        <v>7327</v>
      </c>
      <c r="C13" s="3">
        <v>2886</v>
      </c>
      <c r="D13" s="3">
        <v>1457</v>
      </c>
      <c r="E13" s="3">
        <v>927</v>
      </c>
      <c r="F13" s="3">
        <v>932</v>
      </c>
      <c r="G13" s="8">
        <v>1125</v>
      </c>
      <c r="H13" s="18">
        <f t="shared" si="1"/>
        <v>7366</v>
      </c>
      <c r="I13" s="3">
        <v>2738</v>
      </c>
      <c r="J13" s="3">
        <v>1507</v>
      </c>
      <c r="K13" s="3">
        <v>995</v>
      </c>
      <c r="L13" s="3">
        <v>912</v>
      </c>
      <c r="M13" s="3">
        <v>1214</v>
      </c>
      <c r="N13" s="18">
        <f t="shared" si="2"/>
        <v>7323</v>
      </c>
      <c r="O13" s="3">
        <v>2546</v>
      </c>
      <c r="P13" s="3">
        <v>1558</v>
      </c>
      <c r="Q13" s="3">
        <v>1001</v>
      </c>
      <c r="R13" s="3">
        <v>923</v>
      </c>
      <c r="S13" s="3">
        <v>1295</v>
      </c>
      <c r="T13" s="14" t="s">
        <v>25</v>
      </c>
      <c r="V13" s="6"/>
      <c r="W13" s="6"/>
      <c r="X13" s="6"/>
      <c r="Y13" s="6"/>
      <c r="Z13" s="6"/>
      <c r="AA13" s="6"/>
      <c r="AB13" s="6"/>
      <c r="AD13" s="6"/>
    </row>
    <row r="14" spans="1:30" ht="21" x14ac:dyDescent="0.25">
      <c r="A14" s="12" t="s">
        <v>8</v>
      </c>
      <c r="B14" s="3">
        <f t="shared" si="0"/>
        <v>7330</v>
      </c>
      <c r="C14" s="3">
        <v>2877</v>
      </c>
      <c r="D14" s="3">
        <v>1462</v>
      </c>
      <c r="E14" s="3">
        <v>927</v>
      </c>
      <c r="F14" s="3">
        <v>938</v>
      </c>
      <c r="G14" s="8">
        <v>1126</v>
      </c>
      <c r="H14" s="18">
        <f t="shared" si="1"/>
        <v>7329</v>
      </c>
      <c r="I14" s="3">
        <v>2733</v>
      </c>
      <c r="J14" s="3">
        <v>1488</v>
      </c>
      <c r="K14" s="3">
        <v>997</v>
      </c>
      <c r="L14" s="3">
        <v>908</v>
      </c>
      <c r="M14" s="3">
        <v>1203</v>
      </c>
      <c r="N14" s="18">
        <f t="shared" si="2"/>
        <v>7273</v>
      </c>
      <c r="O14" s="3">
        <v>2525</v>
      </c>
      <c r="P14" s="3">
        <v>1557</v>
      </c>
      <c r="Q14" s="3">
        <v>988</v>
      </c>
      <c r="R14" s="3">
        <v>913</v>
      </c>
      <c r="S14" s="3">
        <v>1290</v>
      </c>
      <c r="T14" s="14" t="s">
        <v>26</v>
      </c>
      <c r="V14" s="6"/>
      <c r="W14" s="6"/>
      <c r="X14" s="6"/>
      <c r="Y14" s="6"/>
      <c r="Z14" s="6"/>
      <c r="AA14" s="6"/>
      <c r="AB14" s="6"/>
      <c r="AD14" s="6"/>
    </row>
    <row r="15" spans="1:30" ht="21" x14ac:dyDescent="0.25">
      <c r="A15" s="12" t="s">
        <v>9</v>
      </c>
      <c r="B15" s="3">
        <f t="shared" si="0"/>
        <v>7330</v>
      </c>
      <c r="C15" s="3">
        <v>2867</v>
      </c>
      <c r="D15" s="3">
        <v>1466</v>
      </c>
      <c r="E15" s="3">
        <v>934</v>
      </c>
      <c r="F15" s="3">
        <v>935</v>
      </c>
      <c r="G15" s="8">
        <v>1128</v>
      </c>
      <c r="H15" s="18">
        <f t="shared" si="1"/>
        <v>7321</v>
      </c>
      <c r="I15" s="3">
        <v>2721</v>
      </c>
      <c r="J15" s="3">
        <v>1486</v>
      </c>
      <c r="K15" s="3">
        <v>1011</v>
      </c>
      <c r="L15" s="3">
        <v>902</v>
      </c>
      <c r="M15" s="3">
        <v>1201</v>
      </c>
      <c r="N15" s="18">
        <f t="shared" si="2"/>
        <v>7290</v>
      </c>
      <c r="O15" s="3">
        <v>2488</v>
      </c>
      <c r="P15" s="3">
        <v>1565</v>
      </c>
      <c r="Q15" s="3">
        <v>939</v>
      </c>
      <c r="R15" s="3">
        <v>927</v>
      </c>
      <c r="S15" s="3">
        <v>1371</v>
      </c>
      <c r="T15" s="14" t="s">
        <v>27</v>
      </c>
      <c r="V15" s="6"/>
      <c r="W15" s="6"/>
      <c r="X15" s="6"/>
      <c r="Y15" s="6"/>
      <c r="Z15" s="6"/>
      <c r="AA15" s="6"/>
      <c r="AB15" s="6"/>
      <c r="AD15" s="6"/>
    </row>
    <row r="16" spans="1:30" ht="21" x14ac:dyDescent="0.25">
      <c r="A16" s="12" t="s">
        <v>10</v>
      </c>
      <c r="B16" s="3">
        <f t="shared" si="0"/>
        <v>7349</v>
      </c>
      <c r="C16" s="3">
        <v>2863</v>
      </c>
      <c r="D16" s="3">
        <v>1483</v>
      </c>
      <c r="E16" s="3">
        <v>941</v>
      </c>
      <c r="F16" s="3">
        <v>932</v>
      </c>
      <c r="G16" s="8">
        <v>1130</v>
      </c>
      <c r="H16" s="18">
        <f t="shared" si="1"/>
        <v>7345</v>
      </c>
      <c r="I16" s="3">
        <v>2713</v>
      </c>
      <c r="J16" s="3">
        <v>1508</v>
      </c>
      <c r="K16" s="3">
        <v>1012</v>
      </c>
      <c r="L16" s="3">
        <v>904</v>
      </c>
      <c r="M16" s="3">
        <v>1208</v>
      </c>
      <c r="N16" s="18">
        <f t="shared" si="2"/>
        <v>7304</v>
      </c>
      <c r="O16" s="3">
        <v>2474</v>
      </c>
      <c r="P16" s="3">
        <v>1572</v>
      </c>
      <c r="Q16" s="3">
        <v>952</v>
      </c>
      <c r="R16" s="3">
        <v>930</v>
      </c>
      <c r="S16" s="3">
        <v>1376</v>
      </c>
      <c r="T16" s="14" t="s">
        <v>28</v>
      </c>
      <c r="V16" s="6"/>
      <c r="W16" s="6"/>
      <c r="X16" s="6"/>
      <c r="Y16" s="6"/>
      <c r="Z16" s="6"/>
      <c r="AA16" s="6"/>
      <c r="AB16" s="6"/>
      <c r="AD16" s="6"/>
    </row>
    <row r="17" spans="1:36" ht="21" x14ac:dyDescent="0.25">
      <c r="A17" s="12" t="s">
        <v>11</v>
      </c>
      <c r="B17" s="3">
        <f t="shared" si="0"/>
        <v>7307</v>
      </c>
      <c r="C17" s="3">
        <v>2849</v>
      </c>
      <c r="D17" s="3">
        <v>1471</v>
      </c>
      <c r="E17" s="3">
        <v>938</v>
      </c>
      <c r="F17" s="3">
        <v>924</v>
      </c>
      <c r="G17" s="8">
        <v>1125</v>
      </c>
      <c r="H17" s="18">
        <f t="shared" si="1"/>
        <v>7296</v>
      </c>
      <c r="I17" s="3">
        <v>2706</v>
      </c>
      <c r="J17" s="3">
        <v>1500</v>
      </c>
      <c r="K17" s="3">
        <v>999</v>
      </c>
      <c r="L17" s="3">
        <v>898</v>
      </c>
      <c r="M17" s="3">
        <v>1193</v>
      </c>
      <c r="N17" s="18">
        <f t="shared" si="2"/>
        <v>7270</v>
      </c>
      <c r="O17" s="3">
        <v>2458</v>
      </c>
      <c r="P17" s="3">
        <v>1583</v>
      </c>
      <c r="Q17" s="3">
        <v>926</v>
      </c>
      <c r="R17" s="3">
        <v>933</v>
      </c>
      <c r="S17" s="3">
        <v>1370</v>
      </c>
      <c r="T17" s="14" t="s">
        <v>30</v>
      </c>
      <c r="V17" s="6"/>
      <c r="W17" s="6"/>
      <c r="X17" s="6"/>
      <c r="Y17" s="6"/>
      <c r="Z17" s="6"/>
      <c r="AA17" s="6"/>
      <c r="AB17" s="6"/>
      <c r="AD17" s="6"/>
    </row>
    <row r="18" spans="1:36" ht="21" x14ac:dyDescent="0.25">
      <c r="A18" s="13" t="s">
        <v>12</v>
      </c>
      <c r="B18" s="4">
        <f t="shared" si="0"/>
        <v>7293</v>
      </c>
      <c r="C18" s="4">
        <v>2839</v>
      </c>
      <c r="D18" s="4">
        <v>1477</v>
      </c>
      <c r="E18" s="4">
        <v>943</v>
      </c>
      <c r="F18" s="4">
        <v>914</v>
      </c>
      <c r="G18" s="9">
        <v>1120</v>
      </c>
      <c r="H18" s="19">
        <f t="shared" si="1"/>
        <v>7284</v>
      </c>
      <c r="I18" s="4">
        <v>2695</v>
      </c>
      <c r="J18" s="4">
        <v>1514</v>
      </c>
      <c r="K18" s="4">
        <v>992</v>
      </c>
      <c r="L18" s="4">
        <v>898</v>
      </c>
      <c r="M18" s="4">
        <v>1185</v>
      </c>
      <c r="N18" s="19">
        <f t="shared" si="2"/>
        <v>7264</v>
      </c>
      <c r="O18" s="4">
        <v>2441</v>
      </c>
      <c r="P18" s="4">
        <v>1593</v>
      </c>
      <c r="Q18" s="4">
        <v>930</v>
      </c>
      <c r="R18" s="4">
        <v>933</v>
      </c>
      <c r="S18" s="4">
        <v>1367</v>
      </c>
      <c r="T18" s="15" t="s">
        <v>29</v>
      </c>
      <c r="V18" s="6"/>
      <c r="W18" s="6"/>
      <c r="X18" s="6"/>
      <c r="Y18" s="6"/>
      <c r="Z18" s="6"/>
      <c r="AA18" s="6"/>
      <c r="AB18" s="6"/>
      <c r="AD18" s="6"/>
    </row>
    <row r="19" spans="1:36" ht="19.5" customHeight="1" x14ac:dyDescent="0.45">
      <c r="A19" s="16" t="s">
        <v>17</v>
      </c>
      <c r="T19" s="17" t="s">
        <v>32</v>
      </c>
      <c r="V19" s="6"/>
      <c r="W19" s="6"/>
      <c r="X19" s="6"/>
      <c r="Y19" s="6"/>
      <c r="Z19" s="6"/>
      <c r="AA19" s="6"/>
      <c r="AB19" s="6"/>
      <c r="AD19" s="6"/>
    </row>
    <row r="20" spans="1:36" x14ac:dyDescent="0.25">
      <c r="V20" s="6"/>
      <c r="W20" s="6"/>
      <c r="X20" s="6"/>
      <c r="Y20" s="6"/>
      <c r="Z20" s="6"/>
      <c r="AA20" s="6"/>
      <c r="AB20" s="6"/>
      <c r="AD20" s="6"/>
    </row>
    <row r="23" spans="1:36" x14ac:dyDescent="0.25">
      <c r="O23" s="10"/>
      <c r="P23" s="10"/>
      <c r="Q23" s="10"/>
      <c r="R23" s="10"/>
      <c r="S23" s="10"/>
    </row>
    <row r="25" spans="1:36" x14ac:dyDescent="0.25">
      <c r="AF25" s="21"/>
      <c r="AG25" s="21"/>
      <c r="AH25" s="21"/>
      <c r="AI25" s="21"/>
      <c r="AJ25" s="21"/>
    </row>
    <row r="26" spans="1:36" ht="30" x14ac:dyDescent="0.25">
      <c r="AF26" s="21" t="s">
        <v>39</v>
      </c>
      <c r="AG26" s="21" t="s">
        <v>40</v>
      </c>
      <c r="AH26" s="21" t="s">
        <v>37</v>
      </c>
      <c r="AI26" s="21" t="s">
        <v>38</v>
      </c>
      <c r="AJ26" s="21" t="s">
        <v>41</v>
      </c>
    </row>
    <row r="27" spans="1:36" x14ac:dyDescent="0.25">
      <c r="AF27" s="1">
        <v>33.604074889867839</v>
      </c>
      <c r="AG27" s="1">
        <v>21.930066079295155</v>
      </c>
      <c r="AH27" s="1">
        <v>12.802863436123349</v>
      </c>
      <c r="AI27" s="1">
        <v>12.844162995594713</v>
      </c>
      <c r="AJ27" s="1">
        <v>18.818832599118942</v>
      </c>
    </row>
    <row r="30" spans="1:36" x14ac:dyDescent="0.25">
      <c r="I30" s="2"/>
      <c r="J30" s="2"/>
      <c r="O30" s="2"/>
      <c r="P30" s="2"/>
    </row>
    <row r="31" spans="1:36" x14ac:dyDescent="0.25">
      <c r="I31" s="23"/>
      <c r="J31" s="2"/>
      <c r="O31" s="23"/>
      <c r="P31" s="2"/>
    </row>
    <row r="32" spans="1:36" s="5" customFormat="1" ht="25.5" customHeight="1" x14ac:dyDescent="0.25">
      <c r="I32" s="7"/>
      <c r="J32" s="7"/>
      <c r="O32" s="7"/>
      <c r="P32" s="7"/>
      <c r="R32" s="1"/>
      <c r="S32" s="1"/>
    </row>
    <row r="33" spans="9:16" s="5" customFormat="1" ht="25.5" customHeight="1" x14ac:dyDescent="0.25">
      <c r="I33" s="7"/>
      <c r="J33" s="7"/>
      <c r="O33" s="7"/>
      <c r="P33" s="7"/>
    </row>
    <row r="34" spans="9:16" s="5" customFormat="1" ht="25.5" customHeight="1" x14ac:dyDescent="0.25">
      <c r="I34" s="7"/>
      <c r="J34" s="7"/>
      <c r="O34" s="7"/>
      <c r="P34" s="7"/>
    </row>
    <row r="35" spans="9:16" s="5" customFormat="1" ht="25.5" customHeight="1" x14ac:dyDescent="0.25">
      <c r="I35" s="7"/>
      <c r="J35" s="7"/>
      <c r="O35" s="7"/>
      <c r="P35" s="7"/>
    </row>
    <row r="36" spans="9:16" s="5" customFormat="1" x14ac:dyDescent="0.25">
      <c r="I36" s="7"/>
      <c r="J36" s="7"/>
      <c r="O36" s="7"/>
      <c r="P36" s="7"/>
    </row>
  </sheetData>
  <mergeCells count="10">
    <mergeCell ref="A1:T1"/>
    <mergeCell ref="A2:T2"/>
    <mergeCell ref="A4:A6"/>
    <mergeCell ref="T4:T6"/>
    <mergeCell ref="B4:G4"/>
    <mergeCell ref="B5:G5"/>
    <mergeCell ref="H4:M4"/>
    <mergeCell ref="H5:M5"/>
    <mergeCell ref="N4:S4"/>
    <mergeCell ref="N5:S5"/>
  </mergeCells>
  <pageMargins left="0.84" right="0.17" top="0.75" bottom="0.75" header="0.3" footer="0.3"/>
  <pageSetup paperSize="9" scale="61" orientation="landscape" r:id="rId1"/>
  <colBreaks count="1" manualBreakCount="1">
    <brk id="21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18.6</vt:lpstr>
      <vt:lpstr>'18.6'!Print_Area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Fathmath Shifaza</cp:lastModifiedBy>
  <cp:lastPrinted>2016-09-08T08:37:29Z</cp:lastPrinted>
  <dcterms:created xsi:type="dcterms:W3CDTF">2013-03-14T06:06:17Z</dcterms:created>
  <dcterms:modified xsi:type="dcterms:W3CDTF">2016-09-08T08:37:32Z</dcterms:modified>
</cp:coreProperties>
</file>