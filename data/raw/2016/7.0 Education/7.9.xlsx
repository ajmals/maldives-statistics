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5120" windowHeight="8025" tabRatio="880"/>
  </bookViews>
  <sheets>
    <sheet name="7.9" sheetId="11" r:id="rId1"/>
  </sheets>
  <externalReferences>
    <externalReference r:id="rId2"/>
  </externalReferences>
  <definedNames>
    <definedName name="_xlnm.Print_Area" localSheetId="0">'7.9'!$A$1:$M$46</definedName>
  </definedNames>
  <calcPr calcId="144525"/>
</workbook>
</file>

<file path=xl/calcChain.xml><?xml version="1.0" encoding="utf-8"?>
<calcChain xmlns="http://schemas.openxmlformats.org/spreadsheetml/2006/main">
  <c r="L8" i="11" l="1"/>
  <c r="M8" i="11"/>
  <c r="L9" i="11"/>
  <c r="M9" i="11"/>
  <c r="L10" i="11"/>
  <c r="M10" i="11"/>
  <c r="L11" i="11"/>
  <c r="M11" i="11"/>
  <c r="L12" i="11"/>
  <c r="M12" i="11"/>
  <c r="L13" i="11"/>
  <c r="M13" i="11"/>
  <c r="L14" i="11"/>
  <c r="M14" i="11"/>
  <c r="L15" i="11"/>
  <c r="M15" i="11"/>
  <c r="L16" i="11"/>
  <c r="M16" i="11"/>
  <c r="L17" i="11"/>
  <c r="M17" i="11"/>
  <c r="L18" i="11"/>
  <c r="M18" i="11"/>
  <c r="L19" i="11"/>
  <c r="M19" i="11"/>
  <c r="L20" i="11"/>
  <c r="M20" i="11"/>
  <c r="L21" i="11"/>
  <c r="M21" i="11"/>
  <c r="L22" i="11"/>
  <c r="M22" i="11"/>
  <c r="L23" i="11"/>
  <c r="M23" i="11"/>
  <c r="L24" i="11"/>
  <c r="M24" i="11"/>
  <c r="L25" i="11"/>
  <c r="M25" i="11"/>
  <c r="L26" i="11"/>
  <c r="M26" i="11"/>
  <c r="L27" i="11"/>
  <c r="M27" i="11"/>
  <c r="L28" i="11"/>
  <c r="M28" i="11"/>
  <c r="L29" i="11"/>
  <c r="M29" i="11"/>
  <c r="M7" i="11"/>
  <c r="L7" i="11"/>
  <c r="K7" i="11" l="1"/>
  <c r="H10" i="11"/>
  <c r="H8" i="11"/>
  <c r="D9" i="11"/>
  <c r="D7" i="11" s="1"/>
  <c r="H29" i="11" l="1"/>
  <c r="D29" i="11"/>
  <c r="H28" i="11"/>
  <c r="D28" i="11"/>
  <c r="H27" i="11"/>
  <c r="D27" i="11"/>
  <c r="J27" i="11" s="1"/>
  <c r="H26" i="11"/>
  <c r="D26" i="11"/>
  <c r="J26" i="11" s="1"/>
  <c r="H25" i="11"/>
  <c r="D25" i="11"/>
  <c r="H24" i="11"/>
  <c r="D24" i="11"/>
  <c r="H23" i="11"/>
  <c r="D23" i="11"/>
  <c r="J23" i="11" s="1"/>
  <c r="H22" i="11"/>
  <c r="D22" i="11"/>
  <c r="J22" i="11" s="1"/>
  <c r="H21" i="11"/>
  <c r="D21" i="11"/>
  <c r="H20" i="11"/>
  <c r="D20" i="11"/>
  <c r="H19" i="11"/>
  <c r="D19" i="11"/>
  <c r="J19" i="11" s="1"/>
  <c r="H18" i="11"/>
  <c r="D18" i="11"/>
  <c r="J18" i="11" s="1"/>
  <c r="H17" i="11"/>
  <c r="D17" i="11"/>
  <c r="H16" i="11"/>
  <c r="D16" i="11"/>
  <c r="H15" i="11"/>
  <c r="D15" i="11"/>
  <c r="J15" i="11" s="1"/>
  <c r="H14" i="11"/>
  <c r="D14" i="11"/>
  <c r="J14" i="11" s="1"/>
  <c r="H13" i="11"/>
  <c r="D13" i="11"/>
  <c r="H12" i="11"/>
  <c r="D12" i="11"/>
  <c r="H11" i="11"/>
  <c r="D11" i="11"/>
  <c r="J11" i="11" s="1"/>
  <c r="D10" i="11"/>
  <c r="J10" i="11" s="1"/>
  <c r="B7" i="11"/>
  <c r="D8" i="11"/>
  <c r="G7" i="11"/>
  <c r="F7" i="11"/>
  <c r="C7" i="11"/>
  <c r="J13" i="11" l="1"/>
  <c r="J17" i="11"/>
  <c r="J21" i="11"/>
  <c r="K21" i="11" s="1"/>
  <c r="J25" i="11"/>
  <c r="H9" i="11"/>
  <c r="H7" i="11" s="1"/>
  <c r="J7" i="11" s="1"/>
  <c r="J29" i="11"/>
  <c r="K29" i="11" s="1"/>
  <c r="J8" i="11"/>
  <c r="K8" i="11" s="1"/>
  <c r="J12" i="11"/>
  <c r="K12" i="11" s="1"/>
  <c r="J16" i="11"/>
  <c r="K16" i="11" s="1"/>
  <c r="J20" i="11"/>
  <c r="J24" i="11"/>
  <c r="K24" i="11" s="1"/>
  <c r="J28" i="11"/>
  <c r="K28" i="11" s="1"/>
  <c r="J9" i="11"/>
  <c r="K9" i="11" s="1"/>
  <c r="K10" i="11"/>
  <c r="K11" i="11"/>
  <c r="K13" i="11"/>
  <c r="K14" i="11"/>
  <c r="K15" i="11"/>
  <c r="K17" i="11"/>
  <c r="K18" i="11"/>
  <c r="K19" i="11"/>
  <c r="K20" i="11"/>
  <c r="K22" i="11"/>
  <c r="K23" i="11"/>
  <c r="K25" i="11"/>
  <c r="K26" i="11"/>
  <c r="K27" i="11"/>
</calcChain>
</file>

<file path=xl/sharedStrings.xml><?xml version="1.0" encoding="utf-8"?>
<sst xmlns="http://schemas.openxmlformats.org/spreadsheetml/2006/main" count="46" uniqueCount="42">
  <si>
    <t>Male</t>
  </si>
  <si>
    <t>Female</t>
  </si>
  <si>
    <t>Republic</t>
  </si>
  <si>
    <t>Male'</t>
  </si>
  <si>
    <t>Atolls</t>
  </si>
  <si>
    <t>S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</si>
  <si>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</si>
  <si>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</si>
  <si>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</si>
  <si>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</si>
  <si>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</si>
  <si>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</si>
  <si>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</si>
  <si>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</si>
  <si>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</si>
  <si>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</si>
  <si>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</si>
  <si>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</si>
  <si>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</si>
  <si>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</si>
  <si>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N</t>
  </si>
  <si>
    <t>Source: Ministry of Education</t>
  </si>
  <si>
    <t>cnwxEkuaiDea cfoa IrcTcsinim :ctWrwf ivcaed utWmUluAwm</t>
  </si>
  <si>
    <t>Locality</t>
  </si>
  <si>
    <t>Teachers</t>
  </si>
  <si>
    <t xml:space="preserve"> Teachers</t>
  </si>
  <si>
    <t xml:space="preserve">Total </t>
  </si>
  <si>
    <t xml:space="preserve">Trained </t>
  </si>
  <si>
    <t xml:space="preserve">Untrained </t>
  </si>
  <si>
    <t>Total Male</t>
  </si>
  <si>
    <t>Total Female</t>
  </si>
  <si>
    <t>Female as a</t>
  </si>
  <si>
    <t xml:space="preserve"> % of total</t>
  </si>
  <si>
    <t>HA</t>
  </si>
  <si>
    <t>HDh</t>
  </si>
  <si>
    <t>Sh</t>
  </si>
  <si>
    <t>R</t>
  </si>
  <si>
    <t>Females</t>
  </si>
  <si>
    <t>Table 7.9: TEACHERS SERVING IN SCHOOLS OF MALE' AND ATOLLS BY LOCALITY AND SEX, 2015</t>
  </si>
  <si>
    <t xml:space="preserve"> ތާވަލް 7.9: މާލެ އާއި އަތޮޅުތަކުގެ މަދަރުސާތަކުގައި ހަރަކާތްތެރިވާ މުދައްރިސުން، ޖިންސް ވަކިން، 2015</t>
  </si>
  <si>
    <t>Males</t>
  </si>
  <si>
    <t>% share of untrained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</si>
</sst>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9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Faruma"/>
    </font>
    <font>
      <sz val="9"/>
      <color theme="1"/>
      <name val="A_Randhoo"/>
    </font>
    <font>
      <sz val="10"/>
      <name val="MS Sans Serif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auto="1"/>
      </bottom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39">
    <xf numFmtId="0" fontId="0" fillId="0" borderId="0"/>
    <xf numFmtId="164" fontId="2" fillId="0" borderId="0"/>
    <xf numFmtId="164" fontId="2" fillId="0" borderId="0"/>
    <xf numFmtId="0" fontId="2" fillId="0" borderId="0"/>
    <xf numFmtId="166" fontId="2" fillId="0" borderId="0"/>
    <xf numFmtId="40" fontId="14" fillId="0" borderId="0" applyFont="0" applyFill="0" applyBorder="0" applyAlignment="0" applyProtection="0"/>
    <xf numFmtId="164" fontId="2" fillId="0" borderId="0"/>
    <xf numFmtId="0" fontId="1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6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59">
    <xf numFmtId="0" fontId="0" fillId="0" borderId="0" xfId="0"/>
    <xf numFmtId="165" fontId="12" fillId="2" borderId="0" xfId="0" applyNumberFormat="1" applyFont="1" applyFill="1" applyAlignment="1">
      <alignment vertical="center"/>
    </xf>
    <xf numFmtId="165" fontId="0" fillId="2" borderId="0" xfId="0" applyNumberFormat="1" applyFont="1" applyFill="1" applyAlignment="1">
      <alignment horizontal="center" vertical="center"/>
    </xf>
    <xf numFmtId="165" fontId="11" fillId="2" borderId="0" xfId="0" applyNumberFormat="1" applyFont="1" applyFill="1" applyBorder="1" applyAlignment="1">
      <alignment horizontal="center" vertical="center"/>
    </xf>
    <xf numFmtId="165" fontId="11" fillId="2" borderId="1" xfId="0" applyNumberFormat="1" applyFont="1" applyFill="1" applyBorder="1" applyAlignment="1">
      <alignment horizontal="center" vertical="center"/>
    </xf>
    <xf numFmtId="165" fontId="0" fillId="2" borderId="0" xfId="0" applyNumberFormat="1" applyFont="1" applyFill="1" applyBorder="1" applyAlignment="1">
      <alignment horizontal="center" vertical="center"/>
    </xf>
    <xf numFmtId="165" fontId="10" fillId="2" borderId="2" xfId="0" applyNumberFormat="1" applyFont="1" applyFill="1" applyBorder="1" applyAlignment="1">
      <alignment horizontal="left" vertical="center"/>
    </xf>
    <xf numFmtId="165" fontId="9" fillId="2" borderId="10" xfId="0" applyNumberFormat="1" applyFont="1" applyFill="1" applyBorder="1" applyAlignment="1">
      <alignment horizontal="center" vertical="center"/>
    </xf>
    <xf numFmtId="165" fontId="11" fillId="2" borderId="10" xfId="0" applyNumberFormat="1" applyFont="1" applyFill="1" applyBorder="1" applyAlignment="1">
      <alignment horizontal="center" vertical="center"/>
    </xf>
    <xf numFmtId="165" fontId="10" fillId="2" borderId="0" xfId="0" applyNumberFormat="1" applyFont="1" applyFill="1" applyAlignment="1">
      <alignment horizontal="center" vertical="center"/>
    </xf>
    <xf numFmtId="165" fontId="11" fillId="2" borderId="0" xfId="0" applyNumberFormat="1" applyFont="1" applyFill="1" applyBorder="1" applyAlignment="1">
      <alignment horizontal="right" vertical="center"/>
    </xf>
    <xf numFmtId="165" fontId="11" fillId="2" borderId="9" xfId="0" applyNumberFormat="1" applyFont="1" applyFill="1" applyBorder="1" applyAlignment="1">
      <alignment horizontal="right" vertical="center"/>
    </xf>
    <xf numFmtId="165" fontId="9" fillId="2" borderId="1" xfId="0" applyNumberFormat="1" applyFont="1" applyFill="1" applyBorder="1" applyAlignment="1" applyProtection="1">
      <alignment horizontal="left" vertical="center"/>
    </xf>
    <xf numFmtId="165" fontId="11" fillId="2" borderId="1" xfId="0" applyNumberFormat="1" applyFont="1" applyFill="1" applyBorder="1" applyAlignment="1">
      <alignment horizontal="right" vertical="center"/>
    </xf>
    <xf numFmtId="165" fontId="11" fillId="2" borderId="5" xfId="0" applyNumberFormat="1" applyFont="1" applyFill="1" applyBorder="1" applyAlignment="1">
      <alignment horizontal="right" vertical="center"/>
    </xf>
    <xf numFmtId="165" fontId="11" fillId="2" borderId="5" xfId="0" applyNumberFormat="1" applyFont="1" applyFill="1" applyBorder="1" applyAlignment="1">
      <alignment horizontal="center" vertical="center"/>
    </xf>
    <xf numFmtId="165" fontId="7" fillId="2" borderId="0" xfId="0" applyNumberFormat="1" applyFont="1" applyFill="1" applyAlignment="1" applyProtection="1">
      <alignment horizontal="left" vertical="center"/>
    </xf>
    <xf numFmtId="165" fontId="10" fillId="2" borderId="0" xfId="0" applyNumberFormat="1" applyFont="1" applyFill="1" applyAlignment="1">
      <alignment horizontal="right" vertical="center"/>
    </xf>
    <xf numFmtId="165" fontId="13" fillId="2" borderId="0" xfId="0" applyNumberFormat="1" applyFont="1" applyFill="1" applyBorder="1" applyAlignment="1">
      <alignment horizontal="right" vertical="center"/>
    </xf>
    <xf numFmtId="165" fontId="8" fillId="2" borderId="0" xfId="0" applyNumberFormat="1" applyFont="1" applyFill="1" applyBorder="1" applyAlignment="1" applyProtection="1">
      <alignment horizontal="left" vertical="center"/>
    </xf>
    <xf numFmtId="165" fontId="0" fillId="2" borderId="0" xfId="0" applyNumberFormat="1" applyFont="1" applyFill="1" applyAlignment="1">
      <alignment horizontal="right" vertical="center"/>
    </xf>
    <xf numFmtId="165" fontId="0" fillId="2" borderId="0" xfId="0" applyNumberFormat="1" applyFont="1" applyFill="1" applyBorder="1" applyAlignment="1">
      <alignment horizontal="left" vertical="center"/>
    </xf>
    <xf numFmtId="165" fontId="0" fillId="2" borderId="0" xfId="0" applyNumberFormat="1" applyFont="1" applyFill="1" applyAlignment="1">
      <alignment horizontal="left" vertical="center"/>
    </xf>
    <xf numFmtId="165" fontId="10" fillId="2" borderId="0" xfId="0" applyNumberFormat="1" applyFont="1" applyFill="1" applyAlignment="1" applyProtection="1">
      <alignment horizontal="left" vertical="center"/>
    </xf>
    <xf numFmtId="165" fontId="10" fillId="2" borderId="0" xfId="0" applyNumberFormat="1" applyFont="1" applyFill="1" applyBorder="1" applyAlignment="1" applyProtection="1">
      <alignment horizontal="left" vertical="center"/>
    </xf>
    <xf numFmtId="165" fontId="10" fillId="2" borderId="1" xfId="0" applyNumberFormat="1" applyFont="1" applyFill="1" applyBorder="1" applyAlignment="1" applyProtection="1">
      <alignment horizontal="left" vertical="center"/>
    </xf>
    <xf numFmtId="3" fontId="3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3" fontId="4" fillId="2" borderId="1" xfId="0" applyNumberFormat="1" applyFont="1" applyFill="1" applyBorder="1" applyAlignment="1">
      <alignment horizontal="right" vertical="center"/>
    </xf>
    <xf numFmtId="165" fontId="11" fillId="2" borderId="0" xfId="0" applyNumberFormat="1" applyFont="1" applyFill="1" applyAlignment="1" applyProtection="1">
      <alignment horizontal="left" vertical="center"/>
    </xf>
    <xf numFmtId="3" fontId="3" fillId="2" borderId="2" xfId="0" applyNumberFormat="1" applyFont="1" applyFill="1" applyBorder="1" applyAlignment="1">
      <alignment horizontal="right" vertical="center"/>
    </xf>
    <xf numFmtId="3" fontId="3" fillId="2" borderId="6" xfId="0" applyNumberFormat="1" applyFont="1" applyFill="1" applyBorder="1" applyAlignment="1">
      <alignment horizontal="right" vertical="center"/>
    </xf>
    <xf numFmtId="165" fontId="10" fillId="2" borderId="7" xfId="0" applyNumberFormat="1" applyFont="1" applyFill="1" applyBorder="1" applyAlignment="1">
      <alignment horizontal="center" vertical="center"/>
    </xf>
    <xf numFmtId="3" fontId="11" fillId="2" borderId="2" xfId="0" applyNumberFormat="1" applyFont="1" applyFill="1" applyBorder="1"/>
    <xf numFmtId="3" fontId="3" fillId="2" borderId="0" xfId="0" applyNumberFormat="1" applyFont="1" applyFill="1" applyAlignment="1">
      <alignment horizontal="right" vertical="center"/>
    </xf>
    <xf numFmtId="3" fontId="3" fillId="2" borderId="8" xfId="0" applyNumberFormat="1" applyFont="1" applyFill="1" applyBorder="1" applyAlignment="1">
      <alignment horizontal="right" vertical="center"/>
    </xf>
    <xf numFmtId="165" fontId="10" fillId="2" borderId="9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/>
    <xf numFmtId="3" fontId="4" fillId="2" borderId="8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/>
    <xf numFmtId="3" fontId="4" fillId="2" borderId="0" xfId="0" applyNumberFormat="1" applyFont="1" applyFill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3" fontId="4" fillId="2" borderId="4" xfId="0" applyNumberFormat="1" applyFont="1" applyFill="1" applyBorder="1" applyAlignment="1">
      <alignment horizontal="right" vertical="center"/>
    </xf>
    <xf numFmtId="165" fontId="10" fillId="2" borderId="5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/>
    <xf numFmtId="169" fontId="0" fillId="2" borderId="8" xfId="0" applyNumberFormat="1" applyFont="1" applyFill="1" applyBorder="1" applyAlignment="1">
      <alignment horizontal="right" vertical="center"/>
    </xf>
    <xf numFmtId="169" fontId="0" fillId="2" borderId="0" xfId="0" applyNumberFormat="1" applyFont="1" applyFill="1" applyBorder="1" applyAlignment="1">
      <alignment horizontal="right" vertical="center"/>
    </xf>
    <xf numFmtId="169" fontId="0" fillId="2" borderId="15" xfId="0" applyNumberFormat="1" applyFont="1" applyFill="1" applyBorder="1" applyAlignment="1">
      <alignment horizontal="right" vertical="center"/>
    </xf>
    <xf numFmtId="169" fontId="0" fillId="2" borderId="14" xfId="0" applyNumberFormat="1" applyFont="1" applyFill="1" applyBorder="1" applyAlignment="1">
      <alignment horizontal="right" vertical="center"/>
    </xf>
    <xf numFmtId="165" fontId="11" fillId="2" borderId="13" xfId="0" applyNumberFormat="1" applyFont="1" applyFill="1" applyBorder="1" applyAlignment="1">
      <alignment horizontal="center" vertical="center"/>
    </xf>
    <xf numFmtId="165" fontId="11" fillId="2" borderId="3" xfId="0" applyNumberFormat="1" applyFont="1" applyFill="1" applyBorder="1" applyAlignment="1">
      <alignment horizontal="center" vertical="center"/>
    </xf>
    <xf numFmtId="165" fontId="11" fillId="2" borderId="12" xfId="0" applyNumberFormat="1" applyFont="1" applyFill="1" applyBorder="1" applyAlignment="1">
      <alignment horizontal="right" vertical="center"/>
    </xf>
    <xf numFmtId="165" fontId="11" fillId="2" borderId="15" xfId="0" applyNumberFormat="1" applyFont="1" applyFill="1" applyBorder="1" applyAlignment="1">
      <alignment horizontal="right" vertical="center"/>
    </xf>
    <xf numFmtId="165" fontId="11" fillId="2" borderId="11" xfId="0" applyNumberFormat="1" applyFont="1" applyFill="1" applyBorder="1" applyAlignment="1">
      <alignment horizontal="right" vertical="center"/>
    </xf>
    <xf numFmtId="165" fontId="11" fillId="2" borderId="14" xfId="0" applyNumberFormat="1" applyFont="1" applyFill="1" applyBorder="1" applyAlignment="1">
      <alignment horizontal="right" vertical="center"/>
    </xf>
    <xf numFmtId="165" fontId="12" fillId="2" borderId="0" xfId="0" applyNumberFormat="1" applyFont="1" applyFill="1" applyAlignment="1">
      <alignment horizontal="center"/>
    </xf>
    <xf numFmtId="165" fontId="6" fillId="2" borderId="0" xfId="0" applyNumberFormat="1" applyFont="1" applyFill="1" applyBorder="1" applyAlignment="1">
      <alignment horizontal="center" vertical="top"/>
    </xf>
    <xf numFmtId="169" fontId="0" fillId="2" borderId="0" xfId="0" applyNumberFormat="1" applyFont="1" applyFill="1" applyBorder="1" applyAlignment="1">
      <alignment horizontal="center" vertical="center"/>
    </xf>
    <xf numFmtId="2" fontId="0" fillId="2" borderId="0" xfId="0" applyNumberFormat="1" applyFont="1" applyFill="1" applyBorder="1" applyAlignment="1">
      <alignment horizontal="center" vertical="center"/>
    </xf>
  </cellXfs>
  <cellStyles count="139">
    <cellStyle name="1" xfId="138"/>
    <cellStyle name="Comma 2" xfId="5"/>
    <cellStyle name="Comma 3" xfId="8"/>
    <cellStyle name="Normal" xfId="0" builtinId="0"/>
    <cellStyle name="Normal 10" xfId="18"/>
    <cellStyle name="Normal 10 2" xfId="32"/>
    <cellStyle name="Normal 105 2" xfId="124"/>
    <cellStyle name="Normal 11" xfId="19"/>
    <cellStyle name="Normal 11 2" xfId="33"/>
    <cellStyle name="Normal 12" xfId="20"/>
    <cellStyle name="Normal 12 2" xfId="34"/>
    <cellStyle name="Normal 13" xfId="22"/>
    <cellStyle name="Normal 13 2" xfId="35"/>
    <cellStyle name="Normal 14" xfId="23"/>
    <cellStyle name="Normal 14 2" xfId="36"/>
    <cellStyle name="Normal 15" xfId="24"/>
    <cellStyle name="Normal 15 2" xfId="37"/>
    <cellStyle name="Normal 16" xfId="25"/>
    <cellStyle name="Normal 16 2" xfId="38"/>
    <cellStyle name="Normal 17" xfId="26"/>
    <cellStyle name="Normal 17 2" xfId="39"/>
    <cellStyle name="Normal 18" xfId="27"/>
    <cellStyle name="Normal 18 2" xfId="40"/>
    <cellStyle name="Normal 19" xfId="28"/>
    <cellStyle name="Normal 19 2" xfId="41"/>
    <cellStyle name="Normal 2" xfId="11"/>
    <cellStyle name="Normal 2 10" xfId="42"/>
    <cellStyle name="Normal 2 11" xfId="43"/>
    <cellStyle name="Normal 2 12" xfId="44"/>
    <cellStyle name="Normal 2 13" xfId="45"/>
    <cellStyle name="Normal 2 14" xfId="46"/>
    <cellStyle name="Normal 2 15" xfId="47"/>
    <cellStyle name="Normal 2 16" xfId="48"/>
    <cellStyle name="Normal 2 17" xfId="49"/>
    <cellStyle name="Normal 2 18" xfId="50"/>
    <cellStyle name="Normal 2 19" xfId="51"/>
    <cellStyle name="Normal 2 2" xfId="10"/>
    <cellStyle name="Normal 2 2 10" xfId="52"/>
    <cellStyle name="Normal 2 2 11" xfId="53"/>
    <cellStyle name="Normal 2 2 12" xfId="54"/>
    <cellStyle name="Normal 2 2 13" xfId="55"/>
    <cellStyle name="Normal 2 2 14" xfId="56"/>
    <cellStyle name="Normal 2 2 15" xfId="57"/>
    <cellStyle name="Normal 2 2 16" xfId="58"/>
    <cellStyle name="Normal 2 2 17" xfId="59"/>
    <cellStyle name="Normal 2 2 18" xfId="60"/>
    <cellStyle name="Normal 2 2 19" xfId="61"/>
    <cellStyle name="Normal 2 2 2" xfId="3"/>
    <cellStyle name="Normal 2 2 20" xfId="62"/>
    <cellStyle name="Normal 2 2 21" xfId="63"/>
    <cellStyle name="Normal 2 2 22" xfId="64"/>
    <cellStyle name="Normal 2 2 23" xfId="65"/>
    <cellStyle name="Normal 2 2 24" xfId="66"/>
    <cellStyle name="Normal 2 2 24 2" xfId="67"/>
    <cellStyle name="Normal 2 2 24 2 2" xfId="68"/>
    <cellStyle name="Normal 2 2 25" xfId="69"/>
    <cellStyle name="Normal 2 2 25 2" xfId="70"/>
    <cellStyle name="Normal 2 2 3" xfId="71"/>
    <cellStyle name="Normal 2 2 4" xfId="72"/>
    <cellStyle name="Normal 2 2 5" xfId="73"/>
    <cellStyle name="Normal 2 2 5 2" xfId="74"/>
    <cellStyle name="Normal 2 2 5 2 2" xfId="75"/>
    <cellStyle name="Normal 2 2 5 2 2 2" xfId="76"/>
    <cellStyle name="Normal 2 2 5 3" xfId="77"/>
    <cellStyle name="Normal 2 2 5 4" xfId="78"/>
    <cellStyle name="Normal 2 2 6" xfId="79"/>
    <cellStyle name="Normal 2 2 7" xfId="80"/>
    <cellStyle name="Normal 2 2 8" xfId="81"/>
    <cellStyle name="Normal 2 2 9" xfId="82"/>
    <cellStyle name="Normal 2 20" xfId="83"/>
    <cellStyle name="Normal 2 21" xfId="84"/>
    <cellStyle name="Normal 2 22" xfId="85"/>
    <cellStyle name="Normal 2 23" xfId="86"/>
    <cellStyle name="Normal 2 24" xfId="87"/>
    <cellStyle name="Normal 2 24 2" xfId="88"/>
    <cellStyle name="Normal 2 24 2 2" xfId="89"/>
    <cellStyle name="Normal 2 25" xfId="90"/>
    <cellStyle name="Normal 2 25 2" xfId="91"/>
    <cellStyle name="Normal 2 3" xfId="12"/>
    <cellStyle name="Normal 2 3 2" xfId="92"/>
    <cellStyle name="Normal 2 3 2 2" xfId="93"/>
    <cellStyle name="Normal 2 3 2 2 2" xfId="94"/>
    <cellStyle name="Normal 2 3 3" xfId="95"/>
    <cellStyle name="Normal 2 3 4" xfId="96"/>
    <cellStyle name="Normal 2 4" xfId="97"/>
    <cellStyle name="Normal 2 5" xfId="98"/>
    <cellStyle name="Normal 2 6" xfId="99"/>
    <cellStyle name="Normal 2 7" xfId="100"/>
    <cellStyle name="Normal 2 8" xfId="101"/>
    <cellStyle name="Normal 2 9" xfId="102"/>
    <cellStyle name="Normal 20" xfId="29"/>
    <cellStyle name="Normal 20 2" xfId="103"/>
    <cellStyle name="Normal 21" xfId="30"/>
    <cellStyle name="Normal 21 2" xfId="104"/>
    <cellStyle name="Normal 22" xfId="31"/>
    <cellStyle name="Normal 22 2" xfId="105"/>
    <cellStyle name="Normal 23" xfId="106"/>
    <cellStyle name="Normal 23 2" xfId="107"/>
    <cellStyle name="Normal 24" xfId="131"/>
    <cellStyle name="Normal 25" xfId="13"/>
    <cellStyle name="Normal 25 2" xfId="125"/>
    <cellStyle name="Normal 26" xfId="118"/>
    <cellStyle name="Normal 26 2" xfId="135"/>
    <cellStyle name="Normal 27" xfId="116"/>
    <cellStyle name="Normal 27 2" xfId="134"/>
    <cellStyle name="Normal 28" xfId="119"/>
    <cellStyle name="Normal 28 2" xfId="128"/>
    <cellStyle name="Normal 29" xfId="126"/>
    <cellStyle name="Normal 3" xfId="7"/>
    <cellStyle name="Normal 3 11" xfId="122"/>
    <cellStyle name="Normal 3 12" xfId="120"/>
    <cellStyle name="Normal 3 13" xfId="121"/>
    <cellStyle name="Normal 3 14" xfId="123"/>
    <cellStyle name="Normal 3 2" xfId="108"/>
    <cellStyle name="Normal 3 3" xfId="109"/>
    <cellStyle name="Normal 30" xfId="133"/>
    <cellStyle name="Normal 31" xfId="130"/>
    <cellStyle name="Normal 32" xfId="127"/>
    <cellStyle name="Normal 33" xfId="137"/>
    <cellStyle name="Normal 34" xfId="129"/>
    <cellStyle name="Normal 35" xfId="136"/>
    <cellStyle name="Normal 4" xfId="14"/>
    <cellStyle name="Normal 4 2" xfId="110"/>
    <cellStyle name="Normal 4 3" xfId="117"/>
    <cellStyle name="Normal 5" xfId="21"/>
    <cellStyle name="Normal 5 2" xfId="111"/>
    <cellStyle name="Normal 6" xfId="2"/>
    <cellStyle name="Normal 6 2" xfId="132"/>
    <cellStyle name="Normal 6 3" xfId="115"/>
    <cellStyle name="Normal 7" xfId="1"/>
    <cellStyle name="Normal 7 2" xfId="112"/>
    <cellStyle name="Normal 7 3" xfId="15"/>
    <cellStyle name="Normal 8" xfId="4"/>
    <cellStyle name="Normal 8 2" xfId="6"/>
    <cellStyle name="Normal 8 2 2" xfId="113"/>
    <cellStyle name="Normal 8 3" xfId="16"/>
    <cellStyle name="Normal 9" xfId="17"/>
    <cellStyle name="Normal 9 2" xfId="114"/>
    <cellStyle name="Percent 2" xfId="9"/>
  </cellStyles>
  <dxfs count="0"/>
  <tableStyles count="0" defaultTableStyle="TableStyleMedium9" defaultPivotStyle="PivotStyleLight16"/>
  <colors>
    <mruColors>
      <color rgb="FFC9F3F1"/>
      <color rgb="FFE1F8F7"/>
      <color rgb="FFA3FFFF"/>
      <color rgb="FF33CCCC"/>
      <color rgb="FFE7FFFF"/>
      <color rgb="FF071B1B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050" b="1" i="0" u="none" strike="noStrike" baseline="0">
                <a:effectLst/>
              </a:rPr>
              <a:t>Figure 7.8: </a:t>
            </a:r>
            <a:r>
              <a:rPr lang="en-US" sz="1050">
                <a:latin typeface="Consolas" pitchFamily="49" charset="0"/>
                <a:cs typeface="Consolas" pitchFamily="49" charset="0"/>
              </a:rPr>
              <a:t>Percentage share of female teachers, 2015</a:t>
            </a:r>
          </a:p>
        </c:rich>
      </c:tx>
      <c:layout>
        <c:manualLayout>
          <c:xMode val="edge"/>
          <c:yMode val="edge"/>
          <c:x val="0.15560276249653698"/>
          <c:y val="3.5449065693817769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</c:spPr>
          <c:invertIfNegative val="0"/>
          <c:dLbls>
            <c:dLbl>
              <c:idx val="0"/>
              <c:layout>
                <c:manualLayout>
                  <c:x val="-5.0135494133653497E-3"/>
                  <c:y val="0.1763281995389608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2.5067747066826861E-3"/>
                  <c:y val="0.126735893418628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7.5203241200481512E-3"/>
                  <c:y val="0.132246149654220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'7.9'!$A$7:$A$9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'7.9'!$K$7:$K$9</c:f>
              <c:numCache>
                <c:formatCode>#,##0</c:formatCode>
                <c:ptCount val="3"/>
                <c:pt idx="0">
                  <c:v>65.543835771804467</c:v>
                </c:pt>
                <c:pt idx="1">
                  <c:v>80.868024800708596</c:v>
                </c:pt>
                <c:pt idx="2">
                  <c:v>60.268333587437105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928832"/>
        <c:axId val="71930624"/>
      </c:barChart>
      <c:catAx>
        <c:axId val="71928832"/>
        <c:scaling>
          <c:orientation val="minMax"/>
        </c:scaling>
        <c:delete val="0"/>
        <c:axPos val="b"/>
        <c:majorTickMark val="none"/>
        <c:minorTickMark val="none"/>
        <c:tickLblPos val="nextTo"/>
        <c:crossAx val="71930624"/>
        <c:crosses val="autoZero"/>
        <c:auto val="1"/>
        <c:lblAlgn val="ctr"/>
        <c:lblOffset val="100"/>
        <c:noMultiLvlLbl val="0"/>
      </c:catAx>
      <c:valAx>
        <c:axId val="7193062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1"/>
        <c:majorTickMark val="none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71928832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333374</xdr:colOff>
      <xdr:row>31</xdr:row>
      <xdr:rowOff>167329</xdr:rowOff>
    </xdr:from>
    <xdr:to>
      <xdr:col>10</xdr:col>
      <xdr:colOff>244562</xdr:colOff>
      <xdr:row>43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366840</xdr:colOff>
      <xdr:row>32</xdr:row>
      <xdr:rowOff>141589</xdr:rowOff>
    </xdr:from>
    <xdr:to>
      <xdr:col>3</xdr:col>
      <xdr:colOff>25743</xdr:colOff>
      <xdr:row>33</xdr:row>
      <xdr:rowOff>141589</xdr:rowOff>
    </xdr:to>
    <xdr:sp macro="" textlink="">
      <xdr:nvSpPr>
        <xdr:cNvPr id="3" name="TextBox 2"/>
        <xdr:cNvSpPr txBox="1"/>
      </xdr:nvSpPr>
      <xdr:spPr>
        <a:xfrm>
          <a:off x="1673310" y="6365018"/>
          <a:ext cx="469815" cy="1930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700"/>
            <a:t>Percent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0.15818</cdr:x>
      <cdr:y>0.13174</cdr:y>
    </cdr:from>
    <cdr:to>
      <cdr:x>0.94269</cdr:x>
      <cdr:y>0.13473</cdr:y>
    </cdr:to>
    <cdr:sp macro="" textlink="">
      <cdr:nvSpPr>
        <cdr:cNvPr id="2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799328" y="283176"/>
          <a:ext cx="3964460" cy="6435"/>
        </a:xfrm>
        <a:prstGeom xmlns:a="http://schemas.openxmlformats.org/drawingml/2006/main" prst="line">
          <a:avLst/>
        </a:prstGeom>
        <a:ln xmlns:a="http://schemas.openxmlformats.org/drawingml/2006/main" w="28575">
          <a:headEnd/>
          <a:tailEnd/>
        </a:ln>
      </cdr:spPr>
      <cdr:style>
        <a:lnRef xmlns:a="http://schemas.openxmlformats.org/drawingml/2006/main" idx="1">
          <a:schemeClr val="accent5"/>
        </a:lnRef>
        <a:fillRef xmlns:a="http://schemas.openxmlformats.org/drawingml/2006/main" idx="0">
          <a:schemeClr val="accent5"/>
        </a:fillRef>
        <a:effectRef xmlns:a="http://schemas.openxmlformats.org/drawingml/2006/main" idx="0">
          <a:schemeClr val="accent5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Desktop\Indicators%20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4 Health"/>
      <sheetName val="5edu"/>
      <sheetName val="Law &amp; Ord"/>
      <sheetName val="Fisher"/>
      <sheetName val="Touri"/>
      <sheetName val="11Transp"/>
      <sheetName val="Finance"/>
      <sheetName val="Money &amp; banking"/>
      <sheetName val="Foerign trade &amp; BOP"/>
      <sheetName val="NA"/>
      <sheetName val="Prices (2)"/>
      <sheetName val="Political parties &amp; Elections"/>
      <sheetName val="poverty"/>
      <sheetName val="Sheet1"/>
    </sheetNames>
    <sheetDataSet>
      <sheetData sheetId="0">
        <row r="13">
          <cell r="F13">
            <v>1996</v>
          </cell>
        </row>
      </sheetData>
      <sheetData sheetId="1"/>
      <sheetData sheetId="2"/>
      <sheetData sheetId="3"/>
      <sheetData sheetId="4">
        <row r="3">
          <cell r="R3">
            <v>2006</v>
          </cell>
          <cell r="S3">
            <v>2007</v>
          </cell>
          <cell r="T3">
            <v>2008</v>
          </cell>
          <cell r="U3">
            <v>2009</v>
          </cell>
          <cell r="V3">
            <v>2010</v>
          </cell>
          <cell r="W3">
            <v>2011</v>
          </cell>
          <cell r="X3">
            <v>2012</v>
          </cell>
          <cell r="Y3">
            <v>2013</v>
          </cell>
          <cell r="Z3">
            <v>2014</v>
          </cell>
          <cell r="AA3">
            <v>2015</v>
          </cell>
        </row>
        <row r="15">
          <cell r="A15" t="str">
            <v xml:space="preserve">Student / Teacher Ratio </v>
          </cell>
          <cell r="R15">
            <v>15.06024639423077</v>
          </cell>
          <cell r="S15">
            <v>13.891733409610984</v>
          </cell>
          <cell r="T15">
            <v>12</v>
          </cell>
          <cell r="U15">
            <v>12</v>
          </cell>
          <cell r="V15">
            <v>11</v>
          </cell>
          <cell r="W15">
            <v>12</v>
          </cell>
          <cell r="X15">
            <v>11</v>
          </cell>
          <cell r="Y15">
            <v>10.47</v>
          </cell>
          <cell r="Z15">
            <v>10.347997138769671</v>
          </cell>
          <cell r="AA15">
            <v>9.9835544969944419</v>
          </cell>
        </row>
        <row r="28">
          <cell r="A28" t="str">
            <v>Male'</v>
          </cell>
          <cell r="R28">
            <v>29345</v>
          </cell>
          <cell r="S28">
            <v>29777</v>
          </cell>
          <cell r="T28">
            <v>27007</v>
          </cell>
          <cell r="U28">
            <v>25876</v>
          </cell>
          <cell r="V28">
            <v>25565</v>
          </cell>
          <cell r="W28">
            <v>25064</v>
          </cell>
          <cell r="X28">
            <v>26583</v>
          </cell>
          <cell r="Y28">
            <v>27204</v>
          </cell>
          <cell r="Z28">
            <v>28507</v>
          </cell>
          <cell r="AA28">
            <v>30361</v>
          </cell>
        </row>
        <row r="29">
          <cell r="A29" t="str">
            <v>Atolls</v>
          </cell>
          <cell r="R29">
            <v>70896</v>
          </cell>
          <cell r="S29">
            <v>67354</v>
          </cell>
          <cell r="T29">
            <v>66426</v>
          </cell>
          <cell r="U29">
            <v>63965</v>
          </cell>
          <cell r="V29">
            <v>62035</v>
          </cell>
          <cell r="W29">
            <v>61882</v>
          </cell>
          <cell r="X29">
            <v>59927</v>
          </cell>
          <cell r="Y29">
            <v>58892</v>
          </cell>
          <cell r="Z29">
            <v>58576</v>
          </cell>
          <cell r="AA29">
            <v>57980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0">
          <cell r="N60">
            <v>2001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34"/>
  <sheetViews>
    <sheetView tabSelected="1" zoomScaleNormal="100" zoomScaleSheetLayoutView="100" workbookViewId="0">
      <selection activeCell="V26" sqref="V26"/>
    </sheetView>
  </sheetViews>
  <sheetFormatPr defaultColWidth="9.140625" defaultRowHeight="15" x14ac:dyDescent="0.25"/>
  <cols>
    <col min="1" max="1" width="7.42578125" style="22" customWidth="1"/>
    <col min="2" max="4" width="12.140625" style="2" customWidth="1"/>
    <col min="5" max="5" width="1.5703125" style="2" customWidth="1"/>
    <col min="6" max="6" width="12.140625" style="20" customWidth="1"/>
    <col min="7" max="8" width="12.5703125" style="20" customWidth="1"/>
    <col min="9" max="9" width="1.85546875" style="20" customWidth="1"/>
    <col min="10" max="10" width="12.140625" style="20" customWidth="1"/>
    <col min="11" max="11" width="15" style="20" customWidth="1"/>
    <col min="12" max="13" width="10.140625" style="2" customWidth="1"/>
    <col min="14" max="16384" width="9.140625" style="2"/>
  </cols>
  <sheetData>
    <row r="1" spans="1:18" ht="21.75" x14ac:dyDescent="0.55000000000000004">
      <c r="A1" s="55" t="s">
        <v>39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1"/>
    </row>
    <row r="2" spans="1:18" ht="18" customHeight="1" x14ac:dyDescent="0.25">
      <c r="A2" s="56" t="s">
        <v>38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</row>
    <row r="3" spans="1:18" s="5" customFormat="1" ht="3.75" customHeight="1" x14ac:dyDescent="0.25">
      <c r="A3" s="3"/>
      <c r="B3" s="4"/>
      <c r="C3" s="4"/>
      <c r="D3" s="4"/>
      <c r="E3" s="3"/>
      <c r="F3" s="4"/>
      <c r="G3" s="4"/>
      <c r="H3" s="4"/>
      <c r="I3" s="4"/>
      <c r="J3" s="4"/>
      <c r="K3" s="4"/>
    </row>
    <row r="4" spans="1:18" ht="21" customHeight="1" x14ac:dyDescent="0.25">
      <c r="A4" s="6"/>
      <c r="B4" s="50" t="s">
        <v>0</v>
      </c>
      <c r="C4" s="50"/>
      <c r="D4" s="50"/>
      <c r="E4" s="7"/>
      <c r="F4" s="50" t="s">
        <v>1</v>
      </c>
      <c r="G4" s="50"/>
      <c r="H4" s="50"/>
      <c r="I4" s="8"/>
      <c r="J4" s="50" t="s">
        <v>26</v>
      </c>
      <c r="K4" s="50"/>
      <c r="L4" s="49" t="s">
        <v>41</v>
      </c>
      <c r="M4" s="50"/>
    </row>
    <row r="5" spans="1:18" x14ac:dyDescent="0.25">
      <c r="A5" s="9"/>
      <c r="B5" s="10" t="s">
        <v>27</v>
      </c>
      <c r="C5" s="10" t="s">
        <v>28</v>
      </c>
      <c r="D5" s="10" t="s">
        <v>29</v>
      </c>
      <c r="E5" s="11"/>
      <c r="F5" s="10" t="s">
        <v>27</v>
      </c>
      <c r="G5" s="10" t="s">
        <v>28</v>
      </c>
      <c r="H5" s="10" t="s">
        <v>30</v>
      </c>
      <c r="I5" s="11"/>
      <c r="J5" s="10" t="s">
        <v>26</v>
      </c>
      <c r="K5" s="10" t="s">
        <v>31</v>
      </c>
      <c r="L5" s="51" t="s">
        <v>40</v>
      </c>
      <c r="M5" s="53" t="s">
        <v>37</v>
      </c>
      <c r="N5" s="5"/>
      <c r="O5" s="5"/>
      <c r="P5" s="5"/>
      <c r="Q5" s="5"/>
      <c r="R5" s="5"/>
    </row>
    <row r="6" spans="1:18" x14ac:dyDescent="0.25">
      <c r="A6" s="12" t="s">
        <v>23</v>
      </c>
      <c r="B6" s="13"/>
      <c r="C6" s="13"/>
      <c r="D6" s="13" t="s">
        <v>24</v>
      </c>
      <c r="E6" s="14"/>
      <c r="F6" s="13"/>
      <c r="G6" s="13"/>
      <c r="H6" s="4" t="s">
        <v>25</v>
      </c>
      <c r="I6" s="15"/>
      <c r="J6" s="13" t="s">
        <v>24</v>
      </c>
      <c r="K6" s="13" t="s">
        <v>32</v>
      </c>
      <c r="L6" s="52"/>
      <c r="M6" s="54"/>
      <c r="N6" s="5"/>
      <c r="O6" s="5"/>
      <c r="P6" s="5"/>
      <c r="Q6" s="5"/>
      <c r="R6" s="5"/>
    </row>
    <row r="7" spans="1:18" x14ac:dyDescent="0.2">
      <c r="A7" s="29" t="s">
        <v>2</v>
      </c>
      <c r="B7" s="30">
        <f>SUM(B8:B9)</f>
        <v>2718</v>
      </c>
      <c r="C7" s="30">
        <f>SUM(C8:C9)</f>
        <v>320</v>
      </c>
      <c r="D7" s="30">
        <f>SUM(D8:D9)</f>
        <v>3038</v>
      </c>
      <c r="E7" s="26"/>
      <c r="F7" s="31">
        <f>SUM(F8:F9)</f>
        <v>4908</v>
      </c>
      <c r="G7" s="30">
        <f>SUM(G8:G9)</f>
        <v>871</v>
      </c>
      <c r="H7" s="30">
        <f>SUM(H8:H9)</f>
        <v>5779</v>
      </c>
      <c r="I7" s="32"/>
      <c r="J7" s="33">
        <f>SUM(D7,H7)</f>
        <v>8817</v>
      </c>
      <c r="K7" s="34">
        <f>H7/J7*100</f>
        <v>65.543835771804467</v>
      </c>
      <c r="L7" s="45">
        <f>C7/D7*100</f>
        <v>10.533245556287032</v>
      </c>
      <c r="M7" s="46">
        <f>G7/H7*100</f>
        <v>15.071811732133586</v>
      </c>
      <c r="N7" s="5"/>
      <c r="O7" s="26"/>
      <c r="P7" s="57"/>
      <c r="Q7" s="58"/>
      <c r="R7" s="5"/>
    </row>
    <row r="8" spans="1:18" x14ac:dyDescent="0.2">
      <c r="A8" s="29" t="s">
        <v>3</v>
      </c>
      <c r="B8" s="26">
        <v>424</v>
      </c>
      <c r="C8" s="26">
        <v>8</v>
      </c>
      <c r="D8" s="26">
        <f>B8+C8</f>
        <v>432</v>
      </c>
      <c r="E8" s="26"/>
      <c r="F8" s="35">
        <v>1758</v>
      </c>
      <c r="G8" s="26">
        <v>68</v>
      </c>
      <c r="H8" s="26">
        <f>F8+G8</f>
        <v>1826</v>
      </c>
      <c r="I8" s="36"/>
      <c r="J8" s="37">
        <f>SUM(D8,H8)</f>
        <v>2258</v>
      </c>
      <c r="K8" s="34">
        <f>H8/J8*100</f>
        <v>80.868024800708596</v>
      </c>
      <c r="L8" s="45">
        <f t="shared" ref="L8:L29" si="0">C8/D8*100</f>
        <v>1.8518518518518516</v>
      </c>
      <c r="M8" s="46">
        <f t="shared" ref="M8:M29" si="1">G8/H8*100</f>
        <v>3.7239868565169769</v>
      </c>
      <c r="N8" s="5"/>
      <c r="O8" s="26"/>
      <c r="P8" s="57"/>
      <c r="Q8" s="58"/>
      <c r="R8" s="5"/>
    </row>
    <row r="9" spans="1:18" x14ac:dyDescent="0.2">
      <c r="A9" s="29" t="s">
        <v>4</v>
      </c>
      <c r="B9" s="26">
        <v>2294</v>
      </c>
      <c r="C9" s="26">
        <v>312</v>
      </c>
      <c r="D9" s="26">
        <f>SUM(D10:D29)</f>
        <v>2606</v>
      </c>
      <c r="E9" s="26"/>
      <c r="F9" s="35">
        <v>3150</v>
      </c>
      <c r="G9" s="26">
        <v>803</v>
      </c>
      <c r="H9" s="26">
        <f>SUM(H10:H29)</f>
        <v>3953</v>
      </c>
      <c r="I9" s="36"/>
      <c r="J9" s="37">
        <f>SUM(D9,H9)</f>
        <v>6559</v>
      </c>
      <c r="K9" s="34">
        <f>H9/J9*100</f>
        <v>60.268333587437105</v>
      </c>
      <c r="L9" s="45">
        <f t="shared" si="0"/>
        <v>11.97237145049885</v>
      </c>
      <c r="M9" s="46">
        <f t="shared" si="1"/>
        <v>20.313685808246902</v>
      </c>
      <c r="N9" s="5"/>
      <c r="O9" s="26"/>
      <c r="P9" s="57"/>
      <c r="Q9" s="58"/>
      <c r="R9" s="5"/>
    </row>
    <row r="10" spans="1:18" x14ac:dyDescent="0.2">
      <c r="A10" s="23" t="s">
        <v>33</v>
      </c>
      <c r="B10" s="27">
        <v>125</v>
      </c>
      <c r="C10" s="27">
        <v>40</v>
      </c>
      <c r="D10" s="26">
        <f>B10+C10</f>
        <v>165</v>
      </c>
      <c r="E10" s="27"/>
      <c r="F10" s="38">
        <v>220</v>
      </c>
      <c r="G10" s="27">
        <v>70</v>
      </c>
      <c r="H10" s="26">
        <f>F10+G10</f>
        <v>290</v>
      </c>
      <c r="I10" s="36"/>
      <c r="J10" s="39">
        <f t="shared" ref="J10:J29" si="2">SUM(D10,H10)</f>
        <v>455</v>
      </c>
      <c r="K10" s="40">
        <f t="shared" ref="K10:K29" si="3">H10/J10*100</f>
        <v>63.73626373626373</v>
      </c>
      <c r="L10" s="45">
        <f t="shared" si="0"/>
        <v>24.242424242424242</v>
      </c>
      <c r="M10" s="46">
        <f t="shared" si="1"/>
        <v>24.137931034482758</v>
      </c>
      <c r="N10" s="5"/>
      <c r="O10" s="5"/>
      <c r="P10" s="5"/>
      <c r="Q10" s="5"/>
      <c r="R10" s="5"/>
    </row>
    <row r="11" spans="1:18" x14ac:dyDescent="0.2">
      <c r="A11" s="23" t="s">
        <v>34</v>
      </c>
      <c r="B11" s="27">
        <v>163</v>
      </c>
      <c r="C11" s="27">
        <v>44</v>
      </c>
      <c r="D11" s="26">
        <f>B11+C11</f>
        <v>207</v>
      </c>
      <c r="E11" s="27"/>
      <c r="F11" s="38">
        <v>297</v>
      </c>
      <c r="G11" s="27">
        <v>72</v>
      </c>
      <c r="H11" s="26">
        <f>F11+G11</f>
        <v>369</v>
      </c>
      <c r="I11" s="36"/>
      <c r="J11" s="39">
        <f t="shared" si="2"/>
        <v>576</v>
      </c>
      <c r="K11" s="40">
        <f t="shared" si="3"/>
        <v>64.0625</v>
      </c>
      <c r="L11" s="45">
        <f t="shared" si="0"/>
        <v>21.256038647342994</v>
      </c>
      <c r="M11" s="46">
        <f t="shared" si="1"/>
        <v>19.512195121951219</v>
      </c>
      <c r="N11" s="5"/>
      <c r="O11" s="5"/>
      <c r="P11" s="5"/>
      <c r="Q11" s="5"/>
      <c r="R11" s="5"/>
    </row>
    <row r="12" spans="1:18" x14ac:dyDescent="0.2">
      <c r="A12" s="23" t="s">
        <v>35</v>
      </c>
      <c r="B12" s="27">
        <v>181</v>
      </c>
      <c r="C12" s="27">
        <v>32</v>
      </c>
      <c r="D12" s="26">
        <f t="shared" ref="D12:D29" si="4">B12+C12</f>
        <v>213</v>
      </c>
      <c r="E12" s="27"/>
      <c r="F12" s="38">
        <v>176</v>
      </c>
      <c r="G12" s="27">
        <v>66</v>
      </c>
      <c r="H12" s="26">
        <f t="shared" ref="H12:H29" si="5">F12+G12</f>
        <v>242</v>
      </c>
      <c r="I12" s="36"/>
      <c r="J12" s="39">
        <f t="shared" si="2"/>
        <v>455</v>
      </c>
      <c r="K12" s="40">
        <f t="shared" si="3"/>
        <v>53.18681318681319</v>
      </c>
      <c r="L12" s="45">
        <f t="shared" si="0"/>
        <v>15.023474178403756</v>
      </c>
      <c r="M12" s="46">
        <f t="shared" si="1"/>
        <v>27.27272727272727</v>
      </c>
      <c r="N12" s="5"/>
      <c r="O12" s="5"/>
      <c r="P12" s="5"/>
      <c r="Q12" s="5"/>
      <c r="R12" s="5"/>
    </row>
    <row r="13" spans="1:18" x14ac:dyDescent="0.2">
      <c r="A13" s="23" t="s">
        <v>20</v>
      </c>
      <c r="B13" s="27">
        <v>124</v>
      </c>
      <c r="C13" s="27">
        <v>30</v>
      </c>
      <c r="D13" s="26">
        <f t="shared" si="4"/>
        <v>154</v>
      </c>
      <c r="E13" s="27"/>
      <c r="F13" s="38">
        <v>183</v>
      </c>
      <c r="G13" s="27">
        <v>30</v>
      </c>
      <c r="H13" s="26">
        <f t="shared" si="5"/>
        <v>213</v>
      </c>
      <c r="I13" s="36"/>
      <c r="J13" s="39">
        <f t="shared" si="2"/>
        <v>367</v>
      </c>
      <c r="K13" s="40">
        <f t="shared" si="3"/>
        <v>58.038147138964582</v>
      </c>
      <c r="L13" s="45">
        <f t="shared" si="0"/>
        <v>19.480519480519483</v>
      </c>
      <c r="M13" s="46">
        <f t="shared" si="1"/>
        <v>14.084507042253522</v>
      </c>
      <c r="N13" s="5"/>
      <c r="O13" s="5"/>
      <c r="P13" s="5"/>
      <c r="Q13" s="5"/>
      <c r="R13" s="5"/>
    </row>
    <row r="14" spans="1:18" x14ac:dyDescent="0.2">
      <c r="A14" s="23" t="s">
        <v>36</v>
      </c>
      <c r="B14" s="27">
        <v>210</v>
      </c>
      <c r="C14" s="27">
        <v>25</v>
      </c>
      <c r="D14" s="26">
        <f t="shared" si="4"/>
        <v>235</v>
      </c>
      <c r="E14" s="27"/>
      <c r="F14" s="38">
        <v>244</v>
      </c>
      <c r="G14" s="27">
        <v>49</v>
      </c>
      <c r="H14" s="26">
        <f t="shared" si="5"/>
        <v>293</v>
      </c>
      <c r="I14" s="36"/>
      <c r="J14" s="39">
        <f t="shared" si="2"/>
        <v>528</v>
      </c>
      <c r="K14" s="40">
        <f t="shared" si="3"/>
        <v>55.492424242424242</v>
      </c>
      <c r="L14" s="45">
        <f t="shared" si="0"/>
        <v>10.638297872340425</v>
      </c>
      <c r="M14" s="46">
        <f t="shared" si="1"/>
        <v>16.723549488054605</v>
      </c>
    </row>
    <row r="15" spans="1:18" x14ac:dyDescent="0.2">
      <c r="A15" s="23" t="s">
        <v>6</v>
      </c>
      <c r="B15" s="27">
        <v>124</v>
      </c>
      <c r="C15" s="27">
        <v>13</v>
      </c>
      <c r="D15" s="26">
        <f t="shared" si="4"/>
        <v>137</v>
      </c>
      <c r="E15" s="27"/>
      <c r="F15" s="38">
        <v>163</v>
      </c>
      <c r="G15" s="27">
        <v>55</v>
      </c>
      <c r="H15" s="26">
        <f t="shared" si="5"/>
        <v>218</v>
      </c>
      <c r="I15" s="36"/>
      <c r="J15" s="39">
        <f t="shared" si="2"/>
        <v>355</v>
      </c>
      <c r="K15" s="40">
        <f t="shared" si="3"/>
        <v>61.408450704225345</v>
      </c>
      <c r="L15" s="45">
        <f t="shared" si="0"/>
        <v>9.4890510948905096</v>
      </c>
      <c r="M15" s="46">
        <f t="shared" si="1"/>
        <v>25.229357798165136</v>
      </c>
    </row>
    <row r="16" spans="1:18" x14ac:dyDescent="0.2">
      <c r="A16" s="23" t="s">
        <v>7</v>
      </c>
      <c r="B16" s="27">
        <v>90</v>
      </c>
      <c r="C16" s="27">
        <v>8</v>
      </c>
      <c r="D16" s="26">
        <f t="shared" si="4"/>
        <v>98</v>
      </c>
      <c r="E16" s="27"/>
      <c r="F16" s="38">
        <v>118</v>
      </c>
      <c r="G16" s="27">
        <v>5</v>
      </c>
      <c r="H16" s="26">
        <f t="shared" si="5"/>
        <v>123</v>
      </c>
      <c r="I16" s="36"/>
      <c r="J16" s="39">
        <f t="shared" si="2"/>
        <v>221</v>
      </c>
      <c r="K16" s="40">
        <f t="shared" si="3"/>
        <v>55.656108597285069</v>
      </c>
      <c r="L16" s="45">
        <f t="shared" si="0"/>
        <v>8.1632653061224492</v>
      </c>
      <c r="M16" s="46">
        <f t="shared" si="1"/>
        <v>4.0650406504065035</v>
      </c>
    </row>
    <row r="17" spans="1:13" x14ac:dyDescent="0.2">
      <c r="A17" s="23" t="s">
        <v>9</v>
      </c>
      <c r="B17" s="27">
        <v>124</v>
      </c>
      <c r="C17" s="27">
        <v>1</v>
      </c>
      <c r="D17" s="26">
        <f t="shared" si="4"/>
        <v>125</v>
      </c>
      <c r="E17" s="27"/>
      <c r="F17" s="38">
        <v>149</v>
      </c>
      <c r="G17" s="27">
        <v>14</v>
      </c>
      <c r="H17" s="26">
        <f t="shared" si="5"/>
        <v>163</v>
      </c>
      <c r="I17" s="36"/>
      <c r="J17" s="39">
        <f t="shared" si="2"/>
        <v>288</v>
      </c>
      <c r="K17" s="40">
        <f t="shared" si="3"/>
        <v>56.597222222222221</v>
      </c>
      <c r="L17" s="45">
        <f t="shared" si="0"/>
        <v>0.8</v>
      </c>
      <c r="M17" s="46">
        <f t="shared" si="1"/>
        <v>8.5889570552147241</v>
      </c>
    </row>
    <row r="18" spans="1:13" x14ac:dyDescent="0.2">
      <c r="A18" s="23" t="s">
        <v>10</v>
      </c>
      <c r="B18" s="27">
        <v>95</v>
      </c>
      <c r="C18" s="27">
        <v>4</v>
      </c>
      <c r="D18" s="26">
        <f t="shared" si="4"/>
        <v>99</v>
      </c>
      <c r="E18" s="27"/>
      <c r="F18" s="38">
        <v>90</v>
      </c>
      <c r="G18" s="27">
        <v>25</v>
      </c>
      <c r="H18" s="26">
        <f t="shared" si="5"/>
        <v>115</v>
      </c>
      <c r="I18" s="36"/>
      <c r="J18" s="39">
        <f t="shared" si="2"/>
        <v>214</v>
      </c>
      <c r="K18" s="40">
        <f t="shared" si="3"/>
        <v>53.738317757009348</v>
      </c>
      <c r="L18" s="45">
        <f t="shared" si="0"/>
        <v>4.0404040404040407</v>
      </c>
      <c r="M18" s="46">
        <f t="shared" si="1"/>
        <v>21.739130434782609</v>
      </c>
    </row>
    <row r="19" spans="1:13" x14ac:dyDescent="0.2">
      <c r="A19" s="23" t="s">
        <v>11</v>
      </c>
      <c r="B19" s="27">
        <v>114</v>
      </c>
      <c r="C19" s="27">
        <v>2</v>
      </c>
      <c r="D19" s="26">
        <f t="shared" si="4"/>
        <v>116</v>
      </c>
      <c r="E19" s="27"/>
      <c r="F19" s="38">
        <v>150</v>
      </c>
      <c r="G19" s="27">
        <v>11</v>
      </c>
      <c r="H19" s="26">
        <f t="shared" si="5"/>
        <v>161</v>
      </c>
      <c r="I19" s="36"/>
      <c r="J19" s="39">
        <f t="shared" si="2"/>
        <v>277</v>
      </c>
      <c r="K19" s="40">
        <f t="shared" si="3"/>
        <v>58.122743682310471</v>
      </c>
      <c r="L19" s="45">
        <f t="shared" si="0"/>
        <v>1.7241379310344827</v>
      </c>
      <c r="M19" s="46">
        <f t="shared" si="1"/>
        <v>6.8322981366459627</v>
      </c>
    </row>
    <row r="20" spans="1:13" x14ac:dyDescent="0.2">
      <c r="A20" s="23" t="s">
        <v>12</v>
      </c>
      <c r="B20" s="27">
        <v>18</v>
      </c>
      <c r="C20" s="27">
        <v>3</v>
      </c>
      <c r="D20" s="26">
        <f t="shared" si="4"/>
        <v>21</v>
      </c>
      <c r="E20" s="27"/>
      <c r="F20" s="38">
        <v>33</v>
      </c>
      <c r="G20" s="27">
        <v>11</v>
      </c>
      <c r="H20" s="26">
        <f t="shared" si="5"/>
        <v>44</v>
      </c>
      <c r="I20" s="36"/>
      <c r="J20" s="39">
        <f t="shared" si="2"/>
        <v>65</v>
      </c>
      <c r="K20" s="40">
        <f t="shared" si="3"/>
        <v>67.692307692307693</v>
      </c>
      <c r="L20" s="45">
        <f t="shared" si="0"/>
        <v>14.285714285714285</v>
      </c>
      <c r="M20" s="46">
        <f t="shared" si="1"/>
        <v>25</v>
      </c>
    </row>
    <row r="21" spans="1:13" x14ac:dyDescent="0.2">
      <c r="A21" s="23" t="s">
        <v>13</v>
      </c>
      <c r="B21" s="27">
        <v>77</v>
      </c>
      <c r="C21" s="27">
        <v>1</v>
      </c>
      <c r="D21" s="26">
        <f t="shared" si="4"/>
        <v>78</v>
      </c>
      <c r="E21" s="27"/>
      <c r="F21" s="38">
        <v>101</v>
      </c>
      <c r="G21" s="27">
        <v>7</v>
      </c>
      <c r="H21" s="26">
        <f t="shared" si="5"/>
        <v>108</v>
      </c>
      <c r="I21" s="36"/>
      <c r="J21" s="39">
        <f t="shared" si="2"/>
        <v>186</v>
      </c>
      <c r="K21" s="40">
        <f t="shared" si="3"/>
        <v>58.064516129032263</v>
      </c>
      <c r="L21" s="45">
        <f t="shared" si="0"/>
        <v>1.2820512820512819</v>
      </c>
      <c r="M21" s="46">
        <f t="shared" si="1"/>
        <v>6.481481481481481</v>
      </c>
    </row>
    <row r="22" spans="1:13" x14ac:dyDescent="0.2">
      <c r="A22" s="23" t="s">
        <v>14</v>
      </c>
      <c r="B22" s="27">
        <v>77</v>
      </c>
      <c r="C22" s="27">
        <v>0</v>
      </c>
      <c r="D22" s="26">
        <f t="shared" si="4"/>
        <v>77</v>
      </c>
      <c r="E22" s="27"/>
      <c r="F22" s="38">
        <v>80</v>
      </c>
      <c r="G22" s="27">
        <v>0</v>
      </c>
      <c r="H22" s="26">
        <f t="shared" si="5"/>
        <v>80</v>
      </c>
      <c r="I22" s="36"/>
      <c r="J22" s="39">
        <f t="shared" si="2"/>
        <v>157</v>
      </c>
      <c r="K22" s="40">
        <f t="shared" si="3"/>
        <v>50.955414012738856</v>
      </c>
      <c r="L22" s="45">
        <f t="shared" si="0"/>
        <v>0</v>
      </c>
      <c r="M22" s="46">
        <f t="shared" si="1"/>
        <v>0</v>
      </c>
    </row>
    <row r="23" spans="1:13" x14ac:dyDescent="0.2">
      <c r="A23" s="23" t="s">
        <v>15</v>
      </c>
      <c r="B23" s="27">
        <v>92</v>
      </c>
      <c r="C23" s="27">
        <v>3</v>
      </c>
      <c r="D23" s="26">
        <f t="shared" si="4"/>
        <v>95</v>
      </c>
      <c r="E23" s="27"/>
      <c r="F23" s="38">
        <v>87</v>
      </c>
      <c r="G23" s="27">
        <v>7</v>
      </c>
      <c r="H23" s="26">
        <f t="shared" si="5"/>
        <v>94</v>
      </c>
      <c r="I23" s="36"/>
      <c r="J23" s="39">
        <f t="shared" si="2"/>
        <v>189</v>
      </c>
      <c r="K23" s="40">
        <f t="shared" si="3"/>
        <v>49.735449735449734</v>
      </c>
      <c r="L23" s="45">
        <f t="shared" si="0"/>
        <v>3.1578947368421053</v>
      </c>
      <c r="M23" s="46">
        <f t="shared" si="1"/>
        <v>7.4468085106382977</v>
      </c>
    </row>
    <row r="24" spans="1:13" x14ac:dyDescent="0.2">
      <c r="A24" s="23" t="s">
        <v>16</v>
      </c>
      <c r="B24" s="27">
        <v>153</v>
      </c>
      <c r="C24" s="27">
        <v>4</v>
      </c>
      <c r="D24" s="26">
        <f t="shared" si="4"/>
        <v>157</v>
      </c>
      <c r="E24" s="27"/>
      <c r="F24" s="38">
        <v>173</v>
      </c>
      <c r="G24" s="27">
        <v>24</v>
      </c>
      <c r="H24" s="26">
        <f t="shared" si="5"/>
        <v>197</v>
      </c>
      <c r="I24" s="36"/>
      <c r="J24" s="39">
        <f t="shared" si="2"/>
        <v>354</v>
      </c>
      <c r="K24" s="40">
        <f t="shared" si="3"/>
        <v>55.649717514124298</v>
      </c>
      <c r="L24" s="45">
        <f t="shared" si="0"/>
        <v>2.547770700636943</v>
      </c>
      <c r="M24" s="46">
        <f t="shared" si="1"/>
        <v>12.18274111675127</v>
      </c>
    </row>
    <row r="25" spans="1:13" x14ac:dyDescent="0.2">
      <c r="A25" s="23" t="s">
        <v>8</v>
      </c>
      <c r="B25" s="27">
        <v>181</v>
      </c>
      <c r="C25" s="27">
        <v>9</v>
      </c>
      <c r="D25" s="26">
        <f t="shared" si="4"/>
        <v>190</v>
      </c>
      <c r="E25" s="27"/>
      <c r="F25" s="38">
        <v>206</v>
      </c>
      <c r="G25" s="27">
        <v>16</v>
      </c>
      <c r="H25" s="26">
        <f t="shared" si="5"/>
        <v>222</v>
      </c>
      <c r="I25" s="36"/>
      <c r="J25" s="39">
        <f t="shared" si="2"/>
        <v>412</v>
      </c>
      <c r="K25" s="40">
        <f t="shared" si="3"/>
        <v>53.883495145631066</v>
      </c>
      <c r="L25" s="45">
        <f t="shared" si="0"/>
        <v>4.7368421052631584</v>
      </c>
      <c r="M25" s="46">
        <f t="shared" si="1"/>
        <v>7.2072072072072073</v>
      </c>
    </row>
    <row r="26" spans="1:13" x14ac:dyDescent="0.2">
      <c r="A26" s="23" t="s">
        <v>17</v>
      </c>
      <c r="B26" s="27">
        <v>93</v>
      </c>
      <c r="C26" s="27">
        <v>31</v>
      </c>
      <c r="D26" s="26">
        <f t="shared" si="4"/>
        <v>124</v>
      </c>
      <c r="E26" s="27"/>
      <c r="F26" s="38">
        <v>90</v>
      </c>
      <c r="G26" s="27">
        <v>95</v>
      </c>
      <c r="H26" s="26">
        <f t="shared" si="5"/>
        <v>185</v>
      </c>
      <c r="I26" s="36"/>
      <c r="J26" s="39">
        <f t="shared" si="2"/>
        <v>309</v>
      </c>
      <c r="K26" s="40">
        <f t="shared" si="3"/>
        <v>59.870550161812297</v>
      </c>
      <c r="L26" s="45">
        <f t="shared" si="0"/>
        <v>25</v>
      </c>
      <c r="M26" s="46">
        <f t="shared" si="1"/>
        <v>51.351351351351347</v>
      </c>
    </row>
    <row r="27" spans="1:13" x14ac:dyDescent="0.2">
      <c r="A27" s="23" t="s">
        <v>18</v>
      </c>
      <c r="B27" s="27">
        <v>85</v>
      </c>
      <c r="C27" s="27">
        <v>20</v>
      </c>
      <c r="D27" s="26">
        <f t="shared" si="4"/>
        <v>105</v>
      </c>
      <c r="E27" s="27"/>
      <c r="F27" s="38">
        <v>195</v>
      </c>
      <c r="G27" s="27">
        <v>73</v>
      </c>
      <c r="H27" s="26">
        <f t="shared" si="5"/>
        <v>268</v>
      </c>
      <c r="I27" s="36"/>
      <c r="J27" s="39">
        <f t="shared" si="2"/>
        <v>373</v>
      </c>
      <c r="K27" s="40">
        <f t="shared" si="3"/>
        <v>71.849865951742629</v>
      </c>
      <c r="L27" s="45">
        <f t="shared" si="0"/>
        <v>19.047619047619047</v>
      </c>
      <c r="M27" s="46">
        <f t="shared" si="1"/>
        <v>27.238805970149254</v>
      </c>
    </row>
    <row r="28" spans="1:13" x14ac:dyDescent="0.2">
      <c r="A28" s="24" t="s">
        <v>19</v>
      </c>
      <c r="B28" s="27">
        <v>13</v>
      </c>
      <c r="C28" s="27">
        <v>20</v>
      </c>
      <c r="D28" s="26">
        <f t="shared" si="4"/>
        <v>33</v>
      </c>
      <c r="E28" s="27"/>
      <c r="F28" s="38">
        <v>67</v>
      </c>
      <c r="G28" s="27">
        <v>121</v>
      </c>
      <c r="H28" s="26">
        <f t="shared" si="5"/>
        <v>188</v>
      </c>
      <c r="I28" s="36"/>
      <c r="J28" s="39">
        <f t="shared" si="2"/>
        <v>221</v>
      </c>
      <c r="K28" s="40">
        <f t="shared" si="3"/>
        <v>85.067873303167417</v>
      </c>
      <c r="L28" s="45">
        <f t="shared" si="0"/>
        <v>60.606060606060609</v>
      </c>
      <c r="M28" s="46">
        <f t="shared" si="1"/>
        <v>64.361702127659569</v>
      </c>
    </row>
    <row r="29" spans="1:13" x14ac:dyDescent="0.2">
      <c r="A29" s="25" t="s">
        <v>5</v>
      </c>
      <c r="B29" s="28">
        <v>155</v>
      </c>
      <c r="C29" s="28">
        <v>22</v>
      </c>
      <c r="D29" s="41">
        <f t="shared" si="4"/>
        <v>177</v>
      </c>
      <c r="E29" s="28"/>
      <c r="F29" s="42">
        <v>328</v>
      </c>
      <c r="G29" s="28">
        <v>52</v>
      </c>
      <c r="H29" s="41">
        <f t="shared" si="5"/>
        <v>380</v>
      </c>
      <c r="I29" s="43"/>
      <c r="J29" s="44">
        <f t="shared" si="2"/>
        <v>557</v>
      </c>
      <c r="K29" s="28">
        <f t="shared" si="3"/>
        <v>68.222621184919205</v>
      </c>
      <c r="L29" s="47">
        <f t="shared" si="0"/>
        <v>12.429378531073446</v>
      </c>
      <c r="M29" s="48">
        <f t="shared" si="1"/>
        <v>13.684210526315791</v>
      </c>
    </row>
    <row r="30" spans="1:13" x14ac:dyDescent="0.25">
      <c r="A30" s="16" t="s">
        <v>21</v>
      </c>
      <c r="B30" s="9"/>
      <c r="C30" s="9"/>
      <c r="D30" s="9"/>
      <c r="E30" s="9"/>
      <c r="F30" s="17"/>
      <c r="G30" s="17"/>
      <c r="H30" s="17"/>
      <c r="I30" s="17"/>
      <c r="J30" s="17"/>
      <c r="M30" s="18" t="s">
        <v>22</v>
      </c>
    </row>
    <row r="32" spans="1:13" x14ac:dyDescent="0.25">
      <c r="A32" s="19"/>
      <c r="B32" s="5"/>
    </row>
    <row r="33" spans="1:2" x14ac:dyDescent="0.25">
      <c r="A33" s="19"/>
      <c r="B33" s="5"/>
    </row>
    <row r="34" spans="1:2" x14ac:dyDescent="0.25">
      <c r="A34" s="21"/>
      <c r="B34" s="5"/>
    </row>
  </sheetData>
  <mergeCells count="8">
    <mergeCell ref="L4:M4"/>
    <mergeCell ref="L5:L6"/>
    <mergeCell ref="M5:M6"/>
    <mergeCell ref="A1:M1"/>
    <mergeCell ref="A2:M2"/>
    <mergeCell ref="B4:D4"/>
    <mergeCell ref="F4:H4"/>
    <mergeCell ref="J4:K4"/>
  </mergeCells>
  <pageMargins left="0.7" right="0.7" top="0.75" bottom="0.57999999999999996" header="0.3" footer="0.3"/>
  <pageSetup paperSize="9" scale="99" orientation="landscape" r:id="rId1"/>
  <rowBreaks count="1" manualBreakCount="1">
    <brk id="31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7.9</vt:lpstr>
      <vt:lpstr>'7.9'!Print_Area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2016-04-04T08:38:10Z</cp:lastPrinted>
  <dcterms:created xsi:type="dcterms:W3CDTF">2014-03-05T03:36:41Z</dcterms:created>
  <dcterms:modified xsi:type="dcterms:W3CDTF">2016-04-04T08:38:15Z</dcterms:modified>
</cp:coreProperties>
</file>