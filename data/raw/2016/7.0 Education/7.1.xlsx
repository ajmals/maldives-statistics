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20" windowHeight="8025" tabRatio="880"/>
  </bookViews>
  <sheets>
    <sheet name="7.1" sheetId="3" r:id="rId1"/>
  </sheets>
  <definedNames>
    <definedName name="_xlnm.Print_Area" localSheetId="0">'7.1'!$A$1:$K$97</definedName>
  </definedNames>
  <calcPr calcId="144525"/>
</workbook>
</file>

<file path=xl/calcChain.xml><?xml version="1.0" encoding="utf-8"?>
<calcChain xmlns="http://schemas.openxmlformats.org/spreadsheetml/2006/main">
  <c r="AD96" i="3" l="1"/>
  <c r="AC97" i="3" l="1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96" i="3"/>
  <c r="J8" i="3" l="1"/>
  <c r="I8" i="3"/>
  <c r="H8" i="3"/>
  <c r="D8" i="3"/>
  <c r="E8" i="3"/>
  <c r="H6" i="3" l="1"/>
  <c r="J6" i="3"/>
  <c r="I6" i="3"/>
  <c r="G8" i="3"/>
  <c r="AH98" i="3" s="1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7" i="3"/>
  <c r="AI98" i="3" l="1"/>
  <c r="AJ98" i="3"/>
  <c r="AJ105" i="3"/>
  <c r="AI105" i="3"/>
  <c r="AH105" i="3"/>
  <c r="AI102" i="3"/>
  <c r="AH102" i="3"/>
  <c r="AJ102" i="3"/>
  <c r="AI110" i="3"/>
  <c r="AH110" i="3"/>
  <c r="AJ110" i="3"/>
  <c r="AJ118" i="3"/>
  <c r="AH118" i="3"/>
  <c r="AI118" i="3"/>
  <c r="AI103" i="3"/>
  <c r="AJ103" i="3"/>
  <c r="AH103" i="3"/>
  <c r="AI104" i="3"/>
  <c r="AH104" i="3"/>
  <c r="AJ104" i="3"/>
  <c r="AI112" i="3"/>
  <c r="AJ112" i="3"/>
  <c r="AH112" i="3"/>
  <c r="AI111" i="3"/>
  <c r="AH111" i="3"/>
  <c r="AJ111" i="3"/>
  <c r="AI113" i="3"/>
  <c r="AH113" i="3"/>
  <c r="AJ113" i="3"/>
  <c r="AI97" i="3"/>
  <c r="AH97" i="3"/>
  <c r="AJ97" i="3"/>
  <c r="AH106" i="3"/>
  <c r="AI106" i="3"/>
  <c r="AJ106" i="3"/>
  <c r="AJ114" i="3"/>
  <c r="AH114" i="3"/>
  <c r="AI114" i="3"/>
  <c r="G6" i="3"/>
  <c r="AJ96" i="3" s="1"/>
  <c r="AJ107" i="3"/>
  <c r="AI107" i="3"/>
  <c r="AH107" i="3"/>
  <c r="AH115" i="3"/>
  <c r="AJ115" i="3"/>
  <c r="AI115" i="3"/>
  <c r="AJ100" i="3"/>
  <c r="AH100" i="3"/>
  <c r="AI100" i="3"/>
  <c r="AI108" i="3"/>
  <c r="AJ108" i="3"/>
  <c r="AH108" i="3"/>
  <c r="AJ116" i="3"/>
  <c r="AH116" i="3"/>
  <c r="AI116" i="3"/>
  <c r="AH99" i="3"/>
  <c r="AI99" i="3"/>
  <c r="AJ99" i="3"/>
  <c r="AI101" i="3"/>
  <c r="AJ101" i="3"/>
  <c r="AH101" i="3"/>
  <c r="AJ109" i="3"/>
  <c r="AI109" i="3"/>
  <c r="AH109" i="3"/>
  <c r="AJ117" i="3"/>
  <c r="AH117" i="3"/>
  <c r="AI117" i="3"/>
  <c r="AI96" i="3" l="1"/>
  <c r="AH96" i="3"/>
  <c r="B9" i="3"/>
  <c r="B28" i="3"/>
  <c r="B27" i="3"/>
  <c r="B25" i="3"/>
  <c r="B23" i="3"/>
  <c r="B21" i="3"/>
  <c r="B19" i="3"/>
  <c r="B17" i="3"/>
  <c r="B15" i="3"/>
  <c r="B13" i="3"/>
  <c r="B11" i="3"/>
  <c r="B26" i="3"/>
  <c r="B24" i="3"/>
  <c r="B22" i="3"/>
  <c r="B20" i="3"/>
  <c r="B18" i="3"/>
  <c r="B16" i="3"/>
  <c r="B14" i="3"/>
  <c r="B12" i="3"/>
  <c r="B10" i="3"/>
  <c r="AF116" i="3" l="1"/>
  <c r="AE116" i="3"/>
  <c r="AD116" i="3"/>
  <c r="AF101" i="3"/>
  <c r="AE101" i="3"/>
  <c r="AD101" i="3"/>
  <c r="AF104" i="3"/>
  <c r="AE104" i="3"/>
  <c r="AD104" i="3"/>
  <c r="AD99" i="3"/>
  <c r="AF99" i="3"/>
  <c r="AE99" i="3"/>
  <c r="AF117" i="3"/>
  <c r="AE117" i="3"/>
  <c r="AD117" i="3"/>
  <c r="AF106" i="3"/>
  <c r="AD106" i="3"/>
  <c r="AE106" i="3"/>
  <c r="AF100" i="3"/>
  <c r="AE100" i="3"/>
  <c r="AD100" i="3"/>
  <c r="AE102" i="3"/>
  <c r="AF102" i="3"/>
  <c r="AD102" i="3"/>
  <c r="AF107" i="3"/>
  <c r="AD107" i="3"/>
  <c r="AE107" i="3"/>
  <c r="AF118" i="3"/>
  <c r="AD118" i="3"/>
  <c r="AE118" i="3"/>
  <c r="AE105" i="3"/>
  <c r="AD105" i="3"/>
  <c r="AF105" i="3"/>
  <c r="AF108" i="3"/>
  <c r="AE108" i="3"/>
  <c r="AD108" i="3"/>
  <c r="AE110" i="3"/>
  <c r="AF110" i="3"/>
  <c r="AD110" i="3"/>
  <c r="AE111" i="3"/>
  <c r="AF111" i="3"/>
  <c r="AD111" i="3"/>
  <c r="AF115" i="3"/>
  <c r="AD115" i="3"/>
  <c r="AE115" i="3"/>
  <c r="AE103" i="3"/>
  <c r="AF103" i="3"/>
  <c r="AD103" i="3"/>
  <c r="AF109" i="3"/>
  <c r="AE109" i="3"/>
  <c r="AD109" i="3"/>
  <c r="AD112" i="3"/>
  <c r="AF112" i="3"/>
  <c r="AE112" i="3"/>
  <c r="AF114" i="3"/>
  <c r="AD114" i="3"/>
  <c r="AE114" i="3"/>
  <c r="AD113" i="3"/>
  <c r="AF113" i="3"/>
  <c r="AE113" i="3"/>
  <c r="C8" i="3"/>
  <c r="B8" i="3" l="1"/>
  <c r="AD98" i="3" s="1"/>
  <c r="C6" i="3"/>
  <c r="D6" i="3"/>
  <c r="B7" i="3"/>
  <c r="E6" i="3"/>
  <c r="AD97" i="3" l="1"/>
  <c r="AF97" i="3"/>
  <c r="AE97" i="3"/>
  <c r="AF96" i="3"/>
  <c r="AE96" i="3"/>
  <c r="AE98" i="3"/>
  <c r="AF98" i="3"/>
  <c r="B6" i="3"/>
</calcChain>
</file>

<file path=xl/sharedStrings.xml><?xml version="1.0" encoding="utf-8"?>
<sst xmlns="http://schemas.openxmlformats.org/spreadsheetml/2006/main" count="129" uniqueCount="72">
  <si>
    <t>Total</t>
  </si>
  <si>
    <r>
      <t xml:space="preserve">     </t>
    </r>
    <r>
      <rPr>
        <b/>
        <sz val="10"/>
        <rFont val="Calibri"/>
        <family val="2"/>
        <scheme val="minor"/>
      </rPr>
      <t xml:space="preserve"> Schools  </t>
    </r>
    <r>
      <rPr>
        <b/>
        <sz val="10"/>
        <rFont val="A_Waheed"/>
      </rPr>
      <t xml:space="preserve"> Wsurwdwm</t>
    </r>
  </si>
  <si>
    <r>
      <t xml:space="preserve">         </t>
    </r>
    <r>
      <rPr>
        <b/>
        <sz val="10"/>
        <rFont val="Calibri"/>
        <family val="2"/>
        <scheme val="minor"/>
      </rPr>
      <t xml:space="preserve">   Students</t>
    </r>
    <r>
      <rPr>
        <b/>
        <sz val="10"/>
        <rFont val="A_Waheed"/>
      </rPr>
      <t xml:space="preserve">  cnidukWvwyik</t>
    </r>
  </si>
  <si>
    <t xml:space="preserve">  Locality</t>
  </si>
  <si>
    <t>wlcmuj</t>
  </si>
  <si>
    <t>urWkurws</t>
  </si>
  <si>
    <t>wlcaimwa</t>
  </si>
  <si>
    <t>egutwAWmwj</t>
  </si>
  <si>
    <r>
      <t xml:space="preserve"> cnwt </t>
    </r>
    <r>
      <rPr>
        <b/>
        <sz val="10"/>
        <rFont val="Win Ahamedey PRB"/>
        <family val="2"/>
      </rPr>
      <t xml:space="preserve"> </t>
    </r>
  </si>
  <si>
    <t>Government</t>
  </si>
  <si>
    <t>Private</t>
  </si>
  <si>
    <t>Community</t>
  </si>
  <si>
    <t>Republic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</si>
  <si>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</si>
  <si>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</si>
  <si>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</si>
  <si>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</si>
  <si>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</si>
  <si>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</si>
  <si>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</si>
  <si>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</si>
  <si>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</si>
  <si>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</si>
  <si>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</si>
  <si>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</si>
  <si>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</si>
  <si>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</si>
  <si>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</si>
  <si>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</si>
  <si>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</si>
  <si>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 xml:space="preserve"> </t>
  </si>
  <si>
    <t>Lh</t>
  </si>
  <si>
    <t>L</t>
  </si>
  <si>
    <t xml:space="preserve">cnehirif </t>
  </si>
  <si>
    <t xml:space="preserve">cnehcnwa </t>
  </si>
  <si>
    <t>K</t>
  </si>
  <si>
    <t>k</t>
  </si>
  <si>
    <t xml:space="preserve"> Male</t>
  </si>
  <si>
    <t xml:space="preserve"> Female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</si>
  <si>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</si>
  <si>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</si>
  <si>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</si>
  <si>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</si>
  <si>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</si>
  <si>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</si>
  <si>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</si>
  <si>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</si>
  <si>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</si>
  <si>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</si>
  <si>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</si>
  <si>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</si>
  <si>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</si>
  <si>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</si>
  <si>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</si>
  <si>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</si>
  <si>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</si>
  <si>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</si>
  <si>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</si>
  <si>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</si>
  <si>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</si>
  <si>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</si>
  <si>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</si>
  <si>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Source: Ministry of Education</t>
  </si>
  <si>
    <t>cnwxEkuaiDea cfoa IrcTcsinim :ctWrwf ivcaed utWmUluAwm</t>
  </si>
  <si>
    <t>HA</t>
  </si>
  <si>
    <t>HDh</t>
  </si>
  <si>
    <t>Sh</t>
  </si>
  <si>
    <t>R</t>
  </si>
  <si>
    <t>2015 ,udwdwa egunwtcnwt Ediawvwyik iaWncnidukWvwyik iawgukwtuLotwa iaWa elWm ,cnutwvWb egunwtcnwt EvedumIluawt : 7.1 ulwvWt</t>
  </si>
  <si>
    <t>Table 7.1 : STUDENT ENROLMENT AND SCHOOLS IN MALE' AND  ATOLLS BY TYPE OF EDUCATIONAL INSTITUTION, 2015</t>
  </si>
  <si>
    <t>ނޯޓް: ޖުމްލައިގެ ތެރޭގައި ޚާއްސަ އެހީއަށް ބޭނުންވާ ކްލާސްތަކުގައި ކިޔަވާ 316 ކުދިން ހިމެނެއެވެ.</t>
  </si>
  <si>
    <t xml:space="preserve"> Includes 316 students enrolled in special classes, for children with special needs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</si>
</sst>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0.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A_Randhoo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name val="A_Randhoo"/>
    </font>
    <font>
      <sz val="9"/>
      <name val="Courier"/>
      <family val="3"/>
    </font>
    <font>
      <b/>
      <sz val="9"/>
      <name val="Arial"/>
      <family val="2"/>
    </font>
    <font>
      <b/>
      <sz val="10"/>
      <name val="Win Ahamedey PRB"/>
      <family val="2"/>
    </font>
    <font>
      <b/>
      <sz val="9"/>
      <name val="Win Ahamedey PRB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A_Randhoo"/>
    </font>
    <font>
      <sz val="9"/>
      <name val="A_Randhoo"/>
    </font>
    <font>
      <sz val="9"/>
      <name val="Arial"/>
      <family val="2"/>
    </font>
    <font>
      <b/>
      <sz val="9"/>
      <name val="A_Waheed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8"/>
      <name val="A_Randhoo"/>
    </font>
    <font>
      <u/>
      <sz val="9"/>
      <color indexed="12"/>
      <name val="Courier"/>
      <family val="3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u/>
      <sz val="9"/>
      <color theme="1"/>
      <name val="Courier"/>
      <family val="3"/>
    </font>
    <font>
      <sz val="9"/>
      <color theme="1"/>
      <name val="Faruma"/>
    </font>
    <font>
      <sz val="10"/>
      <name val="MS Sans Serif"/>
      <family val="2"/>
    </font>
    <font>
      <b/>
      <sz val="11"/>
      <color rgb="FFFF0000"/>
      <name val="A_Randhoo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41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2" fillId="0" borderId="0"/>
    <xf numFmtId="40" fontId="30" fillId="0" borderId="0" applyFont="0" applyFill="0" applyBorder="0" applyAlignment="0" applyProtection="0"/>
    <xf numFmtId="164" fontId="2" fillId="0" borderId="0"/>
    <xf numFmtId="0" fontId="32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33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74">
    <xf numFmtId="0" fontId="0" fillId="0" borderId="0" xfId="0"/>
    <xf numFmtId="165" fontId="8" fillId="2" borderId="0" xfId="0" applyNumberFormat="1" applyFont="1" applyFill="1"/>
    <xf numFmtId="165" fontId="4" fillId="2" borderId="0" xfId="0" applyNumberFormat="1" applyFont="1" applyFill="1" applyBorder="1" applyAlignment="1" applyProtection="1">
      <alignment horizontal="center" vertical="top" wrapText="1"/>
    </xf>
    <xf numFmtId="165" fontId="4" fillId="2" borderId="0" xfId="0" applyNumberFormat="1" applyFont="1" applyFill="1" applyAlignment="1">
      <alignment vertical="top"/>
    </xf>
    <xf numFmtId="165" fontId="3" fillId="2" borderId="2" xfId="0" applyNumberFormat="1" applyFont="1" applyFill="1" applyBorder="1" applyAlignment="1" applyProtection="1">
      <alignment horizontal="left" vertical="center"/>
    </xf>
    <xf numFmtId="165" fontId="5" fillId="2" borderId="7" xfId="0" applyNumberFormat="1" applyFont="1" applyFill="1" applyBorder="1" applyAlignment="1">
      <alignment horizontal="center" vertical="top"/>
    </xf>
    <xf numFmtId="165" fontId="2" fillId="2" borderId="2" xfId="0" applyNumberFormat="1" applyFont="1" applyFill="1" applyBorder="1" applyAlignment="1">
      <alignment vertical="center"/>
    </xf>
    <xf numFmtId="165" fontId="11" fillId="2" borderId="0" xfId="0" applyNumberFormat="1" applyFont="1" applyFill="1" applyBorder="1" applyAlignment="1">
      <alignment vertical="center"/>
    </xf>
    <xf numFmtId="165" fontId="12" fillId="2" borderId="0" xfId="0" applyNumberFormat="1" applyFont="1" applyFill="1" applyAlignment="1">
      <alignment vertical="center"/>
    </xf>
    <xf numFmtId="165" fontId="3" fillId="2" borderId="0" xfId="0" applyNumberFormat="1" applyFont="1" applyFill="1" applyBorder="1" applyAlignment="1" applyProtection="1">
      <alignment horizontal="left" vertical="center"/>
    </xf>
    <xf numFmtId="165" fontId="5" fillId="2" borderId="8" xfId="0" applyNumberFormat="1" applyFont="1" applyFill="1" applyBorder="1" applyAlignment="1" applyProtection="1">
      <alignment horizontal="right" vertical="top"/>
    </xf>
    <xf numFmtId="165" fontId="5" fillId="2" borderId="8" xfId="0" applyNumberFormat="1" applyFont="1" applyFill="1" applyBorder="1" applyAlignment="1">
      <alignment horizontal="right" vertical="top"/>
    </xf>
    <xf numFmtId="165" fontId="5" fillId="2" borderId="6" xfId="0" applyNumberFormat="1" applyFont="1" applyFill="1" applyBorder="1" applyAlignment="1">
      <alignment horizontal="right" vertical="top"/>
    </xf>
    <xf numFmtId="165" fontId="6" fillId="2" borderId="0" xfId="0" applyNumberFormat="1" applyFont="1" applyFill="1" applyBorder="1" applyAlignment="1">
      <alignment horizontal="right" vertical="center"/>
    </xf>
    <xf numFmtId="1" fontId="12" fillId="2" borderId="0" xfId="0" applyNumberFormat="1" applyFont="1" applyFill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165" fontId="3" fillId="2" borderId="1" xfId="0" applyNumberFormat="1" applyFont="1" applyFill="1" applyBorder="1" applyAlignment="1" applyProtection="1">
      <alignment horizontal="right" vertical="center"/>
    </xf>
    <xf numFmtId="165" fontId="3" fillId="2" borderId="1" xfId="0" applyNumberFormat="1" applyFont="1" applyFill="1" applyBorder="1" applyAlignment="1" applyProtection="1">
      <alignment horizontal="right" vertical="center" wrapText="1"/>
    </xf>
    <xf numFmtId="165" fontId="3" fillId="2" borderId="4" xfId="0" applyNumberFormat="1" applyFont="1" applyFill="1" applyBorder="1" applyAlignment="1" applyProtection="1">
      <alignment horizontal="right" vertical="center" wrapText="1"/>
    </xf>
    <xf numFmtId="165" fontId="13" fillId="2" borderId="1" xfId="0" applyNumberFormat="1" applyFont="1" applyFill="1" applyBorder="1" applyAlignment="1">
      <alignment vertical="center"/>
    </xf>
    <xf numFmtId="165" fontId="14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Alignment="1" applyProtection="1">
      <alignment horizontal="left" vertical="center" indent="1"/>
    </xf>
    <xf numFmtId="165" fontId="6" fillId="2" borderId="2" xfId="0" applyNumberFormat="1" applyFont="1" applyFill="1" applyBorder="1" applyAlignment="1">
      <alignment horizontal="right" vertical="center"/>
    </xf>
    <xf numFmtId="165" fontId="7" fillId="2" borderId="0" xfId="0" applyNumberFormat="1" applyFont="1" applyFill="1" applyAlignment="1" applyProtection="1">
      <alignment horizontal="left" vertical="center" indent="1"/>
    </xf>
    <xf numFmtId="165" fontId="17" fillId="2" borderId="0" xfId="0" applyNumberFormat="1" applyFont="1" applyFill="1" applyBorder="1" applyAlignment="1">
      <alignment horizontal="right" vertical="center"/>
    </xf>
    <xf numFmtId="165" fontId="18" fillId="2" borderId="0" xfId="0" applyNumberFormat="1" applyFont="1" applyFill="1" applyBorder="1" applyAlignment="1">
      <alignment horizontal="right" vertical="center"/>
    </xf>
    <xf numFmtId="165" fontId="19" fillId="2" borderId="0" xfId="0" applyNumberFormat="1" applyFont="1" applyFill="1" applyAlignment="1">
      <alignment vertical="center"/>
    </xf>
    <xf numFmtId="165" fontId="15" fillId="2" borderId="0" xfId="0" applyNumberFormat="1" applyFont="1" applyFill="1" applyBorder="1" applyAlignment="1" applyProtection="1">
      <alignment vertical="center"/>
    </xf>
    <xf numFmtId="165" fontId="20" fillId="2" borderId="2" xfId="0" applyNumberFormat="1" applyFont="1" applyFill="1" applyBorder="1" applyAlignment="1" applyProtection="1">
      <alignment horizontal="right" vertical="center" wrapText="1"/>
    </xf>
    <xf numFmtId="165" fontId="15" fillId="2" borderId="1" xfId="0" applyNumberFormat="1" applyFont="1" applyFill="1" applyBorder="1" applyAlignment="1" applyProtection="1">
      <alignment vertical="center"/>
    </xf>
    <xf numFmtId="165" fontId="15" fillId="2" borderId="1" xfId="0" applyNumberFormat="1" applyFont="1" applyFill="1" applyBorder="1" applyAlignment="1">
      <alignment horizontal="right"/>
    </xf>
    <xf numFmtId="165" fontId="15" fillId="2" borderId="0" xfId="0" applyNumberFormat="1" applyFont="1" applyFill="1" applyAlignment="1" applyProtection="1">
      <alignment horizontal="left" vertical="center"/>
    </xf>
    <xf numFmtId="165" fontId="19" fillId="2" borderId="0" xfId="0" applyNumberFormat="1" applyFont="1" applyFill="1"/>
    <xf numFmtId="165" fontId="7" fillId="2" borderId="1" xfId="0" applyNumberFormat="1" applyFont="1" applyFill="1" applyBorder="1" applyAlignment="1" applyProtection="1">
      <alignment horizontal="left" vertical="center" indent="1"/>
    </xf>
    <xf numFmtId="165" fontId="17" fillId="2" borderId="1" xfId="0" applyNumberFormat="1" applyFont="1" applyFill="1" applyBorder="1" applyAlignment="1">
      <alignment horizontal="right" vertical="center"/>
    </xf>
    <xf numFmtId="165" fontId="22" fillId="2" borderId="0" xfId="0" applyNumberFormat="1" applyFont="1" applyFill="1" applyAlignment="1" applyProtection="1">
      <alignment horizontal="left" vertical="center"/>
    </xf>
    <xf numFmtId="165" fontId="23" fillId="2" borderId="0" xfId="0" applyNumberFormat="1" applyFont="1" applyFill="1" applyAlignment="1" applyProtection="1">
      <alignment horizontal="left" vertical="center"/>
    </xf>
    <xf numFmtId="165" fontId="19" fillId="2" borderId="0" xfId="0" applyNumberFormat="1" applyFont="1" applyFill="1" applyBorder="1" applyAlignment="1">
      <alignment vertical="center"/>
    </xf>
    <xf numFmtId="165" fontId="23" fillId="2" borderId="0" xfId="0" applyNumberFormat="1" applyFont="1" applyFill="1" applyAlignment="1" applyProtection="1">
      <alignment horizontal="right" vertical="center"/>
    </xf>
    <xf numFmtId="165" fontId="24" fillId="2" borderId="0" xfId="0" applyNumberFormat="1" applyFont="1" applyFill="1" applyBorder="1" applyAlignment="1">
      <alignment horizontal="right" vertical="center"/>
    </xf>
    <xf numFmtId="165" fontId="16" fillId="2" borderId="0" xfId="0" applyNumberFormat="1" applyFont="1" applyFill="1"/>
    <xf numFmtId="165" fontId="25" fillId="2" borderId="0" xfId="4" applyNumberFormat="1" applyFont="1" applyFill="1" applyAlignment="1" applyProtection="1"/>
    <xf numFmtId="165" fontId="26" fillId="2" borderId="0" xfId="0" applyNumberFormat="1" applyFont="1" applyFill="1" applyAlignment="1">
      <alignment vertical="center"/>
    </xf>
    <xf numFmtId="165" fontId="27" fillId="2" borderId="0" xfId="0" applyNumberFormat="1" applyFont="1" applyFill="1" applyAlignment="1">
      <alignment vertical="center"/>
    </xf>
    <xf numFmtId="165" fontId="28" fillId="2" borderId="0" xfId="4" applyNumberFormat="1" applyFont="1" applyFill="1" applyAlignment="1" applyProtection="1">
      <alignment vertical="center"/>
    </xf>
    <xf numFmtId="165" fontId="29" fillId="2" borderId="0" xfId="0" applyNumberFormat="1" applyFont="1" applyFill="1" applyBorder="1" applyAlignment="1">
      <alignment horizontal="right" vertical="center"/>
    </xf>
    <xf numFmtId="165" fontId="16" fillId="2" borderId="1" xfId="0" applyNumberFormat="1" applyFont="1" applyFill="1" applyBorder="1" applyAlignment="1" applyProtection="1">
      <alignment horizontal="left" vertical="center"/>
    </xf>
    <xf numFmtId="165" fontId="7" fillId="2" borderId="0" xfId="0" applyNumberFormat="1" applyFont="1" applyFill="1"/>
    <xf numFmtId="165" fontId="16" fillId="2" borderId="0" xfId="0" applyNumberFormat="1" applyFont="1" applyFill="1" applyAlignment="1" applyProtection="1">
      <alignment horizontal="left" vertical="center" indent="1"/>
    </xf>
    <xf numFmtId="165" fontId="16" fillId="2" borderId="1" xfId="0" applyNumberFormat="1" applyFont="1" applyFill="1" applyBorder="1" applyAlignment="1" applyProtection="1">
      <alignment horizontal="left" vertical="center" indent="1"/>
    </xf>
    <xf numFmtId="164" fontId="16" fillId="2" borderId="1" xfId="0" applyNumberFormat="1" applyFont="1" applyFill="1" applyBorder="1" applyAlignment="1">
      <alignment vertical="center"/>
    </xf>
    <xf numFmtId="165" fontId="31" fillId="2" borderId="0" xfId="0" applyNumberFormat="1" applyFont="1" applyFill="1" applyAlignment="1">
      <alignment horizontal="center" vertical="center"/>
    </xf>
    <xf numFmtId="3" fontId="3" fillId="2" borderId="2" xfId="0" applyNumberFormat="1" applyFont="1" applyFill="1" applyBorder="1" applyAlignment="1" applyProtection="1">
      <alignment horizontal="right" vertical="center"/>
    </xf>
    <xf numFmtId="0" fontId="3" fillId="2" borderId="2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/>
    </xf>
    <xf numFmtId="37" fontId="3" fillId="2" borderId="5" xfId="1" applyNumberFormat="1" applyFont="1" applyFill="1" applyBorder="1" applyAlignment="1" applyProtection="1">
      <alignment horizontal="right" vertical="center"/>
    </xf>
    <xf numFmtId="37" fontId="3" fillId="2" borderId="0" xfId="1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 applyProtection="1">
      <alignment horizontal="right" vertical="center"/>
    </xf>
    <xf numFmtId="0" fontId="3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37" fontId="3" fillId="2" borderId="0" xfId="1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 applyProtection="1">
      <alignment horizontal="right" vertical="center"/>
    </xf>
    <xf numFmtId="3" fontId="7" fillId="2" borderId="1" xfId="0" applyNumberFormat="1" applyFont="1" applyFill="1" applyBorder="1" applyAlignment="1">
      <alignment horizontal="right" vertical="center"/>
    </xf>
    <xf numFmtId="37" fontId="3" fillId="2" borderId="3" xfId="1" applyNumberFormat="1" applyFont="1" applyFill="1" applyBorder="1" applyAlignment="1" applyProtection="1">
      <alignment horizontal="right" vertical="center"/>
    </xf>
    <xf numFmtId="0" fontId="7" fillId="2" borderId="0" xfId="0" applyNumberFormat="1" applyFont="1" applyFill="1" applyBorder="1" applyAlignment="1">
      <alignment vertical="center"/>
    </xf>
    <xf numFmtId="0" fontId="7" fillId="2" borderId="1" xfId="0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>
      <alignment vertical="center"/>
    </xf>
    <xf numFmtId="37" fontId="7" fillId="2" borderId="1" xfId="1" applyNumberFormat="1" applyFont="1" applyFill="1" applyBorder="1" applyAlignment="1">
      <alignment vertical="center"/>
    </xf>
    <xf numFmtId="167" fontId="8" fillId="2" borderId="0" xfId="0" applyNumberFormat="1" applyFont="1" applyFill="1"/>
    <xf numFmtId="165" fontId="7" fillId="2" borderId="0" xfId="0" applyNumberFormat="1" applyFont="1" applyFill="1" applyAlignment="1">
      <alignment horizontal="right"/>
    </xf>
    <xf numFmtId="165" fontId="10" fillId="2" borderId="0" xfId="0" applyNumberFormat="1" applyFont="1" applyFill="1" applyAlignment="1">
      <alignment horizontal="center" vertical="center" readingOrder="1"/>
    </xf>
    <xf numFmtId="165" fontId="9" fillId="2" borderId="1" xfId="0" applyNumberFormat="1" applyFont="1" applyFill="1" applyBorder="1" applyAlignment="1" applyProtection="1">
      <alignment horizontal="center" vertical="top" wrapText="1"/>
    </xf>
    <xf numFmtId="165" fontId="5" fillId="2" borderId="2" xfId="0" applyNumberFormat="1" applyFont="1" applyFill="1" applyBorder="1" applyAlignment="1">
      <alignment horizontal="center" vertical="top"/>
    </xf>
    <xf numFmtId="165" fontId="15" fillId="2" borderId="1" xfId="0" applyNumberFormat="1" applyFont="1" applyFill="1" applyBorder="1" applyAlignment="1" applyProtection="1">
      <alignment horizontal="center" vertical="center"/>
    </xf>
  </cellXfs>
  <cellStyles count="141">
    <cellStyle name="1" xfId="140"/>
    <cellStyle name="Comma" xfId="1" builtinId="3"/>
    <cellStyle name="Comma 2" xfId="7"/>
    <cellStyle name="Comma 3" xfId="10"/>
    <cellStyle name="Hyperlink" xfId="4" builtinId="8"/>
    <cellStyle name="Normal" xfId="0" builtinId="0"/>
    <cellStyle name="Normal 10" xfId="20"/>
    <cellStyle name="Normal 10 2" xfId="34"/>
    <cellStyle name="Normal 105 2" xfId="126"/>
    <cellStyle name="Normal 11" xfId="21"/>
    <cellStyle name="Normal 11 2" xfId="35"/>
    <cellStyle name="Normal 12" xfId="22"/>
    <cellStyle name="Normal 12 2" xfId="36"/>
    <cellStyle name="Normal 13" xfId="24"/>
    <cellStyle name="Normal 13 2" xfId="37"/>
    <cellStyle name="Normal 14" xfId="25"/>
    <cellStyle name="Normal 14 2" xfId="38"/>
    <cellStyle name="Normal 15" xfId="26"/>
    <cellStyle name="Normal 15 2" xfId="39"/>
    <cellStyle name="Normal 16" xfId="27"/>
    <cellStyle name="Normal 16 2" xfId="40"/>
    <cellStyle name="Normal 17" xfId="28"/>
    <cellStyle name="Normal 17 2" xfId="41"/>
    <cellStyle name="Normal 18" xfId="29"/>
    <cellStyle name="Normal 18 2" xfId="42"/>
    <cellStyle name="Normal 19" xfId="30"/>
    <cellStyle name="Normal 19 2" xfId="43"/>
    <cellStyle name="Normal 2" xfId="13"/>
    <cellStyle name="Normal 2 10" xfId="44"/>
    <cellStyle name="Normal 2 11" xfId="45"/>
    <cellStyle name="Normal 2 12" xfId="46"/>
    <cellStyle name="Normal 2 13" xfId="47"/>
    <cellStyle name="Normal 2 14" xfId="48"/>
    <cellStyle name="Normal 2 15" xfId="49"/>
    <cellStyle name="Normal 2 16" xfId="50"/>
    <cellStyle name="Normal 2 17" xfId="51"/>
    <cellStyle name="Normal 2 18" xfId="52"/>
    <cellStyle name="Normal 2 19" xfId="53"/>
    <cellStyle name="Normal 2 2" xfId="12"/>
    <cellStyle name="Normal 2 2 10" xfId="54"/>
    <cellStyle name="Normal 2 2 11" xfId="55"/>
    <cellStyle name="Normal 2 2 12" xfId="56"/>
    <cellStyle name="Normal 2 2 13" xfId="57"/>
    <cellStyle name="Normal 2 2 14" xfId="58"/>
    <cellStyle name="Normal 2 2 15" xfId="59"/>
    <cellStyle name="Normal 2 2 16" xfId="60"/>
    <cellStyle name="Normal 2 2 17" xfId="61"/>
    <cellStyle name="Normal 2 2 18" xfId="62"/>
    <cellStyle name="Normal 2 2 19" xfId="63"/>
    <cellStyle name="Normal 2 2 2" xfId="5"/>
    <cellStyle name="Normal 2 2 20" xfId="64"/>
    <cellStyle name="Normal 2 2 21" xfId="65"/>
    <cellStyle name="Normal 2 2 22" xfId="66"/>
    <cellStyle name="Normal 2 2 23" xfId="67"/>
    <cellStyle name="Normal 2 2 24" xfId="68"/>
    <cellStyle name="Normal 2 2 24 2" xfId="69"/>
    <cellStyle name="Normal 2 2 24 2 2" xfId="70"/>
    <cellStyle name="Normal 2 2 25" xfId="71"/>
    <cellStyle name="Normal 2 2 25 2" xfId="72"/>
    <cellStyle name="Normal 2 2 3" xfId="73"/>
    <cellStyle name="Normal 2 2 4" xfId="74"/>
    <cellStyle name="Normal 2 2 5" xfId="75"/>
    <cellStyle name="Normal 2 2 5 2" xfId="76"/>
    <cellStyle name="Normal 2 2 5 2 2" xfId="77"/>
    <cellStyle name="Normal 2 2 5 2 2 2" xfId="78"/>
    <cellStyle name="Normal 2 2 5 3" xfId="79"/>
    <cellStyle name="Normal 2 2 5 4" xfId="80"/>
    <cellStyle name="Normal 2 2 6" xfId="81"/>
    <cellStyle name="Normal 2 2 7" xfId="82"/>
    <cellStyle name="Normal 2 2 8" xfId="83"/>
    <cellStyle name="Normal 2 2 9" xfId="84"/>
    <cellStyle name="Normal 2 20" xfId="85"/>
    <cellStyle name="Normal 2 21" xfId="86"/>
    <cellStyle name="Normal 2 22" xfId="87"/>
    <cellStyle name="Normal 2 23" xfId="88"/>
    <cellStyle name="Normal 2 24" xfId="89"/>
    <cellStyle name="Normal 2 24 2" xfId="90"/>
    <cellStyle name="Normal 2 24 2 2" xfId="91"/>
    <cellStyle name="Normal 2 25" xfId="92"/>
    <cellStyle name="Normal 2 25 2" xfId="93"/>
    <cellStyle name="Normal 2 3" xfId="14"/>
    <cellStyle name="Normal 2 3 2" xfId="94"/>
    <cellStyle name="Normal 2 3 2 2" xfId="95"/>
    <cellStyle name="Normal 2 3 2 2 2" xfId="96"/>
    <cellStyle name="Normal 2 3 3" xfId="97"/>
    <cellStyle name="Normal 2 3 4" xfId="98"/>
    <cellStyle name="Normal 2 4" xfId="99"/>
    <cellStyle name="Normal 2 5" xfId="100"/>
    <cellStyle name="Normal 2 6" xfId="101"/>
    <cellStyle name="Normal 2 7" xfId="102"/>
    <cellStyle name="Normal 2 8" xfId="103"/>
    <cellStyle name="Normal 2 9" xfId="104"/>
    <cellStyle name="Normal 20" xfId="31"/>
    <cellStyle name="Normal 20 2" xfId="105"/>
    <cellStyle name="Normal 21" xfId="32"/>
    <cellStyle name="Normal 21 2" xfId="106"/>
    <cellStyle name="Normal 22" xfId="33"/>
    <cellStyle name="Normal 22 2" xfId="107"/>
    <cellStyle name="Normal 23" xfId="108"/>
    <cellStyle name="Normal 23 2" xfId="109"/>
    <cellStyle name="Normal 24" xfId="133"/>
    <cellStyle name="Normal 25" xfId="15"/>
    <cellStyle name="Normal 25 2" xfId="127"/>
    <cellStyle name="Normal 26" xfId="120"/>
    <cellStyle name="Normal 26 2" xfId="137"/>
    <cellStyle name="Normal 27" xfId="118"/>
    <cellStyle name="Normal 27 2" xfId="136"/>
    <cellStyle name="Normal 28" xfId="121"/>
    <cellStyle name="Normal 28 2" xfId="130"/>
    <cellStyle name="Normal 29" xfId="128"/>
    <cellStyle name="Normal 3" xfId="9"/>
    <cellStyle name="Normal 3 11" xfId="124"/>
    <cellStyle name="Normal 3 12" xfId="122"/>
    <cellStyle name="Normal 3 13" xfId="123"/>
    <cellStyle name="Normal 3 14" xfId="125"/>
    <cellStyle name="Normal 3 2" xfId="110"/>
    <cellStyle name="Normal 3 3" xfId="111"/>
    <cellStyle name="Normal 30" xfId="135"/>
    <cellStyle name="Normal 31" xfId="132"/>
    <cellStyle name="Normal 32" xfId="129"/>
    <cellStyle name="Normal 33" xfId="139"/>
    <cellStyle name="Normal 34" xfId="131"/>
    <cellStyle name="Normal 35" xfId="138"/>
    <cellStyle name="Normal 4" xfId="16"/>
    <cellStyle name="Normal 4 2" xfId="112"/>
    <cellStyle name="Normal 4 3" xfId="119"/>
    <cellStyle name="Normal 5" xfId="23"/>
    <cellStyle name="Normal 5 2" xfId="113"/>
    <cellStyle name="Normal 6" xfId="3"/>
    <cellStyle name="Normal 6 2" xfId="134"/>
    <cellStyle name="Normal 6 3" xfId="117"/>
    <cellStyle name="Normal 7" xfId="2"/>
    <cellStyle name="Normal 7 2" xfId="114"/>
    <cellStyle name="Normal 7 3" xfId="17"/>
    <cellStyle name="Normal 8" xfId="6"/>
    <cellStyle name="Normal 8 2" xfId="8"/>
    <cellStyle name="Normal 8 2 2" xfId="115"/>
    <cellStyle name="Normal 8 3" xfId="18"/>
    <cellStyle name="Normal 9" xfId="19"/>
    <cellStyle name="Normal 9 2" xfId="116"/>
    <cellStyle name="Percent 2" xfId="11"/>
  </cellStyles>
  <dxfs count="0"/>
  <tableStyles count="0" defaultTableStyle="TableStyleMedium9" defaultPivotStyle="PivotStyleLight16"/>
  <colors>
    <mruColors>
      <color rgb="FFC9F3F1"/>
      <color rgb="FFE1F8F7"/>
      <color rgb="FFA3FFFF"/>
      <color rgb="FF33CCCC"/>
      <color rgb="FFE7FFFF"/>
      <color rgb="FF071B1B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Figure7.1: Student enrolment in Male' and Atolls by sex</a:t>
            </a: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, 2015</a:t>
            </a:r>
          </a:p>
        </c:rich>
      </c:tx>
      <c:layout>
        <c:manualLayout>
          <c:xMode val="edge"/>
          <c:yMode val="edge"/>
          <c:x val="0.22243109604176781"/>
          <c:y val="3.68484791666800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832302872354135E-2"/>
          <c:y val="0.14787261845059871"/>
          <c:w val="0.89530610488873807"/>
          <c:h val="0.735131749014756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'7.1'!$AJ$16</c:f>
              <c:strCache>
                <c:ptCount val="1"/>
                <c:pt idx="0">
                  <c:v> Male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'7.1'!$AI$17:$AI$37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'7.1'!$AJ$17:$AJ$37</c:f>
              <c:numCache>
                <c:formatCode>General_)</c:formatCode>
                <c:ptCount val="21"/>
                <c:pt idx="0" formatCode="0">
                  <c:v>15365</c:v>
                </c:pt>
                <c:pt idx="1">
                  <c:v>2069</c:v>
                </c:pt>
                <c:pt idx="2">
                  <c:v>2900</c:v>
                </c:pt>
                <c:pt idx="3">
                  <c:v>2043</c:v>
                </c:pt>
                <c:pt idx="4">
                  <c:v>1566</c:v>
                </c:pt>
                <c:pt idx="5">
                  <c:v>2395</c:v>
                </c:pt>
                <c:pt idx="6">
                  <c:v>1426</c:v>
                </c:pt>
                <c:pt idx="7">
                  <c:v>1077</c:v>
                </c:pt>
                <c:pt idx="8">
                  <c:v>1494</c:v>
                </c:pt>
                <c:pt idx="9">
                  <c:v>926</c:v>
                </c:pt>
                <c:pt idx="10">
                  <c:v>1112</c:v>
                </c:pt>
                <c:pt idx="11">
                  <c:v>184</c:v>
                </c:pt>
                <c:pt idx="12">
                  <c:v>650</c:v>
                </c:pt>
                <c:pt idx="13">
                  <c:v>698</c:v>
                </c:pt>
                <c:pt idx="14">
                  <c:v>857</c:v>
                </c:pt>
                <c:pt idx="15">
                  <c:v>1376</c:v>
                </c:pt>
                <c:pt idx="16">
                  <c:v>1934</c:v>
                </c:pt>
                <c:pt idx="17">
                  <c:v>1248</c:v>
                </c:pt>
                <c:pt idx="18">
                  <c:v>1762</c:v>
                </c:pt>
                <c:pt idx="19">
                  <c:v>1392</c:v>
                </c:pt>
                <c:pt idx="20">
                  <c:v>2733</c:v>
                </c:pt>
              </c:numCache>
            </c:numRef>
          </c:val>
        </c:ser>
        <c:ser>
          <c:idx val="1"/>
          <c:order val="1"/>
          <c:tx>
            <c:strRef>
              <c:f>'7.1'!$AK$16</c:f>
              <c:strCache>
                <c:ptCount val="1"/>
                <c:pt idx="0">
                  <c:v> Female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'7.1'!$AI$17:$AI$37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'7.1'!$AK$17:$AK$37</c:f>
              <c:numCache>
                <c:formatCode>General_)</c:formatCode>
                <c:ptCount val="21"/>
                <c:pt idx="0" formatCode="0">
                  <c:v>14996</c:v>
                </c:pt>
                <c:pt idx="1">
                  <c:v>1927</c:v>
                </c:pt>
                <c:pt idx="2">
                  <c:v>2672</c:v>
                </c:pt>
                <c:pt idx="3">
                  <c:v>1880</c:v>
                </c:pt>
                <c:pt idx="4">
                  <c:v>1518</c:v>
                </c:pt>
                <c:pt idx="5">
                  <c:v>2248</c:v>
                </c:pt>
                <c:pt idx="6">
                  <c:v>1258</c:v>
                </c:pt>
                <c:pt idx="7">
                  <c:v>1144</c:v>
                </c:pt>
                <c:pt idx="8">
                  <c:v>1346</c:v>
                </c:pt>
                <c:pt idx="9">
                  <c:v>846</c:v>
                </c:pt>
                <c:pt idx="10">
                  <c:v>1026</c:v>
                </c:pt>
                <c:pt idx="11">
                  <c:v>164</c:v>
                </c:pt>
                <c:pt idx="12">
                  <c:v>601</c:v>
                </c:pt>
                <c:pt idx="13">
                  <c:v>677</c:v>
                </c:pt>
                <c:pt idx="14">
                  <c:v>804</c:v>
                </c:pt>
                <c:pt idx="15">
                  <c:v>1283</c:v>
                </c:pt>
                <c:pt idx="16">
                  <c:v>1822</c:v>
                </c:pt>
                <c:pt idx="17">
                  <c:v>1186</c:v>
                </c:pt>
                <c:pt idx="18">
                  <c:v>1639</c:v>
                </c:pt>
                <c:pt idx="19">
                  <c:v>1359</c:v>
                </c:pt>
                <c:pt idx="20">
                  <c:v>2738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7"/>
        <c:axId val="53686272"/>
        <c:axId val="53687808"/>
      </c:barChart>
      <c:catAx>
        <c:axId val="53686272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3687808"/>
        <c:crosses val="autoZero"/>
        <c:auto val="1"/>
        <c:lblAlgn val="ctr"/>
        <c:lblOffset val="100"/>
        <c:noMultiLvlLbl val="0"/>
      </c:catAx>
      <c:valAx>
        <c:axId val="53687808"/>
        <c:scaling>
          <c:orientation val="minMax"/>
          <c:max val="16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2.4212752948514781E-2"/>
              <c:y val="3.9720260773854876E-2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368627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67902903643959134"/>
          <c:y val="0.21098419930946224"/>
          <c:w val="0.20334127539600674"/>
          <c:h val="9.0724101462946044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100" b="1" i="0" u="none" strike="noStrike" baseline="0">
                <a:effectLst/>
                <a:latin typeface="Consolas" pitchFamily="49" charset="0"/>
                <a:cs typeface="Consolas" pitchFamily="49" charset="0"/>
              </a:rPr>
              <a:t>Figure7.2: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Percenatage share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of schools by Atolls, 2015 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1233595800524935"/>
          <c:y val="2.68199233716475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8151431858419273E-2"/>
          <c:y val="0.12579539626512204"/>
          <c:w val="0.93797445642620292"/>
          <c:h val="0.767108335595981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'7.1'!$AD$95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('7.1'!$AC$97,'7.1'!$AC$99:$AC$118)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('7.1'!$AD$97,'7.1'!$AD$99:$AD$118)</c:f>
              <c:numCache>
                <c:formatCode>0.0</c:formatCode>
                <c:ptCount val="21"/>
                <c:pt idx="0">
                  <c:v>36.84210526315789</c:v>
                </c:pt>
                <c:pt idx="1">
                  <c:v>50</c:v>
                </c:pt>
                <c:pt idx="2">
                  <c:v>46.875</c:v>
                </c:pt>
                <c:pt idx="3">
                  <c:v>50</c:v>
                </c:pt>
                <c:pt idx="4">
                  <c:v>48.148148148148145</c:v>
                </c:pt>
                <c:pt idx="5">
                  <c:v>51.612903225806448</c:v>
                </c:pt>
                <c:pt idx="6">
                  <c:v>46.153846153846153</c:v>
                </c:pt>
                <c:pt idx="7">
                  <c:v>40</c:v>
                </c:pt>
                <c:pt idx="8">
                  <c:v>47.368421052631575</c:v>
                </c:pt>
                <c:pt idx="9">
                  <c:v>47.058823529411761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45.454545454545453</c:v>
                </c:pt>
                <c:pt idx="14">
                  <c:v>50</c:v>
                </c:pt>
                <c:pt idx="15">
                  <c:v>50</c:v>
                </c:pt>
                <c:pt idx="16">
                  <c:v>46.666666666666664</c:v>
                </c:pt>
                <c:pt idx="17">
                  <c:v>45</c:v>
                </c:pt>
                <c:pt idx="18">
                  <c:v>40.74074074074074</c:v>
                </c:pt>
                <c:pt idx="19">
                  <c:v>33.333333333333329</c:v>
                </c:pt>
                <c:pt idx="20">
                  <c:v>47.826086956521742</c:v>
                </c:pt>
              </c:numCache>
            </c:numRef>
          </c:val>
        </c:ser>
        <c:ser>
          <c:idx val="3"/>
          <c:order val="1"/>
          <c:tx>
            <c:strRef>
              <c:f>'7.1'!$AE$95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('7.1'!$AC$97,'7.1'!$AC$99:$AC$118)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('7.1'!$AE$97,'7.1'!$AE$99:$AE$118)</c:f>
              <c:numCache>
                <c:formatCode>0.0</c:formatCode>
                <c:ptCount val="21"/>
                <c:pt idx="0">
                  <c:v>52.631578947368418</c:v>
                </c:pt>
                <c:pt idx="1">
                  <c:v>17.857142857142858</c:v>
                </c:pt>
                <c:pt idx="2">
                  <c:v>25</c:v>
                </c:pt>
                <c:pt idx="3">
                  <c:v>10.714285714285714</c:v>
                </c:pt>
                <c:pt idx="4">
                  <c:v>14.814814814814813</c:v>
                </c:pt>
                <c:pt idx="5">
                  <c:v>22.58064516129032</c:v>
                </c:pt>
                <c:pt idx="6">
                  <c:v>26.923076923076923</c:v>
                </c:pt>
                <c:pt idx="7">
                  <c:v>30</c:v>
                </c:pt>
                <c:pt idx="8">
                  <c:v>26.315789473684209</c:v>
                </c:pt>
                <c:pt idx="9">
                  <c:v>35.294117647058826</c:v>
                </c:pt>
                <c:pt idx="10">
                  <c:v>0</c:v>
                </c:pt>
                <c:pt idx="11">
                  <c:v>33.333333333333329</c:v>
                </c:pt>
                <c:pt idx="12">
                  <c:v>0</c:v>
                </c:pt>
                <c:pt idx="13">
                  <c:v>27.27272727272727</c:v>
                </c:pt>
                <c:pt idx="14">
                  <c:v>25</c:v>
                </c:pt>
                <c:pt idx="15">
                  <c:v>7.6923076923076925</c:v>
                </c:pt>
                <c:pt idx="16">
                  <c:v>10</c:v>
                </c:pt>
                <c:pt idx="17">
                  <c:v>35</c:v>
                </c:pt>
                <c:pt idx="18">
                  <c:v>55.555555555555557</c:v>
                </c:pt>
                <c:pt idx="19">
                  <c:v>58.333333333333336</c:v>
                </c:pt>
                <c:pt idx="20">
                  <c:v>52.173913043478258</c:v>
                </c:pt>
              </c:numCache>
            </c:numRef>
          </c:val>
        </c:ser>
        <c:ser>
          <c:idx val="4"/>
          <c:order val="2"/>
          <c:tx>
            <c:strRef>
              <c:f>'7.1'!$AF$95</c:f>
              <c:strCache>
                <c:ptCount val="1"/>
                <c:pt idx="0">
                  <c:v>Community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('7.1'!$AC$97,'7.1'!$AC$99:$AC$118)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('7.1'!$AF$97,'7.1'!$AF$99:$AF$118)</c:f>
              <c:numCache>
                <c:formatCode>0.0</c:formatCode>
                <c:ptCount val="21"/>
                <c:pt idx="0">
                  <c:v>10.526315789473683</c:v>
                </c:pt>
                <c:pt idx="1">
                  <c:v>32.142857142857146</c:v>
                </c:pt>
                <c:pt idx="2">
                  <c:v>28.125</c:v>
                </c:pt>
                <c:pt idx="3">
                  <c:v>39.285714285714285</c:v>
                </c:pt>
                <c:pt idx="4">
                  <c:v>37.037037037037038</c:v>
                </c:pt>
                <c:pt idx="5">
                  <c:v>25.806451612903224</c:v>
                </c:pt>
                <c:pt idx="6">
                  <c:v>26.923076923076923</c:v>
                </c:pt>
                <c:pt idx="7">
                  <c:v>30</c:v>
                </c:pt>
                <c:pt idx="8">
                  <c:v>26.315789473684209</c:v>
                </c:pt>
                <c:pt idx="9">
                  <c:v>17.647058823529413</c:v>
                </c:pt>
                <c:pt idx="10">
                  <c:v>50</c:v>
                </c:pt>
                <c:pt idx="11">
                  <c:v>16.666666666666664</c:v>
                </c:pt>
                <c:pt idx="12">
                  <c:v>50</c:v>
                </c:pt>
                <c:pt idx="13">
                  <c:v>27.27272727272727</c:v>
                </c:pt>
                <c:pt idx="14">
                  <c:v>25</c:v>
                </c:pt>
                <c:pt idx="15">
                  <c:v>42.307692307692307</c:v>
                </c:pt>
                <c:pt idx="16">
                  <c:v>43.333333333333336</c:v>
                </c:pt>
                <c:pt idx="17">
                  <c:v>20</c:v>
                </c:pt>
                <c:pt idx="18">
                  <c:v>3.7037037037037033</c:v>
                </c:pt>
                <c:pt idx="19">
                  <c:v>8.3333333333333321</c:v>
                </c:pt>
                <c:pt idx="2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904512"/>
        <c:axId val="53962240"/>
      </c:barChart>
      <c:catAx>
        <c:axId val="53904512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53962240"/>
        <c:crosses val="autoZero"/>
        <c:auto val="1"/>
        <c:lblAlgn val="ctr"/>
        <c:lblOffset val="100"/>
        <c:noMultiLvlLbl val="0"/>
      </c:catAx>
      <c:valAx>
        <c:axId val="53962240"/>
        <c:scaling>
          <c:orientation val="minMax"/>
          <c:max val="60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none"/>
        <c:minorTickMark val="none"/>
        <c:tickLblPos val="nextTo"/>
        <c:crossAx val="5390451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2946645448846451"/>
          <c:y val="0.16535372733580717"/>
          <c:w val="0.40659626208141303"/>
          <c:h val="4.693003891754910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u="none" strike="noStrike" baseline="0">
                <a:effectLst/>
              </a:rPr>
              <a:t>Figure7.3: Percenatage share of students by educational instutution and  by Atolls, 2015</a:t>
            </a:r>
            <a:endParaRPr lang="en-US" sz="1200"/>
          </a:p>
        </c:rich>
      </c:tx>
      <c:layout>
        <c:manualLayout>
          <c:xMode val="edge"/>
          <c:yMode val="edge"/>
          <c:x val="0.15671452833101746"/>
          <c:y val="3.78548895899053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0543570265098975E-2"/>
          <c:y val="0.16089129483814524"/>
          <c:w val="0.91891485109076809"/>
          <c:h val="0.7159164479440068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'7.1'!$AH$95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('7.1'!$AG$97,'7.1'!$AG$99:$AG$118)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('7.1'!$AH$97,'7.1'!$AH$99:$AH$118)</c:f>
              <c:numCache>
                <c:formatCode>0.0</c:formatCode>
                <c:ptCount val="21"/>
                <c:pt idx="0">
                  <c:v>60.62053292052304</c:v>
                </c:pt>
                <c:pt idx="1">
                  <c:v>74.749749749749753</c:v>
                </c:pt>
                <c:pt idx="2">
                  <c:v>72.684852835606605</c:v>
                </c:pt>
                <c:pt idx="3">
                  <c:v>73.005353046138154</c:v>
                </c:pt>
                <c:pt idx="4">
                  <c:v>72.535667963683522</c:v>
                </c:pt>
                <c:pt idx="5">
                  <c:v>74.843850958432043</c:v>
                </c:pt>
                <c:pt idx="6">
                  <c:v>75.074515648286138</c:v>
                </c:pt>
                <c:pt idx="7">
                  <c:v>73.660513282305274</c:v>
                </c:pt>
                <c:pt idx="8">
                  <c:v>71.478873239436624</c:v>
                </c:pt>
                <c:pt idx="9">
                  <c:v>70.42889390519187</c:v>
                </c:pt>
                <c:pt idx="10">
                  <c:v>68.568755846585589</c:v>
                </c:pt>
                <c:pt idx="11">
                  <c:v>75.574712643678168</c:v>
                </c:pt>
                <c:pt idx="12">
                  <c:v>73.301358912869702</c:v>
                </c:pt>
                <c:pt idx="13">
                  <c:v>78.472727272727269</c:v>
                </c:pt>
                <c:pt idx="14">
                  <c:v>72.486453943407582</c:v>
                </c:pt>
                <c:pt idx="15">
                  <c:v>69.951109439638955</c:v>
                </c:pt>
                <c:pt idx="16">
                  <c:v>74.281150159744413</c:v>
                </c:pt>
                <c:pt idx="17">
                  <c:v>77.074774034511094</c:v>
                </c:pt>
                <c:pt idx="18">
                  <c:v>72.831520141134959</c:v>
                </c:pt>
                <c:pt idx="19">
                  <c:v>70.628862231915662</c:v>
                </c:pt>
                <c:pt idx="20">
                  <c:v>73.460062145859993</c:v>
                </c:pt>
              </c:numCache>
            </c:numRef>
          </c:val>
        </c:ser>
        <c:ser>
          <c:idx val="3"/>
          <c:order val="1"/>
          <c:tx>
            <c:strRef>
              <c:f>'7.1'!$AI$95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('7.1'!$AG$97,'7.1'!$AG$99:$AG$118)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('7.1'!$AI$97,'7.1'!$AI$99:$AI$118)</c:f>
              <c:numCache>
                <c:formatCode>0.0</c:formatCode>
                <c:ptCount val="21"/>
                <c:pt idx="0">
                  <c:v>23.105299561938011</c:v>
                </c:pt>
                <c:pt idx="1">
                  <c:v>10.435435435435435</c:v>
                </c:pt>
                <c:pt idx="2">
                  <c:v>8.3094041636755218</c:v>
                </c:pt>
                <c:pt idx="3">
                  <c:v>6.1687484068315062</c:v>
                </c:pt>
                <c:pt idx="4">
                  <c:v>7.8145265888456548</c:v>
                </c:pt>
                <c:pt idx="5">
                  <c:v>11.17811759638165</c:v>
                </c:pt>
                <c:pt idx="6">
                  <c:v>11.102831594634873</c:v>
                </c:pt>
                <c:pt idx="7">
                  <c:v>11.841512832057631</c:v>
                </c:pt>
                <c:pt idx="8">
                  <c:v>11.725352112676056</c:v>
                </c:pt>
                <c:pt idx="9">
                  <c:v>22.855530474040634</c:v>
                </c:pt>
                <c:pt idx="10">
                  <c:v>0</c:v>
                </c:pt>
                <c:pt idx="11">
                  <c:v>12.068965517241379</c:v>
                </c:pt>
                <c:pt idx="12">
                  <c:v>0</c:v>
                </c:pt>
                <c:pt idx="13">
                  <c:v>10.690909090909091</c:v>
                </c:pt>
                <c:pt idx="14">
                  <c:v>8.4286574352799519</c:v>
                </c:pt>
                <c:pt idx="15">
                  <c:v>5.0018804061677322</c:v>
                </c:pt>
                <c:pt idx="16">
                  <c:v>7.0021299254526088</c:v>
                </c:pt>
                <c:pt idx="17">
                  <c:v>15.324568611339359</c:v>
                </c:pt>
                <c:pt idx="18">
                  <c:v>26.139370773301966</c:v>
                </c:pt>
                <c:pt idx="19">
                  <c:v>20.210832424572882</c:v>
                </c:pt>
                <c:pt idx="20">
                  <c:v>26.53993785414001</c:v>
                </c:pt>
              </c:numCache>
            </c:numRef>
          </c:val>
        </c:ser>
        <c:ser>
          <c:idx val="4"/>
          <c:order val="2"/>
          <c:tx>
            <c:strRef>
              <c:f>'7.1'!$AJ$95</c:f>
              <c:strCache>
                <c:ptCount val="1"/>
                <c:pt idx="0">
                  <c:v>Community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('7.1'!$AG$97,'7.1'!$AG$99:$AG$118)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('7.1'!$AJ$97,'7.1'!$AJ$99:$AJ$118)</c:f>
              <c:numCache>
                <c:formatCode>0.0</c:formatCode>
                <c:ptCount val="21"/>
                <c:pt idx="0">
                  <c:v>16.274167517538949</c:v>
                </c:pt>
                <c:pt idx="1">
                  <c:v>14.814814814814813</c:v>
                </c:pt>
                <c:pt idx="2">
                  <c:v>19.005743000717874</c:v>
                </c:pt>
                <c:pt idx="3">
                  <c:v>20.825898547030334</c:v>
                </c:pt>
                <c:pt idx="4">
                  <c:v>19.649805447470818</c:v>
                </c:pt>
                <c:pt idx="5">
                  <c:v>13.9780314451863</c:v>
                </c:pt>
                <c:pt idx="6">
                  <c:v>13.822652757078988</c:v>
                </c:pt>
                <c:pt idx="7">
                  <c:v>14.4979738856371</c:v>
                </c:pt>
                <c:pt idx="8">
                  <c:v>16.795774647887324</c:v>
                </c:pt>
                <c:pt idx="9">
                  <c:v>6.7155756207674946</c:v>
                </c:pt>
                <c:pt idx="10">
                  <c:v>31.431244153414404</c:v>
                </c:pt>
                <c:pt idx="11">
                  <c:v>12.35632183908046</c:v>
                </c:pt>
                <c:pt idx="12">
                  <c:v>26.698641087130298</c:v>
                </c:pt>
                <c:pt idx="13">
                  <c:v>10.836363636363638</c:v>
                </c:pt>
                <c:pt idx="14">
                  <c:v>19.084888621312462</c:v>
                </c:pt>
                <c:pt idx="15">
                  <c:v>25.047010154193305</c:v>
                </c:pt>
                <c:pt idx="16">
                  <c:v>18.716719914802983</c:v>
                </c:pt>
                <c:pt idx="17">
                  <c:v>7.6006573541495479</c:v>
                </c:pt>
                <c:pt idx="18">
                  <c:v>1.0291090855630698</c:v>
                </c:pt>
                <c:pt idx="19">
                  <c:v>9.1603053435114496</c:v>
                </c:pt>
                <c:pt idx="2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58417920"/>
        <c:axId val="58419456"/>
      </c:barChart>
      <c:catAx>
        <c:axId val="58417920"/>
        <c:scaling>
          <c:orientation val="minMax"/>
        </c:scaling>
        <c:delete val="0"/>
        <c:axPos val="b"/>
        <c:majorTickMark val="none"/>
        <c:minorTickMark val="none"/>
        <c:tickLblPos val="nextTo"/>
        <c:crossAx val="58419456"/>
        <c:crosses val="autoZero"/>
        <c:auto val="1"/>
        <c:lblAlgn val="ctr"/>
        <c:lblOffset val="100"/>
        <c:noMultiLvlLbl val="0"/>
      </c:catAx>
      <c:valAx>
        <c:axId val="5841945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none"/>
        <c:minorTickMark val="none"/>
        <c:tickLblPos val="nextTo"/>
        <c:crossAx val="584179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6762463635135042"/>
          <c:y val="0.17916958296879559"/>
          <c:w val="0.45053254522046532"/>
          <c:h val="9.374416739574219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279396</xdr:colOff>
      <xdr:row>32</xdr:row>
      <xdr:rowOff>66676</xdr:rowOff>
    </xdr:from>
    <xdr:to>
      <xdr:col>10</xdr:col>
      <xdr:colOff>752475</xdr:colOff>
      <xdr:row>52</xdr:row>
      <xdr:rowOff>28575</xdr:rowOff>
    </xdr:to>
    <xdr:graphicFrame macro="">
      <xdr:nvGraphicFramePr>
        <xdr:cNvPr id="2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485775</xdr:colOff>
      <xdr:row>34</xdr:row>
      <xdr:rowOff>104774</xdr:rowOff>
    </xdr:from>
    <xdr:to>
      <xdr:col>9</xdr:col>
      <xdr:colOff>466725</xdr:colOff>
      <xdr:row>34</xdr:row>
      <xdr:rowOff>104774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1790700" y="6762749"/>
          <a:ext cx="469582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0</xdr:col>
      <xdr:colOff>247650</xdr:colOff>
      <xdr:row>53</xdr:row>
      <xdr:rowOff>104775</xdr:rowOff>
    </xdr:from>
    <xdr:to>
      <xdr:col>10</xdr:col>
      <xdr:colOff>704850</xdr:colOff>
      <xdr:row>74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190499</xdr:colOff>
      <xdr:row>76</xdr:row>
      <xdr:rowOff>66674</xdr:rowOff>
    </xdr:from>
    <xdr:to>
      <xdr:col>10</xdr:col>
      <xdr:colOff>676274</xdr:colOff>
      <xdr:row>95</xdr:row>
      <xdr:rowOff>9524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400048</xdr:colOff>
      <xdr:row>55</xdr:row>
      <xdr:rowOff>76200</xdr:rowOff>
    </xdr:from>
    <xdr:to>
      <xdr:col>9</xdr:col>
      <xdr:colOff>200024</xdr:colOff>
      <xdr:row>55</xdr:row>
      <xdr:rowOff>76200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704973" y="10058400"/>
          <a:ext cx="4514851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0</xdr:col>
      <xdr:colOff>257175</xdr:colOff>
      <xdr:row>54</xdr:row>
      <xdr:rowOff>66675</xdr:rowOff>
    </xdr:from>
    <xdr:to>
      <xdr:col>1</xdr:col>
      <xdr:colOff>514350</xdr:colOff>
      <xdr:row>55</xdr:row>
      <xdr:rowOff>152399</xdr:rowOff>
    </xdr:to>
    <xdr:sp macro="" textlink="">
      <xdr:nvSpPr>
        <xdr:cNvPr id="7" name="TextBox 6"/>
        <xdr:cNvSpPr txBox="1"/>
      </xdr:nvSpPr>
      <xdr:spPr>
        <a:xfrm>
          <a:off x="257175" y="9886950"/>
          <a:ext cx="990600" cy="2476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percentage</a:t>
          </a:r>
          <a:endParaRPr lang="en-US" sz="10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276224</xdr:colOff>
      <xdr:row>77</xdr:row>
      <xdr:rowOff>104775</xdr:rowOff>
    </xdr:from>
    <xdr:to>
      <xdr:col>1</xdr:col>
      <xdr:colOff>542924</xdr:colOff>
      <xdr:row>79</xdr:row>
      <xdr:rowOff>28575</xdr:rowOff>
    </xdr:to>
    <xdr:sp macro="" textlink="">
      <xdr:nvSpPr>
        <xdr:cNvPr id="8" name="TextBox 7"/>
        <xdr:cNvSpPr txBox="1"/>
      </xdr:nvSpPr>
      <xdr:spPr>
        <a:xfrm>
          <a:off x="276224" y="13649325"/>
          <a:ext cx="1000125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percentage</a:t>
          </a:r>
          <a:endParaRPr lang="en-US" sz="10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</xdr:col>
      <xdr:colOff>561975</xdr:colOff>
      <xdr:row>78</xdr:row>
      <xdr:rowOff>85723</xdr:rowOff>
    </xdr:from>
    <xdr:to>
      <xdr:col>10</xdr:col>
      <xdr:colOff>209550</xdr:colOff>
      <xdr:row>78</xdr:row>
      <xdr:rowOff>85724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1295400" y="13792198"/>
          <a:ext cx="5715000" cy="1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118"/>
  <sheetViews>
    <sheetView tabSelected="1" zoomScaleNormal="100" workbookViewId="0">
      <selection activeCell="AD97" sqref="AD97"/>
    </sheetView>
  </sheetViews>
  <sheetFormatPr defaultColWidth="12.5703125" defaultRowHeight="12.75"/>
  <cols>
    <col min="1" max="1" width="11" style="47" customWidth="1"/>
    <col min="2" max="2" width="8.5703125" style="1" customWidth="1"/>
    <col min="3" max="3" width="11.7109375" style="1" customWidth="1"/>
    <col min="4" max="4" width="9.85546875" style="1" customWidth="1"/>
    <col min="5" max="5" width="11.140625" style="1" customWidth="1"/>
    <col min="6" max="6" width="1.7109375" style="1" customWidth="1"/>
    <col min="7" max="7" width="11.7109375" style="1" customWidth="1"/>
    <col min="8" max="8" width="13" style="1" customWidth="1"/>
    <col min="9" max="9" width="11.5703125" style="1" customWidth="1"/>
    <col min="10" max="10" width="11.7109375" style="1" customWidth="1"/>
    <col min="11" max="11" width="14" style="1" customWidth="1"/>
    <col min="12" max="12" width="10.85546875" style="1" customWidth="1"/>
    <col min="13" max="25" width="3.85546875" style="1" customWidth="1"/>
    <col min="26" max="16384" width="12.5703125" style="1"/>
  </cols>
  <sheetData>
    <row r="1" spans="1:37" ht="18.95" customHeight="1">
      <c r="A1" s="70" t="s">
        <v>68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51"/>
    </row>
    <row r="2" spans="1:37" s="3" customFormat="1" ht="18" customHeight="1">
      <c r="A2" s="71" t="s">
        <v>69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2"/>
    </row>
    <row r="3" spans="1:37" s="8" customFormat="1" ht="16.5" customHeight="1">
      <c r="A3" s="4"/>
      <c r="B3" s="72" t="s">
        <v>1</v>
      </c>
      <c r="C3" s="72"/>
      <c r="D3" s="72"/>
      <c r="E3" s="72"/>
      <c r="F3" s="5"/>
      <c r="G3" s="72" t="s">
        <v>2</v>
      </c>
      <c r="H3" s="72"/>
      <c r="I3" s="72"/>
      <c r="J3" s="72"/>
      <c r="K3" s="6"/>
      <c r="L3" s="7"/>
    </row>
    <row r="4" spans="1:37" s="8" customFormat="1" ht="16.5" customHeight="1">
      <c r="A4" s="9" t="s">
        <v>3</v>
      </c>
      <c r="B4" s="10" t="s">
        <v>4</v>
      </c>
      <c r="C4" s="11" t="s">
        <v>5</v>
      </c>
      <c r="D4" s="11" t="s">
        <v>6</v>
      </c>
      <c r="E4" s="11" t="s">
        <v>7</v>
      </c>
      <c r="F4" s="12"/>
      <c r="G4" s="11" t="s">
        <v>4</v>
      </c>
      <c r="H4" s="11" t="s">
        <v>5</v>
      </c>
      <c r="I4" s="11" t="s">
        <v>6</v>
      </c>
      <c r="J4" s="10" t="s">
        <v>7</v>
      </c>
      <c r="K4" s="13" t="s">
        <v>8</v>
      </c>
      <c r="L4" s="13"/>
      <c r="Z4" s="14"/>
      <c r="AA4" s="14"/>
      <c r="AB4" s="14"/>
      <c r="AC4" s="14"/>
      <c r="AD4" s="14"/>
      <c r="AE4" s="14"/>
      <c r="AF4" s="14"/>
    </row>
    <row r="5" spans="1:37" s="8" customFormat="1" ht="14.25" customHeight="1">
      <c r="A5" s="15"/>
      <c r="B5" s="16" t="s">
        <v>0</v>
      </c>
      <c r="C5" s="16" t="s">
        <v>9</v>
      </c>
      <c r="D5" s="16" t="s">
        <v>10</v>
      </c>
      <c r="E5" s="17" t="s">
        <v>11</v>
      </c>
      <c r="F5" s="18"/>
      <c r="G5" s="17" t="s">
        <v>0</v>
      </c>
      <c r="H5" s="17" t="s">
        <v>9</v>
      </c>
      <c r="I5" s="16" t="s">
        <v>10</v>
      </c>
      <c r="J5" s="16" t="s">
        <v>11</v>
      </c>
      <c r="K5" s="19"/>
      <c r="L5" s="20"/>
      <c r="Z5" s="14"/>
      <c r="AA5" s="14"/>
      <c r="AB5" s="14"/>
      <c r="AC5" s="14"/>
      <c r="AD5" s="14"/>
      <c r="AE5" s="14"/>
      <c r="AF5" s="14"/>
    </row>
    <row r="6" spans="1:37" s="8" customFormat="1" ht="15.75">
      <c r="A6" s="21" t="s">
        <v>12</v>
      </c>
      <c r="B6" s="52">
        <f>SUM(C6:E6)</f>
        <v>459</v>
      </c>
      <c r="C6" s="53">
        <f>C7+C8</f>
        <v>213</v>
      </c>
      <c r="D6" s="53">
        <f>D7+D8</f>
        <v>122</v>
      </c>
      <c r="E6" s="53">
        <f>E7+E8</f>
        <v>124</v>
      </c>
      <c r="F6" s="54"/>
      <c r="G6" s="55">
        <f>SUM(H6:J6)</f>
        <v>88341</v>
      </c>
      <c r="H6" s="56">
        <f>SUM(H7:H8)</f>
        <v>60841</v>
      </c>
      <c r="I6" s="56">
        <f>SUM(I7:I8)</f>
        <v>14191</v>
      </c>
      <c r="J6" s="56">
        <f>SUM(J7:J8)</f>
        <v>13309</v>
      </c>
      <c r="K6" s="22" t="s">
        <v>13</v>
      </c>
      <c r="L6" s="13"/>
      <c r="Z6" s="14"/>
      <c r="AA6" s="14"/>
      <c r="AB6" s="14"/>
      <c r="AC6" s="14"/>
      <c r="AD6" s="14"/>
      <c r="AE6" s="14"/>
      <c r="AF6" s="14"/>
    </row>
    <row r="7" spans="1:37" s="8" customFormat="1" ht="15.75">
      <c r="A7" s="21" t="s">
        <v>14</v>
      </c>
      <c r="B7" s="57">
        <f>SUM(C7:E7)</f>
        <v>38</v>
      </c>
      <c r="C7" s="58">
        <v>14</v>
      </c>
      <c r="D7" s="58">
        <v>20</v>
      </c>
      <c r="E7" s="58">
        <v>4</v>
      </c>
      <c r="F7" s="54"/>
      <c r="G7" s="55">
        <f>SUM(H7:J7)</f>
        <v>30361</v>
      </c>
      <c r="H7" s="56">
        <v>18405</v>
      </c>
      <c r="I7" s="56">
        <v>7015</v>
      </c>
      <c r="J7" s="56">
        <v>4941</v>
      </c>
      <c r="K7" s="13" t="s">
        <v>15</v>
      </c>
      <c r="L7" s="13"/>
      <c r="Z7" s="14"/>
      <c r="AA7" s="14"/>
      <c r="AB7" s="14"/>
      <c r="AC7" s="14"/>
      <c r="AD7" s="14"/>
      <c r="AE7" s="14"/>
      <c r="AF7" s="14"/>
    </row>
    <row r="8" spans="1:37" s="8" customFormat="1" ht="15.75">
      <c r="A8" s="21" t="s">
        <v>16</v>
      </c>
      <c r="B8" s="57">
        <f>SUM(C8:E8)</f>
        <v>421</v>
      </c>
      <c r="C8" s="58">
        <f>SUM(C9:C28)</f>
        <v>199</v>
      </c>
      <c r="D8" s="58">
        <f t="shared" ref="D8:E8" si="0">SUM(D9:D28)</f>
        <v>102</v>
      </c>
      <c r="E8" s="58">
        <f t="shared" si="0"/>
        <v>120</v>
      </c>
      <c r="F8" s="59"/>
      <c r="G8" s="55">
        <f>SUM(H8:J8)</f>
        <v>57980</v>
      </c>
      <c r="H8" s="56">
        <f>SUM(H9:H28)</f>
        <v>42436</v>
      </c>
      <c r="I8" s="60">
        <f>SUM(I9:I28)</f>
        <v>7176</v>
      </c>
      <c r="J8" s="60">
        <f>SUM(J9:J28)</f>
        <v>8368</v>
      </c>
      <c r="K8" s="13" t="s">
        <v>17</v>
      </c>
      <c r="L8" s="13"/>
      <c r="Z8" s="14"/>
      <c r="AA8" s="14"/>
      <c r="AB8" s="14"/>
      <c r="AC8" s="14"/>
      <c r="AD8" s="14"/>
      <c r="AE8" s="14"/>
      <c r="AF8" s="14"/>
    </row>
    <row r="9" spans="1:37" s="8" customFormat="1" ht="15.75">
      <c r="A9" s="23" t="s">
        <v>64</v>
      </c>
      <c r="B9" s="57">
        <f>SUM(C9:E9)</f>
        <v>28</v>
      </c>
      <c r="C9" s="64">
        <v>14</v>
      </c>
      <c r="D9" s="64">
        <v>5</v>
      </c>
      <c r="E9" s="64">
        <v>9</v>
      </c>
      <c r="F9" s="59"/>
      <c r="G9" s="55">
        <f t="shared" ref="G9:G28" si="1">SUM(H9:J9)</f>
        <v>3996</v>
      </c>
      <c r="H9" s="66">
        <v>2987</v>
      </c>
      <c r="I9" s="66">
        <v>417</v>
      </c>
      <c r="J9" s="66">
        <v>592</v>
      </c>
      <c r="K9" s="24" t="s">
        <v>19</v>
      </c>
      <c r="L9" s="25"/>
      <c r="Z9" s="14"/>
      <c r="AA9" s="14"/>
      <c r="AB9" s="14"/>
      <c r="AC9" s="14"/>
      <c r="AD9" s="14"/>
      <c r="AE9" s="14"/>
      <c r="AF9" s="14"/>
    </row>
    <row r="10" spans="1:37" s="8" customFormat="1" ht="15.75">
      <c r="A10" s="23" t="s">
        <v>65</v>
      </c>
      <c r="B10" s="57">
        <f t="shared" ref="B10:B19" si="2">SUM(C10:E10)</f>
        <v>32</v>
      </c>
      <c r="C10" s="64">
        <v>15</v>
      </c>
      <c r="D10" s="64">
        <v>8</v>
      </c>
      <c r="E10" s="64">
        <v>9</v>
      </c>
      <c r="F10" s="59"/>
      <c r="G10" s="55">
        <f t="shared" si="1"/>
        <v>5572</v>
      </c>
      <c r="H10" s="66">
        <v>4050</v>
      </c>
      <c r="I10" s="66">
        <v>463</v>
      </c>
      <c r="J10" s="66">
        <v>1059</v>
      </c>
      <c r="K10" s="24" t="s">
        <v>21</v>
      </c>
      <c r="L10" s="25"/>
      <c r="Z10" s="14"/>
      <c r="AA10" s="14"/>
      <c r="AB10" s="14"/>
      <c r="AC10" s="14"/>
      <c r="AD10" s="14"/>
      <c r="AE10" s="14"/>
      <c r="AF10" s="14"/>
    </row>
    <row r="11" spans="1:37" s="8" customFormat="1" ht="15.75">
      <c r="A11" s="23" t="s">
        <v>66</v>
      </c>
      <c r="B11" s="57">
        <f t="shared" si="2"/>
        <v>28</v>
      </c>
      <c r="C11" s="64">
        <v>14</v>
      </c>
      <c r="D11" s="64">
        <v>3</v>
      </c>
      <c r="E11" s="64">
        <v>11</v>
      </c>
      <c r="F11" s="59"/>
      <c r="G11" s="55">
        <f t="shared" si="1"/>
        <v>3923</v>
      </c>
      <c r="H11" s="66">
        <v>2864</v>
      </c>
      <c r="I11" s="66">
        <v>242</v>
      </c>
      <c r="J11" s="66">
        <v>817</v>
      </c>
      <c r="K11" s="24" t="s">
        <v>23</v>
      </c>
      <c r="L11" s="25"/>
      <c r="Z11" s="14"/>
      <c r="AA11" s="14"/>
      <c r="AB11" s="14"/>
      <c r="AC11" s="14"/>
      <c r="AD11" s="14"/>
      <c r="AE11" s="14"/>
      <c r="AF11" s="14"/>
    </row>
    <row r="12" spans="1:37" s="8" customFormat="1" ht="15.75">
      <c r="A12" s="23" t="s">
        <v>60</v>
      </c>
      <c r="B12" s="57">
        <f t="shared" si="2"/>
        <v>27</v>
      </c>
      <c r="C12" s="64">
        <v>13</v>
      </c>
      <c r="D12" s="64">
        <v>4</v>
      </c>
      <c r="E12" s="64">
        <v>10</v>
      </c>
      <c r="F12" s="59"/>
      <c r="G12" s="55">
        <f t="shared" si="1"/>
        <v>3084</v>
      </c>
      <c r="H12" s="66">
        <v>2237</v>
      </c>
      <c r="I12" s="66">
        <v>241</v>
      </c>
      <c r="J12" s="66">
        <v>606</v>
      </c>
      <c r="K12" s="24" t="s">
        <v>25</v>
      </c>
      <c r="L12" s="25"/>
      <c r="Z12" s="14"/>
      <c r="AA12" s="14"/>
      <c r="AB12" s="14"/>
      <c r="AC12" s="14"/>
      <c r="AD12" s="14"/>
      <c r="AE12" s="14"/>
      <c r="AF12" s="14"/>
    </row>
    <row r="13" spans="1:37" s="8" customFormat="1" ht="15.75">
      <c r="A13" s="23" t="s">
        <v>67</v>
      </c>
      <c r="B13" s="57">
        <f t="shared" si="2"/>
        <v>31</v>
      </c>
      <c r="C13" s="64">
        <v>16</v>
      </c>
      <c r="D13" s="64">
        <v>7</v>
      </c>
      <c r="E13" s="64">
        <v>8</v>
      </c>
      <c r="F13" s="59"/>
      <c r="G13" s="55">
        <f t="shared" si="1"/>
        <v>4643</v>
      </c>
      <c r="H13" s="66">
        <v>3475</v>
      </c>
      <c r="I13" s="66">
        <v>519</v>
      </c>
      <c r="J13" s="66">
        <v>649</v>
      </c>
      <c r="K13" s="24" t="s">
        <v>27</v>
      </c>
      <c r="L13" s="25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14"/>
      <c r="AA13" s="14"/>
      <c r="AB13" s="14"/>
      <c r="AC13" s="14"/>
      <c r="AD13" s="14"/>
      <c r="AE13" s="14"/>
      <c r="AF13" s="14"/>
    </row>
    <row r="14" spans="1:37" s="26" customFormat="1" ht="15.75">
      <c r="A14" s="23" t="s">
        <v>28</v>
      </c>
      <c r="B14" s="57">
        <f t="shared" si="2"/>
        <v>26</v>
      </c>
      <c r="C14" s="64">
        <v>12</v>
      </c>
      <c r="D14" s="64">
        <v>7</v>
      </c>
      <c r="E14" s="64">
        <v>7</v>
      </c>
      <c r="F14" s="59"/>
      <c r="G14" s="55">
        <f t="shared" si="1"/>
        <v>2684</v>
      </c>
      <c r="H14" s="66">
        <v>2015</v>
      </c>
      <c r="I14" s="66">
        <v>298</v>
      </c>
      <c r="J14" s="66">
        <v>371</v>
      </c>
      <c r="K14" s="24" t="s">
        <v>29</v>
      </c>
      <c r="L14" s="25"/>
      <c r="M14" s="26" t="s">
        <v>30</v>
      </c>
      <c r="Z14" s="14"/>
      <c r="AA14" s="14"/>
      <c r="AB14" s="14"/>
      <c r="AC14" s="14"/>
      <c r="AD14" s="14"/>
      <c r="AE14" s="14"/>
      <c r="AF14" s="14"/>
      <c r="AI14" s="27" t="s">
        <v>3</v>
      </c>
      <c r="AJ14" s="73"/>
      <c r="AK14" s="73"/>
    </row>
    <row r="15" spans="1:37" s="26" customFormat="1" ht="15.75">
      <c r="A15" s="23" t="s">
        <v>31</v>
      </c>
      <c r="B15" s="57">
        <f t="shared" si="2"/>
        <v>10</v>
      </c>
      <c r="C15" s="64">
        <v>4</v>
      </c>
      <c r="D15" s="64">
        <v>3</v>
      </c>
      <c r="E15" s="64">
        <v>3</v>
      </c>
      <c r="F15" s="59"/>
      <c r="G15" s="55">
        <f t="shared" si="1"/>
        <v>2221</v>
      </c>
      <c r="H15" s="66">
        <v>1636</v>
      </c>
      <c r="I15" s="66">
        <v>263</v>
      </c>
      <c r="J15" s="66">
        <v>322</v>
      </c>
      <c r="K15" s="24" t="s">
        <v>32</v>
      </c>
      <c r="L15" s="25"/>
      <c r="Z15" s="14" t="s">
        <v>30</v>
      </c>
      <c r="AA15" s="14"/>
      <c r="AB15" s="14"/>
      <c r="AC15" s="14"/>
      <c r="AD15" s="14"/>
      <c r="AE15" s="14"/>
      <c r="AF15" s="14"/>
      <c r="AI15" s="27"/>
      <c r="AJ15" s="28" t="s">
        <v>33</v>
      </c>
      <c r="AK15" s="28" t="s">
        <v>34</v>
      </c>
    </row>
    <row r="16" spans="1:37" s="26" customFormat="1" ht="15.75">
      <c r="A16" s="23" t="s">
        <v>35</v>
      </c>
      <c r="B16" s="57">
        <f t="shared" si="2"/>
        <v>19</v>
      </c>
      <c r="C16" s="64">
        <v>9</v>
      </c>
      <c r="D16" s="64">
        <v>5</v>
      </c>
      <c r="E16" s="64">
        <v>5</v>
      </c>
      <c r="F16" s="59"/>
      <c r="G16" s="55">
        <f t="shared" si="1"/>
        <v>2840</v>
      </c>
      <c r="H16" s="66">
        <v>2030</v>
      </c>
      <c r="I16" s="66">
        <v>333</v>
      </c>
      <c r="J16" s="66">
        <v>477</v>
      </c>
      <c r="K16" s="24" t="s">
        <v>36</v>
      </c>
      <c r="L16" s="25"/>
      <c r="Z16" s="14"/>
      <c r="AA16" s="14"/>
      <c r="AB16" s="14"/>
      <c r="AC16" s="14"/>
      <c r="AD16" s="14"/>
      <c r="AI16" s="29"/>
      <c r="AJ16" s="30" t="s">
        <v>37</v>
      </c>
      <c r="AK16" s="30" t="s">
        <v>38</v>
      </c>
    </row>
    <row r="17" spans="1:37" s="26" customFormat="1" ht="15.75">
      <c r="A17" s="23" t="s">
        <v>39</v>
      </c>
      <c r="B17" s="57">
        <f t="shared" si="2"/>
        <v>17</v>
      </c>
      <c r="C17" s="64">
        <v>8</v>
      </c>
      <c r="D17" s="64">
        <v>6</v>
      </c>
      <c r="E17" s="64">
        <v>3</v>
      </c>
      <c r="F17" s="59"/>
      <c r="G17" s="55">
        <f t="shared" si="1"/>
        <v>1772</v>
      </c>
      <c r="H17" s="66">
        <v>1248</v>
      </c>
      <c r="I17" s="66">
        <v>405</v>
      </c>
      <c r="J17" s="66">
        <v>119</v>
      </c>
      <c r="K17" s="24" t="s">
        <v>40</v>
      </c>
      <c r="L17" s="25"/>
      <c r="Z17" s="14"/>
      <c r="AA17" s="14"/>
      <c r="AB17" s="14"/>
      <c r="AC17" s="14"/>
      <c r="AD17" s="14"/>
      <c r="AE17" s="14"/>
      <c r="AF17" s="14"/>
      <c r="AI17" s="31" t="s">
        <v>14</v>
      </c>
      <c r="AJ17" s="14">
        <v>15365</v>
      </c>
      <c r="AK17" s="14">
        <v>14996</v>
      </c>
    </row>
    <row r="18" spans="1:37" s="26" customFormat="1" ht="15.75">
      <c r="A18" s="23" t="s">
        <v>41</v>
      </c>
      <c r="B18" s="57">
        <f>SUM(C18:E18)</f>
        <v>20</v>
      </c>
      <c r="C18" s="64">
        <v>10</v>
      </c>
      <c r="D18" s="64">
        <v>0</v>
      </c>
      <c r="E18" s="64">
        <v>10</v>
      </c>
      <c r="F18" s="59"/>
      <c r="G18" s="55">
        <f t="shared" si="1"/>
        <v>2138</v>
      </c>
      <c r="H18" s="66">
        <v>1466</v>
      </c>
      <c r="I18" s="66">
        <v>0</v>
      </c>
      <c r="J18" s="66">
        <v>672</v>
      </c>
      <c r="K18" s="24" t="s">
        <v>42</v>
      </c>
      <c r="L18" s="25"/>
      <c r="Z18" s="1"/>
      <c r="AA18" s="1"/>
      <c r="AB18" s="1"/>
      <c r="AC18" s="1"/>
      <c r="AD18" s="1"/>
      <c r="AI18" s="48" t="s">
        <v>18</v>
      </c>
      <c r="AJ18" s="26">
        <v>2069</v>
      </c>
      <c r="AK18" s="26">
        <v>1927</v>
      </c>
    </row>
    <row r="19" spans="1:37" s="26" customFormat="1" ht="15.75">
      <c r="A19" s="23" t="s">
        <v>43</v>
      </c>
      <c r="B19" s="57">
        <f t="shared" si="2"/>
        <v>6</v>
      </c>
      <c r="C19" s="64">
        <v>3</v>
      </c>
      <c r="D19" s="64">
        <v>2</v>
      </c>
      <c r="E19" s="64">
        <v>1</v>
      </c>
      <c r="F19" s="59"/>
      <c r="G19" s="55">
        <f t="shared" si="1"/>
        <v>348</v>
      </c>
      <c r="H19" s="66">
        <v>263</v>
      </c>
      <c r="I19" s="66">
        <v>42</v>
      </c>
      <c r="J19" s="66">
        <v>43</v>
      </c>
      <c r="K19" s="24" t="s">
        <v>44</v>
      </c>
      <c r="L19" s="25"/>
      <c r="AI19" s="48" t="s">
        <v>20</v>
      </c>
      <c r="AJ19" s="26">
        <v>2900</v>
      </c>
      <c r="AK19" s="26">
        <v>2672</v>
      </c>
    </row>
    <row r="20" spans="1:37" s="26" customFormat="1" ht="15.75">
      <c r="A20" s="23" t="s">
        <v>45</v>
      </c>
      <c r="B20" s="57">
        <f t="shared" ref="B20:B28" si="3">SUM(C20:E20)</f>
        <v>16</v>
      </c>
      <c r="C20" s="64">
        <v>8</v>
      </c>
      <c r="D20" s="64">
        <v>0</v>
      </c>
      <c r="E20" s="64">
        <v>8</v>
      </c>
      <c r="F20" s="59"/>
      <c r="G20" s="55">
        <f>SUM(H20:J20)</f>
        <v>1251</v>
      </c>
      <c r="H20" s="66">
        <v>917</v>
      </c>
      <c r="I20" s="66">
        <v>0</v>
      </c>
      <c r="J20" s="66">
        <v>334</v>
      </c>
      <c r="K20" s="24" t="s">
        <v>46</v>
      </c>
      <c r="L20" s="25"/>
      <c r="AI20" s="48" t="s">
        <v>22</v>
      </c>
      <c r="AJ20" s="26">
        <v>2043</v>
      </c>
      <c r="AK20" s="26">
        <v>1880</v>
      </c>
    </row>
    <row r="21" spans="1:37" s="26" customFormat="1" ht="15.75">
      <c r="A21" s="23" t="s">
        <v>47</v>
      </c>
      <c r="B21" s="57">
        <f t="shared" si="3"/>
        <v>11</v>
      </c>
      <c r="C21" s="64">
        <v>5</v>
      </c>
      <c r="D21" s="64">
        <v>3</v>
      </c>
      <c r="E21" s="64">
        <v>3</v>
      </c>
      <c r="F21" s="59"/>
      <c r="G21" s="55">
        <f t="shared" si="1"/>
        <v>1375</v>
      </c>
      <c r="H21" s="66">
        <v>1079</v>
      </c>
      <c r="I21" s="66">
        <v>147</v>
      </c>
      <c r="J21" s="66">
        <v>149</v>
      </c>
      <c r="K21" s="24" t="s">
        <v>48</v>
      </c>
      <c r="L21" s="25"/>
      <c r="AI21" s="48" t="s">
        <v>24</v>
      </c>
      <c r="AJ21" s="26">
        <v>1566</v>
      </c>
      <c r="AK21" s="26">
        <v>1518</v>
      </c>
    </row>
    <row r="22" spans="1:37" s="26" customFormat="1" ht="15.75">
      <c r="A22" s="23" t="s">
        <v>49</v>
      </c>
      <c r="B22" s="57">
        <f t="shared" si="3"/>
        <v>12</v>
      </c>
      <c r="C22" s="64">
        <v>6</v>
      </c>
      <c r="D22" s="64">
        <v>3</v>
      </c>
      <c r="E22" s="64">
        <v>3</v>
      </c>
      <c r="F22" s="59"/>
      <c r="G22" s="55">
        <f t="shared" si="1"/>
        <v>1661</v>
      </c>
      <c r="H22" s="66">
        <v>1204</v>
      </c>
      <c r="I22" s="66">
        <v>140</v>
      </c>
      <c r="J22" s="66">
        <v>317</v>
      </c>
      <c r="K22" s="24" t="s">
        <v>50</v>
      </c>
      <c r="L22" s="25"/>
      <c r="AI22" s="48" t="s">
        <v>26</v>
      </c>
      <c r="AJ22" s="26">
        <v>2395</v>
      </c>
      <c r="AK22" s="26">
        <v>2248</v>
      </c>
    </row>
    <row r="23" spans="1:37" s="32" customFormat="1" ht="15.75">
      <c r="A23" s="23" t="s">
        <v>51</v>
      </c>
      <c r="B23" s="57">
        <f t="shared" si="3"/>
        <v>26</v>
      </c>
      <c r="C23" s="64">
        <v>13</v>
      </c>
      <c r="D23" s="64">
        <v>2</v>
      </c>
      <c r="E23" s="64">
        <v>11</v>
      </c>
      <c r="F23" s="59"/>
      <c r="G23" s="55">
        <f t="shared" si="1"/>
        <v>2659</v>
      </c>
      <c r="H23" s="66">
        <v>1860</v>
      </c>
      <c r="I23" s="66">
        <v>133</v>
      </c>
      <c r="J23" s="66">
        <v>666</v>
      </c>
      <c r="K23" s="24" t="s">
        <v>52</v>
      </c>
      <c r="L23" s="25"/>
      <c r="AI23" s="48" t="s">
        <v>28</v>
      </c>
      <c r="AJ23" s="32">
        <v>1426</v>
      </c>
      <c r="AK23" s="32">
        <v>1258</v>
      </c>
    </row>
    <row r="24" spans="1:37" s="32" customFormat="1" ht="15.75">
      <c r="A24" s="23" t="s">
        <v>32</v>
      </c>
      <c r="B24" s="57">
        <f t="shared" si="3"/>
        <v>30</v>
      </c>
      <c r="C24" s="64">
        <v>14</v>
      </c>
      <c r="D24" s="64">
        <v>3</v>
      </c>
      <c r="E24" s="64">
        <v>13</v>
      </c>
      <c r="F24" s="59"/>
      <c r="G24" s="55">
        <f t="shared" si="1"/>
        <v>3756</v>
      </c>
      <c r="H24" s="66">
        <v>2790</v>
      </c>
      <c r="I24" s="66">
        <v>263</v>
      </c>
      <c r="J24" s="66">
        <v>703</v>
      </c>
      <c r="K24" s="24" t="s">
        <v>54</v>
      </c>
      <c r="L24" s="25"/>
      <c r="AI24" s="48" t="s">
        <v>31</v>
      </c>
      <c r="AJ24" s="32">
        <v>1077</v>
      </c>
      <c r="AK24" s="32">
        <v>1144</v>
      </c>
    </row>
    <row r="25" spans="1:37" s="32" customFormat="1" ht="15.75">
      <c r="A25" s="23" t="s">
        <v>55</v>
      </c>
      <c r="B25" s="57">
        <f t="shared" si="3"/>
        <v>20</v>
      </c>
      <c r="C25" s="64">
        <v>9</v>
      </c>
      <c r="D25" s="64">
        <v>7</v>
      </c>
      <c r="E25" s="64">
        <v>4</v>
      </c>
      <c r="F25" s="59"/>
      <c r="G25" s="55">
        <f t="shared" si="1"/>
        <v>2434</v>
      </c>
      <c r="H25" s="66">
        <v>1876</v>
      </c>
      <c r="I25" s="66">
        <v>373</v>
      </c>
      <c r="J25" s="66">
        <v>185</v>
      </c>
      <c r="K25" s="24" t="s">
        <v>56</v>
      </c>
      <c r="L25" s="25"/>
      <c r="AI25" s="48" t="s">
        <v>35</v>
      </c>
      <c r="AJ25" s="32">
        <v>1494</v>
      </c>
      <c r="AK25" s="32">
        <v>1346</v>
      </c>
    </row>
    <row r="26" spans="1:37" s="32" customFormat="1" ht="15.75">
      <c r="A26" s="23" t="s">
        <v>57</v>
      </c>
      <c r="B26" s="57">
        <f t="shared" si="3"/>
        <v>27</v>
      </c>
      <c r="C26" s="64">
        <v>11</v>
      </c>
      <c r="D26" s="64">
        <v>15</v>
      </c>
      <c r="E26" s="64">
        <v>1</v>
      </c>
      <c r="F26" s="59"/>
      <c r="G26" s="55">
        <f t="shared" si="1"/>
        <v>3401</v>
      </c>
      <c r="H26" s="66">
        <v>2477</v>
      </c>
      <c r="I26" s="66">
        <v>889</v>
      </c>
      <c r="J26" s="66">
        <v>35</v>
      </c>
      <c r="K26" s="24" t="s">
        <v>58</v>
      </c>
      <c r="L26" s="25"/>
      <c r="AI26" s="48" t="s">
        <v>39</v>
      </c>
      <c r="AJ26" s="32">
        <v>926</v>
      </c>
      <c r="AK26" s="32">
        <v>846</v>
      </c>
    </row>
    <row r="27" spans="1:37" s="32" customFormat="1" ht="15.75">
      <c r="A27" s="23" t="s">
        <v>59</v>
      </c>
      <c r="B27" s="57">
        <f t="shared" si="3"/>
        <v>12</v>
      </c>
      <c r="C27" s="64">
        <v>4</v>
      </c>
      <c r="D27" s="64">
        <v>7</v>
      </c>
      <c r="E27" s="64">
        <v>1</v>
      </c>
      <c r="F27" s="59"/>
      <c r="G27" s="55">
        <f t="shared" si="1"/>
        <v>2751</v>
      </c>
      <c r="H27" s="66">
        <v>1943</v>
      </c>
      <c r="I27" s="66">
        <v>556</v>
      </c>
      <c r="J27" s="66">
        <v>252</v>
      </c>
      <c r="K27" s="24" t="s">
        <v>60</v>
      </c>
      <c r="L27" s="25"/>
      <c r="AI27" s="48" t="s">
        <v>41</v>
      </c>
      <c r="AJ27" s="32">
        <v>1112</v>
      </c>
      <c r="AK27" s="32">
        <v>1026</v>
      </c>
    </row>
    <row r="28" spans="1:37" s="32" customFormat="1" ht="15.75">
      <c r="A28" s="33" t="s">
        <v>23</v>
      </c>
      <c r="B28" s="61">
        <f t="shared" si="3"/>
        <v>23</v>
      </c>
      <c r="C28" s="65">
        <v>11</v>
      </c>
      <c r="D28" s="65">
        <v>12</v>
      </c>
      <c r="E28" s="65">
        <v>0</v>
      </c>
      <c r="F28" s="62"/>
      <c r="G28" s="63">
        <f t="shared" si="1"/>
        <v>5471</v>
      </c>
      <c r="H28" s="67">
        <v>4019</v>
      </c>
      <c r="I28" s="67">
        <v>1452</v>
      </c>
      <c r="J28" s="67">
        <v>0</v>
      </c>
      <c r="K28" s="34" t="s">
        <v>61</v>
      </c>
      <c r="L28" s="25"/>
      <c r="AI28" s="48" t="s">
        <v>43</v>
      </c>
      <c r="AJ28" s="32">
        <v>184</v>
      </c>
      <c r="AK28" s="32">
        <v>164</v>
      </c>
    </row>
    <row r="29" spans="1:37" s="43" customFormat="1" ht="15.2" customHeight="1">
      <c r="A29" s="42" t="s">
        <v>71</v>
      </c>
      <c r="I29" s="44"/>
      <c r="K29" s="45" t="s">
        <v>70</v>
      </c>
      <c r="AI29" s="48" t="s">
        <v>45</v>
      </c>
      <c r="AJ29" s="43">
        <v>650</v>
      </c>
      <c r="AK29" s="43">
        <v>601</v>
      </c>
    </row>
    <row r="30" spans="1:37" s="26" customFormat="1" ht="12.75" customHeight="1">
      <c r="A30" s="35" t="s">
        <v>62</v>
      </c>
      <c r="B30" s="36"/>
      <c r="C30" s="37"/>
      <c r="D30" s="36"/>
      <c r="E30" s="36"/>
      <c r="F30" s="36"/>
      <c r="G30" s="36"/>
      <c r="H30" s="36"/>
      <c r="I30" s="36"/>
      <c r="J30" s="38"/>
      <c r="K30" s="39" t="s">
        <v>63</v>
      </c>
      <c r="AI30" s="48" t="s">
        <v>47</v>
      </c>
      <c r="AJ30" s="26">
        <v>698</v>
      </c>
      <c r="AK30" s="26">
        <v>677</v>
      </c>
    </row>
    <row r="31" spans="1:37" s="32" customFormat="1" ht="13.15" customHeight="1">
      <c r="A31" s="40"/>
      <c r="I31" s="41"/>
      <c r="AI31" s="48" t="s">
        <v>49</v>
      </c>
      <c r="AJ31" s="32">
        <v>857</v>
      </c>
      <c r="AK31" s="32">
        <v>804</v>
      </c>
    </row>
    <row r="32" spans="1:37" s="32" customFormat="1">
      <c r="A32" s="40"/>
      <c r="I32" s="41"/>
      <c r="AI32" s="48" t="s">
        <v>51</v>
      </c>
      <c r="AJ32" s="32">
        <v>1376</v>
      </c>
      <c r="AK32" s="32">
        <v>1283</v>
      </c>
    </row>
    <row r="33" spans="1:38" s="32" customFormat="1">
      <c r="A33" s="40"/>
      <c r="I33" s="41"/>
      <c r="AI33" s="48" t="s">
        <v>53</v>
      </c>
      <c r="AJ33" s="32">
        <v>1934</v>
      </c>
      <c r="AK33" s="32">
        <v>1822</v>
      </c>
    </row>
    <row r="34" spans="1:38" s="32" customFormat="1" ht="12">
      <c r="A34" s="40"/>
      <c r="AI34" s="48" t="s">
        <v>55</v>
      </c>
      <c r="AJ34" s="32">
        <v>1248</v>
      </c>
      <c r="AK34" s="32">
        <v>1186</v>
      </c>
    </row>
    <row r="35" spans="1:38" s="32" customFormat="1" ht="12">
      <c r="A35" s="40"/>
      <c r="AI35" s="48" t="s">
        <v>57</v>
      </c>
      <c r="AJ35" s="32">
        <v>1762</v>
      </c>
      <c r="AK35" s="32">
        <v>1639</v>
      </c>
    </row>
    <row r="36" spans="1:38" s="32" customFormat="1" ht="12">
      <c r="A36" s="40"/>
      <c r="AI36" s="48" t="s">
        <v>59</v>
      </c>
      <c r="AJ36" s="32">
        <v>1392</v>
      </c>
      <c r="AK36" s="32">
        <v>1359</v>
      </c>
    </row>
    <row r="37" spans="1:38" s="32" customFormat="1" ht="12">
      <c r="A37" s="40"/>
      <c r="AI37" s="49" t="s">
        <v>23</v>
      </c>
      <c r="AJ37" s="32">
        <v>2733</v>
      </c>
      <c r="AK37" s="32">
        <v>2738</v>
      </c>
    </row>
    <row r="38" spans="1:38" s="32" customFormat="1" ht="12">
      <c r="A38" s="40"/>
      <c r="AI38" s="46"/>
      <c r="AJ38" s="50"/>
      <c r="AK38" s="50"/>
    </row>
    <row r="39" spans="1:38" s="32" customFormat="1" ht="12">
      <c r="A39" s="40"/>
    </row>
    <row r="40" spans="1:38" s="32" customFormat="1" ht="12">
      <c r="A40" s="40"/>
    </row>
    <row r="41" spans="1:38" s="32" customFormat="1" ht="12">
      <c r="A41" s="40"/>
    </row>
    <row r="42" spans="1:38" s="32" customFormat="1" ht="12">
      <c r="A42" s="40"/>
    </row>
    <row r="43" spans="1:38">
      <c r="A43" s="40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AI43" s="32"/>
      <c r="AJ43" s="32"/>
      <c r="AK43" s="32"/>
      <c r="AL43" s="32"/>
    </row>
    <row r="44" spans="1:38">
      <c r="A44" s="40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AI44" s="32"/>
      <c r="AJ44" s="32"/>
      <c r="AK44" s="32"/>
      <c r="AL44" s="32"/>
    </row>
    <row r="45" spans="1:38">
      <c r="A45" s="40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AI45" s="32"/>
      <c r="AJ45" s="32"/>
      <c r="AK45" s="32"/>
      <c r="AL45" s="32"/>
    </row>
    <row r="46" spans="1:38">
      <c r="A46" s="40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AI46" s="32"/>
      <c r="AJ46" s="32"/>
      <c r="AK46" s="32"/>
      <c r="AL46" s="32"/>
    </row>
    <row r="47" spans="1:38">
      <c r="A47" s="40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AI47" s="32"/>
      <c r="AJ47" s="32"/>
      <c r="AK47" s="32"/>
      <c r="AL47" s="32"/>
    </row>
    <row r="48" spans="1:38">
      <c r="A48" s="40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AI48" s="32"/>
      <c r="AJ48" s="32"/>
      <c r="AK48" s="32"/>
      <c r="AL48" s="32"/>
    </row>
    <row r="49" spans="35:38">
      <c r="AI49" s="32"/>
      <c r="AJ49" s="32"/>
      <c r="AK49" s="32"/>
      <c r="AL49" s="32"/>
    </row>
    <row r="50" spans="35:38">
      <c r="AI50" s="32"/>
      <c r="AJ50" s="32"/>
      <c r="AK50" s="32"/>
      <c r="AL50" s="32"/>
    </row>
    <row r="87" spans="7:36">
      <c r="G87" s="47"/>
    </row>
    <row r="95" spans="7:36">
      <c r="AD95" s="1" t="s">
        <v>9</v>
      </c>
      <c r="AE95" s="1" t="s">
        <v>10</v>
      </c>
      <c r="AF95" s="1" t="s">
        <v>11</v>
      </c>
      <c r="AH95" s="1" t="s">
        <v>9</v>
      </c>
      <c r="AI95" s="1" t="s">
        <v>10</v>
      </c>
      <c r="AJ95" s="1" t="s">
        <v>11</v>
      </c>
    </row>
    <row r="96" spans="7:36">
      <c r="AC96" s="47" t="str">
        <f t="shared" ref="AC96:AC118" si="4">A6</f>
        <v>Republic</v>
      </c>
      <c r="AD96" s="68">
        <f>C6/B6*100</f>
        <v>46.405228758169933</v>
      </c>
      <c r="AE96" s="68">
        <f t="shared" ref="AE96:AE118" si="5">D6/B6*100</f>
        <v>26.579520697167759</v>
      </c>
      <c r="AF96" s="68">
        <f t="shared" ref="AF96:AF118" si="6">E6/B6*100</f>
        <v>27.015250544662312</v>
      </c>
      <c r="AG96" s="69" t="s">
        <v>12</v>
      </c>
      <c r="AH96" s="68">
        <f>H6/G6*100</f>
        <v>68.87062632299839</v>
      </c>
      <c r="AI96" s="68">
        <f>I6/G6*100</f>
        <v>16.063888794557453</v>
      </c>
      <c r="AJ96" s="68">
        <f>J6/G6*100</f>
        <v>15.065484882444165</v>
      </c>
    </row>
    <row r="97" spans="29:36">
      <c r="AC97" s="47" t="str">
        <f t="shared" si="4"/>
        <v>Male'</v>
      </c>
      <c r="AD97" s="68">
        <f t="shared" ref="AD96:AD118" si="7">C7/B7*100</f>
        <v>36.84210526315789</v>
      </c>
      <c r="AE97" s="68">
        <f t="shared" si="5"/>
        <v>52.631578947368418</v>
      </c>
      <c r="AF97" s="68">
        <f t="shared" si="6"/>
        <v>10.526315789473683</v>
      </c>
      <c r="AG97" s="69" t="s">
        <v>14</v>
      </c>
      <c r="AH97" s="68">
        <f t="shared" ref="AH97:AH118" si="8">H7/G7*100</f>
        <v>60.62053292052304</v>
      </c>
      <c r="AI97" s="68">
        <f t="shared" ref="AI97:AI118" si="9">I7/G7*100</f>
        <v>23.105299561938011</v>
      </c>
      <c r="AJ97" s="68">
        <f t="shared" ref="AJ97:AJ118" si="10">J7/G7*100</f>
        <v>16.274167517538949</v>
      </c>
    </row>
    <row r="98" spans="29:36">
      <c r="AC98" s="47" t="str">
        <f t="shared" si="4"/>
        <v>Atolls</v>
      </c>
      <c r="AD98" s="68">
        <f t="shared" si="7"/>
        <v>47.268408551068887</v>
      </c>
      <c r="AE98" s="68">
        <f t="shared" si="5"/>
        <v>24.228028503562946</v>
      </c>
      <c r="AF98" s="68">
        <f t="shared" si="6"/>
        <v>28.50356294536817</v>
      </c>
      <c r="AG98" s="69" t="s">
        <v>16</v>
      </c>
      <c r="AH98" s="68">
        <f t="shared" si="8"/>
        <v>73.190755432907892</v>
      </c>
      <c r="AI98" s="68">
        <f t="shared" si="9"/>
        <v>12.376681614349776</v>
      </c>
      <c r="AJ98" s="68">
        <f t="shared" si="10"/>
        <v>14.432562952742325</v>
      </c>
    </row>
    <row r="99" spans="29:36">
      <c r="AC99" s="47" t="str">
        <f t="shared" si="4"/>
        <v>HA</v>
      </c>
      <c r="AD99" s="68">
        <f t="shared" si="7"/>
        <v>50</v>
      </c>
      <c r="AE99" s="68">
        <f t="shared" si="5"/>
        <v>17.857142857142858</v>
      </c>
      <c r="AF99" s="68">
        <f t="shared" si="6"/>
        <v>32.142857142857146</v>
      </c>
      <c r="AG99" s="69" t="s">
        <v>64</v>
      </c>
      <c r="AH99" s="68">
        <f t="shared" si="8"/>
        <v>74.749749749749753</v>
      </c>
      <c r="AI99" s="68">
        <f t="shared" si="9"/>
        <v>10.435435435435435</v>
      </c>
      <c r="AJ99" s="68">
        <f t="shared" si="10"/>
        <v>14.814814814814813</v>
      </c>
    </row>
    <row r="100" spans="29:36">
      <c r="AC100" s="47" t="str">
        <f t="shared" si="4"/>
        <v>HDh</v>
      </c>
      <c r="AD100" s="68">
        <f t="shared" si="7"/>
        <v>46.875</v>
      </c>
      <c r="AE100" s="68">
        <f t="shared" si="5"/>
        <v>25</v>
      </c>
      <c r="AF100" s="68">
        <f t="shared" si="6"/>
        <v>28.125</v>
      </c>
      <c r="AG100" s="69" t="s">
        <v>65</v>
      </c>
      <c r="AH100" s="68">
        <f t="shared" si="8"/>
        <v>72.684852835606605</v>
      </c>
      <c r="AI100" s="68">
        <f t="shared" si="9"/>
        <v>8.3094041636755218</v>
      </c>
      <c r="AJ100" s="68">
        <f t="shared" si="10"/>
        <v>19.005743000717874</v>
      </c>
    </row>
    <row r="101" spans="29:36">
      <c r="AC101" s="47" t="str">
        <f t="shared" si="4"/>
        <v>Sh</v>
      </c>
      <c r="AD101" s="68">
        <f t="shared" si="7"/>
        <v>50</v>
      </c>
      <c r="AE101" s="68">
        <f t="shared" si="5"/>
        <v>10.714285714285714</v>
      </c>
      <c r="AF101" s="68">
        <f t="shared" si="6"/>
        <v>39.285714285714285</v>
      </c>
      <c r="AG101" s="69" t="s">
        <v>66</v>
      </c>
      <c r="AH101" s="68">
        <f t="shared" si="8"/>
        <v>73.005353046138154</v>
      </c>
      <c r="AI101" s="68">
        <f t="shared" si="9"/>
        <v>6.1687484068315062</v>
      </c>
      <c r="AJ101" s="68">
        <f t="shared" si="10"/>
        <v>20.825898547030334</v>
      </c>
    </row>
    <row r="102" spans="29:36">
      <c r="AC102" s="47" t="str">
        <f t="shared" si="4"/>
        <v>N</v>
      </c>
      <c r="AD102" s="68">
        <f t="shared" si="7"/>
        <v>48.148148148148145</v>
      </c>
      <c r="AE102" s="68">
        <f t="shared" si="5"/>
        <v>14.814814814814813</v>
      </c>
      <c r="AF102" s="68">
        <f t="shared" si="6"/>
        <v>37.037037037037038</v>
      </c>
      <c r="AG102" s="69" t="s">
        <v>60</v>
      </c>
      <c r="AH102" s="68">
        <f t="shared" si="8"/>
        <v>72.535667963683522</v>
      </c>
      <c r="AI102" s="68">
        <f t="shared" si="9"/>
        <v>7.8145265888456548</v>
      </c>
      <c r="AJ102" s="68">
        <f t="shared" si="10"/>
        <v>19.649805447470818</v>
      </c>
    </row>
    <row r="103" spans="29:36">
      <c r="AC103" s="47" t="str">
        <f t="shared" si="4"/>
        <v>R</v>
      </c>
      <c r="AD103" s="68">
        <f t="shared" si="7"/>
        <v>51.612903225806448</v>
      </c>
      <c r="AE103" s="68">
        <f t="shared" si="5"/>
        <v>22.58064516129032</v>
      </c>
      <c r="AF103" s="68">
        <f t="shared" si="6"/>
        <v>25.806451612903224</v>
      </c>
      <c r="AG103" s="69" t="s">
        <v>67</v>
      </c>
      <c r="AH103" s="68">
        <f t="shared" si="8"/>
        <v>74.843850958432043</v>
      </c>
      <c r="AI103" s="68">
        <f t="shared" si="9"/>
        <v>11.17811759638165</v>
      </c>
      <c r="AJ103" s="68">
        <f t="shared" si="10"/>
        <v>13.9780314451863</v>
      </c>
    </row>
    <row r="104" spans="29:36">
      <c r="AC104" s="47" t="str">
        <f t="shared" si="4"/>
        <v>B</v>
      </c>
      <c r="AD104" s="68">
        <f t="shared" si="7"/>
        <v>46.153846153846153</v>
      </c>
      <c r="AE104" s="68">
        <f t="shared" si="5"/>
        <v>26.923076923076923</v>
      </c>
      <c r="AF104" s="68">
        <f t="shared" si="6"/>
        <v>26.923076923076923</v>
      </c>
      <c r="AG104" s="69" t="s">
        <v>28</v>
      </c>
      <c r="AH104" s="68">
        <f t="shared" si="8"/>
        <v>75.074515648286138</v>
      </c>
      <c r="AI104" s="68">
        <f t="shared" si="9"/>
        <v>11.102831594634873</v>
      </c>
      <c r="AJ104" s="68">
        <f t="shared" si="10"/>
        <v>13.822652757078988</v>
      </c>
    </row>
    <row r="105" spans="29:36">
      <c r="AC105" s="47" t="str">
        <f t="shared" si="4"/>
        <v>Lh</v>
      </c>
      <c r="AD105" s="68">
        <f t="shared" si="7"/>
        <v>40</v>
      </c>
      <c r="AE105" s="68">
        <f t="shared" si="5"/>
        <v>30</v>
      </c>
      <c r="AF105" s="68">
        <f t="shared" si="6"/>
        <v>30</v>
      </c>
      <c r="AG105" s="69" t="s">
        <v>31</v>
      </c>
      <c r="AH105" s="68">
        <f t="shared" si="8"/>
        <v>73.660513282305274</v>
      </c>
      <c r="AI105" s="68">
        <f t="shared" si="9"/>
        <v>11.841512832057631</v>
      </c>
      <c r="AJ105" s="68">
        <f t="shared" si="10"/>
        <v>14.4979738856371</v>
      </c>
    </row>
    <row r="106" spans="29:36">
      <c r="AC106" s="47" t="str">
        <f t="shared" si="4"/>
        <v>K</v>
      </c>
      <c r="AD106" s="68">
        <f t="shared" si="7"/>
        <v>47.368421052631575</v>
      </c>
      <c r="AE106" s="68">
        <f t="shared" si="5"/>
        <v>26.315789473684209</v>
      </c>
      <c r="AF106" s="68">
        <f t="shared" si="6"/>
        <v>26.315789473684209</v>
      </c>
      <c r="AG106" s="69" t="s">
        <v>35</v>
      </c>
      <c r="AH106" s="68">
        <f t="shared" si="8"/>
        <v>71.478873239436624</v>
      </c>
      <c r="AI106" s="68">
        <f t="shared" si="9"/>
        <v>11.725352112676056</v>
      </c>
      <c r="AJ106" s="68">
        <f t="shared" si="10"/>
        <v>16.795774647887324</v>
      </c>
    </row>
    <row r="107" spans="29:36">
      <c r="AC107" s="47" t="str">
        <f t="shared" si="4"/>
        <v>AA</v>
      </c>
      <c r="AD107" s="68">
        <f t="shared" si="7"/>
        <v>47.058823529411761</v>
      </c>
      <c r="AE107" s="68">
        <f t="shared" si="5"/>
        <v>35.294117647058826</v>
      </c>
      <c r="AF107" s="68">
        <f t="shared" si="6"/>
        <v>17.647058823529413</v>
      </c>
      <c r="AG107" s="69" t="s">
        <v>39</v>
      </c>
      <c r="AH107" s="68">
        <f t="shared" si="8"/>
        <v>70.42889390519187</v>
      </c>
      <c r="AI107" s="68">
        <f t="shared" si="9"/>
        <v>22.855530474040634</v>
      </c>
      <c r="AJ107" s="68">
        <f t="shared" si="10"/>
        <v>6.7155756207674946</v>
      </c>
    </row>
    <row r="108" spans="29:36">
      <c r="AC108" s="47" t="str">
        <f t="shared" si="4"/>
        <v>ADh</v>
      </c>
      <c r="AD108" s="68">
        <f t="shared" si="7"/>
        <v>50</v>
      </c>
      <c r="AE108" s="68">
        <f t="shared" si="5"/>
        <v>0</v>
      </c>
      <c r="AF108" s="68">
        <f t="shared" si="6"/>
        <v>50</v>
      </c>
      <c r="AG108" s="69" t="s">
        <v>41</v>
      </c>
      <c r="AH108" s="68">
        <f t="shared" si="8"/>
        <v>68.568755846585589</v>
      </c>
      <c r="AI108" s="68">
        <f t="shared" si="9"/>
        <v>0</v>
      </c>
      <c r="AJ108" s="68">
        <f t="shared" si="10"/>
        <v>31.431244153414404</v>
      </c>
    </row>
    <row r="109" spans="29:36">
      <c r="AC109" s="47" t="str">
        <f t="shared" si="4"/>
        <v>V</v>
      </c>
      <c r="AD109" s="68">
        <f t="shared" si="7"/>
        <v>50</v>
      </c>
      <c r="AE109" s="68">
        <f t="shared" si="5"/>
        <v>33.333333333333329</v>
      </c>
      <c r="AF109" s="68">
        <f t="shared" si="6"/>
        <v>16.666666666666664</v>
      </c>
      <c r="AG109" s="69" t="s">
        <v>43</v>
      </c>
      <c r="AH109" s="68">
        <f t="shared" si="8"/>
        <v>75.574712643678168</v>
      </c>
      <c r="AI109" s="68">
        <f t="shared" si="9"/>
        <v>12.068965517241379</v>
      </c>
      <c r="AJ109" s="68">
        <f t="shared" si="10"/>
        <v>12.35632183908046</v>
      </c>
    </row>
    <row r="110" spans="29:36">
      <c r="AC110" s="47" t="str">
        <f t="shared" si="4"/>
        <v>M</v>
      </c>
      <c r="AD110" s="68">
        <f t="shared" si="7"/>
        <v>50</v>
      </c>
      <c r="AE110" s="68">
        <f t="shared" si="5"/>
        <v>0</v>
      </c>
      <c r="AF110" s="68">
        <f t="shared" si="6"/>
        <v>50</v>
      </c>
      <c r="AG110" s="69" t="s">
        <v>45</v>
      </c>
      <c r="AH110" s="68">
        <f t="shared" si="8"/>
        <v>73.301358912869702</v>
      </c>
      <c r="AI110" s="68">
        <f t="shared" si="9"/>
        <v>0</v>
      </c>
      <c r="AJ110" s="68">
        <f t="shared" si="10"/>
        <v>26.698641087130298</v>
      </c>
    </row>
    <row r="111" spans="29:36">
      <c r="AC111" s="47" t="str">
        <f t="shared" si="4"/>
        <v>F</v>
      </c>
      <c r="AD111" s="68">
        <f t="shared" si="7"/>
        <v>45.454545454545453</v>
      </c>
      <c r="AE111" s="68">
        <f t="shared" si="5"/>
        <v>27.27272727272727</v>
      </c>
      <c r="AF111" s="68">
        <f t="shared" si="6"/>
        <v>27.27272727272727</v>
      </c>
      <c r="AG111" s="69" t="s">
        <v>47</v>
      </c>
      <c r="AH111" s="68">
        <f t="shared" si="8"/>
        <v>78.472727272727269</v>
      </c>
      <c r="AI111" s="68">
        <f t="shared" si="9"/>
        <v>10.690909090909091</v>
      </c>
      <c r="AJ111" s="68">
        <f t="shared" si="10"/>
        <v>10.836363636363638</v>
      </c>
    </row>
    <row r="112" spans="29:36">
      <c r="AC112" s="47" t="str">
        <f t="shared" si="4"/>
        <v>Dh</v>
      </c>
      <c r="AD112" s="68">
        <f t="shared" si="7"/>
        <v>50</v>
      </c>
      <c r="AE112" s="68">
        <f t="shared" si="5"/>
        <v>25</v>
      </c>
      <c r="AF112" s="68">
        <f t="shared" si="6"/>
        <v>25</v>
      </c>
      <c r="AG112" s="69" t="s">
        <v>49</v>
      </c>
      <c r="AH112" s="68">
        <f t="shared" si="8"/>
        <v>72.486453943407582</v>
      </c>
      <c r="AI112" s="68">
        <f t="shared" si="9"/>
        <v>8.4286574352799519</v>
      </c>
      <c r="AJ112" s="68">
        <f t="shared" si="10"/>
        <v>19.084888621312462</v>
      </c>
    </row>
    <row r="113" spans="29:36">
      <c r="AC113" s="47" t="str">
        <f t="shared" si="4"/>
        <v>Th</v>
      </c>
      <c r="AD113" s="68">
        <f t="shared" si="7"/>
        <v>50</v>
      </c>
      <c r="AE113" s="68">
        <f t="shared" si="5"/>
        <v>7.6923076923076925</v>
      </c>
      <c r="AF113" s="68">
        <f t="shared" si="6"/>
        <v>42.307692307692307</v>
      </c>
      <c r="AG113" s="69" t="s">
        <v>51</v>
      </c>
      <c r="AH113" s="68">
        <f t="shared" si="8"/>
        <v>69.951109439638955</v>
      </c>
      <c r="AI113" s="68">
        <f t="shared" si="9"/>
        <v>5.0018804061677322</v>
      </c>
      <c r="AJ113" s="68">
        <f t="shared" si="10"/>
        <v>25.047010154193305</v>
      </c>
    </row>
    <row r="114" spans="29:36">
      <c r="AC114" s="47" t="str">
        <f t="shared" si="4"/>
        <v>L</v>
      </c>
      <c r="AD114" s="68">
        <f t="shared" si="7"/>
        <v>46.666666666666664</v>
      </c>
      <c r="AE114" s="68">
        <f t="shared" si="5"/>
        <v>10</v>
      </c>
      <c r="AF114" s="68">
        <f t="shared" si="6"/>
        <v>43.333333333333336</v>
      </c>
      <c r="AG114" s="69" t="s">
        <v>32</v>
      </c>
      <c r="AH114" s="68">
        <f t="shared" si="8"/>
        <v>74.281150159744413</v>
      </c>
      <c r="AI114" s="68">
        <f t="shared" si="9"/>
        <v>7.0021299254526088</v>
      </c>
      <c r="AJ114" s="68">
        <f t="shared" si="10"/>
        <v>18.716719914802983</v>
      </c>
    </row>
    <row r="115" spans="29:36">
      <c r="AC115" s="47" t="str">
        <f t="shared" si="4"/>
        <v>GA</v>
      </c>
      <c r="AD115" s="68">
        <f t="shared" si="7"/>
        <v>45</v>
      </c>
      <c r="AE115" s="68">
        <f t="shared" si="5"/>
        <v>35</v>
      </c>
      <c r="AF115" s="68">
        <f t="shared" si="6"/>
        <v>20</v>
      </c>
      <c r="AG115" s="69" t="s">
        <v>55</v>
      </c>
      <c r="AH115" s="68">
        <f t="shared" si="8"/>
        <v>77.074774034511094</v>
      </c>
      <c r="AI115" s="68">
        <f t="shared" si="9"/>
        <v>15.324568611339359</v>
      </c>
      <c r="AJ115" s="68">
        <f t="shared" si="10"/>
        <v>7.6006573541495479</v>
      </c>
    </row>
    <row r="116" spans="29:36">
      <c r="AC116" s="47" t="str">
        <f t="shared" si="4"/>
        <v>GDh</v>
      </c>
      <c r="AD116" s="68">
        <f t="shared" si="7"/>
        <v>40.74074074074074</v>
      </c>
      <c r="AE116" s="68">
        <f t="shared" si="5"/>
        <v>55.555555555555557</v>
      </c>
      <c r="AF116" s="68">
        <f t="shared" si="6"/>
        <v>3.7037037037037033</v>
      </c>
      <c r="AG116" s="69" t="s">
        <v>57</v>
      </c>
      <c r="AH116" s="68">
        <f t="shared" si="8"/>
        <v>72.831520141134959</v>
      </c>
      <c r="AI116" s="68">
        <f t="shared" si="9"/>
        <v>26.139370773301966</v>
      </c>
      <c r="AJ116" s="68">
        <f t="shared" si="10"/>
        <v>1.0291090855630698</v>
      </c>
    </row>
    <row r="117" spans="29:36">
      <c r="AC117" s="47" t="str">
        <f t="shared" si="4"/>
        <v>Gn</v>
      </c>
      <c r="AD117" s="68">
        <f t="shared" si="7"/>
        <v>33.333333333333329</v>
      </c>
      <c r="AE117" s="68">
        <f t="shared" si="5"/>
        <v>58.333333333333336</v>
      </c>
      <c r="AF117" s="68">
        <f t="shared" si="6"/>
        <v>8.3333333333333321</v>
      </c>
      <c r="AG117" s="69" t="s">
        <v>59</v>
      </c>
      <c r="AH117" s="68">
        <f t="shared" si="8"/>
        <v>70.628862231915662</v>
      </c>
      <c r="AI117" s="68">
        <f t="shared" si="9"/>
        <v>20.210832424572882</v>
      </c>
      <c r="AJ117" s="68">
        <f t="shared" si="10"/>
        <v>9.1603053435114496</v>
      </c>
    </row>
    <row r="118" spans="29:36">
      <c r="AC118" s="47" t="str">
        <f t="shared" si="4"/>
        <v>S</v>
      </c>
      <c r="AD118" s="68">
        <f t="shared" si="7"/>
        <v>47.826086956521742</v>
      </c>
      <c r="AE118" s="68">
        <f t="shared" si="5"/>
        <v>52.173913043478258</v>
      </c>
      <c r="AF118" s="68">
        <f t="shared" si="6"/>
        <v>0</v>
      </c>
      <c r="AG118" s="69" t="s">
        <v>23</v>
      </c>
      <c r="AH118" s="68">
        <f t="shared" si="8"/>
        <v>73.460062145859993</v>
      </c>
      <c r="AI118" s="68">
        <f t="shared" si="9"/>
        <v>26.53993785414001</v>
      </c>
      <c r="AJ118" s="68">
        <f t="shared" si="10"/>
        <v>0</v>
      </c>
    </row>
  </sheetData>
  <mergeCells count="5">
    <mergeCell ref="A1:K1"/>
    <mergeCell ref="A2:K2"/>
    <mergeCell ref="B3:E3"/>
    <mergeCell ref="G3:J3"/>
    <mergeCell ref="AJ14:AK14"/>
  </mergeCells>
  <pageMargins left="0.17" right="0.17" top="0.48" bottom="0.36" header="0.3" footer="0.3"/>
  <pageSetup paperSize="9" scale="85" orientation="portrait" r:id="rId1"/>
  <rowBreaks count="1" manualBreakCount="1">
    <brk id="53" max="10" man="1"/>
  </rowBreaks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</vt:lpstr>
      <vt:lpstr>'7.1'!Print_Area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2016-04-04T08:24:35Z</cp:lastPrinted>
  <dcterms:created xsi:type="dcterms:W3CDTF">2014-03-05T03:36:41Z</dcterms:created>
  <dcterms:modified xsi:type="dcterms:W3CDTF">2016-04-04T08:24:37Z</dcterms:modified>
</cp:coreProperties>
</file>