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4" sheetId="6" r:id="rId1"/>
  </sheets>
  <externalReferences>
    <externalReference r:id="rId2"/>
  </externalReferences>
  <definedNames>
    <definedName name="_xlnm.Print_Area" localSheetId="0">'7.4'!$A$1:$O$32</definedName>
  </definedNames>
  <calcPr calcId="144525"/>
</workbook>
</file>

<file path=xl/calcChain.xml><?xml version="1.0" encoding="utf-8"?>
<calcChain xmlns="http://schemas.openxmlformats.org/spreadsheetml/2006/main">
  <c r="J29" i="6" l="1"/>
  <c r="J30" i="6" l="1"/>
  <c r="J28" i="6"/>
  <c r="J27" i="6"/>
  <c r="J8" i="6"/>
  <c r="G8" i="6" l="1"/>
  <c r="F9" i="6"/>
  <c r="F10" i="6"/>
  <c r="I10" i="6"/>
  <c r="G10" i="6"/>
  <c r="I8" i="6"/>
  <c r="H8" i="6"/>
  <c r="F30" i="6" l="1"/>
  <c r="B30" i="6"/>
  <c r="N30" i="6" s="1"/>
  <c r="F29" i="6"/>
  <c r="B29" i="6"/>
  <c r="N29" i="6" s="1"/>
  <c r="F28" i="6"/>
  <c r="B28" i="6"/>
  <c r="N28" i="6" s="1"/>
  <c r="F27" i="6"/>
  <c r="B27" i="6"/>
  <c r="N27" i="6" s="1"/>
  <c r="F26" i="6"/>
  <c r="J26" i="6" s="1"/>
  <c r="B26" i="6"/>
  <c r="N26" i="6" s="1"/>
  <c r="F25" i="6"/>
  <c r="J25" i="6" s="1"/>
  <c r="B25" i="6"/>
  <c r="N25" i="6" s="1"/>
  <c r="F24" i="6"/>
  <c r="J24" i="6" s="1"/>
  <c r="B24" i="6"/>
  <c r="N24" i="6" s="1"/>
  <c r="F23" i="6"/>
  <c r="J23" i="6" s="1"/>
  <c r="B23" i="6"/>
  <c r="N23" i="6" s="1"/>
  <c r="F22" i="6"/>
  <c r="J22" i="6" s="1"/>
  <c r="B22" i="6"/>
  <c r="N22" i="6" s="1"/>
  <c r="F21" i="6"/>
  <c r="J21" i="6" s="1"/>
  <c r="B21" i="6"/>
  <c r="N21" i="6" s="1"/>
  <c r="F20" i="6"/>
  <c r="J20" i="6" s="1"/>
  <c r="B20" i="6"/>
  <c r="N20" i="6" s="1"/>
  <c r="F19" i="6"/>
  <c r="J19" i="6" s="1"/>
  <c r="B19" i="6"/>
  <c r="N19" i="6" s="1"/>
  <c r="F18" i="6"/>
  <c r="J18" i="6" s="1"/>
  <c r="B18" i="6"/>
  <c r="N18" i="6" s="1"/>
  <c r="F17" i="6"/>
  <c r="J17" i="6" s="1"/>
  <c r="B17" i="6"/>
  <c r="N17" i="6" s="1"/>
  <c r="F16" i="6"/>
  <c r="J16" i="6" s="1"/>
  <c r="B16" i="6"/>
  <c r="N16" i="6" s="1"/>
  <c r="F15" i="6"/>
  <c r="J15" i="6" s="1"/>
  <c r="B15" i="6"/>
  <c r="N15" i="6" s="1"/>
  <c r="F14" i="6"/>
  <c r="J14" i="6" s="1"/>
  <c r="B14" i="6"/>
  <c r="N14" i="6" s="1"/>
  <c r="F13" i="6"/>
  <c r="J13" i="6" s="1"/>
  <c r="B13" i="6"/>
  <c r="N13" i="6" s="1"/>
  <c r="F12" i="6"/>
  <c r="J12" i="6" s="1"/>
  <c r="B12" i="6"/>
  <c r="N12" i="6" s="1"/>
  <c r="F11" i="6"/>
  <c r="J11" i="6" s="1"/>
  <c r="B11" i="6"/>
  <c r="N11" i="6" s="1"/>
  <c r="J10" i="6"/>
  <c r="D10" i="6"/>
  <c r="D8" i="6" s="1"/>
  <c r="C10" i="6"/>
  <c r="C8" i="6" s="1"/>
  <c r="J9" i="6"/>
  <c r="B9" i="6"/>
  <c r="N9" i="6" s="1"/>
  <c r="F8" i="6"/>
  <c r="B10" i="6" l="1"/>
  <c r="N10" i="6" s="1"/>
  <c r="B8" i="6"/>
  <c r="N8" i="6" s="1"/>
  <c r="L9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8" i="6" l="1"/>
  <c r="L10" i="6"/>
</calcChain>
</file>

<file path=xl/sharedStrings.xml><?xml version="1.0" encoding="utf-8"?>
<sst xmlns="http://schemas.openxmlformats.org/spreadsheetml/2006/main" count="77" uniqueCount="70">
  <si>
    <t>Total</t>
  </si>
  <si>
    <t xml:space="preserve">  Locality</t>
  </si>
  <si>
    <t>wlcmuj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</si>
  <si>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</si>
  <si>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</si>
  <si>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</si>
  <si>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</si>
  <si>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</si>
  <si>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</si>
  <si>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</si>
  <si>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</si>
  <si>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</si>
  <si>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</si>
  <si>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</si>
  <si>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</si>
  <si>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</si>
  <si>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</si>
  <si>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</si>
  <si>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</si>
  <si>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</si>
  <si>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</si>
  <si>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</si>
  <si>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</si>
  <si>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</si>
  <si>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</si>
  <si>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</si>
  <si>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</si>
  <si>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</si>
  <si>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</si>
  <si>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</si>
  <si>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</si>
  <si>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</si>
  <si>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</si>
  <si>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</si>
  <si>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</si>
  <si>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</si>
  <si>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</si>
  <si>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</si>
  <si>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</si>
  <si>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</si>
  <si>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</si>
  <si>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</si>
  <si>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</si>
  <si>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</si>
  <si>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</si>
  <si>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</si>
  <si>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</si>
  <si>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</si>
  <si>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</si>
  <si>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uscnijed</t>
  </si>
  <si>
    <t>cnwt</t>
  </si>
  <si>
    <t>cnidukWvwyik</t>
  </si>
  <si>
    <t xml:space="preserve"> cnusircawdum</t>
  </si>
  <si>
    <t xml:space="preserve">  cnidukWvwyik cnutwbcsin egcnusircawdum</t>
  </si>
  <si>
    <t>Student Enrolment</t>
  </si>
  <si>
    <t>Teachers</t>
  </si>
  <si>
    <t>iawfivedcnIrcmwt</t>
  </si>
  <si>
    <t>WvuniawfivedcnIrcmwt</t>
  </si>
  <si>
    <t>Both  Sexes</t>
  </si>
  <si>
    <t>Trained</t>
  </si>
  <si>
    <t>Un-trained</t>
  </si>
  <si>
    <t xml:space="preserve"> % for untrained teachers </t>
  </si>
  <si>
    <t>HA</t>
  </si>
  <si>
    <t>HDh</t>
  </si>
  <si>
    <t>Sh</t>
  </si>
  <si>
    <t>R</t>
  </si>
  <si>
    <t xml:space="preserve">Student Teacher Ratio </t>
  </si>
  <si>
    <t>WvuniawfivedcnIrcmwt  cnia %</t>
  </si>
  <si>
    <t>2015 ,cnidukWvwyik iaWncnusircawdum ibit iawgunwtcnwt EvedumIluAwt egukwtuLotwa iaWaelWm : 7.4 ulwvWt</t>
  </si>
  <si>
    <t>Table 7.4 : TEACHERS AND STUDENTS OF EDUCATIONAL INSTITUTIONS, BY LOCALITY,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</si>
</sst>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9"/>
      <color theme="1"/>
      <name val="Arial"/>
      <family val="2"/>
    </font>
    <font>
      <sz val="9"/>
      <name val="A_Waheed"/>
    </font>
    <font>
      <i/>
      <sz val="9"/>
      <name val="A_Waheed"/>
    </font>
    <font>
      <sz val="10"/>
      <name val="MS Sans Serif"/>
      <family val="2"/>
    </font>
    <font>
      <b/>
      <sz val="12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1"/>
      <name val="A_Waheed"/>
    </font>
    <font>
      <b/>
      <sz val="11"/>
      <name val="A_Wahe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</borders>
  <cellStyleXfs count="140">
    <xf numFmtId="0" fontId="0" fillId="0" borderId="0"/>
    <xf numFmtId="164" fontId="2" fillId="0" borderId="0"/>
    <xf numFmtId="164" fontId="2" fillId="0" borderId="0"/>
    <xf numFmtId="0" fontId="8" fillId="0" borderId="0"/>
    <xf numFmtId="0" fontId="2" fillId="0" borderId="0"/>
    <xf numFmtId="166" fontId="2" fillId="0" borderId="0"/>
    <xf numFmtId="40" fontId="19" fillId="0" borderId="0" applyFont="0" applyFill="0" applyBorder="0" applyAlignment="0" applyProtection="0"/>
    <xf numFmtId="164" fontId="2" fillId="0" borderId="0"/>
    <xf numFmtId="0" fontId="21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86">
    <xf numFmtId="0" fontId="0" fillId="0" borderId="0" xfId="0"/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 wrapText="1"/>
    </xf>
    <xf numFmtId="165" fontId="15" fillId="2" borderId="0" xfId="0" applyNumberFormat="1" applyFont="1" applyFill="1" applyAlignment="1" applyProtection="1">
      <alignment horizontal="left" vertical="center"/>
    </xf>
    <xf numFmtId="165" fontId="3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/>
    <xf numFmtId="165" fontId="3" fillId="2" borderId="0" xfId="0" applyNumberFormat="1" applyFont="1" applyFill="1" applyBorder="1" applyAlignment="1">
      <alignment vertical="center"/>
    </xf>
    <xf numFmtId="165" fontId="8" fillId="2" borderId="0" xfId="0" applyNumberFormat="1" applyFont="1" applyFill="1" applyBorder="1" applyAlignment="1"/>
    <xf numFmtId="165" fontId="5" fillId="2" borderId="0" xfId="0" applyNumberFormat="1" applyFont="1" applyFill="1" applyAlignment="1"/>
    <xf numFmtId="165" fontId="5" fillId="2" borderId="1" xfId="0" applyNumberFormat="1" applyFont="1" applyFill="1" applyBorder="1" applyAlignment="1"/>
    <xf numFmtId="165" fontId="5" fillId="2" borderId="0" xfId="0" applyNumberFormat="1" applyFont="1" applyFill="1" applyBorder="1" applyAlignment="1"/>
    <xf numFmtId="165" fontId="12" fillId="2" borderId="0" xfId="0" applyNumberFormat="1" applyFont="1" applyFill="1" applyAlignment="1"/>
    <xf numFmtId="165" fontId="12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/>
    <xf numFmtId="165" fontId="14" fillId="2" borderId="0" xfId="0" applyNumberFormat="1" applyFont="1" applyFill="1" applyAlignment="1"/>
    <xf numFmtId="165" fontId="17" fillId="2" borderId="0" xfId="0" applyNumberFormat="1" applyFont="1" applyFill="1" applyAlignment="1">
      <alignment horizontal="right"/>
    </xf>
    <xf numFmtId="165" fontId="17" fillId="2" borderId="0" xfId="0" applyNumberFormat="1" applyFont="1" applyFill="1" applyAlignment="1"/>
    <xf numFmtId="165" fontId="18" fillId="2" borderId="0" xfId="0" applyNumberFormat="1" applyFont="1" applyFill="1" applyAlignment="1" applyProtection="1">
      <alignment horizontal="right"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 applyAlignment="1">
      <alignment horizontal="right" vertical="center"/>
    </xf>
    <xf numFmtId="165" fontId="8" fillId="2" borderId="0" xfId="0" applyNumberFormat="1" applyFont="1" applyFill="1" applyAlignment="1">
      <alignment vertical="center"/>
    </xf>
    <xf numFmtId="2" fontId="8" fillId="2" borderId="0" xfId="0" applyNumberFormat="1" applyFont="1" applyFill="1" applyAlignment="1">
      <alignment vertical="center"/>
    </xf>
    <xf numFmtId="165" fontId="8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16" fillId="2" borderId="2" xfId="0" applyNumberFormat="1" applyFont="1" applyFill="1" applyBorder="1" applyAlignment="1">
      <alignment vertical="center"/>
    </xf>
    <xf numFmtId="165" fontId="20" fillId="2" borderId="0" xfId="0" applyNumberFormat="1" applyFont="1" applyFill="1" applyAlignment="1">
      <alignment vertical="center"/>
    </xf>
    <xf numFmtId="165" fontId="16" fillId="2" borderId="0" xfId="0" applyNumberFormat="1" applyFont="1" applyFill="1" applyBorder="1" applyAlignment="1">
      <alignment vertical="center"/>
    </xf>
    <xf numFmtId="164" fontId="9" fillId="2" borderId="0" xfId="0" applyNumberFormat="1" applyFont="1" applyFill="1" applyBorder="1" applyAlignment="1">
      <alignment vertical="center"/>
    </xf>
    <xf numFmtId="1" fontId="25" fillId="2" borderId="0" xfId="0" applyNumberFormat="1" applyFont="1" applyFill="1" applyAlignment="1"/>
    <xf numFmtId="1" fontId="9" fillId="2" borderId="0" xfId="0" applyNumberFormat="1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 applyProtection="1">
      <alignment horizontal="right" vertical="center"/>
    </xf>
    <xf numFmtId="3" fontId="9" fillId="2" borderId="0" xfId="0" applyNumberFormat="1" applyFont="1" applyFill="1" applyBorder="1" applyAlignment="1" applyProtection="1">
      <alignment horizontal="right" vertical="center"/>
    </xf>
    <xf numFmtId="165" fontId="27" fillId="2" borderId="9" xfId="0" applyNumberFormat="1" applyFont="1" applyFill="1" applyBorder="1" applyAlignment="1" applyProtection="1">
      <alignment horizontal="center" vertical="center"/>
    </xf>
    <xf numFmtId="165" fontId="12" fillId="2" borderId="0" xfId="0" applyNumberFormat="1" applyFont="1" applyFill="1" applyBorder="1" applyAlignment="1"/>
    <xf numFmtId="165" fontId="12" fillId="2" borderId="0" xfId="0" applyNumberFormat="1" applyFont="1" applyFill="1" applyBorder="1" applyAlignment="1">
      <alignment horizontal="right"/>
    </xf>
    <xf numFmtId="3" fontId="23" fillId="2" borderId="0" xfId="0" applyNumberFormat="1" applyFont="1" applyFill="1" applyBorder="1" applyAlignment="1" applyProtection="1">
      <alignment horizontal="center"/>
    </xf>
    <xf numFmtId="1" fontId="12" fillId="2" borderId="0" xfId="0" applyNumberFormat="1" applyFont="1" applyFill="1" applyBorder="1" applyAlignment="1"/>
    <xf numFmtId="165" fontId="9" fillId="2" borderId="0" xfId="0" applyNumberFormat="1" applyFont="1" applyFill="1" applyAlignment="1" applyProtection="1">
      <alignment horizontal="left" vertical="center" indent="1"/>
    </xf>
    <xf numFmtId="3" fontId="10" fillId="2" borderId="0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Border="1" applyAlignment="1">
      <alignment vertical="center"/>
    </xf>
    <xf numFmtId="164" fontId="10" fillId="2" borderId="8" xfId="0" applyNumberFormat="1" applyFont="1" applyFill="1" applyBorder="1" applyAlignment="1">
      <alignment horizontal="right" vertical="center" indent="2"/>
    </xf>
    <xf numFmtId="164" fontId="10" fillId="2" borderId="0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 applyProtection="1">
      <alignment horizontal="right" vertical="center"/>
    </xf>
    <xf numFmtId="165" fontId="26" fillId="2" borderId="0" xfId="0" applyNumberFormat="1" applyFont="1" applyFill="1" applyAlignment="1">
      <alignment horizontal="right" vertical="center" indent="1"/>
    </xf>
    <xf numFmtId="1" fontId="24" fillId="2" borderId="0" xfId="0" applyNumberFormat="1" applyFont="1" applyFill="1" applyAlignment="1"/>
    <xf numFmtId="165" fontId="10" fillId="2" borderId="0" xfId="0" applyNumberFormat="1" applyFont="1" applyFill="1" applyAlignment="1" applyProtection="1">
      <alignment horizontal="left" vertical="center" indent="1"/>
    </xf>
    <xf numFmtId="165" fontId="10" fillId="2" borderId="1" xfId="0" applyNumberFormat="1" applyFont="1" applyFill="1" applyBorder="1" applyAlignment="1" applyProtection="1">
      <alignment horizontal="left" vertical="center" indent="1"/>
    </xf>
    <xf numFmtId="3" fontId="10" fillId="2" borderId="12" xfId="0" applyNumberFormat="1" applyFont="1" applyFill="1" applyBorder="1" applyAlignment="1" applyProtection="1">
      <alignment horizontal="right" vertical="center"/>
    </xf>
    <xf numFmtId="164" fontId="10" fillId="2" borderId="12" xfId="0" applyNumberFormat="1" applyFont="1" applyFill="1" applyBorder="1" applyAlignment="1">
      <alignment vertical="center"/>
    </xf>
    <xf numFmtId="164" fontId="10" fillId="2" borderId="13" xfId="0" applyNumberFormat="1" applyFont="1" applyFill="1" applyBorder="1" applyAlignment="1">
      <alignment horizontal="right" vertical="center" indent="2"/>
    </xf>
    <xf numFmtId="164" fontId="10" fillId="2" borderId="12" xfId="0" applyNumberFormat="1" applyFont="1" applyFill="1" applyBorder="1" applyAlignment="1">
      <alignment horizontal="center" vertical="center"/>
    </xf>
    <xf numFmtId="164" fontId="10" fillId="2" borderId="12" xfId="0" applyNumberFormat="1" applyFont="1" applyFill="1" applyBorder="1" applyAlignment="1" applyProtection="1">
      <alignment horizontal="right" vertical="center"/>
    </xf>
    <xf numFmtId="165" fontId="26" fillId="2" borderId="12" xfId="0" applyNumberFormat="1" applyFont="1" applyFill="1" applyBorder="1" applyAlignment="1">
      <alignment horizontal="right" vertical="center" indent="1"/>
    </xf>
    <xf numFmtId="165" fontId="6" fillId="2" borderId="2" xfId="0" applyNumberFormat="1" applyFont="1" applyFill="1" applyBorder="1" applyAlignment="1">
      <alignment vertical="center"/>
    </xf>
    <xf numFmtId="165" fontId="6" fillId="2" borderId="0" xfId="0" applyNumberFormat="1" applyFont="1" applyFill="1" applyBorder="1" applyAlignment="1" applyProtection="1">
      <alignment horizontal="right" vertical="center" wrapText="1"/>
    </xf>
    <xf numFmtId="165" fontId="6" fillId="2" borderId="7" xfId="0" applyNumberFormat="1" applyFont="1" applyFill="1" applyBorder="1" applyAlignment="1">
      <alignment horizontal="right" vertical="center"/>
    </xf>
    <xf numFmtId="165" fontId="6" fillId="2" borderId="8" xfId="0" applyNumberFormat="1" applyFont="1" applyFill="1" applyBorder="1" applyAlignment="1">
      <alignment horizontal="right" wrapText="1"/>
    </xf>
    <xf numFmtId="165" fontId="5" fillId="2" borderId="0" xfId="0" applyNumberFormat="1" applyFont="1" applyFill="1" applyAlignment="1">
      <alignment horizontal="right"/>
    </xf>
    <xf numFmtId="165" fontId="4" fillId="2" borderId="3" xfId="0" applyNumberFormat="1" applyFont="1" applyFill="1" applyBorder="1" applyAlignment="1" applyProtection="1">
      <alignment horizontal="right" vertical="center" wrapText="1"/>
    </xf>
    <xf numFmtId="165" fontId="5" fillId="2" borderId="1" xfId="0" applyNumberFormat="1" applyFont="1" applyFill="1" applyBorder="1" applyAlignment="1" applyProtection="1">
      <alignment horizontal="right" vertical="center"/>
    </xf>
    <xf numFmtId="3" fontId="11" fillId="2" borderId="7" xfId="0" applyNumberFormat="1" applyFont="1" applyFill="1" applyBorder="1" applyAlignment="1" applyProtection="1">
      <alignment horizontal="right" vertical="center"/>
    </xf>
    <xf numFmtId="3" fontId="9" fillId="2" borderId="1" xfId="0" applyNumberFormat="1" applyFont="1" applyFill="1" applyBorder="1" applyAlignment="1" applyProtection="1">
      <alignment horizontal="right" vertical="center"/>
    </xf>
    <xf numFmtId="165" fontId="27" fillId="2" borderId="0" xfId="0" applyNumberFormat="1" applyFont="1" applyFill="1" applyAlignment="1">
      <alignment horizontal="right" vertical="center" indent="1"/>
    </xf>
    <xf numFmtId="164" fontId="9" fillId="2" borderId="8" xfId="0" applyNumberFormat="1" applyFont="1" applyFill="1" applyBorder="1" applyAlignment="1">
      <alignment horizontal="right" vertical="center" indent="2"/>
    </xf>
    <xf numFmtId="165" fontId="3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Border="1" applyAlignment="1" applyProtection="1">
      <alignment horizontal="center" vertical="top"/>
    </xf>
    <xf numFmtId="165" fontId="13" fillId="2" borderId="2" xfId="0" applyNumberFormat="1" applyFont="1" applyFill="1" applyBorder="1" applyAlignment="1" applyProtection="1">
      <alignment horizontal="left" vertical="center"/>
    </xf>
    <xf numFmtId="165" fontId="13" fillId="2" borderId="0" xfId="0" applyNumberFormat="1" applyFont="1" applyFill="1" applyBorder="1" applyAlignment="1" applyProtection="1">
      <alignment horizontal="left" vertical="center"/>
    </xf>
    <xf numFmtId="165" fontId="13" fillId="2" borderId="1" xfId="0" applyNumberFormat="1" applyFont="1" applyFill="1" applyBorder="1" applyAlignment="1" applyProtection="1">
      <alignment horizontal="left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3" fontId="7" fillId="2" borderId="2" xfId="3" applyNumberFormat="1" applyFont="1" applyFill="1" applyBorder="1" applyAlignment="1">
      <alignment horizontal="right" vertical="center" indent="1"/>
    </xf>
    <xf numFmtId="3" fontId="7" fillId="2" borderId="0" xfId="3" applyNumberFormat="1" applyFont="1" applyFill="1" applyBorder="1" applyAlignment="1">
      <alignment horizontal="right" vertical="center" indent="1"/>
    </xf>
    <xf numFmtId="3" fontId="7" fillId="2" borderId="1" xfId="3" applyNumberFormat="1" applyFont="1" applyFill="1" applyBorder="1" applyAlignment="1">
      <alignment horizontal="right" vertical="center" indent="1"/>
    </xf>
    <xf numFmtId="165" fontId="9" fillId="2" borderId="9" xfId="0" applyNumberFormat="1" applyFont="1" applyFill="1" applyBorder="1" applyAlignment="1" applyProtection="1">
      <alignment horizontal="center" vertical="center"/>
    </xf>
    <xf numFmtId="165" fontId="9" fillId="2" borderId="10" xfId="0" applyNumberFormat="1" applyFont="1" applyFill="1" applyBorder="1" applyAlignment="1" applyProtection="1">
      <alignment horizontal="center" vertical="center"/>
    </xf>
    <xf numFmtId="165" fontId="9" fillId="2" borderId="11" xfId="0" applyNumberFormat="1" applyFont="1" applyFill="1" applyBorder="1" applyAlignment="1" applyProtection="1">
      <alignment horizontal="center" vertical="center"/>
    </xf>
    <xf numFmtId="165" fontId="9" fillId="2" borderId="9" xfId="0" applyNumberFormat="1" applyFont="1" applyFill="1" applyBorder="1" applyAlignment="1">
      <alignment horizontal="center" vertical="center"/>
    </xf>
  </cellXfs>
  <cellStyles count="140">
    <cellStyle name="1" xfId="139"/>
    <cellStyle name="Comma 2" xfId="6"/>
    <cellStyle name="Comma 3" xfId="9"/>
    <cellStyle name="Normal" xfId="0" builtinId="0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4" xfId="98"/>
    <cellStyle name="Normal 2 5" xfId="99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3" xfId="110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5" xfId="22"/>
    <cellStyle name="Normal 5 2" xfId="112"/>
    <cellStyle name="Normal 6" xfId="2"/>
    <cellStyle name="Normal 6 2" xfId="133"/>
    <cellStyle name="Normal 6 3" xfId="116"/>
    <cellStyle name="Normal 7" xfId="1"/>
    <cellStyle name="Normal 7 2" xfId="113"/>
    <cellStyle name="Normal 7 3" xfId="16"/>
    <cellStyle name="Normal 8" xfId="5"/>
    <cellStyle name="Normal 8 2" xfId="7"/>
    <cellStyle name="Normal 8 2 2" xfId="114"/>
    <cellStyle name="Normal 8 3" xfId="17"/>
    <cellStyle name="Normal 9" xfId="18"/>
    <cellStyle name="Normal 9 2" xfId="115"/>
    <cellStyle name="Normal_II-15(Population)" xfId="3"/>
    <cellStyle name="Percent 2" xfId="10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</row>
        <row r="28">
          <cell r="A28" t="str">
            <v>Male'</v>
          </cell>
          <cell r="R28">
            <v>29345</v>
          </cell>
          <cell r="S28">
            <v>29777</v>
          </cell>
          <cell r="T28">
            <v>27007</v>
          </cell>
          <cell r="U28">
            <v>25876</v>
          </cell>
          <cell r="V28">
            <v>25565</v>
          </cell>
          <cell r="W28">
            <v>25064</v>
          </cell>
          <cell r="X28">
            <v>26583</v>
          </cell>
          <cell r="Y28">
            <v>27204</v>
          </cell>
          <cell r="Z28">
            <v>28507</v>
          </cell>
          <cell r="AA28">
            <v>30361</v>
          </cell>
        </row>
        <row r="29">
          <cell r="A29" t="str">
            <v>Atolls</v>
          </cell>
          <cell r="R29">
            <v>70896</v>
          </cell>
          <cell r="S29">
            <v>67354</v>
          </cell>
          <cell r="T29">
            <v>66426</v>
          </cell>
          <cell r="U29">
            <v>63965</v>
          </cell>
          <cell r="V29">
            <v>62035</v>
          </cell>
          <cell r="W29">
            <v>61882</v>
          </cell>
          <cell r="X29">
            <v>59927</v>
          </cell>
          <cell r="Y29">
            <v>58892</v>
          </cell>
          <cell r="Z29">
            <v>58576</v>
          </cell>
          <cell r="AA29">
            <v>57980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7"/>
  <sheetViews>
    <sheetView tabSelected="1" zoomScaleNormal="100" workbookViewId="0">
      <selection activeCell="P1" sqref="P1"/>
    </sheetView>
  </sheetViews>
  <sheetFormatPr defaultColWidth="11.140625" defaultRowHeight="12.75" x14ac:dyDescent="0.2"/>
  <cols>
    <col min="1" max="1" width="10.7109375" style="21" customWidth="1"/>
    <col min="2" max="4" width="12.28515625" style="21" customWidth="1"/>
    <col min="5" max="5" width="0.85546875" style="21" customWidth="1"/>
    <col min="6" max="6" width="8" style="21" customWidth="1"/>
    <col min="7" max="7" width="15" style="21" customWidth="1"/>
    <col min="8" max="8" width="0.7109375" style="21" customWidth="1"/>
    <col min="9" max="9" width="16.42578125" style="21" customWidth="1"/>
    <col min="10" max="10" width="18.42578125" style="23" customWidth="1"/>
    <col min="11" max="11" width="1.42578125" style="21" customWidth="1"/>
    <col min="12" max="12" width="15.7109375" style="23" customWidth="1"/>
    <col min="13" max="13" width="1.7109375" style="23" customWidth="1"/>
    <col min="14" max="14" width="13.5703125" style="23" customWidth="1"/>
    <col min="15" max="15" width="17.28515625" style="5" customWidth="1"/>
    <col min="16" max="16" width="12.7109375" style="5" customWidth="1"/>
    <col min="17" max="16384" width="11.140625" style="5"/>
  </cols>
  <sheetData>
    <row r="1" spans="1:28" ht="18" customHeight="1" x14ac:dyDescent="0.2">
      <c r="A1" s="71" t="s">
        <v>68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28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s="7" customFormat="1" ht="17.25" customHeight="1" x14ac:dyDescent="0.2">
      <c r="A2" s="72" t="s">
        <v>69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8" customFormat="1" ht="1.5" customHeight="1" x14ac:dyDescent="0.2">
      <c r="L3" s="9"/>
      <c r="M3" s="10"/>
    </row>
    <row r="4" spans="1:28" s="8" customFormat="1" ht="16.5" customHeight="1" x14ac:dyDescent="0.2">
      <c r="A4" s="73" t="s">
        <v>1</v>
      </c>
      <c r="B4" s="76" t="s">
        <v>51</v>
      </c>
      <c r="C4" s="76"/>
      <c r="D4" s="76"/>
      <c r="E4" s="60"/>
      <c r="F4" s="77" t="s">
        <v>52</v>
      </c>
      <c r="G4" s="76"/>
      <c r="H4" s="76"/>
      <c r="I4" s="76"/>
      <c r="J4" s="78"/>
      <c r="K4" s="60"/>
      <c r="L4" s="76" t="s">
        <v>53</v>
      </c>
      <c r="M4" s="76"/>
      <c r="N4" s="76"/>
      <c r="O4" s="79" t="s">
        <v>50</v>
      </c>
    </row>
    <row r="5" spans="1:28" s="11" customFormat="1" ht="13.7" customHeight="1" x14ac:dyDescent="0.2">
      <c r="A5" s="74"/>
      <c r="B5" s="82" t="s">
        <v>54</v>
      </c>
      <c r="C5" s="82"/>
      <c r="D5" s="82"/>
      <c r="E5" s="39"/>
      <c r="F5" s="83" t="s">
        <v>55</v>
      </c>
      <c r="G5" s="82"/>
      <c r="H5" s="82"/>
      <c r="I5" s="82"/>
      <c r="J5" s="84"/>
      <c r="K5" s="39"/>
      <c r="L5" s="85" t="s">
        <v>66</v>
      </c>
      <c r="M5" s="85"/>
      <c r="N5" s="85"/>
      <c r="O5" s="80"/>
      <c r="P5" s="8"/>
    </row>
    <row r="6" spans="1:28" s="12" customFormat="1" ht="28.5" customHeight="1" x14ac:dyDescent="0.35">
      <c r="A6" s="74"/>
      <c r="B6" s="24" t="s">
        <v>49</v>
      </c>
      <c r="C6" s="61" t="s">
        <v>19</v>
      </c>
      <c r="D6" s="61" t="s">
        <v>20</v>
      </c>
      <c r="E6" s="61"/>
      <c r="F6" s="62" t="s">
        <v>2</v>
      </c>
      <c r="G6" s="24" t="s">
        <v>56</v>
      </c>
      <c r="H6" s="24"/>
      <c r="I6" s="24" t="s">
        <v>57</v>
      </c>
      <c r="J6" s="63" t="s">
        <v>67</v>
      </c>
      <c r="K6" s="25"/>
      <c r="L6" s="25" t="s">
        <v>2</v>
      </c>
      <c r="M6" s="25"/>
      <c r="N6" s="24" t="s">
        <v>56</v>
      </c>
      <c r="O6" s="80"/>
      <c r="P6" s="64"/>
    </row>
    <row r="7" spans="1:28" s="12" customFormat="1" ht="24.2" customHeight="1" x14ac:dyDescent="0.2">
      <c r="A7" s="75"/>
      <c r="B7" s="26" t="s">
        <v>58</v>
      </c>
      <c r="C7" s="26" t="s">
        <v>23</v>
      </c>
      <c r="D7" s="26" t="s">
        <v>24</v>
      </c>
      <c r="E7" s="33"/>
      <c r="F7" s="65" t="s">
        <v>0</v>
      </c>
      <c r="G7" s="2" t="s">
        <v>59</v>
      </c>
      <c r="H7" s="2"/>
      <c r="I7" s="2" t="s">
        <v>60</v>
      </c>
      <c r="J7" s="34" t="s">
        <v>61</v>
      </c>
      <c r="K7" s="66"/>
      <c r="L7" s="1" t="s">
        <v>0</v>
      </c>
      <c r="M7" s="1"/>
      <c r="N7" s="1" t="s">
        <v>59</v>
      </c>
      <c r="O7" s="81"/>
      <c r="P7" s="64"/>
      <c r="Q7" s="41"/>
      <c r="R7" s="41"/>
      <c r="S7" s="41"/>
    </row>
    <row r="8" spans="1:28" s="11" customFormat="1" ht="15.75" customHeight="1" x14ac:dyDescent="0.2">
      <c r="A8" s="44" t="s">
        <v>3</v>
      </c>
      <c r="B8" s="38">
        <f>SUM(C8:E8)</f>
        <v>88341</v>
      </c>
      <c r="C8" s="30">
        <f>C9+C10</f>
        <v>45207</v>
      </c>
      <c r="D8" s="30">
        <f>D9+D10</f>
        <v>43134</v>
      </c>
      <c r="E8" s="30"/>
      <c r="F8" s="67">
        <f t="shared" ref="F8:F30" si="0">SUM(G8:I8)</f>
        <v>8817</v>
      </c>
      <c r="G8" s="30">
        <f>SUM(G9:G10)</f>
        <v>7626</v>
      </c>
      <c r="H8" s="30">
        <f t="shared" ref="H8" si="1">SUM(H9:H10)</f>
        <v>0</v>
      </c>
      <c r="I8" s="30">
        <f>SUM(I9:I10)</f>
        <v>1191</v>
      </c>
      <c r="J8" s="70">
        <f>I8/F8*100</f>
        <v>13.507995916978563</v>
      </c>
      <c r="K8" s="36"/>
      <c r="L8" s="35">
        <f>B8/F8</f>
        <v>10.019394351820347</v>
      </c>
      <c r="M8" s="35"/>
      <c r="N8" s="35">
        <f>B8/G8</f>
        <v>11.584185680566483</v>
      </c>
      <c r="O8" s="69" t="s">
        <v>4</v>
      </c>
      <c r="P8" s="51"/>
      <c r="Q8" s="41"/>
      <c r="R8" s="41"/>
      <c r="S8" s="41"/>
    </row>
    <row r="9" spans="1:28" s="11" customFormat="1" ht="15.75" customHeight="1" x14ac:dyDescent="0.25">
      <c r="A9" s="44" t="s">
        <v>5</v>
      </c>
      <c r="B9" s="38">
        <f>SUM(C9:E9)</f>
        <v>30361</v>
      </c>
      <c r="C9" s="38">
        <v>15365</v>
      </c>
      <c r="D9" s="38">
        <v>14996</v>
      </c>
      <c r="E9" s="32"/>
      <c r="F9" s="67">
        <f t="shared" si="0"/>
        <v>2258</v>
      </c>
      <c r="G9" s="38">
        <v>2182</v>
      </c>
      <c r="H9" s="38"/>
      <c r="I9" s="38">
        <v>76</v>
      </c>
      <c r="J9" s="70">
        <f t="shared" ref="J9:J26" si="2">I9/F9*100</f>
        <v>3.3658104517271923</v>
      </c>
      <c r="K9" s="36"/>
      <c r="L9" s="35">
        <f t="shared" ref="L9:L30" si="3">B9/F9</f>
        <v>13.445969884853852</v>
      </c>
      <c r="M9" s="35"/>
      <c r="N9" s="35">
        <f>B9/G9</f>
        <v>13.91429880843263</v>
      </c>
      <c r="O9" s="69" t="s">
        <v>6</v>
      </c>
      <c r="P9" s="31"/>
      <c r="Q9" s="41"/>
      <c r="R9" s="41"/>
      <c r="S9" s="41"/>
    </row>
    <row r="10" spans="1:28" s="11" customFormat="1" ht="15.75" customHeight="1" x14ac:dyDescent="0.25">
      <c r="A10" s="44" t="s">
        <v>7</v>
      </c>
      <c r="B10" s="38">
        <f>SUM(C10:E10)</f>
        <v>57980</v>
      </c>
      <c r="C10" s="30">
        <f>SUM(C11:C30)</f>
        <v>29842</v>
      </c>
      <c r="D10" s="30">
        <f>SUM(D11:D30)</f>
        <v>28138</v>
      </c>
      <c r="E10" s="30"/>
      <c r="F10" s="67">
        <f t="shared" si="0"/>
        <v>6559</v>
      </c>
      <c r="G10" s="30">
        <f>SUM(G11:G30)</f>
        <v>5444</v>
      </c>
      <c r="H10" s="30"/>
      <c r="I10" s="30">
        <f>SUM(I11:I30)</f>
        <v>1115</v>
      </c>
      <c r="J10" s="70">
        <f t="shared" si="2"/>
        <v>16.999542613203232</v>
      </c>
      <c r="K10" s="36"/>
      <c r="L10" s="35">
        <f t="shared" si="3"/>
        <v>8.8397621588656801</v>
      </c>
      <c r="M10" s="35"/>
      <c r="N10" s="35">
        <f t="shared" ref="N10:N30" si="4">B10/G10</f>
        <v>10.65025716385011</v>
      </c>
      <c r="O10" s="69" t="s">
        <v>8</v>
      </c>
      <c r="P10" s="31"/>
      <c r="Q10" s="42"/>
      <c r="R10" s="42"/>
      <c r="S10" s="41"/>
    </row>
    <row r="11" spans="1:28" s="11" customFormat="1" ht="15.75" customHeight="1" x14ac:dyDescent="0.2">
      <c r="A11" s="52" t="s">
        <v>62</v>
      </c>
      <c r="B11" s="38">
        <f>SUM(C11:E11)</f>
        <v>3996</v>
      </c>
      <c r="C11" s="45">
        <v>2069</v>
      </c>
      <c r="D11" s="45">
        <v>1927</v>
      </c>
      <c r="E11" s="46"/>
      <c r="F11" s="67">
        <f t="shared" si="0"/>
        <v>455</v>
      </c>
      <c r="G11" s="45">
        <v>345</v>
      </c>
      <c r="H11" s="45"/>
      <c r="I11" s="45">
        <v>110</v>
      </c>
      <c r="J11" s="47">
        <f t="shared" si="2"/>
        <v>24.175824175824175</v>
      </c>
      <c r="K11" s="48"/>
      <c r="L11" s="49">
        <f t="shared" si="3"/>
        <v>8.7824175824175832</v>
      </c>
      <c r="M11" s="49"/>
      <c r="N11" s="49">
        <f t="shared" si="4"/>
        <v>11.582608695652175</v>
      </c>
      <c r="O11" s="50" t="s">
        <v>9</v>
      </c>
      <c r="P11" s="51"/>
      <c r="Q11" s="40"/>
      <c r="R11" s="40"/>
      <c r="S11" s="41"/>
    </row>
    <row r="12" spans="1:28" s="11" customFormat="1" ht="15.75" customHeight="1" x14ac:dyDescent="0.2">
      <c r="A12" s="52" t="s">
        <v>63</v>
      </c>
      <c r="B12" s="38">
        <f t="shared" ref="B12:B20" si="5">SUM(C12:E12)</f>
        <v>5572</v>
      </c>
      <c r="C12" s="45">
        <v>2900</v>
      </c>
      <c r="D12" s="45">
        <v>2672</v>
      </c>
      <c r="E12" s="46"/>
      <c r="F12" s="67">
        <f t="shared" si="0"/>
        <v>576</v>
      </c>
      <c r="G12" s="45">
        <v>460</v>
      </c>
      <c r="H12" s="45"/>
      <c r="I12" s="45">
        <v>116</v>
      </c>
      <c r="J12" s="47">
        <f t="shared" si="2"/>
        <v>20.138888888888889</v>
      </c>
      <c r="K12" s="48"/>
      <c r="L12" s="49">
        <f t="shared" si="3"/>
        <v>9.6736111111111107</v>
      </c>
      <c r="M12" s="49"/>
      <c r="N12" s="49">
        <f t="shared" si="4"/>
        <v>12.11304347826087</v>
      </c>
      <c r="O12" s="50" t="s">
        <v>10</v>
      </c>
      <c r="P12" s="51"/>
      <c r="Q12" s="40"/>
      <c r="R12" s="40"/>
      <c r="S12" s="41"/>
    </row>
    <row r="13" spans="1:28" s="11" customFormat="1" ht="15.75" customHeight="1" x14ac:dyDescent="0.2">
      <c r="A13" s="52" t="s">
        <v>64</v>
      </c>
      <c r="B13" s="38">
        <f t="shared" si="5"/>
        <v>3923</v>
      </c>
      <c r="C13" s="45">
        <v>2043</v>
      </c>
      <c r="D13" s="45">
        <v>1880</v>
      </c>
      <c r="E13" s="46"/>
      <c r="F13" s="67">
        <f t="shared" si="0"/>
        <v>455</v>
      </c>
      <c r="G13" s="45">
        <v>357</v>
      </c>
      <c r="H13" s="45"/>
      <c r="I13" s="45">
        <v>98</v>
      </c>
      <c r="J13" s="47">
        <f t="shared" si="2"/>
        <v>21.53846153846154</v>
      </c>
      <c r="K13" s="48"/>
      <c r="L13" s="49">
        <f t="shared" si="3"/>
        <v>8.6219780219780215</v>
      </c>
      <c r="M13" s="49"/>
      <c r="N13" s="49">
        <f t="shared" si="4"/>
        <v>10.988795518207283</v>
      </c>
      <c r="O13" s="50" t="s">
        <v>11</v>
      </c>
      <c r="P13" s="51"/>
      <c r="Q13" s="40"/>
      <c r="R13" s="40"/>
      <c r="S13" s="41"/>
    </row>
    <row r="14" spans="1:28" s="11" customFormat="1" ht="15.75" customHeight="1" x14ac:dyDescent="0.2">
      <c r="A14" s="52" t="s">
        <v>45</v>
      </c>
      <c r="B14" s="38">
        <f t="shared" si="5"/>
        <v>3084</v>
      </c>
      <c r="C14" s="45">
        <v>1566</v>
      </c>
      <c r="D14" s="45">
        <v>1518</v>
      </c>
      <c r="E14" s="46"/>
      <c r="F14" s="67">
        <f t="shared" si="0"/>
        <v>367</v>
      </c>
      <c r="G14" s="45">
        <v>307</v>
      </c>
      <c r="H14" s="45"/>
      <c r="I14" s="45">
        <v>60</v>
      </c>
      <c r="J14" s="47">
        <f t="shared" si="2"/>
        <v>16.348773841961854</v>
      </c>
      <c r="K14" s="48"/>
      <c r="L14" s="49">
        <f t="shared" si="3"/>
        <v>8.4032697547683917</v>
      </c>
      <c r="M14" s="49"/>
      <c r="N14" s="49">
        <f t="shared" si="4"/>
        <v>10.045602605863191</v>
      </c>
      <c r="O14" s="50" t="s">
        <v>12</v>
      </c>
      <c r="P14" s="51"/>
      <c r="Q14" s="40"/>
      <c r="R14" s="40"/>
      <c r="S14" s="41"/>
    </row>
    <row r="15" spans="1:28" s="11" customFormat="1" ht="15.75" customHeight="1" x14ac:dyDescent="0.2">
      <c r="A15" s="52" t="s">
        <v>65</v>
      </c>
      <c r="B15" s="38">
        <f t="shared" si="5"/>
        <v>4643</v>
      </c>
      <c r="C15" s="45">
        <v>2395</v>
      </c>
      <c r="D15" s="45">
        <v>2248</v>
      </c>
      <c r="E15" s="46"/>
      <c r="F15" s="67">
        <f t="shared" si="0"/>
        <v>528</v>
      </c>
      <c r="G15" s="45">
        <v>454</v>
      </c>
      <c r="H15" s="45"/>
      <c r="I15" s="45">
        <v>74</v>
      </c>
      <c r="J15" s="47">
        <f t="shared" si="2"/>
        <v>14.015151515151514</v>
      </c>
      <c r="K15" s="48"/>
      <c r="L15" s="49">
        <f t="shared" si="3"/>
        <v>8.7935606060606055</v>
      </c>
      <c r="M15" s="49"/>
      <c r="N15" s="49">
        <f t="shared" si="4"/>
        <v>10.226872246696034</v>
      </c>
      <c r="O15" s="50" t="s">
        <v>13</v>
      </c>
      <c r="P15" s="51"/>
      <c r="Q15" s="40"/>
      <c r="R15" s="40"/>
      <c r="S15" s="43"/>
    </row>
    <row r="16" spans="1:28" s="11" customFormat="1" ht="17.25" x14ac:dyDescent="0.2">
      <c r="A16" s="52" t="s">
        <v>14</v>
      </c>
      <c r="B16" s="38">
        <f t="shared" si="5"/>
        <v>2684</v>
      </c>
      <c r="C16" s="45">
        <v>1426</v>
      </c>
      <c r="D16" s="45">
        <v>1258</v>
      </c>
      <c r="E16" s="46"/>
      <c r="F16" s="67">
        <f t="shared" si="0"/>
        <v>355</v>
      </c>
      <c r="G16" s="45">
        <v>287</v>
      </c>
      <c r="H16" s="45"/>
      <c r="I16" s="45">
        <v>68</v>
      </c>
      <c r="J16" s="47">
        <f t="shared" si="2"/>
        <v>19.154929577464788</v>
      </c>
      <c r="K16" s="48"/>
      <c r="L16" s="49">
        <f t="shared" si="3"/>
        <v>7.5605633802816898</v>
      </c>
      <c r="M16" s="49"/>
      <c r="N16" s="49">
        <f t="shared" si="4"/>
        <v>9.3519163763066206</v>
      </c>
      <c r="O16" s="50" t="s">
        <v>15</v>
      </c>
      <c r="P16" s="51"/>
      <c r="Q16" s="40"/>
      <c r="R16" s="40"/>
      <c r="S16" s="43"/>
    </row>
    <row r="17" spans="1:20" s="11" customFormat="1" ht="17.25" x14ac:dyDescent="0.2">
      <c r="A17" s="52" t="s">
        <v>17</v>
      </c>
      <c r="B17" s="38">
        <f t="shared" si="5"/>
        <v>2221</v>
      </c>
      <c r="C17" s="45">
        <v>1077</v>
      </c>
      <c r="D17" s="45">
        <v>1144</v>
      </c>
      <c r="E17" s="46"/>
      <c r="F17" s="67">
        <f t="shared" si="0"/>
        <v>221</v>
      </c>
      <c r="G17" s="45">
        <v>208</v>
      </c>
      <c r="H17" s="45"/>
      <c r="I17" s="45">
        <v>13</v>
      </c>
      <c r="J17" s="47">
        <f t="shared" si="2"/>
        <v>5.8823529411764701</v>
      </c>
      <c r="K17" s="48"/>
      <c r="L17" s="49">
        <f t="shared" si="3"/>
        <v>10.049773755656108</v>
      </c>
      <c r="M17" s="49"/>
      <c r="N17" s="49">
        <f t="shared" si="4"/>
        <v>10.677884615384615</v>
      </c>
      <c r="O17" s="50" t="s">
        <v>18</v>
      </c>
      <c r="P17" s="51"/>
      <c r="S17" s="13"/>
    </row>
    <row r="18" spans="1:20" s="11" customFormat="1" ht="17.25" x14ac:dyDescent="0.2">
      <c r="A18" s="52" t="s">
        <v>21</v>
      </c>
      <c r="B18" s="38">
        <f t="shared" si="5"/>
        <v>2840</v>
      </c>
      <c r="C18" s="45">
        <v>1494</v>
      </c>
      <c r="D18" s="45">
        <v>1346</v>
      </c>
      <c r="E18" s="46"/>
      <c r="F18" s="67">
        <f t="shared" si="0"/>
        <v>288</v>
      </c>
      <c r="G18" s="45">
        <v>273</v>
      </c>
      <c r="H18" s="45"/>
      <c r="I18" s="45">
        <v>15</v>
      </c>
      <c r="J18" s="47">
        <f t="shared" si="2"/>
        <v>5.2083333333333339</v>
      </c>
      <c r="K18" s="48"/>
      <c r="L18" s="49">
        <f t="shared" si="3"/>
        <v>9.8611111111111107</v>
      </c>
      <c r="M18" s="49"/>
      <c r="N18" s="49">
        <f t="shared" si="4"/>
        <v>10.402930402930403</v>
      </c>
      <c r="O18" s="50" t="s">
        <v>22</v>
      </c>
      <c r="P18" s="51"/>
      <c r="S18" s="13"/>
    </row>
    <row r="19" spans="1:20" s="11" customFormat="1" ht="17.25" x14ac:dyDescent="0.2">
      <c r="A19" s="52" t="s">
        <v>25</v>
      </c>
      <c r="B19" s="38">
        <f t="shared" si="5"/>
        <v>1772</v>
      </c>
      <c r="C19" s="45">
        <v>926</v>
      </c>
      <c r="D19" s="45">
        <v>846</v>
      </c>
      <c r="E19" s="46"/>
      <c r="F19" s="67">
        <f t="shared" si="0"/>
        <v>214</v>
      </c>
      <c r="G19" s="45">
        <v>185</v>
      </c>
      <c r="H19" s="45"/>
      <c r="I19" s="45">
        <v>29</v>
      </c>
      <c r="J19" s="47">
        <f t="shared" si="2"/>
        <v>13.551401869158877</v>
      </c>
      <c r="K19" s="48"/>
      <c r="L19" s="49">
        <f t="shared" si="3"/>
        <v>8.2803738317757016</v>
      </c>
      <c r="M19" s="49"/>
      <c r="N19" s="49">
        <f t="shared" si="4"/>
        <v>9.5783783783783782</v>
      </c>
      <c r="O19" s="50" t="s">
        <v>26</v>
      </c>
      <c r="P19" s="51"/>
      <c r="S19" s="13"/>
    </row>
    <row r="20" spans="1:20" s="11" customFormat="1" ht="17.25" x14ac:dyDescent="0.2">
      <c r="A20" s="52" t="s">
        <v>27</v>
      </c>
      <c r="B20" s="38">
        <f t="shared" si="5"/>
        <v>2138</v>
      </c>
      <c r="C20" s="45">
        <v>1112</v>
      </c>
      <c r="D20" s="45">
        <v>1026</v>
      </c>
      <c r="E20" s="46"/>
      <c r="F20" s="67">
        <f t="shared" si="0"/>
        <v>277</v>
      </c>
      <c r="G20" s="45">
        <v>264</v>
      </c>
      <c r="H20" s="45"/>
      <c r="I20" s="45">
        <v>13</v>
      </c>
      <c r="J20" s="47">
        <f t="shared" si="2"/>
        <v>4.6931407942238268</v>
      </c>
      <c r="K20" s="48"/>
      <c r="L20" s="49">
        <f t="shared" si="3"/>
        <v>7.7184115523465708</v>
      </c>
      <c r="M20" s="49"/>
      <c r="N20" s="49">
        <f t="shared" si="4"/>
        <v>8.0984848484848477</v>
      </c>
      <c r="O20" s="50" t="s">
        <v>28</v>
      </c>
      <c r="P20" s="51"/>
      <c r="S20" s="13"/>
    </row>
    <row r="21" spans="1:20" s="11" customFormat="1" ht="17.25" x14ac:dyDescent="0.2">
      <c r="A21" s="52" t="s">
        <v>29</v>
      </c>
      <c r="B21" s="38">
        <f>SUM(C21:E21)</f>
        <v>348</v>
      </c>
      <c r="C21" s="45">
        <v>184</v>
      </c>
      <c r="D21" s="45">
        <v>164</v>
      </c>
      <c r="E21" s="46"/>
      <c r="F21" s="67">
        <f t="shared" si="0"/>
        <v>65</v>
      </c>
      <c r="G21" s="45">
        <v>51</v>
      </c>
      <c r="H21" s="45"/>
      <c r="I21" s="45">
        <v>14</v>
      </c>
      <c r="J21" s="47">
        <f t="shared" si="2"/>
        <v>21.53846153846154</v>
      </c>
      <c r="K21" s="48"/>
      <c r="L21" s="49">
        <f t="shared" si="3"/>
        <v>5.3538461538461535</v>
      </c>
      <c r="M21" s="49"/>
      <c r="N21" s="49">
        <f t="shared" si="4"/>
        <v>6.8235294117647056</v>
      </c>
      <c r="O21" s="50" t="s">
        <v>30</v>
      </c>
      <c r="P21" s="51"/>
      <c r="S21" s="13"/>
    </row>
    <row r="22" spans="1:20" s="14" customFormat="1" ht="17.25" x14ac:dyDescent="0.2">
      <c r="A22" s="52" t="s">
        <v>31</v>
      </c>
      <c r="B22" s="38">
        <f t="shared" ref="B22:B28" si="6">SUM(C22:E22)</f>
        <v>1251</v>
      </c>
      <c r="C22" s="45">
        <v>650</v>
      </c>
      <c r="D22" s="45">
        <v>601</v>
      </c>
      <c r="E22" s="46"/>
      <c r="F22" s="67">
        <f t="shared" si="0"/>
        <v>186</v>
      </c>
      <c r="G22" s="45">
        <v>178</v>
      </c>
      <c r="H22" s="45"/>
      <c r="I22" s="45">
        <v>8</v>
      </c>
      <c r="J22" s="47">
        <f t="shared" si="2"/>
        <v>4.3010752688172049</v>
      </c>
      <c r="K22" s="48"/>
      <c r="L22" s="49">
        <f t="shared" si="3"/>
        <v>6.725806451612903</v>
      </c>
      <c r="M22" s="49"/>
      <c r="N22" s="49">
        <f t="shared" si="4"/>
        <v>7.0280898876404496</v>
      </c>
      <c r="O22" s="50" t="s">
        <v>32</v>
      </c>
      <c r="P22" s="51"/>
      <c r="S22" s="13"/>
      <c r="T22" s="11"/>
    </row>
    <row r="23" spans="1:20" s="14" customFormat="1" ht="17.25" x14ac:dyDescent="0.2">
      <c r="A23" s="52" t="s">
        <v>33</v>
      </c>
      <c r="B23" s="38">
        <f t="shared" si="6"/>
        <v>1375</v>
      </c>
      <c r="C23" s="45">
        <v>698</v>
      </c>
      <c r="D23" s="45">
        <v>677</v>
      </c>
      <c r="E23" s="46"/>
      <c r="F23" s="67">
        <f t="shared" si="0"/>
        <v>157</v>
      </c>
      <c r="G23" s="45">
        <v>157</v>
      </c>
      <c r="H23" s="45"/>
      <c r="I23" s="45">
        <v>0</v>
      </c>
      <c r="J23" s="47">
        <f t="shared" si="2"/>
        <v>0</v>
      </c>
      <c r="K23" s="48"/>
      <c r="L23" s="49">
        <f t="shared" si="3"/>
        <v>8.7579617834394909</v>
      </c>
      <c r="M23" s="49"/>
      <c r="N23" s="49">
        <f t="shared" si="4"/>
        <v>8.7579617834394909</v>
      </c>
      <c r="O23" s="50" t="s">
        <v>34</v>
      </c>
      <c r="P23" s="51" t="s">
        <v>16</v>
      </c>
      <c r="S23" s="13"/>
      <c r="T23" s="11"/>
    </row>
    <row r="24" spans="1:20" s="14" customFormat="1" ht="17.25" x14ac:dyDescent="0.2">
      <c r="A24" s="52" t="s">
        <v>35</v>
      </c>
      <c r="B24" s="38">
        <f t="shared" si="6"/>
        <v>1661</v>
      </c>
      <c r="C24" s="45">
        <v>857</v>
      </c>
      <c r="D24" s="45">
        <v>804</v>
      </c>
      <c r="E24" s="46"/>
      <c r="F24" s="67">
        <f t="shared" si="0"/>
        <v>189</v>
      </c>
      <c r="G24" s="45">
        <v>179</v>
      </c>
      <c r="H24" s="45"/>
      <c r="I24" s="45">
        <v>10</v>
      </c>
      <c r="J24" s="47">
        <f t="shared" si="2"/>
        <v>5.2910052910052912</v>
      </c>
      <c r="K24" s="48"/>
      <c r="L24" s="49">
        <f t="shared" si="3"/>
        <v>8.7883597883597879</v>
      </c>
      <c r="M24" s="49"/>
      <c r="N24" s="49">
        <f t="shared" si="4"/>
        <v>9.2793296089385482</v>
      </c>
      <c r="O24" s="50" t="s">
        <v>36</v>
      </c>
      <c r="P24" s="51"/>
      <c r="S24" s="13"/>
      <c r="T24" s="11"/>
    </row>
    <row r="25" spans="1:20" s="14" customFormat="1" ht="17.25" x14ac:dyDescent="0.2">
      <c r="A25" s="52" t="s">
        <v>37</v>
      </c>
      <c r="B25" s="38">
        <f t="shared" si="6"/>
        <v>2659</v>
      </c>
      <c r="C25" s="45">
        <v>1376</v>
      </c>
      <c r="D25" s="45">
        <v>1283</v>
      </c>
      <c r="E25" s="46"/>
      <c r="F25" s="67">
        <f t="shared" si="0"/>
        <v>354</v>
      </c>
      <c r="G25" s="45">
        <v>326</v>
      </c>
      <c r="H25" s="45"/>
      <c r="I25" s="45">
        <v>28</v>
      </c>
      <c r="J25" s="47">
        <f t="shared" si="2"/>
        <v>7.9096045197740121</v>
      </c>
      <c r="K25" s="48"/>
      <c r="L25" s="49">
        <f t="shared" si="3"/>
        <v>7.5112994350282483</v>
      </c>
      <c r="M25" s="49"/>
      <c r="N25" s="49">
        <f t="shared" si="4"/>
        <v>8.1564417177914113</v>
      </c>
      <c r="O25" s="50" t="s">
        <v>38</v>
      </c>
      <c r="P25" s="51"/>
      <c r="S25" s="13"/>
      <c r="T25" s="11"/>
    </row>
    <row r="26" spans="1:20" s="14" customFormat="1" ht="17.25" x14ac:dyDescent="0.2">
      <c r="A26" s="52" t="s">
        <v>18</v>
      </c>
      <c r="B26" s="38">
        <f t="shared" si="6"/>
        <v>3756</v>
      </c>
      <c r="C26" s="45">
        <v>1934</v>
      </c>
      <c r="D26" s="45">
        <v>1822</v>
      </c>
      <c r="E26" s="46"/>
      <c r="F26" s="67">
        <f t="shared" si="0"/>
        <v>412</v>
      </c>
      <c r="G26" s="45">
        <v>387</v>
      </c>
      <c r="H26" s="45"/>
      <c r="I26" s="45">
        <v>25</v>
      </c>
      <c r="J26" s="47">
        <f t="shared" si="2"/>
        <v>6.0679611650485441</v>
      </c>
      <c r="K26" s="48"/>
      <c r="L26" s="49">
        <f t="shared" si="3"/>
        <v>9.116504854368932</v>
      </c>
      <c r="M26" s="49"/>
      <c r="N26" s="49">
        <f t="shared" si="4"/>
        <v>9.7054263565891468</v>
      </c>
      <c r="O26" s="50" t="s">
        <v>39</v>
      </c>
      <c r="P26" s="51"/>
      <c r="S26" s="13"/>
      <c r="T26" s="11"/>
    </row>
    <row r="27" spans="1:20" s="14" customFormat="1" ht="17.25" x14ac:dyDescent="0.2">
      <c r="A27" s="52" t="s">
        <v>40</v>
      </c>
      <c r="B27" s="38">
        <f t="shared" si="6"/>
        <v>2434</v>
      </c>
      <c r="C27" s="45">
        <v>1248</v>
      </c>
      <c r="D27" s="45">
        <v>1186</v>
      </c>
      <c r="E27" s="46"/>
      <c r="F27" s="67">
        <f t="shared" si="0"/>
        <v>309</v>
      </c>
      <c r="G27" s="45">
        <v>183</v>
      </c>
      <c r="H27" s="45"/>
      <c r="I27" s="45">
        <v>126</v>
      </c>
      <c r="J27" s="47">
        <f>I27/F27*100</f>
        <v>40.776699029126213</v>
      </c>
      <c r="K27" s="48"/>
      <c r="L27" s="49">
        <f t="shared" si="3"/>
        <v>7.8770226537216832</v>
      </c>
      <c r="M27" s="49"/>
      <c r="N27" s="49">
        <f t="shared" si="4"/>
        <v>13.300546448087431</v>
      </c>
      <c r="O27" s="50" t="s">
        <v>41</v>
      </c>
      <c r="P27" s="51"/>
      <c r="S27" s="13"/>
      <c r="T27" s="11"/>
    </row>
    <row r="28" spans="1:20" s="14" customFormat="1" ht="17.25" x14ac:dyDescent="0.2">
      <c r="A28" s="52" t="s">
        <v>42</v>
      </c>
      <c r="B28" s="38">
        <f t="shared" si="6"/>
        <v>3401</v>
      </c>
      <c r="C28" s="45">
        <v>1762</v>
      </c>
      <c r="D28" s="45">
        <v>1639</v>
      </c>
      <c r="E28" s="46"/>
      <c r="F28" s="67">
        <f t="shared" si="0"/>
        <v>373</v>
      </c>
      <c r="G28" s="45">
        <v>280</v>
      </c>
      <c r="H28" s="45"/>
      <c r="I28" s="45">
        <v>93</v>
      </c>
      <c r="J28" s="47">
        <f>I28/F28*100</f>
        <v>24.932975871313673</v>
      </c>
      <c r="K28" s="48"/>
      <c r="L28" s="49">
        <f t="shared" si="3"/>
        <v>9.1179624664879348</v>
      </c>
      <c r="M28" s="49"/>
      <c r="N28" s="49">
        <f t="shared" si="4"/>
        <v>12.146428571428572</v>
      </c>
      <c r="O28" s="50" t="s">
        <v>43</v>
      </c>
      <c r="P28" s="51"/>
      <c r="S28" s="13"/>
      <c r="T28" s="11"/>
    </row>
    <row r="29" spans="1:20" s="14" customFormat="1" ht="17.25" x14ac:dyDescent="0.2">
      <c r="A29" s="52" t="s">
        <v>44</v>
      </c>
      <c r="B29" s="38">
        <f>SUM(C29:E29)</f>
        <v>2751</v>
      </c>
      <c r="C29" s="45">
        <v>1392</v>
      </c>
      <c r="D29" s="45">
        <v>1359</v>
      </c>
      <c r="E29" s="46"/>
      <c r="F29" s="67">
        <f t="shared" si="0"/>
        <v>221</v>
      </c>
      <c r="G29" s="45">
        <v>80</v>
      </c>
      <c r="H29" s="45"/>
      <c r="I29" s="45">
        <v>141</v>
      </c>
      <c r="J29" s="47">
        <f>I29/F29*100</f>
        <v>63.800904977375559</v>
      </c>
      <c r="K29" s="48"/>
      <c r="L29" s="49">
        <f t="shared" si="3"/>
        <v>12.447963800904978</v>
      </c>
      <c r="M29" s="49"/>
      <c r="N29" s="49">
        <f>B29/G29</f>
        <v>34.387500000000003</v>
      </c>
      <c r="O29" s="50" t="s">
        <v>45</v>
      </c>
      <c r="S29" s="13"/>
      <c r="T29" s="11"/>
    </row>
    <row r="30" spans="1:20" s="14" customFormat="1" ht="17.25" x14ac:dyDescent="0.2">
      <c r="A30" s="53" t="s">
        <v>11</v>
      </c>
      <c r="B30" s="68">
        <f>SUM(C30:E30)</f>
        <v>5471</v>
      </c>
      <c r="C30" s="45">
        <v>2733</v>
      </c>
      <c r="D30" s="54">
        <v>2738</v>
      </c>
      <c r="E30" s="55"/>
      <c r="F30" s="37">
        <f t="shared" si="0"/>
        <v>557</v>
      </c>
      <c r="G30" s="54">
        <v>483</v>
      </c>
      <c r="H30" s="54"/>
      <c r="I30" s="54">
        <v>74</v>
      </c>
      <c r="J30" s="56">
        <f>I30/F30*100</f>
        <v>13.285457809694792</v>
      </c>
      <c r="K30" s="57"/>
      <c r="L30" s="58">
        <f t="shared" si="3"/>
        <v>9.8222621184919205</v>
      </c>
      <c r="M30" s="58"/>
      <c r="N30" s="58">
        <f t="shared" si="4"/>
        <v>11.32712215320911</v>
      </c>
      <c r="O30" s="59" t="s">
        <v>46</v>
      </c>
      <c r="P30" s="51"/>
      <c r="S30" s="13"/>
      <c r="T30" s="11"/>
    </row>
    <row r="31" spans="1:20" s="14" customFormat="1" ht="14.25" x14ac:dyDescent="0.35">
      <c r="A31" s="3" t="s">
        <v>47</v>
      </c>
      <c r="C31" s="27"/>
      <c r="D31" s="29"/>
      <c r="E31" s="29"/>
      <c r="F31" s="29"/>
      <c r="G31" s="29"/>
      <c r="H31" s="29"/>
      <c r="I31" s="29"/>
      <c r="J31" s="15"/>
      <c r="K31" s="16"/>
      <c r="L31" s="15"/>
      <c r="M31" s="15"/>
      <c r="N31" s="17"/>
      <c r="O31" s="18" t="s">
        <v>48</v>
      </c>
    </row>
    <row r="32" spans="1:20" s="14" customFormat="1" ht="12" x14ac:dyDescent="0.2">
      <c r="J32" s="19"/>
      <c r="L32" s="19"/>
      <c r="M32" s="19"/>
      <c r="N32" s="20"/>
    </row>
    <row r="34" spans="7:7" x14ac:dyDescent="0.2">
      <c r="G34" s="22"/>
    </row>
    <row r="40" spans="7:7" ht="12" customHeight="1" x14ac:dyDescent="0.2"/>
    <row r="41" spans="7:7" hidden="1" x14ac:dyDescent="0.2"/>
    <row r="42" spans="7:7" hidden="1" x14ac:dyDescent="0.2"/>
    <row r="43" spans="7:7" hidden="1" x14ac:dyDescent="0.2"/>
    <row r="44" spans="7:7" hidden="1" x14ac:dyDescent="0.2"/>
    <row r="45" spans="7:7" hidden="1" x14ac:dyDescent="0.2"/>
    <row r="46" spans="7:7" hidden="1" x14ac:dyDescent="0.2"/>
    <row r="47" spans="7:7" ht="7.7" hidden="1" customHeight="1" x14ac:dyDescent="0.2"/>
  </sheetData>
  <mergeCells count="10">
    <mergeCell ref="A1:O1"/>
    <mergeCell ref="A2:O2"/>
    <mergeCell ref="A4:A7"/>
    <mergeCell ref="B4:D4"/>
    <mergeCell ref="F4:J4"/>
    <mergeCell ref="L4:N4"/>
    <mergeCell ref="O4:O7"/>
    <mergeCell ref="B5:D5"/>
    <mergeCell ref="F5:J5"/>
    <mergeCell ref="L5:N5"/>
  </mergeCells>
  <pageMargins left="0.49" right="0.7" top="0.75" bottom="0.75" header="0.3" footer="0.3"/>
  <pageSetup scale="79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2016-04-04T08:29:26Z</cp:lastPrinted>
  <dcterms:created xsi:type="dcterms:W3CDTF">2014-03-05T03:36:41Z</dcterms:created>
  <dcterms:modified xsi:type="dcterms:W3CDTF">2016-04-04T08:29:28Z</dcterms:modified>
</cp:coreProperties>
</file>