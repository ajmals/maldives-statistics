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7" sheetId="9" r:id="rId1"/>
  </sheets>
  <externalReferences>
    <externalReference r:id="rId2"/>
  </externalReferences>
  <definedNames>
    <definedName name="_xlnm.Print_Area" localSheetId="0">'7.7'!$A$1:$O$47</definedName>
  </definedNames>
  <calcPr calcId="144525"/>
</workbook>
</file>

<file path=xl/calcChain.xml><?xml version="1.0" encoding="utf-8"?>
<calcChain xmlns="http://schemas.openxmlformats.org/spreadsheetml/2006/main">
  <c r="L8" i="9" l="1"/>
  <c r="J22" i="9" l="1"/>
  <c r="N22" i="9" s="1"/>
  <c r="H22" i="9"/>
  <c r="C22" i="9"/>
  <c r="G22" i="9" s="1"/>
  <c r="J21" i="9"/>
  <c r="N21" i="9" s="1"/>
  <c r="H21" i="9"/>
  <c r="C21" i="9"/>
  <c r="G21" i="9" s="1"/>
  <c r="J20" i="9"/>
  <c r="N20" i="9" s="1"/>
  <c r="H20" i="9"/>
  <c r="C20" i="9"/>
  <c r="G20" i="9" s="1"/>
  <c r="J19" i="9"/>
  <c r="N19" i="9" s="1"/>
  <c r="H19" i="9"/>
  <c r="C19" i="9"/>
  <c r="G19" i="9" s="1"/>
  <c r="L18" i="9"/>
  <c r="K18" i="9"/>
  <c r="J18" i="9" s="1"/>
  <c r="E18" i="9"/>
  <c r="D18" i="9"/>
  <c r="H17" i="9"/>
  <c r="C17" i="9"/>
  <c r="G17" i="9" s="1"/>
  <c r="H16" i="9"/>
  <c r="C16" i="9"/>
  <c r="G16" i="9" s="1"/>
  <c r="H15" i="9"/>
  <c r="C15" i="9"/>
  <c r="G15" i="9" s="1"/>
  <c r="H14" i="9"/>
  <c r="C14" i="9"/>
  <c r="G14" i="9" s="1"/>
  <c r="L13" i="9"/>
  <c r="E13" i="9"/>
  <c r="D13" i="9"/>
  <c r="L12" i="9"/>
  <c r="E12" i="9"/>
  <c r="AE36" i="9" s="1"/>
  <c r="D12" i="9"/>
  <c r="H12" i="9" s="1"/>
  <c r="L11" i="9"/>
  <c r="E11" i="9"/>
  <c r="AE35" i="9" s="1"/>
  <c r="D11" i="9"/>
  <c r="H11" i="9" s="1"/>
  <c r="L10" i="9"/>
  <c r="E10" i="9"/>
  <c r="AE34" i="9" s="1"/>
  <c r="D10" i="9"/>
  <c r="H10" i="9" s="1"/>
  <c r="L9" i="9"/>
  <c r="E9" i="9"/>
  <c r="AE33" i="9" s="1"/>
  <c r="D9" i="9"/>
  <c r="H9" i="9" l="1"/>
  <c r="AD33" i="9"/>
  <c r="C13" i="9"/>
  <c r="H18" i="9"/>
  <c r="C10" i="9"/>
  <c r="G10" i="9" s="1"/>
  <c r="C18" i="9"/>
  <c r="G18" i="9" s="1"/>
  <c r="D8" i="9"/>
  <c r="E8" i="9"/>
  <c r="C11" i="9"/>
  <c r="G11" i="9" s="1"/>
  <c r="C12" i="9"/>
  <c r="G12" i="9" s="1"/>
  <c r="C9" i="9"/>
  <c r="G9" i="9" s="1"/>
  <c r="H13" i="9"/>
  <c r="N18" i="9"/>
  <c r="AA36" i="9"/>
  <c r="AA35" i="9"/>
  <c r="AA34" i="9"/>
  <c r="AA33" i="9"/>
  <c r="AD36" i="9"/>
  <c r="AD35" i="9"/>
  <c r="AD34" i="9"/>
  <c r="G13" i="9"/>
  <c r="H8" i="9" l="1"/>
  <c r="C8" i="9"/>
  <c r="G8" i="9" s="1"/>
  <c r="J15" i="9" l="1"/>
  <c r="N15" i="9" s="1"/>
  <c r="K10" i="9"/>
  <c r="Z34" i="9" s="1"/>
  <c r="K9" i="9"/>
  <c r="J16" i="9"/>
  <c r="N16" i="9" s="1"/>
  <c r="K11" i="9"/>
  <c r="J11" i="9" s="1"/>
  <c r="N11" i="9" s="1"/>
  <c r="J14" i="9"/>
  <c r="N14" i="9" s="1"/>
  <c r="K13" i="9"/>
  <c r="J13" i="9"/>
  <c r="N13" i="9" s="1"/>
  <c r="J17" i="9"/>
  <c r="N17" i="9" s="1"/>
  <c r="K12" i="9"/>
  <c r="Z36" i="9" s="1"/>
  <c r="J9" i="9" l="1"/>
  <c r="N9" i="9" s="1"/>
  <c r="Z33" i="9"/>
  <c r="J12" i="9"/>
  <c r="N12" i="9" s="1"/>
  <c r="J10" i="9"/>
  <c r="N10" i="9" s="1"/>
  <c r="K8" i="9"/>
  <c r="J8" i="9" s="1"/>
  <c r="N8" i="9" s="1"/>
  <c r="Z35" i="9"/>
</calcChain>
</file>

<file path=xl/sharedStrings.xml><?xml version="1.0" encoding="utf-8"?>
<sst xmlns="http://schemas.openxmlformats.org/spreadsheetml/2006/main" count="82" uniqueCount="51">
  <si>
    <t>Total</t>
  </si>
  <si>
    <t>wlcmuj</t>
  </si>
  <si>
    <t>Republic</t>
  </si>
  <si>
    <t>ejcaWriLum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</si>
  <si>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</si>
  <si>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</si>
  <si>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</si>
  <si>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</si>
  <si>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</si>
  <si>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</si>
  <si>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</si>
  <si>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cniawtcawscnia</t>
  </si>
  <si>
    <t>Pre - Primary</t>
  </si>
  <si>
    <t>Primary ( 1 - 7)</t>
  </si>
  <si>
    <t>Lower Secondary ( 8 - 10)</t>
  </si>
  <si>
    <t>Higher Secondary ( 11 - 12)</t>
  </si>
  <si>
    <t>Primary</t>
  </si>
  <si>
    <t>Lower Secondary</t>
  </si>
  <si>
    <t>clUkcsIrcp</t>
  </si>
  <si>
    <t xml:space="preserve">  cnidukWvwyik cnutwbcsin egcnusircawdum</t>
  </si>
  <si>
    <t>Teachers</t>
  </si>
  <si>
    <t>Student Teacher Ratio</t>
  </si>
  <si>
    <t>iawfivedcnIrcmwt</t>
  </si>
  <si>
    <t>Trained</t>
  </si>
  <si>
    <t xml:space="preserve">No. of teachers </t>
  </si>
  <si>
    <t>udwdwa egcnusircawdum EdWvwyik</t>
  </si>
  <si>
    <t>cnIsEdib</t>
  </si>
  <si>
    <t xml:space="preserve"> cnIrcmwt</t>
  </si>
  <si>
    <t>cnusircawdum</t>
  </si>
  <si>
    <t>udwdwa egcnidukWvwyik</t>
  </si>
  <si>
    <t>Wviawfibil</t>
  </si>
  <si>
    <t>Wvuniawfibil</t>
  </si>
  <si>
    <t>cnihevid</t>
  </si>
  <si>
    <t>% of</t>
  </si>
  <si>
    <t xml:space="preserve">cnwt </t>
  </si>
  <si>
    <t>Untrained</t>
  </si>
  <si>
    <t>Local</t>
  </si>
  <si>
    <t>Expatriate</t>
  </si>
  <si>
    <t>expatriate</t>
  </si>
  <si>
    <t xml:space="preserve">           (7 - 1 ) umIluAwt WSwf                      </t>
  </si>
  <si>
    <t xml:space="preserve">        (10 - 8 g) umIluAwt IvwnWX                  </t>
  </si>
  <si>
    <t xml:space="preserve">    (12 - 11 )  umIluAwt IvwnWXItwm                  </t>
  </si>
  <si>
    <t xml:space="preserve">     (12 - 11 )  umIluAwt IvwnWXItwm                  </t>
  </si>
  <si>
    <t xml:space="preserve">Higher Secondary </t>
  </si>
  <si>
    <t xml:space="preserve">            3. Trained : Have MAB ( Maldives Accreditation Board ) accredited advanced certificate or higher teaching qualification.</t>
  </si>
  <si>
    <t>Table 7.7 : STUDENTS AND TEACHERS SERVING AT DIFFERENT LEVELS IN MALE' AND ATOLLS, 2015</t>
  </si>
  <si>
    <t>2015 ,udwdwa egcnusircawdum EdWvwyik ,iaWncnidukWvwyik iawgukwtitcnwfikea egukwtuLotwa iaWaelWm :7.7 clwvWt</t>
  </si>
  <si>
    <t>Note :  1. Teachers does not include supervisors, assistant headmasters, headmasters, assistant principals and principals who may teach in addition to their administrative duties.</t>
  </si>
  <si>
    <t xml:space="preserve">            2. Teacherswho teach different levels have been enumerated in the level the teacher takes most periods.</t>
  </si>
  <si>
    <r>
      <t>No. of students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</si>
  <si>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            4. </t>
    </r>
    <r>
      <rPr>
        <i/>
        <vertAlign val="superscript"/>
        <sz val="9"/>
        <rFont val="Calibri"/>
        <family val="2"/>
        <scheme val="minor"/>
      </rPr>
      <t>1_/:</t>
    </r>
    <r>
      <rPr>
        <i/>
        <sz val="9"/>
        <rFont val="Calibri"/>
        <family val="2"/>
        <scheme val="minor"/>
      </rPr>
      <t xml:space="preserve"> Total number of students in this table does not include children with special needs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</si>
</sst>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_Waheed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_Waheed"/>
    </font>
    <font>
      <i/>
      <sz val="9"/>
      <name val="Calibri"/>
      <family val="2"/>
      <scheme val="minor"/>
    </font>
    <font>
      <b/>
      <sz val="9"/>
      <name val="A_Randhoo"/>
    </font>
    <font>
      <b/>
      <sz val="9"/>
      <color theme="1"/>
      <name val="Calibri"/>
      <family val="2"/>
      <scheme val="minor"/>
    </font>
    <font>
      <sz val="9"/>
      <name val="A_Waheed"/>
    </font>
    <font>
      <sz val="10"/>
      <color theme="1"/>
      <name val="Calibri"/>
      <family val="2"/>
      <scheme val="minor"/>
    </font>
    <font>
      <sz val="10"/>
      <name val="A_Utheem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A_Utheem"/>
    </font>
    <font>
      <sz val="10"/>
      <name val="MS Sans Serif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vertAlign val="superscript"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40">
    <xf numFmtId="0" fontId="0" fillId="0" borderId="0"/>
    <xf numFmtId="164" fontId="2" fillId="0" borderId="0"/>
    <xf numFmtId="164" fontId="2" fillId="0" borderId="0"/>
    <xf numFmtId="9" fontId="1" fillId="0" borderId="0" applyFont="0" applyFill="0" applyBorder="0" applyAlignment="0" applyProtection="0"/>
    <xf numFmtId="0" fontId="2" fillId="0" borderId="0"/>
    <xf numFmtId="166" fontId="2" fillId="0" borderId="0"/>
    <xf numFmtId="40" fontId="26" fillId="0" borderId="0" applyFont="0" applyFill="0" applyBorder="0" applyAlignment="0" applyProtection="0"/>
    <xf numFmtId="164" fontId="2" fillId="0" borderId="0"/>
    <xf numFmtId="0" fontId="28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2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80">
    <xf numFmtId="0" fontId="0" fillId="0" borderId="0" xfId="0"/>
    <xf numFmtId="165" fontId="7" fillId="2" borderId="0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 wrapText="1"/>
    </xf>
    <xf numFmtId="165" fontId="17" fillId="2" borderId="0" xfId="0" applyNumberFormat="1" applyFont="1" applyFill="1" applyAlignment="1" applyProtection="1">
      <alignment horizontal="left" vertical="center"/>
    </xf>
    <xf numFmtId="165" fontId="0" fillId="2" borderId="0" xfId="0" applyNumberFormat="1" applyFill="1"/>
    <xf numFmtId="165" fontId="18" fillId="2" borderId="0" xfId="0" applyNumberFormat="1" applyFont="1" applyFill="1" applyBorder="1" applyAlignment="1">
      <alignment horizontal="right" vertical="center"/>
    </xf>
    <xf numFmtId="165" fontId="14" fillId="2" borderId="0" xfId="0" applyNumberFormat="1" applyFont="1" applyFill="1" applyAlignment="1">
      <alignment horizontal="left"/>
    </xf>
    <xf numFmtId="165" fontId="14" fillId="2" borderId="1" xfId="0" applyNumberFormat="1" applyFont="1" applyFill="1" applyBorder="1" applyAlignment="1">
      <alignment horizontal="left"/>
    </xf>
    <xf numFmtId="165" fontId="0" fillId="2" borderId="0" xfId="0" applyNumberFormat="1" applyFill="1" applyBorder="1"/>
    <xf numFmtId="165" fontId="16" fillId="2" borderId="0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Border="1" applyAlignment="1">
      <alignment horizontal="right" vertical="center"/>
    </xf>
    <xf numFmtId="164" fontId="14" fillId="2" borderId="1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left" vertical="center"/>
    </xf>
    <xf numFmtId="165" fontId="7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22" fillId="2" borderId="0" xfId="0" applyNumberFormat="1" applyFont="1" applyFill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5" fontId="6" fillId="2" borderId="2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165" fontId="16" fillId="2" borderId="0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right" vertical="center"/>
    </xf>
    <xf numFmtId="165" fontId="22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0" fontId="6" fillId="2" borderId="2" xfId="0" applyNumberFormat="1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 wrapText="1"/>
    </xf>
    <xf numFmtId="165" fontId="9" fillId="2" borderId="1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16" fillId="2" borderId="1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  <xf numFmtId="165" fontId="24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14" fillId="2" borderId="0" xfId="0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right" vertical="center"/>
    </xf>
    <xf numFmtId="164" fontId="21" fillId="2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165" fontId="10" fillId="2" borderId="0" xfId="0" applyNumberFormat="1" applyFont="1" applyFill="1" applyAlignment="1">
      <alignment horizontal="left" vertical="center" indent="12"/>
    </xf>
    <xf numFmtId="9" fontId="22" fillId="2" borderId="0" xfId="3" applyFont="1" applyFill="1" applyAlignment="1">
      <alignment horizontal="center" vertical="center"/>
    </xf>
    <xf numFmtId="165" fontId="20" fillId="2" borderId="0" xfId="0" applyNumberFormat="1" applyFont="1" applyFill="1" applyBorder="1" applyAlignment="1">
      <alignment horizontal="left" vertical="center"/>
    </xf>
    <xf numFmtId="165" fontId="20" fillId="2" borderId="0" xfId="0" applyNumberFormat="1" applyFont="1" applyFill="1" applyBorder="1" applyAlignment="1">
      <alignment horizontal="left"/>
    </xf>
    <xf numFmtId="164" fontId="8" fillId="2" borderId="0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left"/>
    </xf>
    <xf numFmtId="165" fontId="5" fillId="2" borderId="0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21" fillId="2" borderId="1" xfId="0" applyNumberFormat="1" applyFont="1" applyFill="1" applyBorder="1" applyAlignment="1">
      <alignment horizontal="right" vertical="center"/>
    </xf>
    <xf numFmtId="165" fontId="20" fillId="2" borderId="1" xfId="0" applyNumberFormat="1" applyFont="1" applyFill="1" applyBorder="1" applyAlignment="1">
      <alignment horizontal="left"/>
    </xf>
    <xf numFmtId="165" fontId="15" fillId="2" borderId="0" xfId="0" applyNumberFormat="1" applyFont="1" applyFill="1" applyBorder="1" applyAlignment="1">
      <alignment horizontal="left" vertical="center"/>
    </xf>
    <xf numFmtId="164" fontId="9" fillId="2" borderId="0" xfId="0" applyNumberFormat="1" applyFont="1" applyFill="1" applyAlignment="1">
      <alignment horizontal="right" vertical="center"/>
    </xf>
    <xf numFmtId="165" fontId="17" fillId="2" borderId="0" xfId="0" applyNumberFormat="1" applyFont="1" applyFill="1" applyAlignment="1">
      <alignment horizontal="left" vertical="center"/>
    </xf>
    <xf numFmtId="3" fontId="19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Alignment="1">
      <alignment horizontal="center"/>
    </xf>
    <xf numFmtId="165" fontId="25" fillId="2" borderId="0" xfId="0" applyNumberFormat="1" applyFont="1" applyFill="1" applyAlignment="1">
      <alignment horizontal="right" vertical="center"/>
    </xf>
    <xf numFmtId="165" fontId="15" fillId="2" borderId="0" xfId="0" applyNumberFormat="1" applyFont="1" applyFill="1" applyAlignment="1">
      <alignment horizontal="left" vertical="center"/>
    </xf>
    <xf numFmtId="165" fontId="27" fillId="2" borderId="0" xfId="0" applyNumberFormat="1" applyFont="1" applyFill="1" applyAlignment="1">
      <alignment horizontal="center" vertical="center"/>
    </xf>
    <xf numFmtId="165" fontId="13" fillId="2" borderId="0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/>
    <xf numFmtId="0" fontId="21" fillId="2" borderId="0" xfId="0" applyNumberFormat="1" applyFont="1" applyFill="1" applyBorder="1"/>
    <xf numFmtId="0" fontId="21" fillId="2" borderId="1" xfId="0" applyNumberFormat="1" applyFont="1" applyFill="1" applyBorder="1"/>
    <xf numFmtId="164" fontId="8" fillId="2" borderId="0" xfId="0" applyNumberFormat="1" applyFont="1" applyFill="1" applyBorder="1"/>
    <xf numFmtId="0" fontId="8" fillId="2" borderId="0" xfId="0" applyNumberFormat="1" applyFont="1" applyFill="1" applyBorder="1" applyAlignment="1">
      <alignment horizontal="right"/>
    </xf>
    <xf numFmtId="164" fontId="8" fillId="2" borderId="3" xfId="0" applyNumberFormat="1" applyFont="1" applyFill="1" applyBorder="1" applyAlignment="1">
      <alignment horizontal="right" vertical="center"/>
    </xf>
    <xf numFmtId="0" fontId="8" fillId="2" borderId="1" xfId="0" applyNumberFormat="1" applyFont="1" applyFill="1" applyBorder="1"/>
    <xf numFmtId="165" fontId="3" fillId="2" borderId="0" xfId="0" applyNumberFormat="1" applyFont="1" applyFill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left"/>
    </xf>
    <xf numFmtId="165" fontId="11" fillId="2" borderId="0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</cellXfs>
  <cellStyles count="140">
    <cellStyle name="1" xfId="139"/>
    <cellStyle name="Comma 2" xfId="6"/>
    <cellStyle name="Comma 3" xfId="9"/>
    <cellStyle name="Normal" xfId="0" builtinId="0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4" xfId="98"/>
    <cellStyle name="Normal 2 5" xfId="99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3" xfId="110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5" xfId="22"/>
    <cellStyle name="Normal 5 2" xfId="112"/>
    <cellStyle name="Normal 6" xfId="2"/>
    <cellStyle name="Normal 6 2" xfId="133"/>
    <cellStyle name="Normal 6 3" xfId="116"/>
    <cellStyle name="Normal 7" xfId="1"/>
    <cellStyle name="Normal 7 2" xfId="113"/>
    <cellStyle name="Normal 7 3" xfId="16"/>
    <cellStyle name="Normal 8" xfId="5"/>
    <cellStyle name="Normal 8 2" xfId="7"/>
    <cellStyle name="Normal 8 2 2" xfId="114"/>
    <cellStyle name="Normal 8 3" xfId="17"/>
    <cellStyle name="Normal 9" xfId="18"/>
    <cellStyle name="Normal 9 2" xfId="115"/>
    <cellStyle name="Percent" xfId="3" builtinId="5"/>
    <cellStyle name="Percent 2" xfId="10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47785280092613E-2"/>
          <c:y val="0.16464355278535256"/>
          <c:w val="0.87504954621018494"/>
          <c:h val="0.729874926439506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'7.7'!$Z$32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'7.7'!$Y$33:$Y$36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'7.7'!$Z$33:$Z$36</c:f>
              <c:numCache>
                <c:formatCode>#,##0;[Red]#,##0</c:formatCode>
                <c:ptCount val="4"/>
                <c:pt idx="0">
                  <c:v>1336</c:v>
                </c:pt>
                <c:pt idx="1">
                  <c:v>3393</c:v>
                </c:pt>
                <c:pt idx="2">
                  <c:v>1353</c:v>
                </c:pt>
                <c:pt idx="3">
                  <c:v>286</c:v>
                </c:pt>
              </c:numCache>
            </c:numRef>
          </c:val>
        </c:ser>
        <c:ser>
          <c:idx val="1"/>
          <c:order val="1"/>
          <c:tx>
            <c:strRef>
              <c:f>'7.7'!$AA$32</c:f>
              <c:strCache>
                <c:ptCount val="1"/>
                <c:pt idx="0">
                  <c:v>Expatriate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'7.7'!$Y$33:$Y$36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'7.7'!$AA$33:$AA$36</c:f>
              <c:numCache>
                <c:formatCode>#,##0;[Red]#,##0</c:formatCode>
                <c:ptCount val="4"/>
                <c:pt idx="0">
                  <c:v>55</c:v>
                </c:pt>
                <c:pt idx="1">
                  <c:v>682</c:v>
                </c:pt>
                <c:pt idx="2">
                  <c:v>1416</c:v>
                </c:pt>
                <c:pt idx="3">
                  <c:v>296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09088"/>
        <c:axId val="52855936"/>
      </c:barChart>
      <c:catAx>
        <c:axId val="528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5285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85593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[Red]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28090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6519746557982964"/>
          <c:y val="0.26385929431657124"/>
          <c:w val="0.19165095044206085"/>
          <c:h val="5.9646080779782666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01" r="0.7500000000000101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83346478967445E-2"/>
          <c:y val="0.19470193081803464"/>
          <c:w val="0.89246215172198518"/>
          <c:h val="0.69949896430898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'7.7'!$AD$32</c:f>
              <c:strCache>
                <c:ptCount val="1"/>
                <c:pt idx="0">
                  <c:v>Trained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'7.7'!$AC$33:$AC$36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'7.7'!$AD$33:$AD$36</c:f>
              <c:numCache>
                <c:formatCode>#,##0;[Red]#,##0</c:formatCode>
                <c:ptCount val="4"/>
                <c:pt idx="0">
                  <c:v>1122</c:v>
                </c:pt>
                <c:pt idx="1">
                  <c:v>3374</c:v>
                </c:pt>
                <c:pt idx="2">
                  <c:v>2583</c:v>
                </c:pt>
                <c:pt idx="3">
                  <c:v>547</c:v>
                </c:pt>
              </c:numCache>
            </c:numRef>
          </c:val>
        </c:ser>
        <c:ser>
          <c:idx val="1"/>
          <c:order val="1"/>
          <c:tx>
            <c:strRef>
              <c:f>'7.7'!$AE$32</c:f>
              <c:strCache>
                <c:ptCount val="1"/>
                <c:pt idx="0">
                  <c:v>Untrained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'7.7'!$AC$33:$AC$36</c:f>
              <c:strCache>
                <c:ptCount val="4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 </c:v>
                </c:pt>
              </c:strCache>
            </c:strRef>
          </c:cat>
          <c:val>
            <c:numRef>
              <c:f>'7.7'!$AE$33:$AE$36</c:f>
              <c:numCache>
                <c:formatCode>#,##0;[Red]#,##0</c:formatCode>
                <c:ptCount val="4"/>
                <c:pt idx="0">
                  <c:v>269</c:v>
                </c:pt>
                <c:pt idx="1">
                  <c:v>701</c:v>
                </c:pt>
                <c:pt idx="2">
                  <c:v>186</c:v>
                </c:pt>
                <c:pt idx="3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98816"/>
        <c:axId val="52912896"/>
      </c:barChart>
      <c:catAx>
        <c:axId val="5289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52912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91289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[Red]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2898816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8175649594064671"/>
          <c:y val="0.3264968969174018"/>
          <c:w val="0.24790186621553451"/>
          <c:h val="6.827214016096855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988" r="0.75000000000000988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211903</xdr:colOff>
      <xdr:row>28</xdr:row>
      <xdr:rowOff>115803</xdr:rowOff>
    </xdr:from>
    <xdr:to>
      <xdr:col>6</xdr:col>
      <xdr:colOff>695325</xdr:colOff>
      <xdr:row>46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771862</xdr:colOff>
      <xdr:row>28</xdr:row>
      <xdr:rowOff>110239</xdr:rowOff>
    </xdr:from>
    <xdr:to>
      <xdr:col>14</xdr:col>
      <xdr:colOff>1754894</xdr:colOff>
      <xdr:row>46</xdr:row>
      <xdr:rowOff>90157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1152524</xdr:colOff>
      <xdr:row>30</xdr:row>
      <xdr:rowOff>133350</xdr:rowOff>
    </xdr:from>
    <xdr:to>
      <xdr:col>6</xdr:col>
      <xdr:colOff>285749</xdr:colOff>
      <xdr:row>30</xdr:row>
      <xdr:rowOff>133350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152524" y="6134100"/>
          <a:ext cx="444817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7</xdr:col>
      <xdr:colOff>688158</xdr:colOff>
      <xdr:row>30</xdr:row>
      <xdr:rowOff>94685</xdr:rowOff>
    </xdr:from>
    <xdr:to>
      <xdr:col>14</xdr:col>
      <xdr:colOff>1259658</xdr:colOff>
      <xdr:row>30</xdr:row>
      <xdr:rowOff>104210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6785101" y="5823831"/>
          <a:ext cx="4546537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0.00978</cdr:x>
      <cdr:y>0.07194</cdr:y>
    </cdr:from>
    <cdr:to>
      <cdr:x>0.12855</cdr:x>
      <cdr:y>0.14185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6682" y="216978"/>
          <a:ext cx="688630" cy="2108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In numbers</a:t>
          </a:r>
        </a:p>
      </cdr:txBody>
    </cdr:sp>
  </cdr:relSizeAnchor>
  <cdr:relSizeAnchor xmlns:cdr="http://schemas.openxmlformats.org/drawingml/2006/chartDrawing">
    <cdr:from>
      <cdr:x>0.15984</cdr:x>
      <cdr:y>0.36946</cdr:y>
    </cdr:from>
    <cdr:to>
      <cdr:x>1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02571" y="979572"/>
          <a:ext cx="3905250" cy="1619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0.15479</cdr:x>
      <cdr:y>0.0464</cdr:y>
    </cdr:from>
    <cdr:to>
      <cdr:x>0.95807</cdr:x>
      <cdr:y>0.12844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97537" y="141372"/>
          <a:ext cx="4657709" cy="2499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7.6: Number of Local and Expatriate Teachers, 2015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0.00262</cdr:x>
      <cdr:y>0.12642</cdr:y>
    </cdr:from>
    <cdr:to>
      <cdr:x>0.10703</cdr:x>
      <cdr:y>0.17346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044" y="380157"/>
          <a:ext cx="599405" cy="14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700"/>
            <a:t>In numbers</a:t>
          </a:r>
        </a:p>
      </cdr:txBody>
    </cdr:sp>
  </cdr:relSizeAnchor>
  <cdr:relSizeAnchor xmlns:cdr="http://schemas.openxmlformats.org/drawingml/2006/chartDrawing">
    <cdr:from>
      <cdr:x>0.11344</cdr:x>
      <cdr:y>0.03861</cdr:y>
    </cdr:from>
    <cdr:to>
      <cdr:x>0.92758</cdr:x>
      <cdr:y>0.10348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51255" y="116097"/>
          <a:ext cx="4673825" cy="1950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7.7: Number of Trained and Untrained Teachers, 2015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</row>
        <row r="15">
          <cell r="A15" t="str">
            <v xml:space="preserve">Student / Teacher Ratio </v>
          </cell>
          <cell r="R15">
            <v>15.06024639423077</v>
          </cell>
          <cell r="S15">
            <v>13.891733409610984</v>
          </cell>
          <cell r="T15">
            <v>12</v>
          </cell>
          <cell r="U15">
            <v>12</v>
          </cell>
          <cell r="V15">
            <v>11</v>
          </cell>
          <cell r="W15">
            <v>12</v>
          </cell>
          <cell r="X15">
            <v>11</v>
          </cell>
          <cell r="Y15">
            <v>10.47</v>
          </cell>
          <cell r="Z15">
            <v>10.347997138769671</v>
          </cell>
          <cell r="AA15">
            <v>9.9835544969944419</v>
          </cell>
        </row>
        <row r="28">
          <cell r="A28" t="str">
            <v>Male'</v>
          </cell>
          <cell r="R28">
            <v>29345</v>
          </cell>
          <cell r="S28">
            <v>29777</v>
          </cell>
          <cell r="T28">
            <v>27007</v>
          </cell>
          <cell r="U28">
            <v>25876</v>
          </cell>
          <cell r="V28">
            <v>25565</v>
          </cell>
          <cell r="W28">
            <v>25064</v>
          </cell>
          <cell r="X28">
            <v>26583</v>
          </cell>
          <cell r="Y28">
            <v>27204</v>
          </cell>
          <cell r="Z28">
            <v>28507</v>
          </cell>
          <cell r="AA28">
            <v>30361</v>
          </cell>
        </row>
        <row r="29">
          <cell r="A29" t="str">
            <v>Atolls</v>
          </cell>
          <cell r="R29">
            <v>70896</v>
          </cell>
          <cell r="S29">
            <v>67354</v>
          </cell>
          <cell r="T29">
            <v>66426</v>
          </cell>
          <cell r="U29">
            <v>63965</v>
          </cell>
          <cell r="V29">
            <v>62035</v>
          </cell>
          <cell r="W29">
            <v>61882</v>
          </cell>
          <cell r="X29">
            <v>59927</v>
          </cell>
          <cell r="Y29">
            <v>58892</v>
          </cell>
          <cell r="Z29">
            <v>58576</v>
          </cell>
          <cell r="AA29">
            <v>57980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36"/>
  <sheetViews>
    <sheetView tabSelected="1" zoomScaleNormal="100" zoomScaleSheetLayoutView="89" workbookViewId="0">
      <selection activeCell="T19" sqref="T19"/>
    </sheetView>
  </sheetViews>
  <sheetFormatPr defaultColWidth="9.140625" defaultRowHeight="12.75" x14ac:dyDescent="0.25"/>
  <cols>
    <col min="1" max="1" width="22.28515625" style="15" customWidth="1"/>
    <col min="2" max="2" width="17.140625" style="14" customWidth="1"/>
    <col min="3" max="3" width="11.5703125" style="14" customWidth="1"/>
    <col min="4" max="5" width="13.28515625" style="14" customWidth="1"/>
    <col min="6" max="6" width="2.140625" style="14" customWidth="1"/>
    <col min="7" max="7" width="11.7109375" style="14" customWidth="1"/>
    <col min="8" max="8" width="17.5703125" style="14" customWidth="1"/>
    <col min="9" max="9" width="1.7109375" style="14" customWidth="1"/>
    <col min="10" max="10" width="8.42578125" style="14" customWidth="1"/>
    <col min="11" max="11" width="9.42578125" style="14" customWidth="1"/>
    <col min="12" max="12" width="11" style="14" bestFit="1" customWidth="1"/>
    <col min="13" max="13" width="2" style="14" customWidth="1"/>
    <col min="14" max="14" width="9.5703125" style="14" customWidth="1"/>
    <col min="15" max="15" width="28.85546875" style="14" customWidth="1"/>
    <col min="16" max="16" width="11.140625" style="14" bestFit="1" customWidth="1"/>
    <col min="17" max="21" width="9.85546875" style="14" customWidth="1"/>
    <col min="22" max="23" width="11.140625" style="14" customWidth="1"/>
    <col min="24" max="16384" width="9.140625" style="14"/>
  </cols>
  <sheetData>
    <row r="1" spans="1:23" ht="19.5" x14ac:dyDescent="0.25">
      <c r="A1" s="74" t="s">
        <v>46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64"/>
      <c r="Q1" s="64"/>
      <c r="R1" s="64"/>
      <c r="S1" s="64"/>
      <c r="T1" s="64"/>
      <c r="U1" s="64"/>
      <c r="V1" s="64"/>
      <c r="W1" s="64"/>
    </row>
    <row r="2" spans="1:23" ht="15" x14ac:dyDescent="0.25">
      <c r="A2" s="77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23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23" ht="15.75" x14ac:dyDescent="0.25">
      <c r="C4" s="66" t="s">
        <v>24</v>
      </c>
      <c r="D4" s="78" t="s">
        <v>25</v>
      </c>
      <c r="E4" s="78"/>
      <c r="F4" s="16"/>
      <c r="G4" s="75" t="s">
        <v>19</v>
      </c>
      <c r="H4" s="75"/>
      <c r="I4" s="16"/>
      <c r="K4" s="16"/>
      <c r="L4" s="17"/>
      <c r="M4" s="17"/>
      <c r="N4" s="18" t="s">
        <v>26</v>
      </c>
      <c r="O4" s="6"/>
      <c r="P4" s="19"/>
      <c r="Q4" s="19"/>
      <c r="R4" s="19"/>
      <c r="S4" s="19"/>
      <c r="T4" s="19"/>
      <c r="U4" s="19"/>
      <c r="V4" s="19"/>
      <c r="W4" s="19"/>
    </row>
    <row r="5" spans="1:23" ht="15.75" x14ac:dyDescent="0.25">
      <c r="C5" s="20"/>
      <c r="D5" s="21" t="s">
        <v>27</v>
      </c>
      <c r="E5" s="21" t="s">
        <v>27</v>
      </c>
      <c r="F5" s="16"/>
      <c r="G5" s="79" t="s">
        <v>21</v>
      </c>
      <c r="H5" s="79"/>
      <c r="I5" s="22"/>
      <c r="J5" s="23" t="s">
        <v>20</v>
      </c>
      <c r="K5" s="24"/>
      <c r="L5" s="17" t="s">
        <v>28</v>
      </c>
      <c r="M5" s="25"/>
      <c r="N5" s="26" t="s">
        <v>11</v>
      </c>
      <c r="O5" s="10"/>
      <c r="P5" s="19"/>
      <c r="Q5" s="19"/>
      <c r="R5" s="19"/>
      <c r="S5" s="19"/>
      <c r="T5" s="19"/>
      <c r="U5" s="19"/>
      <c r="V5" s="19"/>
      <c r="W5" s="19"/>
    </row>
    <row r="6" spans="1:23" ht="15.75" x14ac:dyDescent="0.25">
      <c r="A6" s="65" t="s">
        <v>10</v>
      </c>
      <c r="B6" s="18" t="s">
        <v>29</v>
      </c>
      <c r="C6" s="18" t="s">
        <v>1</v>
      </c>
      <c r="D6" s="18" t="s">
        <v>30</v>
      </c>
      <c r="E6" s="18" t="s">
        <v>31</v>
      </c>
      <c r="F6" s="27"/>
      <c r="G6" s="28" t="s">
        <v>1</v>
      </c>
      <c r="H6" s="18" t="s">
        <v>22</v>
      </c>
      <c r="I6" s="16"/>
      <c r="J6" s="28" t="s">
        <v>1</v>
      </c>
      <c r="K6" s="29" t="s">
        <v>32</v>
      </c>
      <c r="L6" s="21" t="s">
        <v>26</v>
      </c>
      <c r="M6" s="1"/>
      <c r="N6" s="30" t="s">
        <v>33</v>
      </c>
      <c r="O6" s="18" t="s">
        <v>34</v>
      </c>
      <c r="P6" s="19"/>
      <c r="Q6" s="19"/>
      <c r="R6" s="19"/>
      <c r="S6" s="19"/>
      <c r="T6" s="19"/>
      <c r="U6" s="19"/>
      <c r="V6" s="19"/>
      <c r="W6" s="19"/>
    </row>
    <row r="7" spans="1:23" ht="15" x14ac:dyDescent="0.25">
      <c r="A7" s="31"/>
      <c r="B7" s="32" t="s">
        <v>49</v>
      </c>
      <c r="C7" s="32" t="s">
        <v>0</v>
      </c>
      <c r="D7" s="32" t="s">
        <v>23</v>
      </c>
      <c r="E7" s="32" t="s">
        <v>35</v>
      </c>
      <c r="F7" s="66"/>
      <c r="G7" s="2" t="s">
        <v>0</v>
      </c>
      <c r="H7" s="2" t="s">
        <v>23</v>
      </c>
      <c r="I7" s="2"/>
      <c r="J7" s="3" t="s">
        <v>0</v>
      </c>
      <c r="K7" s="32" t="s">
        <v>36</v>
      </c>
      <c r="L7" s="32" t="s">
        <v>37</v>
      </c>
      <c r="M7" s="32"/>
      <c r="N7" s="32" t="s">
        <v>38</v>
      </c>
      <c r="O7" s="33"/>
      <c r="P7" s="19"/>
      <c r="Q7" s="19"/>
      <c r="R7" s="19"/>
      <c r="S7" s="19"/>
      <c r="T7" s="19"/>
      <c r="U7" s="19"/>
      <c r="V7" s="19"/>
      <c r="W7" s="19"/>
    </row>
    <row r="8" spans="1:23" s="41" customFormat="1" ht="15" x14ac:dyDescent="0.25">
      <c r="A8" s="34" t="s">
        <v>2</v>
      </c>
      <c r="B8" s="35">
        <v>88025</v>
      </c>
      <c r="C8" s="36">
        <f>SUM(D8+E8)</f>
        <v>8817</v>
      </c>
      <c r="D8" s="35">
        <f>SUM(D9:D12)</f>
        <v>7626</v>
      </c>
      <c r="E8" s="35">
        <f>SUM(E9:E12)</f>
        <v>1191</v>
      </c>
      <c r="F8" s="37"/>
      <c r="G8" s="35">
        <f>B8/C8</f>
        <v>9.9835544969944419</v>
      </c>
      <c r="H8" s="35">
        <f t="shared" ref="H8:H22" si="0">B8/D8</f>
        <v>11.542748492001049</v>
      </c>
      <c r="I8" s="35"/>
      <c r="J8" s="36">
        <f>SUM(K8:L8)</f>
        <v>8817</v>
      </c>
      <c r="K8" s="35">
        <f>SUM(K9:K12)</f>
        <v>6368</v>
      </c>
      <c r="L8" s="35">
        <f>SUM(L9:L12)</f>
        <v>2449</v>
      </c>
      <c r="M8" s="38"/>
      <c r="N8" s="35">
        <f>L8/J8*100</f>
        <v>27.775887490075991</v>
      </c>
      <c r="O8" s="39" t="s">
        <v>3</v>
      </c>
      <c r="P8" s="40"/>
      <c r="Q8" s="40"/>
      <c r="R8" s="40"/>
      <c r="S8" s="40"/>
      <c r="T8" s="40"/>
      <c r="U8" s="40"/>
      <c r="V8" s="40"/>
      <c r="W8" s="40"/>
    </row>
    <row r="9" spans="1:23" ht="15" x14ac:dyDescent="0.25">
      <c r="A9" s="42" t="s">
        <v>12</v>
      </c>
      <c r="B9" s="43">
        <v>23412</v>
      </c>
      <c r="C9" s="44">
        <f>SUM(D9+E9)</f>
        <v>1391</v>
      </c>
      <c r="D9" s="43">
        <f t="shared" ref="D9:E12" si="1">SUM(D14+D19)</f>
        <v>1122</v>
      </c>
      <c r="E9" s="43">
        <f t="shared" si="1"/>
        <v>269</v>
      </c>
      <c r="F9" s="43"/>
      <c r="G9" s="43">
        <f>B9/C9</f>
        <v>16.831056793673618</v>
      </c>
      <c r="H9" s="43">
        <f t="shared" si="0"/>
        <v>20.866310160427808</v>
      </c>
      <c r="I9" s="43"/>
      <c r="J9" s="44">
        <f t="shared" ref="J9:J22" si="2">SUM(K9:L9)</f>
        <v>1391</v>
      </c>
      <c r="K9" s="43">
        <f t="shared" ref="K9:L12" si="3">SUM(K14+K19)</f>
        <v>1336</v>
      </c>
      <c r="L9" s="43">
        <f t="shared" si="3"/>
        <v>55</v>
      </c>
      <c r="M9" s="45"/>
      <c r="N9" s="43">
        <f t="shared" ref="N9:N22" si="4">L9/J9*100</f>
        <v>3.9539899352983463</v>
      </c>
      <c r="O9" s="46" t="s">
        <v>18</v>
      </c>
      <c r="P9" s="47"/>
      <c r="Q9" s="47"/>
      <c r="R9" s="47"/>
      <c r="S9" s="47"/>
      <c r="T9" s="47"/>
      <c r="U9" s="47"/>
      <c r="V9" s="47"/>
      <c r="W9" s="47"/>
    </row>
    <row r="10" spans="1:23" ht="15" x14ac:dyDescent="0.2">
      <c r="A10" s="7" t="s">
        <v>13</v>
      </c>
      <c r="B10" s="43">
        <v>42137</v>
      </c>
      <c r="C10" s="44">
        <f>SUM(D10+E10)</f>
        <v>4075</v>
      </c>
      <c r="D10" s="43">
        <f t="shared" si="1"/>
        <v>3374</v>
      </c>
      <c r="E10" s="43">
        <f t="shared" si="1"/>
        <v>701</v>
      </c>
      <c r="F10" s="43"/>
      <c r="G10" s="43">
        <f>B10/C10</f>
        <v>10.340368098159509</v>
      </c>
      <c r="H10" s="43">
        <f t="shared" si="0"/>
        <v>12.488737403675163</v>
      </c>
      <c r="I10" s="43"/>
      <c r="J10" s="44">
        <f t="shared" si="2"/>
        <v>4075</v>
      </c>
      <c r="K10" s="43">
        <f t="shared" si="3"/>
        <v>3393</v>
      </c>
      <c r="L10" s="43">
        <f t="shared" si="3"/>
        <v>682</v>
      </c>
      <c r="M10" s="45"/>
      <c r="N10" s="43">
        <f t="shared" si="4"/>
        <v>16.736196319018404</v>
      </c>
      <c r="O10" s="48" t="s">
        <v>39</v>
      </c>
      <c r="P10" s="47"/>
      <c r="Q10" s="47"/>
      <c r="R10" s="47"/>
      <c r="S10" s="47"/>
      <c r="T10" s="47"/>
      <c r="U10" s="47"/>
      <c r="V10" s="47"/>
      <c r="W10" s="47"/>
    </row>
    <row r="11" spans="1:23" ht="15" x14ac:dyDescent="0.2">
      <c r="A11" s="7" t="s">
        <v>14</v>
      </c>
      <c r="B11" s="43">
        <v>18096</v>
      </c>
      <c r="C11" s="44">
        <f t="shared" ref="C11:C22" si="5">SUM(D11+E11)</f>
        <v>2769</v>
      </c>
      <c r="D11" s="43">
        <f t="shared" si="1"/>
        <v>2583</v>
      </c>
      <c r="E11" s="43">
        <f t="shared" si="1"/>
        <v>186</v>
      </c>
      <c r="F11" s="43"/>
      <c r="G11" s="43">
        <f>B11/C11</f>
        <v>6.535211267605634</v>
      </c>
      <c r="H11" s="43">
        <f t="shared" si="0"/>
        <v>7.0058072009291523</v>
      </c>
      <c r="I11" s="43"/>
      <c r="J11" s="44">
        <f t="shared" si="2"/>
        <v>2769</v>
      </c>
      <c r="K11" s="43">
        <f t="shared" si="3"/>
        <v>1353</v>
      </c>
      <c r="L11" s="43">
        <f t="shared" si="3"/>
        <v>1416</v>
      </c>
      <c r="M11" s="45"/>
      <c r="N11" s="43">
        <f t="shared" si="4"/>
        <v>51.137594799566635</v>
      </c>
      <c r="O11" s="48" t="s">
        <v>40</v>
      </c>
      <c r="P11" s="47"/>
      <c r="Q11" s="47"/>
      <c r="R11" s="47"/>
      <c r="S11" s="47"/>
      <c r="T11" s="47"/>
      <c r="U11" s="47"/>
      <c r="V11" s="47"/>
      <c r="W11" s="47"/>
    </row>
    <row r="12" spans="1:23" ht="15" x14ac:dyDescent="0.2">
      <c r="A12" s="7" t="s">
        <v>15</v>
      </c>
      <c r="B12" s="43">
        <v>4380</v>
      </c>
      <c r="C12" s="44">
        <f t="shared" si="5"/>
        <v>582</v>
      </c>
      <c r="D12" s="43">
        <f t="shared" si="1"/>
        <v>547</v>
      </c>
      <c r="E12" s="43">
        <f t="shared" si="1"/>
        <v>35</v>
      </c>
      <c r="F12" s="43"/>
      <c r="G12" s="43">
        <f t="shared" ref="G12:G22" si="6">B12/C12</f>
        <v>7.5257731958762886</v>
      </c>
      <c r="H12" s="43">
        <f t="shared" si="0"/>
        <v>8.0073126142595985</v>
      </c>
      <c r="I12" s="43"/>
      <c r="J12" s="44">
        <f t="shared" si="2"/>
        <v>582</v>
      </c>
      <c r="K12" s="43">
        <f t="shared" si="3"/>
        <v>286</v>
      </c>
      <c r="L12" s="43">
        <f t="shared" si="3"/>
        <v>296</v>
      </c>
      <c r="M12" s="45"/>
      <c r="N12" s="43">
        <f t="shared" si="4"/>
        <v>50.859106529209619</v>
      </c>
      <c r="O12" s="48" t="s">
        <v>41</v>
      </c>
      <c r="P12" s="47"/>
      <c r="Q12" s="47"/>
      <c r="R12" s="47"/>
      <c r="S12" s="47"/>
      <c r="T12" s="47"/>
      <c r="U12" s="47"/>
      <c r="V12" s="47"/>
      <c r="W12" s="47"/>
    </row>
    <row r="13" spans="1:23" s="41" customFormat="1" ht="15" x14ac:dyDescent="0.25">
      <c r="A13" s="34" t="s">
        <v>4</v>
      </c>
      <c r="B13" s="35">
        <v>30179</v>
      </c>
      <c r="C13" s="36">
        <f>SUM(D13+E13)</f>
        <v>2258</v>
      </c>
      <c r="D13" s="37">
        <f>SUM(D14:D17)</f>
        <v>2182</v>
      </c>
      <c r="E13" s="37">
        <f>SUM(E14:E17)</f>
        <v>76</v>
      </c>
      <c r="F13" s="35"/>
      <c r="G13" s="35">
        <f t="shared" si="6"/>
        <v>13.365367581930911</v>
      </c>
      <c r="H13" s="35">
        <f t="shared" si="0"/>
        <v>13.830889092575619</v>
      </c>
      <c r="I13" s="35"/>
      <c r="J13" s="36">
        <f t="shared" si="2"/>
        <v>2258</v>
      </c>
      <c r="K13" s="36">
        <f>SUM(K14:K17)</f>
        <v>1898</v>
      </c>
      <c r="L13" s="36">
        <f>SUM(L14:L17)</f>
        <v>360</v>
      </c>
      <c r="M13" s="38"/>
      <c r="N13" s="35">
        <f t="shared" si="4"/>
        <v>15.943312666076173</v>
      </c>
      <c r="O13" s="18" t="s">
        <v>5</v>
      </c>
      <c r="P13" s="19"/>
      <c r="Q13" s="19"/>
      <c r="R13" s="19"/>
      <c r="S13" s="19"/>
      <c r="T13" s="19"/>
      <c r="U13" s="19"/>
      <c r="V13" s="19"/>
      <c r="W13" s="19"/>
    </row>
    <row r="14" spans="1:23" ht="15" x14ac:dyDescent="0.2">
      <c r="A14" s="42" t="s">
        <v>12</v>
      </c>
      <c r="B14" s="43">
        <v>7985</v>
      </c>
      <c r="C14" s="44">
        <f t="shared" si="5"/>
        <v>596</v>
      </c>
      <c r="D14" s="50">
        <v>596</v>
      </c>
      <c r="E14" s="70">
        <v>0</v>
      </c>
      <c r="F14" s="43"/>
      <c r="G14" s="43">
        <f t="shared" si="6"/>
        <v>13.39765100671141</v>
      </c>
      <c r="H14" s="43">
        <f t="shared" si="0"/>
        <v>13.39765100671141</v>
      </c>
      <c r="I14" s="43"/>
      <c r="J14" s="44">
        <f t="shared" si="2"/>
        <v>596</v>
      </c>
      <c r="K14" s="44">
        <v>542</v>
      </c>
      <c r="L14" s="44">
        <v>54</v>
      </c>
      <c r="M14" s="45"/>
      <c r="N14" s="43">
        <f t="shared" si="4"/>
        <v>9.0604026845637584</v>
      </c>
      <c r="O14" s="46" t="s">
        <v>18</v>
      </c>
      <c r="P14" s="19"/>
      <c r="Q14" s="19"/>
      <c r="R14" s="19"/>
      <c r="S14" s="19"/>
      <c r="T14" s="19"/>
      <c r="U14" s="19"/>
      <c r="V14" s="19"/>
      <c r="W14" s="19"/>
    </row>
    <row r="15" spans="1:23" ht="15" x14ac:dyDescent="0.35">
      <c r="A15" s="7" t="s">
        <v>13</v>
      </c>
      <c r="B15" s="43">
        <v>13920</v>
      </c>
      <c r="C15" s="44">
        <f t="shared" si="5"/>
        <v>963</v>
      </c>
      <c r="D15" s="50">
        <v>897</v>
      </c>
      <c r="E15" s="70">
        <v>66</v>
      </c>
      <c r="F15" s="43"/>
      <c r="G15" s="43">
        <f t="shared" si="6"/>
        <v>14.454828660436137</v>
      </c>
      <c r="H15" s="43">
        <f t="shared" si="0"/>
        <v>15.518394648829432</v>
      </c>
      <c r="I15" s="43"/>
      <c r="J15" s="44">
        <f t="shared" si="2"/>
        <v>963</v>
      </c>
      <c r="K15" s="44">
        <v>882</v>
      </c>
      <c r="L15" s="44">
        <v>81</v>
      </c>
      <c r="M15" s="45"/>
      <c r="N15" s="43">
        <f t="shared" si="4"/>
        <v>8.4112149532710276</v>
      </c>
      <c r="O15" s="49" t="s">
        <v>39</v>
      </c>
      <c r="P15" s="19"/>
      <c r="Q15" s="19"/>
      <c r="R15" s="19"/>
      <c r="S15" s="19"/>
      <c r="T15" s="19"/>
      <c r="U15" s="19"/>
      <c r="V15" s="19"/>
      <c r="W15" s="19"/>
    </row>
    <row r="16" spans="1:23" ht="15" x14ac:dyDescent="0.35">
      <c r="A16" s="7" t="s">
        <v>14</v>
      </c>
      <c r="B16" s="43">
        <v>5649</v>
      </c>
      <c r="C16" s="44">
        <f t="shared" si="5"/>
        <v>545</v>
      </c>
      <c r="D16" s="50">
        <v>540</v>
      </c>
      <c r="E16" s="70">
        <v>5</v>
      </c>
      <c r="F16" s="43"/>
      <c r="G16" s="43">
        <f t="shared" si="6"/>
        <v>10.365137614678899</v>
      </c>
      <c r="H16" s="43">
        <f t="shared" si="0"/>
        <v>10.46111111111111</v>
      </c>
      <c r="I16" s="43"/>
      <c r="J16" s="44">
        <f t="shared" si="2"/>
        <v>545</v>
      </c>
      <c r="K16" s="44">
        <v>380</v>
      </c>
      <c r="L16" s="44">
        <v>165</v>
      </c>
      <c r="M16" s="45"/>
      <c r="N16" s="43">
        <f t="shared" si="4"/>
        <v>30.275229357798167</v>
      </c>
      <c r="O16" s="49" t="s">
        <v>40</v>
      </c>
      <c r="P16" s="19"/>
      <c r="Q16" s="19"/>
      <c r="R16" s="19"/>
      <c r="S16" s="19"/>
      <c r="T16" s="19"/>
      <c r="U16" s="19"/>
      <c r="V16" s="19"/>
      <c r="W16" s="19"/>
    </row>
    <row r="17" spans="1:31" s="51" customFormat="1" ht="15.2" customHeight="1" x14ac:dyDescent="0.35">
      <c r="A17" s="7" t="s">
        <v>15</v>
      </c>
      <c r="B17" s="43">
        <v>2625</v>
      </c>
      <c r="C17" s="44">
        <f t="shared" si="5"/>
        <v>154</v>
      </c>
      <c r="D17" s="43">
        <v>149</v>
      </c>
      <c r="E17" s="43">
        <v>5</v>
      </c>
      <c r="F17" s="50"/>
      <c r="G17" s="43">
        <f t="shared" si="6"/>
        <v>17.045454545454547</v>
      </c>
      <c r="H17" s="43">
        <f t="shared" si="0"/>
        <v>17.617449664429529</v>
      </c>
      <c r="I17" s="43"/>
      <c r="J17" s="44">
        <f t="shared" si="2"/>
        <v>154</v>
      </c>
      <c r="K17" s="44">
        <v>94</v>
      </c>
      <c r="L17" s="44">
        <v>60</v>
      </c>
      <c r="M17" s="12"/>
      <c r="N17" s="43">
        <f t="shared" si="4"/>
        <v>38.961038961038966</v>
      </c>
      <c r="O17" s="49" t="s">
        <v>41</v>
      </c>
      <c r="P17" s="19"/>
      <c r="Q17" s="19"/>
      <c r="R17" s="19"/>
      <c r="S17" s="19"/>
      <c r="T17" s="19"/>
      <c r="U17" s="19"/>
      <c r="V17" s="19"/>
      <c r="W17" s="19"/>
    </row>
    <row r="18" spans="1:31" s="41" customFormat="1" ht="14.25" customHeight="1" x14ac:dyDescent="0.25">
      <c r="A18" s="34" t="s">
        <v>6</v>
      </c>
      <c r="B18" s="35">
        <v>57846</v>
      </c>
      <c r="C18" s="36">
        <f t="shared" si="5"/>
        <v>6559</v>
      </c>
      <c r="D18" s="35">
        <f>SUM(D19:D22)</f>
        <v>5444</v>
      </c>
      <c r="E18" s="37">
        <f>SUM(E19:E22)</f>
        <v>1115</v>
      </c>
      <c r="F18" s="35"/>
      <c r="G18" s="35">
        <f t="shared" si="6"/>
        <v>8.8193322152767184</v>
      </c>
      <c r="H18" s="35">
        <f t="shared" si="0"/>
        <v>10.625642909625276</v>
      </c>
      <c r="I18" s="35"/>
      <c r="J18" s="36">
        <f t="shared" si="2"/>
        <v>6559</v>
      </c>
      <c r="K18" s="35">
        <f>SUM(K19:K22)</f>
        <v>4470</v>
      </c>
      <c r="L18" s="35">
        <f>SUM(L19:L22)</f>
        <v>2089</v>
      </c>
      <c r="M18" s="38"/>
      <c r="N18" s="35">
        <f t="shared" si="4"/>
        <v>31.849367281597807</v>
      </c>
      <c r="O18" s="10" t="s">
        <v>7</v>
      </c>
      <c r="P18" s="19"/>
      <c r="Q18" s="19"/>
      <c r="R18" s="19"/>
      <c r="S18" s="19"/>
      <c r="T18" s="19"/>
      <c r="U18" s="19"/>
      <c r="V18" s="19"/>
      <c r="W18" s="19"/>
    </row>
    <row r="19" spans="1:31" ht="13.7" customHeight="1" x14ac:dyDescent="0.2">
      <c r="A19" s="42" t="s">
        <v>12</v>
      </c>
      <c r="B19" s="43">
        <v>15427</v>
      </c>
      <c r="C19" s="44">
        <f t="shared" si="5"/>
        <v>795</v>
      </c>
      <c r="D19" s="50">
        <v>526</v>
      </c>
      <c r="E19" s="50">
        <v>269</v>
      </c>
      <c r="F19" s="43"/>
      <c r="G19" s="43">
        <f t="shared" si="6"/>
        <v>19.405031446540882</v>
      </c>
      <c r="H19" s="43">
        <f t="shared" si="0"/>
        <v>29.328897338403042</v>
      </c>
      <c r="I19" s="43"/>
      <c r="J19" s="44">
        <f t="shared" si="2"/>
        <v>795</v>
      </c>
      <c r="K19" s="68">
        <v>794</v>
      </c>
      <c r="L19" s="71">
        <v>1</v>
      </c>
      <c r="M19" s="45"/>
      <c r="N19" s="43">
        <f t="shared" si="4"/>
        <v>0.12578616352201258</v>
      </c>
      <c r="O19" s="46" t="s">
        <v>18</v>
      </c>
      <c r="P19" s="19"/>
      <c r="Q19" s="19"/>
      <c r="R19" s="19"/>
      <c r="S19" s="19"/>
      <c r="T19" s="19"/>
      <c r="U19" s="19"/>
      <c r="V19" s="19"/>
      <c r="W19" s="19"/>
    </row>
    <row r="20" spans="1:31" ht="15" x14ac:dyDescent="0.35">
      <c r="A20" s="52" t="s">
        <v>13</v>
      </c>
      <c r="B20" s="43">
        <v>28217</v>
      </c>
      <c r="C20" s="44">
        <f t="shared" si="5"/>
        <v>3112</v>
      </c>
      <c r="D20" s="50">
        <v>2477</v>
      </c>
      <c r="E20" s="50">
        <v>635</v>
      </c>
      <c r="F20" s="50"/>
      <c r="G20" s="43">
        <f t="shared" si="6"/>
        <v>9.0671593830334185</v>
      </c>
      <c r="H20" s="43">
        <f t="shared" si="0"/>
        <v>11.391602745256359</v>
      </c>
      <c r="I20" s="50"/>
      <c r="J20" s="44">
        <f t="shared" si="2"/>
        <v>3112</v>
      </c>
      <c r="K20" s="68">
        <v>2511</v>
      </c>
      <c r="L20" s="67">
        <v>601</v>
      </c>
      <c r="M20" s="12"/>
      <c r="N20" s="43">
        <f t="shared" si="4"/>
        <v>19.312339331619537</v>
      </c>
      <c r="O20" s="49" t="s">
        <v>39</v>
      </c>
      <c r="P20" s="19"/>
      <c r="Q20" s="19"/>
      <c r="R20" s="19"/>
      <c r="S20" s="19"/>
      <c r="T20" s="19"/>
      <c r="U20" s="19"/>
      <c r="V20" s="19"/>
      <c r="W20" s="19"/>
    </row>
    <row r="21" spans="1:31" ht="16.5" x14ac:dyDescent="0.35">
      <c r="A21" s="52" t="s">
        <v>14</v>
      </c>
      <c r="B21" s="43">
        <v>12447</v>
      </c>
      <c r="C21" s="44">
        <f t="shared" si="5"/>
        <v>2224</v>
      </c>
      <c r="D21" s="50">
        <v>2043</v>
      </c>
      <c r="E21" s="50">
        <v>181</v>
      </c>
      <c r="F21" s="50"/>
      <c r="G21" s="43">
        <f t="shared" si="6"/>
        <v>5.5966726618705032</v>
      </c>
      <c r="H21" s="43">
        <f t="shared" si="0"/>
        <v>6.0925110132158586</v>
      </c>
      <c r="I21" s="50"/>
      <c r="J21" s="44">
        <f t="shared" si="2"/>
        <v>2224</v>
      </c>
      <c r="K21" s="68">
        <v>973</v>
      </c>
      <c r="L21" s="67">
        <v>1251</v>
      </c>
      <c r="M21" s="12"/>
      <c r="N21" s="43">
        <f t="shared" si="4"/>
        <v>56.25</v>
      </c>
      <c r="O21" s="49" t="s">
        <v>40</v>
      </c>
      <c r="P21" s="19"/>
      <c r="Q21" s="19"/>
      <c r="R21" s="19"/>
      <c r="S21" s="19"/>
      <c r="T21" s="19"/>
      <c r="U21" s="19"/>
      <c r="V21" s="19"/>
      <c r="W21" s="19"/>
      <c r="X21" s="5"/>
      <c r="Y21" s="53"/>
      <c r="Z21" s="53"/>
      <c r="AA21" s="5"/>
      <c r="AB21" s="5"/>
      <c r="AC21" s="22"/>
      <c r="AD21" s="22"/>
      <c r="AE21" s="5"/>
    </row>
    <row r="22" spans="1:31" s="51" customFormat="1" ht="16.5" x14ac:dyDescent="0.35">
      <c r="A22" s="8" t="s">
        <v>15</v>
      </c>
      <c r="B22" s="54">
        <v>1755</v>
      </c>
      <c r="C22" s="55">
        <f t="shared" si="5"/>
        <v>428</v>
      </c>
      <c r="D22" s="72">
        <v>398</v>
      </c>
      <c r="E22" s="54">
        <v>30</v>
      </c>
      <c r="F22" s="54"/>
      <c r="G22" s="54">
        <f t="shared" si="6"/>
        <v>4.1004672897196262</v>
      </c>
      <c r="H22" s="54">
        <f t="shared" si="0"/>
        <v>4.4095477386934672</v>
      </c>
      <c r="I22" s="54"/>
      <c r="J22" s="55">
        <f t="shared" si="2"/>
        <v>428</v>
      </c>
      <c r="K22" s="69">
        <v>192</v>
      </c>
      <c r="L22" s="73">
        <v>236</v>
      </c>
      <c r="M22" s="13"/>
      <c r="N22" s="54">
        <f t="shared" si="4"/>
        <v>55.140186915887845</v>
      </c>
      <c r="O22" s="56" t="s">
        <v>42</v>
      </c>
      <c r="P22" s="19"/>
      <c r="Q22" s="19"/>
      <c r="R22" s="19"/>
      <c r="S22" s="19"/>
      <c r="T22" s="19"/>
      <c r="U22" s="19"/>
      <c r="V22" s="19"/>
      <c r="W22" s="19"/>
      <c r="X22" s="57"/>
      <c r="Y22" s="58"/>
      <c r="Z22" s="58"/>
      <c r="AA22" s="9"/>
      <c r="AB22" s="57"/>
      <c r="AC22" s="58"/>
      <c r="AD22" s="58"/>
      <c r="AE22" s="9"/>
    </row>
    <row r="23" spans="1:31" ht="15" x14ac:dyDescent="0.25">
      <c r="A23" s="4" t="s">
        <v>8</v>
      </c>
      <c r="D23" s="61"/>
      <c r="E23" s="60"/>
      <c r="G23" s="11"/>
      <c r="O23" s="62" t="s">
        <v>9</v>
      </c>
      <c r="P23" s="19"/>
      <c r="Q23" s="19"/>
      <c r="R23" s="19"/>
      <c r="S23" s="19"/>
      <c r="T23" s="19"/>
      <c r="U23" s="19"/>
      <c r="V23" s="19"/>
      <c r="W23" s="19"/>
      <c r="X23" s="63"/>
      <c r="Y23" s="58"/>
      <c r="Z23" s="43"/>
      <c r="AA23" s="43"/>
      <c r="AB23" s="63"/>
      <c r="AC23" s="58"/>
      <c r="AD23" s="58"/>
      <c r="AE23" s="5"/>
    </row>
    <row r="24" spans="1:31" ht="15" x14ac:dyDescent="0.25">
      <c r="A24" s="59" t="s">
        <v>47</v>
      </c>
      <c r="E24" s="60"/>
      <c r="G24" s="11"/>
      <c r="Z24" s="43"/>
      <c r="AA24" s="43"/>
      <c r="AE24" s="5"/>
    </row>
    <row r="25" spans="1:31" ht="15" x14ac:dyDescent="0.25">
      <c r="A25" s="59" t="s">
        <v>48</v>
      </c>
      <c r="E25" s="60"/>
      <c r="G25" s="11"/>
      <c r="Z25" s="43"/>
      <c r="AA25" s="43"/>
      <c r="AE25" s="5"/>
    </row>
    <row r="26" spans="1:31" ht="15" x14ac:dyDescent="0.25">
      <c r="A26" s="59" t="s">
        <v>44</v>
      </c>
      <c r="F26" s="61"/>
      <c r="G26" s="61"/>
      <c r="H26" s="61"/>
      <c r="I26" s="61"/>
      <c r="J26" s="61"/>
      <c r="K26" s="61"/>
      <c r="L26" s="61"/>
      <c r="M26" s="61"/>
      <c r="N26" s="61"/>
      <c r="X26" s="5"/>
      <c r="Y26" s="5"/>
      <c r="Z26" s="43"/>
      <c r="AA26" s="43"/>
      <c r="AB26" s="5"/>
      <c r="AC26" s="5"/>
      <c r="AD26" s="5"/>
      <c r="AE26" s="5"/>
    </row>
    <row r="27" spans="1:31" ht="15" x14ac:dyDescent="0.25">
      <c r="A27" s="59" t="s">
        <v>50</v>
      </c>
      <c r="X27" s="5"/>
      <c r="Y27" s="5"/>
      <c r="Z27" s="43"/>
      <c r="AA27" s="43"/>
      <c r="AB27" s="5"/>
      <c r="AC27" s="5"/>
      <c r="AD27" s="5"/>
      <c r="AE27" s="5"/>
    </row>
    <row r="28" spans="1:31" ht="15" x14ac:dyDescent="0.25">
      <c r="A28" s="59"/>
      <c r="D28" s="76"/>
      <c r="E28" s="76"/>
      <c r="F28" s="76"/>
      <c r="G28" s="76"/>
      <c r="H28" s="76"/>
      <c r="X28" s="5"/>
      <c r="Y28" s="5"/>
      <c r="Z28" s="5"/>
      <c r="AA28" s="5"/>
      <c r="AB28" s="5"/>
      <c r="AC28" s="5"/>
      <c r="AD28" s="5"/>
      <c r="AE28" s="5"/>
    </row>
    <row r="29" spans="1:31" ht="15" x14ac:dyDescent="0.25">
      <c r="X29" s="5"/>
      <c r="Y29" s="5"/>
      <c r="Z29" s="5"/>
      <c r="AA29" s="5"/>
      <c r="AB29" s="5"/>
      <c r="AC29" s="5"/>
      <c r="AD29" s="5"/>
      <c r="AE29" s="5"/>
    </row>
    <row r="30" spans="1:31" ht="15" x14ac:dyDescent="0.25">
      <c r="X30" s="5"/>
      <c r="Y30" s="5"/>
      <c r="Z30" s="5"/>
      <c r="AA30" s="5"/>
      <c r="AB30" s="5"/>
      <c r="AC30" s="5"/>
      <c r="AD30" s="5"/>
      <c r="AE30" s="5"/>
    </row>
    <row r="32" spans="1:31" ht="15" x14ac:dyDescent="0.25">
      <c r="Y32" s="5"/>
      <c r="Z32" s="22" t="s">
        <v>36</v>
      </c>
      <c r="AA32" s="53" t="s">
        <v>37</v>
      </c>
      <c r="AB32" s="5"/>
      <c r="AC32" s="5"/>
      <c r="AD32" s="22" t="s">
        <v>23</v>
      </c>
      <c r="AE32" s="22" t="s">
        <v>35</v>
      </c>
    </row>
    <row r="33" spans="24:31" ht="15" x14ac:dyDescent="0.25">
      <c r="X33" s="51"/>
      <c r="Y33" s="57" t="s">
        <v>12</v>
      </c>
      <c r="Z33" s="43">
        <f>K9</f>
        <v>1336</v>
      </c>
      <c r="AA33" s="43">
        <f>L9</f>
        <v>55</v>
      </c>
      <c r="AB33" s="9"/>
      <c r="AC33" s="57" t="s">
        <v>12</v>
      </c>
      <c r="AD33" s="43">
        <f>D9</f>
        <v>1122</v>
      </c>
      <c r="AE33" s="43">
        <f>E9</f>
        <v>269</v>
      </c>
    </row>
    <row r="34" spans="24:31" x14ac:dyDescent="0.25">
      <c r="Y34" s="14" t="s">
        <v>16</v>
      </c>
      <c r="Z34" s="43">
        <f t="shared" ref="Z34:AA36" si="7">K10</f>
        <v>3393</v>
      </c>
      <c r="AA34" s="43">
        <f t="shared" si="7"/>
        <v>682</v>
      </c>
      <c r="AC34" s="14" t="s">
        <v>16</v>
      </c>
      <c r="AD34" s="43">
        <f t="shared" ref="AD34:AE36" si="8">D10</f>
        <v>3374</v>
      </c>
      <c r="AE34" s="43">
        <f t="shared" si="8"/>
        <v>701</v>
      </c>
    </row>
    <row r="35" spans="24:31" x14ac:dyDescent="0.25">
      <c r="Y35" s="14" t="s">
        <v>17</v>
      </c>
      <c r="Z35" s="43">
        <f t="shared" si="7"/>
        <v>1353</v>
      </c>
      <c r="AA35" s="43">
        <f t="shared" si="7"/>
        <v>1416</v>
      </c>
      <c r="AC35" s="14" t="s">
        <v>17</v>
      </c>
      <c r="AD35" s="43">
        <f t="shared" si="8"/>
        <v>2583</v>
      </c>
      <c r="AE35" s="43">
        <f t="shared" si="8"/>
        <v>186</v>
      </c>
    </row>
    <row r="36" spans="24:31" ht="15" x14ac:dyDescent="0.25">
      <c r="Y36" s="63" t="s">
        <v>43</v>
      </c>
      <c r="Z36" s="43">
        <f t="shared" si="7"/>
        <v>286</v>
      </c>
      <c r="AA36" s="43">
        <f t="shared" si="7"/>
        <v>296</v>
      </c>
      <c r="AB36" s="5"/>
      <c r="AC36" s="63" t="s">
        <v>43</v>
      </c>
      <c r="AD36" s="43">
        <f t="shared" si="8"/>
        <v>547</v>
      </c>
      <c r="AE36" s="43">
        <f t="shared" si="8"/>
        <v>35</v>
      </c>
    </row>
  </sheetData>
  <mergeCells count="6">
    <mergeCell ref="D28:H28"/>
    <mergeCell ref="A1:O1"/>
    <mergeCell ref="A2:O2"/>
    <mergeCell ref="D4:E4"/>
    <mergeCell ref="G4:H4"/>
    <mergeCell ref="G5:H5"/>
  </mergeCells>
  <pageMargins left="0.7" right="0.7" top="0.75" bottom="0.75" header="0.3" footer="0.3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7.7</vt:lpstr>
      <vt:lpstr>'7.7'!Print_Area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2016-04-04T08:33:37Z</cp:lastPrinted>
  <dcterms:created xsi:type="dcterms:W3CDTF">2014-03-05T03:36:41Z</dcterms:created>
  <dcterms:modified xsi:type="dcterms:W3CDTF">2016-04-04T08:33:48Z</dcterms:modified>
</cp:coreProperties>
</file>