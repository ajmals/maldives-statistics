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5120" windowHeight="8025" tabRatio="880"/>
  </bookViews>
  <sheets>
    <sheet name="7.13" sheetId="19" r:id="rId1"/>
  </sheets>
  <definedNames>
    <definedName name="_xlnm.Print_Area" localSheetId="0">'7.13'!$A$1:$AK$30</definedName>
  </definedNames>
  <calcPr calcId="144525"/>
</workbook>
</file>

<file path=xl/calcChain.xml><?xml version="1.0" encoding="utf-8"?>
<calcChain xmlns="http://schemas.openxmlformats.org/spreadsheetml/2006/main">
  <c r="AK7" i="19" l="1"/>
  <c r="AK6" i="19"/>
  <c r="B7" i="19" l="1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C7" i="19"/>
  <c r="D7" i="19"/>
  <c r="C9" i="19"/>
  <c r="D9" i="19"/>
  <c r="C10" i="19"/>
  <c r="D10" i="19"/>
  <c r="C11" i="19"/>
  <c r="D11" i="19"/>
  <c r="C12" i="19"/>
  <c r="D12" i="19"/>
  <c r="C13" i="19"/>
  <c r="D13" i="19"/>
  <c r="C14" i="19"/>
  <c r="D14" i="19"/>
  <c r="C15" i="19"/>
  <c r="D15" i="19"/>
  <c r="C16" i="19"/>
  <c r="D16" i="19"/>
  <c r="C17" i="19"/>
  <c r="D17" i="19"/>
  <c r="C18" i="19"/>
  <c r="D18" i="19"/>
  <c r="C19" i="19"/>
  <c r="D19" i="19"/>
  <c r="C20" i="19"/>
  <c r="D20" i="19"/>
  <c r="C21" i="19"/>
  <c r="D21" i="19"/>
  <c r="C22" i="19"/>
  <c r="D22" i="19"/>
  <c r="C23" i="19"/>
  <c r="D23" i="19"/>
  <c r="C24" i="19"/>
  <c r="D24" i="19"/>
  <c r="C25" i="19"/>
  <c r="D25" i="19"/>
  <c r="C26" i="19"/>
  <c r="D26" i="19"/>
  <c r="C27" i="19"/>
  <c r="D27" i="19"/>
  <c r="C28" i="19"/>
  <c r="D28" i="19"/>
  <c r="K8" i="19" l="1"/>
  <c r="K6" i="19" s="1"/>
  <c r="F8" i="19"/>
  <c r="E8" i="19"/>
  <c r="AJ8" i="19"/>
  <c r="AJ6" i="19" s="1"/>
  <c r="AI8" i="19"/>
  <c r="AI6" i="19" s="1"/>
  <c r="AH8" i="19"/>
  <c r="AH6" i="19" s="1"/>
  <c r="AG8" i="19"/>
  <c r="AG6" i="19" s="1"/>
  <c r="AF8" i="19"/>
  <c r="AF6" i="19" s="1"/>
  <c r="AE8" i="19"/>
  <c r="AE6" i="19" s="1"/>
  <c r="AD8" i="19"/>
  <c r="AD6" i="19" s="1"/>
  <c r="AC8" i="19"/>
  <c r="AC6" i="19" s="1"/>
  <c r="AB8" i="19"/>
  <c r="AB6" i="19" s="1"/>
  <c r="AA8" i="19"/>
  <c r="AA6" i="19" s="1"/>
  <c r="Z8" i="19"/>
  <c r="Z6" i="19" s="1"/>
  <c r="Y8" i="19"/>
  <c r="Y6" i="19" s="1"/>
  <c r="X8" i="19"/>
  <c r="X6" i="19" s="1"/>
  <c r="W8" i="19"/>
  <c r="W6" i="19" s="1"/>
  <c r="V8" i="19"/>
  <c r="V6" i="19" s="1"/>
  <c r="U8" i="19"/>
  <c r="U6" i="19" s="1"/>
  <c r="T8" i="19"/>
  <c r="T6" i="19" s="1"/>
  <c r="S8" i="19"/>
  <c r="S6" i="19" s="1"/>
  <c r="R8" i="19"/>
  <c r="R6" i="19" s="1"/>
  <c r="Q8" i="19"/>
  <c r="Q6" i="19" s="1"/>
  <c r="P8" i="19"/>
  <c r="P6" i="19" s="1"/>
  <c r="O8" i="19"/>
  <c r="O6" i="19" s="1"/>
  <c r="N8" i="19"/>
  <c r="N6" i="19" s="1"/>
  <c r="M8" i="19"/>
  <c r="M6" i="19" s="1"/>
  <c r="L8" i="19"/>
  <c r="L6" i="19" s="1"/>
  <c r="J8" i="19"/>
  <c r="J6" i="19" s="1"/>
  <c r="I8" i="19"/>
  <c r="I6" i="19" s="1"/>
  <c r="H8" i="19"/>
  <c r="H6" i="19" s="1"/>
  <c r="G8" i="19"/>
  <c r="G6" i="19" s="1"/>
  <c r="E6" i="19" l="1"/>
  <c r="B8" i="19"/>
  <c r="C8" i="19"/>
  <c r="F6" i="19"/>
  <c r="D6" i="19" s="1"/>
  <c r="D8" i="19"/>
  <c r="B6" i="19" l="1"/>
  <c r="C6" i="19"/>
  <c r="AK15" i="19" l="1"/>
  <c r="AK23" i="19"/>
  <c r="AK16" i="19"/>
  <c r="AK24" i="19"/>
  <c r="AK12" i="19"/>
  <c r="AK11" i="19"/>
  <c r="AK19" i="19"/>
  <c r="AK27" i="19"/>
  <c r="AK20" i="19"/>
  <c r="AK28" i="19"/>
  <c r="AK17" i="19"/>
  <c r="AK9" i="19"/>
  <c r="AK26" i="19"/>
  <c r="AK22" i="19"/>
  <c r="AK18" i="19"/>
  <c r="AK21" i="19"/>
  <c r="AK13" i="19"/>
  <c r="AK14" i="19"/>
  <c r="AK10" i="19"/>
  <c r="AK25" i="19"/>
  <c r="AK8" i="19"/>
</calcChain>
</file>

<file path=xl/sharedStrings.xml><?xml version="1.0" encoding="utf-8"?>
<sst xmlns="http://schemas.openxmlformats.org/spreadsheetml/2006/main" count="81" uniqueCount="51">
  <si>
    <t>Male</t>
  </si>
  <si>
    <t>Female</t>
  </si>
  <si>
    <t>Total</t>
  </si>
  <si>
    <t>Male'</t>
  </si>
  <si>
    <t>Atolls</t>
  </si>
  <si>
    <t>M</t>
  </si>
  <si>
    <t>F</t>
  </si>
  <si>
    <t>Source: Ministry of Education</t>
  </si>
  <si>
    <t>cnwxEkuaiDea cfoa IrcTcsinim :ctWrwf ivcaed utWmUluAwm</t>
  </si>
  <si>
    <t>LKG</t>
  </si>
  <si>
    <t>UKG</t>
  </si>
  <si>
    <t>Special</t>
  </si>
  <si>
    <t>TOTAL</t>
  </si>
  <si>
    <t>Name of Atoll</t>
  </si>
  <si>
    <t>Nurs.</t>
  </si>
  <si>
    <t>Gr. 1</t>
  </si>
  <si>
    <t>Gr. 2</t>
  </si>
  <si>
    <t>Gr. 3</t>
  </si>
  <si>
    <t>Gr. 4</t>
  </si>
  <si>
    <t>Gr. 5</t>
  </si>
  <si>
    <t>Gr. 6</t>
  </si>
  <si>
    <t>Gr. 7</t>
  </si>
  <si>
    <t>Gr. 8</t>
  </si>
  <si>
    <t>Gr. 9</t>
  </si>
  <si>
    <t>Gr. 10</t>
  </si>
  <si>
    <t>Gr. 11</t>
  </si>
  <si>
    <t>Gr. 12</t>
  </si>
  <si>
    <t>Haa Alifu</t>
  </si>
  <si>
    <t>Haa Dhaalu</t>
  </si>
  <si>
    <t>Shaviyani</t>
  </si>
  <si>
    <t>Noonu</t>
  </si>
  <si>
    <t>Raa</t>
  </si>
  <si>
    <t>Baa</t>
  </si>
  <si>
    <t>Lhaviyani</t>
  </si>
  <si>
    <t>Kaafu</t>
  </si>
  <si>
    <t>Alifu Alifu</t>
  </si>
  <si>
    <t>Alifu Dhaalu</t>
  </si>
  <si>
    <t>Vaavu</t>
  </si>
  <si>
    <t>Meemu</t>
  </si>
  <si>
    <t>Faafu</t>
  </si>
  <si>
    <t>Dhaalu</t>
  </si>
  <si>
    <t>Thaa</t>
  </si>
  <si>
    <t>Laamu</t>
  </si>
  <si>
    <t>Gaafu Alifu</t>
  </si>
  <si>
    <t>Gaafu Dhaalu</t>
  </si>
  <si>
    <t>Gnaviyani</t>
  </si>
  <si>
    <t>Seenu</t>
  </si>
  <si>
    <t>% Share</t>
  </si>
  <si>
    <t>Both sex</t>
  </si>
  <si>
    <t>TABLE 7.13: ENROLMENT IN MALE' AND ATOLLS BY GRADE AND SEX, 2015</t>
  </si>
  <si>
    <t xml:space="preserve"> 2015 ,cnikwv cscnij idwa cDErcg ,udwdwA egcnidukWvwyik ibit iawgukwtuLotwa iaWaelWm :7.13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</si>
</sst>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_(* ###0_);_(* \(###0\);_(* &quot;&quot;_);_(@_)"/>
    <numFmt numFmtId="168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8"/>
      <name val="A_Randhoo"/>
    </font>
    <font>
      <sz val="10"/>
      <name val="MS Sans Serif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_Waheed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</borders>
  <cellStyleXfs count="139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11" fillId="0" borderId="0" applyFont="0" applyFill="0" applyBorder="0" applyAlignment="0" applyProtection="0"/>
    <xf numFmtId="164" fontId="2" fillId="0" borderId="0"/>
    <xf numFmtId="0" fontId="12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69">
    <xf numFmtId="0" fontId="0" fillId="0" borderId="0" xfId="0"/>
    <xf numFmtId="165" fontId="9" fillId="2" borderId="0" xfId="0" applyNumberFormat="1" applyFont="1" applyFill="1" applyAlignment="1" applyProtection="1">
      <alignment horizontal="left" vertical="center"/>
    </xf>
    <xf numFmtId="165" fontId="10" fillId="2" borderId="0" xfId="0" applyNumberFormat="1" applyFont="1" applyFill="1" applyBorder="1" applyAlignment="1">
      <alignment horizontal="right" vertical="center"/>
    </xf>
    <xf numFmtId="0" fontId="0" fillId="2" borderId="0" xfId="0" applyFont="1" applyFill="1" applyBorder="1"/>
    <xf numFmtId="3" fontId="5" fillId="2" borderId="0" xfId="0" applyNumberFormat="1" applyFont="1" applyFill="1" applyBorder="1" applyAlignment="1">
      <alignment horizontal="right" vertical="center"/>
    </xf>
    <xf numFmtId="168" fontId="0" fillId="2" borderId="0" xfId="0" applyNumberFormat="1" applyFont="1" applyFill="1" applyBorder="1" applyAlignment="1">
      <alignment horizontal="right" vertical="center"/>
    </xf>
    <xf numFmtId="168" fontId="0" fillId="2" borderId="12" xfId="0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left" vertical="center"/>
    </xf>
    <xf numFmtId="3" fontId="4" fillId="2" borderId="0" xfId="0" applyNumberFormat="1" applyFont="1" applyFill="1" applyBorder="1" applyAlignment="1">
      <alignment horizontal="right" vertical="center"/>
    </xf>
    <xf numFmtId="3" fontId="5" fillId="2" borderId="0" xfId="12" applyNumberFormat="1" applyFont="1" applyFill="1" applyBorder="1" applyAlignment="1">
      <alignment horizontal="right" vertical="center"/>
    </xf>
    <xf numFmtId="3" fontId="5" fillId="2" borderId="0" xfId="13" applyNumberFormat="1" applyFont="1" applyFill="1" applyBorder="1" applyAlignment="1">
      <alignment horizontal="right" vertical="center"/>
    </xf>
    <xf numFmtId="3" fontId="5" fillId="2" borderId="0" xfId="14" applyNumberFormat="1" applyFont="1" applyFill="1" applyBorder="1" applyAlignment="1">
      <alignment horizontal="right" vertical="center"/>
    </xf>
    <xf numFmtId="3" fontId="5" fillId="2" borderId="0" xfId="112" applyNumberFormat="1" applyFont="1" applyFill="1" applyBorder="1" applyAlignment="1">
      <alignment horizontal="right" vertical="center"/>
    </xf>
    <xf numFmtId="3" fontId="5" fillId="2" borderId="0" xfId="113" applyNumberFormat="1" applyFont="1" applyFill="1" applyBorder="1" applyAlignment="1">
      <alignment horizontal="right" vertical="center"/>
    </xf>
    <xf numFmtId="3" fontId="5" fillId="2" borderId="0" xfId="17" applyNumberFormat="1" applyFont="1" applyFill="1" applyBorder="1" applyAlignment="1">
      <alignment horizontal="right" vertical="center"/>
    </xf>
    <xf numFmtId="3" fontId="5" fillId="2" borderId="0" xfId="18" applyNumberFormat="1" applyFont="1" applyFill="1" applyBorder="1" applyAlignment="1">
      <alignment horizontal="right" vertical="center"/>
    </xf>
    <xf numFmtId="3" fontId="5" fillId="2" borderId="0" xfId="19" applyNumberFormat="1" applyFont="1" applyFill="1" applyBorder="1" applyAlignment="1">
      <alignment horizontal="right" vertical="center"/>
    </xf>
    <xf numFmtId="3" fontId="5" fillId="2" borderId="0" xfId="20" applyNumberFormat="1" applyFont="1" applyFill="1" applyBorder="1" applyAlignment="1">
      <alignment horizontal="right" vertical="center"/>
    </xf>
    <xf numFmtId="3" fontId="5" fillId="2" borderId="0" xfId="22" applyNumberFormat="1" applyFont="1" applyFill="1" applyBorder="1" applyAlignment="1">
      <alignment horizontal="right" vertical="center"/>
    </xf>
    <xf numFmtId="3" fontId="5" fillId="2" borderId="0" xfId="23" applyNumberFormat="1" applyFont="1" applyFill="1" applyBorder="1" applyAlignment="1">
      <alignment horizontal="right" vertical="center"/>
    </xf>
    <xf numFmtId="3" fontId="5" fillId="2" borderId="0" xfId="24" applyNumberFormat="1" applyFont="1" applyFill="1" applyBorder="1" applyAlignment="1">
      <alignment horizontal="right" vertical="center"/>
    </xf>
    <xf numFmtId="3" fontId="5" fillId="2" borderId="0" xfId="25" applyNumberFormat="1" applyFont="1" applyFill="1" applyBorder="1" applyAlignment="1">
      <alignment horizontal="right" vertical="center"/>
    </xf>
    <xf numFmtId="3" fontId="5" fillId="2" borderId="0" xfId="26" applyNumberFormat="1" applyFont="1" applyFill="1" applyBorder="1" applyAlignment="1">
      <alignment horizontal="right" vertical="center"/>
    </xf>
    <xf numFmtId="3" fontId="5" fillId="2" borderId="0" xfId="27" applyNumberFormat="1" applyFont="1" applyFill="1" applyBorder="1" applyAlignment="1">
      <alignment horizontal="right" vertical="center"/>
    </xf>
    <xf numFmtId="3" fontId="5" fillId="2" borderId="0" xfId="28" applyNumberFormat="1" applyFont="1" applyFill="1" applyBorder="1" applyAlignment="1">
      <alignment horizontal="right" vertical="center"/>
    </xf>
    <xf numFmtId="3" fontId="5" fillId="2" borderId="0" xfId="29" applyNumberFormat="1" applyFont="1" applyFill="1" applyBorder="1" applyAlignment="1">
      <alignment horizontal="right" vertical="center"/>
    </xf>
    <xf numFmtId="3" fontId="5" fillId="2" borderId="0" xfId="30" applyNumberFormat="1" applyFont="1" applyFill="1" applyBorder="1" applyAlignment="1">
      <alignment horizontal="right" vertical="center"/>
    </xf>
    <xf numFmtId="3" fontId="5" fillId="2" borderId="0" xfId="31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/>
    </xf>
    <xf numFmtId="0" fontId="4" fillId="2" borderId="9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right" vertical="center"/>
    </xf>
    <xf numFmtId="3" fontId="5" fillId="2" borderId="4" xfId="0" applyNumberFormat="1" applyFont="1" applyFill="1" applyBorder="1" applyAlignment="1">
      <alignment horizontal="right" vertical="center"/>
    </xf>
    <xf numFmtId="3" fontId="5" fillId="2" borderId="3" xfId="0" applyNumberFormat="1" applyFont="1" applyFill="1" applyBorder="1" applyAlignment="1">
      <alignment horizontal="right" vertical="center"/>
    </xf>
    <xf numFmtId="3" fontId="14" fillId="2" borderId="4" xfId="0" applyNumberFormat="1" applyFont="1" applyFill="1" applyBorder="1" applyAlignment="1">
      <alignment horizontal="right" vertical="center"/>
    </xf>
    <xf numFmtId="3" fontId="15" fillId="2" borderId="3" xfId="0" applyNumberFormat="1" applyFont="1" applyFill="1" applyBorder="1" applyAlignment="1">
      <alignment horizontal="right" vertical="center"/>
    </xf>
    <xf numFmtId="3" fontId="15" fillId="2" borderId="4" xfId="0" applyNumberFormat="1" applyFont="1" applyFill="1" applyBorder="1" applyAlignment="1">
      <alignment horizontal="right" vertical="center"/>
    </xf>
    <xf numFmtId="3" fontId="4" fillId="2" borderId="2" xfId="0" applyNumberFormat="1" applyFont="1" applyFill="1" applyBorder="1" applyAlignment="1">
      <alignment horizontal="right" vertical="center"/>
    </xf>
    <xf numFmtId="3" fontId="5" fillId="2" borderId="10" xfId="0" applyNumberFormat="1" applyFont="1" applyFill="1" applyBorder="1" applyAlignment="1">
      <alignment horizontal="right" vertical="center"/>
    </xf>
    <xf numFmtId="3" fontId="5" fillId="2" borderId="9" xfId="0" applyNumberFormat="1" applyFont="1" applyFill="1" applyBorder="1" applyAlignment="1">
      <alignment horizontal="right" vertical="center"/>
    </xf>
    <xf numFmtId="3" fontId="5" fillId="2" borderId="12" xfId="0" applyNumberFormat="1" applyFont="1" applyFill="1" applyBorder="1" applyAlignment="1">
      <alignment horizontal="right" vertical="center"/>
    </xf>
    <xf numFmtId="0" fontId="4" fillId="2" borderId="9" xfId="0" applyFont="1" applyFill="1" applyBorder="1" applyAlignment="1">
      <alignment vertical="center"/>
    </xf>
    <xf numFmtId="3" fontId="4" fillId="2" borderId="9" xfId="0" applyNumberFormat="1" applyFont="1" applyFill="1" applyBorder="1" applyAlignment="1">
      <alignment horizontal="right" vertical="center"/>
    </xf>
    <xf numFmtId="0" fontId="6" fillId="2" borderId="8" xfId="0" applyFont="1" applyFill="1" applyBorder="1"/>
    <xf numFmtId="0" fontId="8" fillId="2" borderId="0" xfId="0" applyFont="1" applyFill="1" applyBorder="1" applyAlignment="1">
      <alignment horizontal="left" vertical="center"/>
    </xf>
    <xf numFmtId="3" fontId="16" fillId="2" borderId="3" xfId="21" applyNumberFormat="1" applyFont="1" applyFill="1" applyBorder="1" applyAlignment="1">
      <alignment horizontal="right" vertical="center"/>
    </xf>
    <xf numFmtId="3" fontId="16" fillId="2" borderId="4" xfId="0" applyNumberFormat="1" applyFont="1" applyFill="1" applyBorder="1" applyAlignment="1">
      <alignment horizontal="right" vertical="center"/>
    </xf>
    <xf numFmtId="3" fontId="16" fillId="2" borderId="3" xfId="0" applyNumberFormat="1" applyFont="1" applyFill="1" applyBorder="1" applyAlignment="1">
      <alignment horizontal="right" vertical="center"/>
    </xf>
    <xf numFmtId="0" fontId="8" fillId="2" borderId="9" xfId="0" applyFont="1" applyFill="1" applyBorder="1" applyAlignment="1">
      <alignment horizontal="left" vertical="center"/>
    </xf>
    <xf numFmtId="3" fontId="15" fillId="2" borderId="12" xfId="0" applyNumberFormat="1" applyFont="1" applyFill="1" applyBorder="1" applyAlignment="1">
      <alignment horizontal="right" vertical="center"/>
    </xf>
    <xf numFmtId="3" fontId="15" fillId="2" borderId="10" xfId="0" applyNumberFormat="1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 vertical="center"/>
    </xf>
    <xf numFmtId="1" fontId="4" fillId="2" borderId="13" xfId="0" applyNumberFormat="1" applyFont="1" applyFill="1" applyBorder="1" applyAlignment="1">
      <alignment horizontal="right" vertical="center"/>
    </xf>
    <xf numFmtId="0" fontId="4" fillId="2" borderId="13" xfId="0" applyFont="1" applyFill="1" applyBorder="1" applyAlignment="1">
      <alignment horizontal="right" vertical="center"/>
    </xf>
    <xf numFmtId="167" fontId="4" fillId="2" borderId="13" xfId="0" applyNumberFormat="1" applyFont="1" applyFill="1" applyBorder="1" applyAlignment="1">
      <alignment horizontal="right" vertical="center"/>
    </xf>
    <xf numFmtId="1" fontId="14" fillId="2" borderId="13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/>
    </xf>
    <xf numFmtId="0" fontId="14" fillId="0" borderId="0" xfId="0" applyFont="1" applyBorder="1" applyAlignment="1">
      <alignment horizontal="center"/>
    </xf>
    <xf numFmtId="1" fontId="4" fillId="2" borderId="6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7" fillId="2" borderId="11" xfId="0" applyNumberFormat="1" applyFont="1" applyFill="1" applyBorder="1" applyAlignment="1">
      <alignment horizontal="left" vertical="center" wrapText="1"/>
    </xf>
    <xf numFmtId="1" fontId="7" fillId="2" borderId="9" xfId="0" applyNumberFormat="1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39">
    <cellStyle name="1" xfId="138"/>
    <cellStyle name="Comma 2" xfId="5"/>
    <cellStyle name="Comma 3" xfId="8"/>
    <cellStyle name="Normal" xfId="0" builtinId="0"/>
    <cellStyle name="Normal 10" xfId="18"/>
    <cellStyle name="Normal 10 2" xfId="32"/>
    <cellStyle name="Normal 105 2" xfId="124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4" xfId="97"/>
    <cellStyle name="Normal 2 5" xfId="98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4" xfId="131"/>
    <cellStyle name="Normal 25" xfId="13"/>
    <cellStyle name="Normal 25 2" xfId="125"/>
    <cellStyle name="Normal 26" xfId="118"/>
    <cellStyle name="Normal 26 2" xfId="135"/>
    <cellStyle name="Normal 27" xfId="116"/>
    <cellStyle name="Normal 27 2" xfId="134"/>
    <cellStyle name="Normal 28" xfId="119"/>
    <cellStyle name="Normal 28 2" xfId="128"/>
    <cellStyle name="Normal 29" xfId="126"/>
    <cellStyle name="Normal 3" xfId="7"/>
    <cellStyle name="Normal 3 11" xfId="122"/>
    <cellStyle name="Normal 3 12" xfId="120"/>
    <cellStyle name="Normal 3 13" xfId="121"/>
    <cellStyle name="Normal 3 14" xfId="123"/>
    <cellStyle name="Normal 3 2" xfId="108"/>
    <cellStyle name="Normal 3 3" xfId="109"/>
    <cellStyle name="Normal 30" xfId="133"/>
    <cellStyle name="Normal 31" xfId="130"/>
    <cellStyle name="Normal 32" xfId="127"/>
    <cellStyle name="Normal 33" xfId="137"/>
    <cellStyle name="Normal 34" xfId="129"/>
    <cellStyle name="Normal 35" xfId="136"/>
    <cellStyle name="Normal 4" xfId="14"/>
    <cellStyle name="Normal 4 2" xfId="110"/>
    <cellStyle name="Normal 4 3" xfId="117"/>
    <cellStyle name="Normal 5" xfId="21"/>
    <cellStyle name="Normal 5 2" xfId="111"/>
    <cellStyle name="Normal 6" xfId="2"/>
    <cellStyle name="Normal 6 2" xfId="132"/>
    <cellStyle name="Normal 6 3" xfId="115"/>
    <cellStyle name="Normal 7" xfId="1"/>
    <cellStyle name="Normal 7 2" xfId="112"/>
    <cellStyle name="Normal 7 3" xfId="15"/>
    <cellStyle name="Normal 8" xfId="4"/>
    <cellStyle name="Normal 8 2" xfId="6"/>
    <cellStyle name="Normal 8 2 2" xfId="113"/>
    <cellStyle name="Normal 8 3" xfId="16"/>
    <cellStyle name="Normal 9" xfId="17"/>
    <cellStyle name="Normal 9 2" xfId="114"/>
    <cellStyle name="Percent 2" xfId="9"/>
  </cellStyles>
  <dxfs count="0"/>
  <tableStyles count="0" defaultTableStyle="TableStyleMedium9" defaultPivotStyle="PivotStyleLight16"/>
  <colors>
    <mruColors>
      <color rgb="FFC9F3F1"/>
      <color rgb="FFE1F8F7"/>
      <color rgb="FFA3FFFF"/>
      <color rgb="FF33CCCC"/>
      <color rgb="FFE7FFFF"/>
      <color rgb="FF071B1B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29"/>
  <sheetViews>
    <sheetView tabSelected="1" zoomScaleNormal="100" workbookViewId="0">
      <selection activeCell="AK8" sqref="AK8"/>
    </sheetView>
  </sheetViews>
  <sheetFormatPr defaultRowHeight="15" x14ac:dyDescent="0.25"/>
  <cols>
    <col min="1" max="1" width="16.42578125" style="3" customWidth="1"/>
    <col min="2" max="4" width="9" style="3" customWidth="1"/>
    <col min="5" max="34" width="6.42578125" style="3" customWidth="1"/>
    <col min="35" max="36" width="7.140625" style="3" customWidth="1"/>
    <col min="37" max="16384" width="9.140625" style="3"/>
  </cols>
  <sheetData>
    <row r="1" spans="1:37" ht="18.75" x14ac:dyDescent="0.45">
      <c r="A1" s="60" t="s">
        <v>50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</row>
    <row r="2" spans="1:37" ht="15.75" x14ac:dyDescent="0.25">
      <c r="A2" s="61" t="s">
        <v>49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</row>
    <row r="4" spans="1:37" x14ac:dyDescent="0.25">
      <c r="A4" s="64" t="s">
        <v>13</v>
      </c>
      <c r="B4" s="55" t="s">
        <v>2</v>
      </c>
      <c r="C4" s="55"/>
      <c r="D4" s="56"/>
      <c r="E4" s="66" t="s">
        <v>14</v>
      </c>
      <c r="F4" s="67"/>
      <c r="G4" s="66" t="s">
        <v>9</v>
      </c>
      <c r="H4" s="67"/>
      <c r="I4" s="68" t="s">
        <v>10</v>
      </c>
      <c r="J4" s="67"/>
      <c r="K4" s="59" t="s">
        <v>15</v>
      </c>
      <c r="L4" s="59"/>
      <c r="M4" s="59" t="s">
        <v>16</v>
      </c>
      <c r="N4" s="59"/>
      <c r="O4" s="59" t="s">
        <v>17</v>
      </c>
      <c r="P4" s="59"/>
      <c r="Q4" s="59" t="s">
        <v>18</v>
      </c>
      <c r="R4" s="59"/>
      <c r="S4" s="59" t="s">
        <v>19</v>
      </c>
      <c r="T4" s="59"/>
      <c r="U4" s="59" t="s">
        <v>20</v>
      </c>
      <c r="V4" s="59"/>
      <c r="W4" s="59" t="s">
        <v>21</v>
      </c>
      <c r="X4" s="59"/>
      <c r="Y4" s="59" t="s">
        <v>22</v>
      </c>
      <c r="Z4" s="59"/>
      <c r="AA4" s="59" t="s">
        <v>23</v>
      </c>
      <c r="AB4" s="59"/>
      <c r="AC4" s="59" t="s">
        <v>24</v>
      </c>
      <c r="AD4" s="59"/>
      <c r="AE4" s="59" t="s">
        <v>25</v>
      </c>
      <c r="AF4" s="59"/>
      <c r="AG4" s="59" t="s">
        <v>26</v>
      </c>
      <c r="AH4" s="59"/>
      <c r="AI4" s="62" t="s">
        <v>11</v>
      </c>
      <c r="AJ4" s="63"/>
      <c r="AK4" s="57" t="s">
        <v>47</v>
      </c>
    </row>
    <row r="5" spans="1:37" ht="15.75" x14ac:dyDescent="0.25">
      <c r="A5" s="65"/>
      <c r="B5" s="40" t="s">
        <v>48</v>
      </c>
      <c r="C5" s="29" t="s">
        <v>0</v>
      </c>
      <c r="D5" s="42" t="s">
        <v>1</v>
      </c>
      <c r="E5" s="52" t="s">
        <v>5</v>
      </c>
      <c r="F5" s="51" t="s">
        <v>6</v>
      </c>
      <c r="G5" s="52" t="s">
        <v>5</v>
      </c>
      <c r="H5" s="51" t="s">
        <v>6</v>
      </c>
      <c r="I5" s="52" t="s">
        <v>5</v>
      </c>
      <c r="J5" s="53" t="s">
        <v>6</v>
      </c>
      <c r="K5" s="52" t="s">
        <v>5</v>
      </c>
      <c r="L5" s="51" t="s">
        <v>6</v>
      </c>
      <c r="M5" s="52" t="s">
        <v>5</v>
      </c>
      <c r="N5" s="51" t="s">
        <v>6</v>
      </c>
      <c r="O5" s="52" t="s">
        <v>5</v>
      </c>
      <c r="P5" s="51" t="s">
        <v>6</v>
      </c>
      <c r="Q5" s="52" t="s">
        <v>5</v>
      </c>
      <c r="R5" s="51" t="s">
        <v>6</v>
      </c>
      <c r="S5" s="52" t="s">
        <v>5</v>
      </c>
      <c r="T5" s="51" t="s">
        <v>6</v>
      </c>
      <c r="U5" s="52" t="s">
        <v>5</v>
      </c>
      <c r="V5" s="51" t="s">
        <v>6</v>
      </c>
      <c r="W5" s="52" t="s">
        <v>5</v>
      </c>
      <c r="X5" s="51" t="s">
        <v>6</v>
      </c>
      <c r="Y5" s="52" t="s">
        <v>5</v>
      </c>
      <c r="Z5" s="51" t="s">
        <v>6</v>
      </c>
      <c r="AA5" s="52" t="s">
        <v>5</v>
      </c>
      <c r="AB5" s="51" t="s">
        <v>6</v>
      </c>
      <c r="AC5" s="52" t="s">
        <v>5</v>
      </c>
      <c r="AD5" s="51" t="s">
        <v>6</v>
      </c>
      <c r="AE5" s="52" t="s">
        <v>5</v>
      </c>
      <c r="AF5" s="51" t="s">
        <v>6</v>
      </c>
      <c r="AG5" s="52" t="s">
        <v>5</v>
      </c>
      <c r="AH5" s="51" t="s">
        <v>6</v>
      </c>
      <c r="AI5" s="54" t="s">
        <v>5</v>
      </c>
      <c r="AJ5" s="54" t="s">
        <v>6</v>
      </c>
      <c r="AK5" s="58"/>
    </row>
    <row r="6" spans="1:37" s="50" customFormat="1" ht="19.5" customHeight="1" x14ac:dyDescent="0.25">
      <c r="A6" s="7" t="s">
        <v>12</v>
      </c>
      <c r="B6" s="8">
        <f>SUM(E6:AJ6)</f>
        <v>88341</v>
      </c>
      <c r="C6" s="8">
        <f>E6+G6+I6+K6+M6+O6+Q6+S6+U6+W6+Y6+AA6+AC6+AE6+AG6+AI6</f>
        <v>45207</v>
      </c>
      <c r="D6" s="30">
        <f>F6+H6+J6+L6+N6+P6+R6+T6+V6+X6+Z6+AB6+AD6+AF6+AH6+AJ6</f>
        <v>43134</v>
      </c>
      <c r="E6" s="8">
        <f>SUM(E7:E8)</f>
        <v>4201</v>
      </c>
      <c r="F6" s="8">
        <f t="shared" ref="F6:K6" si="0">SUM(F7:F8)</f>
        <v>3877</v>
      </c>
      <c r="G6" s="8">
        <f t="shared" si="0"/>
        <v>3956</v>
      </c>
      <c r="H6" s="8">
        <f t="shared" si="0"/>
        <v>3697</v>
      </c>
      <c r="I6" s="8">
        <f t="shared" si="0"/>
        <v>3884</v>
      </c>
      <c r="J6" s="36">
        <f t="shared" si="0"/>
        <v>3797</v>
      </c>
      <c r="K6" s="8">
        <f t="shared" si="0"/>
        <v>3732</v>
      </c>
      <c r="L6" s="8">
        <f t="shared" ref="L6" si="1">SUM(L7:L8)</f>
        <v>3568</v>
      </c>
      <c r="M6" s="8">
        <f t="shared" ref="M6" si="2">SUM(M7:M8)</f>
        <v>3509</v>
      </c>
      <c r="N6" s="8">
        <f t="shared" ref="N6" si="3">SUM(N7:N8)</f>
        <v>3314</v>
      </c>
      <c r="O6" s="8">
        <f t="shared" ref="O6" si="4">SUM(O7:O8)</f>
        <v>3091</v>
      </c>
      <c r="P6" s="8">
        <f t="shared" ref="P6:Q6" si="5">SUM(P7:P8)</f>
        <v>2929</v>
      </c>
      <c r="Q6" s="8">
        <f t="shared" si="5"/>
        <v>2858</v>
      </c>
      <c r="R6" s="8">
        <f t="shared" ref="R6" si="6">SUM(R7:R8)</f>
        <v>2836</v>
      </c>
      <c r="S6" s="8">
        <f t="shared" ref="S6" si="7">SUM(S7:S8)</f>
        <v>2777</v>
      </c>
      <c r="T6" s="8">
        <f t="shared" ref="T6" si="8">SUM(T7:T8)</f>
        <v>2587</v>
      </c>
      <c r="U6" s="8">
        <f t="shared" ref="U6" si="9">SUM(U7:U8)</f>
        <v>2835</v>
      </c>
      <c r="V6" s="8">
        <f t="shared" ref="V6:W6" si="10">SUM(V7:V8)</f>
        <v>2569</v>
      </c>
      <c r="W6" s="8">
        <f t="shared" si="10"/>
        <v>2929</v>
      </c>
      <c r="X6" s="36">
        <f t="shared" ref="X6" si="11">SUM(X7:X8)</f>
        <v>2603</v>
      </c>
      <c r="Y6" s="8">
        <f t="shared" ref="Y6" si="12">SUM(Y7:Y8)</f>
        <v>3261</v>
      </c>
      <c r="Z6" s="8">
        <f t="shared" ref="Z6" si="13">SUM(Z7:Z8)</f>
        <v>2959</v>
      </c>
      <c r="AA6" s="8">
        <f t="shared" ref="AA6" si="14">SUM(AA7:AA8)</f>
        <v>3243</v>
      </c>
      <c r="AB6" s="8">
        <f t="shared" ref="AB6:AC6" si="15">SUM(AB7:AB8)</f>
        <v>2975</v>
      </c>
      <c r="AC6" s="8">
        <f t="shared" si="15"/>
        <v>2853</v>
      </c>
      <c r="AD6" s="30">
        <f t="shared" ref="AD6" si="16">SUM(AD7:AD8)</f>
        <v>2805</v>
      </c>
      <c r="AE6" s="8">
        <f t="shared" ref="AE6" si="17">SUM(AE7:AE8)</f>
        <v>969</v>
      </c>
      <c r="AF6" s="8">
        <f t="shared" ref="AF6" si="18">SUM(AF7:AF8)</f>
        <v>1232</v>
      </c>
      <c r="AG6" s="8">
        <f t="shared" ref="AG6" si="19">SUM(AG7:AG8)</f>
        <v>901</v>
      </c>
      <c r="AH6" s="36">
        <f t="shared" ref="AH6:AI6" si="20">SUM(AH7:AH8)</f>
        <v>1278</v>
      </c>
      <c r="AI6" s="8">
        <f t="shared" si="20"/>
        <v>208</v>
      </c>
      <c r="AJ6" s="36">
        <f t="shared" ref="AJ6" si="21">SUM(AJ7:AJ8)</f>
        <v>108</v>
      </c>
      <c r="AK6" s="5">
        <f>B6/$B$6*100</f>
        <v>100</v>
      </c>
    </row>
    <row r="7" spans="1:37" s="50" customFormat="1" ht="19.5" customHeight="1" x14ac:dyDescent="0.25">
      <c r="A7" s="7" t="s">
        <v>3</v>
      </c>
      <c r="B7" s="8">
        <f t="shared" ref="B7:B28" si="22">SUM(E7:AJ7)</f>
        <v>30361</v>
      </c>
      <c r="C7" s="8">
        <f t="shared" ref="C7:C28" si="23">E7+G7+I7+K7+M7+O7+Q7+S7+U7+W7+Y7+AA7+AC7+AE7+AG7+AI7</f>
        <v>15365</v>
      </c>
      <c r="D7" s="30">
        <f t="shared" ref="D7:D28" si="24">F7+H7+J7+L7+N7+P7+R7+T7+V7+X7+Z7+AB7+AD7+AF7+AH7+AJ7</f>
        <v>14996</v>
      </c>
      <c r="E7" s="4">
        <v>1560</v>
      </c>
      <c r="F7" s="4">
        <v>1437</v>
      </c>
      <c r="G7" s="4">
        <v>1289</v>
      </c>
      <c r="H7" s="4">
        <v>1198</v>
      </c>
      <c r="I7" s="4">
        <v>1224</v>
      </c>
      <c r="J7" s="31">
        <v>1277</v>
      </c>
      <c r="K7" s="32">
        <v>1319</v>
      </c>
      <c r="L7" s="4">
        <v>1219</v>
      </c>
      <c r="M7" s="4">
        <v>1155</v>
      </c>
      <c r="N7" s="4">
        <v>1152</v>
      </c>
      <c r="O7" s="4">
        <v>1039</v>
      </c>
      <c r="P7" s="4">
        <v>981</v>
      </c>
      <c r="Q7" s="4">
        <v>987</v>
      </c>
      <c r="R7" s="4">
        <v>910</v>
      </c>
      <c r="S7" s="4">
        <v>904</v>
      </c>
      <c r="T7" s="4">
        <v>856</v>
      </c>
      <c r="U7" s="4">
        <v>883</v>
      </c>
      <c r="V7" s="4">
        <v>847</v>
      </c>
      <c r="W7" s="4">
        <v>848</v>
      </c>
      <c r="X7" s="31">
        <v>820</v>
      </c>
      <c r="Y7" s="32">
        <v>898</v>
      </c>
      <c r="Z7" s="4">
        <v>918</v>
      </c>
      <c r="AA7" s="4">
        <v>1072</v>
      </c>
      <c r="AB7" s="4">
        <v>970</v>
      </c>
      <c r="AC7" s="4">
        <v>889</v>
      </c>
      <c r="AD7" s="31">
        <v>902</v>
      </c>
      <c r="AE7" s="4">
        <v>586</v>
      </c>
      <c r="AF7" s="4">
        <v>704</v>
      </c>
      <c r="AG7" s="4">
        <v>590</v>
      </c>
      <c r="AH7" s="31">
        <v>745</v>
      </c>
      <c r="AI7" s="34">
        <v>122</v>
      </c>
      <c r="AJ7" s="35">
        <v>60</v>
      </c>
      <c r="AK7" s="5">
        <f>B7/$B$6*100</f>
        <v>34.367960516634405</v>
      </c>
    </row>
    <row r="8" spans="1:37" s="50" customFormat="1" ht="19.5" customHeight="1" x14ac:dyDescent="0.25">
      <c r="A8" s="7" t="s">
        <v>4</v>
      </c>
      <c r="B8" s="8">
        <f t="shared" si="22"/>
        <v>57980</v>
      </c>
      <c r="C8" s="8">
        <f t="shared" si="23"/>
        <v>29842</v>
      </c>
      <c r="D8" s="30">
        <f t="shared" si="24"/>
        <v>28138</v>
      </c>
      <c r="E8" s="4">
        <f t="shared" ref="E8:AJ8" si="25">SUM(E9:E28)</f>
        <v>2641</v>
      </c>
      <c r="F8" s="4">
        <f t="shared" si="25"/>
        <v>2440</v>
      </c>
      <c r="G8" s="4">
        <f t="shared" si="25"/>
        <v>2667</v>
      </c>
      <c r="H8" s="4">
        <f t="shared" si="25"/>
        <v>2499</v>
      </c>
      <c r="I8" s="4">
        <f t="shared" si="25"/>
        <v>2660</v>
      </c>
      <c r="J8" s="31">
        <f t="shared" si="25"/>
        <v>2520</v>
      </c>
      <c r="K8" s="32">
        <f t="shared" si="25"/>
        <v>2413</v>
      </c>
      <c r="L8" s="4">
        <f t="shared" si="25"/>
        <v>2349</v>
      </c>
      <c r="M8" s="4">
        <f t="shared" si="25"/>
        <v>2354</v>
      </c>
      <c r="N8" s="4">
        <f t="shared" si="25"/>
        <v>2162</v>
      </c>
      <c r="O8" s="4">
        <f t="shared" si="25"/>
        <v>2052</v>
      </c>
      <c r="P8" s="4">
        <f t="shared" si="25"/>
        <v>1948</v>
      </c>
      <c r="Q8" s="4">
        <f t="shared" si="25"/>
        <v>1871</v>
      </c>
      <c r="R8" s="4">
        <f t="shared" si="25"/>
        <v>1926</v>
      </c>
      <c r="S8" s="4">
        <f t="shared" si="25"/>
        <v>1873</v>
      </c>
      <c r="T8" s="4">
        <f t="shared" si="25"/>
        <v>1731</v>
      </c>
      <c r="U8" s="4">
        <f t="shared" si="25"/>
        <v>1952</v>
      </c>
      <c r="V8" s="4">
        <f t="shared" si="25"/>
        <v>1722</v>
      </c>
      <c r="W8" s="4">
        <f t="shared" si="25"/>
        <v>2081</v>
      </c>
      <c r="X8" s="31">
        <f t="shared" si="25"/>
        <v>1783</v>
      </c>
      <c r="Y8" s="32">
        <f t="shared" si="25"/>
        <v>2363</v>
      </c>
      <c r="Z8" s="4">
        <f t="shared" si="25"/>
        <v>2041</v>
      </c>
      <c r="AA8" s="4">
        <f t="shared" si="25"/>
        <v>2171</v>
      </c>
      <c r="AB8" s="4">
        <f t="shared" si="25"/>
        <v>2005</v>
      </c>
      <c r="AC8" s="4">
        <f t="shared" si="25"/>
        <v>1964</v>
      </c>
      <c r="AD8" s="31">
        <f t="shared" si="25"/>
        <v>1903</v>
      </c>
      <c r="AE8" s="4">
        <f t="shared" si="25"/>
        <v>383</v>
      </c>
      <c r="AF8" s="4">
        <f t="shared" si="25"/>
        <v>528</v>
      </c>
      <c r="AG8" s="4">
        <f t="shared" si="25"/>
        <v>311</v>
      </c>
      <c r="AH8" s="31">
        <f t="shared" si="25"/>
        <v>533</v>
      </c>
      <c r="AI8" s="34">
        <f t="shared" si="25"/>
        <v>86</v>
      </c>
      <c r="AJ8" s="35">
        <f t="shared" si="25"/>
        <v>48</v>
      </c>
      <c r="AK8" s="5">
        <f t="shared" ref="AK8:AK28" si="26">B8/$B$6*100</f>
        <v>65.632039483365588</v>
      </c>
    </row>
    <row r="9" spans="1:37" s="50" customFormat="1" ht="19.5" customHeight="1" x14ac:dyDescent="0.25">
      <c r="A9" s="43" t="s">
        <v>27</v>
      </c>
      <c r="B9" s="8">
        <f t="shared" si="22"/>
        <v>3996</v>
      </c>
      <c r="C9" s="4">
        <f t="shared" si="23"/>
        <v>2069</v>
      </c>
      <c r="D9" s="31">
        <f t="shared" si="24"/>
        <v>1927</v>
      </c>
      <c r="E9" s="9">
        <v>188</v>
      </c>
      <c r="F9" s="4">
        <v>163</v>
      </c>
      <c r="G9" s="4">
        <v>155</v>
      </c>
      <c r="H9" s="4">
        <v>168</v>
      </c>
      <c r="I9" s="4">
        <v>169</v>
      </c>
      <c r="J9" s="31">
        <v>166</v>
      </c>
      <c r="K9" s="32">
        <v>188</v>
      </c>
      <c r="L9" s="4">
        <v>166</v>
      </c>
      <c r="M9" s="4">
        <v>164</v>
      </c>
      <c r="N9" s="4">
        <v>137</v>
      </c>
      <c r="O9" s="4">
        <v>120</v>
      </c>
      <c r="P9" s="4">
        <v>113</v>
      </c>
      <c r="Q9" s="4">
        <v>128</v>
      </c>
      <c r="R9" s="4">
        <v>132</v>
      </c>
      <c r="S9" s="4">
        <v>120</v>
      </c>
      <c r="T9" s="4">
        <v>108</v>
      </c>
      <c r="U9" s="4">
        <v>128</v>
      </c>
      <c r="V9" s="4">
        <v>116</v>
      </c>
      <c r="W9" s="4">
        <v>176</v>
      </c>
      <c r="X9" s="31">
        <v>143</v>
      </c>
      <c r="Y9" s="32">
        <v>216</v>
      </c>
      <c r="Z9" s="4">
        <v>148</v>
      </c>
      <c r="AA9" s="4">
        <v>122</v>
      </c>
      <c r="AB9" s="4">
        <v>175</v>
      </c>
      <c r="AC9" s="4">
        <v>146</v>
      </c>
      <c r="AD9" s="31">
        <v>148</v>
      </c>
      <c r="AE9" s="4">
        <v>29</v>
      </c>
      <c r="AF9" s="4">
        <v>26</v>
      </c>
      <c r="AG9" s="4">
        <v>15</v>
      </c>
      <c r="AH9" s="31">
        <v>18</v>
      </c>
      <c r="AI9" s="34">
        <v>5</v>
      </c>
      <c r="AJ9" s="35">
        <v>0</v>
      </c>
      <c r="AK9" s="5">
        <f t="shared" si="26"/>
        <v>4.5233809895744894</v>
      </c>
    </row>
    <row r="10" spans="1:37" s="50" customFormat="1" ht="19.5" customHeight="1" x14ac:dyDescent="0.25">
      <c r="A10" s="43" t="s">
        <v>28</v>
      </c>
      <c r="B10" s="8">
        <f t="shared" si="22"/>
        <v>5572</v>
      </c>
      <c r="C10" s="4">
        <f t="shared" si="23"/>
        <v>2900</v>
      </c>
      <c r="D10" s="31">
        <f t="shared" si="24"/>
        <v>2672</v>
      </c>
      <c r="E10" s="10">
        <v>294</v>
      </c>
      <c r="F10" s="4">
        <v>257</v>
      </c>
      <c r="G10" s="4">
        <v>252</v>
      </c>
      <c r="H10" s="4">
        <v>259</v>
      </c>
      <c r="I10" s="4">
        <v>227</v>
      </c>
      <c r="J10" s="31">
        <v>233</v>
      </c>
      <c r="K10" s="32">
        <v>211</v>
      </c>
      <c r="L10" s="4">
        <v>226</v>
      </c>
      <c r="M10" s="4">
        <v>225</v>
      </c>
      <c r="N10" s="4">
        <v>208</v>
      </c>
      <c r="O10" s="4">
        <v>223</v>
      </c>
      <c r="P10" s="4">
        <v>186</v>
      </c>
      <c r="Q10" s="4">
        <v>171</v>
      </c>
      <c r="R10" s="4">
        <v>160</v>
      </c>
      <c r="S10" s="4">
        <v>161</v>
      </c>
      <c r="T10" s="4">
        <v>142</v>
      </c>
      <c r="U10" s="4">
        <v>193</v>
      </c>
      <c r="V10" s="4">
        <v>164</v>
      </c>
      <c r="W10" s="4">
        <v>195</v>
      </c>
      <c r="X10" s="31">
        <v>169</v>
      </c>
      <c r="Y10" s="32">
        <v>204</v>
      </c>
      <c r="Z10" s="4">
        <v>197</v>
      </c>
      <c r="AA10" s="4">
        <v>245</v>
      </c>
      <c r="AB10" s="4">
        <v>184</v>
      </c>
      <c r="AC10" s="4">
        <v>220</v>
      </c>
      <c r="AD10" s="31">
        <v>146</v>
      </c>
      <c r="AE10" s="4">
        <v>35</v>
      </c>
      <c r="AF10" s="4">
        <v>58</v>
      </c>
      <c r="AG10" s="4">
        <v>30</v>
      </c>
      <c r="AH10" s="31">
        <v>76</v>
      </c>
      <c r="AI10" s="34">
        <v>14</v>
      </c>
      <c r="AJ10" s="33">
        <v>7</v>
      </c>
      <c r="AK10" s="5">
        <f t="shared" si="26"/>
        <v>6.3073770955728374</v>
      </c>
    </row>
    <row r="11" spans="1:37" s="50" customFormat="1" ht="19.5" customHeight="1" x14ac:dyDescent="0.25">
      <c r="A11" s="43" t="s">
        <v>29</v>
      </c>
      <c r="B11" s="8">
        <f t="shared" si="22"/>
        <v>3923</v>
      </c>
      <c r="C11" s="4">
        <f t="shared" si="23"/>
        <v>2043</v>
      </c>
      <c r="D11" s="31">
        <f t="shared" si="24"/>
        <v>1880</v>
      </c>
      <c r="E11" s="11">
        <v>181</v>
      </c>
      <c r="F11" s="4">
        <v>174</v>
      </c>
      <c r="G11" s="4">
        <v>193</v>
      </c>
      <c r="H11" s="4">
        <v>159</v>
      </c>
      <c r="I11" s="4">
        <v>179</v>
      </c>
      <c r="J11" s="31">
        <v>173</v>
      </c>
      <c r="K11" s="32">
        <v>149</v>
      </c>
      <c r="L11" s="4">
        <v>153</v>
      </c>
      <c r="M11" s="4">
        <v>148</v>
      </c>
      <c r="N11" s="4">
        <v>146</v>
      </c>
      <c r="O11" s="4">
        <v>125</v>
      </c>
      <c r="P11" s="4">
        <v>135</v>
      </c>
      <c r="Q11" s="4">
        <v>115</v>
      </c>
      <c r="R11" s="4">
        <v>136</v>
      </c>
      <c r="S11" s="4">
        <v>121</v>
      </c>
      <c r="T11" s="4">
        <v>125</v>
      </c>
      <c r="U11" s="4">
        <v>139</v>
      </c>
      <c r="V11" s="4">
        <v>124</v>
      </c>
      <c r="W11" s="4">
        <v>161</v>
      </c>
      <c r="X11" s="31">
        <v>111</v>
      </c>
      <c r="Y11" s="32">
        <v>198</v>
      </c>
      <c r="Z11" s="4">
        <v>158</v>
      </c>
      <c r="AA11" s="4">
        <v>173</v>
      </c>
      <c r="AB11" s="4">
        <v>143</v>
      </c>
      <c r="AC11" s="4">
        <v>138</v>
      </c>
      <c r="AD11" s="31">
        <v>120</v>
      </c>
      <c r="AE11" s="4">
        <v>16</v>
      </c>
      <c r="AF11" s="4">
        <v>16</v>
      </c>
      <c r="AG11" s="4">
        <v>3</v>
      </c>
      <c r="AH11" s="31">
        <v>5</v>
      </c>
      <c r="AI11" s="34">
        <v>4</v>
      </c>
      <c r="AJ11" s="35">
        <v>2</v>
      </c>
      <c r="AK11" s="5">
        <f t="shared" si="26"/>
        <v>4.4407466521773582</v>
      </c>
    </row>
    <row r="12" spans="1:37" s="50" customFormat="1" ht="19.5" customHeight="1" x14ac:dyDescent="0.25">
      <c r="A12" s="43" t="s">
        <v>30</v>
      </c>
      <c r="B12" s="8">
        <f t="shared" si="22"/>
        <v>3084</v>
      </c>
      <c r="C12" s="4">
        <f t="shared" si="23"/>
        <v>1566</v>
      </c>
      <c r="D12" s="31">
        <f t="shared" si="24"/>
        <v>1518</v>
      </c>
      <c r="E12" s="12">
        <v>134</v>
      </c>
      <c r="F12" s="4">
        <v>140</v>
      </c>
      <c r="G12" s="4">
        <v>138</v>
      </c>
      <c r="H12" s="4">
        <v>129</v>
      </c>
      <c r="I12" s="4">
        <v>158</v>
      </c>
      <c r="J12" s="31">
        <v>148</v>
      </c>
      <c r="K12" s="32">
        <v>125</v>
      </c>
      <c r="L12" s="4">
        <v>135</v>
      </c>
      <c r="M12" s="4">
        <v>133</v>
      </c>
      <c r="N12" s="4">
        <v>119</v>
      </c>
      <c r="O12" s="4">
        <v>106</v>
      </c>
      <c r="P12" s="4">
        <v>112</v>
      </c>
      <c r="Q12" s="4">
        <v>106</v>
      </c>
      <c r="R12" s="4">
        <v>89</v>
      </c>
      <c r="S12" s="4">
        <v>94</v>
      </c>
      <c r="T12" s="4">
        <v>111</v>
      </c>
      <c r="U12" s="4">
        <v>109</v>
      </c>
      <c r="V12" s="4">
        <v>83</v>
      </c>
      <c r="W12" s="4">
        <v>101</v>
      </c>
      <c r="X12" s="31">
        <v>104</v>
      </c>
      <c r="Y12" s="32">
        <v>118</v>
      </c>
      <c r="Z12" s="4">
        <v>99</v>
      </c>
      <c r="AA12" s="4">
        <v>92</v>
      </c>
      <c r="AB12" s="4">
        <v>105</v>
      </c>
      <c r="AC12" s="4">
        <v>99</v>
      </c>
      <c r="AD12" s="31">
        <v>95</v>
      </c>
      <c r="AE12" s="4">
        <v>22</v>
      </c>
      <c r="AF12" s="4">
        <v>21</v>
      </c>
      <c r="AG12" s="4">
        <v>27</v>
      </c>
      <c r="AH12" s="31">
        <v>28</v>
      </c>
      <c r="AI12" s="34">
        <v>4</v>
      </c>
      <c r="AJ12" s="35">
        <v>0</v>
      </c>
      <c r="AK12" s="5">
        <f t="shared" si="26"/>
        <v>3.491017760722654</v>
      </c>
    </row>
    <row r="13" spans="1:37" s="50" customFormat="1" ht="19.5" customHeight="1" x14ac:dyDescent="0.25">
      <c r="A13" s="43" t="s">
        <v>31</v>
      </c>
      <c r="B13" s="8">
        <f t="shared" si="22"/>
        <v>4643</v>
      </c>
      <c r="C13" s="4">
        <f t="shared" si="23"/>
        <v>2395</v>
      </c>
      <c r="D13" s="31">
        <f t="shared" si="24"/>
        <v>2248</v>
      </c>
      <c r="E13" s="13">
        <v>199</v>
      </c>
      <c r="F13" s="4">
        <v>190</v>
      </c>
      <c r="G13" s="4">
        <v>196</v>
      </c>
      <c r="H13" s="4">
        <v>184</v>
      </c>
      <c r="I13" s="4">
        <v>195</v>
      </c>
      <c r="J13" s="31">
        <v>204</v>
      </c>
      <c r="K13" s="32">
        <v>174</v>
      </c>
      <c r="L13" s="4">
        <v>189</v>
      </c>
      <c r="M13" s="4">
        <v>192</v>
      </c>
      <c r="N13" s="4">
        <v>151</v>
      </c>
      <c r="O13" s="4">
        <v>160</v>
      </c>
      <c r="P13" s="4">
        <v>157</v>
      </c>
      <c r="Q13" s="4">
        <v>151</v>
      </c>
      <c r="R13" s="4">
        <v>163</v>
      </c>
      <c r="S13" s="4">
        <v>166</v>
      </c>
      <c r="T13" s="4">
        <v>109</v>
      </c>
      <c r="U13" s="4">
        <v>173</v>
      </c>
      <c r="V13" s="4">
        <v>152</v>
      </c>
      <c r="W13" s="4">
        <v>182</v>
      </c>
      <c r="X13" s="31">
        <v>154</v>
      </c>
      <c r="Y13" s="32">
        <v>219</v>
      </c>
      <c r="Z13" s="4">
        <v>165</v>
      </c>
      <c r="AA13" s="4">
        <v>173</v>
      </c>
      <c r="AB13" s="4">
        <v>192</v>
      </c>
      <c r="AC13" s="4">
        <v>152</v>
      </c>
      <c r="AD13" s="31">
        <v>151</v>
      </c>
      <c r="AE13" s="4">
        <v>27</v>
      </c>
      <c r="AF13" s="4">
        <v>35</v>
      </c>
      <c r="AG13" s="4">
        <v>31</v>
      </c>
      <c r="AH13" s="31">
        <v>51</v>
      </c>
      <c r="AI13" s="34">
        <v>5</v>
      </c>
      <c r="AJ13" s="35">
        <v>1</v>
      </c>
      <c r="AK13" s="5">
        <f t="shared" si="26"/>
        <v>5.2557702539024911</v>
      </c>
    </row>
    <row r="14" spans="1:37" s="50" customFormat="1" ht="19.5" customHeight="1" x14ac:dyDescent="0.25">
      <c r="A14" s="43" t="s">
        <v>32</v>
      </c>
      <c r="B14" s="8">
        <f t="shared" si="22"/>
        <v>2684</v>
      </c>
      <c r="C14" s="4">
        <f t="shared" si="23"/>
        <v>1426</v>
      </c>
      <c r="D14" s="31">
        <f t="shared" si="24"/>
        <v>1258</v>
      </c>
      <c r="E14" s="14">
        <v>112</v>
      </c>
      <c r="F14" s="4">
        <v>101</v>
      </c>
      <c r="G14" s="4">
        <v>115</v>
      </c>
      <c r="H14" s="4">
        <v>102</v>
      </c>
      <c r="I14" s="4">
        <v>117</v>
      </c>
      <c r="J14" s="31">
        <v>122</v>
      </c>
      <c r="K14" s="32">
        <v>114</v>
      </c>
      <c r="L14" s="4">
        <v>85</v>
      </c>
      <c r="M14" s="4">
        <v>95</v>
      </c>
      <c r="N14" s="4">
        <v>100</v>
      </c>
      <c r="O14" s="4">
        <v>102</v>
      </c>
      <c r="P14" s="4">
        <v>73</v>
      </c>
      <c r="Q14" s="4">
        <v>88</v>
      </c>
      <c r="R14" s="4">
        <v>77</v>
      </c>
      <c r="S14" s="4">
        <v>100</v>
      </c>
      <c r="T14" s="4">
        <v>98</v>
      </c>
      <c r="U14" s="4">
        <v>92</v>
      </c>
      <c r="V14" s="4">
        <v>77</v>
      </c>
      <c r="W14" s="4">
        <v>93</v>
      </c>
      <c r="X14" s="31">
        <v>80</v>
      </c>
      <c r="Y14" s="32">
        <v>106</v>
      </c>
      <c r="Z14" s="4">
        <v>91</v>
      </c>
      <c r="AA14" s="4">
        <v>125</v>
      </c>
      <c r="AB14" s="4">
        <v>79</v>
      </c>
      <c r="AC14" s="4">
        <v>100</v>
      </c>
      <c r="AD14" s="31">
        <v>85</v>
      </c>
      <c r="AE14" s="4">
        <v>35</v>
      </c>
      <c r="AF14" s="4">
        <v>49</v>
      </c>
      <c r="AG14" s="4">
        <v>26</v>
      </c>
      <c r="AH14" s="31">
        <v>37</v>
      </c>
      <c r="AI14" s="34">
        <v>6</v>
      </c>
      <c r="AJ14" s="35">
        <v>2</v>
      </c>
      <c r="AK14" s="5">
        <f t="shared" si="26"/>
        <v>3.0382268708753579</v>
      </c>
    </row>
    <row r="15" spans="1:37" s="50" customFormat="1" ht="19.5" customHeight="1" x14ac:dyDescent="0.25">
      <c r="A15" s="43" t="s">
        <v>33</v>
      </c>
      <c r="B15" s="8">
        <f t="shared" si="22"/>
        <v>2221</v>
      </c>
      <c r="C15" s="4">
        <f t="shared" si="23"/>
        <v>1077</v>
      </c>
      <c r="D15" s="31">
        <f t="shared" si="24"/>
        <v>1144</v>
      </c>
      <c r="E15" s="15">
        <v>104</v>
      </c>
      <c r="F15" s="4">
        <v>99</v>
      </c>
      <c r="G15" s="4">
        <v>87</v>
      </c>
      <c r="H15" s="4">
        <v>92</v>
      </c>
      <c r="I15" s="4">
        <v>96</v>
      </c>
      <c r="J15" s="31">
        <v>107</v>
      </c>
      <c r="K15" s="32">
        <v>84</v>
      </c>
      <c r="L15" s="4">
        <v>90</v>
      </c>
      <c r="M15" s="4">
        <v>73</v>
      </c>
      <c r="N15" s="4">
        <v>85</v>
      </c>
      <c r="O15" s="4">
        <v>77</v>
      </c>
      <c r="P15" s="4">
        <v>65</v>
      </c>
      <c r="Q15" s="4">
        <v>73</v>
      </c>
      <c r="R15" s="4">
        <v>91</v>
      </c>
      <c r="S15" s="4">
        <v>70</v>
      </c>
      <c r="T15" s="4">
        <v>81</v>
      </c>
      <c r="U15" s="4">
        <v>84</v>
      </c>
      <c r="V15" s="4">
        <v>57</v>
      </c>
      <c r="W15" s="4">
        <v>63</v>
      </c>
      <c r="X15" s="31">
        <v>70</v>
      </c>
      <c r="Y15" s="32">
        <v>77</v>
      </c>
      <c r="Z15" s="4">
        <v>65</v>
      </c>
      <c r="AA15" s="4">
        <v>84</v>
      </c>
      <c r="AB15" s="4">
        <v>88</v>
      </c>
      <c r="AC15" s="4">
        <v>75</v>
      </c>
      <c r="AD15" s="31">
        <v>94</v>
      </c>
      <c r="AE15" s="4">
        <v>13</v>
      </c>
      <c r="AF15" s="4">
        <v>27</v>
      </c>
      <c r="AG15" s="4">
        <v>14</v>
      </c>
      <c r="AH15" s="31">
        <v>21</v>
      </c>
      <c r="AI15" s="34">
        <v>3</v>
      </c>
      <c r="AJ15" s="35">
        <v>12</v>
      </c>
      <c r="AK15" s="5">
        <f t="shared" si="26"/>
        <v>2.5141214158771126</v>
      </c>
    </row>
    <row r="16" spans="1:37" s="50" customFormat="1" ht="19.5" customHeight="1" x14ac:dyDescent="0.25">
      <c r="A16" s="43" t="s">
        <v>34</v>
      </c>
      <c r="B16" s="8">
        <f t="shared" si="22"/>
        <v>2840</v>
      </c>
      <c r="C16" s="4">
        <f t="shared" si="23"/>
        <v>1494</v>
      </c>
      <c r="D16" s="31">
        <f t="shared" si="24"/>
        <v>1346</v>
      </c>
      <c r="E16" s="16">
        <v>173</v>
      </c>
      <c r="F16" s="4">
        <v>137</v>
      </c>
      <c r="G16" s="4">
        <v>133</v>
      </c>
      <c r="H16" s="4">
        <v>127</v>
      </c>
      <c r="I16" s="4">
        <v>140</v>
      </c>
      <c r="J16" s="31">
        <v>100</v>
      </c>
      <c r="K16" s="32">
        <v>141</v>
      </c>
      <c r="L16" s="4">
        <v>125</v>
      </c>
      <c r="M16" s="4">
        <v>119</v>
      </c>
      <c r="N16" s="4">
        <v>97</v>
      </c>
      <c r="O16" s="4">
        <v>123</v>
      </c>
      <c r="P16" s="4">
        <v>106</v>
      </c>
      <c r="Q16" s="4">
        <v>91</v>
      </c>
      <c r="R16" s="4">
        <v>91</v>
      </c>
      <c r="S16" s="4">
        <v>102</v>
      </c>
      <c r="T16" s="4">
        <v>95</v>
      </c>
      <c r="U16" s="4">
        <v>96</v>
      </c>
      <c r="V16" s="4">
        <v>75</v>
      </c>
      <c r="W16" s="4">
        <v>84</v>
      </c>
      <c r="X16" s="31">
        <v>92</v>
      </c>
      <c r="Y16" s="32">
        <v>108</v>
      </c>
      <c r="Z16" s="4">
        <v>85</v>
      </c>
      <c r="AA16" s="4">
        <v>88</v>
      </c>
      <c r="AB16" s="4">
        <v>93</v>
      </c>
      <c r="AC16" s="4">
        <v>90</v>
      </c>
      <c r="AD16" s="31">
        <v>103</v>
      </c>
      <c r="AE16" s="4">
        <v>2</v>
      </c>
      <c r="AF16" s="4">
        <v>9</v>
      </c>
      <c r="AG16" s="4">
        <v>4</v>
      </c>
      <c r="AH16" s="31">
        <v>11</v>
      </c>
      <c r="AI16" s="34">
        <v>0</v>
      </c>
      <c r="AJ16" s="35">
        <v>0</v>
      </c>
      <c r="AK16" s="5">
        <f t="shared" si="26"/>
        <v>3.2148153179158037</v>
      </c>
    </row>
    <row r="17" spans="1:37" s="50" customFormat="1" ht="19.5" customHeight="1" x14ac:dyDescent="0.25">
      <c r="A17" s="43" t="s">
        <v>35</v>
      </c>
      <c r="B17" s="8">
        <f t="shared" si="22"/>
        <v>1772</v>
      </c>
      <c r="C17" s="4">
        <f t="shared" si="23"/>
        <v>926</v>
      </c>
      <c r="D17" s="31">
        <f t="shared" si="24"/>
        <v>846</v>
      </c>
      <c r="E17" s="17">
        <v>86</v>
      </c>
      <c r="F17" s="4">
        <v>81</v>
      </c>
      <c r="G17" s="4">
        <v>82</v>
      </c>
      <c r="H17" s="4">
        <v>77</v>
      </c>
      <c r="I17" s="4">
        <v>109</v>
      </c>
      <c r="J17" s="31">
        <v>89</v>
      </c>
      <c r="K17" s="32">
        <v>91</v>
      </c>
      <c r="L17" s="4">
        <v>73</v>
      </c>
      <c r="M17" s="4">
        <v>88</v>
      </c>
      <c r="N17" s="4">
        <v>73</v>
      </c>
      <c r="O17" s="4">
        <v>58</v>
      </c>
      <c r="P17" s="4">
        <v>68</v>
      </c>
      <c r="Q17" s="4">
        <v>75</v>
      </c>
      <c r="R17" s="4">
        <v>54</v>
      </c>
      <c r="S17" s="4">
        <v>56</v>
      </c>
      <c r="T17" s="4">
        <v>54</v>
      </c>
      <c r="U17" s="4">
        <v>48</v>
      </c>
      <c r="V17" s="4">
        <v>51</v>
      </c>
      <c r="W17" s="4">
        <v>63</v>
      </c>
      <c r="X17" s="31">
        <v>51</v>
      </c>
      <c r="Y17" s="32">
        <v>49</v>
      </c>
      <c r="Z17" s="4">
        <v>57</v>
      </c>
      <c r="AA17" s="4">
        <v>50</v>
      </c>
      <c r="AB17" s="4">
        <v>52</v>
      </c>
      <c r="AC17" s="4">
        <v>49</v>
      </c>
      <c r="AD17" s="31">
        <v>52</v>
      </c>
      <c r="AE17" s="4">
        <v>13</v>
      </c>
      <c r="AF17" s="4">
        <v>7</v>
      </c>
      <c r="AG17" s="4">
        <v>9</v>
      </c>
      <c r="AH17" s="31">
        <v>7</v>
      </c>
      <c r="AI17" s="44">
        <v>0</v>
      </c>
      <c r="AJ17" s="45">
        <v>0</v>
      </c>
      <c r="AK17" s="5">
        <f t="shared" si="26"/>
        <v>2.0058636420235225</v>
      </c>
    </row>
    <row r="18" spans="1:37" s="50" customFormat="1" ht="19.5" customHeight="1" x14ac:dyDescent="0.25">
      <c r="A18" s="43" t="s">
        <v>36</v>
      </c>
      <c r="B18" s="8">
        <f t="shared" si="22"/>
        <v>2138</v>
      </c>
      <c r="C18" s="4">
        <f t="shared" si="23"/>
        <v>1112</v>
      </c>
      <c r="D18" s="31">
        <f t="shared" si="24"/>
        <v>1026</v>
      </c>
      <c r="E18" s="18">
        <v>124</v>
      </c>
      <c r="F18" s="4">
        <v>104</v>
      </c>
      <c r="G18" s="4">
        <v>129</v>
      </c>
      <c r="H18" s="4">
        <v>110</v>
      </c>
      <c r="I18" s="4">
        <v>101</v>
      </c>
      <c r="J18" s="31">
        <v>104</v>
      </c>
      <c r="K18" s="32">
        <v>113</v>
      </c>
      <c r="L18" s="4">
        <v>96</v>
      </c>
      <c r="M18" s="4">
        <v>96</v>
      </c>
      <c r="N18" s="4">
        <v>91</v>
      </c>
      <c r="O18" s="4">
        <v>72</v>
      </c>
      <c r="P18" s="4">
        <v>70</v>
      </c>
      <c r="Q18" s="4">
        <v>72</v>
      </c>
      <c r="R18" s="4">
        <v>83</v>
      </c>
      <c r="S18" s="4">
        <v>84</v>
      </c>
      <c r="T18" s="4">
        <v>65</v>
      </c>
      <c r="U18" s="4">
        <v>48</v>
      </c>
      <c r="V18" s="4">
        <v>47</v>
      </c>
      <c r="W18" s="4">
        <v>60</v>
      </c>
      <c r="X18" s="31">
        <v>54</v>
      </c>
      <c r="Y18" s="32">
        <v>74</v>
      </c>
      <c r="Z18" s="4">
        <v>68</v>
      </c>
      <c r="AA18" s="4">
        <v>66</v>
      </c>
      <c r="AB18" s="4">
        <v>59</v>
      </c>
      <c r="AC18" s="4">
        <v>72</v>
      </c>
      <c r="AD18" s="31">
        <v>72</v>
      </c>
      <c r="AE18" s="4">
        <v>0</v>
      </c>
      <c r="AF18" s="4">
        <v>0</v>
      </c>
      <c r="AG18" s="4">
        <v>1</v>
      </c>
      <c r="AH18" s="31">
        <v>3</v>
      </c>
      <c r="AI18" s="46">
        <v>0</v>
      </c>
      <c r="AJ18" s="45">
        <v>0</v>
      </c>
      <c r="AK18" s="5">
        <f t="shared" si="26"/>
        <v>2.4201673062337985</v>
      </c>
    </row>
    <row r="19" spans="1:37" s="50" customFormat="1" ht="19.5" customHeight="1" x14ac:dyDescent="0.25">
      <c r="A19" s="43" t="s">
        <v>37</v>
      </c>
      <c r="B19" s="8">
        <f t="shared" si="22"/>
        <v>348</v>
      </c>
      <c r="C19" s="4">
        <f t="shared" si="23"/>
        <v>184</v>
      </c>
      <c r="D19" s="31">
        <f t="shared" si="24"/>
        <v>164</v>
      </c>
      <c r="E19" s="19">
        <v>15</v>
      </c>
      <c r="F19" s="4">
        <v>17</v>
      </c>
      <c r="G19" s="4">
        <v>16</v>
      </c>
      <c r="H19" s="4">
        <v>15</v>
      </c>
      <c r="I19" s="4">
        <v>11</v>
      </c>
      <c r="J19" s="31">
        <v>11</v>
      </c>
      <c r="K19" s="32">
        <v>22</v>
      </c>
      <c r="L19" s="4">
        <v>19</v>
      </c>
      <c r="M19" s="4">
        <v>13</v>
      </c>
      <c r="N19" s="4">
        <v>15</v>
      </c>
      <c r="O19" s="4">
        <v>14</v>
      </c>
      <c r="P19" s="4">
        <v>13</v>
      </c>
      <c r="Q19" s="4">
        <v>11</v>
      </c>
      <c r="R19" s="4">
        <v>11</v>
      </c>
      <c r="S19" s="4">
        <v>18</v>
      </c>
      <c r="T19" s="4">
        <v>7</v>
      </c>
      <c r="U19" s="4">
        <v>16</v>
      </c>
      <c r="V19" s="4">
        <v>15</v>
      </c>
      <c r="W19" s="4">
        <v>12</v>
      </c>
      <c r="X19" s="31">
        <v>7</v>
      </c>
      <c r="Y19" s="32">
        <v>11</v>
      </c>
      <c r="Z19" s="4">
        <v>7</v>
      </c>
      <c r="AA19" s="4">
        <v>10</v>
      </c>
      <c r="AB19" s="4">
        <v>17</v>
      </c>
      <c r="AC19" s="4">
        <v>15</v>
      </c>
      <c r="AD19" s="31">
        <v>10</v>
      </c>
      <c r="AE19" s="4">
        <v>0</v>
      </c>
      <c r="AF19" s="4">
        <v>0</v>
      </c>
      <c r="AG19" s="4">
        <v>0</v>
      </c>
      <c r="AH19" s="31">
        <v>0</v>
      </c>
      <c r="AI19" s="34">
        <v>0</v>
      </c>
      <c r="AJ19" s="35">
        <v>0</v>
      </c>
      <c r="AK19" s="5">
        <f t="shared" si="26"/>
        <v>0.39392807416714776</v>
      </c>
    </row>
    <row r="20" spans="1:37" s="50" customFormat="1" ht="19.5" customHeight="1" x14ac:dyDescent="0.25">
      <c r="A20" s="43" t="s">
        <v>38</v>
      </c>
      <c r="B20" s="8">
        <f t="shared" si="22"/>
        <v>1251</v>
      </c>
      <c r="C20" s="4">
        <f t="shared" si="23"/>
        <v>650</v>
      </c>
      <c r="D20" s="31">
        <f t="shared" si="24"/>
        <v>601</v>
      </c>
      <c r="E20" s="20">
        <v>51</v>
      </c>
      <c r="F20" s="4">
        <v>47</v>
      </c>
      <c r="G20" s="4">
        <v>58</v>
      </c>
      <c r="H20" s="4">
        <v>58</v>
      </c>
      <c r="I20" s="4">
        <v>66</v>
      </c>
      <c r="J20" s="31">
        <v>54</v>
      </c>
      <c r="K20" s="32">
        <v>72</v>
      </c>
      <c r="L20" s="4">
        <v>49</v>
      </c>
      <c r="M20" s="4">
        <v>48</v>
      </c>
      <c r="N20" s="4">
        <v>56</v>
      </c>
      <c r="O20" s="4">
        <v>45</v>
      </c>
      <c r="P20" s="4">
        <v>51</v>
      </c>
      <c r="Q20" s="4">
        <v>39</v>
      </c>
      <c r="R20" s="4">
        <v>45</v>
      </c>
      <c r="S20" s="4">
        <v>34</v>
      </c>
      <c r="T20" s="4">
        <v>33</v>
      </c>
      <c r="U20" s="4">
        <v>39</v>
      </c>
      <c r="V20" s="4">
        <v>26</v>
      </c>
      <c r="W20" s="4">
        <v>44</v>
      </c>
      <c r="X20" s="31">
        <v>23</v>
      </c>
      <c r="Y20" s="32">
        <v>42</v>
      </c>
      <c r="Z20" s="4">
        <v>40</v>
      </c>
      <c r="AA20" s="4">
        <v>48</v>
      </c>
      <c r="AB20" s="4">
        <v>37</v>
      </c>
      <c r="AC20" s="4">
        <v>41</v>
      </c>
      <c r="AD20" s="31">
        <v>50</v>
      </c>
      <c r="AE20" s="4">
        <v>12</v>
      </c>
      <c r="AF20" s="4">
        <v>16</v>
      </c>
      <c r="AG20" s="4">
        <v>11</v>
      </c>
      <c r="AH20" s="31">
        <v>15</v>
      </c>
      <c r="AI20" s="34">
        <v>0</v>
      </c>
      <c r="AJ20" s="35">
        <v>1</v>
      </c>
      <c r="AK20" s="5">
        <f t="shared" si="26"/>
        <v>1.4161035079974191</v>
      </c>
    </row>
    <row r="21" spans="1:37" s="50" customFormat="1" ht="19.5" customHeight="1" x14ac:dyDescent="0.25">
      <c r="A21" s="43" t="s">
        <v>39</v>
      </c>
      <c r="B21" s="8">
        <f t="shared" si="22"/>
        <v>1375</v>
      </c>
      <c r="C21" s="4">
        <f t="shared" si="23"/>
        <v>698</v>
      </c>
      <c r="D21" s="31">
        <f t="shared" si="24"/>
        <v>677</v>
      </c>
      <c r="E21" s="21">
        <v>49</v>
      </c>
      <c r="F21" s="4">
        <v>35</v>
      </c>
      <c r="G21" s="4">
        <v>52</v>
      </c>
      <c r="H21" s="4">
        <v>64</v>
      </c>
      <c r="I21" s="4">
        <v>56</v>
      </c>
      <c r="J21" s="31">
        <v>40</v>
      </c>
      <c r="K21" s="32">
        <v>55</v>
      </c>
      <c r="L21" s="4">
        <v>55</v>
      </c>
      <c r="M21" s="4">
        <v>50</v>
      </c>
      <c r="N21" s="4">
        <v>52</v>
      </c>
      <c r="O21" s="4">
        <v>61</v>
      </c>
      <c r="P21" s="4">
        <v>48</v>
      </c>
      <c r="Q21" s="4">
        <v>45</v>
      </c>
      <c r="R21" s="4">
        <v>51</v>
      </c>
      <c r="S21" s="4">
        <v>39</v>
      </c>
      <c r="T21" s="4">
        <v>40</v>
      </c>
      <c r="U21" s="4">
        <v>42</v>
      </c>
      <c r="V21" s="4">
        <v>45</v>
      </c>
      <c r="W21" s="4">
        <v>47</v>
      </c>
      <c r="X21" s="31">
        <v>47</v>
      </c>
      <c r="Y21" s="32">
        <v>65</v>
      </c>
      <c r="Z21" s="4">
        <v>53</v>
      </c>
      <c r="AA21" s="4">
        <v>65</v>
      </c>
      <c r="AB21" s="4">
        <v>68</v>
      </c>
      <c r="AC21" s="4">
        <v>30</v>
      </c>
      <c r="AD21" s="31">
        <v>43</v>
      </c>
      <c r="AE21" s="4">
        <v>24</v>
      </c>
      <c r="AF21" s="4">
        <v>18</v>
      </c>
      <c r="AG21" s="4">
        <v>18</v>
      </c>
      <c r="AH21" s="31">
        <v>18</v>
      </c>
      <c r="AI21" s="46">
        <v>0</v>
      </c>
      <c r="AJ21" s="45">
        <v>0</v>
      </c>
      <c r="AK21" s="5">
        <f t="shared" si="26"/>
        <v>1.556468683850081</v>
      </c>
    </row>
    <row r="22" spans="1:37" s="50" customFormat="1" ht="19.5" customHeight="1" x14ac:dyDescent="0.25">
      <c r="A22" s="43" t="s">
        <v>40</v>
      </c>
      <c r="B22" s="8">
        <f t="shared" si="22"/>
        <v>1661</v>
      </c>
      <c r="C22" s="4">
        <f t="shared" si="23"/>
        <v>857</v>
      </c>
      <c r="D22" s="31">
        <f t="shared" si="24"/>
        <v>804</v>
      </c>
      <c r="E22" s="22">
        <v>67</v>
      </c>
      <c r="F22" s="4">
        <v>77</v>
      </c>
      <c r="G22" s="4">
        <v>87</v>
      </c>
      <c r="H22" s="4">
        <v>77</v>
      </c>
      <c r="I22" s="4">
        <v>82</v>
      </c>
      <c r="J22" s="31">
        <v>67</v>
      </c>
      <c r="K22" s="32">
        <v>71</v>
      </c>
      <c r="L22" s="4">
        <v>69</v>
      </c>
      <c r="M22" s="4">
        <v>62</v>
      </c>
      <c r="N22" s="4">
        <v>61</v>
      </c>
      <c r="O22" s="4">
        <v>59</v>
      </c>
      <c r="P22" s="4">
        <v>66</v>
      </c>
      <c r="Q22" s="4">
        <v>58</v>
      </c>
      <c r="R22" s="4">
        <v>62</v>
      </c>
      <c r="S22" s="4">
        <v>45</v>
      </c>
      <c r="T22" s="4">
        <v>40</v>
      </c>
      <c r="U22" s="4">
        <v>57</v>
      </c>
      <c r="V22" s="4">
        <v>37</v>
      </c>
      <c r="W22" s="4">
        <v>62</v>
      </c>
      <c r="X22" s="31">
        <v>59</v>
      </c>
      <c r="Y22" s="32">
        <v>91</v>
      </c>
      <c r="Z22" s="4">
        <v>61</v>
      </c>
      <c r="AA22" s="4">
        <v>46</v>
      </c>
      <c r="AB22" s="4">
        <v>45</v>
      </c>
      <c r="AC22" s="4">
        <v>47</v>
      </c>
      <c r="AD22" s="31">
        <v>48</v>
      </c>
      <c r="AE22" s="4">
        <v>11</v>
      </c>
      <c r="AF22" s="4">
        <v>16</v>
      </c>
      <c r="AG22" s="4">
        <v>12</v>
      </c>
      <c r="AH22" s="31">
        <v>19</v>
      </c>
      <c r="AI22" s="46">
        <v>0</v>
      </c>
      <c r="AJ22" s="45">
        <v>0</v>
      </c>
      <c r="AK22" s="5">
        <f t="shared" si="26"/>
        <v>1.8802141700908979</v>
      </c>
    </row>
    <row r="23" spans="1:37" s="50" customFormat="1" ht="19.5" customHeight="1" x14ac:dyDescent="0.25">
      <c r="A23" s="43" t="s">
        <v>41</v>
      </c>
      <c r="B23" s="8">
        <f t="shared" si="22"/>
        <v>2659</v>
      </c>
      <c r="C23" s="4">
        <f t="shared" si="23"/>
        <v>1376</v>
      </c>
      <c r="D23" s="31">
        <f t="shared" si="24"/>
        <v>1283</v>
      </c>
      <c r="E23" s="23">
        <v>121</v>
      </c>
      <c r="F23" s="4">
        <v>128</v>
      </c>
      <c r="G23" s="4">
        <v>157</v>
      </c>
      <c r="H23" s="4">
        <v>134</v>
      </c>
      <c r="I23" s="4">
        <v>136</v>
      </c>
      <c r="J23" s="31">
        <v>123</v>
      </c>
      <c r="K23" s="32">
        <v>102</v>
      </c>
      <c r="L23" s="4">
        <v>103</v>
      </c>
      <c r="M23" s="4">
        <v>130</v>
      </c>
      <c r="N23" s="4">
        <v>116</v>
      </c>
      <c r="O23" s="4">
        <v>91</v>
      </c>
      <c r="P23" s="4">
        <v>98</v>
      </c>
      <c r="Q23" s="4">
        <v>73</v>
      </c>
      <c r="R23" s="4">
        <v>85</v>
      </c>
      <c r="S23" s="4">
        <v>82</v>
      </c>
      <c r="T23" s="4">
        <v>63</v>
      </c>
      <c r="U23" s="4">
        <v>98</v>
      </c>
      <c r="V23" s="4">
        <v>67</v>
      </c>
      <c r="W23" s="4">
        <v>80</v>
      </c>
      <c r="X23" s="31">
        <v>66</v>
      </c>
      <c r="Y23" s="32">
        <v>118</v>
      </c>
      <c r="Z23" s="4">
        <v>104</v>
      </c>
      <c r="AA23" s="4">
        <v>81</v>
      </c>
      <c r="AB23" s="4">
        <v>87</v>
      </c>
      <c r="AC23" s="4">
        <v>86</v>
      </c>
      <c r="AD23" s="31">
        <v>80</v>
      </c>
      <c r="AE23" s="4">
        <v>12</v>
      </c>
      <c r="AF23" s="4">
        <v>11</v>
      </c>
      <c r="AG23" s="4">
        <v>9</v>
      </c>
      <c r="AH23" s="31">
        <v>17</v>
      </c>
      <c r="AI23" s="34">
        <v>0</v>
      </c>
      <c r="AJ23" s="35">
        <v>1</v>
      </c>
      <c r="AK23" s="5">
        <f t="shared" si="26"/>
        <v>3.0099274402599017</v>
      </c>
    </row>
    <row r="24" spans="1:37" s="50" customFormat="1" ht="19.5" customHeight="1" x14ac:dyDescent="0.25">
      <c r="A24" s="43" t="s">
        <v>42</v>
      </c>
      <c r="B24" s="8">
        <f t="shared" si="22"/>
        <v>3756</v>
      </c>
      <c r="C24" s="4">
        <f t="shared" si="23"/>
        <v>1934</v>
      </c>
      <c r="D24" s="31">
        <f t="shared" si="24"/>
        <v>1822</v>
      </c>
      <c r="E24" s="24">
        <v>156</v>
      </c>
      <c r="F24" s="4">
        <v>155</v>
      </c>
      <c r="G24" s="4">
        <v>171</v>
      </c>
      <c r="H24" s="4">
        <v>152</v>
      </c>
      <c r="I24" s="4">
        <v>182</v>
      </c>
      <c r="J24" s="31">
        <v>150</v>
      </c>
      <c r="K24" s="32">
        <v>160</v>
      </c>
      <c r="L24" s="4">
        <v>145</v>
      </c>
      <c r="M24" s="4">
        <v>175</v>
      </c>
      <c r="N24" s="4">
        <v>157</v>
      </c>
      <c r="O24" s="4">
        <v>136</v>
      </c>
      <c r="P24" s="4">
        <v>133</v>
      </c>
      <c r="Q24" s="4">
        <v>128</v>
      </c>
      <c r="R24" s="4">
        <v>125</v>
      </c>
      <c r="S24" s="4">
        <v>108</v>
      </c>
      <c r="T24" s="4">
        <v>86</v>
      </c>
      <c r="U24" s="4">
        <v>125</v>
      </c>
      <c r="V24" s="4">
        <v>119</v>
      </c>
      <c r="W24" s="4">
        <v>158</v>
      </c>
      <c r="X24" s="31">
        <v>133</v>
      </c>
      <c r="Y24" s="32">
        <v>165</v>
      </c>
      <c r="Z24" s="4">
        <v>160</v>
      </c>
      <c r="AA24" s="4">
        <v>136</v>
      </c>
      <c r="AB24" s="4">
        <v>135</v>
      </c>
      <c r="AC24" s="4">
        <v>106</v>
      </c>
      <c r="AD24" s="31">
        <v>123</v>
      </c>
      <c r="AE24" s="4">
        <v>14</v>
      </c>
      <c r="AF24" s="4">
        <v>24</v>
      </c>
      <c r="AG24" s="4">
        <v>14</v>
      </c>
      <c r="AH24" s="31">
        <v>24</v>
      </c>
      <c r="AI24" s="34">
        <v>0</v>
      </c>
      <c r="AJ24" s="35">
        <v>1</v>
      </c>
      <c r="AK24" s="5">
        <f t="shared" si="26"/>
        <v>4.2517064556661124</v>
      </c>
    </row>
    <row r="25" spans="1:37" s="50" customFormat="1" ht="19.5" customHeight="1" x14ac:dyDescent="0.25">
      <c r="A25" s="43" t="s">
        <v>43</v>
      </c>
      <c r="B25" s="8">
        <f t="shared" si="22"/>
        <v>2434</v>
      </c>
      <c r="C25" s="4">
        <f t="shared" si="23"/>
        <v>1248</v>
      </c>
      <c r="D25" s="31">
        <f t="shared" si="24"/>
        <v>1186</v>
      </c>
      <c r="E25" s="25">
        <v>94</v>
      </c>
      <c r="F25" s="4">
        <v>93</v>
      </c>
      <c r="G25" s="4">
        <v>97</v>
      </c>
      <c r="H25" s="4">
        <v>74</v>
      </c>
      <c r="I25" s="4">
        <v>93</v>
      </c>
      <c r="J25" s="31">
        <v>107</v>
      </c>
      <c r="K25" s="32">
        <v>86</v>
      </c>
      <c r="L25" s="4">
        <v>96</v>
      </c>
      <c r="M25" s="4">
        <v>97</v>
      </c>
      <c r="N25" s="4">
        <v>89</v>
      </c>
      <c r="O25" s="4">
        <v>84</v>
      </c>
      <c r="P25" s="4">
        <v>90</v>
      </c>
      <c r="Q25" s="4">
        <v>86</v>
      </c>
      <c r="R25" s="4">
        <v>84</v>
      </c>
      <c r="S25" s="4">
        <v>81</v>
      </c>
      <c r="T25" s="4">
        <v>75</v>
      </c>
      <c r="U25" s="4">
        <v>90</v>
      </c>
      <c r="V25" s="4">
        <v>91</v>
      </c>
      <c r="W25" s="4">
        <v>100</v>
      </c>
      <c r="X25" s="31">
        <v>74</v>
      </c>
      <c r="Y25" s="32">
        <v>83</v>
      </c>
      <c r="Z25" s="4">
        <v>108</v>
      </c>
      <c r="AA25" s="4">
        <v>120</v>
      </c>
      <c r="AB25" s="4">
        <v>83</v>
      </c>
      <c r="AC25" s="4">
        <v>110</v>
      </c>
      <c r="AD25" s="31">
        <v>94</v>
      </c>
      <c r="AE25" s="4">
        <v>8</v>
      </c>
      <c r="AF25" s="4">
        <v>9</v>
      </c>
      <c r="AG25" s="4">
        <v>12</v>
      </c>
      <c r="AH25" s="31">
        <v>15</v>
      </c>
      <c r="AI25" s="34">
        <v>7</v>
      </c>
      <c r="AJ25" s="35">
        <v>4</v>
      </c>
      <c r="AK25" s="5">
        <f t="shared" si="26"/>
        <v>2.7552325647207976</v>
      </c>
    </row>
    <row r="26" spans="1:37" s="50" customFormat="1" ht="19.5" customHeight="1" x14ac:dyDescent="0.25">
      <c r="A26" s="43" t="s">
        <v>44</v>
      </c>
      <c r="B26" s="8">
        <f t="shared" si="22"/>
        <v>3401</v>
      </c>
      <c r="C26" s="4">
        <f t="shared" si="23"/>
        <v>1762</v>
      </c>
      <c r="D26" s="31">
        <f t="shared" si="24"/>
        <v>1639</v>
      </c>
      <c r="E26" s="26">
        <v>176</v>
      </c>
      <c r="F26" s="4">
        <v>149</v>
      </c>
      <c r="G26" s="4">
        <v>145</v>
      </c>
      <c r="H26" s="4">
        <v>149</v>
      </c>
      <c r="I26" s="4">
        <v>152</v>
      </c>
      <c r="J26" s="31">
        <v>153</v>
      </c>
      <c r="K26" s="32">
        <v>149</v>
      </c>
      <c r="L26" s="4">
        <v>145</v>
      </c>
      <c r="M26" s="4">
        <v>137</v>
      </c>
      <c r="N26" s="4">
        <v>124</v>
      </c>
      <c r="O26" s="4">
        <v>134</v>
      </c>
      <c r="P26" s="4">
        <v>102</v>
      </c>
      <c r="Q26" s="4">
        <v>120</v>
      </c>
      <c r="R26" s="4">
        <v>126</v>
      </c>
      <c r="S26" s="4">
        <v>122</v>
      </c>
      <c r="T26" s="4">
        <v>111</v>
      </c>
      <c r="U26" s="4">
        <v>110</v>
      </c>
      <c r="V26" s="4">
        <v>124</v>
      </c>
      <c r="W26" s="4">
        <v>129</v>
      </c>
      <c r="X26" s="31">
        <v>105</v>
      </c>
      <c r="Y26" s="32">
        <v>142</v>
      </c>
      <c r="Z26" s="4">
        <v>102</v>
      </c>
      <c r="AA26" s="4">
        <v>119</v>
      </c>
      <c r="AB26" s="4">
        <v>103</v>
      </c>
      <c r="AC26" s="4">
        <v>102</v>
      </c>
      <c r="AD26" s="31">
        <v>121</v>
      </c>
      <c r="AE26" s="4">
        <v>3</v>
      </c>
      <c r="AF26" s="4">
        <v>4</v>
      </c>
      <c r="AG26" s="4">
        <v>6</v>
      </c>
      <c r="AH26" s="31">
        <v>15</v>
      </c>
      <c r="AI26" s="34">
        <v>16</v>
      </c>
      <c r="AJ26" s="35">
        <v>6</v>
      </c>
      <c r="AK26" s="5">
        <f t="shared" si="26"/>
        <v>3.8498545409266365</v>
      </c>
    </row>
    <row r="27" spans="1:37" s="50" customFormat="1" ht="19.5" customHeight="1" x14ac:dyDescent="0.25">
      <c r="A27" s="43" t="s">
        <v>45</v>
      </c>
      <c r="B27" s="8">
        <f t="shared" si="22"/>
        <v>2751</v>
      </c>
      <c r="C27" s="4">
        <f t="shared" si="23"/>
        <v>1392</v>
      </c>
      <c r="D27" s="31">
        <f t="shared" si="24"/>
        <v>1359</v>
      </c>
      <c r="E27" s="27">
        <v>121</v>
      </c>
      <c r="F27" s="4">
        <v>100</v>
      </c>
      <c r="G27" s="4">
        <v>167</v>
      </c>
      <c r="H27" s="4">
        <v>149</v>
      </c>
      <c r="I27" s="4">
        <v>148</v>
      </c>
      <c r="J27" s="31">
        <v>123</v>
      </c>
      <c r="K27" s="32">
        <v>119</v>
      </c>
      <c r="L27" s="4">
        <v>118</v>
      </c>
      <c r="M27" s="4">
        <v>90</v>
      </c>
      <c r="N27" s="4">
        <v>101</v>
      </c>
      <c r="O27" s="4">
        <v>76</v>
      </c>
      <c r="P27" s="4">
        <v>95</v>
      </c>
      <c r="Q27" s="4">
        <v>72</v>
      </c>
      <c r="R27" s="4">
        <v>76</v>
      </c>
      <c r="S27" s="4">
        <v>81</v>
      </c>
      <c r="T27" s="4">
        <v>82</v>
      </c>
      <c r="U27" s="4">
        <v>91</v>
      </c>
      <c r="V27" s="4">
        <v>75</v>
      </c>
      <c r="W27" s="4">
        <v>90</v>
      </c>
      <c r="X27" s="31">
        <v>108</v>
      </c>
      <c r="Y27" s="32">
        <v>88</v>
      </c>
      <c r="Z27" s="4">
        <v>96</v>
      </c>
      <c r="AA27" s="4">
        <v>113</v>
      </c>
      <c r="AB27" s="4">
        <v>79</v>
      </c>
      <c r="AC27" s="4">
        <v>104</v>
      </c>
      <c r="AD27" s="31">
        <v>105</v>
      </c>
      <c r="AE27" s="4">
        <v>23</v>
      </c>
      <c r="AF27" s="4">
        <v>23</v>
      </c>
      <c r="AG27" s="4">
        <v>9</v>
      </c>
      <c r="AH27" s="31">
        <v>29</v>
      </c>
      <c r="AI27" s="34">
        <v>0</v>
      </c>
      <c r="AJ27" s="35">
        <v>0</v>
      </c>
      <c r="AK27" s="5">
        <f t="shared" si="26"/>
        <v>3.11406934492478</v>
      </c>
    </row>
    <row r="28" spans="1:37" s="50" customFormat="1" ht="19.5" customHeight="1" x14ac:dyDescent="0.25">
      <c r="A28" s="47" t="s">
        <v>46</v>
      </c>
      <c r="B28" s="41">
        <f t="shared" si="22"/>
        <v>5471</v>
      </c>
      <c r="C28" s="38">
        <f t="shared" si="23"/>
        <v>2733</v>
      </c>
      <c r="D28" s="37">
        <f t="shared" si="24"/>
        <v>2738</v>
      </c>
      <c r="E28" s="38">
        <v>196</v>
      </c>
      <c r="F28" s="38">
        <v>193</v>
      </c>
      <c r="G28" s="38">
        <v>237</v>
      </c>
      <c r="H28" s="38">
        <v>220</v>
      </c>
      <c r="I28" s="38">
        <v>243</v>
      </c>
      <c r="J28" s="37">
        <v>246</v>
      </c>
      <c r="K28" s="39">
        <v>187</v>
      </c>
      <c r="L28" s="38">
        <v>212</v>
      </c>
      <c r="M28" s="38">
        <v>219</v>
      </c>
      <c r="N28" s="38">
        <v>184</v>
      </c>
      <c r="O28" s="38">
        <v>186</v>
      </c>
      <c r="P28" s="38">
        <v>167</v>
      </c>
      <c r="Q28" s="38">
        <v>169</v>
      </c>
      <c r="R28" s="38">
        <v>185</v>
      </c>
      <c r="S28" s="38">
        <v>189</v>
      </c>
      <c r="T28" s="38">
        <v>206</v>
      </c>
      <c r="U28" s="38">
        <v>174</v>
      </c>
      <c r="V28" s="38">
        <v>177</v>
      </c>
      <c r="W28" s="38">
        <v>181</v>
      </c>
      <c r="X28" s="37">
        <v>133</v>
      </c>
      <c r="Y28" s="39">
        <v>189</v>
      </c>
      <c r="Z28" s="38">
        <v>177</v>
      </c>
      <c r="AA28" s="38">
        <v>215</v>
      </c>
      <c r="AB28" s="38">
        <v>181</v>
      </c>
      <c r="AC28" s="38">
        <v>182</v>
      </c>
      <c r="AD28" s="37">
        <v>163</v>
      </c>
      <c r="AE28" s="38">
        <v>84</v>
      </c>
      <c r="AF28" s="38">
        <v>159</v>
      </c>
      <c r="AG28" s="38">
        <v>60</v>
      </c>
      <c r="AH28" s="37">
        <v>124</v>
      </c>
      <c r="AI28" s="48">
        <v>22</v>
      </c>
      <c r="AJ28" s="49">
        <v>11</v>
      </c>
      <c r="AK28" s="6">
        <f t="shared" si="26"/>
        <v>6.1930473958863947</v>
      </c>
    </row>
    <row r="29" spans="1:37" x14ac:dyDescent="0.25">
      <c r="A29" s="1" t="s">
        <v>7</v>
      </c>
      <c r="B29" s="1"/>
      <c r="C29" s="1"/>
      <c r="D29" s="1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" t="s">
        <v>8</v>
      </c>
    </row>
  </sheetData>
  <mergeCells count="21">
    <mergeCell ref="E4:F4"/>
    <mergeCell ref="G4:H4"/>
    <mergeCell ref="I4:J4"/>
    <mergeCell ref="K4:L4"/>
    <mergeCell ref="M4:N4"/>
    <mergeCell ref="B4:D4"/>
    <mergeCell ref="AK4:AK5"/>
    <mergeCell ref="AE4:AF4"/>
    <mergeCell ref="A1:AK1"/>
    <mergeCell ref="A2:AK2"/>
    <mergeCell ref="AA4:AB4"/>
    <mergeCell ref="AC4:AD4"/>
    <mergeCell ref="AG4:AH4"/>
    <mergeCell ref="AI4:AJ4"/>
    <mergeCell ref="O4:P4"/>
    <mergeCell ref="Q4:R4"/>
    <mergeCell ref="S4:T4"/>
    <mergeCell ref="U4:V4"/>
    <mergeCell ref="W4:X4"/>
    <mergeCell ref="Y4:Z4"/>
    <mergeCell ref="A4:A5"/>
  </mergeCells>
  <pageMargins left="0.7" right="0.7" top="0.75" bottom="0.75" header="0.3" footer="0.3"/>
  <pageSetup paperSize="9" scale="5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7.13</vt:lpstr>
      <vt:lpstr>'7.13'!Print_Area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2016-04-13T07:39:36Z</cp:lastPrinted>
  <dcterms:created xsi:type="dcterms:W3CDTF">2014-03-05T03:36:41Z</dcterms:created>
  <dcterms:modified xsi:type="dcterms:W3CDTF">2016-04-13T07:39:39Z</dcterms:modified>
</cp:coreProperties>
</file>