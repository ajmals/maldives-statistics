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2" sheetId="4" r:id="rId1"/>
  </sheets>
  <externalReferences>
    <externalReference r:id="rId2"/>
  </externalReferences>
  <definedNames>
    <definedName name="_xlnm.Print_Area" localSheetId="0">'7.2'!$A$1:$K$47</definedName>
  </definedNames>
  <calcPr calcId="144525"/>
</workbook>
</file>

<file path=xl/calcChain.xml><?xml version="1.0" encoding="utf-8"?>
<calcChain xmlns="http://schemas.openxmlformats.org/spreadsheetml/2006/main">
  <c r="B24" i="4" l="1"/>
  <c r="B23" i="4"/>
  <c r="B22" i="4"/>
  <c r="B21" i="4"/>
  <c r="B20" i="4"/>
  <c r="D19" i="4"/>
  <c r="C19" i="4"/>
  <c r="B18" i="4"/>
  <c r="B17" i="4"/>
  <c r="B16" i="4"/>
  <c r="B15" i="4"/>
  <c r="B14" i="4"/>
  <c r="D13" i="4"/>
  <c r="C13" i="4"/>
  <c r="D12" i="4"/>
  <c r="C12" i="4"/>
  <c r="D11" i="4"/>
  <c r="C11" i="4"/>
  <c r="D10" i="4"/>
  <c r="C10" i="4"/>
  <c r="D9" i="4"/>
  <c r="C9" i="4"/>
  <c r="D8" i="4"/>
  <c r="C8" i="4"/>
  <c r="D7" i="4" l="1"/>
  <c r="B19" i="4"/>
  <c r="B12" i="4"/>
  <c r="B11" i="4"/>
  <c r="B10" i="4"/>
  <c r="B13" i="4"/>
  <c r="F13" i="4" s="1"/>
  <c r="C7" i="4"/>
  <c r="B8" i="4"/>
  <c r="B9" i="4"/>
  <c r="I9" i="4" s="1"/>
  <c r="I24" i="4"/>
  <c r="I23" i="4"/>
  <c r="I22" i="4"/>
  <c r="I21" i="4"/>
  <c r="I20" i="4"/>
  <c r="H24" i="4"/>
  <c r="G24" i="4"/>
  <c r="F19" i="4"/>
  <c r="I18" i="4"/>
  <c r="I17" i="4"/>
  <c r="I16" i="4"/>
  <c r="I15" i="4"/>
  <c r="I14" i="4"/>
  <c r="G18" i="4"/>
  <c r="F11" i="4" l="1"/>
  <c r="B7" i="4"/>
  <c r="I7" i="4" s="1"/>
  <c r="F9" i="4"/>
  <c r="I8" i="4"/>
  <c r="H8" i="4"/>
  <c r="I10" i="4"/>
  <c r="I11" i="4"/>
  <c r="I12" i="4"/>
  <c r="H18" i="4"/>
  <c r="I13" i="4"/>
  <c r="F10" i="4"/>
  <c r="F12" i="4"/>
  <c r="I19" i="4"/>
  <c r="H7" i="4"/>
  <c r="H9" i="4"/>
  <c r="H10" i="4"/>
  <c r="H11" i="4"/>
  <c r="H12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F7" i="4" l="1"/>
  <c r="F8" i="4"/>
  <c r="G8" i="4"/>
  <c r="G12" i="4"/>
  <c r="G11" i="4"/>
  <c r="G9" i="4"/>
  <c r="G7" i="4"/>
  <c r="G10" i="4"/>
</calcChain>
</file>

<file path=xl/sharedStrings.xml><?xml version="1.0" encoding="utf-8"?>
<sst xmlns="http://schemas.openxmlformats.org/spreadsheetml/2006/main" count="63" uniqueCount="36">
  <si>
    <t>cnehirif</t>
  </si>
  <si>
    <t>cnehcnwa</t>
  </si>
  <si>
    <t>Both Sexes</t>
  </si>
  <si>
    <t>Male</t>
  </si>
  <si>
    <t>Female</t>
  </si>
  <si>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</si>
  <si>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</si>
  <si>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</si>
  <si>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</si>
  <si>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</si>
  <si>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</si>
  <si>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</si>
  <si>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</si>
  <si>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</si>
  <si>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udwdwA egcnidukWvwyik</t>
  </si>
  <si>
    <t>% share</t>
  </si>
  <si>
    <t>cniawtcaws ctogWviawfiheb</t>
  </si>
  <si>
    <t>uscnijed</t>
  </si>
  <si>
    <t>cniawtcawscnia</t>
  </si>
  <si>
    <t xml:space="preserve"> itcnwf</t>
  </si>
  <si>
    <t>% of females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</si>
  <si>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</si>
  <si>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</si>
  <si>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</si>
  <si>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</si>
  <si>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</si>
  <si>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</si>
  <si>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9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</si>
  <si>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</si>
  <si>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</si>
  <si>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Special Classes  1_/</t>
  </si>
  <si>
    <t>1_/  cawtcsWlck wBcaWK</t>
  </si>
  <si>
    <t>1_/  For children with special needs.</t>
  </si>
  <si>
    <t>.cawtcsWlck egcniduk WvcnunEb cSwaIhea wBcaWK  1_/</t>
  </si>
  <si>
    <t xml:space="preserve"> 2015 ,cnikwv cscnij udwdwA egcnidukWvwyik iawgItcnwfikea egukwtWsurwdwm :7.2 clwvWt</t>
  </si>
  <si>
    <t>Table 7.2 :  STUDENT ENROLMENT BY EDUCATIONAL LEVEL AND SEX,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</si>
</sst>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10"/>
      <name val="Courier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u/>
      <sz val="9"/>
      <color indexed="12"/>
      <name val="Courier"/>
      <family val="3"/>
    </font>
    <font>
      <b/>
      <sz val="8"/>
      <name val="A_Randhoo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sz val="9"/>
      <name val="Win Ahamedey PRB"/>
      <family val="2"/>
    </font>
    <font>
      <b/>
      <sz val="9"/>
      <color rgb="FFFF0000"/>
      <name val="Arial"/>
      <family val="2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4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23" fillId="0" borderId="0" applyFont="0" applyFill="0" applyBorder="0" applyAlignment="0" applyProtection="0"/>
    <xf numFmtId="164" fontId="2" fillId="0" borderId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8">
    <xf numFmtId="0" fontId="0" fillId="0" borderId="0" xfId="0"/>
    <xf numFmtId="165" fontId="4" fillId="2" borderId="0" xfId="0" applyNumberFormat="1" applyFont="1" applyFill="1"/>
    <xf numFmtId="165" fontId="9" fillId="2" borderId="0" xfId="0" applyNumberFormat="1" applyFont="1" applyFill="1" applyBorder="1" applyAlignment="1">
      <alignment vertical="center"/>
    </xf>
    <xf numFmtId="165" fontId="13" fillId="2" borderId="0" xfId="0" applyNumberFormat="1" applyFont="1" applyFill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5" fontId="0" fillId="2" borderId="1" xfId="0" applyNumberFormat="1" applyFill="1" applyBorder="1"/>
    <xf numFmtId="165" fontId="0" fillId="2" borderId="0" xfId="0" applyNumberFormat="1" applyFill="1" applyBorder="1" applyAlignment="1">
      <alignment vertical="center"/>
    </xf>
    <xf numFmtId="165" fontId="10" fillId="2" borderId="0" xfId="0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Border="1" applyAlignment="1">
      <alignment horizontal="left" vertical="center"/>
    </xf>
    <xf numFmtId="165" fontId="18" fillId="2" borderId="3" xfId="0" applyNumberFormat="1" applyFont="1" applyFill="1" applyBorder="1" applyAlignment="1" applyProtection="1">
      <alignment horizontal="right" vertical="center"/>
    </xf>
    <xf numFmtId="165" fontId="18" fillId="2" borderId="0" xfId="0" applyNumberFormat="1" applyFont="1" applyFill="1" applyBorder="1" applyAlignment="1" applyProtection="1">
      <alignment horizontal="right" vertical="center"/>
    </xf>
    <xf numFmtId="165" fontId="18" fillId="2" borderId="3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 applyProtection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 applyProtection="1">
      <alignment horizontal="left"/>
    </xf>
    <xf numFmtId="38" fontId="20" fillId="2" borderId="0" xfId="1" applyNumberFormat="1" applyFont="1" applyFill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" fontId="10" fillId="2" borderId="0" xfId="0" applyNumberFormat="1" applyFont="1" applyFill="1" applyBorder="1" applyAlignment="1" applyProtection="1"/>
    <xf numFmtId="1" fontId="10" fillId="2" borderId="0" xfId="0" applyNumberFormat="1" applyFont="1" applyFill="1" applyBorder="1" applyAlignment="1"/>
    <xf numFmtId="165" fontId="18" fillId="2" borderId="0" xfId="0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left"/>
    </xf>
    <xf numFmtId="38" fontId="10" fillId="2" borderId="0" xfId="1" applyNumberFormat="1" applyFont="1" applyFill="1" applyAlignment="1" applyProtection="1">
      <alignment horizontal="right"/>
    </xf>
    <xf numFmtId="38" fontId="11" fillId="2" borderId="0" xfId="1" applyNumberFormat="1" applyFont="1" applyFill="1" applyBorder="1" applyAlignment="1">
      <alignment horizontal="right"/>
    </xf>
    <xf numFmtId="1" fontId="11" fillId="2" borderId="0" xfId="0" applyNumberFormat="1" applyFont="1" applyFill="1" applyBorder="1" applyAlignment="1" applyProtection="1"/>
    <xf numFmtId="1" fontId="11" fillId="2" borderId="0" xfId="0" applyNumberFormat="1" applyFont="1" applyFill="1" applyBorder="1" applyAlignment="1"/>
    <xf numFmtId="165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Border="1" applyAlignment="1">
      <alignment horizontal="right"/>
    </xf>
    <xf numFmtId="166" fontId="0" fillId="2" borderId="0" xfId="1" applyNumberFormat="1" applyFont="1" applyFill="1"/>
    <xf numFmtId="0" fontId="10" fillId="2" borderId="0" xfId="0" applyNumberFormat="1" applyFont="1" applyFill="1" applyAlignment="1" applyProtection="1">
      <alignment horizontal="left"/>
    </xf>
    <xf numFmtId="38" fontId="10" fillId="2" borderId="0" xfId="1" applyNumberFormat="1" applyFont="1" applyFill="1" applyBorder="1" applyAlignment="1" applyProtection="1">
      <alignment horizontal="right"/>
    </xf>
    <xf numFmtId="165" fontId="8" fillId="2" borderId="0" xfId="0" applyNumberFormat="1" applyFont="1" applyFill="1"/>
    <xf numFmtId="38" fontId="10" fillId="2" borderId="0" xfId="1" applyNumberFormat="1" applyFont="1" applyFill="1" applyAlignment="1">
      <alignment horizontal="right"/>
    </xf>
    <xf numFmtId="38" fontId="11" fillId="2" borderId="0" xfId="1" applyNumberFormat="1" applyFont="1" applyFill="1" applyBorder="1" applyAlignment="1" applyProtection="1">
      <alignment horizontal="right"/>
    </xf>
    <xf numFmtId="165" fontId="11" fillId="2" borderId="1" xfId="0" applyNumberFormat="1" applyFont="1" applyFill="1" applyBorder="1" applyAlignment="1">
      <alignment horizontal="left"/>
    </xf>
    <xf numFmtId="38" fontId="10" fillId="2" borderId="1" xfId="1" applyNumberFormat="1" applyFont="1" applyFill="1" applyBorder="1" applyAlignment="1" applyProtection="1">
      <alignment horizontal="right"/>
    </xf>
    <xf numFmtId="38" fontId="11" fillId="2" borderId="1" xfId="1" applyNumberFormat="1" applyFont="1" applyFill="1" applyBorder="1" applyAlignment="1" applyProtection="1">
      <alignment horizontal="right"/>
    </xf>
    <xf numFmtId="1" fontId="11" fillId="2" borderId="1" xfId="0" applyNumberFormat="1" applyFont="1" applyFill="1" applyBorder="1" applyAlignment="1" applyProtection="1"/>
    <xf numFmtId="1" fontId="11" fillId="2" borderId="1" xfId="0" applyNumberFormat="1" applyFont="1" applyFill="1" applyBorder="1" applyAlignment="1"/>
    <xf numFmtId="165" fontId="12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Border="1" applyAlignment="1"/>
    <xf numFmtId="165" fontId="5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 applyProtection="1">
      <alignment horizontal="left"/>
    </xf>
    <xf numFmtId="38" fontId="13" fillId="2" borderId="0" xfId="1" applyNumberFormat="1" applyFont="1" applyFill="1" applyAlignment="1">
      <alignment horizontal="right"/>
    </xf>
    <xf numFmtId="38" fontId="11" fillId="2" borderId="0" xfId="1" applyNumberFormat="1" applyFont="1" applyFill="1" applyAlignment="1">
      <alignment horizontal="right"/>
    </xf>
    <xf numFmtId="165" fontId="16" fillId="2" borderId="0" xfId="4" applyNumberFormat="1" applyFont="1" applyFill="1" applyAlignment="1" applyProtection="1">
      <alignment vertical="center"/>
    </xf>
    <xf numFmtId="165" fontId="13" fillId="2" borderId="0" xfId="0" applyNumberFormat="1" applyFont="1" applyFill="1" applyAlignment="1">
      <alignment horizontal="left"/>
    </xf>
    <xf numFmtId="165" fontId="0" fillId="2" borderId="0" xfId="0" applyNumberFormat="1" applyFill="1" applyAlignment="1"/>
    <xf numFmtId="165" fontId="22" fillId="2" borderId="2" xfId="0" applyNumberFormat="1" applyFont="1" applyFill="1" applyBorder="1" applyAlignment="1">
      <alignment vertical="center"/>
    </xf>
    <xf numFmtId="165" fontId="7" fillId="2" borderId="0" xfId="0" applyNumberFormat="1" applyFont="1" applyFill="1"/>
    <xf numFmtId="165" fontId="24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center" vertical="center"/>
    </xf>
    <xf numFmtId="165" fontId="10" fillId="2" borderId="0" xfId="0" applyNumberFormat="1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horizontal="left" vertical="center"/>
    </xf>
  </cellXfs>
  <cellStyles count="141">
    <cellStyle name="1" xfId="140"/>
    <cellStyle name="Comma" xfId="1" builtinId="3"/>
    <cellStyle name="Comma 2" xfId="7"/>
    <cellStyle name="Comma 3" xfId="10"/>
    <cellStyle name="Hyperlink" xfId="4" builtinId="8"/>
    <cellStyle name="Normal" xfId="0" builtinId="0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4" xfId="99"/>
    <cellStyle name="Normal 2 5" xfId="100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3" xfId="111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5" xfId="23"/>
    <cellStyle name="Normal 5 2" xfId="113"/>
    <cellStyle name="Normal 6" xfId="3"/>
    <cellStyle name="Normal 6 2" xfId="134"/>
    <cellStyle name="Normal 6 3" xfId="117"/>
    <cellStyle name="Normal 7" xfId="2"/>
    <cellStyle name="Normal 7 2" xfId="114"/>
    <cellStyle name="Normal 7 3" xfId="17"/>
    <cellStyle name="Normal 8" xfId="6"/>
    <cellStyle name="Normal 8 2" xfId="8"/>
    <cellStyle name="Normal 8 2 2" xfId="115"/>
    <cellStyle name="Normal 8 3" xfId="18"/>
    <cellStyle name="Normal 9" xfId="19"/>
    <cellStyle name="Normal 9 2" xfId="116"/>
    <cellStyle name="Percent 2" xfId="11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 7.4: Student enrolment by educational level ,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2015</a:t>
            </a:r>
            <a:endParaRPr lang="en-US" sz="1050">
              <a:solidFill>
                <a:schemeClr val="tx1"/>
              </a:solidFill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548413736382266"/>
          <c:y val="3.8899447913838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561443485159212"/>
          <c:y val="0.15843214720111387"/>
          <c:w val="0.88024413308630534"/>
          <c:h val="0.67048021436345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'7.2'!$C$6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'7.2'!$A$8:$A$12</c:f>
              <c:strCache>
                <c:ptCount val="5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  <c:pt idx="4">
                  <c:v>Special Classes  1_/</c:v>
                </c:pt>
              </c:strCache>
            </c:strRef>
          </c:cat>
          <c:val>
            <c:numRef>
              <c:f>'7.2'!$C$8:$C$12</c:f>
              <c:numCache>
                <c:formatCode>#,##0_);[Red]\(#,##0\)</c:formatCode>
                <c:ptCount val="5"/>
                <c:pt idx="0">
                  <c:v>12041</c:v>
                </c:pt>
                <c:pt idx="1">
                  <c:v>21731</c:v>
                </c:pt>
                <c:pt idx="2">
                  <c:v>9357</c:v>
                </c:pt>
                <c:pt idx="3">
                  <c:v>1870</c:v>
                </c:pt>
                <c:pt idx="4">
                  <c:v>208</c:v>
                </c:pt>
              </c:numCache>
            </c:numRef>
          </c:val>
        </c:ser>
        <c:ser>
          <c:idx val="1"/>
          <c:order val="1"/>
          <c:tx>
            <c:strRef>
              <c:f>'7.2'!$D$6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'7.2'!$A$8:$A$12</c:f>
              <c:strCache>
                <c:ptCount val="5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  <c:pt idx="4">
                  <c:v>Special Classes  1_/</c:v>
                </c:pt>
              </c:strCache>
            </c:strRef>
          </c:cat>
          <c:val>
            <c:numRef>
              <c:f>'7.2'!$D$8:$D$12</c:f>
              <c:numCache>
                <c:formatCode>#,##0_);[Red]\(#,##0\)</c:formatCode>
                <c:ptCount val="5"/>
                <c:pt idx="0">
                  <c:v>11371</c:v>
                </c:pt>
                <c:pt idx="1">
                  <c:v>20406</c:v>
                </c:pt>
                <c:pt idx="2">
                  <c:v>8739</c:v>
                </c:pt>
                <c:pt idx="3">
                  <c:v>2510</c:v>
                </c:pt>
                <c:pt idx="4">
                  <c:v>108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8960"/>
        <c:axId val="53690752"/>
      </c:barChart>
      <c:catAx>
        <c:axId val="536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3690752"/>
        <c:crosses val="autoZero"/>
        <c:auto val="1"/>
        <c:lblAlgn val="ctr"/>
        <c:lblOffset val="100"/>
        <c:noMultiLvlLbl val="0"/>
      </c:catAx>
      <c:valAx>
        <c:axId val="53690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368896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60438268943567452"/>
          <c:y val="0.20818426542835988"/>
          <c:w val="0.18544318304390034"/>
          <c:h val="7.423199255265505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1343660</xdr:colOff>
      <xdr:row>29</xdr:row>
      <xdr:rowOff>0</xdr:rowOff>
    </xdr:from>
    <xdr:to>
      <xdr:col>9</xdr:col>
      <xdr:colOff>523875</xdr:colOff>
      <xdr:row>45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114302</xdr:colOff>
      <xdr:row>30</xdr:row>
      <xdr:rowOff>133349</xdr:rowOff>
    </xdr:from>
    <xdr:to>
      <xdr:col>9</xdr:col>
      <xdr:colOff>28575</xdr:colOff>
      <xdr:row>30</xdr:row>
      <xdr:rowOff>152398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362202" y="6467474"/>
          <a:ext cx="4419598" cy="19049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47"/>
  <sheetViews>
    <sheetView tabSelected="1" view="pageBreakPreview" zoomScaleSheetLayoutView="100" workbookViewId="0">
      <selection activeCell="L11" sqref="L11"/>
    </sheetView>
  </sheetViews>
  <sheetFormatPr defaultColWidth="26.42578125" defaultRowHeight="15"/>
  <cols>
    <col min="1" max="1" width="23.42578125" style="5" customWidth="1"/>
    <col min="2" max="2" width="10.28515625" style="5" customWidth="1"/>
    <col min="3" max="3" width="9.5703125" style="5" customWidth="1"/>
    <col min="4" max="4" width="11.28515625" style="5" customWidth="1"/>
    <col min="5" max="5" width="2.28515625" style="5" customWidth="1"/>
    <col min="6" max="6" width="10.42578125" style="5" customWidth="1"/>
    <col min="7" max="7" width="9.7109375" style="5" customWidth="1"/>
    <col min="8" max="9" width="12.140625" style="5" customWidth="1"/>
    <col min="10" max="10" width="24.7109375" style="5" customWidth="1"/>
    <col min="11" max="11" width="3.140625" style="5" customWidth="1"/>
    <col min="12" max="12" width="58.28515625" style="5" customWidth="1"/>
    <col min="13" max="13" width="26.42578125" style="5"/>
    <col min="14" max="16" width="9.140625" style="5" customWidth="1"/>
    <col min="17" max="31" width="8.7109375" style="5" customWidth="1"/>
    <col min="32" max="16384" width="26.42578125" style="5"/>
  </cols>
  <sheetData>
    <row r="1" spans="1:18" ht="19.5">
      <c r="A1" s="54" t="s">
        <v>34</v>
      </c>
      <c r="B1" s="54"/>
      <c r="C1" s="54"/>
      <c r="D1" s="54"/>
      <c r="E1" s="54"/>
      <c r="F1" s="54"/>
      <c r="G1" s="54"/>
      <c r="H1" s="54"/>
      <c r="I1" s="54"/>
      <c r="J1" s="54"/>
      <c r="L1" s="53"/>
    </row>
    <row r="2" spans="1:18">
      <c r="A2" s="55" t="s">
        <v>35</v>
      </c>
      <c r="B2" s="55"/>
      <c r="C2" s="55"/>
      <c r="D2" s="55"/>
      <c r="E2" s="55"/>
      <c r="F2" s="55"/>
      <c r="G2" s="55"/>
      <c r="H2" s="55"/>
      <c r="I2" s="55"/>
      <c r="J2" s="55"/>
    </row>
    <row r="3" spans="1:18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7"/>
      <c r="Q3" s="7"/>
      <c r="R3" s="7"/>
    </row>
    <row r="4" spans="1:18">
      <c r="A4" s="56" t="s">
        <v>12</v>
      </c>
      <c r="B4" s="8" t="s">
        <v>13</v>
      </c>
      <c r="C4" s="4"/>
      <c r="D4" s="9" t="s">
        <v>14</v>
      </c>
      <c r="E4" s="10"/>
      <c r="F4" s="8" t="s">
        <v>15</v>
      </c>
      <c r="G4" s="11"/>
      <c r="H4" s="9" t="s">
        <v>16</v>
      </c>
      <c r="I4" s="10" t="s">
        <v>1</v>
      </c>
      <c r="J4" s="2"/>
      <c r="K4" s="2"/>
      <c r="L4" s="2"/>
      <c r="M4" s="2"/>
      <c r="N4" s="2"/>
      <c r="O4" s="2"/>
      <c r="P4" s="2"/>
      <c r="Q4" s="2"/>
      <c r="R4" s="2"/>
    </row>
    <row r="5" spans="1:18">
      <c r="A5" s="56"/>
      <c r="B5" s="12" t="s">
        <v>17</v>
      </c>
      <c r="C5" s="12" t="s">
        <v>0</v>
      </c>
      <c r="D5" s="12" t="s">
        <v>1</v>
      </c>
      <c r="E5" s="13"/>
      <c r="F5" s="12" t="s">
        <v>17</v>
      </c>
      <c r="G5" s="12" t="s">
        <v>0</v>
      </c>
      <c r="H5" s="14" t="s">
        <v>1</v>
      </c>
      <c r="I5" s="10" t="s">
        <v>18</v>
      </c>
      <c r="J5" s="10" t="s">
        <v>19</v>
      </c>
    </row>
    <row r="6" spans="1:18">
      <c r="A6" s="57"/>
      <c r="B6" s="15" t="s">
        <v>2</v>
      </c>
      <c r="C6" s="15" t="s">
        <v>3</v>
      </c>
      <c r="D6" s="15" t="s">
        <v>4</v>
      </c>
      <c r="E6" s="15"/>
      <c r="F6" s="15" t="s">
        <v>2</v>
      </c>
      <c r="G6" s="15" t="s">
        <v>3</v>
      </c>
      <c r="H6" s="16" t="s">
        <v>4</v>
      </c>
      <c r="I6" s="16" t="s">
        <v>20</v>
      </c>
      <c r="J6" s="17"/>
    </row>
    <row r="7" spans="1:18" ht="17.25">
      <c r="A7" s="18" t="s">
        <v>5</v>
      </c>
      <c r="B7" s="19">
        <f>SUM(B8:B12)</f>
        <v>88341</v>
      </c>
      <c r="C7" s="35">
        <f>SUM(C8:C12)</f>
        <v>45207</v>
      </c>
      <c r="D7" s="35">
        <f>SUM(D8:D12)</f>
        <v>43134</v>
      </c>
      <c r="E7" s="20"/>
      <c r="F7" s="21">
        <f>B7/B7*100</f>
        <v>100</v>
      </c>
      <c r="G7" s="21">
        <f>C7/C7*100</f>
        <v>100</v>
      </c>
      <c r="H7" s="21">
        <f>D7/D7*100</f>
        <v>100</v>
      </c>
      <c r="I7" s="22">
        <f>D7/B7*100</f>
        <v>48.826705606683198</v>
      </c>
      <c r="J7" s="23" t="s">
        <v>21</v>
      </c>
    </row>
    <row r="8" spans="1:18" ht="17.25">
      <c r="A8" s="24" t="s">
        <v>22</v>
      </c>
      <c r="B8" s="25">
        <f>SUM(C8:D8)</f>
        <v>23412</v>
      </c>
      <c r="C8" s="47">
        <f>SUM(C14+C20)</f>
        <v>12041</v>
      </c>
      <c r="D8" s="47">
        <f t="shared" ref="C8:D12" si="0">SUM(D14+D20)</f>
        <v>11371</v>
      </c>
      <c r="E8" s="26"/>
      <c r="F8" s="27">
        <f>B8/B7*100</f>
        <v>26.501850782762247</v>
      </c>
      <c r="G8" s="27">
        <f>C8/$C$7*100</f>
        <v>26.635255602008538</v>
      </c>
      <c r="H8" s="27">
        <f>D8/$D$7*100</f>
        <v>26.362034589882693</v>
      </c>
      <c r="I8" s="28">
        <f t="shared" ref="I8:I24" si="1">D8/B8*100</f>
        <v>48.569109858192377</v>
      </c>
      <c r="J8" s="29" t="s">
        <v>23</v>
      </c>
    </row>
    <row r="9" spans="1:18" ht="17.25">
      <c r="A9" s="24" t="s">
        <v>24</v>
      </c>
      <c r="B9" s="25">
        <f>SUM(C9:D9)</f>
        <v>42137</v>
      </c>
      <c r="C9" s="47">
        <f>SUM(C15+C21)</f>
        <v>21731</v>
      </c>
      <c r="D9" s="47">
        <f t="shared" si="0"/>
        <v>20406</v>
      </c>
      <c r="E9" s="26"/>
      <c r="F9" s="27">
        <f>B9/B8*100</f>
        <v>179.98035195626173</v>
      </c>
      <c r="G9" s="27">
        <f>C9/$C$7*100</f>
        <v>48.069989160970643</v>
      </c>
      <c r="H9" s="27">
        <f>D9/$D$7*100</f>
        <v>47.30838781471693</v>
      </c>
      <c r="I9" s="28">
        <f>D9/B9*100</f>
        <v>48.427747585257613</v>
      </c>
      <c r="J9" s="30" t="s">
        <v>25</v>
      </c>
    </row>
    <row r="10" spans="1:18" ht="17.25">
      <c r="A10" s="24" t="s">
        <v>26</v>
      </c>
      <c r="B10" s="25">
        <f>SUM(C10:D10)</f>
        <v>18096</v>
      </c>
      <c r="C10" s="47">
        <f t="shared" si="0"/>
        <v>9357</v>
      </c>
      <c r="D10" s="47">
        <f t="shared" si="0"/>
        <v>8739</v>
      </c>
      <c r="E10" s="26"/>
      <c r="F10" s="27">
        <f>B10/B9*100</f>
        <v>42.945629731589811</v>
      </c>
      <c r="G10" s="27">
        <f>C10/$C$7*100</f>
        <v>20.698121972260932</v>
      </c>
      <c r="H10" s="27">
        <f>D10/$D$7*100</f>
        <v>20.260119627208233</v>
      </c>
      <c r="I10" s="28">
        <f t="shared" si="1"/>
        <v>48.29244031830239</v>
      </c>
      <c r="J10" s="30" t="s">
        <v>27</v>
      </c>
    </row>
    <row r="11" spans="1:18" ht="17.25">
      <c r="A11" s="24" t="s">
        <v>28</v>
      </c>
      <c r="B11" s="25">
        <f>SUM(C11:D11)</f>
        <v>4380</v>
      </c>
      <c r="C11" s="47">
        <f>SUM(C17+C23)</f>
        <v>1870</v>
      </c>
      <c r="D11" s="47">
        <f t="shared" si="0"/>
        <v>2510</v>
      </c>
      <c r="E11" s="26"/>
      <c r="F11" s="27">
        <f>B11/B10*100</f>
        <v>24.204244031830239</v>
      </c>
      <c r="G11" s="27">
        <f>C11/$C$7*100</f>
        <v>4.1365275289225121</v>
      </c>
      <c r="H11" s="27">
        <f>D11/$D$7*100</f>
        <v>5.8190754393286044</v>
      </c>
      <c r="I11" s="28">
        <f t="shared" si="1"/>
        <v>57.305936073059357</v>
      </c>
      <c r="J11" s="30" t="s">
        <v>29</v>
      </c>
      <c r="N11" s="1"/>
      <c r="O11" s="31"/>
      <c r="P11" s="31"/>
    </row>
    <row r="12" spans="1:18" ht="17.25">
      <c r="A12" s="24" t="s">
        <v>30</v>
      </c>
      <c r="B12" s="25">
        <f>SUM(C12:D12)</f>
        <v>316</v>
      </c>
      <c r="C12" s="47">
        <f>SUM(C18+C24)</f>
        <v>208</v>
      </c>
      <c r="D12" s="47">
        <f t="shared" si="0"/>
        <v>108</v>
      </c>
      <c r="E12" s="26"/>
      <c r="F12" s="27">
        <f>B12/B11*100</f>
        <v>7.2146118721461194</v>
      </c>
      <c r="G12" s="27">
        <f>C12/$C$7*100</f>
        <v>0.46010573583737036</v>
      </c>
      <c r="H12" s="27">
        <f>D12/$D$7*100</f>
        <v>0.25038252886354151</v>
      </c>
      <c r="I12" s="28">
        <f t="shared" si="1"/>
        <v>34.177215189873415</v>
      </c>
      <c r="J12" s="30" t="s">
        <v>31</v>
      </c>
      <c r="N12" s="1"/>
      <c r="O12" s="31"/>
      <c r="P12" s="31"/>
    </row>
    <row r="13" spans="1:18" s="34" customFormat="1" ht="17.25">
      <c r="A13" s="32" t="s">
        <v>6</v>
      </c>
      <c r="B13" s="25">
        <f>SUM(B14:B18)</f>
        <v>30361</v>
      </c>
      <c r="C13" s="35">
        <f>SUM(C14:C18)</f>
        <v>15365</v>
      </c>
      <c r="D13" s="35">
        <f>SUM(D14:D18)</f>
        <v>14996</v>
      </c>
      <c r="E13" s="33"/>
      <c r="F13" s="21">
        <f>B13/B13*100</f>
        <v>100</v>
      </c>
      <c r="G13" s="21">
        <f>C13/C13*100</f>
        <v>100</v>
      </c>
      <c r="H13" s="21">
        <f>D13/D13*100</f>
        <v>100</v>
      </c>
      <c r="I13" s="22">
        <f>D13/B13*100</f>
        <v>49.392312506175685</v>
      </c>
      <c r="J13" s="23" t="s">
        <v>7</v>
      </c>
      <c r="N13" s="1"/>
      <c r="O13" s="31"/>
      <c r="P13" s="31"/>
    </row>
    <row r="14" spans="1:18" ht="17.25">
      <c r="A14" s="24" t="s">
        <v>22</v>
      </c>
      <c r="B14" s="25">
        <f>SUM(C14:D14)</f>
        <v>7985</v>
      </c>
      <c r="C14" s="47">
        <v>4073</v>
      </c>
      <c r="D14" s="47">
        <v>3912</v>
      </c>
      <c r="E14" s="26"/>
      <c r="F14" s="27">
        <f>B14/B13*100</f>
        <v>26.300187740851751</v>
      </c>
      <c r="G14" s="27">
        <f>C14/C13*100</f>
        <v>26.508298080052068</v>
      </c>
      <c r="H14" s="27">
        <f>D14/D13*100</f>
        <v>26.086956521739129</v>
      </c>
      <c r="I14" s="28">
        <f t="shared" si="1"/>
        <v>48.991859737006891</v>
      </c>
      <c r="J14" s="29" t="s">
        <v>23</v>
      </c>
      <c r="N14" s="1"/>
      <c r="O14" s="31"/>
      <c r="P14" s="31"/>
    </row>
    <row r="15" spans="1:18" ht="17.25">
      <c r="A15" s="24" t="s">
        <v>24</v>
      </c>
      <c r="B15" s="35">
        <f>SUM(C15:D15)</f>
        <v>13920</v>
      </c>
      <c r="C15" s="47">
        <v>7135</v>
      </c>
      <c r="D15" s="47">
        <v>6785</v>
      </c>
      <c r="E15" s="26"/>
      <c r="F15" s="27">
        <f>B15/B13*100</f>
        <v>45.848292216988902</v>
      </c>
      <c r="G15" s="27">
        <f>C15/C13*100</f>
        <v>46.436706801171496</v>
      </c>
      <c r="H15" s="27">
        <f>D15/D13*100</f>
        <v>45.245398773006137</v>
      </c>
      <c r="I15" s="28">
        <f t="shared" si="1"/>
        <v>48.742816091954019</v>
      </c>
      <c r="J15" s="30" t="s">
        <v>25</v>
      </c>
      <c r="N15" s="1"/>
      <c r="O15" s="31"/>
      <c r="P15" s="31"/>
    </row>
    <row r="16" spans="1:18" ht="17.25">
      <c r="A16" s="24" t="s">
        <v>26</v>
      </c>
      <c r="B16" s="25">
        <f>SUM(C16:D16)</f>
        <v>5649</v>
      </c>
      <c r="C16" s="47">
        <v>2859</v>
      </c>
      <c r="D16" s="47">
        <v>2790</v>
      </c>
      <c r="E16" s="26"/>
      <c r="F16" s="27">
        <f>B16/B13*100</f>
        <v>18.606106518230625</v>
      </c>
      <c r="G16" s="27">
        <f>C16/C13*100</f>
        <v>18.607224210868857</v>
      </c>
      <c r="H16" s="27">
        <f>D16/D13*100</f>
        <v>18.604961323019474</v>
      </c>
      <c r="I16" s="28">
        <f t="shared" si="1"/>
        <v>49.389272437599573</v>
      </c>
      <c r="J16" s="30" t="s">
        <v>27</v>
      </c>
    </row>
    <row r="17" spans="1:31" ht="17.25">
      <c r="A17" s="24" t="s">
        <v>28</v>
      </c>
      <c r="B17" s="25">
        <f>SUM(C17:D17)</f>
        <v>2625</v>
      </c>
      <c r="C17" s="47">
        <v>1176</v>
      </c>
      <c r="D17" s="47">
        <v>1449</v>
      </c>
      <c r="E17" s="26"/>
      <c r="F17" s="27">
        <f>B17/B13*100</f>
        <v>8.645960277988209</v>
      </c>
      <c r="G17" s="27">
        <f>C17/C13*100</f>
        <v>7.6537585421412295</v>
      </c>
      <c r="H17" s="27">
        <f>D17/D13*100</f>
        <v>9.6625766871165641</v>
      </c>
      <c r="I17" s="28">
        <f t="shared" si="1"/>
        <v>55.2</v>
      </c>
      <c r="J17" s="30" t="s">
        <v>29</v>
      </c>
    </row>
    <row r="18" spans="1:31" ht="17.25">
      <c r="A18" s="24" t="s">
        <v>30</v>
      </c>
      <c r="B18" s="25">
        <f>SUM(C18:D18)</f>
        <v>182</v>
      </c>
      <c r="C18" s="47">
        <v>122</v>
      </c>
      <c r="D18" s="47">
        <v>60</v>
      </c>
      <c r="E18" s="26"/>
      <c r="F18" s="27">
        <f>B18/B13*100</f>
        <v>0.59945324594051586</v>
      </c>
      <c r="G18" s="27">
        <f>C18/C13*100</f>
        <v>0.79401236576635215</v>
      </c>
      <c r="H18" s="27">
        <f>D18/D13*100</f>
        <v>0.40010669511869834</v>
      </c>
      <c r="I18" s="28">
        <f t="shared" si="1"/>
        <v>32.967032967032964</v>
      </c>
      <c r="J18" s="30" t="s">
        <v>31</v>
      </c>
    </row>
    <row r="19" spans="1:31" s="34" customFormat="1" ht="17.25">
      <c r="A19" s="18" t="s">
        <v>8</v>
      </c>
      <c r="B19" s="25">
        <f>SUM(B20:B24)</f>
        <v>57980</v>
      </c>
      <c r="C19" s="35">
        <f>SUM(C20:C24)</f>
        <v>29842</v>
      </c>
      <c r="D19" s="35">
        <f>SUM(D20:D24)</f>
        <v>28138</v>
      </c>
      <c r="E19" s="33"/>
      <c r="F19" s="21">
        <f>B19/B19*100</f>
        <v>100</v>
      </c>
      <c r="G19" s="21">
        <f>C19/C19*100</f>
        <v>100</v>
      </c>
      <c r="H19" s="21">
        <f>D19/D19*100</f>
        <v>100</v>
      </c>
      <c r="I19" s="22">
        <f>D19/B19*100</f>
        <v>48.530527768195931</v>
      </c>
      <c r="J19" s="23" t="s">
        <v>9</v>
      </c>
      <c r="M19" s="5"/>
      <c r="N19" s="52"/>
      <c r="O19" s="52"/>
      <c r="P19" s="52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7.25">
      <c r="A20" s="24" t="s">
        <v>22</v>
      </c>
      <c r="B20" s="25">
        <f>SUM(C20:D20)</f>
        <v>15427</v>
      </c>
      <c r="C20" s="47">
        <v>7968</v>
      </c>
      <c r="D20" s="47">
        <v>7459</v>
      </c>
      <c r="E20" s="36"/>
      <c r="F20" s="27">
        <f t="shared" ref="F20:F24" si="2">B20/$B$19*100</f>
        <v>26.607450845119008</v>
      </c>
      <c r="G20" s="28">
        <f>C20/C19*100</f>
        <v>26.700623282621809</v>
      </c>
      <c r="H20" s="28">
        <f>D20/D19*100</f>
        <v>26.50863600824508</v>
      </c>
      <c r="I20" s="28">
        <f t="shared" si="1"/>
        <v>48.35029493744733</v>
      </c>
      <c r="J20" s="29" t="s">
        <v>23</v>
      </c>
      <c r="M20" s="18"/>
    </row>
    <row r="21" spans="1:31" ht="17.25">
      <c r="A21" s="24" t="s">
        <v>24</v>
      </c>
      <c r="B21" s="25">
        <f>SUM(C21:D21)</f>
        <v>28217</v>
      </c>
      <c r="C21" s="47">
        <v>14596</v>
      </c>
      <c r="D21" s="47">
        <v>13621</v>
      </c>
      <c r="E21" s="36"/>
      <c r="F21" s="27">
        <f t="shared" si="2"/>
        <v>48.666781648844434</v>
      </c>
      <c r="G21" s="28">
        <f>C21/C19*100</f>
        <v>48.910930902754508</v>
      </c>
      <c r="H21" s="28">
        <f>D21/D19*100</f>
        <v>48.407847039590592</v>
      </c>
      <c r="I21" s="28">
        <f t="shared" si="1"/>
        <v>48.272318106106248</v>
      </c>
      <c r="J21" s="30" t="s">
        <v>25</v>
      </c>
      <c r="M21" s="18"/>
    </row>
    <row r="22" spans="1:31" ht="17.25">
      <c r="A22" s="24" t="s">
        <v>26</v>
      </c>
      <c r="B22" s="25">
        <f>SUM(C22:D22)</f>
        <v>12447</v>
      </c>
      <c r="C22" s="47">
        <v>6498</v>
      </c>
      <c r="D22" s="47">
        <v>5949</v>
      </c>
      <c r="E22" s="36"/>
      <c r="F22" s="27">
        <f t="shared" si="2"/>
        <v>21.467747499137634</v>
      </c>
      <c r="G22" s="28">
        <f>C22/C19*100</f>
        <v>21.774679981234502</v>
      </c>
      <c r="H22" s="28">
        <f>D22/D19*100</f>
        <v>21.142227592579431</v>
      </c>
      <c r="I22" s="28">
        <f t="shared" si="1"/>
        <v>47.79464931308749</v>
      </c>
      <c r="J22" s="30" t="s">
        <v>27</v>
      </c>
      <c r="M22" s="18"/>
    </row>
    <row r="23" spans="1:31" ht="17.25">
      <c r="A23" s="24" t="s">
        <v>28</v>
      </c>
      <c r="B23" s="25">
        <f>SUM(C23:D23)</f>
        <v>1755</v>
      </c>
      <c r="C23" s="47">
        <v>694</v>
      </c>
      <c r="D23" s="47">
        <v>1061</v>
      </c>
      <c r="E23" s="36"/>
      <c r="F23" s="27">
        <f t="shared" si="2"/>
        <v>3.0269058295964126</v>
      </c>
      <c r="G23" s="28">
        <f>C23/C19*100</f>
        <v>2.3255813953488373</v>
      </c>
      <c r="H23" s="28">
        <f>D23/D19*100</f>
        <v>3.7707015423981805</v>
      </c>
      <c r="I23" s="28">
        <f t="shared" si="1"/>
        <v>60.455840455840459</v>
      </c>
      <c r="J23" s="30" t="s">
        <v>29</v>
      </c>
    </row>
    <row r="24" spans="1:31" ht="17.25">
      <c r="A24" s="37" t="s">
        <v>30</v>
      </c>
      <c r="B24" s="38">
        <f>SUM(C24:D24)</f>
        <v>134</v>
      </c>
      <c r="C24" s="47">
        <v>86</v>
      </c>
      <c r="D24" s="47">
        <v>48</v>
      </c>
      <c r="E24" s="39"/>
      <c r="F24" s="40">
        <f t="shared" si="2"/>
        <v>0.23111417730251813</v>
      </c>
      <c r="G24" s="41">
        <f>C24/C19*100</f>
        <v>0.28818443804034583</v>
      </c>
      <c r="H24" s="41">
        <f>D24/D19*100</f>
        <v>0.17058781718672258</v>
      </c>
      <c r="I24" s="41">
        <f t="shared" si="1"/>
        <v>35.820895522388057</v>
      </c>
      <c r="J24" s="42" t="s">
        <v>31</v>
      </c>
    </row>
    <row r="25" spans="1:31" ht="18.600000000000001" customHeight="1">
      <c r="A25" s="43" t="s">
        <v>32</v>
      </c>
      <c r="B25" s="51"/>
      <c r="C25" s="51"/>
      <c r="D25" s="51"/>
      <c r="E25" s="51"/>
      <c r="F25" s="51"/>
      <c r="G25" s="51"/>
      <c r="H25" s="51"/>
      <c r="I25" s="4"/>
      <c r="J25" s="30" t="s">
        <v>33</v>
      </c>
      <c r="P25" s="44"/>
      <c r="Q25" s="44"/>
    </row>
    <row r="26" spans="1:31" ht="15.75" customHeight="1">
      <c r="A26" s="45" t="s">
        <v>10</v>
      </c>
      <c r="B26" s="3"/>
      <c r="C26" s="3"/>
      <c r="D26" s="3"/>
      <c r="E26" s="50"/>
      <c r="F26" s="3"/>
      <c r="G26" s="3"/>
      <c r="H26" s="3"/>
      <c r="I26" s="3"/>
      <c r="J26" s="30" t="s">
        <v>11</v>
      </c>
      <c r="O26" s="1"/>
      <c r="P26" s="46"/>
      <c r="Q26" s="46"/>
    </row>
    <row r="27" spans="1:31">
      <c r="A27" s="3"/>
      <c r="B27" s="3"/>
      <c r="C27" s="3"/>
      <c r="D27" s="3"/>
      <c r="E27" s="50"/>
      <c r="F27" s="3"/>
      <c r="G27" s="3"/>
      <c r="H27" s="3"/>
      <c r="I27" s="3"/>
      <c r="O27" s="1"/>
      <c r="P27" s="46"/>
      <c r="Q27" s="46"/>
    </row>
    <row r="28" spans="1:31">
      <c r="A28" s="3"/>
      <c r="B28" s="3"/>
      <c r="C28" s="3"/>
      <c r="D28" s="3"/>
      <c r="E28" s="3"/>
      <c r="F28" s="3"/>
      <c r="G28" s="3"/>
      <c r="H28" s="3"/>
      <c r="I28" s="3"/>
      <c r="O28" s="1"/>
      <c r="P28" s="46"/>
      <c r="Q28" s="46"/>
    </row>
    <row r="29" spans="1:31">
      <c r="A29" s="3"/>
      <c r="B29" s="3"/>
      <c r="C29" s="48"/>
      <c r="D29" s="3"/>
      <c r="E29" s="3"/>
      <c r="F29" s="3"/>
      <c r="G29" s="3"/>
      <c r="H29" s="3"/>
      <c r="I29" s="3"/>
      <c r="J29" s="3"/>
      <c r="O29" s="1"/>
      <c r="P29" s="46"/>
      <c r="Q29" s="46"/>
    </row>
    <row r="30" spans="1:31">
      <c r="A30" s="49"/>
      <c r="B30" s="3"/>
      <c r="C30" s="3"/>
      <c r="D30" s="3"/>
      <c r="E30" s="3"/>
      <c r="F30" s="3"/>
      <c r="G30" s="3"/>
      <c r="H30" s="3"/>
      <c r="I30" s="3"/>
      <c r="O30" s="1"/>
      <c r="P30" s="46"/>
      <c r="Q30" s="46"/>
    </row>
    <row r="31" spans="1:31">
      <c r="A31" s="49"/>
      <c r="B31" s="3"/>
      <c r="C31" s="3"/>
      <c r="D31" s="3"/>
      <c r="E31" s="3"/>
      <c r="F31" s="3"/>
      <c r="G31" s="3"/>
      <c r="H31" s="3"/>
      <c r="I31" s="3"/>
      <c r="O31" s="1"/>
      <c r="P31" s="46"/>
      <c r="Q31" s="46"/>
    </row>
    <row r="32" spans="1:31">
      <c r="A32" s="49"/>
      <c r="B32" s="3"/>
      <c r="C32" s="3"/>
      <c r="D32" s="3"/>
      <c r="E32" s="3"/>
      <c r="F32" s="3"/>
      <c r="G32" s="3"/>
      <c r="H32" s="3"/>
      <c r="I32" s="3"/>
    </row>
    <row r="33" spans="1:9">
      <c r="A33" s="49"/>
      <c r="B33" s="3"/>
      <c r="C33" s="3"/>
      <c r="D33" s="3"/>
      <c r="E33" s="3"/>
      <c r="F33" s="3"/>
      <c r="G33" s="3"/>
      <c r="H33" s="3"/>
      <c r="I33" s="3"/>
    </row>
    <row r="34" spans="1:9">
      <c r="A34" s="49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</sheetData>
  <mergeCells count="3">
    <mergeCell ref="A1:J1"/>
    <mergeCell ref="A2:J2"/>
    <mergeCell ref="A4:A6"/>
  </mergeCells>
  <pageMargins left="0.7" right="0.7" top="0.17" bottom="0.17" header="0.3" footer="0.3"/>
  <pageSetup paperSize="9" orientation="landscape" r:id="rId1"/>
  <rowBreaks count="1" manualBreakCount="1">
    <brk id="27" max="16383" man="1"/>
  </rowBreaks>
  <ignoredErrors>
    <ignoredError sqref="F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2016-04-04T08:21:36Z</cp:lastPrinted>
  <dcterms:created xsi:type="dcterms:W3CDTF">2014-03-05T03:36:41Z</dcterms:created>
  <dcterms:modified xsi:type="dcterms:W3CDTF">2016-04-04T08:21:40Z</dcterms:modified>
</cp:coreProperties>
</file>