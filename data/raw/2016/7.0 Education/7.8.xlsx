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8" sheetId="10" r:id="rId1"/>
  </sheets>
  <externalReferences>
    <externalReference r:id="rId2"/>
  </externalReferences>
  <definedNames>
    <definedName name="_xlnm.Print_Area" localSheetId="0">'7.8'!$A$1:$K$32</definedName>
  </definedNames>
  <calcPr calcId="144525"/>
</workbook>
</file>

<file path=xl/calcChain.xml><?xml version="1.0" encoding="utf-8"?>
<calcChain xmlns="http://schemas.openxmlformats.org/spreadsheetml/2006/main">
  <c r="J29" i="10" l="1"/>
  <c r="J12" i="10"/>
  <c r="J11" i="10"/>
  <c r="J10" i="10"/>
  <c r="J9" i="10"/>
  <c r="J8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30" i="10"/>
  <c r="B11" i="10" l="1"/>
  <c r="B30" i="10" l="1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0" i="10"/>
  <c r="B9" i="10"/>
  <c r="G8" i="10"/>
  <c r="F8" i="10"/>
  <c r="D8" i="10"/>
  <c r="C8" i="10"/>
  <c r="B8" i="10" l="1"/>
</calcChain>
</file>

<file path=xl/sharedStrings.xml><?xml version="1.0" encoding="utf-8"?>
<sst xmlns="http://schemas.openxmlformats.org/spreadsheetml/2006/main" count="80" uniqueCount="72">
  <si>
    <t>Total</t>
  </si>
  <si>
    <t xml:space="preserve">  Locality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</si>
  <si>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</si>
  <si>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</si>
  <si>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</si>
  <si>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</si>
  <si>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</si>
  <si>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</si>
  <si>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</si>
  <si>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</si>
  <si>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</si>
  <si>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</si>
  <si>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</si>
  <si>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</si>
  <si>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</si>
  <si>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</si>
  <si>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</si>
  <si>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</si>
  <si>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</si>
  <si>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</si>
  <si>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</si>
  <si>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</si>
  <si>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</si>
  <si>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</si>
  <si>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</si>
  <si>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</si>
  <si>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</si>
  <si>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</si>
  <si>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</si>
  <si>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</si>
  <si>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</si>
  <si>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</si>
  <si>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</si>
  <si>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</si>
  <si>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</si>
  <si>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</si>
  <si>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</si>
  <si>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</si>
  <si>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</si>
  <si>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</si>
  <si>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</si>
  <si>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</si>
  <si>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Teachers</t>
  </si>
  <si>
    <t>Trained</t>
  </si>
  <si>
    <t>cnIsEdib</t>
  </si>
  <si>
    <t>cnusircawdum</t>
  </si>
  <si>
    <t>Untrained</t>
  </si>
  <si>
    <t>Expatriate</t>
  </si>
  <si>
    <t>ތަމްރިން ލިބިފައިވާ</t>
  </si>
  <si>
    <t>WvuniawfibilcnIrcmwt</t>
  </si>
  <si>
    <t>IsEdib wlcmuj</t>
  </si>
  <si>
    <t>ihevid wlcmuj</t>
  </si>
  <si>
    <t>ޖުމްލަ</t>
  </si>
  <si>
    <t>އިންސަތްތައިން</t>
  </si>
  <si>
    <t>ImiaWd</t>
  </si>
  <si>
    <t>Itugwv</t>
  </si>
  <si>
    <t>Total expatriate</t>
  </si>
  <si>
    <t xml:space="preserve">Total Local </t>
  </si>
  <si>
    <t>ތަން</t>
  </si>
  <si>
    <t>Permanant</t>
  </si>
  <si>
    <t>Temporary</t>
  </si>
  <si>
    <t xml:space="preserve"> Teachers</t>
  </si>
  <si>
    <t>as a % of total</t>
  </si>
  <si>
    <t>Adh</t>
  </si>
  <si>
    <t>Note: No untrained expatriate</t>
  </si>
  <si>
    <t>ބިދޭސީ ޓީޗަރުންގެ ތެރޭގައި ތަމްރީނު ލިބިފައިނުވާ ޓީޗަރުންނެއް ނެތް</t>
  </si>
  <si>
    <t>HA</t>
  </si>
  <si>
    <t>HDh</t>
  </si>
  <si>
    <t>Sh</t>
  </si>
  <si>
    <t>R</t>
  </si>
  <si>
    <t>2015 ,cnusircawdum IsEdib idwa ihevid WviretctWkwrwH iawgukwtWswrudwm egukwtuLotwa iaWaelWm : 7.8 ulwvWt</t>
  </si>
  <si>
    <t>TABLE 7.8: LOCAL AND EXPATRIATE TEACHERS SERVING IN SCHOOLS OF MALE' AND ATOLLS BY LOCALITY,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</si>
</sst>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Faruma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_Waheed"/>
    </font>
    <font>
      <i/>
      <sz val="9"/>
      <name val="Calibri"/>
      <family val="2"/>
      <scheme val="minor"/>
    </font>
    <font>
      <sz val="9"/>
      <name val="A_Waheed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Faruma"/>
    </font>
    <font>
      <sz val="12"/>
      <name val="A_Utheem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39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26" fillId="0" borderId="0" applyFont="0" applyFill="0" applyBorder="0" applyAlignment="0" applyProtection="0"/>
    <xf numFmtId="164" fontId="2" fillId="0" borderId="0"/>
    <xf numFmtId="0" fontId="2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9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46">
    <xf numFmtId="0" fontId="0" fillId="0" borderId="0" xfId="0"/>
    <xf numFmtId="165" fontId="14" fillId="2" borderId="0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Border="1" applyAlignment="1">
      <alignment horizontal="right"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165" fontId="8" fillId="2" borderId="0" xfId="4" applyNumberFormat="1" applyFont="1" applyFill="1" applyAlignment="1">
      <alignment horizontal="center" vertical="center"/>
    </xf>
    <xf numFmtId="165" fontId="8" fillId="2" borderId="0" xfId="4" applyNumberFormat="1" applyFont="1" applyFill="1" applyAlignment="1">
      <alignment horizontal="center" vertical="top"/>
    </xf>
    <xf numFmtId="165" fontId="3" fillId="2" borderId="1" xfId="4" applyNumberFormat="1" applyFont="1" applyFill="1" applyBorder="1" applyAlignment="1">
      <alignment horizontal="center" vertical="top"/>
    </xf>
    <xf numFmtId="165" fontId="4" fillId="2" borderId="0" xfId="4" applyNumberFormat="1" applyFont="1" applyFill="1" applyBorder="1" applyAlignment="1">
      <alignment horizontal="center" vertical="center"/>
    </xf>
    <xf numFmtId="165" fontId="22" fillId="2" borderId="0" xfId="4" applyNumberFormat="1" applyFont="1" applyFill="1" applyAlignment="1">
      <alignment horizontal="right" vertical="center"/>
    </xf>
    <xf numFmtId="165" fontId="12" fillId="2" borderId="0" xfId="4" applyNumberFormat="1" applyFont="1" applyFill="1" applyBorder="1" applyAlignment="1" applyProtection="1">
      <alignment horizontal="left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8" fillId="2" borderId="0" xfId="4" applyNumberFormat="1" applyFont="1" applyFill="1" applyAlignment="1">
      <alignment horizontal="right" vertical="center"/>
    </xf>
    <xf numFmtId="165" fontId="11" fillId="2" borderId="0" xfId="4" applyNumberFormat="1" applyFont="1" applyFill="1" applyBorder="1" applyAlignment="1" applyProtection="1">
      <alignment horizontal="left" vertical="center"/>
    </xf>
    <xf numFmtId="165" fontId="3" fillId="2" borderId="0" xfId="4" applyNumberFormat="1" applyFont="1" applyFill="1" applyBorder="1" applyAlignment="1">
      <alignment horizontal="right" vertical="center"/>
    </xf>
    <xf numFmtId="165" fontId="4" fillId="2" borderId="0" xfId="4" applyNumberFormat="1" applyFont="1" applyFill="1" applyBorder="1" applyAlignment="1">
      <alignment horizontal="right" vertical="center"/>
    </xf>
    <xf numFmtId="165" fontId="11" fillId="2" borderId="0" xfId="4" applyNumberFormat="1" applyFont="1" applyFill="1" applyBorder="1" applyAlignment="1">
      <alignment horizontal="lef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2" fillId="2" borderId="2" xfId="4" applyNumberFormat="1" applyFont="1" applyFill="1" applyBorder="1" applyAlignment="1" applyProtection="1">
      <alignment horizontal="left" vertical="center"/>
    </xf>
    <xf numFmtId="165" fontId="13" fillId="2" borderId="0" xfId="4" applyNumberFormat="1" applyFont="1" applyFill="1" applyBorder="1" applyAlignment="1" applyProtection="1">
      <alignment horizontal="left" vertical="center"/>
    </xf>
    <xf numFmtId="165" fontId="13" fillId="2" borderId="1" xfId="4" applyNumberFormat="1" applyFont="1" applyFill="1" applyBorder="1" applyAlignment="1" applyProtection="1">
      <alignment horizontal="left" vertical="center"/>
    </xf>
    <xf numFmtId="165" fontId="17" fillId="2" borderId="1" xfId="0" applyNumberFormat="1" applyFont="1" applyFill="1" applyBorder="1" applyAlignment="1">
      <alignment horizontal="right" vertical="center"/>
    </xf>
    <xf numFmtId="165" fontId="25" fillId="2" borderId="0" xfId="4" applyNumberFormat="1" applyFont="1" applyFill="1" applyAlignment="1">
      <alignment horizontal="left" vertical="center"/>
    </xf>
    <xf numFmtId="165" fontId="21" fillId="2" borderId="0" xfId="4" applyNumberFormat="1" applyFont="1" applyFill="1" applyAlignment="1">
      <alignment horizontal="right"/>
    </xf>
    <xf numFmtId="165" fontId="16" fillId="2" borderId="0" xfId="4" applyNumberFormat="1" applyFont="1" applyFill="1" applyAlignment="1">
      <alignment horizontal="left" vertical="center"/>
    </xf>
    <xf numFmtId="3" fontId="23" fillId="2" borderId="0" xfId="4" applyNumberFormat="1" applyFont="1" applyFill="1" applyBorder="1" applyAlignment="1">
      <alignment horizontal="right" vertical="center"/>
    </xf>
    <xf numFmtId="3" fontId="24" fillId="2" borderId="0" xfId="4" applyNumberFormat="1" applyFont="1" applyFill="1" applyBorder="1" applyAlignment="1">
      <alignment horizontal="center" vertical="center"/>
    </xf>
    <xf numFmtId="3" fontId="24" fillId="2" borderId="1" xfId="4" applyNumberFormat="1" applyFont="1" applyFill="1" applyBorder="1" applyAlignment="1">
      <alignment horizontal="center" vertical="center"/>
    </xf>
    <xf numFmtId="165" fontId="8" fillId="2" borderId="0" xfId="4" applyNumberFormat="1" applyFont="1" applyFill="1" applyAlignment="1">
      <alignment horizontal="left" vertical="center"/>
    </xf>
    <xf numFmtId="165" fontId="7" fillId="2" borderId="0" xfId="4" applyNumberFormat="1" applyFont="1" applyFill="1" applyAlignment="1">
      <alignment horizontal="right" vertical="center"/>
    </xf>
    <xf numFmtId="3" fontId="19" fillId="2" borderId="2" xfId="4" applyNumberFormat="1" applyFont="1" applyFill="1" applyBorder="1" applyAlignment="1">
      <alignment vertical="center"/>
    </xf>
    <xf numFmtId="3" fontId="19" fillId="2" borderId="2" xfId="4" applyNumberFormat="1" applyFont="1" applyFill="1" applyBorder="1" applyAlignment="1">
      <alignment horizontal="right" vertical="center"/>
    </xf>
    <xf numFmtId="3" fontId="3" fillId="2" borderId="0" xfId="4" applyNumberFormat="1" applyFont="1" applyFill="1" applyBorder="1" applyAlignment="1">
      <alignment vertical="center"/>
    </xf>
    <xf numFmtId="3" fontId="19" fillId="2" borderId="0" xfId="4" applyNumberFormat="1" applyFont="1" applyFill="1" applyBorder="1" applyAlignment="1">
      <alignment vertical="center"/>
    </xf>
    <xf numFmtId="3" fontId="18" fillId="2" borderId="0" xfId="4" applyNumberFormat="1" applyFont="1" applyFill="1" applyBorder="1" applyAlignment="1">
      <alignment horizontal="right" vertical="center"/>
    </xf>
    <xf numFmtId="3" fontId="3" fillId="2" borderId="1" xfId="4" applyNumberFormat="1" applyFont="1" applyFill="1" applyBorder="1" applyAlignment="1">
      <alignment vertical="center"/>
    </xf>
    <xf numFmtId="3" fontId="18" fillId="2" borderId="1" xfId="4" applyNumberFormat="1" applyFont="1" applyFill="1" applyBorder="1" applyAlignment="1">
      <alignment horizontal="right" vertical="center"/>
    </xf>
    <xf numFmtId="165" fontId="27" fillId="2" borderId="0" xfId="4" applyNumberFormat="1" applyFont="1" applyFill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5" fontId="10" fillId="2" borderId="0" xfId="0" applyNumberFormat="1" applyFont="1" applyFill="1" applyBorder="1" applyAlignment="1">
      <alignment horizontal="center" vertical="center"/>
    </xf>
    <xf numFmtId="165" fontId="9" fillId="2" borderId="0" xfId="4" applyNumberFormat="1" applyFont="1" applyFill="1" applyBorder="1" applyAlignment="1">
      <alignment horizontal="center" vertical="top"/>
    </xf>
    <xf numFmtId="165" fontId="6" fillId="2" borderId="0" xfId="0" applyNumberFormat="1" applyFont="1" applyFill="1" applyBorder="1" applyAlignment="1">
      <alignment horizontal="center" vertical="center"/>
    </xf>
    <xf numFmtId="165" fontId="20" fillId="2" borderId="0" xfId="0" applyNumberFormat="1" applyFont="1" applyFill="1" applyBorder="1" applyAlignment="1">
      <alignment horizontal="center" vertical="center"/>
    </xf>
    <xf numFmtId="165" fontId="3" fillId="2" borderId="3" xfId="4" applyNumberFormat="1" applyFont="1" applyFill="1" applyBorder="1" applyAlignment="1">
      <alignment horizontal="center" vertical="center"/>
    </xf>
    <xf numFmtId="41" fontId="30" fillId="2" borderId="0" xfId="0" applyNumberFormat="1" applyFont="1" applyFill="1" applyBorder="1" applyAlignment="1" applyProtection="1">
      <alignment horizontal="right" vertical="center"/>
    </xf>
  </cellXfs>
  <cellStyles count="139">
    <cellStyle name="1" xfId="138"/>
    <cellStyle name="Comma 2" xfId="5"/>
    <cellStyle name="Comma 3" xfId="8"/>
    <cellStyle name="Normal" xfId="0" builtinId="0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4" xfId="97"/>
    <cellStyle name="Normal 2 5" xfId="98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3" xfId="109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5" xfId="21"/>
    <cellStyle name="Normal 5 2" xfId="111"/>
    <cellStyle name="Normal 6" xfId="2"/>
    <cellStyle name="Normal 6 2" xfId="132"/>
    <cellStyle name="Normal 6 3" xfId="115"/>
    <cellStyle name="Normal 7" xfId="1"/>
    <cellStyle name="Normal 7 2" xfId="112"/>
    <cellStyle name="Normal 7 3" xfId="15"/>
    <cellStyle name="Normal 8" xfId="4"/>
    <cellStyle name="Normal 8 2" xfId="6"/>
    <cellStyle name="Normal 8 2 2" xfId="113"/>
    <cellStyle name="Normal 8 3" xfId="16"/>
    <cellStyle name="Normal 9" xfId="17"/>
    <cellStyle name="Normal 9 2" xfId="114"/>
    <cellStyle name="Percent 2" xfId="9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</row>
        <row r="28">
          <cell r="A28" t="str">
            <v>Male'</v>
          </cell>
          <cell r="R28">
            <v>29345</v>
          </cell>
          <cell r="S28">
            <v>29777</v>
          </cell>
          <cell r="T28">
            <v>27007</v>
          </cell>
          <cell r="U28">
            <v>25876</v>
          </cell>
          <cell r="V28">
            <v>25565</v>
          </cell>
          <cell r="W28">
            <v>25064</v>
          </cell>
          <cell r="X28">
            <v>26583</v>
          </cell>
          <cell r="Y28">
            <v>27204</v>
          </cell>
          <cell r="Z28">
            <v>28507</v>
          </cell>
          <cell r="AA28">
            <v>30361</v>
          </cell>
        </row>
        <row r="29">
          <cell r="A29" t="str">
            <v>Atolls</v>
          </cell>
          <cell r="R29">
            <v>70896</v>
          </cell>
          <cell r="S29">
            <v>67354</v>
          </cell>
          <cell r="T29">
            <v>66426</v>
          </cell>
          <cell r="U29">
            <v>63965</v>
          </cell>
          <cell r="V29">
            <v>62035</v>
          </cell>
          <cell r="W29">
            <v>61882</v>
          </cell>
          <cell r="X29">
            <v>59927</v>
          </cell>
          <cell r="Y29">
            <v>58892</v>
          </cell>
          <cell r="Z29">
            <v>58576</v>
          </cell>
          <cell r="AA29">
            <v>57980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32"/>
  <sheetViews>
    <sheetView tabSelected="1" zoomScaleNormal="100" zoomScaleSheetLayoutView="100" workbookViewId="0">
      <selection activeCell="M12" sqref="M12"/>
    </sheetView>
  </sheetViews>
  <sheetFormatPr defaultColWidth="9.140625" defaultRowHeight="12.75" x14ac:dyDescent="0.25"/>
  <cols>
    <col min="1" max="1" width="11.42578125" style="29" customWidth="1"/>
    <col min="2" max="2" width="11.5703125" style="6" customWidth="1"/>
    <col min="3" max="4" width="13" style="6" customWidth="1"/>
    <col min="5" max="5" width="2.140625" style="6" customWidth="1"/>
    <col min="6" max="7" width="13.7109375" style="6" customWidth="1"/>
    <col min="8" max="10" width="14.5703125" style="6" customWidth="1"/>
    <col min="11" max="11" width="16.85546875" style="6" customWidth="1"/>
    <col min="12" max="16384" width="9.140625" style="6"/>
  </cols>
  <sheetData>
    <row r="1" spans="1:15" ht="20.25" customHeight="1" x14ac:dyDescent="0.25">
      <c r="A1" s="40" t="s">
        <v>70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38"/>
    </row>
    <row r="2" spans="1:15" s="7" customFormat="1" ht="16.5" customHeight="1" x14ac:dyDescent="0.25">
      <c r="A2" s="41" t="s">
        <v>71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5" s="7" customFormat="1" ht="5.2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5" ht="18.75" x14ac:dyDescent="0.25">
      <c r="A4" s="9"/>
      <c r="B4" s="9"/>
      <c r="C4" s="42" t="s">
        <v>48</v>
      </c>
      <c r="D4" s="42"/>
      <c r="E4" s="9"/>
      <c r="F4" s="43" t="s">
        <v>49</v>
      </c>
      <c r="G4" s="43"/>
      <c r="H4" s="4" t="s">
        <v>50</v>
      </c>
      <c r="I4" s="4" t="s">
        <v>51</v>
      </c>
      <c r="J4" s="4" t="s">
        <v>44</v>
      </c>
      <c r="K4" s="10"/>
    </row>
    <row r="5" spans="1:15" ht="17.25" customHeight="1" x14ac:dyDescent="0.25">
      <c r="A5" s="11" t="s">
        <v>1</v>
      </c>
      <c r="B5" s="12" t="s">
        <v>52</v>
      </c>
      <c r="C5" s="44" t="s">
        <v>43</v>
      </c>
      <c r="D5" s="44"/>
      <c r="E5" s="9"/>
      <c r="F5" s="44" t="s">
        <v>46</v>
      </c>
      <c r="G5" s="44"/>
      <c r="H5" s="4" t="s">
        <v>45</v>
      </c>
      <c r="I5" s="4" t="s">
        <v>45</v>
      </c>
      <c r="J5" s="12" t="s">
        <v>53</v>
      </c>
      <c r="K5" s="13"/>
    </row>
    <row r="6" spans="1:15" ht="18.75" x14ac:dyDescent="0.25">
      <c r="A6" s="14"/>
      <c r="B6" s="15" t="s">
        <v>0</v>
      </c>
      <c r="C6" s="4" t="s">
        <v>54</v>
      </c>
      <c r="D6" s="4" t="s">
        <v>55</v>
      </c>
      <c r="E6" s="16"/>
      <c r="F6" s="4" t="s">
        <v>54</v>
      </c>
      <c r="G6" s="4" t="s">
        <v>55</v>
      </c>
      <c r="H6" s="15" t="s">
        <v>56</v>
      </c>
      <c r="I6" s="15" t="s">
        <v>57</v>
      </c>
      <c r="J6" s="15" t="s">
        <v>47</v>
      </c>
      <c r="K6" s="12" t="s">
        <v>58</v>
      </c>
      <c r="O6" s="39"/>
    </row>
    <row r="7" spans="1:15" ht="12.75" customHeight="1" x14ac:dyDescent="0.25">
      <c r="A7" s="17"/>
      <c r="B7" s="16"/>
      <c r="C7" s="15" t="s">
        <v>59</v>
      </c>
      <c r="D7" s="15" t="s">
        <v>60</v>
      </c>
      <c r="E7" s="16"/>
      <c r="F7" s="15" t="s">
        <v>59</v>
      </c>
      <c r="G7" s="15" t="s">
        <v>60</v>
      </c>
      <c r="H7" s="15" t="s">
        <v>61</v>
      </c>
      <c r="I7" s="15" t="s">
        <v>42</v>
      </c>
      <c r="J7" s="15" t="s">
        <v>62</v>
      </c>
      <c r="K7" s="18"/>
      <c r="O7" s="39"/>
    </row>
    <row r="8" spans="1:15" ht="15" x14ac:dyDescent="0.25">
      <c r="A8" s="19" t="s">
        <v>2</v>
      </c>
      <c r="B8" s="31">
        <f>SUM(C8:G8)</f>
        <v>8817</v>
      </c>
      <c r="C8" s="32">
        <f>SUM(C9:C10)</f>
        <v>6849</v>
      </c>
      <c r="D8" s="32">
        <f>SUM(D9:D10)</f>
        <v>777</v>
      </c>
      <c r="E8" s="32"/>
      <c r="F8" s="32">
        <f>SUM(F9:F10)</f>
        <v>607</v>
      </c>
      <c r="G8" s="32">
        <f>SUM(G9:G10)</f>
        <v>584</v>
      </c>
      <c r="H8" s="32">
        <v>2449</v>
      </c>
      <c r="I8" s="32">
        <v>6368</v>
      </c>
      <c r="J8" s="32">
        <f>H8/B8*100</f>
        <v>27.775887490075991</v>
      </c>
      <c r="K8" s="5" t="s">
        <v>3</v>
      </c>
      <c r="O8" s="45"/>
    </row>
    <row r="9" spans="1:15" ht="14.25" x14ac:dyDescent="0.25">
      <c r="A9" s="11" t="s">
        <v>4</v>
      </c>
      <c r="B9" s="33">
        <f>SUM(C9:G9)</f>
        <v>2258</v>
      </c>
      <c r="C9" s="34">
        <v>2089</v>
      </c>
      <c r="D9" s="34">
        <v>93</v>
      </c>
      <c r="E9" s="26"/>
      <c r="F9" s="34">
        <v>39</v>
      </c>
      <c r="G9" s="34">
        <v>37</v>
      </c>
      <c r="H9" s="34">
        <v>360</v>
      </c>
      <c r="I9" s="34">
        <v>1898</v>
      </c>
      <c r="J9" s="34">
        <f>H9/B9*100</f>
        <v>15.943312666076173</v>
      </c>
      <c r="K9" s="2" t="s">
        <v>5</v>
      </c>
      <c r="O9" s="45"/>
    </row>
    <row r="10" spans="1:15" ht="14.25" x14ac:dyDescent="0.25">
      <c r="A10" s="11" t="s">
        <v>6</v>
      </c>
      <c r="B10" s="34">
        <f>SUM(C10:G10)</f>
        <v>6559</v>
      </c>
      <c r="C10" s="34">
        <v>4760</v>
      </c>
      <c r="D10" s="34">
        <v>684</v>
      </c>
      <c r="E10" s="34"/>
      <c r="F10" s="34">
        <v>568</v>
      </c>
      <c r="G10" s="34">
        <v>547</v>
      </c>
      <c r="H10" s="34">
        <v>2089</v>
      </c>
      <c r="I10" s="34">
        <v>4470</v>
      </c>
      <c r="J10" s="34">
        <f>H10/B10*100</f>
        <v>31.849367281597807</v>
      </c>
      <c r="K10" s="2" t="s">
        <v>7</v>
      </c>
      <c r="O10" s="45"/>
    </row>
    <row r="11" spans="1:15" ht="14.25" x14ac:dyDescent="0.25">
      <c r="A11" s="20" t="s">
        <v>66</v>
      </c>
      <c r="B11" s="33">
        <f>SUM(C11:G11)</f>
        <v>455</v>
      </c>
      <c r="C11" s="35">
        <v>225</v>
      </c>
      <c r="D11" s="35">
        <v>120</v>
      </c>
      <c r="E11" s="27"/>
      <c r="F11" s="35">
        <v>47</v>
      </c>
      <c r="G11" s="35">
        <v>63</v>
      </c>
      <c r="H11" s="35">
        <v>123</v>
      </c>
      <c r="I11" s="35">
        <v>332</v>
      </c>
      <c r="J11" s="35">
        <f>H11/B11*100</f>
        <v>27.032967032967033</v>
      </c>
      <c r="K11" s="3" t="s">
        <v>8</v>
      </c>
      <c r="O11" s="45"/>
    </row>
    <row r="12" spans="1:15" ht="14.25" x14ac:dyDescent="0.25">
      <c r="A12" s="20" t="s">
        <v>67</v>
      </c>
      <c r="B12" s="33">
        <f>SUM(C12:G12)</f>
        <v>576</v>
      </c>
      <c r="C12" s="30">
        <v>317</v>
      </c>
      <c r="D12" s="30">
        <v>143</v>
      </c>
      <c r="E12" s="27"/>
      <c r="F12" s="35">
        <v>42</v>
      </c>
      <c r="G12" s="35">
        <v>74</v>
      </c>
      <c r="H12" s="35">
        <v>165</v>
      </c>
      <c r="I12" s="35">
        <v>411</v>
      </c>
      <c r="J12" s="35">
        <f>H12/B12*100</f>
        <v>28.645833333333332</v>
      </c>
      <c r="K12" s="3" t="s">
        <v>9</v>
      </c>
      <c r="O12" s="45"/>
    </row>
    <row r="13" spans="1:15" ht="14.25" x14ac:dyDescent="0.25">
      <c r="A13" s="20" t="s">
        <v>68</v>
      </c>
      <c r="B13" s="33">
        <f t="shared" ref="B13:B30" si="0">SUM(C13:G13)</f>
        <v>455</v>
      </c>
      <c r="C13" s="35">
        <v>286</v>
      </c>
      <c r="D13" s="35">
        <v>71</v>
      </c>
      <c r="E13" s="27"/>
      <c r="F13" s="35">
        <v>28</v>
      </c>
      <c r="G13" s="35">
        <v>70</v>
      </c>
      <c r="H13" s="35">
        <v>151</v>
      </c>
      <c r="I13" s="35">
        <v>304</v>
      </c>
      <c r="J13" s="35">
        <f t="shared" ref="J13:J30" si="1">H13/B13*100</f>
        <v>33.186813186813183</v>
      </c>
      <c r="K13" s="3" t="s">
        <v>10</v>
      </c>
      <c r="O13" s="45"/>
    </row>
    <row r="14" spans="1:15" ht="14.25" x14ac:dyDescent="0.25">
      <c r="A14" s="20" t="s">
        <v>38</v>
      </c>
      <c r="B14" s="33">
        <f t="shared" si="0"/>
        <v>367</v>
      </c>
      <c r="C14" s="35">
        <v>230</v>
      </c>
      <c r="D14" s="35">
        <v>77</v>
      </c>
      <c r="E14" s="27"/>
      <c r="F14" s="35">
        <v>21</v>
      </c>
      <c r="G14" s="35">
        <v>39</v>
      </c>
      <c r="H14" s="35">
        <v>118</v>
      </c>
      <c r="I14" s="35">
        <v>249</v>
      </c>
      <c r="J14" s="35">
        <f t="shared" si="1"/>
        <v>32.152588555858308</v>
      </c>
      <c r="K14" s="3" t="s">
        <v>11</v>
      </c>
      <c r="O14" s="45"/>
    </row>
    <row r="15" spans="1:15" ht="14.25" x14ac:dyDescent="0.25">
      <c r="A15" s="20" t="s">
        <v>69</v>
      </c>
      <c r="B15" s="33">
        <f>SUM(C15:G15)</f>
        <v>528</v>
      </c>
      <c r="C15" s="35">
        <v>310</v>
      </c>
      <c r="D15" s="35">
        <v>144</v>
      </c>
      <c r="E15" s="27"/>
      <c r="F15" s="35">
        <v>29</v>
      </c>
      <c r="G15" s="35">
        <v>45</v>
      </c>
      <c r="H15" s="35">
        <v>170</v>
      </c>
      <c r="I15" s="35">
        <v>358</v>
      </c>
      <c r="J15" s="35">
        <f t="shared" si="1"/>
        <v>32.196969696969695</v>
      </c>
      <c r="K15" s="3" t="s">
        <v>12</v>
      </c>
      <c r="O15" s="45"/>
    </row>
    <row r="16" spans="1:15" ht="14.25" x14ac:dyDescent="0.25">
      <c r="A16" s="20" t="s">
        <v>13</v>
      </c>
      <c r="B16" s="33">
        <f t="shared" si="0"/>
        <v>355</v>
      </c>
      <c r="C16" s="35">
        <v>205</v>
      </c>
      <c r="D16" s="35">
        <v>82</v>
      </c>
      <c r="E16" s="27"/>
      <c r="F16" s="35">
        <v>21</v>
      </c>
      <c r="G16" s="35">
        <v>47</v>
      </c>
      <c r="H16" s="35">
        <v>106</v>
      </c>
      <c r="I16" s="35">
        <v>249</v>
      </c>
      <c r="J16" s="35">
        <f t="shared" si="1"/>
        <v>29.859154929577464</v>
      </c>
      <c r="K16" s="3" t="s">
        <v>14</v>
      </c>
      <c r="O16" s="45"/>
    </row>
    <row r="17" spans="1:15" ht="14.25" x14ac:dyDescent="0.25">
      <c r="A17" s="20" t="s">
        <v>15</v>
      </c>
      <c r="B17" s="33">
        <f t="shared" si="0"/>
        <v>221</v>
      </c>
      <c r="C17" s="35">
        <v>207</v>
      </c>
      <c r="D17" s="35">
        <v>1</v>
      </c>
      <c r="E17" s="27"/>
      <c r="F17" s="35">
        <v>2</v>
      </c>
      <c r="G17" s="35">
        <v>11</v>
      </c>
      <c r="H17" s="35">
        <v>80</v>
      </c>
      <c r="I17" s="35">
        <v>141</v>
      </c>
      <c r="J17" s="35">
        <f t="shared" si="1"/>
        <v>36.199095022624434</v>
      </c>
      <c r="K17" s="3" t="s">
        <v>16</v>
      </c>
      <c r="O17" s="45"/>
    </row>
    <row r="18" spans="1:15" ht="14.25" x14ac:dyDescent="0.25">
      <c r="A18" s="20" t="s">
        <v>17</v>
      </c>
      <c r="B18" s="33">
        <f t="shared" si="0"/>
        <v>288</v>
      </c>
      <c r="C18" s="35">
        <v>272</v>
      </c>
      <c r="D18" s="35">
        <v>1</v>
      </c>
      <c r="E18" s="27"/>
      <c r="F18" s="35">
        <v>1</v>
      </c>
      <c r="G18" s="35">
        <v>14</v>
      </c>
      <c r="H18" s="35">
        <v>122</v>
      </c>
      <c r="I18" s="35">
        <v>166</v>
      </c>
      <c r="J18" s="35">
        <f t="shared" si="1"/>
        <v>42.361111111111107</v>
      </c>
      <c r="K18" s="3" t="s">
        <v>18</v>
      </c>
      <c r="O18" s="45"/>
    </row>
    <row r="19" spans="1:15" ht="14.25" x14ac:dyDescent="0.25">
      <c r="A19" s="20" t="s">
        <v>19</v>
      </c>
      <c r="B19" s="33">
        <f t="shared" si="0"/>
        <v>214</v>
      </c>
      <c r="C19" s="35">
        <v>183</v>
      </c>
      <c r="D19" s="35">
        <v>2</v>
      </c>
      <c r="E19" s="27"/>
      <c r="F19" s="35">
        <v>0</v>
      </c>
      <c r="G19" s="35">
        <v>29</v>
      </c>
      <c r="H19" s="35">
        <v>79</v>
      </c>
      <c r="I19" s="35">
        <v>135</v>
      </c>
      <c r="J19" s="35">
        <f t="shared" si="1"/>
        <v>36.915887850467286</v>
      </c>
      <c r="K19" s="3" t="s">
        <v>20</v>
      </c>
      <c r="O19" s="45"/>
    </row>
    <row r="20" spans="1:15" ht="14.25" x14ac:dyDescent="0.25">
      <c r="A20" s="20" t="s">
        <v>63</v>
      </c>
      <c r="B20" s="33">
        <f t="shared" si="0"/>
        <v>277</v>
      </c>
      <c r="C20" s="35">
        <v>264</v>
      </c>
      <c r="D20" s="35">
        <v>0</v>
      </c>
      <c r="E20" s="27"/>
      <c r="F20" s="35">
        <v>1</v>
      </c>
      <c r="G20" s="35">
        <v>12</v>
      </c>
      <c r="H20" s="35">
        <v>91</v>
      </c>
      <c r="I20" s="35">
        <v>186</v>
      </c>
      <c r="J20" s="35">
        <f t="shared" si="1"/>
        <v>32.851985559566785</v>
      </c>
      <c r="K20" s="3" t="s">
        <v>21</v>
      </c>
      <c r="O20" s="45"/>
    </row>
    <row r="21" spans="1:15" ht="14.25" x14ac:dyDescent="0.25">
      <c r="A21" s="20" t="s">
        <v>22</v>
      </c>
      <c r="B21" s="33">
        <f t="shared" si="0"/>
        <v>65</v>
      </c>
      <c r="C21" s="35">
        <v>51</v>
      </c>
      <c r="D21" s="35">
        <v>0</v>
      </c>
      <c r="E21" s="27"/>
      <c r="F21" s="35">
        <v>2</v>
      </c>
      <c r="G21" s="35">
        <v>12</v>
      </c>
      <c r="H21" s="35">
        <v>23</v>
      </c>
      <c r="I21" s="35">
        <v>42</v>
      </c>
      <c r="J21" s="35">
        <f t="shared" si="1"/>
        <v>35.384615384615387</v>
      </c>
      <c r="K21" s="3" t="s">
        <v>23</v>
      </c>
      <c r="O21" s="45"/>
    </row>
    <row r="22" spans="1:15" ht="14.25" x14ac:dyDescent="0.25">
      <c r="A22" s="20" t="s">
        <v>24</v>
      </c>
      <c r="B22" s="33">
        <f t="shared" si="0"/>
        <v>186</v>
      </c>
      <c r="C22" s="35">
        <v>173</v>
      </c>
      <c r="D22" s="35">
        <v>5</v>
      </c>
      <c r="E22" s="27"/>
      <c r="F22" s="35">
        <v>6</v>
      </c>
      <c r="G22" s="35">
        <v>2</v>
      </c>
      <c r="H22" s="35">
        <v>67</v>
      </c>
      <c r="I22" s="35">
        <v>119</v>
      </c>
      <c r="J22" s="35">
        <f t="shared" si="1"/>
        <v>36.021505376344088</v>
      </c>
      <c r="K22" s="3" t="s">
        <v>25</v>
      </c>
      <c r="O22" s="45"/>
    </row>
    <row r="23" spans="1:15" ht="14.25" x14ac:dyDescent="0.25">
      <c r="A23" s="20" t="s">
        <v>26</v>
      </c>
      <c r="B23" s="33">
        <f t="shared" si="0"/>
        <v>157</v>
      </c>
      <c r="C23" s="35">
        <v>157</v>
      </c>
      <c r="D23" s="35">
        <v>0</v>
      </c>
      <c r="E23" s="27"/>
      <c r="F23" s="35">
        <v>0</v>
      </c>
      <c r="G23" s="35">
        <v>0</v>
      </c>
      <c r="H23" s="35">
        <v>59</v>
      </c>
      <c r="I23" s="35">
        <v>98</v>
      </c>
      <c r="J23" s="35">
        <f t="shared" si="1"/>
        <v>37.579617834394909</v>
      </c>
      <c r="K23" s="3" t="s">
        <v>27</v>
      </c>
      <c r="O23" s="45"/>
    </row>
    <row r="24" spans="1:15" ht="14.25" x14ac:dyDescent="0.25">
      <c r="A24" s="20" t="s">
        <v>28</v>
      </c>
      <c r="B24" s="33">
        <f t="shared" si="0"/>
        <v>189</v>
      </c>
      <c r="C24" s="35">
        <v>178</v>
      </c>
      <c r="D24" s="35">
        <v>1</v>
      </c>
      <c r="E24" s="27"/>
      <c r="F24" s="35">
        <v>0</v>
      </c>
      <c r="G24" s="35">
        <v>10</v>
      </c>
      <c r="H24" s="35">
        <v>72</v>
      </c>
      <c r="I24" s="35">
        <v>117</v>
      </c>
      <c r="J24" s="35">
        <f t="shared" si="1"/>
        <v>38.095238095238095</v>
      </c>
      <c r="K24" s="3" t="s">
        <v>29</v>
      </c>
      <c r="O24" s="45"/>
    </row>
    <row r="25" spans="1:15" ht="14.25" x14ac:dyDescent="0.25">
      <c r="A25" s="20" t="s">
        <v>30</v>
      </c>
      <c r="B25" s="33">
        <f t="shared" si="0"/>
        <v>354</v>
      </c>
      <c r="C25" s="35">
        <v>326</v>
      </c>
      <c r="D25" s="35">
        <v>0</v>
      </c>
      <c r="E25" s="27"/>
      <c r="F25" s="35">
        <v>4</v>
      </c>
      <c r="G25" s="35">
        <v>24</v>
      </c>
      <c r="H25" s="35">
        <v>135</v>
      </c>
      <c r="I25" s="35">
        <v>219</v>
      </c>
      <c r="J25" s="35">
        <f t="shared" si="1"/>
        <v>38.135593220338983</v>
      </c>
      <c r="K25" s="3" t="s">
        <v>31</v>
      </c>
      <c r="O25" s="45"/>
    </row>
    <row r="26" spans="1:15" ht="14.25" x14ac:dyDescent="0.25">
      <c r="A26" s="20" t="s">
        <v>16</v>
      </c>
      <c r="B26" s="33">
        <f t="shared" si="0"/>
        <v>412</v>
      </c>
      <c r="C26" s="35">
        <v>387</v>
      </c>
      <c r="D26" s="35">
        <v>0</v>
      </c>
      <c r="E26" s="27"/>
      <c r="F26" s="35">
        <v>13</v>
      </c>
      <c r="G26" s="35">
        <v>12</v>
      </c>
      <c r="H26" s="35">
        <v>144</v>
      </c>
      <c r="I26" s="35">
        <v>268</v>
      </c>
      <c r="J26" s="35">
        <f t="shared" si="1"/>
        <v>34.95145631067961</v>
      </c>
      <c r="K26" s="3" t="s">
        <v>32</v>
      </c>
      <c r="O26" s="45"/>
    </row>
    <row r="27" spans="1:15" ht="14.25" x14ac:dyDescent="0.25">
      <c r="A27" s="20" t="s">
        <v>33</v>
      </c>
      <c r="B27" s="33">
        <f t="shared" si="0"/>
        <v>309</v>
      </c>
      <c r="C27" s="35">
        <v>179</v>
      </c>
      <c r="D27" s="35">
        <v>4</v>
      </c>
      <c r="E27" s="27"/>
      <c r="F27" s="35">
        <v>102</v>
      </c>
      <c r="G27" s="35">
        <v>24</v>
      </c>
      <c r="H27" s="35">
        <v>88</v>
      </c>
      <c r="I27" s="35">
        <v>221</v>
      </c>
      <c r="J27" s="35">
        <f t="shared" si="1"/>
        <v>28.478964401294498</v>
      </c>
      <c r="K27" s="3" t="s">
        <v>34</v>
      </c>
      <c r="O27" s="45"/>
    </row>
    <row r="28" spans="1:15" ht="14.25" x14ac:dyDescent="0.25">
      <c r="A28" s="20" t="s">
        <v>35</v>
      </c>
      <c r="B28" s="33">
        <f t="shared" si="0"/>
        <v>373</v>
      </c>
      <c r="C28" s="35">
        <v>268</v>
      </c>
      <c r="D28" s="35">
        <v>12</v>
      </c>
      <c r="E28" s="27"/>
      <c r="F28" s="35">
        <v>59</v>
      </c>
      <c r="G28" s="35">
        <v>34</v>
      </c>
      <c r="H28" s="35">
        <v>113</v>
      </c>
      <c r="I28" s="35">
        <v>260</v>
      </c>
      <c r="J28" s="35">
        <f t="shared" si="1"/>
        <v>30.294906166219839</v>
      </c>
      <c r="K28" s="3" t="s">
        <v>36</v>
      </c>
      <c r="O28" s="45"/>
    </row>
    <row r="29" spans="1:15" ht="14.25" x14ac:dyDescent="0.25">
      <c r="A29" s="20" t="s">
        <v>37</v>
      </c>
      <c r="B29" s="33">
        <f t="shared" si="0"/>
        <v>221</v>
      </c>
      <c r="C29" s="35">
        <v>69</v>
      </c>
      <c r="D29" s="35">
        <v>11</v>
      </c>
      <c r="E29" s="27"/>
      <c r="F29" s="35">
        <v>132</v>
      </c>
      <c r="G29" s="35">
        <v>9</v>
      </c>
      <c r="H29" s="35">
        <v>14</v>
      </c>
      <c r="I29" s="35">
        <v>207</v>
      </c>
      <c r="J29" s="35">
        <f>H29/B29*100</f>
        <v>6.3348416289592757</v>
      </c>
      <c r="K29" s="3" t="s">
        <v>38</v>
      </c>
      <c r="O29" s="45"/>
    </row>
    <row r="30" spans="1:15" ht="14.25" x14ac:dyDescent="0.25">
      <c r="A30" s="21" t="s">
        <v>10</v>
      </c>
      <c r="B30" s="36">
        <f t="shared" si="0"/>
        <v>557</v>
      </c>
      <c r="C30" s="37">
        <v>473</v>
      </c>
      <c r="D30" s="37">
        <v>10</v>
      </c>
      <c r="E30" s="28"/>
      <c r="F30" s="37">
        <v>58</v>
      </c>
      <c r="G30" s="37">
        <v>16</v>
      </c>
      <c r="H30" s="37">
        <v>169</v>
      </c>
      <c r="I30" s="37">
        <v>388</v>
      </c>
      <c r="J30" s="37">
        <f t="shared" si="1"/>
        <v>30.341113105924595</v>
      </c>
      <c r="K30" s="22" t="s">
        <v>39</v>
      </c>
      <c r="O30" s="45"/>
    </row>
    <row r="31" spans="1:15" ht="17.25" x14ac:dyDescent="0.45">
      <c r="A31" s="23" t="s">
        <v>64</v>
      </c>
      <c r="K31" s="24" t="s">
        <v>65</v>
      </c>
      <c r="O31" s="39"/>
    </row>
    <row r="32" spans="1:15" ht="15" x14ac:dyDescent="0.25">
      <c r="A32" s="25" t="s">
        <v>40</v>
      </c>
      <c r="K32" s="1" t="s">
        <v>41</v>
      </c>
    </row>
  </sheetData>
  <mergeCells count="6">
    <mergeCell ref="A1:K1"/>
    <mergeCell ref="A2:K2"/>
    <mergeCell ref="C4:D4"/>
    <mergeCell ref="F4:G4"/>
    <mergeCell ref="C5:D5"/>
    <mergeCell ref="F5:G5"/>
  </mergeCells>
  <pageMargins left="0.25" right="0.27" top="0.75" bottom="0.75" header="0.3" footer="0.3"/>
  <pageSetup paperSize="9" orientation="landscape" r:id="rId1"/>
  <ignoredErrors>
    <ignoredError sqref="C9:G9 C11:G23 C10:G10 K10 C30:G30 C29:G29 K29 C28:G28 K28 C25:G27 C24:G24 K24 C8:G8 K8 K9 K11:K23 K30 K25:K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7.8</vt:lpstr>
      <vt:lpstr>'7.8'!Print_Area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2016-04-04T08:36:17Z</cp:lastPrinted>
  <dcterms:created xsi:type="dcterms:W3CDTF">2014-03-05T03:36:41Z</dcterms:created>
  <dcterms:modified xsi:type="dcterms:W3CDTF">2016-04-04T08:36:20Z</dcterms:modified>
</cp:coreProperties>
</file>