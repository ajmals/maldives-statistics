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5120" windowHeight="8025" tabRatio="880"/>
  </bookViews>
  <sheets>
    <sheet name="7.12" sheetId="17" r:id="rId1"/>
  </sheets>
  <externalReferences>
    <externalReference r:id="rId2"/>
    <externalReference r:id="rId3"/>
  </externalReferences>
  <definedNames>
    <definedName name="_xlnm.Print_Area" localSheetId="0">'7.12'!$A$1:$V$33</definedName>
  </definedNames>
  <calcPr calcId="144525"/>
</workbook>
</file>

<file path=xl/calcChain.xml><?xml version="1.0" encoding="utf-8"?>
<calcChain xmlns="http://schemas.openxmlformats.org/spreadsheetml/2006/main">
  <c r="V9" i="17" l="1"/>
  <c r="V8" i="17"/>
  <c r="V7" i="17" l="1"/>
  <c r="T20" i="17"/>
  <c r="U20" i="17"/>
  <c r="T8" i="17"/>
  <c r="S8" i="17"/>
  <c r="Q8" i="17"/>
  <c r="P8" i="17"/>
  <c r="O8" i="17"/>
  <c r="M8" i="17"/>
  <c r="L8" i="17"/>
  <c r="K8" i="17"/>
  <c r="J8" i="17"/>
  <c r="I8" i="17"/>
  <c r="H8" i="17"/>
  <c r="G8" i="17"/>
  <c r="E8" i="17"/>
  <c r="D8" i="17"/>
  <c r="C8" i="17"/>
  <c r="T29" i="17"/>
  <c r="S29" i="17"/>
  <c r="Q29" i="17"/>
  <c r="P29" i="17"/>
  <c r="O29" i="17"/>
  <c r="M29" i="17"/>
  <c r="L29" i="17"/>
  <c r="K29" i="17"/>
  <c r="J29" i="17"/>
  <c r="I29" i="17"/>
  <c r="H29" i="17"/>
  <c r="G29" i="17"/>
  <c r="E29" i="17"/>
  <c r="D29" i="17"/>
  <c r="C29" i="17"/>
  <c r="T28" i="17"/>
  <c r="S28" i="17"/>
  <c r="Q28" i="17"/>
  <c r="P28" i="17"/>
  <c r="O28" i="17"/>
  <c r="M28" i="17"/>
  <c r="L28" i="17"/>
  <c r="K28" i="17"/>
  <c r="J28" i="17"/>
  <c r="I28" i="17"/>
  <c r="H28" i="17"/>
  <c r="G28" i="17"/>
  <c r="E28" i="17"/>
  <c r="D28" i="17"/>
  <c r="C28" i="17"/>
  <c r="T27" i="17"/>
  <c r="S27" i="17"/>
  <c r="Q27" i="17"/>
  <c r="P27" i="17"/>
  <c r="O27" i="17"/>
  <c r="M27" i="17"/>
  <c r="L27" i="17"/>
  <c r="K27" i="17"/>
  <c r="J27" i="17"/>
  <c r="I27" i="17"/>
  <c r="H27" i="17"/>
  <c r="G27" i="17"/>
  <c r="E27" i="17"/>
  <c r="D27" i="17"/>
  <c r="C27" i="17"/>
  <c r="T26" i="17"/>
  <c r="S26" i="17"/>
  <c r="Q26" i="17"/>
  <c r="P26" i="17"/>
  <c r="O26" i="17"/>
  <c r="M26" i="17"/>
  <c r="L26" i="17"/>
  <c r="K26" i="17"/>
  <c r="J26" i="17"/>
  <c r="I26" i="17"/>
  <c r="H26" i="17"/>
  <c r="G26" i="17"/>
  <c r="E26" i="17"/>
  <c r="D26" i="17"/>
  <c r="C26" i="17"/>
  <c r="T25" i="17"/>
  <c r="S25" i="17"/>
  <c r="Q25" i="17"/>
  <c r="P25" i="17"/>
  <c r="O25" i="17"/>
  <c r="M25" i="17"/>
  <c r="L25" i="17"/>
  <c r="K25" i="17"/>
  <c r="J25" i="17"/>
  <c r="I25" i="17"/>
  <c r="H25" i="17"/>
  <c r="G25" i="17"/>
  <c r="E25" i="17"/>
  <c r="D25" i="17"/>
  <c r="C25" i="17"/>
  <c r="T24" i="17"/>
  <c r="S24" i="17"/>
  <c r="Q24" i="17"/>
  <c r="P24" i="17"/>
  <c r="O24" i="17"/>
  <c r="M24" i="17"/>
  <c r="L24" i="17"/>
  <c r="K24" i="17"/>
  <c r="J24" i="17"/>
  <c r="I24" i="17"/>
  <c r="H24" i="17"/>
  <c r="G24" i="17"/>
  <c r="E24" i="17"/>
  <c r="D24" i="17"/>
  <c r="C24" i="17"/>
  <c r="T23" i="17"/>
  <c r="S23" i="17"/>
  <c r="Q23" i="17"/>
  <c r="P23" i="17"/>
  <c r="O23" i="17"/>
  <c r="M23" i="17"/>
  <c r="L23" i="17"/>
  <c r="K23" i="17"/>
  <c r="J23" i="17"/>
  <c r="I23" i="17"/>
  <c r="H23" i="17"/>
  <c r="G23" i="17"/>
  <c r="E23" i="17"/>
  <c r="D23" i="17"/>
  <c r="C23" i="17"/>
  <c r="T22" i="17"/>
  <c r="S22" i="17"/>
  <c r="Q22" i="17"/>
  <c r="P22" i="17"/>
  <c r="O22" i="17"/>
  <c r="M22" i="17"/>
  <c r="L22" i="17"/>
  <c r="K22" i="17"/>
  <c r="J22" i="17"/>
  <c r="I22" i="17"/>
  <c r="H22" i="17"/>
  <c r="G22" i="17"/>
  <c r="E22" i="17"/>
  <c r="D22" i="17"/>
  <c r="C22" i="17"/>
  <c r="T21" i="17"/>
  <c r="S21" i="17"/>
  <c r="Q21" i="17"/>
  <c r="P21" i="17"/>
  <c r="O21" i="17"/>
  <c r="M21" i="17"/>
  <c r="L21" i="17"/>
  <c r="K21" i="17"/>
  <c r="J21" i="17"/>
  <c r="I21" i="17"/>
  <c r="H21" i="17"/>
  <c r="G21" i="17"/>
  <c r="E21" i="17"/>
  <c r="D21" i="17"/>
  <c r="C21" i="17"/>
  <c r="S20" i="17"/>
  <c r="Q20" i="17"/>
  <c r="P20" i="17"/>
  <c r="O20" i="17"/>
  <c r="M20" i="17"/>
  <c r="L20" i="17"/>
  <c r="K20" i="17"/>
  <c r="J20" i="17"/>
  <c r="I20" i="17"/>
  <c r="H20" i="17"/>
  <c r="G20" i="17"/>
  <c r="E20" i="17"/>
  <c r="D20" i="17"/>
  <c r="C20" i="17"/>
  <c r="T19" i="17"/>
  <c r="Q19" i="17"/>
  <c r="P19" i="17"/>
  <c r="O19" i="17"/>
  <c r="M19" i="17"/>
  <c r="L19" i="17"/>
  <c r="K19" i="17"/>
  <c r="J19" i="17"/>
  <c r="I19" i="17"/>
  <c r="H19" i="17"/>
  <c r="G19" i="17"/>
  <c r="E19" i="17"/>
  <c r="D19" i="17"/>
  <c r="C19" i="17"/>
  <c r="T18" i="17"/>
  <c r="S18" i="17"/>
  <c r="Q18" i="17"/>
  <c r="P18" i="17"/>
  <c r="O18" i="17"/>
  <c r="M18" i="17"/>
  <c r="L18" i="17"/>
  <c r="K18" i="17"/>
  <c r="J18" i="17"/>
  <c r="I18" i="17"/>
  <c r="H18" i="17"/>
  <c r="G18" i="17"/>
  <c r="E18" i="17"/>
  <c r="D18" i="17"/>
  <c r="C18" i="17"/>
  <c r="T17" i="17"/>
  <c r="S17" i="17"/>
  <c r="Q17" i="17"/>
  <c r="P17" i="17"/>
  <c r="O17" i="17"/>
  <c r="M17" i="17"/>
  <c r="L17" i="17"/>
  <c r="K17" i="17"/>
  <c r="J17" i="17"/>
  <c r="I17" i="17"/>
  <c r="H17" i="17"/>
  <c r="G17" i="17"/>
  <c r="E17" i="17"/>
  <c r="D17" i="17"/>
  <c r="C17" i="17"/>
  <c r="T16" i="17"/>
  <c r="S16" i="17"/>
  <c r="Q16" i="17"/>
  <c r="P16" i="17"/>
  <c r="O16" i="17"/>
  <c r="M16" i="17"/>
  <c r="L16" i="17"/>
  <c r="K16" i="17"/>
  <c r="J16" i="17"/>
  <c r="I16" i="17"/>
  <c r="H16" i="17"/>
  <c r="G16" i="17"/>
  <c r="E16" i="17"/>
  <c r="D16" i="17"/>
  <c r="C16" i="17"/>
  <c r="T15" i="17"/>
  <c r="S15" i="17"/>
  <c r="Q15" i="17"/>
  <c r="P15" i="17"/>
  <c r="O15" i="17"/>
  <c r="M15" i="17"/>
  <c r="L15" i="17"/>
  <c r="K15" i="17"/>
  <c r="J15" i="17"/>
  <c r="I15" i="17"/>
  <c r="H15" i="17"/>
  <c r="G15" i="17"/>
  <c r="E15" i="17"/>
  <c r="D15" i="17"/>
  <c r="C15" i="17"/>
  <c r="T14" i="17"/>
  <c r="S14" i="17"/>
  <c r="Q14" i="17"/>
  <c r="P14" i="17"/>
  <c r="O14" i="17"/>
  <c r="M14" i="17"/>
  <c r="L14" i="17"/>
  <c r="K14" i="17"/>
  <c r="J14" i="17"/>
  <c r="I14" i="17"/>
  <c r="H14" i="17"/>
  <c r="G14" i="17"/>
  <c r="E14" i="17"/>
  <c r="D14" i="17"/>
  <c r="C14" i="17"/>
  <c r="T13" i="17"/>
  <c r="S13" i="17"/>
  <c r="Q13" i="17"/>
  <c r="P13" i="17"/>
  <c r="O13" i="17"/>
  <c r="M13" i="17"/>
  <c r="L13" i="17"/>
  <c r="K13" i="17"/>
  <c r="J13" i="17"/>
  <c r="I13" i="17"/>
  <c r="H13" i="17"/>
  <c r="G13" i="17"/>
  <c r="E13" i="17"/>
  <c r="D13" i="17"/>
  <c r="C13" i="17"/>
  <c r="T12" i="17"/>
  <c r="S12" i="17"/>
  <c r="Q12" i="17"/>
  <c r="P12" i="17"/>
  <c r="O12" i="17"/>
  <c r="M12" i="17"/>
  <c r="L12" i="17"/>
  <c r="K12" i="17"/>
  <c r="J12" i="17"/>
  <c r="I12" i="17"/>
  <c r="H12" i="17"/>
  <c r="G12" i="17"/>
  <c r="E12" i="17"/>
  <c r="D12" i="17"/>
  <c r="C12" i="17"/>
  <c r="T11" i="17"/>
  <c r="S11" i="17"/>
  <c r="Q11" i="17"/>
  <c r="P11" i="17"/>
  <c r="O11" i="17"/>
  <c r="M11" i="17"/>
  <c r="L11" i="17"/>
  <c r="K11" i="17"/>
  <c r="J11" i="17"/>
  <c r="I11" i="17"/>
  <c r="H11" i="17"/>
  <c r="G11" i="17"/>
  <c r="E11" i="17"/>
  <c r="D11" i="17"/>
  <c r="C11" i="17"/>
  <c r="T10" i="17"/>
  <c r="S10" i="17"/>
  <c r="Q10" i="17"/>
  <c r="P10" i="17"/>
  <c r="O10" i="17"/>
  <c r="M10" i="17"/>
  <c r="L10" i="17"/>
  <c r="K10" i="17"/>
  <c r="J10" i="17"/>
  <c r="I10" i="17"/>
  <c r="H10" i="17"/>
  <c r="G10" i="17"/>
  <c r="E10" i="17"/>
  <c r="D10" i="17"/>
  <c r="C10" i="17"/>
  <c r="P9" i="17" l="1"/>
  <c r="P7" i="17" s="1"/>
  <c r="U26" i="17"/>
  <c r="H9" i="17"/>
  <c r="H7" i="17" s="1"/>
  <c r="Q9" i="17"/>
  <c r="Q7" i="17" s="1"/>
  <c r="I9" i="17"/>
  <c r="I7" i="17" s="1"/>
  <c r="S9" i="17"/>
  <c r="S7" i="17" s="1"/>
  <c r="N8" i="17"/>
  <c r="N10" i="17"/>
  <c r="G9" i="17"/>
  <c r="G7" i="17" s="1"/>
  <c r="J9" i="17"/>
  <c r="J7" i="17" s="1"/>
  <c r="T9" i="17"/>
  <c r="T7" i="17" s="1"/>
  <c r="N29" i="17"/>
  <c r="N28" i="17"/>
  <c r="L9" i="17"/>
  <c r="L7" i="17" s="1"/>
  <c r="M9" i="17"/>
  <c r="M7" i="17" s="1"/>
  <c r="O9" i="17"/>
  <c r="O7" i="17" s="1"/>
  <c r="R28" i="17"/>
  <c r="U8" i="17"/>
  <c r="F14" i="17"/>
  <c r="R26" i="17"/>
  <c r="U12" i="17"/>
  <c r="U13" i="17"/>
  <c r="U16" i="17"/>
  <c r="U18" i="17"/>
  <c r="U19" i="17"/>
  <c r="U22" i="17"/>
  <c r="U23" i="17"/>
  <c r="U27" i="17"/>
  <c r="F25" i="17"/>
  <c r="R15" i="17"/>
  <c r="R12" i="17"/>
  <c r="K9" i="17"/>
  <c r="U21" i="17"/>
  <c r="U29" i="17"/>
  <c r="F16" i="17"/>
  <c r="F22" i="17"/>
  <c r="F26" i="17"/>
  <c r="R27" i="17"/>
  <c r="F29" i="17"/>
  <c r="E9" i="17"/>
  <c r="E7" i="17" s="1"/>
  <c r="R11" i="17"/>
  <c r="F19" i="17"/>
  <c r="U25" i="17"/>
  <c r="R29" i="17"/>
  <c r="R8" i="17"/>
  <c r="F17" i="17"/>
  <c r="F18" i="17"/>
  <c r="R16" i="17"/>
  <c r="R18" i="17"/>
  <c r="F21" i="17"/>
  <c r="F23" i="17"/>
  <c r="F24" i="17"/>
  <c r="R20" i="17"/>
  <c r="U28" i="17"/>
  <c r="U11" i="17"/>
  <c r="R21" i="17"/>
  <c r="N21" i="17"/>
  <c r="N24" i="17"/>
  <c r="R25" i="17"/>
  <c r="C9" i="17"/>
  <c r="C7" i="17" s="1"/>
  <c r="F11" i="17"/>
  <c r="D9" i="17"/>
  <c r="D7" i="17" s="1"/>
  <c r="F12" i="17"/>
  <c r="U14" i="17"/>
  <c r="U15" i="17"/>
  <c r="R17" i="17"/>
  <c r="R19" i="17"/>
  <c r="R22" i="17"/>
  <c r="R23" i="17"/>
  <c r="F8" i="17"/>
  <c r="U17" i="17"/>
  <c r="N19" i="17"/>
  <c r="N22" i="17"/>
  <c r="N23" i="17"/>
  <c r="R24" i="17"/>
  <c r="N11" i="17"/>
  <c r="N13" i="17"/>
  <c r="N12" i="17"/>
  <c r="R13" i="17"/>
  <c r="F15" i="17"/>
  <c r="N25" i="17"/>
  <c r="F27" i="17"/>
  <c r="N20" i="17"/>
  <c r="F13" i="17"/>
  <c r="U24" i="17"/>
  <c r="N26" i="17"/>
  <c r="F28" i="17"/>
  <c r="R14" i="17"/>
  <c r="N27" i="17"/>
  <c r="N14" i="17"/>
  <c r="N15" i="17"/>
  <c r="N16" i="17"/>
  <c r="N17" i="17"/>
  <c r="N18" i="17"/>
  <c r="F20" i="17"/>
  <c r="U10" i="17"/>
  <c r="F10" i="17"/>
  <c r="R10" i="17"/>
  <c r="B10" i="17" l="1"/>
  <c r="B13" i="17"/>
  <c r="B24" i="17"/>
  <c r="B21" i="17"/>
  <c r="B19" i="17"/>
  <c r="B8" i="17"/>
  <c r="B11" i="17"/>
  <c r="B26" i="17"/>
  <c r="B25" i="17"/>
  <c r="R9" i="17"/>
  <c r="R7" i="17" s="1"/>
  <c r="B23" i="17"/>
  <c r="B16" i="17"/>
  <c r="B14" i="17"/>
  <c r="B27" i="17"/>
  <c r="B20" i="17"/>
  <c r="B28" i="17"/>
  <c r="B15" i="17"/>
  <c r="B22" i="17"/>
  <c r="B12" i="17"/>
  <c r="B18" i="17"/>
  <c r="B29" i="17"/>
  <c r="B17" i="17"/>
  <c r="U9" i="17"/>
  <c r="N9" i="17"/>
  <c r="N7" i="17" s="1"/>
  <c r="K7" i="17"/>
  <c r="F9" i="17"/>
  <c r="F7" i="17" s="1"/>
  <c r="B9" i="17" l="1"/>
  <c r="U7" i="17"/>
  <c r="B7" i="17" s="1"/>
</calcChain>
</file>

<file path=xl/sharedStrings.xml><?xml version="1.0" encoding="utf-8"?>
<sst xmlns="http://schemas.openxmlformats.org/spreadsheetml/2006/main" count="53" uniqueCount="49">
  <si>
    <t>Total</t>
  </si>
  <si>
    <t>Male'</t>
  </si>
  <si>
    <t>Source: Ministry of Education</t>
  </si>
  <si>
    <t>cnwxEkuaiDea cfoa IrcTcsinim :ctWrwf ivcaed utWmUluAwm</t>
  </si>
  <si>
    <t>Primary</t>
  </si>
  <si>
    <t>Higher Secondary</t>
  </si>
  <si>
    <t>LKG</t>
  </si>
  <si>
    <t>UKG</t>
  </si>
  <si>
    <t>TOTAL</t>
  </si>
  <si>
    <t>Name of Atoll</t>
  </si>
  <si>
    <t>Nurs.</t>
  </si>
  <si>
    <t>Gr. 1</t>
  </si>
  <si>
    <t>Gr. 2</t>
  </si>
  <si>
    <t>Gr. 3</t>
  </si>
  <si>
    <t>Gr. 4</t>
  </si>
  <si>
    <t>Gr. 5</t>
  </si>
  <si>
    <t>Gr. 6</t>
  </si>
  <si>
    <t>Gr. 7</t>
  </si>
  <si>
    <t>Gr. 8</t>
  </si>
  <si>
    <t>Gr. 9</t>
  </si>
  <si>
    <t>Gr. 10</t>
  </si>
  <si>
    <t>Gr. 11</t>
  </si>
  <si>
    <t>Gr. 12</t>
  </si>
  <si>
    <t>Haa Alifu</t>
  </si>
  <si>
    <t>Haa Dhaalu</t>
  </si>
  <si>
    <t>Shaviyani</t>
  </si>
  <si>
    <t>Noonu</t>
  </si>
  <si>
    <t>Raa</t>
  </si>
  <si>
    <t>Baa</t>
  </si>
  <si>
    <t>Lhaviyani</t>
  </si>
  <si>
    <t>Kaafu</t>
  </si>
  <si>
    <t>Alifu Alifu</t>
  </si>
  <si>
    <t>Alifu Dhaalu</t>
  </si>
  <si>
    <t>Vaavu</t>
  </si>
  <si>
    <t>Meemu</t>
  </si>
  <si>
    <t>Faafu</t>
  </si>
  <si>
    <t>Dhaalu</t>
  </si>
  <si>
    <t>Thaa</t>
  </si>
  <si>
    <t>Laamu</t>
  </si>
  <si>
    <t>Gaafu Alifu</t>
  </si>
  <si>
    <t>Gaafu Dhaalu</t>
  </si>
  <si>
    <t>Gnaviyani</t>
  </si>
  <si>
    <t>Seenu</t>
  </si>
  <si>
    <t xml:space="preserve">Atolls </t>
  </si>
  <si>
    <t>Special Classes</t>
  </si>
  <si>
    <t>Secondary</t>
  </si>
  <si>
    <t>Pre-Primary</t>
  </si>
  <si>
    <t>Table  7.12 : STUDENTS ENROLMENT IN MALE' AND ATOLLS BY GRADE, 2015</t>
  </si>
  <si>
    <t xml:space="preserve"> 2015 ,cnikwv cDErcg udwdwA egcnidukWvwyik ibit iawgukwtuLotwa iaWaelWm :7.12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</si>
</sst>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_(* ###0_);_(* \(###0\);_(* &quot;&quot;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u/>
      <sz val="10"/>
      <color indexed="12"/>
      <name val="Courier"/>
      <family val="3"/>
    </font>
    <font>
      <i/>
      <sz val="9"/>
      <name val="Calibri"/>
      <family val="2"/>
      <scheme val="minor"/>
    </font>
    <font>
      <i/>
      <sz val="9"/>
      <name val="Arial"/>
      <family val="2"/>
    </font>
    <font>
      <sz val="8"/>
      <name val="A_Randhoo"/>
    </font>
    <font>
      <u/>
      <sz val="9"/>
      <color indexed="12"/>
      <name val="Courier"/>
      <family val="3"/>
    </font>
    <font>
      <sz val="10"/>
      <name val="MS Sans Serif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6.5"/>
      <name val="Calibri"/>
      <family val="2"/>
      <scheme val="minor"/>
    </font>
    <font>
      <b/>
      <sz val="14"/>
      <name val="Calibri"/>
      <family val="2"/>
      <scheme val="minor"/>
    </font>
    <font>
      <b/>
      <sz val="6.5"/>
      <name val="Calibri"/>
      <family val="2"/>
      <scheme val="minor"/>
    </font>
    <font>
      <b/>
      <sz val="6"/>
      <name val="Calibri"/>
      <family val="2"/>
      <scheme val="minor"/>
    </font>
    <font>
      <b/>
      <sz val="14"/>
      <color rgb="FFFF0000"/>
      <name val="Arial"/>
      <family val="2"/>
    </font>
    <font>
      <b/>
      <sz val="12"/>
      <name val="Calibri"/>
      <family val="2"/>
      <scheme val="minor"/>
    </font>
    <font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41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2" fillId="0" borderId="0"/>
    <xf numFmtId="166" fontId="2" fillId="0" borderId="0"/>
    <xf numFmtId="40" fontId="13" fillId="0" borderId="0" applyFont="0" applyFill="0" applyBorder="0" applyAlignment="0" applyProtection="0"/>
    <xf numFmtId="164" fontId="2" fillId="0" borderId="0"/>
    <xf numFmtId="0" fontId="16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7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66">
    <xf numFmtId="0" fontId="0" fillId="0" borderId="0" xfId="0"/>
    <xf numFmtId="165" fontId="7" fillId="2" borderId="0" xfId="0" applyNumberFormat="1" applyFont="1" applyFill="1"/>
    <xf numFmtId="165" fontId="9" fillId="2" borderId="0" xfId="0" applyNumberFormat="1" applyFont="1" applyFill="1" applyAlignment="1" applyProtection="1">
      <alignment horizontal="left" vertical="center"/>
    </xf>
    <xf numFmtId="165" fontId="10" fillId="2" borderId="0" xfId="0" applyNumberFormat="1" applyFont="1" applyFill="1" applyAlignment="1" applyProtection="1">
      <alignment horizontal="left" vertical="center"/>
    </xf>
    <xf numFmtId="165" fontId="7" fillId="2" borderId="0" xfId="0" applyNumberFormat="1" applyFont="1" applyFill="1" applyBorder="1" applyAlignment="1">
      <alignment vertical="center"/>
    </xf>
    <xf numFmtId="165" fontId="10" fillId="2" borderId="0" xfId="0" applyNumberFormat="1" applyFont="1" applyFill="1" applyAlignment="1" applyProtection="1">
      <alignment horizontal="right" vertical="center"/>
    </xf>
    <xf numFmtId="165" fontId="11" fillId="2" borderId="0" xfId="0" applyNumberFormat="1" applyFont="1" applyFill="1" applyBorder="1" applyAlignment="1">
      <alignment horizontal="right" vertical="center"/>
    </xf>
    <xf numFmtId="165" fontId="6" fillId="2" borderId="0" xfId="0" applyNumberFormat="1" applyFont="1" applyFill="1"/>
    <xf numFmtId="165" fontId="12" fillId="2" borderId="0" xfId="4" applyNumberFormat="1" applyFont="1" applyFill="1" applyAlignment="1" applyProtection="1"/>
    <xf numFmtId="0" fontId="18" fillId="2" borderId="0" xfId="0" applyFont="1" applyFill="1" applyBorder="1"/>
    <xf numFmtId="0" fontId="18" fillId="2" borderId="0" xfId="0" applyFont="1" applyFill="1" applyBorder="1" applyAlignment="1">
      <alignment horizontal="left"/>
    </xf>
    <xf numFmtId="0" fontId="18" fillId="2" borderId="0" xfId="0" applyFont="1" applyFill="1" applyBorder="1" applyAlignment="1">
      <alignment horizontal="center"/>
    </xf>
    <xf numFmtId="0" fontId="18" fillId="2" borderId="0" xfId="0" applyFont="1" applyFill="1" applyBorder="1" applyAlignment="1"/>
    <xf numFmtId="0" fontId="14" fillId="2" borderId="0" xfId="0" applyFont="1" applyFill="1" applyBorder="1"/>
    <xf numFmtId="167" fontId="14" fillId="2" borderId="0" xfId="0" applyNumberFormat="1" applyFont="1" applyFill="1" applyBorder="1"/>
    <xf numFmtId="0" fontId="15" fillId="2" borderId="0" xfId="0" applyFont="1" applyFill="1" applyBorder="1" applyAlignment="1">
      <alignment vertical="center"/>
    </xf>
    <xf numFmtId="1" fontId="21" fillId="2" borderId="0" xfId="0" applyNumberFormat="1" applyFont="1" applyFill="1" applyBorder="1" applyAlignment="1">
      <alignment horizontal="left"/>
    </xf>
    <xf numFmtId="1" fontId="21" fillId="2" borderId="0" xfId="0" applyNumberFormat="1" applyFont="1" applyFill="1" applyBorder="1" applyAlignment="1">
      <alignment horizontal="centerContinuous"/>
    </xf>
    <xf numFmtId="0" fontId="20" fillId="2" borderId="0" xfId="0" applyFont="1" applyFill="1" applyBorder="1" applyAlignment="1">
      <alignment horizontal="center"/>
    </xf>
    <xf numFmtId="1" fontId="21" fillId="2" borderId="0" xfId="0" applyNumberFormat="1" applyFont="1" applyFill="1" applyBorder="1" applyAlignment="1"/>
    <xf numFmtId="1" fontId="20" fillId="2" borderId="0" xfId="0" applyNumberFormat="1" applyFont="1" applyFill="1" applyBorder="1" applyAlignment="1">
      <alignment horizontal="center"/>
    </xf>
    <xf numFmtId="1" fontId="20" fillId="2" borderId="0" xfId="0" applyNumberFormat="1" applyFont="1" applyFill="1" applyBorder="1" applyAlignment="1"/>
    <xf numFmtId="167" fontId="18" fillId="2" borderId="0" xfId="0" applyNumberFormat="1" applyFont="1" applyFill="1" applyBorder="1" applyAlignment="1">
      <alignment horizontal="center"/>
    </xf>
    <xf numFmtId="167" fontId="18" fillId="2" borderId="0" xfId="0" applyNumberFormat="1" applyFont="1" applyFill="1" applyBorder="1" applyAlignment="1"/>
    <xf numFmtId="0" fontId="0" fillId="2" borderId="0" xfId="0" applyFont="1" applyFill="1" applyBorder="1"/>
    <xf numFmtId="0" fontId="0" fillId="2" borderId="0" xfId="0" applyFont="1" applyFill="1" applyBorder="1" applyAlignment="1"/>
    <xf numFmtId="0" fontId="4" fillId="2" borderId="0" xfId="0" applyFont="1" applyFill="1" applyBorder="1" applyAlignment="1">
      <alignment horizontal="left"/>
    </xf>
    <xf numFmtId="166" fontId="4" fillId="2" borderId="0" xfId="1" applyNumberFormat="1" applyFont="1" applyFill="1" applyBorder="1" applyAlignment="1">
      <alignment horizontal="center"/>
    </xf>
    <xf numFmtId="166" fontId="5" fillId="2" borderId="0" xfId="1" applyNumberFormat="1" applyFont="1" applyFill="1" applyBorder="1" applyAlignment="1">
      <alignment horizontal="center"/>
    </xf>
    <xf numFmtId="166" fontId="5" fillId="2" borderId="0" xfId="1" applyNumberFormat="1" applyFont="1" applyFill="1" applyBorder="1"/>
    <xf numFmtId="0" fontId="4" fillId="2" borderId="0" xfId="0" applyFont="1" applyFill="1" applyBorder="1" applyAlignment="1">
      <alignment horizontal="left" vertical="center"/>
    </xf>
    <xf numFmtId="166" fontId="4" fillId="2" borderId="0" xfId="1" applyNumberFormat="1" applyFont="1" applyFill="1" applyBorder="1" applyAlignment="1">
      <alignment horizontal="center" vertical="center"/>
    </xf>
    <xf numFmtId="166" fontId="4" fillId="2" borderId="8" xfId="1" applyNumberFormat="1" applyFont="1" applyFill="1" applyBorder="1" applyAlignment="1">
      <alignment horizontal="center"/>
    </xf>
    <xf numFmtId="166" fontId="5" fillId="2" borderId="8" xfId="1" applyNumberFormat="1" applyFont="1" applyFill="1" applyBorder="1" applyAlignment="1">
      <alignment horizontal="center"/>
    </xf>
    <xf numFmtId="166" fontId="5" fillId="2" borderId="8" xfId="1" applyNumberFormat="1" applyFont="1" applyFill="1" applyBorder="1"/>
    <xf numFmtId="0" fontId="5" fillId="2" borderId="0" xfId="0" applyFont="1" applyFill="1" applyBorder="1" applyAlignment="1">
      <alignment horizontal="left" indent="1"/>
    </xf>
    <xf numFmtId="0" fontId="5" fillId="2" borderId="8" xfId="0" applyFont="1" applyFill="1" applyBorder="1" applyAlignment="1">
      <alignment horizontal="left" indent="1"/>
    </xf>
    <xf numFmtId="166" fontId="4" fillId="2" borderId="7" xfId="1" applyNumberFormat="1" applyFont="1" applyFill="1" applyBorder="1" applyAlignment="1">
      <alignment horizontal="center" vertical="center"/>
    </xf>
    <xf numFmtId="166" fontId="5" fillId="2" borderId="7" xfId="1" applyNumberFormat="1" applyFont="1" applyFill="1" applyBorder="1" applyAlignment="1">
      <alignment horizontal="center"/>
    </xf>
    <xf numFmtId="166" fontId="5" fillId="2" borderId="9" xfId="1" applyNumberFormat="1" applyFont="1" applyFill="1" applyBorder="1" applyAlignment="1">
      <alignment horizontal="center"/>
    </xf>
    <xf numFmtId="37" fontId="5" fillId="2" borderId="0" xfId="1" applyNumberFormat="1" applyFont="1" applyFill="1" applyBorder="1" applyAlignment="1">
      <alignment horizontal="right" vertical="center"/>
    </xf>
    <xf numFmtId="37" fontId="5" fillId="2" borderId="7" xfId="1" applyNumberFormat="1" applyFont="1" applyFill="1" applyBorder="1" applyAlignment="1">
      <alignment horizontal="right" vertical="center"/>
    </xf>
    <xf numFmtId="165" fontId="22" fillId="2" borderId="0" xfId="0" applyNumberFormat="1" applyFont="1" applyFill="1"/>
    <xf numFmtId="166" fontId="4" fillId="2" borderId="7" xfId="1" applyNumberFormat="1" applyFont="1" applyFill="1" applyBorder="1" applyAlignment="1">
      <alignment horizontal="center"/>
    </xf>
    <xf numFmtId="0" fontId="15" fillId="2" borderId="0" xfId="0" applyFont="1" applyFill="1" applyBorder="1"/>
    <xf numFmtId="1" fontId="4" fillId="2" borderId="10" xfId="0" applyNumberFormat="1" applyFont="1" applyFill="1" applyBorder="1" applyAlignment="1">
      <alignment horizontal="left" vertical="center"/>
    </xf>
    <xf numFmtId="1" fontId="4" fillId="2" borderId="0" xfId="0" applyNumberFormat="1" applyFont="1" applyFill="1" applyBorder="1" applyAlignment="1">
      <alignment horizontal="left" vertical="center"/>
    </xf>
    <xf numFmtId="1" fontId="4" fillId="2" borderId="8" xfId="0" applyNumberFormat="1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vertical="center" wrapText="1"/>
    </xf>
    <xf numFmtId="1" fontId="4" fillId="2" borderId="1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right" vertical="center"/>
    </xf>
    <xf numFmtId="0" fontId="4" fillId="2" borderId="9" xfId="0" applyFont="1" applyFill="1" applyBorder="1" applyAlignment="1">
      <alignment horizontal="right" vertical="center"/>
    </xf>
    <xf numFmtId="0" fontId="24" fillId="2" borderId="0" xfId="0" applyFont="1" applyFill="1" applyBorder="1" applyAlignment="1">
      <alignment horizontal="center"/>
    </xf>
    <xf numFmtId="0" fontId="23" fillId="2" borderId="0" xfId="0" applyFont="1" applyFill="1" applyBorder="1" applyAlignment="1">
      <alignment horizontal="center"/>
    </xf>
    <xf numFmtId="0" fontId="19" fillId="2" borderId="0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right" vertical="center" wrapText="1"/>
    </xf>
    <xf numFmtId="0" fontId="4" fillId="2" borderId="8" xfId="0" applyFont="1" applyFill="1" applyBorder="1" applyAlignment="1">
      <alignment horizontal="right" vertical="center" wrapText="1"/>
    </xf>
  </cellXfs>
  <cellStyles count="141">
    <cellStyle name="1" xfId="140"/>
    <cellStyle name="Comma" xfId="1" builtinId="3"/>
    <cellStyle name="Comma 2" xfId="7"/>
    <cellStyle name="Comma 3" xfId="10"/>
    <cellStyle name="Hyperlink" xfId="4" builtinId="8"/>
    <cellStyle name="Normal" xfId="0" builtinId="0"/>
    <cellStyle name="Normal 10" xfId="20"/>
    <cellStyle name="Normal 10 2" xfId="34"/>
    <cellStyle name="Normal 105 2" xfId="126"/>
    <cellStyle name="Normal 11" xfId="21"/>
    <cellStyle name="Normal 11 2" xfId="35"/>
    <cellStyle name="Normal 12" xfId="22"/>
    <cellStyle name="Normal 12 2" xfId="36"/>
    <cellStyle name="Normal 13" xfId="24"/>
    <cellStyle name="Normal 13 2" xfId="37"/>
    <cellStyle name="Normal 14" xfId="25"/>
    <cellStyle name="Normal 14 2" xfId="38"/>
    <cellStyle name="Normal 15" xfId="26"/>
    <cellStyle name="Normal 15 2" xfId="39"/>
    <cellStyle name="Normal 16" xfId="27"/>
    <cellStyle name="Normal 16 2" xfId="40"/>
    <cellStyle name="Normal 17" xfId="28"/>
    <cellStyle name="Normal 17 2" xfId="41"/>
    <cellStyle name="Normal 18" xfId="29"/>
    <cellStyle name="Normal 18 2" xfId="42"/>
    <cellStyle name="Normal 19" xfId="30"/>
    <cellStyle name="Normal 19 2" xfId="43"/>
    <cellStyle name="Normal 2" xfId="13"/>
    <cellStyle name="Normal 2 10" xfId="44"/>
    <cellStyle name="Normal 2 11" xfId="45"/>
    <cellStyle name="Normal 2 12" xfId="46"/>
    <cellStyle name="Normal 2 13" xfId="47"/>
    <cellStyle name="Normal 2 14" xfId="48"/>
    <cellStyle name="Normal 2 15" xfId="49"/>
    <cellStyle name="Normal 2 16" xfId="50"/>
    <cellStyle name="Normal 2 17" xfId="51"/>
    <cellStyle name="Normal 2 18" xfId="52"/>
    <cellStyle name="Normal 2 19" xfId="53"/>
    <cellStyle name="Normal 2 2" xfId="12"/>
    <cellStyle name="Normal 2 2 10" xfId="54"/>
    <cellStyle name="Normal 2 2 11" xfId="55"/>
    <cellStyle name="Normal 2 2 12" xfId="56"/>
    <cellStyle name="Normal 2 2 13" xfId="57"/>
    <cellStyle name="Normal 2 2 14" xfId="58"/>
    <cellStyle name="Normal 2 2 15" xfId="59"/>
    <cellStyle name="Normal 2 2 16" xfId="60"/>
    <cellStyle name="Normal 2 2 17" xfId="61"/>
    <cellStyle name="Normal 2 2 18" xfId="62"/>
    <cellStyle name="Normal 2 2 19" xfId="63"/>
    <cellStyle name="Normal 2 2 2" xfId="5"/>
    <cellStyle name="Normal 2 2 20" xfId="64"/>
    <cellStyle name="Normal 2 2 21" xfId="65"/>
    <cellStyle name="Normal 2 2 22" xfId="66"/>
    <cellStyle name="Normal 2 2 23" xfId="67"/>
    <cellStyle name="Normal 2 2 24" xfId="68"/>
    <cellStyle name="Normal 2 2 24 2" xfId="69"/>
    <cellStyle name="Normal 2 2 24 2 2" xfId="70"/>
    <cellStyle name="Normal 2 2 25" xfId="71"/>
    <cellStyle name="Normal 2 2 25 2" xfId="72"/>
    <cellStyle name="Normal 2 2 3" xfId="73"/>
    <cellStyle name="Normal 2 2 4" xfId="74"/>
    <cellStyle name="Normal 2 2 5" xfId="75"/>
    <cellStyle name="Normal 2 2 5 2" xfId="76"/>
    <cellStyle name="Normal 2 2 5 2 2" xfId="77"/>
    <cellStyle name="Normal 2 2 5 2 2 2" xfId="78"/>
    <cellStyle name="Normal 2 2 5 3" xfId="79"/>
    <cellStyle name="Normal 2 2 5 4" xfId="80"/>
    <cellStyle name="Normal 2 2 6" xfId="81"/>
    <cellStyle name="Normal 2 2 7" xfId="82"/>
    <cellStyle name="Normal 2 2 8" xfId="83"/>
    <cellStyle name="Normal 2 2 9" xfId="84"/>
    <cellStyle name="Normal 2 20" xfId="85"/>
    <cellStyle name="Normal 2 21" xfId="86"/>
    <cellStyle name="Normal 2 22" xfId="87"/>
    <cellStyle name="Normal 2 23" xfId="88"/>
    <cellStyle name="Normal 2 24" xfId="89"/>
    <cellStyle name="Normal 2 24 2" xfId="90"/>
    <cellStyle name="Normal 2 24 2 2" xfId="91"/>
    <cellStyle name="Normal 2 25" xfId="92"/>
    <cellStyle name="Normal 2 25 2" xfId="93"/>
    <cellStyle name="Normal 2 3" xfId="14"/>
    <cellStyle name="Normal 2 3 2" xfId="94"/>
    <cellStyle name="Normal 2 3 2 2" xfId="95"/>
    <cellStyle name="Normal 2 3 2 2 2" xfId="96"/>
    <cellStyle name="Normal 2 3 3" xfId="97"/>
    <cellStyle name="Normal 2 3 4" xfId="98"/>
    <cellStyle name="Normal 2 4" xfId="99"/>
    <cellStyle name="Normal 2 5" xfId="100"/>
    <cellStyle name="Normal 2 6" xfId="101"/>
    <cellStyle name="Normal 2 7" xfId="102"/>
    <cellStyle name="Normal 2 8" xfId="103"/>
    <cellStyle name="Normal 2 9" xfId="104"/>
    <cellStyle name="Normal 20" xfId="31"/>
    <cellStyle name="Normal 20 2" xfId="105"/>
    <cellStyle name="Normal 21" xfId="32"/>
    <cellStyle name="Normal 21 2" xfId="106"/>
    <cellStyle name="Normal 22" xfId="33"/>
    <cellStyle name="Normal 22 2" xfId="107"/>
    <cellStyle name="Normal 23" xfId="108"/>
    <cellStyle name="Normal 23 2" xfId="109"/>
    <cellStyle name="Normal 24" xfId="133"/>
    <cellStyle name="Normal 25" xfId="15"/>
    <cellStyle name="Normal 25 2" xfId="127"/>
    <cellStyle name="Normal 26" xfId="120"/>
    <cellStyle name="Normal 26 2" xfId="137"/>
    <cellStyle name="Normal 27" xfId="118"/>
    <cellStyle name="Normal 27 2" xfId="136"/>
    <cellStyle name="Normal 28" xfId="121"/>
    <cellStyle name="Normal 28 2" xfId="130"/>
    <cellStyle name="Normal 29" xfId="128"/>
    <cellStyle name="Normal 3" xfId="9"/>
    <cellStyle name="Normal 3 11" xfId="124"/>
    <cellStyle name="Normal 3 12" xfId="122"/>
    <cellStyle name="Normal 3 13" xfId="123"/>
    <cellStyle name="Normal 3 14" xfId="125"/>
    <cellStyle name="Normal 3 2" xfId="110"/>
    <cellStyle name="Normal 3 3" xfId="111"/>
    <cellStyle name="Normal 30" xfId="135"/>
    <cellStyle name="Normal 31" xfId="132"/>
    <cellStyle name="Normal 32" xfId="129"/>
    <cellStyle name="Normal 33" xfId="139"/>
    <cellStyle name="Normal 34" xfId="131"/>
    <cellStyle name="Normal 35" xfId="138"/>
    <cellStyle name="Normal 4" xfId="16"/>
    <cellStyle name="Normal 4 2" xfId="112"/>
    <cellStyle name="Normal 4 3" xfId="119"/>
    <cellStyle name="Normal 5" xfId="23"/>
    <cellStyle name="Normal 5 2" xfId="113"/>
    <cellStyle name="Normal 6" xfId="3"/>
    <cellStyle name="Normal 6 2" xfId="134"/>
    <cellStyle name="Normal 6 3" xfId="117"/>
    <cellStyle name="Normal 7" xfId="2"/>
    <cellStyle name="Normal 7 2" xfId="114"/>
    <cellStyle name="Normal 7 3" xfId="17"/>
    <cellStyle name="Normal 8" xfId="6"/>
    <cellStyle name="Normal 8 2" xfId="8"/>
    <cellStyle name="Normal 8 2 2" xfId="115"/>
    <cellStyle name="Normal 8 3" xfId="18"/>
    <cellStyle name="Normal 9" xfId="19"/>
    <cellStyle name="Normal 9 2" xfId="116"/>
    <cellStyle name="Percent 2" xfId="11"/>
  </cellStyles>
  <dxfs count="0"/>
  <tableStyles count="0" defaultTableStyle="TableStyleMedium9" defaultPivotStyle="PivotStyleLight16"/>
  <colors>
    <mruColors>
      <color rgb="FFC9F3F1"/>
      <color rgb="FFE1F8F7"/>
      <color rgb="FFA3FFFF"/>
      <color rgb="FF33CCCC"/>
      <color rgb="FFE7FFFF"/>
      <color rgb="FF071B1B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Desktop\Indicators%20%20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Stat%20Book%202015%20Edited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edu"/>
      <sheetName val="Law &amp; Ord"/>
      <sheetName val="Fisher"/>
      <sheetName val="Touri"/>
      <sheetName val="11Transp"/>
      <sheetName val="Finance"/>
      <sheetName val="Money &amp; banking"/>
      <sheetName val="Foerign trade &amp; BOP"/>
      <sheetName val="NA"/>
      <sheetName val="Prices (2)"/>
      <sheetName val="Political parties &amp; Elections"/>
      <sheetName val="poverty"/>
      <sheetName val="Sheet1"/>
    </sheetNames>
    <sheetDataSet>
      <sheetData sheetId="0">
        <row r="13">
          <cell r="F13">
            <v>1996</v>
          </cell>
        </row>
      </sheetData>
      <sheetData sheetId="1"/>
      <sheetData sheetId="2"/>
      <sheetData sheetId="3"/>
      <sheetData sheetId="4">
        <row r="3">
          <cell r="R3">
            <v>2006</v>
          </cell>
          <cell r="S3">
            <v>2007</v>
          </cell>
          <cell r="T3">
            <v>2008</v>
          </cell>
          <cell r="U3">
            <v>2009</v>
          </cell>
          <cell r="V3">
            <v>2010</v>
          </cell>
          <cell r="W3">
            <v>2011</v>
          </cell>
          <cell r="X3">
            <v>2012</v>
          </cell>
          <cell r="Y3">
            <v>2013</v>
          </cell>
          <cell r="Z3">
            <v>2014</v>
          </cell>
          <cell r="AA3">
            <v>2015</v>
          </cell>
        </row>
        <row r="15">
          <cell r="A15" t="str">
            <v xml:space="preserve">Student / Teacher Ratio </v>
          </cell>
          <cell r="R15">
            <v>15.06024639423077</v>
          </cell>
          <cell r="S15">
            <v>13.891733409610984</v>
          </cell>
          <cell r="T15">
            <v>12</v>
          </cell>
          <cell r="U15">
            <v>12</v>
          </cell>
          <cell r="V15">
            <v>11</v>
          </cell>
          <cell r="W15">
            <v>12</v>
          </cell>
          <cell r="X15">
            <v>11</v>
          </cell>
          <cell r="Y15">
            <v>10.47</v>
          </cell>
          <cell r="Z15">
            <v>10.347997138769671</v>
          </cell>
          <cell r="AA15">
            <v>9.9835544969944419</v>
          </cell>
        </row>
        <row r="28">
          <cell r="A28" t="str">
            <v>Male'</v>
          </cell>
          <cell r="R28">
            <v>29345</v>
          </cell>
          <cell r="S28">
            <v>29777</v>
          </cell>
          <cell r="T28">
            <v>27007</v>
          </cell>
          <cell r="U28">
            <v>25876</v>
          </cell>
          <cell r="V28">
            <v>25565</v>
          </cell>
          <cell r="W28">
            <v>25064</v>
          </cell>
          <cell r="X28">
            <v>26583</v>
          </cell>
          <cell r="Y28">
            <v>27204</v>
          </cell>
          <cell r="Z28">
            <v>28507</v>
          </cell>
          <cell r="AA28">
            <v>30361</v>
          </cell>
        </row>
        <row r="29">
          <cell r="A29" t="str">
            <v>Atolls</v>
          </cell>
          <cell r="R29">
            <v>70896</v>
          </cell>
          <cell r="S29">
            <v>67354</v>
          </cell>
          <cell r="T29">
            <v>66426</v>
          </cell>
          <cell r="U29">
            <v>63965</v>
          </cell>
          <cell r="V29">
            <v>62035</v>
          </cell>
          <cell r="W29">
            <v>61882</v>
          </cell>
          <cell r="X29">
            <v>59927</v>
          </cell>
          <cell r="Y29">
            <v>58892</v>
          </cell>
          <cell r="Z29">
            <v>58576</v>
          </cell>
          <cell r="AA29">
            <v>57980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0">
          <cell r="N60">
            <v>2001</v>
          </cell>
        </row>
      </sheetData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 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9">
          <cell r="B9">
            <v>188</v>
          </cell>
          <cell r="C9">
            <v>163</v>
          </cell>
          <cell r="D9">
            <v>155</v>
          </cell>
          <cell r="E9">
            <v>168</v>
          </cell>
          <cell r="F9">
            <v>169</v>
          </cell>
          <cell r="G9">
            <v>166</v>
          </cell>
          <cell r="H9">
            <v>188</v>
          </cell>
          <cell r="I9">
            <v>166</v>
          </cell>
          <cell r="J9">
            <v>164</v>
          </cell>
          <cell r="K9">
            <v>137</v>
          </cell>
          <cell r="L9">
            <v>120</v>
          </cell>
          <cell r="M9">
            <v>113</v>
          </cell>
          <cell r="N9">
            <v>128</v>
          </cell>
          <cell r="O9">
            <v>132</v>
          </cell>
          <cell r="P9">
            <v>120</v>
          </cell>
          <cell r="Q9">
            <v>108</v>
          </cell>
          <cell r="R9">
            <v>128</v>
          </cell>
          <cell r="S9">
            <v>116</v>
          </cell>
          <cell r="T9">
            <v>176</v>
          </cell>
          <cell r="U9">
            <v>143</v>
          </cell>
          <cell r="V9">
            <v>216</v>
          </cell>
          <cell r="W9">
            <v>148</v>
          </cell>
          <cell r="X9">
            <v>122</v>
          </cell>
          <cell r="Y9">
            <v>175</v>
          </cell>
          <cell r="Z9">
            <v>146</v>
          </cell>
          <cell r="AA9">
            <v>148</v>
          </cell>
          <cell r="AB9">
            <v>29</v>
          </cell>
          <cell r="AC9">
            <v>26</v>
          </cell>
          <cell r="AD9">
            <v>15</v>
          </cell>
          <cell r="AE9">
            <v>18</v>
          </cell>
        </row>
        <row r="10">
          <cell r="B10">
            <v>294</v>
          </cell>
          <cell r="C10">
            <v>257</v>
          </cell>
          <cell r="D10">
            <v>252</v>
          </cell>
          <cell r="E10">
            <v>259</v>
          </cell>
          <cell r="F10">
            <v>227</v>
          </cell>
          <cell r="G10">
            <v>233</v>
          </cell>
          <cell r="H10">
            <v>211</v>
          </cell>
          <cell r="I10">
            <v>226</v>
          </cell>
          <cell r="J10">
            <v>225</v>
          </cell>
          <cell r="K10">
            <v>208</v>
          </cell>
          <cell r="L10">
            <v>223</v>
          </cell>
          <cell r="M10">
            <v>186</v>
          </cell>
          <cell r="N10">
            <v>171</v>
          </cell>
          <cell r="O10">
            <v>160</v>
          </cell>
          <cell r="P10">
            <v>161</v>
          </cell>
          <cell r="Q10">
            <v>142</v>
          </cell>
          <cell r="R10">
            <v>193</v>
          </cell>
          <cell r="S10">
            <v>164</v>
          </cell>
          <cell r="T10">
            <v>195</v>
          </cell>
          <cell r="U10">
            <v>169</v>
          </cell>
          <cell r="V10">
            <v>204</v>
          </cell>
          <cell r="W10">
            <v>197</v>
          </cell>
          <cell r="X10">
            <v>245</v>
          </cell>
          <cell r="Y10">
            <v>184</v>
          </cell>
          <cell r="Z10">
            <v>220</v>
          </cell>
          <cell r="AA10">
            <v>146</v>
          </cell>
          <cell r="AB10">
            <v>35</v>
          </cell>
          <cell r="AC10">
            <v>58</v>
          </cell>
          <cell r="AD10">
            <v>30</v>
          </cell>
          <cell r="AE10">
            <v>76</v>
          </cell>
        </row>
        <row r="11">
          <cell r="B11">
            <v>181</v>
          </cell>
          <cell r="C11">
            <v>174</v>
          </cell>
          <cell r="D11">
            <v>193</v>
          </cell>
          <cell r="E11">
            <v>159</v>
          </cell>
          <cell r="F11">
            <v>179</v>
          </cell>
          <cell r="G11">
            <v>173</v>
          </cell>
          <cell r="H11">
            <v>149</v>
          </cell>
          <cell r="I11">
            <v>153</v>
          </cell>
          <cell r="J11">
            <v>148</v>
          </cell>
          <cell r="K11">
            <v>146</v>
          </cell>
          <cell r="L11">
            <v>125</v>
          </cell>
          <cell r="M11">
            <v>135</v>
          </cell>
          <cell r="N11">
            <v>115</v>
          </cell>
          <cell r="O11">
            <v>136</v>
          </cell>
          <cell r="P11">
            <v>121</v>
          </cell>
          <cell r="Q11">
            <v>125</v>
          </cell>
          <cell r="R11">
            <v>139</v>
          </cell>
          <cell r="S11">
            <v>124</v>
          </cell>
          <cell r="T11">
            <v>161</v>
          </cell>
          <cell r="U11">
            <v>111</v>
          </cell>
          <cell r="V11">
            <v>198</v>
          </cell>
          <cell r="W11">
            <v>158</v>
          </cell>
          <cell r="X11">
            <v>173</v>
          </cell>
          <cell r="Y11">
            <v>143</v>
          </cell>
          <cell r="Z11">
            <v>138</v>
          </cell>
          <cell r="AA11">
            <v>120</v>
          </cell>
          <cell r="AB11">
            <v>16</v>
          </cell>
          <cell r="AC11">
            <v>16</v>
          </cell>
          <cell r="AD11">
            <v>3</v>
          </cell>
          <cell r="AE11">
            <v>5</v>
          </cell>
        </row>
        <row r="12">
          <cell r="B12">
            <v>134</v>
          </cell>
          <cell r="C12">
            <v>140</v>
          </cell>
          <cell r="D12">
            <v>138</v>
          </cell>
          <cell r="E12">
            <v>129</v>
          </cell>
          <cell r="F12">
            <v>158</v>
          </cell>
          <cell r="G12">
            <v>148</v>
          </cell>
          <cell r="H12">
            <v>125</v>
          </cell>
          <cell r="I12">
            <v>135</v>
          </cell>
          <cell r="J12">
            <v>133</v>
          </cell>
          <cell r="K12">
            <v>119</v>
          </cell>
          <cell r="L12">
            <v>106</v>
          </cell>
          <cell r="M12">
            <v>112</v>
          </cell>
          <cell r="N12">
            <v>106</v>
          </cell>
          <cell r="O12">
            <v>89</v>
          </cell>
          <cell r="P12">
            <v>94</v>
          </cell>
          <cell r="Q12">
            <v>111</v>
          </cell>
          <cell r="R12">
            <v>109</v>
          </cell>
          <cell r="S12">
            <v>83</v>
          </cell>
          <cell r="T12">
            <v>101</v>
          </cell>
          <cell r="U12">
            <v>104</v>
          </cell>
          <cell r="V12">
            <v>118</v>
          </cell>
          <cell r="W12">
            <v>99</v>
          </cell>
          <cell r="X12">
            <v>92</v>
          </cell>
          <cell r="Y12">
            <v>105</v>
          </cell>
          <cell r="Z12">
            <v>99</v>
          </cell>
          <cell r="AA12">
            <v>95</v>
          </cell>
          <cell r="AB12">
            <v>22</v>
          </cell>
          <cell r="AC12">
            <v>21</v>
          </cell>
          <cell r="AD12">
            <v>27</v>
          </cell>
          <cell r="AE12">
            <v>28</v>
          </cell>
        </row>
        <row r="13">
          <cell r="B13">
            <v>199</v>
          </cell>
          <cell r="C13">
            <v>190</v>
          </cell>
          <cell r="D13">
            <v>196</v>
          </cell>
          <cell r="E13">
            <v>184</v>
          </cell>
          <cell r="F13">
            <v>195</v>
          </cell>
          <cell r="G13">
            <v>204</v>
          </cell>
          <cell r="H13">
            <v>174</v>
          </cell>
          <cell r="I13">
            <v>189</v>
          </cell>
          <cell r="J13">
            <v>192</v>
          </cell>
          <cell r="K13">
            <v>151</v>
          </cell>
          <cell r="L13">
            <v>160</v>
          </cell>
          <cell r="M13">
            <v>157</v>
          </cell>
          <cell r="N13">
            <v>151</v>
          </cell>
          <cell r="O13">
            <v>163</v>
          </cell>
          <cell r="P13">
            <v>166</v>
          </cell>
          <cell r="Q13">
            <v>109</v>
          </cell>
          <cell r="R13">
            <v>173</v>
          </cell>
          <cell r="S13">
            <v>152</v>
          </cell>
          <cell r="T13">
            <v>182</v>
          </cell>
          <cell r="U13">
            <v>154</v>
          </cell>
          <cell r="V13">
            <v>219</v>
          </cell>
          <cell r="W13">
            <v>165</v>
          </cell>
          <cell r="X13">
            <v>173</v>
          </cell>
          <cell r="Y13">
            <v>192</v>
          </cell>
          <cell r="Z13">
            <v>152</v>
          </cell>
          <cell r="AA13">
            <v>151</v>
          </cell>
          <cell r="AB13">
            <v>27</v>
          </cell>
          <cell r="AC13">
            <v>35</v>
          </cell>
          <cell r="AD13">
            <v>31</v>
          </cell>
          <cell r="AE13">
            <v>51</v>
          </cell>
        </row>
        <row r="14">
          <cell r="B14">
            <v>112</v>
          </cell>
          <cell r="C14">
            <v>101</v>
          </cell>
          <cell r="D14">
            <v>115</v>
          </cell>
          <cell r="E14">
            <v>102</v>
          </cell>
          <cell r="F14">
            <v>117</v>
          </cell>
          <cell r="G14">
            <v>122</v>
          </cell>
          <cell r="H14">
            <v>114</v>
          </cell>
          <cell r="I14">
            <v>85</v>
          </cell>
          <cell r="J14">
            <v>95</v>
          </cell>
          <cell r="K14">
            <v>100</v>
          </cell>
          <cell r="L14">
            <v>102</v>
          </cell>
          <cell r="M14">
            <v>73</v>
          </cell>
          <cell r="N14">
            <v>88</v>
          </cell>
          <cell r="O14">
            <v>77</v>
          </cell>
          <cell r="P14">
            <v>100</v>
          </cell>
          <cell r="Q14">
            <v>98</v>
          </cell>
          <cell r="R14">
            <v>92</v>
          </cell>
          <cell r="S14">
            <v>77</v>
          </cell>
          <cell r="T14">
            <v>93</v>
          </cell>
          <cell r="U14">
            <v>80</v>
          </cell>
          <cell r="V14">
            <v>106</v>
          </cell>
          <cell r="W14">
            <v>91</v>
          </cell>
          <cell r="X14">
            <v>125</v>
          </cell>
          <cell r="Y14">
            <v>79</v>
          </cell>
          <cell r="Z14">
            <v>100</v>
          </cell>
          <cell r="AA14">
            <v>85</v>
          </cell>
          <cell r="AB14">
            <v>35</v>
          </cell>
          <cell r="AC14">
            <v>49</v>
          </cell>
          <cell r="AD14">
            <v>26</v>
          </cell>
          <cell r="AE14">
            <v>37</v>
          </cell>
        </row>
        <row r="15">
          <cell r="B15">
            <v>104</v>
          </cell>
          <cell r="C15">
            <v>99</v>
          </cell>
          <cell r="D15">
            <v>87</v>
          </cell>
          <cell r="E15">
            <v>92</v>
          </cell>
          <cell r="F15">
            <v>96</v>
          </cell>
          <cell r="G15">
            <v>107</v>
          </cell>
          <cell r="H15">
            <v>84</v>
          </cell>
          <cell r="I15">
            <v>90</v>
          </cell>
          <cell r="J15">
            <v>73</v>
          </cell>
          <cell r="K15">
            <v>85</v>
          </cell>
          <cell r="L15">
            <v>77</v>
          </cell>
          <cell r="M15">
            <v>65</v>
          </cell>
          <cell r="N15">
            <v>73</v>
          </cell>
          <cell r="O15">
            <v>91</v>
          </cell>
          <cell r="P15">
            <v>70</v>
          </cell>
          <cell r="Q15">
            <v>81</v>
          </cell>
          <cell r="R15">
            <v>84</v>
          </cell>
          <cell r="S15">
            <v>57</v>
          </cell>
          <cell r="T15">
            <v>63</v>
          </cell>
          <cell r="U15">
            <v>70</v>
          </cell>
          <cell r="V15">
            <v>77</v>
          </cell>
          <cell r="W15">
            <v>65</v>
          </cell>
          <cell r="X15">
            <v>84</v>
          </cell>
          <cell r="Y15">
            <v>88</v>
          </cell>
          <cell r="Z15">
            <v>75</v>
          </cell>
          <cell r="AA15">
            <v>94</v>
          </cell>
          <cell r="AB15">
            <v>13</v>
          </cell>
          <cell r="AC15">
            <v>27</v>
          </cell>
          <cell r="AD15">
            <v>14</v>
          </cell>
          <cell r="AE15">
            <v>21</v>
          </cell>
        </row>
        <row r="16">
          <cell r="B16">
            <v>173</v>
          </cell>
          <cell r="C16">
            <v>137</v>
          </cell>
          <cell r="D16">
            <v>133</v>
          </cell>
          <cell r="E16">
            <v>127</v>
          </cell>
          <cell r="F16">
            <v>140</v>
          </cell>
          <cell r="G16">
            <v>100</v>
          </cell>
          <cell r="H16">
            <v>141</v>
          </cell>
          <cell r="I16">
            <v>125</v>
          </cell>
          <cell r="J16">
            <v>119</v>
          </cell>
          <cell r="K16">
            <v>97</v>
          </cell>
          <cell r="L16">
            <v>123</v>
          </cell>
          <cell r="M16">
            <v>106</v>
          </cell>
          <cell r="N16">
            <v>91</v>
          </cell>
          <cell r="O16">
            <v>91</v>
          </cell>
          <cell r="P16">
            <v>102</v>
          </cell>
          <cell r="Q16">
            <v>95</v>
          </cell>
          <cell r="R16">
            <v>96</v>
          </cell>
          <cell r="S16">
            <v>75</v>
          </cell>
          <cell r="T16">
            <v>84</v>
          </cell>
          <cell r="U16">
            <v>92</v>
          </cell>
          <cell r="V16">
            <v>108</v>
          </cell>
          <cell r="W16">
            <v>85</v>
          </cell>
          <cell r="X16">
            <v>88</v>
          </cell>
          <cell r="Y16">
            <v>93</v>
          </cell>
          <cell r="Z16">
            <v>90</v>
          </cell>
          <cell r="AA16">
            <v>103</v>
          </cell>
          <cell r="AB16">
            <v>2</v>
          </cell>
          <cell r="AC16">
            <v>9</v>
          </cell>
          <cell r="AD16">
            <v>4</v>
          </cell>
          <cell r="AE16">
            <v>11</v>
          </cell>
        </row>
        <row r="17">
          <cell r="B17">
            <v>86</v>
          </cell>
          <cell r="C17">
            <v>81</v>
          </cell>
          <cell r="D17">
            <v>82</v>
          </cell>
          <cell r="E17">
            <v>77</v>
          </cell>
          <cell r="F17">
            <v>109</v>
          </cell>
          <cell r="G17">
            <v>89</v>
          </cell>
          <cell r="H17">
            <v>91</v>
          </cell>
          <cell r="I17">
            <v>73</v>
          </cell>
          <cell r="J17">
            <v>88</v>
          </cell>
          <cell r="K17">
            <v>73</v>
          </cell>
          <cell r="L17">
            <v>58</v>
          </cell>
          <cell r="M17">
            <v>68</v>
          </cell>
          <cell r="N17">
            <v>75</v>
          </cell>
          <cell r="O17">
            <v>54</v>
          </cell>
          <cell r="P17">
            <v>56</v>
          </cell>
          <cell r="Q17">
            <v>54</v>
          </cell>
          <cell r="R17">
            <v>48</v>
          </cell>
          <cell r="S17">
            <v>51</v>
          </cell>
          <cell r="T17">
            <v>63</v>
          </cell>
          <cell r="U17">
            <v>51</v>
          </cell>
          <cell r="V17">
            <v>49</v>
          </cell>
          <cell r="W17">
            <v>57</v>
          </cell>
          <cell r="X17">
            <v>50</v>
          </cell>
          <cell r="Y17">
            <v>52</v>
          </cell>
          <cell r="Z17">
            <v>49</v>
          </cell>
          <cell r="AA17">
            <v>52</v>
          </cell>
          <cell r="AB17">
            <v>13</v>
          </cell>
          <cell r="AC17">
            <v>7</v>
          </cell>
          <cell r="AD17">
            <v>9</v>
          </cell>
          <cell r="AE17">
            <v>7</v>
          </cell>
        </row>
        <row r="18">
          <cell r="B18">
            <v>124</v>
          </cell>
          <cell r="C18">
            <v>104</v>
          </cell>
          <cell r="D18">
            <v>129</v>
          </cell>
          <cell r="E18">
            <v>110</v>
          </cell>
          <cell r="F18">
            <v>101</v>
          </cell>
          <cell r="G18">
            <v>104</v>
          </cell>
          <cell r="H18">
            <v>113</v>
          </cell>
          <cell r="I18">
            <v>96</v>
          </cell>
          <cell r="J18">
            <v>96</v>
          </cell>
          <cell r="K18">
            <v>91</v>
          </cell>
          <cell r="L18">
            <v>72</v>
          </cell>
          <cell r="M18">
            <v>70</v>
          </cell>
          <cell r="N18">
            <v>72</v>
          </cell>
          <cell r="O18">
            <v>83</v>
          </cell>
          <cell r="P18">
            <v>84</v>
          </cell>
          <cell r="Q18">
            <v>65</v>
          </cell>
          <cell r="R18">
            <v>48</v>
          </cell>
          <cell r="S18">
            <v>47</v>
          </cell>
          <cell r="T18">
            <v>60</v>
          </cell>
          <cell r="U18">
            <v>54</v>
          </cell>
          <cell r="V18">
            <v>74</v>
          </cell>
          <cell r="W18">
            <v>68</v>
          </cell>
          <cell r="X18">
            <v>66</v>
          </cell>
          <cell r="Y18">
            <v>59</v>
          </cell>
          <cell r="Z18">
            <v>72</v>
          </cell>
          <cell r="AA18">
            <v>72</v>
          </cell>
          <cell r="AD18">
            <v>1</v>
          </cell>
          <cell r="AE18">
            <v>3</v>
          </cell>
        </row>
        <row r="19">
          <cell r="B19">
            <v>15</v>
          </cell>
          <cell r="C19">
            <v>17</v>
          </cell>
          <cell r="D19">
            <v>16</v>
          </cell>
          <cell r="E19">
            <v>15</v>
          </cell>
          <cell r="F19">
            <v>11</v>
          </cell>
          <cell r="G19">
            <v>11</v>
          </cell>
          <cell r="H19">
            <v>22</v>
          </cell>
          <cell r="I19">
            <v>19</v>
          </cell>
          <cell r="J19">
            <v>13</v>
          </cell>
          <cell r="K19">
            <v>15</v>
          </cell>
          <cell r="L19">
            <v>14</v>
          </cell>
          <cell r="M19">
            <v>13</v>
          </cell>
          <cell r="N19">
            <v>11</v>
          </cell>
          <cell r="O19">
            <v>11</v>
          </cell>
          <cell r="P19">
            <v>18</v>
          </cell>
          <cell r="Q19">
            <v>7</v>
          </cell>
          <cell r="R19">
            <v>16</v>
          </cell>
          <cell r="S19">
            <v>15</v>
          </cell>
          <cell r="T19">
            <v>12</v>
          </cell>
          <cell r="U19">
            <v>7</v>
          </cell>
          <cell r="V19">
            <v>11</v>
          </cell>
          <cell r="W19">
            <v>7</v>
          </cell>
          <cell r="X19">
            <v>10</v>
          </cell>
          <cell r="Y19">
            <v>17</v>
          </cell>
          <cell r="Z19">
            <v>15</v>
          </cell>
          <cell r="AA19">
            <v>10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</row>
        <row r="20">
          <cell r="B20">
            <v>51</v>
          </cell>
          <cell r="C20">
            <v>47</v>
          </cell>
          <cell r="D20">
            <v>58</v>
          </cell>
          <cell r="E20">
            <v>58</v>
          </cell>
          <cell r="F20">
            <v>66</v>
          </cell>
          <cell r="G20">
            <v>54</v>
          </cell>
          <cell r="H20">
            <v>72</v>
          </cell>
          <cell r="I20">
            <v>49</v>
          </cell>
          <cell r="J20">
            <v>48</v>
          </cell>
          <cell r="K20">
            <v>56</v>
          </cell>
          <cell r="L20">
            <v>45</v>
          </cell>
          <cell r="M20">
            <v>51</v>
          </cell>
          <cell r="N20">
            <v>39</v>
          </cell>
          <cell r="O20">
            <v>45</v>
          </cell>
          <cell r="P20">
            <v>34</v>
          </cell>
          <cell r="Q20">
            <v>33</v>
          </cell>
          <cell r="R20">
            <v>39</v>
          </cell>
          <cell r="S20">
            <v>26</v>
          </cell>
          <cell r="T20">
            <v>44</v>
          </cell>
          <cell r="U20">
            <v>23</v>
          </cell>
          <cell r="V20">
            <v>42</v>
          </cell>
          <cell r="W20">
            <v>40</v>
          </cell>
          <cell r="X20">
            <v>48</v>
          </cell>
          <cell r="Y20">
            <v>37</v>
          </cell>
          <cell r="Z20">
            <v>41</v>
          </cell>
          <cell r="AA20">
            <v>50</v>
          </cell>
          <cell r="AB20">
            <v>12</v>
          </cell>
          <cell r="AC20">
            <v>16</v>
          </cell>
          <cell r="AD20">
            <v>11</v>
          </cell>
          <cell r="AE20">
            <v>15</v>
          </cell>
        </row>
        <row r="21">
          <cell r="B21">
            <v>49</v>
          </cell>
          <cell r="C21">
            <v>35</v>
          </cell>
          <cell r="D21">
            <v>52</v>
          </cell>
          <cell r="E21">
            <v>64</v>
          </cell>
          <cell r="F21">
            <v>56</v>
          </cell>
          <cell r="G21">
            <v>40</v>
          </cell>
          <cell r="H21">
            <v>55</v>
          </cell>
          <cell r="I21">
            <v>55</v>
          </cell>
          <cell r="J21">
            <v>50</v>
          </cell>
          <cell r="K21">
            <v>52</v>
          </cell>
          <cell r="L21">
            <v>61</v>
          </cell>
          <cell r="M21">
            <v>48</v>
          </cell>
          <cell r="N21">
            <v>45</v>
          </cell>
          <cell r="O21">
            <v>51</v>
          </cell>
          <cell r="P21">
            <v>39</v>
          </cell>
          <cell r="Q21">
            <v>40</v>
          </cell>
          <cell r="R21">
            <v>42</v>
          </cell>
          <cell r="S21">
            <v>45</v>
          </cell>
          <cell r="T21">
            <v>47</v>
          </cell>
          <cell r="U21">
            <v>47</v>
          </cell>
          <cell r="V21">
            <v>65</v>
          </cell>
          <cell r="W21">
            <v>53</v>
          </cell>
          <cell r="X21">
            <v>65</v>
          </cell>
          <cell r="Y21">
            <v>68</v>
          </cell>
          <cell r="Z21">
            <v>30</v>
          </cell>
          <cell r="AA21">
            <v>43</v>
          </cell>
          <cell r="AB21">
            <v>24</v>
          </cell>
          <cell r="AC21">
            <v>18</v>
          </cell>
          <cell r="AD21">
            <v>18</v>
          </cell>
          <cell r="AE21">
            <v>18</v>
          </cell>
        </row>
        <row r="22">
          <cell r="B22">
            <v>67</v>
          </cell>
          <cell r="C22">
            <v>77</v>
          </cell>
          <cell r="D22">
            <v>87</v>
          </cell>
          <cell r="E22">
            <v>77</v>
          </cell>
          <cell r="F22">
            <v>82</v>
          </cell>
          <cell r="G22">
            <v>67</v>
          </cell>
          <cell r="H22">
            <v>71</v>
          </cell>
          <cell r="I22">
            <v>69</v>
          </cell>
          <cell r="J22">
            <v>62</v>
          </cell>
          <cell r="K22">
            <v>61</v>
          </cell>
          <cell r="L22">
            <v>59</v>
          </cell>
          <cell r="M22">
            <v>66</v>
          </cell>
          <cell r="N22">
            <v>58</v>
          </cell>
          <cell r="O22">
            <v>62</v>
          </cell>
          <cell r="P22">
            <v>45</v>
          </cell>
          <cell r="Q22">
            <v>40</v>
          </cell>
          <cell r="R22">
            <v>57</v>
          </cell>
          <cell r="S22">
            <v>37</v>
          </cell>
          <cell r="T22">
            <v>62</v>
          </cell>
          <cell r="U22">
            <v>59</v>
          </cell>
          <cell r="V22">
            <v>91</v>
          </cell>
          <cell r="W22">
            <v>61</v>
          </cell>
          <cell r="X22">
            <v>46</v>
          </cell>
          <cell r="Y22">
            <v>45</v>
          </cell>
          <cell r="Z22">
            <v>47</v>
          </cell>
          <cell r="AA22">
            <v>48</v>
          </cell>
          <cell r="AB22">
            <v>11</v>
          </cell>
          <cell r="AC22">
            <v>16</v>
          </cell>
          <cell r="AD22">
            <v>12</v>
          </cell>
          <cell r="AE22">
            <v>19</v>
          </cell>
        </row>
        <row r="23">
          <cell r="B23">
            <v>121</v>
          </cell>
          <cell r="C23">
            <v>128</v>
          </cell>
          <cell r="D23">
            <v>157</v>
          </cell>
          <cell r="E23">
            <v>134</v>
          </cell>
          <cell r="F23">
            <v>136</v>
          </cell>
          <cell r="G23">
            <v>123</v>
          </cell>
          <cell r="H23">
            <v>102</v>
          </cell>
          <cell r="I23">
            <v>103</v>
          </cell>
          <cell r="J23">
            <v>130</v>
          </cell>
          <cell r="K23">
            <v>116</v>
          </cell>
          <cell r="L23">
            <v>91</v>
          </cell>
          <cell r="M23">
            <v>98</v>
          </cell>
          <cell r="N23">
            <v>73</v>
          </cell>
          <cell r="O23">
            <v>85</v>
          </cell>
          <cell r="P23">
            <v>82</v>
          </cell>
          <cell r="Q23">
            <v>63</v>
          </cell>
          <cell r="R23">
            <v>98</v>
          </cell>
          <cell r="S23">
            <v>67</v>
          </cell>
          <cell r="T23">
            <v>80</v>
          </cell>
          <cell r="U23">
            <v>66</v>
          </cell>
          <cell r="V23">
            <v>118</v>
          </cell>
          <cell r="W23">
            <v>104</v>
          </cell>
          <cell r="X23">
            <v>81</v>
          </cell>
          <cell r="Y23">
            <v>87</v>
          </cell>
          <cell r="Z23">
            <v>86</v>
          </cell>
          <cell r="AA23">
            <v>80</v>
          </cell>
          <cell r="AB23">
            <v>12</v>
          </cell>
          <cell r="AC23">
            <v>11</v>
          </cell>
          <cell r="AD23">
            <v>9</v>
          </cell>
          <cell r="AE23">
            <v>17</v>
          </cell>
        </row>
        <row r="24">
          <cell r="B24">
            <v>156</v>
          </cell>
          <cell r="C24">
            <v>155</v>
          </cell>
          <cell r="D24">
            <v>171</v>
          </cell>
          <cell r="E24">
            <v>152</v>
          </cell>
          <cell r="F24">
            <v>182</v>
          </cell>
          <cell r="G24">
            <v>150</v>
          </cell>
          <cell r="H24">
            <v>160</v>
          </cell>
          <cell r="I24">
            <v>145</v>
          </cell>
          <cell r="J24">
            <v>175</v>
          </cell>
          <cell r="K24">
            <v>157</v>
          </cell>
          <cell r="L24">
            <v>136</v>
          </cell>
          <cell r="M24">
            <v>133</v>
          </cell>
          <cell r="N24">
            <v>128</v>
          </cell>
          <cell r="O24">
            <v>125</v>
          </cell>
          <cell r="P24">
            <v>108</v>
          </cell>
          <cell r="Q24">
            <v>86</v>
          </cell>
          <cell r="R24">
            <v>125</v>
          </cell>
          <cell r="S24">
            <v>119</v>
          </cell>
          <cell r="T24">
            <v>158</v>
          </cell>
          <cell r="U24">
            <v>133</v>
          </cell>
          <cell r="V24">
            <v>165</v>
          </cell>
          <cell r="W24">
            <v>160</v>
          </cell>
          <cell r="X24">
            <v>136</v>
          </cell>
          <cell r="Y24">
            <v>135</v>
          </cell>
          <cell r="Z24">
            <v>106</v>
          </cell>
          <cell r="AA24">
            <v>123</v>
          </cell>
          <cell r="AB24">
            <v>14</v>
          </cell>
          <cell r="AC24">
            <v>24</v>
          </cell>
          <cell r="AD24">
            <v>14</v>
          </cell>
          <cell r="AE24">
            <v>24</v>
          </cell>
        </row>
        <row r="25">
          <cell r="B25">
            <v>94</v>
          </cell>
          <cell r="C25">
            <v>93</v>
          </cell>
          <cell r="D25">
            <v>97</v>
          </cell>
          <cell r="E25">
            <v>74</v>
          </cell>
          <cell r="F25">
            <v>93</v>
          </cell>
          <cell r="G25">
            <v>107</v>
          </cell>
          <cell r="H25">
            <v>86</v>
          </cell>
          <cell r="I25">
            <v>96</v>
          </cell>
          <cell r="J25">
            <v>97</v>
          </cell>
          <cell r="K25">
            <v>89</v>
          </cell>
          <cell r="L25">
            <v>84</v>
          </cell>
          <cell r="M25">
            <v>90</v>
          </cell>
          <cell r="N25">
            <v>86</v>
          </cell>
          <cell r="O25">
            <v>84</v>
          </cell>
          <cell r="P25">
            <v>81</v>
          </cell>
          <cell r="Q25">
            <v>75</v>
          </cell>
          <cell r="R25">
            <v>90</v>
          </cell>
          <cell r="S25">
            <v>91</v>
          </cell>
          <cell r="T25">
            <v>100</v>
          </cell>
          <cell r="U25">
            <v>74</v>
          </cell>
          <cell r="V25">
            <v>83</v>
          </cell>
          <cell r="W25">
            <v>108</v>
          </cell>
          <cell r="X25">
            <v>120</v>
          </cell>
          <cell r="Y25">
            <v>83</v>
          </cell>
          <cell r="Z25">
            <v>110</v>
          </cell>
          <cell r="AA25">
            <v>94</v>
          </cell>
          <cell r="AB25">
            <v>8</v>
          </cell>
          <cell r="AC25">
            <v>9</v>
          </cell>
          <cell r="AD25">
            <v>12</v>
          </cell>
          <cell r="AE25">
            <v>15</v>
          </cell>
        </row>
        <row r="26">
          <cell r="B26">
            <v>176</v>
          </cell>
          <cell r="C26">
            <v>149</v>
          </cell>
          <cell r="D26">
            <v>145</v>
          </cell>
          <cell r="E26">
            <v>149</v>
          </cell>
          <cell r="F26">
            <v>152</v>
          </cell>
          <cell r="G26">
            <v>153</v>
          </cell>
          <cell r="H26">
            <v>149</v>
          </cell>
          <cell r="I26">
            <v>145</v>
          </cell>
          <cell r="J26">
            <v>137</v>
          </cell>
          <cell r="K26">
            <v>124</v>
          </cell>
          <cell r="L26">
            <v>134</v>
          </cell>
          <cell r="M26">
            <v>102</v>
          </cell>
          <cell r="N26">
            <v>120</v>
          </cell>
          <cell r="O26">
            <v>126</v>
          </cell>
          <cell r="P26">
            <v>122</v>
          </cell>
          <cell r="Q26">
            <v>111</v>
          </cell>
          <cell r="R26">
            <v>110</v>
          </cell>
          <cell r="S26">
            <v>124</v>
          </cell>
          <cell r="T26">
            <v>129</v>
          </cell>
          <cell r="U26">
            <v>105</v>
          </cell>
          <cell r="V26">
            <v>142</v>
          </cell>
          <cell r="W26">
            <v>102</v>
          </cell>
          <cell r="X26">
            <v>119</v>
          </cell>
          <cell r="Y26">
            <v>103</v>
          </cell>
          <cell r="Z26">
            <v>102</v>
          </cell>
          <cell r="AA26">
            <v>121</v>
          </cell>
          <cell r="AB26">
            <v>3</v>
          </cell>
          <cell r="AC26">
            <v>4</v>
          </cell>
          <cell r="AD26">
            <v>6</v>
          </cell>
          <cell r="AE26">
            <v>15</v>
          </cell>
        </row>
        <row r="27">
          <cell r="B27">
            <v>121</v>
          </cell>
          <cell r="C27">
            <v>100</v>
          </cell>
          <cell r="D27">
            <v>167</v>
          </cell>
          <cell r="E27">
            <v>149</v>
          </cell>
          <cell r="F27">
            <v>148</v>
          </cell>
          <cell r="G27">
            <v>123</v>
          </cell>
          <cell r="H27">
            <v>119</v>
          </cell>
          <cell r="I27">
            <v>118</v>
          </cell>
          <cell r="J27">
            <v>90</v>
          </cell>
          <cell r="K27">
            <v>101</v>
          </cell>
          <cell r="L27">
            <v>76</v>
          </cell>
          <cell r="M27">
            <v>95</v>
          </cell>
          <cell r="N27">
            <v>72</v>
          </cell>
          <cell r="O27">
            <v>76</v>
          </cell>
          <cell r="P27">
            <v>81</v>
          </cell>
          <cell r="Q27">
            <v>82</v>
          </cell>
          <cell r="R27">
            <v>91</v>
          </cell>
          <cell r="S27">
            <v>75</v>
          </cell>
          <cell r="T27">
            <v>90</v>
          </cell>
          <cell r="U27">
            <v>108</v>
          </cell>
          <cell r="V27">
            <v>88</v>
          </cell>
          <cell r="W27">
            <v>96</v>
          </cell>
          <cell r="X27">
            <v>113</v>
          </cell>
          <cell r="Y27">
            <v>79</v>
          </cell>
          <cell r="Z27">
            <v>104</v>
          </cell>
          <cell r="AA27">
            <v>105</v>
          </cell>
          <cell r="AB27">
            <v>23</v>
          </cell>
          <cell r="AC27">
            <v>23</v>
          </cell>
          <cell r="AD27">
            <v>9</v>
          </cell>
          <cell r="AE27">
            <v>29</v>
          </cell>
        </row>
        <row r="28">
          <cell r="B28">
            <v>196</v>
          </cell>
          <cell r="C28">
            <v>193</v>
          </cell>
          <cell r="D28">
            <v>237</v>
          </cell>
          <cell r="E28">
            <v>220</v>
          </cell>
          <cell r="F28">
            <v>243</v>
          </cell>
          <cell r="G28">
            <v>246</v>
          </cell>
          <cell r="H28">
            <v>187</v>
          </cell>
          <cell r="I28">
            <v>212</v>
          </cell>
          <cell r="J28">
            <v>219</v>
          </cell>
          <cell r="K28">
            <v>184</v>
          </cell>
          <cell r="L28">
            <v>186</v>
          </cell>
          <cell r="M28">
            <v>167</v>
          </cell>
          <cell r="N28">
            <v>169</v>
          </cell>
          <cell r="O28">
            <v>185</v>
          </cell>
          <cell r="P28">
            <v>189</v>
          </cell>
          <cell r="Q28">
            <v>206</v>
          </cell>
          <cell r="R28">
            <v>174</v>
          </cell>
          <cell r="S28">
            <v>177</v>
          </cell>
          <cell r="T28">
            <v>181</v>
          </cell>
          <cell r="U28">
            <v>133</v>
          </cell>
          <cell r="V28">
            <v>189</v>
          </cell>
          <cell r="W28">
            <v>177</v>
          </cell>
          <cell r="X28">
            <v>215</v>
          </cell>
          <cell r="Y28">
            <v>181</v>
          </cell>
          <cell r="Z28">
            <v>182</v>
          </cell>
          <cell r="AA28">
            <v>163</v>
          </cell>
          <cell r="AB28">
            <v>84</v>
          </cell>
          <cell r="AC28">
            <v>159</v>
          </cell>
          <cell r="AD28">
            <v>60</v>
          </cell>
          <cell r="AE28">
            <v>124</v>
          </cell>
        </row>
        <row r="30">
          <cell r="B30">
            <v>1560</v>
          </cell>
          <cell r="C30">
            <v>1437</v>
          </cell>
          <cell r="D30">
            <v>1289</v>
          </cell>
          <cell r="E30">
            <v>1198</v>
          </cell>
          <cell r="F30">
            <v>1224</v>
          </cell>
          <cell r="G30">
            <v>1277</v>
          </cell>
          <cell r="H30">
            <v>1319</v>
          </cell>
          <cell r="I30">
            <v>1219</v>
          </cell>
          <cell r="J30">
            <v>1155</v>
          </cell>
          <cell r="K30">
            <v>1152</v>
          </cell>
          <cell r="L30">
            <v>1039</v>
          </cell>
          <cell r="M30">
            <v>981</v>
          </cell>
          <cell r="N30">
            <v>987</v>
          </cell>
          <cell r="O30">
            <v>910</v>
          </cell>
          <cell r="P30">
            <v>904</v>
          </cell>
          <cell r="Q30">
            <v>856</v>
          </cell>
          <cell r="R30">
            <v>883</v>
          </cell>
          <cell r="S30">
            <v>847</v>
          </cell>
          <cell r="T30">
            <v>848</v>
          </cell>
          <cell r="U30">
            <v>820</v>
          </cell>
          <cell r="V30">
            <v>898</v>
          </cell>
          <cell r="W30">
            <v>918</v>
          </cell>
          <cell r="X30">
            <v>1072</v>
          </cell>
          <cell r="Y30">
            <v>970</v>
          </cell>
          <cell r="Z30">
            <v>889</v>
          </cell>
          <cell r="AA30">
            <v>902</v>
          </cell>
          <cell r="AB30">
            <v>586</v>
          </cell>
          <cell r="AC30">
            <v>704</v>
          </cell>
          <cell r="AD30">
            <v>590</v>
          </cell>
          <cell r="AE30">
            <v>745</v>
          </cell>
          <cell r="AF30">
            <v>122</v>
          </cell>
          <cell r="AG30">
            <v>60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61"/>
  <sheetViews>
    <sheetView tabSelected="1" zoomScaleNormal="100" workbookViewId="0">
      <selection activeCell="O43" sqref="O43:P43"/>
    </sheetView>
  </sheetViews>
  <sheetFormatPr defaultColWidth="7.140625" defaultRowHeight="9" x14ac:dyDescent="0.15"/>
  <cols>
    <col min="1" max="1" width="22.5703125" style="10" customWidth="1"/>
    <col min="2" max="2" width="8.7109375" style="10" bestFit="1" customWidth="1"/>
    <col min="3" max="5" width="7.85546875" style="11" bestFit="1" customWidth="1"/>
    <col min="6" max="6" width="8.7109375" style="11" bestFit="1" customWidth="1"/>
    <col min="7" max="13" width="7.85546875" style="11" bestFit="1" customWidth="1"/>
    <col min="14" max="14" width="8.7109375" style="11" bestFit="1" customWidth="1"/>
    <col min="15" max="17" width="7.85546875" style="11" bestFit="1" customWidth="1"/>
    <col min="18" max="18" width="8.7109375" style="11" bestFit="1" customWidth="1"/>
    <col min="19" max="21" width="7.85546875" style="11" bestFit="1" customWidth="1"/>
    <col min="22" max="22" width="10.42578125" style="12" customWidth="1"/>
    <col min="23" max="16384" width="7.140625" style="9"/>
  </cols>
  <sheetData>
    <row r="1" spans="1:23" ht="18.75" x14ac:dyDescent="0.45">
      <c r="A1" s="61" t="s">
        <v>48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</row>
    <row r="2" spans="1:23" ht="18.75" x14ac:dyDescent="0.3">
      <c r="A2" s="62" t="s">
        <v>47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</row>
    <row r="3" spans="1:23" ht="12.75" customHeight="1" x14ac:dyDescent="0.15">
      <c r="C3" s="12"/>
      <c r="D3" s="12"/>
      <c r="E3" s="12"/>
      <c r="F3" s="12"/>
    </row>
    <row r="4" spans="1:23" ht="30" customHeight="1" x14ac:dyDescent="0.15">
      <c r="A4" s="45" t="s">
        <v>9</v>
      </c>
      <c r="B4" s="48" t="s">
        <v>0</v>
      </c>
      <c r="C4" s="54" t="s">
        <v>46</v>
      </c>
      <c r="D4" s="54"/>
      <c r="E4" s="54"/>
      <c r="F4" s="55"/>
      <c r="G4" s="56" t="s">
        <v>4</v>
      </c>
      <c r="H4" s="54"/>
      <c r="I4" s="54"/>
      <c r="J4" s="54"/>
      <c r="K4" s="54"/>
      <c r="L4" s="54"/>
      <c r="M4" s="54"/>
      <c r="N4" s="55"/>
      <c r="O4" s="54" t="s">
        <v>45</v>
      </c>
      <c r="P4" s="54"/>
      <c r="Q4" s="54"/>
      <c r="R4" s="54"/>
      <c r="S4" s="56" t="s">
        <v>5</v>
      </c>
      <c r="T4" s="54"/>
      <c r="U4" s="55"/>
      <c r="V4" s="51" t="s">
        <v>44</v>
      </c>
    </row>
    <row r="5" spans="1:23" x14ac:dyDescent="0.15">
      <c r="A5" s="46"/>
      <c r="B5" s="49"/>
      <c r="C5" s="64" t="s">
        <v>10</v>
      </c>
      <c r="D5" s="57" t="s">
        <v>6</v>
      </c>
      <c r="E5" s="57" t="s">
        <v>7</v>
      </c>
      <c r="F5" s="59" t="s">
        <v>0</v>
      </c>
      <c r="G5" s="57" t="s">
        <v>11</v>
      </c>
      <c r="H5" s="57" t="s">
        <v>12</v>
      </c>
      <c r="I5" s="57" t="s">
        <v>13</v>
      </c>
      <c r="J5" s="57" t="s">
        <v>14</v>
      </c>
      <c r="K5" s="57" t="s">
        <v>15</v>
      </c>
      <c r="L5" s="57" t="s">
        <v>16</v>
      </c>
      <c r="M5" s="57" t="s">
        <v>17</v>
      </c>
      <c r="N5" s="59" t="s">
        <v>0</v>
      </c>
      <c r="O5" s="57" t="s">
        <v>18</v>
      </c>
      <c r="P5" s="57" t="s">
        <v>19</v>
      </c>
      <c r="Q5" s="57" t="s">
        <v>20</v>
      </c>
      <c r="R5" s="59" t="s">
        <v>0</v>
      </c>
      <c r="S5" s="57" t="s">
        <v>21</v>
      </c>
      <c r="T5" s="57" t="s">
        <v>22</v>
      </c>
      <c r="U5" s="59" t="s">
        <v>0</v>
      </c>
      <c r="V5" s="52"/>
    </row>
    <row r="6" spans="1:23" ht="15" customHeight="1" x14ac:dyDescent="0.15">
      <c r="A6" s="47"/>
      <c r="B6" s="50"/>
      <c r="C6" s="65"/>
      <c r="D6" s="58"/>
      <c r="E6" s="58"/>
      <c r="F6" s="60"/>
      <c r="G6" s="58"/>
      <c r="H6" s="58"/>
      <c r="I6" s="58"/>
      <c r="J6" s="58"/>
      <c r="K6" s="58"/>
      <c r="L6" s="58"/>
      <c r="M6" s="58"/>
      <c r="N6" s="60"/>
      <c r="O6" s="58"/>
      <c r="P6" s="58"/>
      <c r="Q6" s="58"/>
      <c r="R6" s="60"/>
      <c r="S6" s="58"/>
      <c r="T6" s="58"/>
      <c r="U6" s="60"/>
      <c r="V6" s="53"/>
    </row>
    <row r="7" spans="1:23" s="15" customFormat="1" ht="17.25" customHeight="1" x14ac:dyDescent="0.25">
      <c r="A7" s="30" t="s">
        <v>8</v>
      </c>
      <c r="B7" s="31">
        <f>F7+N7+R7+U7+V7</f>
        <v>88341</v>
      </c>
      <c r="C7" s="31">
        <f t="shared" ref="C7:R7" si="0">SUM(C8:C9)</f>
        <v>8078</v>
      </c>
      <c r="D7" s="31">
        <f t="shared" si="0"/>
        <v>7653</v>
      </c>
      <c r="E7" s="31">
        <f t="shared" si="0"/>
        <v>7681</v>
      </c>
      <c r="F7" s="37">
        <f t="shared" si="0"/>
        <v>23412</v>
      </c>
      <c r="G7" s="31">
        <f t="shared" si="0"/>
        <v>7300</v>
      </c>
      <c r="H7" s="31">
        <f t="shared" si="0"/>
        <v>6823</v>
      </c>
      <c r="I7" s="31">
        <f t="shared" si="0"/>
        <v>6020</v>
      </c>
      <c r="J7" s="31">
        <f t="shared" si="0"/>
        <v>5694</v>
      </c>
      <c r="K7" s="31">
        <f t="shared" si="0"/>
        <v>5364</v>
      </c>
      <c r="L7" s="31">
        <f t="shared" si="0"/>
        <v>5404</v>
      </c>
      <c r="M7" s="31">
        <f t="shared" si="0"/>
        <v>5532</v>
      </c>
      <c r="N7" s="37">
        <f t="shared" si="0"/>
        <v>42137</v>
      </c>
      <c r="O7" s="31">
        <f t="shared" si="0"/>
        <v>6220</v>
      </c>
      <c r="P7" s="31">
        <f t="shared" si="0"/>
        <v>6218</v>
      </c>
      <c r="Q7" s="31">
        <f t="shared" si="0"/>
        <v>5658</v>
      </c>
      <c r="R7" s="37">
        <f t="shared" si="0"/>
        <v>18096</v>
      </c>
      <c r="S7" s="31">
        <f t="shared" ref="S7:U7" si="1">SUM(S8:S9)</f>
        <v>2201</v>
      </c>
      <c r="T7" s="31">
        <f t="shared" si="1"/>
        <v>2179</v>
      </c>
      <c r="U7" s="37">
        <f t="shared" si="1"/>
        <v>4380</v>
      </c>
      <c r="V7" s="31">
        <f>SUM(V8:V9)</f>
        <v>316</v>
      </c>
    </row>
    <row r="8" spans="1:23" s="44" customFormat="1" ht="18.95" customHeight="1" x14ac:dyDescent="0.25">
      <c r="A8" s="26" t="s">
        <v>1</v>
      </c>
      <c r="B8" s="27">
        <f>V8+U8+R8+N8+F8</f>
        <v>30361</v>
      </c>
      <c r="C8" s="27">
        <f>'[2]17'!B30+'[2]17'!C30</f>
        <v>2997</v>
      </c>
      <c r="D8" s="27">
        <f>'[2]17'!D30+'[2]17'!E30</f>
        <v>2487</v>
      </c>
      <c r="E8" s="27">
        <f>'[2]17'!F30+'[2]17'!G30</f>
        <v>2501</v>
      </c>
      <c r="F8" s="43">
        <f>SUM(C8:E8)</f>
        <v>7985</v>
      </c>
      <c r="G8" s="27">
        <f>'[2]17'!H30+'[2]17'!I30</f>
        <v>2538</v>
      </c>
      <c r="H8" s="27">
        <f>'[2]17'!J30+'[2]17'!K30</f>
        <v>2307</v>
      </c>
      <c r="I8" s="27">
        <f>'[2]17'!L30+'[2]17'!M30</f>
        <v>2020</v>
      </c>
      <c r="J8" s="27">
        <f>'[2]17'!N30+'[2]17'!O30</f>
        <v>1897</v>
      </c>
      <c r="K8" s="27">
        <f>'[2]17'!P30+'[2]17'!Q30</f>
        <v>1760</v>
      </c>
      <c r="L8" s="27">
        <f>'[2]17'!R30+'[2]17'!S30</f>
        <v>1730</v>
      </c>
      <c r="M8" s="27">
        <f>'[2]17'!T30+'[2]17'!U30</f>
        <v>1668</v>
      </c>
      <c r="N8" s="43">
        <f>SUM(G8:M8)</f>
        <v>13920</v>
      </c>
      <c r="O8" s="27">
        <f>'[2]17'!V30+'[2]17'!W30</f>
        <v>1816</v>
      </c>
      <c r="P8" s="27">
        <f>'[2]17'!X30+'[2]17'!Y30</f>
        <v>2042</v>
      </c>
      <c r="Q8" s="27">
        <f>'[2]17'!Z30+'[2]17'!AA30</f>
        <v>1791</v>
      </c>
      <c r="R8" s="43">
        <f>SUM(O8:Q8)</f>
        <v>5649</v>
      </c>
      <c r="S8" s="27">
        <f>'[2]17'!AB30+'[2]17'!AC30</f>
        <v>1290</v>
      </c>
      <c r="T8" s="27">
        <f>'[2]17'!AD30+'[2]17'!AE30</f>
        <v>1335</v>
      </c>
      <c r="U8" s="43">
        <f>SUM(S8:T8)</f>
        <v>2625</v>
      </c>
      <c r="V8" s="27">
        <f>'[2]17'!AF30+'[2]17'!AG30</f>
        <v>182</v>
      </c>
    </row>
    <row r="9" spans="1:23" s="44" customFormat="1" ht="18.95" customHeight="1" x14ac:dyDescent="0.25">
      <c r="A9" s="26" t="s">
        <v>43</v>
      </c>
      <c r="B9" s="27">
        <f>V9+U9+R9+N9+F9</f>
        <v>57980</v>
      </c>
      <c r="C9" s="27">
        <f t="shared" ref="C9:K9" si="2">SUM(C10:C29)</f>
        <v>5081</v>
      </c>
      <c r="D9" s="27">
        <f t="shared" si="2"/>
        <v>5166</v>
      </c>
      <c r="E9" s="27">
        <f t="shared" si="2"/>
        <v>5180</v>
      </c>
      <c r="F9" s="43">
        <f t="shared" si="2"/>
        <v>15427</v>
      </c>
      <c r="G9" s="27">
        <f>SUM(G10:G29)</f>
        <v>4762</v>
      </c>
      <c r="H9" s="27">
        <f>SUM(H10:H29)</f>
        <v>4516</v>
      </c>
      <c r="I9" s="27">
        <f>SUM(I10:I29)</f>
        <v>4000</v>
      </c>
      <c r="J9" s="27">
        <f>SUM(J10:J29)</f>
        <v>3797</v>
      </c>
      <c r="K9" s="27">
        <f t="shared" si="2"/>
        <v>3604</v>
      </c>
      <c r="L9" s="27">
        <f>SUM(L10:L29)</f>
        <v>3674</v>
      </c>
      <c r="M9" s="27">
        <f>SUM(M10:M29)</f>
        <v>3864</v>
      </c>
      <c r="N9" s="43">
        <f>SUM(G9:M9)</f>
        <v>28217</v>
      </c>
      <c r="O9" s="27">
        <f t="shared" ref="O9:V9" si="3">SUM(O10:O29)</f>
        <v>4404</v>
      </c>
      <c r="P9" s="27">
        <f t="shared" si="3"/>
        <v>4176</v>
      </c>
      <c r="Q9" s="27">
        <f t="shared" si="3"/>
        <v>3867</v>
      </c>
      <c r="R9" s="43">
        <f t="shared" si="3"/>
        <v>12447</v>
      </c>
      <c r="S9" s="27">
        <f t="shared" si="3"/>
        <v>911</v>
      </c>
      <c r="T9" s="27">
        <f t="shared" si="3"/>
        <v>844</v>
      </c>
      <c r="U9" s="43">
        <f t="shared" si="3"/>
        <v>1755</v>
      </c>
      <c r="V9" s="27">
        <f t="shared" si="3"/>
        <v>134</v>
      </c>
      <c r="W9" s="15"/>
    </row>
    <row r="10" spans="1:23" s="13" customFormat="1" ht="15" x14ac:dyDescent="0.25">
      <c r="A10" s="35" t="s">
        <v>23</v>
      </c>
      <c r="B10" s="27">
        <f>F10+N10+R10+U10+V10</f>
        <v>3996</v>
      </c>
      <c r="C10" s="28">
        <f>'[2]17'!B9+'[2]17'!C9</f>
        <v>351</v>
      </c>
      <c r="D10" s="28">
        <f>'[2]17'!D9+'[2]17'!E9</f>
        <v>323</v>
      </c>
      <c r="E10" s="28">
        <f>'[2]17'!F9+'[2]17'!G9</f>
        <v>335</v>
      </c>
      <c r="F10" s="38">
        <f>SUM(C10:E10)</f>
        <v>1009</v>
      </c>
      <c r="G10" s="28">
        <f>'[2]17'!H9+'[2]17'!I9</f>
        <v>354</v>
      </c>
      <c r="H10" s="28">
        <f>'[2]17'!J9+'[2]17'!K9</f>
        <v>301</v>
      </c>
      <c r="I10" s="28">
        <f>'[2]17'!L9+'[2]17'!M9</f>
        <v>233</v>
      </c>
      <c r="J10" s="28">
        <f>'[2]17'!N9+'[2]17'!O9</f>
        <v>260</v>
      </c>
      <c r="K10" s="29">
        <f>'[2]17'!P9+'[2]17'!Q9</f>
        <v>228</v>
      </c>
      <c r="L10" s="28">
        <f>'[2]17'!R9+'[2]17'!S9</f>
        <v>244</v>
      </c>
      <c r="M10" s="28">
        <f>'[2]17'!T9+'[2]17'!U9</f>
        <v>319</v>
      </c>
      <c r="N10" s="38">
        <f>SUM(G10:M10)</f>
        <v>1939</v>
      </c>
      <c r="O10" s="28">
        <f>'[2]17'!V9+'[2]17'!W9</f>
        <v>364</v>
      </c>
      <c r="P10" s="28">
        <f>'[2]17'!X9+'[2]17'!Y9</f>
        <v>297</v>
      </c>
      <c r="Q10" s="28">
        <f>'[2]17'!Z9+'[2]17'!AA9</f>
        <v>294</v>
      </c>
      <c r="R10" s="38">
        <f>SUM(O10:Q10)</f>
        <v>955</v>
      </c>
      <c r="S10" s="28">
        <f>'[2]17'!AB9+'[2]17'!AC9</f>
        <v>55</v>
      </c>
      <c r="T10" s="28">
        <f>'[2]17'!AD9+'[2]17'!AE9</f>
        <v>33</v>
      </c>
      <c r="U10" s="38">
        <f>SUM(S10:T10)</f>
        <v>88</v>
      </c>
      <c r="V10" s="28">
        <v>5</v>
      </c>
    </row>
    <row r="11" spans="1:23" s="13" customFormat="1" ht="15" x14ac:dyDescent="0.25">
      <c r="A11" s="35" t="s">
        <v>24</v>
      </c>
      <c r="B11" s="27">
        <f t="shared" ref="B11:B29" si="4">F11+N11+R11+U11+V11</f>
        <v>5572</v>
      </c>
      <c r="C11" s="28">
        <f>'[2]17'!B10+'[2]17'!C10</f>
        <v>551</v>
      </c>
      <c r="D11" s="28">
        <f>'[2]17'!D10+'[2]17'!E10</f>
        <v>511</v>
      </c>
      <c r="E11" s="28">
        <f>'[2]17'!F10+'[2]17'!G10</f>
        <v>460</v>
      </c>
      <c r="F11" s="38">
        <f t="shared" ref="F11:F29" si="5">SUM(C11:E11)</f>
        <v>1522</v>
      </c>
      <c r="G11" s="28">
        <f>'[2]17'!H10+'[2]17'!I10</f>
        <v>437</v>
      </c>
      <c r="H11" s="28">
        <f>'[2]17'!J10+'[2]17'!K10</f>
        <v>433</v>
      </c>
      <c r="I11" s="28">
        <f>'[2]17'!L10+'[2]17'!M10</f>
        <v>409</v>
      </c>
      <c r="J11" s="28">
        <f>'[2]17'!N10+'[2]17'!O10</f>
        <v>331</v>
      </c>
      <c r="K11" s="29">
        <f>'[2]17'!P10+'[2]17'!Q10</f>
        <v>303</v>
      </c>
      <c r="L11" s="28">
        <f>'[2]17'!R10+'[2]17'!S10</f>
        <v>357</v>
      </c>
      <c r="M11" s="28">
        <f>'[2]17'!T10+'[2]17'!U10</f>
        <v>364</v>
      </c>
      <c r="N11" s="38">
        <f t="shared" ref="N11:N27" si="6">SUM(G11:M11)</f>
        <v>2634</v>
      </c>
      <c r="O11" s="28">
        <f>'[2]17'!V10+'[2]17'!W10</f>
        <v>401</v>
      </c>
      <c r="P11" s="28">
        <f>'[2]17'!X10+'[2]17'!Y10</f>
        <v>429</v>
      </c>
      <c r="Q11" s="28">
        <f>'[2]17'!Z10+'[2]17'!AA10</f>
        <v>366</v>
      </c>
      <c r="R11" s="38">
        <f t="shared" ref="R11:R29" si="7">SUM(O11:Q11)</f>
        <v>1196</v>
      </c>
      <c r="S11" s="28">
        <f>'[2]17'!AB10+'[2]17'!AC10</f>
        <v>93</v>
      </c>
      <c r="T11" s="28">
        <f>'[2]17'!AD10+'[2]17'!AE10</f>
        <v>106</v>
      </c>
      <c r="U11" s="38">
        <f t="shared" ref="U11:U29" si="8">SUM(S11:T11)</f>
        <v>199</v>
      </c>
      <c r="V11" s="28">
        <v>21</v>
      </c>
    </row>
    <row r="12" spans="1:23" s="13" customFormat="1" ht="15" x14ac:dyDescent="0.25">
      <c r="A12" s="35" t="s">
        <v>25</v>
      </c>
      <c r="B12" s="27">
        <f t="shared" si="4"/>
        <v>3923</v>
      </c>
      <c r="C12" s="28">
        <f>'[2]17'!B11+'[2]17'!C11</f>
        <v>355</v>
      </c>
      <c r="D12" s="28">
        <f>'[2]17'!D11+'[2]17'!E11</f>
        <v>352</v>
      </c>
      <c r="E12" s="28">
        <f>'[2]17'!F11+'[2]17'!G11</f>
        <v>352</v>
      </c>
      <c r="F12" s="38">
        <f t="shared" si="5"/>
        <v>1059</v>
      </c>
      <c r="G12" s="28">
        <f>'[2]17'!H11+'[2]17'!I11</f>
        <v>302</v>
      </c>
      <c r="H12" s="28">
        <f>'[2]17'!J11+'[2]17'!K11</f>
        <v>294</v>
      </c>
      <c r="I12" s="28">
        <f>'[2]17'!L11+'[2]17'!M11</f>
        <v>260</v>
      </c>
      <c r="J12" s="28">
        <f>'[2]17'!N11+'[2]17'!O11</f>
        <v>251</v>
      </c>
      <c r="K12" s="29">
        <f>'[2]17'!P11+'[2]17'!Q11</f>
        <v>246</v>
      </c>
      <c r="L12" s="28">
        <f>'[2]17'!R11+'[2]17'!S11</f>
        <v>263</v>
      </c>
      <c r="M12" s="28">
        <f>'[2]17'!T11+'[2]17'!U11</f>
        <v>272</v>
      </c>
      <c r="N12" s="38">
        <f t="shared" si="6"/>
        <v>1888</v>
      </c>
      <c r="O12" s="28">
        <f>'[2]17'!V11+'[2]17'!W11</f>
        <v>356</v>
      </c>
      <c r="P12" s="28">
        <f>'[2]17'!X11+'[2]17'!Y11</f>
        <v>316</v>
      </c>
      <c r="Q12" s="28">
        <f>'[2]17'!Z11+'[2]17'!AA11</f>
        <v>258</v>
      </c>
      <c r="R12" s="38">
        <f t="shared" si="7"/>
        <v>930</v>
      </c>
      <c r="S12" s="28">
        <f>'[2]17'!AB11+'[2]17'!AC11</f>
        <v>32</v>
      </c>
      <c r="T12" s="28">
        <f>'[2]17'!AD11+'[2]17'!AE11</f>
        <v>8</v>
      </c>
      <c r="U12" s="38">
        <f t="shared" si="8"/>
        <v>40</v>
      </c>
      <c r="V12" s="28">
        <v>6</v>
      </c>
    </row>
    <row r="13" spans="1:23" s="13" customFormat="1" ht="15" x14ac:dyDescent="0.25">
      <c r="A13" s="35" t="s">
        <v>26</v>
      </c>
      <c r="B13" s="27">
        <f t="shared" si="4"/>
        <v>3084</v>
      </c>
      <c r="C13" s="28">
        <f>'[2]17'!B12+'[2]17'!C12</f>
        <v>274</v>
      </c>
      <c r="D13" s="28">
        <f>'[2]17'!D12+'[2]17'!E12</f>
        <v>267</v>
      </c>
      <c r="E13" s="28">
        <f>'[2]17'!F12+'[2]17'!G12</f>
        <v>306</v>
      </c>
      <c r="F13" s="38">
        <f t="shared" si="5"/>
        <v>847</v>
      </c>
      <c r="G13" s="28">
        <f>'[2]17'!H12+'[2]17'!I12</f>
        <v>260</v>
      </c>
      <c r="H13" s="28">
        <f>'[2]17'!J12+'[2]17'!K12</f>
        <v>252</v>
      </c>
      <c r="I13" s="28">
        <f>'[2]17'!L12+'[2]17'!M12</f>
        <v>218</v>
      </c>
      <c r="J13" s="28">
        <f>'[2]17'!N12+'[2]17'!O12</f>
        <v>195</v>
      </c>
      <c r="K13" s="29">
        <f>'[2]17'!P12+'[2]17'!Q12</f>
        <v>205</v>
      </c>
      <c r="L13" s="28">
        <f>'[2]17'!R12+'[2]17'!S12</f>
        <v>192</v>
      </c>
      <c r="M13" s="28">
        <f>'[2]17'!T12+'[2]17'!U12</f>
        <v>205</v>
      </c>
      <c r="N13" s="38">
        <f t="shared" si="6"/>
        <v>1527</v>
      </c>
      <c r="O13" s="28">
        <f>'[2]17'!V12+'[2]17'!W12</f>
        <v>217</v>
      </c>
      <c r="P13" s="28">
        <f>'[2]17'!X12+'[2]17'!Y12</f>
        <v>197</v>
      </c>
      <c r="Q13" s="28">
        <f>'[2]17'!Z12+'[2]17'!AA12</f>
        <v>194</v>
      </c>
      <c r="R13" s="38">
        <f t="shared" si="7"/>
        <v>608</v>
      </c>
      <c r="S13" s="28">
        <f>'[2]17'!AB12+'[2]17'!AC12</f>
        <v>43</v>
      </c>
      <c r="T13" s="28">
        <f>'[2]17'!AD12+'[2]17'!AE12</f>
        <v>55</v>
      </c>
      <c r="U13" s="38">
        <f t="shared" si="8"/>
        <v>98</v>
      </c>
      <c r="V13" s="28">
        <v>4</v>
      </c>
    </row>
    <row r="14" spans="1:23" s="13" customFormat="1" ht="15" x14ac:dyDescent="0.25">
      <c r="A14" s="35" t="s">
        <v>27</v>
      </c>
      <c r="B14" s="27">
        <f t="shared" si="4"/>
        <v>4643</v>
      </c>
      <c r="C14" s="28">
        <f>'[2]17'!B13+'[2]17'!C13</f>
        <v>389</v>
      </c>
      <c r="D14" s="28">
        <f>'[2]17'!D13+'[2]17'!E13</f>
        <v>380</v>
      </c>
      <c r="E14" s="28">
        <f>'[2]17'!F13+'[2]17'!G13</f>
        <v>399</v>
      </c>
      <c r="F14" s="38">
        <f t="shared" si="5"/>
        <v>1168</v>
      </c>
      <c r="G14" s="28">
        <f>'[2]17'!H13+'[2]17'!I13</f>
        <v>363</v>
      </c>
      <c r="H14" s="28">
        <f>'[2]17'!J13+'[2]17'!K13</f>
        <v>343</v>
      </c>
      <c r="I14" s="28">
        <f>'[2]17'!L13+'[2]17'!M13</f>
        <v>317</v>
      </c>
      <c r="J14" s="28">
        <f>'[2]17'!N13+'[2]17'!O13</f>
        <v>314</v>
      </c>
      <c r="K14" s="29">
        <f>'[2]17'!P13+'[2]17'!Q13</f>
        <v>275</v>
      </c>
      <c r="L14" s="28">
        <f>'[2]17'!R13+'[2]17'!S13</f>
        <v>325</v>
      </c>
      <c r="M14" s="28">
        <f>'[2]17'!T13+'[2]17'!U13</f>
        <v>336</v>
      </c>
      <c r="N14" s="38">
        <f t="shared" si="6"/>
        <v>2273</v>
      </c>
      <c r="O14" s="28">
        <f>'[2]17'!V13+'[2]17'!W13</f>
        <v>384</v>
      </c>
      <c r="P14" s="28">
        <f>'[2]17'!X13+'[2]17'!Y13</f>
        <v>365</v>
      </c>
      <c r="Q14" s="28">
        <f>'[2]17'!Z13+'[2]17'!AA13</f>
        <v>303</v>
      </c>
      <c r="R14" s="38">
        <f t="shared" si="7"/>
        <v>1052</v>
      </c>
      <c r="S14" s="28">
        <f>'[2]17'!AB13+'[2]17'!AC13</f>
        <v>62</v>
      </c>
      <c r="T14" s="28">
        <f>'[2]17'!AD13+'[2]17'!AE13</f>
        <v>82</v>
      </c>
      <c r="U14" s="38">
        <f t="shared" si="8"/>
        <v>144</v>
      </c>
      <c r="V14" s="28">
        <v>6</v>
      </c>
    </row>
    <row r="15" spans="1:23" s="13" customFormat="1" ht="15" x14ac:dyDescent="0.25">
      <c r="A15" s="35" t="s">
        <v>28</v>
      </c>
      <c r="B15" s="27">
        <f t="shared" si="4"/>
        <v>2684</v>
      </c>
      <c r="C15" s="28">
        <f>'[2]17'!B14+'[2]17'!C14</f>
        <v>213</v>
      </c>
      <c r="D15" s="28">
        <f>'[2]17'!D14+'[2]17'!E14</f>
        <v>217</v>
      </c>
      <c r="E15" s="28">
        <f>'[2]17'!F14+'[2]17'!G14</f>
        <v>239</v>
      </c>
      <c r="F15" s="38">
        <f t="shared" si="5"/>
        <v>669</v>
      </c>
      <c r="G15" s="28">
        <f>'[2]17'!H14+'[2]17'!I14</f>
        <v>199</v>
      </c>
      <c r="H15" s="28">
        <f>'[2]17'!J14+'[2]17'!K14</f>
        <v>195</v>
      </c>
      <c r="I15" s="28">
        <f>'[2]17'!L14+'[2]17'!M14</f>
        <v>175</v>
      </c>
      <c r="J15" s="28">
        <f>'[2]17'!N14+'[2]17'!O14</f>
        <v>165</v>
      </c>
      <c r="K15" s="29">
        <f>'[2]17'!P14+'[2]17'!Q14</f>
        <v>198</v>
      </c>
      <c r="L15" s="28">
        <f>'[2]17'!R14+'[2]17'!S14</f>
        <v>169</v>
      </c>
      <c r="M15" s="28">
        <f>'[2]17'!T14+'[2]17'!U14</f>
        <v>173</v>
      </c>
      <c r="N15" s="38">
        <f t="shared" si="6"/>
        <v>1274</v>
      </c>
      <c r="O15" s="28">
        <f>'[2]17'!V14+'[2]17'!W14</f>
        <v>197</v>
      </c>
      <c r="P15" s="28">
        <f>'[2]17'!X14+'[2]17'!Y14</f>
        <v>204</v>
      </c>
      <c r="Q15" s="28">
        <f>'[2]17'!Z14+'[2]17'!AA14</f>
        <v>185</v>
      </c>
      <c r="R15" s="38">
        <f t="shared" si="7"/>
        <v>586</v>
      </c>
      <c r="S15" s="28">
        <f>'[2]17'!AB14+'[2]17'!AC14</f>
        <v>84</v>
      </c>
      <c r="T15" s="28">
        <f>'[2]17'!AD14+'[2]17'!AE14</f>
        <v>63</v>
      </c>
      <c r="U15" s="38">
        <f t="shared" si="8"/>
        <v>147</v>
      </c>
      <c r="V15" s="28">
        <v>8</v>
      </c>
    </row>
    <row r="16" spans="1:23" s="13" customFormat="1" ht="15" x14ac:dyDescent="0.25">
      <c r="A16" s="35" t="s">
        <v>29</v>
      </c>
      <c r="B16" s="27">
        <f t="shared" si="4"/>
        <v>2221</v>
      </c>
      <c r="C16" s="28">
        <f>'[2]17'!B15+'[2]17'!C15</f>
        <v>203</v>
      </c>
      <c r="D16" s="28">
        <f>'[2]17'!D15+'[2]17'!E15</f>
        <v>179</v>
      </c>
      <c r="E16" s="28">
        <f>'[2]17'!F15+'[2]17'!G15</f>
        <v>203</v>
      </c>
      <c r="F16" s="38">
        <f t="shared" si="5"/>
        <v>585</v>
      </c>
      <c r="G16" s="28">
        <f>'[2]17'!H15+'[2]17'!I15</f>
        <v>174</v>
      </c>
      <c r="H16" s="28">
        <f>'[2]17'!J15+'[2]17'!K15</f>
        <v>158</v>
      </c>
      <c r="I16" s="28">
        <f>'[2]17'!L15+'[2]17'!M15</f>
        <v>142</v>
      </c>
      <c r="J16" s="28">
        <f>'[2]17'!N15+'[2]17'!O15</f>
        <v>164</v>
      </c>
      <c r="K16" s="29">
        <f>'[2]17'!P15+'[2]17'!Q15</f>
        <v>151</v>
      </c>
      <c r="L16" s="28">
        <f>'[2]17'!R15+'[2]17'!S15</f>
        <v>141</v>
      </c>
      <c r="M16" s="28">
        <f>'[2]17'!T15+'[2]17'!U15</f>
        <v>133</v>
      </c>
      <c r="N16" s="38">
        <f t="shared" si="6"/>
        <v>1063</v>
      </c>
      <c r="O16" s="28">
        <f>'[2]17'!V15+'[2]17'!W15</f>
        <v>142</v>
      </c>
      <c r="P16" s="28">
        <f>'[2]17'!X15+'[2]17'!Y15</f>
        <v>172</v>
      </c>
      <c r="Q16" s="28">
        <f>'[2]17'!Z15+'[2]17'!AA15</f>
        <v>169</v>
      </c>
      <c r="R16" s="38">
        <f t="shared" si="7"/>
        <v>483</v>
      </c>
      <c r="S16" s="28">
        <f>'[2]17'!AB15+'[2]17'!AC15</f>
        <v>40</v>
      </c>
      <c r="T16" s="28">
        <f>'[2]17'!AD15+'[2]17'!AE15</f>
        <v>35</v>
      </c>
      <c r="U16" s="38">
        <f t="shared" si="8"/>
        <v>75</v>
      </c>
      <c r="V16" s="28">
        <v>15</v>
      </c>
    </row>
    <row r="17" spans="1:24" s="13" customFormat="1" ht="15" x14ac:dyDescent="0.25">
      <c r="A17" s="35" t="s">
        <v>30</v>
      </c>
      <c r="B17" s="27">
        <f t="shared" si="4"/>
        <v>2840</v>
      </c>
      <c r="C17" s="28">
        <f>'[2]17'!B16+'[2]17'!C16</f>
        <v>310</v>
      </c>
      <c r="D17" s="28">
        <f>'[2]17'!D16+'[2]17'!E16</f>
        <v>260</v>
      </c>
      <c r="E17" s="28">
        <f>'[2]17'!F16+'[2]17'!G16</f>
        <v>240</v>
      </c>
      <c r="F17" s="38">
        <f t="shared" si="5"/>
        <v>810</v>
      </c>
      <c r="G17" s="28">
        <f>'[2]17'!H16+'[2]17'!I16</f>
        <v>266</v>
      </c>
      <c r="H17" s="28">
        <f>'[2]17'!J16+'[2]17'!K16</f>
        <v>216</v>
      </c>
      <c r="I17" s="28">
        <f>'[2]17'!L16+'[2]17'!M16</f>
        <v>229</v>
      </c>
      <c r="J17" s="28">
        <f>'[2]17'!N16+'[2]17'!O16</f>
        <v>182</v>
      </c>
      <c r="K17" s="29">
        <f>'[2]17'!P16+'[2]17'!Q16</f>
        <v>197</v>
      </c>
      <c r="L17" s="28">
        <f>'[2]17'!R16+'[2]17'!S16</f>
        <v>171</v>
      </c>
      <c r="M17" s="28">
        <f>'[2]17'!T16+'[2]17'!U16</f>
        <v>176</v>
      </c>
      <c r="N17" s="38">
        <f t="shared" si="6"/>
        <v>1437</v>
      </c>
      <c r="O17" s="28">
        <f>'[2]17'!V16+'[2]17'!W16</f>
        <v>193</v>
      </c>
      <c r="P17" s="28">
        <f>'[2]17'!X16+'[2]17'!Y16</f>
        <v>181</v>
      </c>
      <c r="Q17" s="28">
        <f>'[2]17'!Z16+'[2]17'!AA16</f>
        <v>193</v>
      </c>
      <c r="R17" s="38">
        <f t="shared" si="7"/>
        <v>567</v>
      </c>
      <c r="S17" s="28">
        <f>'[2]17'!AB16+'[2]17'!AC16</f>
        <v>11</v>
      </c>
      <c r="T17" s="28">
        <f>'[2]17'!AD16+'[2]17'!AE16</f>
        <v>15</v>
      </c>
      <c r="U17" s="38">
        <f t="shared" si="8"/>
        <v>26</v>
      </c>
      <c r="V17" s="40">
        <v>0</v>
      </c>
    </row>
    <row r="18" spans="1:24" s="13" customFormat="1" ht="15" customHeight="1" x14ac:dyDescent="0.25">
      <c r="A18" s="35" t="s">
        <v>31</v>
      </c>
      <c r="B18" s="27">
        <f t="shared" si="4"/>
        <v>1772</v>
      </c>
      <c r="C18" s="28">
        <f>'[2]17'!B17+'[2]17'!C17</f>
        <v>167</v>
      </c>
      <c r="D18" s="28">
        <f>'[2]17'!D17+'[2]17'!E17</f>
        <v>159</v>
      </c>
      <c r="E18" s="28">
        <f>'[2]17'!F17+'[2]17'!G17</f>
        <v>198</v>
      </c>
      <c r="F18" s="38">
        <f t="shared" si="5"/>
        <v>524</v>
      </c>
      <c r="G18" s="28">
        <f>'[2]17'!H17+'[2]17'!I17</f>
        <v>164</v>
      </c>
      <c r="H18" s="28">
        <f>'[2]17'!J17+'[2]17'!K17</f>
        <v>161</v>
      </c>
      <c r="I18" s="28">
        <f>'[2]17'!L17+'[2]17'!M17</f>
        <v>126</v>
      </c>
      <c r="J18" s="28">
        <f>'[2]17'!N17+'[2]17'!O17</f>
        <v>129</v>
      </c>
      <c r="K18" s="29">
        <f>'[2]17'!P17+'[2]17'!Q17</f>
        <v>110</v>
      </c>
      <c r="L18" s="28">
        <f>'[2]17'!R17+'[2]17'!S17</f>
        <v>99</v>
      </c>
      <c r="M18" s="28">
        <f>'[2]17'!T17+'[2]17'!U17</f>
        <v>114</v>
      </c>
      <c r="N18" s="38">
        <f t="shared" si="6"/>
        <v>903</v>
      </c>
      <c r="O18" s="28">
        <f>'[2]17'!V17+'[2]17'!W17</f>
        <v>106</v>
      </c>
      <c r="P18" s="28">
        <f>'[2]17'!X17+'[2]17'!Y17</f>
        <v>102</v>
      </c>
      <c r="Q18" s="28">
        <f>'[2]17'!Z17+'[2]17'!AA17</f>
        <v>101</v>
      </c>
      <c r="R18" s="38">
        <f t="shared" si="7"/>
        <v>309</v>
      </c>
      <c r="S18" s="28">
        <f>'[2]17'!AB17+'[2]17'!AC17</f>
        <v>20</v>
      </c>
      <c r="T18" s="28">
        <f>'[2]17'!AD17+'[2]17'!AE17</f>
        <v>16</v>
      </c>
      <c r="U18" s="38">
        <f t="shared" si="8"/>
        <v>36</v>
      </c>
      <c r="V18" s="40">
        <v>0</v>
      </c>
    </row>
    <row r="19" spans="1:24" s="13" customFormat="1" ht="15" customHeight="1" x14ac:dyDescent="0.25">
      <c r="A19" s="35" t="s">
        <v>32</v>
      </c>
      <c r="B19" s="27">
        <f t="shared" si="4"/>
        <v>2138</v>
      </c>
      <c r="C19" s="28">
        <f>'[2]17'!B18+'[2]17'!C18</f>
        <v>228</v>
      </c>
      <c r="D19" s="28">
        <f>'[2]17'!D18+'[2]17'!E18</f>
        <v>239</v>
      </c>
      <c r="E19" s="28">
        <f>'[2]17'!F18+'[2]17'!G18</f>
        <v>205</v>
      </c>
      <c r="F19" s="38">
        <f t="shared" si="5"/>
        <v>672</v>
      </c>
      <c r="G19" s="28">
        <f>'[2]17'!H18+'[2]17'!I18</f>
        <v>209</v>
      </c>
      <c r="H19" s="28">
        <f>'[2]17'!J18+'[2]17'!K18</f>
        <v>187</v>
      </c>
      <c r="I19" s="28">
        <f>'[2]17'!L18+'[2]17'!M18</f>
        <v>142</v>
      </c>
      <c r="J19" s="28">
        <f>'[2]17'!N18+'[2]17'!O18</f>
        <v>155</v>
      </c>
      <c r="K19" s="29">
        <f>'[2]17'!P18+'[2]17'!Q18</f>
        <v>149</v>
      </c>
      <c r="L19" s="28">
        <f>'[2]17'!R18+'[2]17'!S18</f>
        <v>95</v>
      </c>
      <c r="M19" s="28">
        <f>'[2]17'!T18+'[2]17'!U18</f>
        <v>114</v>
      </c>
      <c r="N19" s="38">
        <f t="shared" si="6"/>
        <v>1051</v>
      </c>
      <c r="O19" s="28">
        <f>'[2]17'!V18+'[2]17'!W18</f>
        <v>142</v>
      </c>
      <c r="P19" s="28">
        <f>'[2]17'!X18+'[2]17'!Y18</f>
        <v>125</v>
      </c>
      <c r="Q19" s="28">
        <f>'[2]17'!Z18+'[2]17'!AA18</f>
        <v>144</v>
      </c>
      <c r="R19" s="38">
        <f t="shared" si="7"/>
        <v>411</v>
      </c>
      <c r="S19" s="40">
        <v>0</v>
      </c>
      <c r="T19" s="28">
        <f>'[2]17'!AD18+'[2]17'!AE18</f>
        <v>4</v>
      </c>
      <c r="U19" s="38">
        <f t="shared" si="8"/>
        <v>4</v>
      </c>
      <c r="V19" s="40">
        <v>0</v>
      </c>
    </row>
    <row r="20" spans="1:24" s="13" customFormat="1" ht="15" customHeight="1" x14ac:dyDescent="0.25">
      <c r="A20" s="35" t="s">
        <v>33</v>
      </c>
      <c r="B20" s="27">
        <f t="shared" si="4"/>
        <v>348</v>
      </c>
      <c r="C20" s="28">
        <f>'[2]17'!B19+'[2]17'!C19</f>
        <v>32</v>
      </c>
      <c r="D20" s="28">
        <f>'[2]17'!D19+'[2]17'!E19</f>
        <v>31</v>
      </c>
      <c r="E20" s="28">
        <f>'[2]17'!F19+'[2]17'!G19</f>
        <v>22</v>
      </c>
      <c r="F20" s="38">
        <f t="shared" si="5"/>
        <v>85</v>
      </c>
      <c r="G20" s="28">
        <f>'[2]17'!H19+'[2]17'!I19</f>
        <v>41</v>
      </c>
      <c r="H20" s="28">
        <f>'[2]17'!J19+'[2]17'!K19</f>
        <v>28</v>
      </c>
      <c r="I20" s="28">
        <f>'[2]17'!L19+'[2]17'!M19</f>
        <v>27</v>
      </c>
      <c r="J20" s="28">
        <f>'[2]17'!N19+'[2]17'!O19</f>
        <v>22</v>
      </c>
      <c r="K20" s="29">
        <f>'[2]17'!P19+'[2]17'!Q19</f>
        <v>25</v>
      </c>
      <c r="L20" s="28">
        <f>'[2]17'!R19+'[2]17'!S19</f>
        <v>31</v>
      </c>
      <c r="M20" s="28">
        <f>'[2]17'!T19+'[2]17'!U19</f>
        <v>19</v>
      </c>
      <c r="N20" s="38">
        <f t="shared" si="6"/>
        <v>193</v>
      </c>
      <c r="O20" s="28">
        <f>'[2]17'!V19+'[2]17'!W19</f>
        <v>18</v>
      </c>
      <c r="P20" s="28">
        <f>'[2]17'!X19+'[2]17'!Y19</f>
        <v>27</v>
      </c>
      <c r="Q20" s="28">
        <f>'[2]17'!Z19+'[2]17'!AA19</f>
        <v>25</v>
      </c>
      <c r="R20" s="38">
        <f t="shared" si="7"/>
        <v>70</v>
      </c>
      <c r="S20" s="40">
        <f>'[2]17'!AB19+'[2]17'!AC19</f>
        <v>0</v>
      </c>
      <c r="T20" s="40">
        <f>'[2]17'!AC19+'[2]17'!AD19</f>
        <v>0</v>
      </c>
      <c r="U20" s="41">
        <f>'[2]17'!AD19+'[2]17'!AE19</f>
        <v>0</v>
      </c>
      <c r="V20" s="40">
        <v>0</v>
      </c>
    </row>
    <row r="21" spans="1:24" s="13" customFormat="1" ht="15" customHeight="1" x14ac:dyDescent="0.25">
      <c r="A21" s="35" t="s">
        <v>34</v>
      </c>
      <c r="B21" s="27">
        <f t="shared" si="4"/>
        <v>1251</v>
      </c>
      <c r="C21" s="28">
        <f>'[2]17'!B20+'[2]17'!C20</f>
        <v>98</v>
      </c>
      <c r="D21" s="28">
        <f>'[2]17'!D20+'[2]17'!E20</f>
        <v>116</v>
      </c>
      <c r="E21" s="28">
        <f>'[2]17'!F20+'[2]17'!G20</f>
        <v>120</v>
      </c>
      <c r="F21" s="38">
        <f t="shared" si="5"/>
        <v>334</v>
      </c>
      <c r="G21" s="28">
        <f>'[2]17'!H20+'[2]17'!I20</f>
        <v>121</v>
      </c>
      <c r="H21" s="28">
        <f>'[2]17'!J20+'[2]17'!K20</f>
        <v>104</v>
      </c>
      <c r="I21" s="28">
        <f>'[2]17'!L20+'[2]17'!M20</f>
        <v>96</v>
      </c>
      <c r="J21" s="28">
        <f>'[2]17'!N20+'[2]17'!O20</f>
        <v>84</v>
      </c>
      <c r="K21" s="29">
        <f>'[2]17'!P20+'[2]17'!Q20</f>
        <v>67</v>
      </c>
      <c r="L21" s="28">
        <f>'[2]17'!R20+'[2]17'!S20</f>
        <v>65</v>
      </c>
      <c r="M21" s="28">
        <f>'[2]17'!T20+'[2]17'!U20</f>
        <v>67</v>
      </c>
      <c r="N21" s="38">
        <f t="shared" si="6"/>
        <v>604</v>
      </c>
      <c r="O21" s="28">
        <f>'[2]17'!V20+'[2]17'!W20</f>
        <v>82</v>
      </c>
      <c r="P21" s="28">
        <f>'[2]17'!X20+'[2]17'!Y20</f>
        <v>85</v>
      </c>
      <c r="Q21" s="28">
        <f>'[2]17'!Z20+'[2]17'!AA20</f>
        <v>91</v>
      </c>
      <c r="R21" s="38">
        <f t="shared" si="7"/>
        <v>258</v>
      </c>
      <c r="S21" s="28">
        <f>'[2]17'!AB20+'[2]17'!AC20</f>
        <v>28</v>
      </c>
      <c r="T21" s="28">
        <f>'[2]17'!AD20+'[2]17'!AE20</f>
        <v>26</v>
      </c>
      <c r="U21" s="38">
        <f t="shared" si="8"/>
        <v>54</v>
      </c>
      <c r="V21" s="28">
        <v>1</v>
      </c>
    </row>
    <row r="22" spans="1:24" s="13" customFormat="1" ht="15" customHeight="1" x14ac:dyDescent="0.25">
      <c r="A22" s="35" t="s">
        <v>35</v>
      </c>
      <c r="B22" s="27">
        <f t="shared" si="4"/>
        <v>1375</v>
      </c>
      <c r="C22" s="28">
        <f>'[2]17'!B21+'[2]17'!C21</f>
        <v>84</v>
      </c>
      <c r="D22" s="28">
        <f>'[2]17'!D21+'[2]17'!E21</f>
        <v>116</v>
      </c>
      <c r="E22" s="28">
        <f>'[2]17'!F21+'[2]17'!G21</f>
        <v>96</v>
      </c>
      <c r="F22" s="38">
        <f t="shared" si="5"/>
        <v>296</v>
      </c>
      <c r="G22" s="28">
        <f>'[2]17'!H21+'[2]17'!I21</f>
        <v>110</v>
      </c>
      <c r="H22" s="28">
        <f>'[2]17'!J21+'[2]17'!K21</f>
        <v>102</v>
      </c>
      <c r="I22" s="28">
        <f>'[2]17'!L21+'[2]17'!M21</f>
        <v>109</v>
      </c>
      <c r="J22" s="28">
        <f>'[2]17'!N21+'[2]17'!O21</f>
        <v>96</v>
      </c>
      <c r="K22" s="29">
        <f>'[2]17'!P21+'[2]17'!Q21</f>
        <v>79</v>
      </c>
      <c r="L22" s="28">
        <f>'[2]17'!R21+'[2]17'!S21</f>
        <v>87</v>
      </c>
      <c r="M22" s="28">
        <f>'[2]17'!T21+'[2]17'!U21</f>
        <v>94</v>
      </c>
      <c r="N22" s="38">
        <f t="shared" si="6"/>
        <v>677</v>
      </c>
      <c r="O22" s="28">
        <f>'[2]17'!V21+'[2]17'!W21</f>
        <v>118</v>
      </c>
      <c r="P22" s="28">
        <f>'[2]17'!X21+'[2]17'!Y21</f>
        <v>133</v>
      </c>
      <c r="Q22" s="28">
        <f>'[2]17'!Z21+'[2]17'!AA21</f>
        <v>73</v>
      </c>
      <c r="R22" s="38">
        <f t="shared" si="7"/>
        <v>324</v>
      </c>
      <c r="S22" s="28">
        <f>'[2]17'!AB21+'[2]17'!AC21</f>
        <v>42</v>
      </c>
      <c r="T22" s="28">
        <f>'[2]17'!AD21+'[2]17'!AE21</f>
        <v>36</v>
      </c>
      <c r="U22" s="38">
        <f t="shared" si="8"/>
        <v>78</v>
      </c>
      <c r="V22" s="40">
        <v>0</v>
      </c>
    </row>
    <row r="23" spans="1:24" s="13" customFormat="1" ht="15" customHeight="1" x14ac:dyDescent="0.25">
      <c r="A23" s="35" t="s">
        <v>36</v>
      </c>
      <c r="B23" s="27">
        <f t="shared" si="4"/>
        <v>1661</v>
      </c>
      <c r="C23" s="28">
        <f>'[2]17'!B22+'[2]17'!C22</f>
        <v>144</v>
      </c>
      <c r="D23" s="28">
        <f>'[2]17'!D22+'[2]17'!E22</f>
        <v>164</v>
      </c>
      <c r="E23" s="28">
        <f>'[2]17'!F22+'[2]17'!G22</f>
        <v>149</v>
      </c>
      <c r="F23" s="38">
        <f t="shared" si="5"/>
        <v>457</v>
      </c>
      <c r="G23" s="28">
        <f>'[2]17'!H22+'[2]17'!I22</f>
        <v>140</v>
      </c>
      <c r="H23" s="28">
        <f>'[2]17'!J22+'[2]17'!K22</f>
        <v>123</v>
      </c>
      <c r="I23" s="28">
        <f>'[2]17'!L22+'[2]17'!M22</f>
        <v>125</v>
      </c>
      <c r="J23" s="28">
        <f>'[2]17'!N22+'[2]17'!O22</f>
        <v>120</v>
      </c>
      <c r="K23" s="29">
        <f>'[2]17'!P22+'[2]17'!Q22</f>
        <v>85</v>
      </c>
      <c r="L23" s="28">
        <f>'[2]17'!R22+'[2]17'!S22</f>
        <v>94</v>
      </c>
      <c r="M23" s="28">
        <f>'[2]17'!T22+'[2]17'!U22</f>
        <v>121</v>
      </c>
      <c r="N23" s="38">
        <f t="shared" si="6"/>
        <v>808</v>
      </c>
      <c r="O23" s="28">
        <f>'[2]17'!V22+'[2]17'!W22</f>
        <v>152</v>
      </c>
      <c r="P23" s="28">
        <f>'[2]17'!X22+'[2]17'!Y22</f>
        <v>91</v>
      </c>
      <c r="Q23" s="28">
        <f>'[2]17'!Z22+'[2]17'!AA22</f>
        <v>95</v>
      </c>
      <c r="R23" s="38">
        <f t="shared" si="7"/>
        <v>338</v>
      </c>
      <c r="S23" s="28">
        <f>'[2]17'!AB22+'[2]17'!AC22</f>
        <v>27</v>
      </c>
      <c r="T23" s="28">
        <f>'[2]17'!AD22+'[2]17'!AE22</f>
        <v>31</v>
      </c>
      <c r="U23" s="38">
        <f t="shared" si="8"/>
        <v>58</v>
      </c>
      <c r="V23" s="40">
        <v>0</v>
      </c>
    </row>
    <row r="24" spans="1:24" s="13" customFormat="1" ht="15" customHeight="1" x14ac:dyDescent="0.25">
      <c r="A24" s="35" t="s">
        <v>37</v>
      </c>
      <c r="B24" s="27">
        <f t="shared" si="4"/>
        <v>2659</v>
      </c>
      <c r="C24" s="28">
        <f>'[2]17'!B23+'[2]17'!C23</f>
        <v>249</v>
      </c>
      <c r="D24" s="28">
        <f>'[2]17'!D23+'[2]17'!E23</f>
        <v>291</v>
      </c>
      <c r="E24" s="28">
        <f>'[2]17'!F23+'[2]17'!G23</f>
        <v>259</v>
      </c>
      <c r="F24" s="38">
        <f t="shared" si="5"/>
        <v>799</v>
      </c>
      <c r="G24" s="28">
        <f>'[2]17'!H23+'[2]17'!I23</f>
        <v>205</v>
      </c>
      <c r="H24" s="28">
        <f>'[2]17'!J23+'[2]17'!K23</f>
        <v>246</v>
      </c>
      <c r="I24" s="28">
        <f>'[2]17'!L23+'[2]17'!M23</f>
        <v>189</v>
      </c>
      <c r="J24" s="28">
        <f>'[2]17'!N23+'[2]17'!O23</f>
        <v>158</v>
      </c>
      <c r="K24" s="29">
        <f>'[2]17'!P23+'[2]17'!Q23</f>
        <v>145</v>
      </c>
      <c r="L24" s="28">
        <f>'[2]17'!R23+'[2]17'!S23</f>
        <v>165</v>
      </c>
      <c r="M24" s="28">
        <f>'[2]17'!T23+'[2]17'!U23</f>
        <v>146</v>
      </c>
      <c r="N24" s="38">
        <f t="shared" si="6"/>
        <v>1254</v>
      </c>
      <c r="O24" s="28">
        <f>'[2]17'!V23+'[2]17'!W23</f>
        <v>222</v>
      </c>
      <c r="P24" s="28">
        <f>'[2]17'!X23+'[2]17'!Y23</f>
        <v>168</v>
      </c>
      <c r="Q24" s="28">
        <f>'[2]17'!Z23+'[2]17'!AA23</f>
        <v>166</v>
      </c>
      <c r="R24" s="38">
        <f t="shared" si="7"/>
        <v>556</v>
      </c>
      <c r="S24" s="28">
        <f>'[2]17'!AB23+'[2]17'!AC23</f>
        <v>23</v>
      </c>
      <c r="T24" s="28">
        <f>'[2]17'!AD23+'[2]17'!AE23</f>
        <v>26</v>
      </c>
      <c r="U24" s="38">
        <f t="shared" si="8"/>
        <v>49</v>
      </c>
      <c r="V24" s="28">
        <v>1</v>
      </c>
    </row>
    <row r="25" spans="1:24" s="13" customFormat="1" ht="15" customHeight="1" x14ac:dyDescent="0.25">
      <c r="A25" s="35" t="s">
        <v>38</v>
      </c>
      <c r="B25" s="27">
        <f t="shared" si="4"/>
        <v>3756</v>
      </c>
      <c r="C25" s="28">
        <f>'[2]17'!B24+'[2]17'!C24</f>
        <v>311</v>
      </c>
      <c r="D25" s="28">
        <f>'[2]17'!D24+'[2]17'!E24</f>
        <v>323</v>
      </c>
      <c r="E25" s="28">
        <f>'[2]17'!F24+'[2]17'!G24</f>
        <v>332</v>
      </c>
      <c r="F25" s="38">
        <f t="shared" si="5"/>
        <v>966</v>
      </c>
      <c r="G25" s="28">
        <f>'[2]17'!H24+'[2]17'!I24</f>
        <v>305</v>
      </c>
      <c r="H25" s="28">
        <f>'[2]17'!J24+'[2]17'!K24</f>
        <v>332</v>
      </c>
      <c r="I25" s="28">
        <f>'[2]17'!L24+'[2]17'!M24</f>
        <v>269</v>
      </c>
      <c r="J25" s="28">
        <f>'[2]17'!N24+'[2]17'!O24</f>
        <v>253</v>
      </c>
      <c r="K25" s="29">
        <f>'[2]17'!P24+'[2]17'!Q24</f>
        <v>194</v>
      </c>
      <c r="L25" s="28">
        <f>'[2]17'!R24+'[2]17'!S24</f>
        <v>244</v>
      </c>
      <c r="M25" s="28">
        <f>'[2]17'!T24+'[2]17'!U24</f>
        <v>291</v>
      </c>
      <c r="N25" s="38">
        <f t="shared" si="6"/>
        <v>1888</v>
      </c>
      <c r="O25" s="28">
        <f>'[2]17'!V24+'[2]17'!W24</f>
        <v>325</v>
      </c>
      <c r="P25" s="28">
        <f>'[2]17'!X24+'[2]17'!Y24</f>
        <v>271</v>
      </c>
      <c r="Q25" s="28">
        <f>'[2]17'!Z24+'[2]17'!AA24</f>
        <v>229</v>
      </c>
      <c r="R25" s="38">
        <f t="shared" si="7"/>
        <v>825</v>
      </c>
      <c r="S25" s="28">
        <f>'[2]17'!AB24+'[2]17'!AC24</f>
        <v>38</v>
      </c>
      <c r="T25" s="28">
        <f>'[2]17'!AD24+'[2]17'!AE24</f>
        <v>38</v>
      </c>
      <c r="U25" s="38">
        <f t="shared" si="8"/>
        <v>76</v>
      </c>
      <c r="V25" s="28">
        <v>1</v>
      </c>
    </row>
    <row r="26" spans="1:24" s="13" customFormat="1" ht="15" customHeight="1" x14ac:dyDescent="0.25">
      <c r="A26" s="35" t="s">
        <v>39</v>
      </c>
      <c r="B26" s="27">
        <f t="shared" si="4"/>
        <v>2434</v>
      </c>
      <c r="C26" s="28">
        <f>'[2]17'!B25+'[2]17'!C25</f>
        <v>187</v>
      </c>
      <c r="D26" s="28">
        <f>'[2]17'!D25+'[2]17'!E25</f>
        <v>171</v>
      </c>
      <c r="E26" s="28">
        <f>'[2]17'!F25+'[2]17'!G25</f>
        <v>200</v>
      </c>
      <c r="F26" s="38">
        <f t="shared" si="5"/>
        <v>558</v>
      </c>
      <c r="G26" s="28">
        <f>'[2]17'!H25+'[2]17'!I25</f>
        <v>182</v>
      </c>
      <c r="H26" s="28">
        <f>'[2]17'!J25+'[2]17'!K25</f>
        <v>186</v>
      </c>
      <c r="I26" s="28">
        <f>'[2]17'!L25+'[2]17'!M25</f>
        <v>174</v>
      </c>
      <c r="J26" s="28">
        <f>'[2]17'!N25+'[2]17'!O25</f>
        <v>170</v>
      </c>
      <c r="K26" s="29">
        <f>'[2]17'!P25+'[2]17'!Q25</f>
        <v>156</v>
      </c>
      <c r="L26" s="28">
        <f>'[2]17'!R25+'[2]17'!S25</f>
        <v>181</v>
      </c>
      <c r="M26" s="28">
        <f>'[2]17'!T25+'[2]17'!U25</f>
        <v>174</v>
      </c>
      <c r="N26" s="38">
        <f t="shared" si="6"/>
        <v>1223</v>
      </c>
      <c r="O26" s="28">
        <f>'[2]17'!V25+'[2]17'!W25</f>
        <v>191</v>
      </c>
      <c r="P26" s="28">
        <f>'[2]17'!X25+'[2]17'!Y25</f>
        <v>203</v>
      </c>
      <c r="Q26" s="28">
        <f>'[2]17'!Z25+'[2]17'!AA25</f>
        <v>204</v>
      </c>
      <c r="R26" s="38">
        <f t="shared" si="7"/>
        <v>598</v>
      </c>
      <c r="S26" s="28">
        <f>'[2]17'!AB25+'[2]17'!AC25</f>
        <v>17</v>
      </c>
      <c r="T26" s="28">
        <f>'[2]17'!AD25+'[2]17'!AE25</f>
        <v>27</v>
      </c>
      <c r="U26" s="38">
        <f t="shared" si="8"/>
        <v>44</v>
      </c>
      <c r="V26" s="28">
        <v>11</v>
      </c>
    </row>
    <row r="27" spans="1:24" s="13" customFormat="1" ht="15" customHeight="1" x14ac:dyDescent="0.25">
      <c r="A27" s="35" t="s">
        <v>40</v>
      </c>
      <c r="B27" s="27">
        <f t="shared" si="4"/>
        <v>3401</v>
      </c>
      <c r="C27" s="28">
        <f>'[2]17'!B26+'[2]17'!C26</f>
        <v>325</v>
      </c>
      <c r="D27" s="28">
        <f>'[2]17'!D26+'[2]17'!E26</f>
        <v>294</v>
      </c>
      <c r="E27" s="28">
        <f>'[2]17'!F26+'[2]17'!G26</f>
        <v>305</v>
      </c>
      <c r="F27" s="38">
        <f t="shared" si="5"/>
        <v>924</v>
      </c>
      <c r="G27" s="28">
        <f>'[2]17'!H26+'[2]17'!I26</f>
        <v>294</v>
      </c>
      <c r="H27" s="28">
        <f>'[2]17'!J26+'[2]17'!K26</f>
        <v>261</v>
      </c>
      <c r="I27" s="28">
        <f>'[2]17'!L26+'[2]17'!M26</f>
        <v>236</v>
      </c>
      <c r="J27" s="28">
        <f>'[2]17'!N26+'[2]17'!O26</f>
        <v>246</v>
      </c>
      <c r="K27" s="29">
        <f>'[2]17'!P26+'[2]17'!Q26</f>
        <v>233</v>
      </c>
      <c r="L27" s="28">
        <f>'[2]17'!R26+'[2]17'!S26</f>
        <v>234</v>
      </c>
      <c r="M27" s="28">
        <f>'[2]17'!T26+'[2]17'!U26</f>
        <v>234</v>
      </c>
      <c r="N27" s="38">
        <f t="shared" si="6"/>
        <v>1738</v>
      </c>
      <c r="O27" s="28">
        <f>'[2]17'!V26+'[2]17'!W26</f>
        <v>244</v>
      </c>
      <c r="P27" s="28">
        <f>'[2]17'!X26+'[2]17'!Y26</f>
        <v>222</v>
      </c>
      <c r="Q27" s="28">
        <f>'[2]17'!Z26+'[2]17'!AA26</f>
        <v>223</v>
      </c>
      <c r="R27" s="38">
        <f t="shared" si="7"/>
        <v>689</v>
      </c>
      <c r="S27" s="28">
        <f>'[2]17'!AB26+'[2]17'!AC26</f>
        <v>7</v>
      </c>
      <c r="T27" s="28">
        <f>'[2]17'!AD26+'[2]17'!AE26</f>
        <v>21</v>
      </c>
      <c r="U27" s="38">
        <f t="shared" si="8"/>
        <v>28</v>
      </c>
      <c r="V27" s="28">
        <v>22</v>
      </c>
    </row>
    <row r="28" spans="1:24" s="13" customFormat="1" ht="15" customHeight="1" x14ac:dyDescent="0.25">
      <c r="A28" s="35" t="s">
        <v>41</v>
      </c>
      <c r="B28" s="27">
        <f t="shared" si="4"/>
        <v>2751</v>
      </c>
      <c r="C28" s="28">
        <f>'[2]17'!B27+'[2]17'!C27</f>
        <v>221</v>
      </c>
      <c r="D28" s="28">
        <f>'[2]17'!D27+'[2]17'!E27</f>
        <v>316</v>
      </c>
      <c r="E28" s="28">
        <f>'[2]17'!F27+'[2]17'!G27</f>
        <v>271</v>
      </c>
      <c r="F28" s="38">
        <f t="shared" si="5"/>
        <v>808</v>
      </c>
      <c r="G28" s="28">
        <f>'[2]17'!H27+'[2]17'!I27</f>
        <v>237</v>
      </c>
      <c r="H28" s="28">
        <f>'[2]17'!J27+'[2]17'!K27</f>
        <v>191</v>
      </c>
      <c r="I28" s="28">
        <f>'[2]17'!L27+'[2]17'!M27</f>
        <v>171</v>
      </c>
      <c r="J28" s="28">
        <f>'[2]17'!N27+'[2]17'!O27</f>
        <v>148</v>
      </c>
      <c r="K28" s="29">
        <f>'[2]17'!P27+'[2]17'!Q27</f>
        <v>163</v>
      </c>
      <c r="L28" s="28">
        <f>'[2]17'!R27+'[2]17'!S27</f>
        <v>166</v>
      </c>
      <c r="M28" s="28">
        <f>'[2]17'!T27+'[2]17'!U27</f>
        <v>198</v>
      </c>
      <c r="N28" s="38">
        <f>SUM(G28:M28)</f>
        <v>1274</v>
      </c>
      <c r="O28" s="28">
        <f>'[2]17'!V27+'[2]17'!W27</f>
        <v>184</v>
      </c>
      <c r="P28" s="28">
        <f>'[2]17'!X27+'[2]17'!Y27</f>
        <v>192</v>
      </c>
      <c r="Q28" s="28">
        <f>'[2]17'!Z27+'[2]17'!AA27</f>
        <v>209</v>
      </c>
      <c r="R28" s="38">
        <f t="shared" si="7"/>
        <v>585</v>
      </c>
      <c r="S28" s="28">
        <f>'[2]17'!AB27+'[2]17'!AC27</f>
        <v>46</v>
      </c>
      <c r="T28" s="28">
        <f>'[2]17'!AD27+'[2]17'!AE27</f>
        <v>38</v>
      </c>
      <c r="U28" s="38">
        <f t="shared" si="8"/>
        <v>84</v>
      </c>
      <c r="V28" s="40">
        <v>0</v>
      </c>
    </row>
    <row r="29" spans="1:24" s="13" customFormat="1" ht="15" customHeight="1" x14ac:dyDescent="0.25">
      <c r="A29" s="36" t="s">
        <v>42</v>
      </c>
      <c r="B29" s="32">
        <f t="shared" si="4"/>
        <v>5471</v>
      </c>
      <c r="C29" s="33">
        <f>'[2]17'!B28+'[2]17'!C28</f>
        <v>389</v>
      </c>
      <c r="D29" s="33">
        <f>'[2]17'!D28+'[2]17'!E28</f>
        <v>457</v>
      </c>
      <c r="E29" s="33">
        <f>'[2]17'!F28+'[2]17'!G28</f>
        <v>489</v>
      </c>
      <c r="F29" s="39">
        <f t="shared" si="5"/>
        <v>1335</v>
      </c>
      <c r="G29" s="33">
        <f>'[2]17'!H28+'[2]17'!I28</f>
        <v>399</v>
      </c>
      <c r="H29" s="33">
        <f>'[2]17'!J28+'[2]17'!K28</f>
        <v>403</v>
      </c>
      <c r="I29" s="33">
        <f>'[2]17'!L28+'[2]17'!M28</f>
        <v>353</v>
      </c>
      <c r="J29" s="33">
        <f>'[2]17'!N28+'[2]17'!O28</f>
        <v>354</v>
      </c>
      <c r="K29" s="34">
        <f>'[2]17'!P28+'[2]17'!Q28</f>
        <v>395</v>
      </c>
      <c r="L29" s="33">
        <f>'[2]17'!R28+'[2]17'!S28</f>
        <v>351</v>
      </c>
      <c r="M29" s="33">
        <f>'[2]17'!T28+'[2]17'!U28</f>
        <v>314</v>
      </c>
      <c r="N29" s="39">
        <f>SUM(G29:M29)</f>
        <v>2569</v>
      </c>
      <c r="O29" s="33">
        <f>'[2]17'!V28+'[2]17'!W28</f>
        <v>366</v>
      </c>
      <c r="P29" s="33">
        <f>'[2]17'!X28+'[2]17'!Y28</f>
        <v>396</v>
      </c>
      <c r="Q29" s="33">
        <f>'[2]17'!Z28+'[2]17'!AA28</f>
        <v>345</v>
      </c>
      <c r="R29" s="39">
        <f t="shared" si="7"/>
        <v>1107</v>
      </c>
      <c r="S29" s="33">
        <f>'[2]17'!AB28+'[2]17'!AC28</f>
        <v>243</v>
      </c>
      <c r="T29" s="33">
        <f>'[2]17'!AD28+'[2]17'!AE28</f>
        <v>184</v>
      </c>
      <c r="U29" s="39">
        <f t="shared" si="8"/>
        <v>427</v>
      </c>
      <c r="V29" s="33">
        <v>33</v>
      </c>
      <c r="X29" s="14"/>
    </row>
    <row r="30" spans="1:24" ht="13.5" x14ac:dyDescent="0.15">
      <c r="A30" s="2" t="s">
        <v>2</v>
      </c>
      <c r="B30" s="3"/>
      <c r="C30" s="4"/>
      <c r="D30" s="3"/>
      <c r="E30" s="3"/>
      <c r="F30" s="3"/>
      <c r="G30" s="3"/>
      <c r="H30" s="3"/>
      <c r="I30" s="3"/>
      <c r="J30" s="5"/>
      <c r="K30" s="9"/>
      <c r="V30" s="6" t="s">
        <v>3</v>
      </c>
    </row>
    <row r="31" spans="1:24" ht="22.5" customHeight="1" x14ac:dyDescent="0.25">
      <c r="A31" s="7"/>
      <c r="B31" s="1"/>
      <c r="C31" s="1"/>
      <c r="D31" s="1"/>
      <c r="E31" s="1"/>
      <c r="F31" s="1"/>
      <c r="G31" s="42"/>
      <c r="H31" s="1"/>
      <c r="I31" s="8"/>
      <c r="J31" s="1"/>
      <c r="K31" s="1"/>
    </row>
    <row r="32" spans="1:24" ht="22.5" customHeight="1" x14ac:dyDescent="0.15"/>
    <row r="33" spans="1:22" ht="22.5" customHeight="1" x14ac:dyDescent="0.15"/>
    <row r="35" spans="1:22" x14ac:dyDescent="0.15">
      <c r="A35" s="16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8"/>
      <c r="U35" s="18"/>
      <c r="V35" s="19"/>
    </row>
    <row r="36" spans="1:22" x14ac:dyDescent="0.15">
      <c r="A36" s="16"/>
      <c r="B36" s="16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1"/>
    </row>
    <row r="37" spans="1:22" x14ac:dyDescent="0.15"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3"/>
    </row>
    <row r="38" spans="1:22" x14ac:dyDescent="0.15"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3"/>
    </row>
    <row r="39" spans="1:22" x14ac:dyDescent="0.15"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3"/>
    </row>
    <row r="40" spans="1:22" x14ac:dyDescent="0.15">
      <c r="M40" s="22"/>
    </row>
    <row r="44" spans="1:22" x14ac:dyDescent="0.15">
      <c r="C44" s="22"/>
      <c r="D44" s="22"/>
      <c r="E44" s="22"/>
      <c r="F44" s="22"/>
      <c r="G44" s="22"/>
      <c r="H44" s="22"/>
      <c r="I44" s="22"/>
      <c r="J44" s="22"/>
      <c r="K44" s="22"/>
    </row>
    <row r="45" spans="1:22" x14ac:dyDescent="0.15">
      <c r="C45" s="22"/>
      <c r="D45" s="22"/>
      <c r="E45" s="22"/>
      <c r="F45" s="22"/>
      <c r="G45" s="22"/>
      <c r="H45" s="22"/>
      <c r="I45" s="22"/>
      <c r="J45" s="22"/>
      <c r="K45" s="22"/>
    </row>
    <row r="46" spans="1:22" x14ac:dyDescent="0.15">
      <c r="C46" s="22"/>
      <c r="D46" s="22"/>
      <c r="E46" s="22"/>
      <c r="F46" s="22"/>
      <c r="G46" s="22"/>
      <c r="H46" s="22"/>
      <c r="I46" s="22"/>
      <c r="J46" s="22"/>
      <c r="K46" s="22"/>
    </row>
    <row r="48" spans="1:22" s="24" customFormat="1" ht="15" x14ac:dyDescent="0.25">
      <c r="J48" s="22"/>
      <c r="V48" s="25"/>
    </row>
    <row r="49" spans="10:22" s="24" customFormat="1" ht="15" x14ac:dyDescent="0.25">
      <c r="J49" s="22"/>
      <c r="V49" s="25"/>
    </row>
    <row r="50" spans="10:22" s="24" customFormat="1" ht="15" x14ac:dyDescent="0.25">
      <c r="J50" s="22"/>
      <c r="V50" s="25"/>
    </row>
    <row r="51" spans="10:22" s="24" customFormat="1" ht="15" x14ac:dyDescent="0.25">
      <c r="J51" s="22"/>
      <c r="V51" s="25"/>
    </row>
    <row r="52" spans="10:22" s="24" customFormat="1" ht="15" x14ac:dyDescent="0.25">
      <c r="V52" s="25"/>
    </row>
    <row r="53" spans="10:22" s="24" customFormat="1" ht="15" x14ac:dyDescent="0.25">
      <c r="V53" s="25"/>
    </row>
    <row r="54" spans="10:22" s="24" customFormat="1" ht="15" x14ac:dyDescent="0.25">
      <c r="V54" s="25"/>
    </row>
    <row r="55" spans="10:22" s="24" customFormat="1" ht="15" x14ac:dyDescent="0.25">
      <c r="V55" s="25"/>
    </row>
    <row r="56" spans="10:22" s="24" customFormat="1" ht="15" x14ac:dyDescent="0.25">
      <c r="V56" s="25"/>
    </row>
    <row r="57" spans="10:22" s="24" customFormat="1" ht="15" x14ac:dyDescent="0.25">
      <c r="V57" s="25"/>
    </row>
    <row r="58" spans="10:22" s="24" customFormat="1" ht="15" x14ac:dyDescent="0.25">
      <c r="V58" s="25"/>
    </row>
    <row r="59" spans="10:22" s="24" customFormat="1" ht="15" x14ac:dyDescent="0.25">
      <c r="V59" s="25"/>
    </row>
    <row r="60" spans="10:22" s="24" customFormat="1" ht="15" x14ac:dyDescent="0.25">
      <c r="V60" s="25"/>
    </row>
    <row r="61" spans="10:22" s="24" customFormat="1" ht="15" x14ac:dyDescent="0.25">
      <c r="V61" s="25"/>
    </row>
  </sheetData>
  <mergeCells count="28">
    <mergeCell ref="A1:V1"/>
    <mergeCell ref="A2:V2"/>
    <mergeCell ref="C5:C6"/>
    <mergeCell ref="D5:D6"/>
    <mergeCell ref="E5:E6"/>
    <mergeCell ref="F5:F6"/>
    <mergeCell ref="G5:G6"/>
    <mergeCell ref="H5:H6"/>
    <mergeCell ref="U5:U6"/>
    <mergeCell ref="O5:O6"/>
    <mergeCell ref="P5:P6"/>
    <mergeCell ref="Q5:Q6"/>
    <mergeCell ref="R5:R6"/>
    <mergeCell ref="S5:S6"/>
    <mergeCell ref="T5:T6"/>
    <mergeCell ref="I5:I6"/>
    <mergeCell ref="A4:A6"/>
    <mergeCell ref="B4:B6"/>
    <mergeCell ref="V4:V6"/>
    <mergeCell ref="C4:F4"/>
    <mergeCell ref="G4:N4"/>
    <mergeCell ref="O4:R4"/>
    <mergeCell ref="S4:U4"/>
    <mergeCell ref="J5:J6"/>
    <mergeCell ref="K5:K6"/>
    <mergeCell ref="L5:L6"/>
    <mergeCell ref="M5:M6"/>
    <mergeCell ref="N5:N6"/>
  </mergeCells>
  <pageMargins left="0.7" right="0.7" top="0.75" bottom="0.75" header="0.3" footer="0.3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7.12</vt:lpstr>
      <vt:lpstr>'7.12'!Print_Area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2016-04-13T07:37:48Z</cp:lastPrinted>
  <dcterms:created xsi:type="dcterms:W3CDTF">2014-03-05T03:36:41Z</dcterms:created>
  <dcterms:modified xsi:type="dcterms:W3CDTF">2016-04-13T07:38:16Z</dcterms:modified>
</cp:coreProperties>
</file>