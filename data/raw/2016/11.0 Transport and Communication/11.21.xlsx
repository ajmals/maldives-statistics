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21" sheetId="13" r:id="rId1"/>
  </sheets>
  <externalReferences>
    <externalReference r:id="rId2"/>
    <externalReference r:id="rId3"/>
  </externalReferences>
  <definedNames>
    <definedName name="_xlnm.Print_Area" localSheetId="0">'11.21'!$A$1:$I$21</definedName>
  </definedNames>
  <calcPr calcId="144525"/>
</workbook>
</file>

<file path=xl/calcChain.xml><?xml version="1.0" encoding="utf-8"?>
<calcChain xmlns="http://schemas.openxmlformats.org/spreadsheetml/2006/main">
  <c r="B19" i="13" l="1"/>
  <c r="B18" i="13"/>
  <c r="B17" i="13"/>
  <c r="B16" i="13"/>
  <c r="B15" i="13"/>
  <c r="B14" i="13"/>
  <c r="B13" i="13"/>
  <c r="B12" i="13"/>
  <c r="B11" i="13"/>
  <c r="B10" i="13"/>
  <c r="B9" i="13"/>
  <c r="B8" i="13"/>
  <c r="H7" i="13"/>
  <c r="G7" i="13"/>
  <c r="F7" i="13"/>
  <c r="E7" i="13"/>
  <c r="D7" i="13"/>
  <c r="C7" i="13"/>
  <c r="B7" i="13" s="1"/>
</calcChain>
</file>

<file path=xl/sharedStrings.xml><?xml version="1.0" encoding="utf-8"?>
<sst xmlns="http://schemas.openxmlformats.org/spreadsheetml/2006/main" count="42" uniqueCount="39">
  <si>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</si>
  <si>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</si>
  <si>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</si>
  <si>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</si>
  <si>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</si>
  <si>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</si>
  <si>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</si>
  <si>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</si>
  <si>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</si>
  <si>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</si>
  <si>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</si>
  <si>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</si>
  <si>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</si>
  <si>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</si>
  <si>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</si>
  <si>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</si>
  <si>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</si>
  <si>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</si>
  <si>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</si>
  <si>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</si>
  <si>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</si>
  <si>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</si>
  <si>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</si>
  <si>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</si>
  <si>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</si>
  <si>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</si>
  <si>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</si>
  <si>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</si>
  <si>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</si>
  <si>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clIrcPEa</t>
  </si>
  <si>
    <t>cTcswgOa</t>
  </si>
  <si>
    <t>rwbOTckoa</t>
  </si>
  <si>
    <t xml:space="preserve">        Total </t>
  </si>
  <si>
    <t>Direct Transit</t>
  </si>
  <si>
    <t>ތާވަލު 11.20: މަސްމަހުގެ ގޮތުން އިބްރާހީމް ނާސިރު އިންޓަރނޭޝަނަލް އެއަރޕޯޓުގައި ފަސިންޖަރުންގެ ދަތުރުފަތުރު ހުރި ގޮތް، 2015</t>
  </si>
  <si>
    <t>Table  11.21 :  CARGO HANDLED AT IBRAHIM NASIR INTERNATIONAL AIRPORT BY MONTH, 2015</t>
  </si>
  <si>
    <t>(in Kg)</t>
  </si>
  <si>
    <t>Inward</t>
  </si>
  <si>
    <t>Outward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</si>
</sst>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  <font>
      <sz val="10"/>
      <name val="Courier"/>
      <family val="3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3" fillId="0" borderId="0"/>
    <xf numFmtId="164" fontId="10" fillId="0" borderId="0"/>
    <xf numFmtId="167" fontId="10" fillId="0" borderId="0" applyFont="0" applyFill="0" applyBorder="0" applyAlignment="0" applyProtection="0"/>
    <xf numFmtId="0" fontId="5" fillId="0" borderId="0"/>
  </cellStyleXfs>
  <cellXfs count="43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Border="1" applyAlignment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164" fontId="3" fillId="2" borderId="0" xfId="5" applyNumberFormat="1" applyFont="1" applyFill="1" applyBorder="1" applyAlignment="1" applyProtection="1">
      <alignment horizontal="left" vertical="center"/>
    </xf>
    <xf numFmtId="164" fontId="3" fillId="2" borderId="3" xfId="5" applyNumberFormat="1" applyFont="1" applyFill="1" applyBorder="1" applyAlignment="1" applyProtection="1">
      <alignment horizontal="left" vertical="center"/>
    </xf>
    <xf numFmtId="164" fontId="6" fillId="2" borderId="2" xfId="5" applyNumberFormat="1" applyFont="1" applyFill="1" applyBorder="1" applyAlignment="1" applyProtection="1">
      <alignment horizontal="left" vertical="center"/>
    </xf>
    <xf numFmtId="164" fontId="6" fillId="2" borderId="3" xfId="5" applyNumberFormat="1" applyFont="1" applyFill="1" applyBorder="1" applyAlignment="1" applyProtection="1">
      <alignment horizontal="left" vertical="center"/>
    </xf>
    <xf numFmtId="164" fontId="15" fillId="2" borderId="0" xfId="5" applyNumberFormat="1" applyFont="1" applyFill="1" applyBorder="1" applyAlignment="1">
      <alignment horizontal="right" vertical="center"/>
    </xf>
    <xf numFmtId="164" fontId="15" fillId="2" borderId="3" xfId="5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164" fontId="0" fillId="2" borderId="0" xfId="0" applyNumberFormat="1" applyFill="1" applyAlignment="1">
      <alignment vertical="top"/>
    </xf>
    <xf numFmtId="164" fontId="7" fillId="2" borderId="0" xfId="5" applyNumberFormat="1" applyFont="1" applyFill="1" applyAlignment="1" applyProtection="1">
      <alignment horizontal="left" vertical="top"/>
    </xf>
    <xf numFmtId="0" fontId="8" fillId="2" borderId="1" xfId="0" applyNumberFormat="1" applyFont="1" applyFill="1" applyBorder="1" applyAlignment="1">
      <alignment horizontal="right" vertical="top"/>
    </xf>
    <xf numFmtId="0" fontId="9" fillId="2" borderId="1" xfId="0" applyNumberFormat="1" applyFont="1" applyFill="1" applyBorder="1" applyAlignment="1">
      <alignment horizontal="right" vertical="center"/>
    </xf>
    <xf numFmtId="0" fontId="6" fillId="2" borderId="0" xfId="13" applyFont="1" applyFill="1" applyAlignment="1">
      <alignment vertical="center"/>
    </xf>
    <xf numFmtId="164" fontId="6" fillId="2" borderId="3" xfId="5" applyNumberFormat="1" applyFont="1" applyFill="1" applyBorder="1" applyAlignment="1" applyProtection="1">
      <alignment horizontal="right" vertical="center" wrapText="1"/>
    </xf>
    <xf numFmtId="164" fontId="2" fillId="2" borderId="5" xfId="5" applyNumberFormat="1" applyFont="1" applyFill="1" applyBorder="1" applyAlignment="1" applyProtection="1">
      <alignment horizontal="right" vertical="center" wrapText="1"/>
    </xf>
    <xf numFmtId="38" fontId="2" fillId="2" borderId="0" xfId="6" applyNumberFormat="1" applyFont="1" applyFill="1" applyAlignment="1" applyProtection="1">
      <alignment horizontal="right" vertical="center"/>
    </xf>
    <xf numFmtId="38" fontId="2" fillId="2" borderId="0" xfId="6" applyNumberFormat="1" applyFont="1" applyFill="1" applyBorder="1" applyAlignment="1" applyProtection="1">
      <alignment horizontal="right" vertical="center" wrapText="1"/>
    </xf>
    <xf numFmtId="38" fontId="2" fillId="2" borderId="4" xfId="6" applyNumberFormat="1" applyFont="1" applyFill="1" applyBorder="1" applyAlignment="1" applyProtection="1">
      <alignment horizontal="right" vertical="center" wrapText="1"/>
    </xf>
    <xf numFmtId="38" fontId="2" fillId="2" borderId="2" xfId="6" applyNumberFormat="1" applyFont="1" applyFill="1" applyBorder="1" applyAlignment="1" applyProtection="1">
      <alignment horizontal="right" vertical="center" wrapText="1"/>
    </xf>
    <xf numFmtId="38" fontId="2" fillId="2" borderId="3" xfId="6" applyNumberFormat="1" applyFont="1" applyFill="1" applyBorder="1" applyAlignment="1" applyProtection="1">
      <alignment horizontal="right" vertical="center"/>
    </xf>
    <xf numFmtId="164" fontId="7" fillId="2" borderId="0" xfId="5" applyNumberFormat="1" applyFont="1" applyFill="1" applyAlignment="1">
      <alignment vertical="center"/>
    </xf>
    <xf numFmtId="164" fontId="3" fillId="2" borderId="0" xfId="5" applyNumberFormat="1" applyFont="1" applyFill="1" applyAlignment="1">
      <alignment vertical="center"/>
    </xf>
    <xf numFmtId="164" fontId="3" fillId="2" borderId="0" xfId="5" applyNumberFormat="1" applyFont="1" applyFill="1" applyBorder="1" applyAlignment="1">
      <alignment vertical="center"/>
    </xf>
    <xf numFmtId="37" fontId="3" fillId="2" borderId="0" xfId="5" applyNumberFormat="1" applyFont="1" applyFill="1" applyAlignment="1" applyProtection="1">
      <alignment vertical="top"/>
    </xf>
    <xf numFmtId="38" fontId="3" fillId="2" borderId="0" xfId="6" applyNumberFormat="1" applyFont="1" applyFill="1" applyBorder="1" applyAlignment="1" applyProtection="1">
      <alignment horizontal="right" vertical="center" wrapText="1"/>
      <protection locked="0"/>
    </xf>
    <xf numFmtId="38" fontId="3" fillId="2" borderId="0" xfId="6" applyNumberFormat="1" applyFont="1" applyFill="1" applyAlignment="1" applyProtection="1">
      <alignment horizontal="right" vertical="center" wrapText="1"/>
      <protection locked="0"/>
    </xf>
    <xf numFmtId="38" fontId="3" fillId="2" borderId="4" xfId="6" applyNumberFormat="1" applyFont="1" applyFill="1" applyBorder="1" applyAlignment="1" applyProtection="1">
      <alignment horizontal="right" vertical="center" wrapText="1"/>
      <protection locked="0"/>
    </xf>
    <xf numFmtId="38" fontId="3" fillId="2" borderId="0" xfId="5" applyNumberFormat="1" applyFont="1" applyFill="1" applyBorder="1" applyAlignment="1" applyProtection="1">
      <alignment horizontal="right" vertical="center" wrapText="1"/>
      <protection locked="0"/>
    </xf>
    <xf numFmtId="38" fontId="3" fillId="2" borderId="3" xfId="6" applyNumberFormat="1" applyFont="1" applyFill="1" applyBorder="1" applyAlignment="1" applyProtection="1">
      <alignment horizontal="right" vertical="center" wrapText="1"/>
    </xf>
    <xf numFmtId="38" fontId="3" fillId="2" borderId="5" xfId="6" applyNumberFormat="1" applyFont="1" applyFill="1" applyBorder="1" applyAlignment="1" applyProtection="1">
      <alignment horizontal="right" vertical="center" wrapText="1"/>
    </xf>
    <xf numFmtId="38" fontId="3" fillId="2" borderId="3" xfId="5" applyNumberFormat="1" applyFont="1" applyFill="1" applyBorder="1" applyAlignment="1" applyProtection="1">
      <alignment horizontal="right" vertical="center" wrapText="1"/>
    </xf>
    <xf numFmtId="164" fontId="14" fillId="2" borderId="2" xfId="5" applyNumberFormat="1" applyFont="1" applyFill="1" applyBorder="1" applyAlignment="1">
      <alignment horizontal="right" vertical="center"/>
    </xf>
    <xf numFmtId="164" fontId="14" fillId="2" borderId="3" xfId="5" applyNumberFormat="1" applyFont="1" applyFill="1" applyBorder="1" applyAlignment="1">
      <alignment horizontal="right" vertical="center"/>
    </xf>
    <xf numFmtId="164" fontId="6" fillId="2" borderId="0" xfId="5" applyNumberFormat="1" applyFont="1" applyFill="1" applyBorder="1" applyAlignment="1" applyProtection="1">
      <alignment horizontal="center" vertical="center"/>
    </xf>
    <xf numFmtId="164" fontId="2" fillId="2" borderId="6" xfId="5" applyNumberFormat="1" applyFont="1" applyFill="1" applyBorder="1" applyAlignment="1" applyProtection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164" fontId="2" fillId="2" borderId="3" xfId="5" applyNumberFormat="1" applyFont="1" applyFill="1" applyBorder="1" applyAlignment="1" applyProtection="1">
      <alignment horizontal="center" vertical="center"/>
    </xf>
  </cellXfs>
  <cellStyles count="14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7(Trans &amp; Comm)" xfId="13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I21"/>
  <sheetViews>
    <sheetView tabSelected="1" zoomScaleNormal="100" workbookViewId="0">
      <selection activeCell="D27" sqref="D27"/>
    </sheetView>
  </sheetViews>
  <sheetFormatPr defaultColWidth="9.140625" defaultRowHeight="15" x14ac:dyDescent="0.25"/>
  <cols>
    <col min="1" max="1" width="12.85546875" style="1" customWidth="1"/>
    <col min="2" max="2" width="11.85546875" style="1" customWidth="1"/>
    <col min="3" max="4" width="13.7109375" style="1" customWidth="1"/>
    <col min="5" max="5" width="13.140625" style="1" customWidth="1"/>
    <col min="6" max="8" width="11.85546875" style="1" customWidth="1"/>
    <col min="9" max="9" width="11.42578125" style="1" customWidth="1"/>
    <col min="10" max="10" width="18.140625" style="1" bestFit="1" customWidth="1"/>
    <col min="11" max="16384" width="9.140625" style="1"/>
  </cols>
  <sheetData>
    <row r="2" spans="1:9" ht="21" x14ac:dyDescent="0.25">
      <c r="A2" s="41" t="s">
        <v>34</v>
      </c>
      <c r="B2" s="41"/>
      <c r="C2" s="41"/>
      <c r="D2" s="41"/>
      <c r="E2" s="41"/>
      <c r="F2" s="41"/>
      <c r="G2" s="41"/>
      <c r="H2" s="41"/>
      <c r="I2" s="41"/>
    </row>
    <row r="3" spans="1:9" x14ac:dyDescent="0.25">
      <c r="A3" s="39" t="s">
        <v>35</v>
      </c>
      <c r="B3" s="39"/>
      <c r="C3" s="39"/>
      <c r="D3" s="39"/>
      <c r="E3" s="39"/>
      <c r="F3" s="39"/>
      <c r="G3" s="39"/>
      <c r="H3" s="39"/>
    </row>
    <row r="4" spans="1:9" x14ac:dyDescent="0.25">
      <c r="A4" s="42" t="s">
        <v>36</v>
      </c>
      <c r="B4" s="42"/>
      <c r="C4" s="42"/>
      <c r="D4" s="42"/>
      <c r="E4" s="42"/>
      <c r="F4" s="42"/>
      <c r="G4" s="42"/>
      <c r="H4" s="18"/>
    </row>
    <row r="5" spans="1:9" x14ac:dyDescent="0.25">
      <c r="A5" s="8"/>
      <c r="B5" s="8"/>
      <c r="C5" s="40" t="s">
        <v>2</v>
      </c>
      <c r="D5" s="40"/>
      <c r="E5" s="40"/>
      <c r="F5" s="40" t="s">
        <v>6</v>
      </c>
      <c r="G5" s="40"/>
      <c r="H5" s="40"/>
      <c r="I5" s="37" t="s">
        <v>7</v>
      </c>
    </row>
    <row r="6" spans="1:9" x14ac:dyDescent="0.25">
      <c r="A6" s="9" t="s">
        <v>5</v>
      </c>
      <c r="B6" s="19" t="s">
        <v>32</v>
      </c>
      <c r="C6" s="13" t="s">
        <v>37</v>
      </c>
      <c r="D6" s="13" t="s">
        <v>38</v>
      </c>
      <c r="E6" s="4" t="s">
        <v>33</v>
      </c>
      <c r="F6" s="20" t="s">
        <v>37</v>
      </c>
      <c r="G6" s="12" t="s">
        <v>38</v>
      </c>
      <c r="H6" s="5" t="s">
        <v>33</v>
      </c>
      <c r="I6" s="38"/>
    </row>
    <row r="7" spans="1:9" ht="15.75" x14ac:dyDescent="0.25">
      <c r="A7" s="2" t="s">
        <v>1</v>
      </c>
      <c r="B7" s="21">
        <f>SUM(C7:H7)</f>
        <v>58979153.689999998</v>
      </c>
      <c r="C7" s="22">
        <f t="shared" ref="C7:H7" si="0">SUM(C8:C19)</f>
        <v>32431204.220000003</v>
      </c>
      <c r="D7" s="22">
        <f t="shared" si="0"/>
        <v>15771471.969999999</v>
      </c>
      <c r="E7" s="22">
        <f t="shared" si="0"/>
        <v>9666061.2000000011</v>
      </c>
      <c r="F7" s="23">
        <f t="shared" si="0"/>
        <v>327192.87</v>
      </c>
      <c r="G7" s="24">
        <f t="shared" si="0"/>
        <v>551921.31000000006</v>
      </c>
      <c r="H7" s="24">
        <f t="shared" si="0"/>
        <v>231302.12</v>
      </c>
      <c r="I7" s="3" t="s">
        <v>0</v>
      </c>
    </row>
    <row r="8" spans="1:9" ht="15.75" x14ac:dyDescent="0.25">
      <c r="A8" s="6" t="s">
        <v>8</v>
      </c>
      <c r="B8" s="21">
        <f t="shared" ref="B8:B19" si="1">SUM(C8:H8)</f>
        <v>4623929.2499999991</v>
      </c>
      <c r="C8" s="30">
        <v>2647115.33</v>
      </c>
      <c r="D8" s="31">
        <v>1379144.1300000001</v>
      </c>
      <c r="E8" s="30">
        <v>493957.59</v>
      </c>
      <c r="F8" s="32">
        <v>47826.5</v>
      </c>
      <c r="G8" s="30">
        <v>41612.1</v>
      </c>
      <c r="H8" s="33">
        <v>14273.6</v>
      </c>
      <c r="I8" s="10" t="s">
        <v>9</v>
      </c>
    </row>
    <row r="9" spans="1:9" ht="15.75" x14ac:dyDescent="0.25">
      <c r="A9" s="6" t="s">
        <v>10</v>
      </c>
      <c r="B9" s="21">
        <f t="shared" si="1"/>
        <v>4383617.9699999988</v>
      </c>
      <c r="C9" s="30">
        <v>2397405.38</v>
      </c>
      <c r="D9" s="31">
        <v>1026721.3799999998</v>
      </c>
      <c r="E9" s="30">
        <v>889753.05</v>
      </c>
      <c r="F9" s="32">
        <v>19505.25</v>
      </c>
      <c r="G9" s="30">
        <v>38571.599999999999</v>
      </c>
      <c r="H9" s="33">
        <v>11661.310000000001</v>
      </c>
      <c r="I9" s="10" t="s">
        <v>11</v>
      </c>
    </row>
    <row r="10" spans="1:9" ht="15.75" x14ac:dyDescent="0.25">
      <c r="A10" s="6" t="s">
        <v>12</v>
      </c>
      <c r="B10" s="21">
        <f t="shared" si="1"/>
        <v>5318538.03</v>
      </c>
      <c r="C10" s="30">
        <v>2773123.4099999997</v>
      </c>
      <c r="D10" s="31">
        <v>1635932.8499999996</v>
      </c>
      <c r="E10" s="30">
        <v>852922.33</v>
      </c>
      <c r="F10" s="32">
        <v>12421.439999999999</v>
      </c>
      <c r="G10" s="30">
        <v>32875.199999999997</v>
      </c>
      <c r="H10" s="33">
        <v>11262.8</v>
      </c>
      <c r="I10" s="10" t="s">
        <v>13</v>
      </c>
    </row>
    <row r="11" spans="1:9" ht="15.75" x14ac:dyDescent="0.25">
      <c r="A11" s="6" t="s">
        <v>14</v>
      </c>
      <c r="B11" s="21">
        <f t="shared" si="1"/>
        <v>5080144.74</v>
      </c>
      <c r="C11" s="30">
        <v>2477363.88</v>
      </c>
      <c r="D11" s="31">
        <v>1568104.9800000002</v>
      </c>
      <c r="E11" s="30">
        <v>952197.1399999999</v>
      </c>
      <c r="F11" s="32">
        <v>22497.43</v>
      </c>
      <c r="G11" s="30">
        <v>33896.119999999995</v>
      </c>
      <c r="H11" s="33">
        <v>26085.190000000002</v>
      </c>
      <c r="I11" s="10" t="s">
        <v>29</v>
      </c>
    </row>
    <row r="12" spans="1:9" ht="15.75" x14ac:dyDescent="0.25">
      <c r="A12" s="6" t="s">
        <v>15</v>
      </c>
      <c r="B12" s="21">
        <f t="shared" si="1"/>
        <v>4807873.2600000007</v>
      </c>
      <c r="C12" s="30">
        <v>2508818.9500000007</v>
      </c>
      <c r="D12" s="31">
        <v>1241984.0499999998</v>
      </c>
      <c r="E12" s="30">
        <v>966428.86</v>
      </c>
      <c r="F12" s="32">
        <v>25395.370000000003</v>
      </c>
      <c r="G12" s="30">
        <v>51888.9</v>
      </c>
      <c r="H12" s="33">
        <v>13357.130000000001</v>
      </c>
      <c r="I12" s="10" t="s">
        <v>16</v>
      </c>
    </row>
    <row r="13" spans="1:9" ht="15.75" x14ac:dyDescent="0.25">
      <c r="A13" s="6" t="s">
        <v>17</v>
      </c>
      <c r="B13" s="21">
        <f t="shared" si="1"/>
        <v>4803661.1199999992</v>
      </c>
      <c r="C13" s="30">
        <v>2750794.5299999993</v>
      </c>
      <c r="D13" s="31">
        <v>1319743.69</v>
      </c>
      <c r="E13" s="30">
        <v>654879.5</v>
      </c>
      <c r="F13" s="32">
        <v>17465.66</v>
      </c>
      <c r="G13" s="30">
        <v>39538.75</v>
      </c>
      <c r="H13" s="33">
        <v>21238.99</v>
      </c>
      <c r="I13" s="10" t="s">
        <v>18</v>
      </c>
    </row>
    <row r="14" spans="1:9" ht="15.75" x14ac:dyDescent="0.25">
      <c r="A14" s="6" t="s">
        <v>19</v>
      </c>
      <c r="B14" s="21">
        <f t="shared" si="1"/>
        <v>4294730.0199999996</v>
      </c>
      <c r="C14" s="30">
        <v>2799480.99</v>
      </c>
      <c r="D14" s="31">
        <v>599900.10999999987</v>
      </c>
      <c r="E14" s="30">
        <v>743898.14</v>
      </c>
      <c r="F14" s="32">
        <v>34105.43</v>
      </c>
      <c r="G14" s="30">
        <v>71730</v>
      </c>
      <c r="H14" s="33">
        <v>45615.35</v>
      </c>
      <c r="I14" s="10" t="s">
        <v>20</v>
      </c>
    </row>
    <row r="15" spans="1:9" ht="15.75" x14ac:dyDescent="0.25">
      <c r="A15" s="6" t="s">
        <v>21</v>
      </c>
      <c r="B15" s="21">
        <f t="shared" si="1"/>
        <v>4669261.5600000005</v>
      </c>
      <c r="C15" s="30">
        <v>2600350.3899999997</v>
      </c>
      <c r="D15" s="31">
        <v>1110358.71</v>
      </c>
      <c r="E15" s="30">
        <v>850127.9</v>
      </c>
      <c r="F15" s="32">
        <v>36729.94</v>
      </c>
      <c r="G15" s="30">
        <v>42414.15</v>
      </c>
      <c r="H15" s="33">
        <v>29280.469999999998</v>
      </c>
      <c r="I15" s="10" t="s">
        <v>30</v>
      </c>
    </row>
    <row r="16" spans="1:9" ht="15.75" x14ac:dyDescent="0.25">
      <c r="A16" s="6" t="s">
        <v>22</v>
      </c>
      <c r="B16" s="21">
        <f t="shared" si="1"/>
        <v>4522335.9300000006</v>
      </c>
      <c r="C16" s="30">
        <v>2626340.7800000003</v>
      </c>
      <c r="D16" s="31">
        <v>1102632.06</v>
      </c>
      <c r="E16" s="30">
        <v>668485.81000000006</v>
      </c>
      <c r="F16" s="32">
        <v>41951.23</v>
      </c>
      <c r="G16" s="30">
        <v>63837.3</v>
      </c>
      <c r="H16" s="33">
        <v>19088.75</v>
      </c>
      <c r="I16" s="10" t="s">
        <v>23</v>
      </c>
    </row>
    <row r="17" spans="1:9" ht="15.75" x14ac:dyDescent="0.25">
      <c r="A17" s="6" t="s">
        <v>24</v>
      </c>
      <c r="B17" s="21">
        <f t="shared" si="1"/>
        <v>5087864.080000001</v>
      </c>
      <c r="C17" s="30">
        <v>2652084.7400000002</v>
      </c>
      <c r="D17" s="31">
        <v>1571014.8</v>
      </c>
      <c r="E17" s="30">
        <v>770701.94000000006</v>
      </c>
      <c r="F17" s="32">
        <v>39591.19</v>
      </c>
      <c r="G17" s="30">
        <v>37234.300000000003</v>
      </c>
      <c r="H17" s="33">
        <v>17237.11</v>
      </c>
      <c r="I17" s="10" t="s">
        <v>31</v>
      </c>
    </row>
    <row r="18" spans="1:9" ht="15.75" x14ac:dyDescent="0.25">
      <c r="A18" s="6" t="s">
        <v>25</v>
      </c>
      <c r="B18" s="21">
        <f t="shared" si="1"/>
        <v>5510821.1099999985</v>
      </c>
      <c r="C18" s="30">
        <v>2786679.4599999995</v>
      </c>
      <c r="D18" s="31">
        <v>1704240.0200000003</v>
      </c>
      <c r="E18" s="30">
        <v>944871.71</v>
      </c>
      <c r="F18" s="32">
        <v>15010.26</v>
      </c>
      <c r="G18" s="30">
        <v>48037.14</v>
      </c>
      <c r="H18" s="33">
        <v>11982.519999999999</v>
      </c>
      <c r="I18" s="10" t="s">
        <v>26</v>
      </c>
    </row>
    <row r="19" spans="1:9" ht="15.75" x14ac:dyDescent="0.25">
      <c r="A19" s="7" t="s">
        <v>27</v>
      </c>
      <c r="B19" s="25">
        <f t="shared" si="1"/>
        <v>5876376.620000001</v>
      </c>
      <c r="C19" s="34">
        <v>3411646.3800000004</v>
      </c>
      <c r="D19" s="34">
        <v>1511695.19</v>
      </c>
      <c r="E19" s="34">
        <v>877837.23</v>
      </c>
      <c r="F19" s="35">
        <v>14693.17</v>
      </c>
      <c r="G19" s="34">
        <v>50285.75</v>
      </c>
      <c r="H19" s="36">
        <v>10218.9</v>
      </c>
      <c r="I19" s="11" t="s">
        <v>28</v>
      </c>
    </row>
    <row r="20" spans="1:9" s="14" customFormat="1" ht="17.25" x14ac:dyDescent="0.25">
      <c r="A20" s="15" t="s">
        <v>3</v>
      </c>
      <c r="B20" s="26"/>
      <c r="C20" s="26"/>
      <c r="D20" s="27"/>
      <c r="E20" s="28"/>
      <c r="F20" s="27"/>
      <c r="G20" s="27"/>
      <c r="H20" s="28"/>
      <c r="I20" s="17" t="s">
        <v>4</v>
      </c>
    </row>
    <row r="21" spans="1:9" ht="18.75" x14ac:dyDescent="0.25">
      <c r="A21" s="14"/>
      <c r="B21" s="15"/>
      <c r="C21" s="29"/>
      <c r="D21" s="29"/>
      <c r="E21" s="29"/>
      <c r="F21" s="29"/>
      <c r="G21" s="29"/>
      <c r="H21" s="16"/>
      <c r="I21" s="14"/>
    </row>
  </sheetData>
  <mergeCells count="6">
    <mergeCell ref="A3:H3"/>
    <mergeCell ref="A4:G4"/>
    <mergeCell ref="C5:E5"/>
    <mergeCell ref="F5:H5"/>
    <mergeCell ref="I5:I6"/>
    <mergeCell ref="A2:I2"/>
  </mergeCells>
  <pageMargins left="0.7" right="0.7" top="0.75" bottom="0.75" header="0.3" footer="0.3"/>
  <pageSetup paperSize="9" scale="77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11.21</vt:lpstr>
      <vt:lpstr>'11.21'!Print_Area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2016-09-19T07:43:24Z</cp:lastPrinted>
  <dcterms:created xsi:type="dcterms:W3CDTF">2014-05-22T03:57:11Z</dcterms:created>
  <dcterms:modified xsi:type="dcterms:W3CDTF">2016-09-19T07:43:25Z</dcterms:modified>
</cp:coreProperties>
</file>