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8" sheetId="12" r:id="rId1"/>
  </sheets>
  <externalReferences>
    <externalReference r:id="rId2"/>
    <externalReference r:id="rId3"/>
  </externalReferences>
  <definedNames>
    <definedName name="_xlnm.Print_Area" localSheetId="0">'11.18'!$A$1:$J$18</definedName>
  </definedNames>
  <calcPr calcId="144525"/>
</workbook>
</file>

<file path=xl/calcChain.xml><?xml version="1.0" encoding="utf-8"?>
<calcChain xmlns="http://schemas.openxmlformats.org/spreadsheetml/2006/main">
  <c r="G17" i="12" l="1"/>
  <c r="C17" i="12"/>
  <c r="G16" i="12"/>
  <c r="C16" i="12"/>
  <c r="G15" i="12"/>
  <c r="C15" i="12"/>
  <c r="G14" i="12"/>
  <c r="C14" i="12"/>
  <c r="G13" i="12"/>
  <c r="C13" i="12"/>
  <c r="G12" i="12"/>
  <c r="C12" i="12"/>
  <c r="G11" i="12"/>
  <c r="C11" i="12"/>
  <c r="B11" i="12" s="1"/>
  <c r="G10" i="12"/>
  <c r="C10" i="12"/>
  <c r="G9" i="12"/>
  <c r="C9" i="12"/>
  <c r="G8" i="12"/>
  <c r="C8" i="12"/>
  <c r="G7" i="12"/>
  <c r="C7" i="12"/>
  <c r="B7" i="12" s="1"/>
  <c r="G6" i="12"/>
  <c r="C6" i="12"/>
  <c r="I5" i="12"/>
  <c r="H5" i="12"/>
  <c r="F5" i="12"/>
  <c r="E5" i="12"/>
  <c r="D5" i="12"/>
  <c r="G5" i="12" l="1"/>
  <c r="B9" i="12"/>
  <c r="B13" i="12"/>
  <c r="B17" i="12"/>
  <c r="B8" i="12"/>
  <c r="B16" i="12"/>
  <c r="B6" i="12"/>
  <c r="B14" i="12"/>
  <c r="B15" i="12"/>
  <c r="C5" i="12"/>
  <c r="B5" i="12" s="1"/>
  <c r="B12" i="12"/>
  <c r="B10" i="12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<sst xmlns="http://schemas.openxmlformats.org/spreadsheetml/2006/main" count="42" uniqueCount="38">
  <si>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</si>
  <si>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</si>
  <si>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</si>
  <si>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</si>
  <si>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</si>
  <si>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</si>
  <si>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</si>
  <si>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</si>
  <si>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</si>
  <si>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</si>
  <si>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</si>
  <si>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</si>
  <si>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</si>
  <si>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</si>
  <si>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</si>
  <si>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</si>
  <si>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</si>
  <si>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</si>
  <si>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</si>
  <si>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</si>
  <si>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</si>
  <si>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</si>
  <si>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</si>
  <si>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</si>
  <si>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</si>
  <si>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</si>
  <si>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</si>
  <si>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</si>
  <si>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</si>
  <si>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</si>
  <si>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</si>
  <si>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</si>
  <si>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</si>
  <si>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</si>
  <si>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>ތާވަލު 11.18: މަސްމަހުގެ ގޮތުން ގަން އިންޓަރނޭޝަނަލް އެއަރޕޯޓުން ދަތުރުކުރި ފްލައިޓްތައް، 2015</t>
  </si>
  <si>
    <t>Table 11.18 :  AIRCRAFT MOVEMENT AT GAN INTERNATIONAL AIRPORT BY MONTH, 2015</t>
  </si>
  <si>
    <t xml:space="preserve">International Flights  </t>
  </si>
  <si>
    <t xml:space="preserve">Domestic Flights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</si>
</sst>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6" fillId="0" borderId="0"/>
  </cellStyleXfs>
  <cellXfs count="46">
    <xf numFmtId="0" fontId="0" fillId="0" borderId="0" xfId="0"/>
    <xf numFmtId="164" fontId="0" fillId="2" borderId="0" xfId="0" applyNumberFormat="1" applyFill="1"/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3" fontId="2" fillId="2" borderId="18" xfId="5" applyNumberFormat="1" applyFont="1" applyFill="1" applyBorder="1" applyAlignment="1" applyProtection="1">
      <alignment horizontal="right" vertical="center"/>
    </xf>
    <xf numFmtId="3" fontId="2" fillId="2" borderId="17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2" fillId="2" borderId="9" xfId="5" applyNumberFormat="1" applyFont="1" applyFill="1" applyBorder="1" applyAlignment="1" applyProtection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 wrapText="1"/>
    </xf>
    <xf numFmtId="164" fontId="2" fillId="2" borderId="4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horizontal="right" vertical="center"/>
    </xf>
    <xf numFmtId="164" fontId="2" fillId="2" borderId="7" xfId="5" applyNumberFormat="1" applyFont="1" applyFill="1" applyBorder="1" applyAlignment="1" applyProtection="1">
      <alignment horizontal="left" vertical="center"/>
    </xf>
    <xf numFmtId="3" fontId="2" fillId="2" borderId="23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0" fontId="14" fillId="2" borderId="7" xfId="14" applyFont="1" applyFill="1" applyBorder="1" applyAlignment="1">
      <alignment horizontal="right"/>
    </xf>
    <xf numFmtId="164" fontId="3" fillId="2" borderId="1" xfId="5" applyNumberFormat="1" applyFont="1" applyFill="1" applyBorder="1" applyAlignment="1" applyProtection="1">
      <alignment horizontal="lef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0" fontId="15" fillId="2" borderId="1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14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9" xfId="5" applyNumberFormat="1" applyFont="1" applyFill="1" applyBorder="1" applyAlignment="1" applyProtection="1">
      <alignment horizontal="right" vertical="center"/>
    </xf>
    <xf numFmtId="0" fontId="15" fillId="2" borderId="3" xfId="14" applyFont="1" applyFill="1" applyBorder="1" applyAlignment="1">
      <alignment horizontal="right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22" xfId="5" applyNumberFormat="1" applyFont="1" applyFill="1" applyBorder="1" applyAlignment="1" applyProtection="1">
      <alignment horizontal="right" vertical="center"/>
      <protection locked="0"/>
    </xf>
    <xf numFmtId="3" fontId="3" fillId="2" borderId="21" xfId="5" applyNumberFormat="1" applyFont="1" applyFill="1" applyBorder="1" applyAlignment="1" applyProtection="1">
      <alignment horizontal="right" vertical="center"/>
      <protection locked="0"/>
    </xf>
    <xf numFmtId="3" fontId="2" fillId="2" borderId="24" xfId="5" applyNumberFormat="1" applyFont="1" applyFill="1" applyBorder="1" applyAlignment="1" applyProtection="1">
      <alignment horizontal="right" vertical="center"/>
    </xf>
    <xf numFmtId="0" fontId="14" fillId="2" borderId="4" xfId="14" applyFont="1" applyFill="1" applyBorder="1" applyAlignment="1">
      <alignment horizontal="right" vertical="center"/>
    </xf>
    <xf numFmtId="0" fontId="14" fillId="2" borderId="0" xfId="14" applyFont="1" applyFill="1" applyBorder="1" applyAlignment="1">
      <alignment horizontal="right" vertical="center"/>
    </xf>
    <xf numFmtId="0" fontId="11" fillId="2" borderId="2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7" fillId="2" borderId="4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13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  <xf numFmtId="164" fontId="2" fillId="2" borderId="12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zoomScaleNormal="100" workbookViewId="0">
      <selection activeCell="W52" sqref="W52"/>
    </sheetView>
  </sheetViews>
  <sheetFormatPr defaultColWidth="9.140625" defaultRowHeight="12.75" customHeight="1" x14ac:dyDescent="0.2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1" customWidth="1"/>
    <col min="11" max="11" width="18.140625" style="1" bestFit="1" customWidth="1"/>
    <col min="12" max="16384" width="9.140625" style="1"/>
  </cols>
  <sheetData>
    <row r="1" spans="1:10" ht="21" x14ac:dyDescent="0.25">
      <c r="A1" s="36" t="s">
        <v>34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" x14ac:dyDescent="0.25">
      <c r="A2" s="38" t="s">
        <v>35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5" x14ac:dyDescent="0.25">
      <c r="A3" s="40" t="s">
        <v>4</v>
      </c>
      <c r="B3" s="39" t="s">
        <v>30</v>
      </c>
      <c r="C3" s="43" t="s">
        <v>36</v>
      </c>
      <c r="D3" s="44"/>
      <c r="E3" s="44"/>
      <c r="F3" s="45"/>
      <c r="G3" s="44" t="s">
        <v>37</v>
      </c>
      <c r="H3" s="44"/>
      <c r="I3" s="44"/>
      <c r="J3" s="34" t="s">
        <v>5</v>
      </c>
    </row>
    <row r="4" spans="1:10" s="14" customFormat="1" ht="15" x14ac:dyDescent="0.25">
      <c r="A4" s="41"/>
      <c r="B4" s="42"/>
      <c r="C4" s="10" t="s">
        <v>1</v>
      </c>
      <c r="D4" s="5" t="s">
        <v>31</v>
      </c>
      <c r="E4" s="5" t="s">
        <v>32</v>
      </c>
      <c r="F4" s="11" t="s">
        <v>33</v>
      </c>
      <c r="G4" s="12" t="s">
        <v>1</v>
      </c>
      <c r="H4" s="5" t="s">
        <v>31</v>
      </c>
      <c r="I4" s="13" t="s">
        <v>33</v>
      </c>
      <c r="J4" s="35"/>
    </row>
    <row r="5" spans="1:10" s="14" customFormat="1" ht="15.75" x14ac:dyDescent="0.4">
      <c r="A5" s="15" t="s">
        <v>1</v>
      </c>
      <c r="B5" s="7">
        <f t="shared" ref="B5:B17" si="0">SUM(C5+G5)</f>
        <v>19706</v>
      </c>
      <c r="C5" s="16">
        <f t="shared" ref="C5:C17" si="1">SUM(D5:F5)</f>
        <v>224</v>
      </c>
      <c r="D5" s="17">
        <f>SUM(D6:D17)</f>
        <v>0</v>
      </c>
      <c r="E5" s="17">
        <f>SUM(E6:E17)</f>
        <v>0</v>
      </c>
      <c r="F5" s="33">
        <f>SUM(F6:F17)</f>
        <v>224</v>
      </c>
      <c r="G5" s="6">
        <f t="shared" ref="G5:G17" si="2">SUM(H5:I5)</f>
        <v>19482</v>
      </c>
      <c r="H5" s="17">
        <f>SUM(H6:H17)</f>
        <v>299</v>
      </c>
      <c r="I5" s="17">
        <f>SUM(I6:I17)</f>
        <v>19183</v>
      </c>
      <c r="J5" s="18" t="s">
        <v>0</v>
      </c>
    </row>
    <row r="6" spans="1:10" s="14" customFormat="1" ht="15.75" x14ac:dyDescent="0.4">
      <c r="A6" s="19" t="s">
        <v>6</v>
      </c>
      <c r="B6" s="20">
        <f t="shared" si="0"/>
        <v>1630</v>
      </c>
      <c r="C6" s="21">
        <f t="shared" si="1"/>
        <v>58</v>
      </c>
      <c r="D6" s="29">
        <v>0</v>
      </c>
      <c r="E6" s="29">
        <v>0</v>
      </c>
      <c r="F6" s="31">
        <v>58</v>
      </c>
      <c r="G6" s="22">
        <f t="shared" si="2"/>
        <v>1572</v>
      </c>
      <c r="H6" s="29">
        <v>68</v>
      </c>
      <c r="I6" s="29">
        <v>1504</v>
      </c>
      <c r="J6" s="23" t="s">
        <v>7</v>
      </c>
    </row>
    <row r="7" spans="1:10" s="14" customFormat="1" ht="15.75" x14ac:dyDescent="0.4">
      <c r="A7" s="19" t="s">
        <v>8</v>
      </c>
      <c r="B7" s="20">
        <f t="shared" si="0"/>
        <v>1476</v>
      </c>
      <c r="C7" s="21">
        <f t="shared" si="1"/>
        <v>28</v>
      </c>
      <c r="D7" s="29">
        <v>0</v>
      </c>
      <c r="E7" s="29">
        <v>0</v>
      </c>
      <c r="F7" s="31">
        <v>28</v>
      </c>
      <c r="G7" s="22">
        <f t="shared" si="2"/>
        <v>1448</v>
      </c>
      <c r="H7" s="29">
        <v>54</v>
      </c>
      <c r="I7" s="29">
        <v>1394</v>
      </c>
      <c r="J7" s="23" t="s">
        <v>9</v>
      </c>
    </row>
    <row r="8" spans="1:10" s="14" customFormat="1" ht="15.75" x14ac:dyDescent="0.4">
      <c r="A8" s="19" t="s">
        <v>10</v>
      </c>
      <c r="B8" s="20">
        <f t="shared" si="0"/>
        <v>1771</v>
      </c>
      <c r="C8" s="21">
        <f t="shared" si="1"/>
        <v>45</v>
      </c>
      <c r="D8" s="29">
        <v>0</v>
      </c>
      <c r="E8" s="29">
        <v>0</v>
      </c>
      <c r="F8" s="31">
        <v>45</v>
      </c>
      <c r="G8" s="22">
        <f t="shared" si="2"/>
        <v>1726</v>
      </c>
      <c r="H8" s="29">
        <v>64</v>
      </c>
      <c r="I8" s="29">
        <v>1662</v>
      </c>
      <c r="J8" s="23" t="s">
        <v>11</v>
      </c>
    </row>
    <row r="9" spans="1:10" s="14" customFormat="1" ht="15.75" x14ac:dyDescent="0.4">
      <c r="A9" s="19" t="s">
        <v>12</v>
      </c>
      <c r="B9" s="20">
        <f t="shared" si="0"/>
        <v>1496</v>
      </c>
      <c r="C9" s="21">
        <f t="shared" si="1"/>
        <v>32</v>
      </c>
      <c r="D9" s="29">
        <v>0</v>
      </c>
      <c r="E9" s="29">
        <v>0</v>
      </c>
      <c r="F9" s="31">
        <v>32</v>
      </c>
      <c r="G9" s="22">
        <f t="shared" si="2"/>
        <v>1464</v>
      </c>
      <c r="H9" s="29">
        <v>60</v>
      </c>
      <c r="I9" s="29">
        <v>1404</v>
      </c>
      <c r="J9" s="23" t="s">
        <v>13</v>
      </c>
    </row>
    <row r="10" spans="1:10" s="14" customFormat="1" ht="15.75" x14ac:dyDescent="0.4">
      <c r="A10" s="19" t="s">
        <v>14</v>
      </c>
      <c r="B10" s="20">
        <f t="shared" si="0"/>
        <v>1448</v>
      </c>
      <c r="C10" s="21">
        <f t="shared" si="1"/>
        <v>8</v>
      </c>
      <c r="D10" s="29">
        <v>0</v>
      </c>
      <c r="E10" s="29">
        <v>0</v>
      </c>
      <c r="F10" s="31">
        <v>8</v>
      </c>
      <c r="G10" s="22">
        <f t="shared" si="2"/>
        <v>1440</v>
      </c>
      <c r="H10" s="29">
        <v>48</v>
      </c>
      <c r="I10" s="29">
        <v>1392</v>
      </c>
      <c r="J10" s="23" t="s">
        <v>15</v>
      </c>
    </row>
    <row r="11" spans="1:10" s="14" customFormat="1" ht="15.75" x14ac:dyDescent="0.4">
      <c r="A11" s="19" t="s">
        <v>16</v>
      </c>
      <c r="B11" s="20">
        <f t="shared" si="0"/>
        <v>1756</v>
      </c>
      <c r="C11" s="21">
        <f t="shared" si="1"/>
        <v>6</v>
      </c>
      <c r="D11" s="29">
        <v>0</v>
      </c>
      <c r="E11" s="29">
        <v>0</v>
      </c>
      <c r="F11" s="31">
        <v>6</v>
      </c>
      <c r="G11" s="22">
        <f t="shared" si="2"/>
        <v>1750</v>
      </c>
      <c r="H11" s="29">
        <v>2</v>
      </c>
      <c r="I11" s="29">
        <v>1748</v>
      </c>
      <c r="J11" s="23" t="s">
        <v>17</v>
      </c>
    </row>
    <row r="12" spans="1:10" s="14" customFormat="1" ht="15.75" x14ac:dyDescent="0.4">
      <c r="A12" s="19" t="s">
        <v>18</v>
      </c>
      <c r="B12" s="20">
        <f t="shared" si="0"/>
        <v>1700</v>
      </c>
      <c r="C12" s="21">
        <f t="shared" si="1"/>
        <v>6</v>
      </c>
      <c r="D12" s="29">
        <v>0</v>
      </c>
      <c r="E12" s="29">
        <v>0</v>
      </c>
      <c r="F12" s="31">
        <v>6</v>
      </c>
      <c r="G12" s="22">
        <f t="shared" si="2"/>
        <v>1694</v>
      </c>
      <c r="H12" s="29">
        <v>0</v>
      </c>
      <c r="I12" s="29">
        <v>1694</v>
      </c>
      <c r="J12" s="23" t="s">
        <v>19</v>
      </c>
    </row>
    <row r="13" spans="1:10" s="14" customFormat="1" ht="15.75" x14ac:dyDescent="0.4">
      <c r="A13" s="19" t="s">
        <v>20</v>
      </c>
      <c r="B13" s="20">
        <f t="shared" si="0"/>
        <v>1699</v>
      </c>
      <c r="C13" s="21">
        <f t="shared" si="1"/>
        <v>20</v>
      </c>
      <c r="D13" s="29">
        <v>0</v>
      </c>
      <c r="E13" s="29">
        <v>0</v>
      </c>
      <c r="F13" s="31">
        <v>20</v>
      </c>
      <c r="G13" s="22">
        <f t="shared" si="2"/>
        <v>1679</v>
      </c>
      <c r="H13" s="29">
        <v>0</v>
      </c>
      <c r="I13" s="29">
        <v>1679</v>
      </c>
      <c r="J13" s="23" t="s">
        <v>21</v>
      </c>
    </row>
    <row r="14" spans="1:10" s="14" customFormat="1" ht="15.75" x14ac:dyDescent="0.4">
      <c r="A14" s="19" t="s">
        <v>22</v>
      </c>
      <c r="B14" s="20">
        <f t="shared" si="0"/>
        <v>1540</v>
      </c>
      <c r="C14" s="21">
        <f t="shared" si="1"/>
        <v>1</v>
      </c>
      <c r="D14" s="29">
        <v>0</v>
      </c>
      <c r="E14" s="29">
        <v>0</v>
      </c>
      <c r="F14" s="31">
        <v>1</v>
      </c>
      <c r="G14" s="22">
        <f t="shared" si="2"/>
        <v>1539</v>
      </c>
      <c r="H14" s="29">
        <v>3</v>
      </c>
      <c r="I14" s="29">
        <v>1536</v>
      </c>
      <c r="J14" s="23" t="s">
        <v>23</v>
      </c>
    </row>
    <row r="15" spans="1:10" s="14" customFormat="1" ht="15.75" x14ac:dyDescent="0.4">
      <c r="A15" s="19" t="s">
        <v>24</v>
      </c>
      <c r="B15" s="20">
        <f t="shared" si="0"/>
        <v>1349</v>
      </c>
      <c r="C15" s="21">
        <f t="shared" si="1"/>
        <v>3</v>
      </c>
      <c r="D15" s="29">
        <v>0</v>
      </c>
      <c r="E15" s="29">
        <v>0</v>
      </c>
      <c r="F15" s="31">
        <v>3</v>
      </c>
      <c r="G15" s="22">
        <f t="shared" si="2"/>
        <v>1346</v>
      </c>
      <c r="H15" s="29">
        <v>0</v>
      </c>
      <c r="I15" s="29">
        <v>1346</v>
      </c>
      <c r="J15" s="23" t="s">
        <v>25</v>
      </c>
    </row>
    <row r="16" spans="1:10" s="14" customFormat="1" ht="15.75" x14ac:dyDescent="0.4">
      <c r="A16" s="19" t="s">
        <v>26</v>
      </c>
      <c r="B16" s="20">
        <f t="shared" si="0"/>
        <v>1551</v>
      </c>
      <c r="C16" s="21">
        <f t="shared" si="1"/>
        <v>7</v>
      </c>
      <c r="D16" s="29">
        <v>0</v>
      </c>
      <c r="E16" s="29">
        <v>0</v>
      </c>
      <c r="F16" s="31">
        <v>7</v>
      </c>
      <c r="G16" s="22">
        <f t="shared" si="2"/>
        <v>1544</v>
      </c>
      <c r="H16" s="29">
        <v>0</v>
      </c>
      <c r="I16" s="29">
        <v>1544</v>
      </c>
      <c r="J16" s="23" t="s">
        <v>27</v>
      </c>
    </row>
    <row r="17" spans="1:10" s="14" customFormat="1" ht="15.75" x14ac:dyDescent="0.4">
      <c r="A17" s="24" t="s">
        <v>28</v>
      </c>
      <c r="B17" s="25">
        <f t="shared" si="0"/>
        <v>2290</v>
      </c>
      <c r="C17" s="26">
        <f t="shared" si="1"/>
        <v>10</v>
      </c>
      <c r="D17" s="30">
        <v>0</v>
      </c>
      <c r="E17" s="30">
        <v>0</v>
      </c>
      <c r="F17" s="32">
        <v>10</v>
      </c>
      <c r="G17" s="27">
        <f t="shared" si="2"/>
        <v>2280</v>
      </c>
      <c r="H17" s="30">
        <v>0</v>
      </c>
      <c r="I17" s="30">
        <v>2280</v>
      </c>
      <c r="J17" s="28" t="s">
        <v>29</v>
      </c>
    </row>
    <row r="18" spans="1:10" ht="18.75" x14ac:dyDescent="0.25">
      <c r="A18" s="3" t="s">
        <v>2</v>
      </c>
      <c r="B18" s="2"/>
      <c r="C18" s="8"/>
      <c r="D18" s="8"/>
      <c r="E18" s="8"/>
      <c r="F18" s="8"/>
      <c r="G18" s="8"/>
      <c r="H18" s="9"/>
      <c r="J18" s="4" t="s">
        <v>3</v>
      </c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11.18</vt:lpstr>
      <vt:lpstr>'11.18'!Print_Area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2016-09-19T07:40:19Z</cp:lastPrinted>
  <dcterms:created xsi:type="dcterms:W3CDTF">2014-05-22T03:57:11Z</dcterms:created>
  <dcterms:modified xsi:type="dcterms:W3CDTF">2016-09-19T07:40:20Z</dcterms:modified>
</cp:coreProperties>
</file>