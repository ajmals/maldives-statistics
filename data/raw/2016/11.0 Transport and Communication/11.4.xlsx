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0" yWindow="120" windowWidth="15255" windowHeight="8160" tabRatio="837"/>
  </bookViews>
  <sheets>
    <sheet name="11.4" sheetId="4" r:id="rId1"/>
  </sheets>
  <externalReferences>
    <externalReference r:id="rId2"/>
    <externalReference r:id="rId3"/>
  </externalReferences>
  <calcPr calcId="144525"/>
</workbook>
</file>

<file path=xl/calcChain.xml><?xml version="1.0" encoding="utf-8"?>
<calcChain xmlns="http://schemas.openxmlformats.org/spreadsheetml/2006/main">
  <c r="G6" i="4" l="1"/>
  <c r="G7" i="4"/>
  <c r="G8" i="4"/>
  <c r="G9" i="4"/>
  <c r="G10" i="4"/>
  <c r="G11" i="4"/>
  <c r="G12" i="4" l="1"/>
  <c r="C12" i="4" l="1"/>
  <c r="C11" i="4"/>
  <c r="C10" i="4"/>
  <c r="C9" i="4"/>
  <c r="C8" i="4"/>
  <c r="C6" i="4"/>
  <c r="B12" i="4" l="1"/>
  <c r="B11" i="4"/>
  <c r="B10" i="4"/>
  <c r="B9" i="4"/>
  <c r="B8" i="4"/>
  <c r="B7" i="4"/>
  <c r="B6" i="4"/>
</calcChain>
</file>

<file path=xl/sharedStrings.xml><?xml version="1.0" encoding="utf-8"?>
<sst xmlns="http://schemas.openxmlformats.org/spreadsheetml/2006/main" count="28" uniqueCount="23">
  <si>
    <t>Source: Transport Authority</t>
  </si>
  <si>
    <t>Total</t>
  </si>
  <si>
    <t>Type of Vessel</t>
  </si>
  <si>
    <t xml:space="preserve"> No. of Imported vessels</t>
  </si>
  <si>
    <t>No. of vessels made in Maldives</t>
  </si>
  <si>
    <t>Wood</t>
  </si>
  <si>
    <t>Steel</t>
  </si>
  <si>
    <t>Other</t>
  </si>
  <si>
    <t xml:space="preserve">Fishing Vessel </t>
  </si>
  <si>
    <t xml:space="preserve">Passanger Vessel </t>
  </si>
  <si>
    <t xml:space="preserve">Transport Vessel </t>
  </si>
  <si>
    <t>Passenger / Transport  Vessel</t>
  </si>
  <si>
    <t xml:space="preserve">Water Sports </t>
  </si>
  <si>
    <t xml:space="preserve">Pleasure Craft </t>
  </si>
  <si>
    <t xml:space="preserve">Others </t>
  </si>
  <si>
    <t>Passenger / Transport Vessels (Cargo and ppl)</t>
  </si>
  <si>
    <t>Others (Bokkuraa , Vadhu dhoani) Kudhi</t>
  </si>
  <si>
    <t xml:space="preserve"> </t>
  </si>
  <si>
    <t>Passenger Vehicles (Only Peoples)</t>
  </si>
  <si>
    <t>Fiber</t>
  </si>
  <si>
    <t>ތާވަލު 11.4: އުޅަނދުފަހަރުގެ ބާވަތުންނާއި، އިމްޕޯޓްކުރެވިފައިވާ އަދި ރާއްޖޭގައި އުފައްދާފައިވާ އުޅަނދުފަހަރުގެ ޢަދަދު، 2015</t>
  </si>
  <si>
    <t>Table 11.4: VESSEL TYPE CLASSIFIED BY IMPORTED AND VESSELS MADE IN MALDIVES BY HULL TYPE, 2015</t>
  </si>
  <si>
    <t>Pleasure Craft (Yacht , Launch , Safari)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</si>
</sst>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General_)"/>
    <numFmt numFmtId="165" formatCode="0.0"/>
    <numFmt numFmtId="166" formatCode="_(* #,##0_);_(* \(#,##0\);_(* &quot;-&quot;??_);_(@_)"/>
    <numFmt numFmtId="167" formatCode="[$-409]mmmm\ d\,\ yyyy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9"/>
      <name val="Calibri"/>
      <family val="2"/>
      <scheme val="minor"/>
    </font>
    <font>
      <b/>
      <sz val="11"/>
      <name val="Calibri"/>
      <family val="2"/>
      <scheme val="minor"/>
    </font>
    <font>
      <u/>
      <sz val="10"/>
      <color indexed="12"/>
      <name val="Arial"/>
      <family val="2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sz val="10"/>
      <name val="Courier"/>
      <family val="3"/>
    </font>
    <font>
      <b/>
      <sz val="11"/>
      <color theme="1"/>
      <name val="Faruma"/>
    </font>
    <font>
      <sz val="12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MS Sans Serif"/>
      <family val="2"/>
    </font>
    <font>
      <sz val="11"/>
      <color theme="1"/>
      <name val="Calibri"/>
      <family val="2"/>
      <charset val="1"/>
      <scheme val="minor"/>
    </font>
    <font>
      <sz val="10"/>
      <name val="Garamond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9"/>
      </left>
      <right/>
      <top/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 style="thin">
        <color indexed="9"/>
      </left>
      <right/>
      <top/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64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9"/>
      </left>
      <right/>
      <top style="thin">
        <color indexed="64"/>
      </top>
      <bottom/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6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7" fillId="0" borderId="0"/>
    <xf numFmtId="0" fontId="7" fillId="0" borderId="0"/>
    <xf numFmtId="164" fontId="11" fillId="0" borderId="0"/>
    <xf numFmtId="40" fontId="15" fillId="0" borderId="0" applyFont="0" applyFill="0" applyBorder="0" applyAlignment="0" applyProtection="0"/>
    <xf numFmtId="166" fontId="11" fillId="0" borderId="0"/>
    <xf numFmtId="166" fontId="11" fillId="0" borderId="0"/>
    <xf numFmtId="165" fontId="11" fillId="0" borderId="0" applyFont="0" applyFill="0" applyBorder="0" applyAlignment="0" applyProtection="0"/>
    <xf numFmtId="0" fontId="16" fillId="0" borderId="0"/>
    <xf numFmtId="164" fontId="11" fillId="0" borderId="0"/>
    <xf numFmtId="167" fontId="11" fillId="0" borderId="0" applyFont="0" applyFill="0" applyBorder="0" applyAlignment="0" applyProtection="0"/>
  </cellStyleXfs>
  <cellXfs count="41">
    <xf numFmtId="0" fontId="0" fillId="0" borderId="0" xfId="0"/>
    <xf numFmtId="37" fontId="9" fillId="2" borderId="0" xfId="1" applyNumberFormat="1" applyFont="1" applyFill="1" applyBorder="1" applyAlignment="1">
      <alignment horizontal="right" vertical="center"/>
    </xf>
    <xf numFmtId="0" fontId="1" fillId="2" borderId="0" xfId="3" applyFont="1" applyFill="1"/>
    <xf numFmtId="0" fontId="1" fillId="2" borderId="3" xfId="3" applyFont="1" applyFill="1" applyBorder="1"/>
    <xf numFmtId="0" fontId="1" fillId="2" borderId="3" xfId="3" applyFont="1" applyFill="1" applyBorder="1" applyAlignment="1">
      <alignment horizontal="center"/>
    </xf>
    <xf numFmtId="0" fontId="8" fillId="2" borderId="0" xfId="1" applyNumberFormat="1" applyFont="1" applyFill="1" applyBorder="1" applyAlignment="1">
      <alignment horizontal="right" vertical="center"/>
    </xf>
    <xf numFmtId="0" fontId="8" fillId="2" borderId="3" xfId="1" applyNumberFormat="1" applyFont="1" applyFill="1" applyBorder="1" applyAlignment="1">
      <alignment horizontal="right" vertical="center"/>
    </xf>
    <xf numFmtId="0" fontId="9" fillId="2" borderId="9" xfId="1" applyNumberFormat="1" applyFont="1" applyFill="1" applyBorder="1" applyAlignment="1">
      <alignment horizontal="left" vertical="center"/>
    </xf>
    <xf numFmtId="37" fontId="9" fillId="2" borderId="1" xfId="1" applyNumberFormat="1" applyFont="1" applyFill="1" applyBorder="1" applyAlignment="1">
      <alignment horizontal="right" vertical="center" wrapText="1"/>
    </xf>
    <xf numFmtId="37" fontId="9" fillId="2" borderId="1" xfId="1" applyNumberFormat="1" applyFont="1" applyFill="1" applyBorder="1" applyAlignment="1">
      <alignment horizontal="right" vertical="center"/>
    </xf>
    <xf numFmtId="0" fontId="9" fillId="2" borderId="10" xfId="1" applyNumberFormat="1" applyFont="1" applyFill="1" applyBorder="1" applyAlignment="1">
      <alignment horizontal="left" vertical="center"/>
    </xf>
    <xf numFmtId="37" fontId="9" fillId="2" borderId="0" xfId="1" applyNumberFormat="1" applyFont="1" applyFill="1" applyBorder="1" applyAlignment="1">
      <alignment horizontal="right" vertical="center" wrapText="1"/>
    </xf>
    <xf numFmtId="0" fontId="9" fillId="2" borderId="11" xfId="1" applyNumberFormat="1" applyFont="1" applyFill="1" applyBorder="1" applyAlignment="1">
      <alignment horizontal="left" vertical="center"/>
    </xf>
    <xf numFmtId="37" fontId="9" fillId="2" borderId="3" xfId="1" applyNumberFormat="1" applyFont="1" applyFill="1" applyBorder="1" applyAlignment="1">
      <alignment horizontal="right" vertical="center" wrapText="1"/>
    </xf>
    <xf numFmtId="37" fontId="9" fillId="2" borderId="3" xfId="1" applyNumberFormat="1" applyFont="1" applyFill="1" applyBorder="1" applyAlignment="1">
      <alignment horizontal="right" vertical="center"/>
    </xf>
    <xf numFmtId="164" fontId="10" fillId="2" borderId="12" xfId="3" applyNumberFormat="1" applyFont="1" applyFill="1" applyBorder="1" applyAlignment="1">
      <alignment horizontal="left" vertical="center"/>
    </xf>
    <xf numFmtId="1" fontId="3" fillId="2" borderId="0" xfId="5" applyNumberFormat="1" applyFont="1" applyFill="1" applyBorder="1"/>
    <xf numFmtId="0" fontId="3" fillId="2" borderId="0" xfId="5" applyFont="1" applyFill="1" applyBorder="1" applyAlignment="1">
      <alignment horizontal="center"/>
    </xf>
    <xf numFmtId="0" fontId="3" fillId="2" borderId="0" xfId="5" applyFont="1" applyFill="1" applyBorder="1"/>
    <xf numFmtId="0" fontId="2" fillId="2" borderId="0" xfId="3" applyFont="1" applyFill="1"/>
    <xf numFmtId="0" fontId="9" fillId="2" borderId="0" xfId="5" applyFont="1" applyFill="1" applyBorder="1"/>
    <xf numFmtId="0" fontId="13" fillId="2" borderId="0" xfId="5" applyFont="1" applyFill="1" applyBorder="1"/>
    <xf numFmtId="0" fontId="13" fillId="2" borderId="0" xfId="5" applyFont="1" applyFill="1" applyAlignment="1">
      <alignment horizontal="center"/>
    </xf>
    <xf numFmtId="0" fontId="13" fillId="2" borderId="0" xfId="5" applyFont="1" applyFill="1"/>
    <xf numFmtId="0" fontId="1" fillId="2" borderId="0" xfId="3" applyFont="1" applyFill="1" applyAlignment="1">
      <alignment horizontal="center"/>
    </xf>
    <xf numFmtId="0" fontId="8" fillId="2" borderId="13" xfId="1" applyNumberFormat="1" applyFont="1" applyFill="1" applyBorder="1" applyAlignment="1">
      <alignment horizontal="right" vertical="center"/>
    </xf>
    <xf numFmtId="37" fontId="9" fillId="2" borderId="2" xfId="1" applyNumberFormat="1" applyFont="1" applyFill="1" applyBorder="1" applyAlignment="1">
      <alignment horizontal="right" vertical="center" wrapText="1"/>
    </xf>
    <xf numFmtId="37" fontId="9" fillId="2" borderId="8" xfId="1" applyNumberFormat="1" applyFont="1" applyFill="1" applyBorder="1" applyAlignment="1">
      <alignment horizontal="right" vertical="center" wrapText="1"/>
    </xf>
    <xf numFmtId="37" fontId="9" fillId="2" borderId="5" xfId="1" applyNumberFormat="1" applyFont="1" applyFill="1" applyBorder="1" applyAlignment="1">
      <alignment horizontal="right" vertical="center" wrapText="1"/>
    </xf>
    <xf numFmtId="0" fontId="4" fillId="2" borderId="0" xfId="5" applyFont="1" applyFill="1" applyBorder="1" applyAlignment="1">
      <alignment vertical="center"/>
    </xf>
    <xf numFmtId="0" fontId="14" fillId="2" borderId="0" xfId="3" applyFont="1" applyFill="1" applyAlignment="1">
      <alignment vertical="center"/>
    </xf>
    <xf numFmtId="0" fontId="4" fillId="2" borderId="0" xfId="5" applyFont="1" applyFill="1" applyBorder="1" applyAlignment="1">
      <alignment horizontal="center" vertical="center"/>
    </xf>
    <xf numFmtId="0" fontId="4" fillId="2" borderId="0" xfId="5" applyFont="1" applyFill="1" applyAlignment="1">
      <alignment horizontal="center" vertical="center"/>
    </xf>
    <xf numFmtId="0" fontId="4" fillId="2" borderId="0" xfId="5" applyFont="1" applyFill="1" applyAlignment="1">
      <alignment vertical="center"/>
    </xf>
    <xf numFmtId="0" fontId="0" fillId="2" borderId="0" xfId="3" applyFont="1" applyFill="1"/>
    <xf numFmtId="0" fontId="12" fillId="2" borderId="0" xfId="3" applyFont="1" applyFill="1" applyAlignment="1">
      <alignment horizontal="center" vertical="center"/>
    </xf>
    <xf numFmtId="0" fontId="5" fillId="2" borderId="0" xfId="4" applyFont="1" applyFill="1" applyAlignment="1">
      <alignment horizontal="center"/>
    </xf>
    <xf numFmtId="0" fontId="8" fillId="2" borderId="14" xfId="1" applyNumberFormat="1" applyFont="1" applyFill="1" applyBorder="1" applyAlignment="1">
      <alignment horizontal="left" vertical="center"/>
    </xf>
    <xf numFmtId="0" fontId="8" fillId="2" borderId="7" xfId="1" applyNumberFormat="1" applyFont="1" applyFill="1" applyBorder="1" applyAlignment="1">
      <alignment horizontal="left" vertical="center"/>
    </xf>
    <xf numFmtId="0" fontId="8" fillId="2" borderId="4" xfId="1" applyNumberFormat="1" applyFont="1" applyFill="1" applyBorder="1" applyAlignment="1">
      <alignment horizontal="center" vertical="center"/>
    </xf>
    <xf numFmtId="0" fontId="8" fillId="2" borderId="6" xfId="1" applyNumberFormat="1" applyFont="1" applyFill="1" applyBorder="1" applyAlignment="1">
      <alignment horizontal="center" vertical="center"/>
    </xf>
  </cellXfs>
  <cellStyles count="14">
    <cellStyle name="Comma" xfId="1" builtinId="3"/>
    <cellStyle name="Comma 2" xfId="7"/>
    <cellStyle name="Comma 4" xfId="10"/>
    <cellStyle name="Comma 4 2" xfId="13"/>
    <cellStyle name="Hyperlink 2" xfId="2"/>
    <cellStyle name="Normal" xfId="0" builtinId="0"/>
    <cellStyle name="Normal 2" xfId="6"/>
    <cellStyle name="Normal 2 2" xfId="12"/>
    <cellStyle name="Normal 2 3" xfId="4"/>
    <cellStyle name="Normal 3" xfId="8"/>
    <cellStyle name="Normal 3 2" xfId="5"/>
    <cellStyle name="Normal 4" xfId="9"/>
    <cellStyle name="Normal 5" xfId="3"/>
    <cellStyle name="Normal 6" xfId="11"/>
  </cellStyles>
  <dxfs count="0"/>
  <tableStyles count="0" defaultTableStyle="TableStyleMedium9" defaultPivotStyle="PivotStyleLight16"/>
  <colors>
    <mruColors>
      <color rgb="FFB5EEED"/>
      <color rgb="FF1C706E"/>
      <color rgb="FF33CCCC"/>
      <color rgb="FF31C5C1"/>
      <color rgb="FF2CB1AE"/>
      <color rgb="FF11FFFF"/>
      <color rgb="FF75DFDD"/>
      <color rgb="FFB888D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%20Year%20Book/YEARBOOK%202016/REceived/11.%20TRANSPORT&amp;COMMUNICATION%20-%20CAA%202015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st4\Dissemination\Publications\Statistical%20%20Year%20Book\YEARBOOK%202015\RECEIVED\CAM%20_%20Statistical%20YearBook%202015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1.10"/>
      <sheetName val="11.11 &amp; 11.12"/>
      <sheetName val="11.13 &amp; 11.14"/>
      <sheetName val="11.15"/>
      <sheetName val="11.16."/>
      <sheetName val="11.17, 11.18 &amp;11.19"/>
      <sheetName val="11.20 &amp; 11.21"/>
      <sheetName val="11.22 &amp; 11.23"/>
      <sheetName val="11.24 &amp; 11.25"/>
    </sheetNames>
    <sheetDataSet>
      <sheetData sheetId="0"/>
      <sheetData sheetId="1"/>
      <sheetData sheetId="2"/>
      <sheetData sheetId="3"/>
      <sheetData sheetId="4"/>
      <sheetData sheetId="5">
        <row r="65">
          <cell r="AA65" t="str">
            <v>Scheduled</v>
          </cell>
          <cell r="AB65" t="str">
            <v>Chartered</v>
          </cell>
          <cell r="AC65" t="str">
            <v>Non-Scheduled</v>
          </cell>
        </row>
        <row r="66">
          <cell r="Z66" t="str">
            <v>Jan</v>
          </cell>
          <cell r="AA66">
            <v>1894</v>
          </cell>
          <cell r="AB66">
            <v>24</v>
          </cell>
          <cell r="AC66">
            <v>352</v>
          </cell>
        </row>
        <row r="67">
          <cell r="Z67" t="str">
            <v>Feb</v>
          </cell>
          <cell r="AA67">
            <v>1752</v>
          </cell>
          <cell r="AB67">
            <v>32</v>
          </cell>
          <cell r="AC67">
            <v>217</v>
          </cell>
        </row>
        <row r="68">
          <cell r="Z68" t="str">
            <v>March</v>
          </cell>
          <cell r="AA68">
            <v>1838</v>
          </cell>
          <cell r="AB68">
            <v>24</v>
          </cell>
          <cell r="AC68">
            <v>306</v>
          </cell>
        </row>
        <row r="69">
          <cell r="Z69" t="str">
            <v>April</v>
          </cell>
          <cell r="AA69">
            <v>1738</v>
          </cell>
          <cell r="AB69">
            <v>20</v>
          </cell>
          <cell r="AC69">
            <v>222</v>
          </cell>
        </row>
        <row r="70">
          <cell r="Z70" t="str">
            <v>May</v>
          </cell>
          <cell r="AA70">
            <v>1738</v>
          </cell>
          <cell r="AB70">
            <v>14</v>
          </cell>
          <cell r="AC70">
            <v>154</v>
          </cell>
        </row>
        <row r="71">
          <cell r="Z71" t="str">
            <v>June</v>
          </cell>
          <cell r="AA71">
            <v>1678</v>
          </cell>
          <cell r="AB71">
            <v>16</v>
          </cell>
          <cell r="AC71">
            <v>64</v>
          </cell>
        </row>
        <row r="72">
          <cell r="Z72" t="str">
            <v>July</v>
          </cell>
          <cell r="AA72">
            <v>1742</v>
          </cell>
          <cell r="AB72">
            <v>28</v>
          </cell>
          <cell r="AC72">
            <v>76</v>
          </cell>
        </row>
        <row r="73">
          <cell r="Z73" t="str">
            <v>Aug</v>
          </cell>
          <cell r="AA73">
            <v>1794</v>
          </cell>
          <cell r="AB73">
            <v>26</v>
          </cell>
          <cell r="AC73">
            <v>92</v>
          </cell>
        </row>
        <row r="74">
          <cell r="Z74" t="str">
            <v>Sep</v>
          </cell>
          <cell r="AA74">
            <v>1692</v>
          </cell>
          <cell r="AB74">
            <v>26</v>
          </cell>
          <cell r="AC74">
            <v>96</v>
          </cell>
        </row>
        <row r="75">
          <cell r="Z75" t="str">
            <v>Oct</v>
          </cell>
          <cell r="AA75">
            <v>1864</v>
          </cell>
          <cell r="AB75">
            <v>20</v>
          </cell>
          <cell r="AC75">
            <v>130</v>
          </cell>
        </row>
        <row r="76">
          <cell r="Z76" t="str">
            <v>Nov</v>
          </cell>
          <cell r="AA76">
            <v>1812</v>
          </cell>
          <cell r="AB76">
            <v>12</v>
          </cell>
          <cell r="AC76">
            <v>130</v>
          </cell>
        </row>
        <row r="77">
          <cell r="Z77" t="str">
            <v>Dec</v>
          </cell>
          <cell r="AA77">
            <v>1894</v>
          </cell>
          <cell r="AB77">
            <v>2</v>
          </cell>
          <cell r="AC77">
            <v>302</v>
          </cell>
        </row>
        <row r="81">
          <cell r="AA81" t="str">
            <v>Scheduled</v>
          </cell>
          <cell r="AB81" t="str">
            <v>Chartered</v>
          </cell>
        </row>
        <row r="82">
          <cell r="Z82" t="str">
            <v>Jan</v>
          </cell>
          <cell r="AA82">
            <v>2046</v>
          </cell>
          <cell r="AB82">
            <v>4685</v>
          </cell>
        </row>
        <row r="83">
          <cell r="Z83" t="str">
            <v>Feb</v>
          </cell>
          <cell r="AA83">
            <v>1936</v>
          </cell>
          <cell r="AB83">
            <v>4604</v>
          </cell>
        </row>
        <row r="84">
          <cell r="Z84" t="str">
            <v>March</v>
          </cell>
          <cell r="AA84">
            <v>2138</v>
          </cell>
          <cell r="AB84">
            <v>4745</v>
          </cell>
        </row>
        <row r="85">
          <cell r="Z85" t="str">
            <v>April</v>
          </cell>
          <cell r="AA85">
            <v>1920</v>
          </cell>
          <cell r="AB85">
            <v>4564</v>
          </cell>
        </row>
        <row r="86">
          <cell r="Z86" t="str">
            <v>May</v>
          </cell>
          <cell r="AA86">
            <v>1982</v>
          </cell>
          <cell r="AB86">
            <v>3931</v>
          </cell>
        </row>
        <row r="87">
          <cell r="Z87" t="str">
            <v>June</v>
          </cell>
          <cell r="AA87">
            <v>1824</v>
          </cell>
          <cell r="AB87">
            <v>3325</v>
          </cell>
        </row>
        <row r="88">
          <cell r="Z88" t="str">
            <v>July</v>
          </cell>
          <cell r="AA88">
            <v>1952</v>
          </cell>
          <cell r="AB88">
            <v>3817</v>
          </cell>
        </row>
        <row r="89">
          <cell r="Z89" t="str">
            <v>Aug</v>
          </cell>
          <cell r="AA89">
            <v>2038</v>
          </cell>
          <cell r="AB89">
            <v>4381</v>
          </cell>
        </row>
        <row r="90">
          <cell r="Z90" t="str">
            <v>Sep</v>
          </cell>
          <cell r="AA90">
            <v>1920</v>
          </cell>
          <cell r="AB90">
            <v>3983</v>
          </cell>
        </row>
        <row r="91">
          <cell r="Z91" t="str">
            <v>Oct</v>
          </cell>
          <cell r="AA91">
            <v>2204</v>
          </cell>
          <cell r="AB91">
            <v>4596</v>
          </cell>
        </row>
        <row r="92">
          <cell r="Z92" t="str">
            <v>Nov</v>
          </cell>
          <cell r="AA92">
            <v>2100</v>
          </cell>
          <cell r="AB92">
            <v>4030</v>
          </cell>
        </row>
        <row r="93">
          <cell r="Z93" t="str">
            <v>Dec</v>
          </cell>
          <cell r="AA93">
            <v>2234</v>
          </cell>
          <cell r="AB93">
            <v>4271</v>
          </cell>
        </row>
      </sheetData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1.26"/>
      <sheetName val="11.27"/>
    </sheetNames>
    <sheetDataSet>
      <sheetData sheetId="0">
        <row r="46">
          <cell r="Z46" t="str">
            <v>Post paid</v>
          </cell>
          <cell r="AB46">
            <v>11.797121061614527</v>
          </cell>
        </row>
        <row r="47">
          <cell r="Z47" t="str">
            <v>Pre-paid</v>
          </cell>
          <cell r="AB47">
            <v>88.202878938385481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K19"/>
  <sheetViews>
    <sheetView tabSelected="1" zoomScaleNormal="100" workbookViewId="0">
      <selection activeCell="L25" sqref="L25"/>
    </sheetView>
  </sheetViews>
  <sheetFormatPr defaultColWidth="9.140625" defaultRowHeight="15" x14ac:dyDescent="0.25"/>
  <cols>
    <col min="1" max="1" width="24.140625" style="2" customWidth="1"/>
    <col min="2" max="2" width="8.85546875" style="2" customWidth="1"/>
    <col min="3" max="3" width="8.85546875" style="24" customWidth="1"/>
    <col min="4" max="11" width="8.85546875" style="2" customWidth="1"/>
    <col min="12" max="16384" width="9.140625" style="2"/>
  </cols>
  <sheetData>
    <row r="1" spans="1:11" ht="21" x14ac:dyDescent="0.25">
      <c r="A1" s="35" t="s">
        <v>20</v>
      </c>
      <c r="B1" s="35"/>
      <c r="C1" s="35"/>
      <c r="D1" s="35"/>
      <c r="E1" s="35"/>
      <c r="F1" s="35"/>
      <c r="G1" s="35"/>
      <c r="H1" s="35"/>
      <c r="I1" s="35"/>
      <c r="J1" s="35"/>
      <c r="K1" s="35"/>
    </row>
    <row r="2" spans="1:11" x14ac:dyDescent="0.25">
      <c r="A2" s="36" t="s">
        <v>21</v>
      </c>
      <c r="B2" s="36"/>
      <c r="C2" s="36"/>
      <c r="D2" s="36"/>
      <c r="E2" s="36"/>
      <c r="F2" s="36"/>
      <c r="G2" s="36"/>
      <c r="H2" s="36"/>
      <c r="I2" s="36"/>
      <c r="J2" s="36"/>
      <c r="K2" s="36"/>
    </row>
    <row r="3" spans="1:11" x14ac:dyDescent="0.25">
      <c r="A3" s="3"/>
      <c r="B3" s="3"/>
      <c r="C3" s="4"/>
      <c r="D3" s="3"/>
      <c r="E3" s="3"/>
      <c r="F3" s="3"/>
      <c r="G3" s="3"/>
      <c r="H3" s="3"/>
      <c r="I3" s="3"/>
      <c r="J3" s="3"/>
      <c r="K3" s="3"/>
    </row>
    <row r="4" spans="1:11" ht="15.75" customHeight="1" x14ac:dyDescent="0.25">
      <c r="A4" s="37" t="s">
        <v>2</v>
      </c>
      <c r="B4" s="39" t="s">
        <v>3</v>
      </c>
      <c r="C4" s="39"/>
      <c r="D4" s="39"/>
      <c r="E4" s="39"/>
      <c r="F4" s="40"/>
      <c r="G4" s="39" t="s">
        <v>4</v>
      </c>
      <c r="H4" s="39"/>
      <c r="I4" s="39"/>
      <c r="J4" s="39"/>
      <c r="K4" s="39"/>
    </row>
    <row r="5" spans="1:11" x14ac:dyDescent="0.25">
      <c r="A5" s="38"/>
      <c r="B5" s="5" t="s">
        <v>1</v>
      </c>
      <c r="C5" s="6" t="s">
        <v>5</v>
      </c>
      <c r="D5" s="6" t="s">
        <v>19</v>
      </c>
      <c r="E5" s="6" t="s">
        <v>6</v>
      </c>
      <c r="F5" s="25" t="s">
        <v>7</v>
      </c>
      <c r="G5" s="6" t="s">
        <v>1</v>
      </c>
      <c r="H5" s="6" t="s">
        <v>5</v>
      </c>
      <c r="I5" s="6" t="s">
        <v>19</v>
      </c>
      <c r="J5" s="6" t="s">
        <v>6</v>
      </c>
      <c r="K5" s="6" t="s">
        <v>7</v>
      </c>
    </row>
    <row r="6" spans="1:11" x14ac:dyDescent="0.25">
      <c r="A6" s="7" t="s">
        <v>8</v>
      </c>
      <c r="B6" s="8">
        <f>SUM(C6:F6)</f>
        <v>136</v>
      </c>
      <c r="C6" s="8">
        <f t="shared" ref="C6:C12" si="0">SUM(D6:F6)</f>
        <v>68</v>
      </c>
      <c r="D6" s="8">
        <v>9</v>
      </c>
      <c r="E6" s="8">
        <v>55</v>
      </c>
      <c r="F6" s="26">
        <v>4</v>
      </c>
      <c r="G6" s="9">
        <f t="shared" ref="G6:G12" si="1">SUM(H6:K6)</f>
        <v>5444</v>
      </c>
      <c r="H6" s="9">
        <v>3958</v>
      </c>
      <c r="I6" s="9">
        <v>1486</v>
      </c>
      <c r="J6" s="9">
        <v>0</v>
      </c>
      <c r="K6" s="9">
        <v>0</v>
      </c>
    </row>
    <row r="7" spans="1:11" x14ac:dyDescent="0.25">
      <c r="A7" s="10" t="s">
        <v>9</v>
      </c>
      <c r="B7" s="11">
        <f>SUM(C7:F7)</f>
        <v>301</v>
      </c>
      <c r="C7" s="11">
        <v>86</v>
      </c>
      <c r="D7" s="11">
        <v>17</v>
      </c>
      <c r="E7" s="11">
        <v>189</v>
      </c>
      <c r="F7" s="27">
        <v>9</v>
      </c>
      <c r="G7" s="1">
        <f t="shared" si="1"/>
        <v>2616</v>
      </c>
      <c r="H7" s="1">
        <v>858</v>
      </c>
      <c r="I7" s="1">
        <v>1758</v>
      </c>
      <c r="J7" s="1">
        <v>0</v>
      </c>
      <c r="K7" s="1">
        <v>0</v>
      </c>
    </row>
    <row r="8" spans="1:11" x14ac:dyDescent="0.25">
      <c r="A8" s="10" t="s">
        <v>10</v>
      </c>
      <c r="B8" s="11">
        <f t="shared" ref="B8" si="2">SUM(C8:F8)</f>
        <v>150</v>
      </c>
      <c r="C8" s="11">
        <f t="shared" si="0"/>
        <v>75</v>
      </c>
      <c r="D8" s="11">
        <v>1</v>
      </c>
      <c r="E8" s="11">
        <v>14</v>
      </c>
      <c r="F8" s="27">
        <v>60</v>
      </c>
      <c r="G8" s="1">
        <f t="shared" si="1"/>
        <v>495</v>
      </c>
      <c r="H8" s="1">
        <v>392</v>
      </c>
      <c r="I8" s="1">
        <v>103</v>
      </c>
      <c r="J8" s="1">
        <v>0</v>
      </c>
      <c r="K8" s="1">
        <v>0</v>
      </c>
    </row>
    <row r="9" spans="1:11" x14ac:dyDescent="0.25">
      <c r="A9" s="10" t="s">
        <v>11</v>
      </c>
      <c r="B9" s="11">
        <f>SUM(C9:F9)</f>
        <v>28</v>
      </c>
      <c r="C9" s="11">
        <f t="shared" si="0"/>
        <v>14</v>
      </c>
      <c r="D9" s="11">
        <v>1</v>
      </c>
      <c r="E9" s="11">
        <v>7</v>
      </c>
      <c r="F9" s="27">
        <v>6</v>
      </c>
      <c r="G9" s="1">
        <f t="shared" si="1"/>
        <v>1884</v>
      </c>
      <c r="H9" s="1">
        <v>1560</v>
      </c>
      <c r="I9" s="1">
        <v>324</v>
      </c>
      <c r="J9" s="1">
        <v>0</v>
      </c>
      <c r="K9" s="1">
        <v>0</v>
      </c>
    </row>
    <row r="10" spans="1:11" x14ac:dyDescent="0.25">
      <c r="A10" s="10" t="s">
        <v>12</v>
      </c>
      <c r="B10" s="11">
        <f t="shared" ref="B10" si="3">SUM(C10:F10)</f>
        <v>32</v>
      </c>
      <c r="C10" s="11">
        <f t="shared" si="0"/>
        <v>16</v>
      </c>
      <c r="D10" s="11">
        <v>0</v>
      </c>
      <c r="E10" s="11">
        <v>16</v>
      </c>
      <c r="F10" s="27">
        <v>0</v>
      </c>
      <c r="G10" s="1">
        <f t="shared" si="1"/>
        <v>77</v>
      </c>
      <c r="H10" s="1">
        <v>38</v>
      </c>
      <c r="I10" s="1">
        <v>39</v>
      </c>
      <c r="J10" s="1">
        <v>0</v>
      </c>
      <c r="K10" s="1">
        <v>0</v>
      </c>
    </row>
    <row r="11" spans="1:11" x14ac:dyDescent="0.25">
      <c r="A11" s="10" t="s">
        <v>13</v>
      </c>
      <c r="B11" s="11">
        <f>SUM(C11:F11)</f>
        <v>136</v>
      </c>
      <c r="C11" s="11">
        <f t="shared" si="0"/>
        <v>68</v>
      </c>
      <c r="D11" s="11">
        <v>1</v>
      </c>
      <c r="E11" s="11">
        <v>67</v>
      </c>
      <c r="F11" s="27">
        <v>0</v>
      </c>
      <c r="G11" s="1">
        <f t="shared" si="1"/>
        <v>1270</v>
      </c>
      <c r="H11" s="1">
        <v>734</v>
      </c>
      <c r="I11" s="1">
        <v>536</v>
      </c>
      <c r="J11" s="1">
        <v>0</v>
      </c>
      <c r="K11" s="1">
        <v>0</v>
      </c>
    </row>
    <row r="12" spans="1:11" x14ac:dyDescent="0.25">
      <c r="A12" s="12" t="s">
        <v>14</v>
      </c>
      <c r="B12" s="13">
        <f>SUM(C12:F12)</f>
        <v>16</v>
      </c>
      <c r="C12" s="13">
        <f t="shared" si="0"/>
        <v>8</v>
      </c>
      <c r="D12" s="13">
        <v>0</v>
      </c>
      <c r="E12" s="13">
        <v>1</v>
      </c>
      <c r="F12" s="28">
        <v>7</v>
      </c>
      <c r="G12" s="14">
        <f t="shared" si="1"/>
        <v>87</v>
      </c>
      <c r="H12" s="14">
        <v>31</v>
      </c>
      <c r="I12" s="14">
        <v>56</v>
      </c>
      <c r="J12" s="14">
        <v>0</v>
      </c>
      <c r="K12" s="14">
        <v>0</v>
      </c>
    </row>
    <row r="13" spans="1:11" ht="15.75" x14ac:dyDescent="0.25">
      <c r="A13" s="15" t="s">
        <v>0</v>
      </c>
      <c r="B13" s="16"/>
      <c r="C13" s="17"/>
      <c r="D13" s="18"/>
      <c r="E13" s="18"/>
      <c r="F13" s="18"/>
      <c r="G13" s="16"/>
      <c r="H13" s="18"/>
      <c r="I13" s="18"/>
      <c r="J13" s="19"/>
      <c r="K13" s="19"/>
    </row>
    <row r="14" spans="1:11" s="30" customFormat="1" ht="15.6" customHeight="1" x14ac:dyDescent="0.25">
      <c r="A14" s="29" t="s">
        <v>18</v>
      </c>
      <c r="C14" s="31"/>
      <c r="D14" s="29"/>
      <c r="E14" s="29"/>
      <c r="F14" s="29"/>
      <c r="G14" s="29"/>
      <c r="H14" s="29"/>
      <c r="I14" s="29"/>
    </row>
    <row r="15" spans="1:11" s="30" customFormat="1" ht="15.6" customHeight="1" x14ac:dyDescent="0.25">
      <c r="A15" s="29" t="s">
        <v>15</v>
      </c>
      <c r="C15" s="31"/>
      <c r="D15" s="29"/>
      <c r="E15" s="29"/>
      <c r="F15" s="29"/>
      <c r="G15" s="29"/>
      <c r="H15" s="29"/>
      <c r="I15" s="29"/>
    </row>
    <row r="16" spans="1:11" s="30" customFormat="1" ht="15.6" customHeight="1" x14ac:dyDescent="0.25">
      <c r="A16" s="29" t="s">
        <v>22</v>
      </c>
      <c r="C16" s="32"/>
      <c r="D16" s="33"/>
      <c r="E16" s="33"/>
      <c r="F16" s="33"/>
      <c r="G16" s="33"/>
      <c r="H16" s="33"/>
      <c r="I16" s="33"/>
    </row>
    <row r="17" spans="1:9" s="30" customFormat="1" ht="15.6" customHeight="1" x14ac:dyDescent="0.25">
      <c r="A17" s="29" t="s">
        <v>16</v>
      </c>
      <c r="B17" s="29"/>
      <c r="C17" s="32"/>
      <c r="D17" s="33" t="s">
        <v>17</v>
      </c>
      <c r="E17" s="33"/>
      <c r="F17" s="33"/>
      <c r="G17" s="33"/>
      <c r="H17" s="33"/>
      <c r="I17" s="33"/>
    </row>
    <row r="18" spans="1:9" ht="15.75" x14ac:dyDescent="0.25">
      <c r="A18" s="20"/>
      <c r="B18" s="21"/>
      <c r="C18" s="22"/>
      <c r="D18" s="23"/>
      <c r="E18" s="23"/>
      <c r="F18" s="23"/>
      <c r="G18" s="23"/>
      <c r="H18" s="23"/>
      <c r="I18" s="23"/>
    </row>
    <row r="19" spans="1:9" x14ac:dyDescent="0.25">
      <c r="G19" s="34"/>
    </row>
  </sheetData>
  <mergeCells count="5">
    <mergeCell ref="A1:K1"/>
    <mergeCell ref="A2:K2"/>
    <mergeCell ref="A4:A5"/>
    <mergeCell ref="B4:F4"/>
    <mergeCell ref="G4:K4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11.4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2016-09-19T07:23:35Z</cp:lastPrinted>
  <dcterms:created xsi:type="dcterms:W3CDTF">2014-05-22T03:57:11Z</dcterms:created>
  <dcterms:modified xsi:type="dcterms:W3CDTF">2016-09-19T07:23:37Z</dcterms:modified>
</cp:coreProperties>
</file>