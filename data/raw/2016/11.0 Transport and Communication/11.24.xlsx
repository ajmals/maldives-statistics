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4 " sheetId="15" r:id="rId1"/>
  </sheets>
  <externalReferences>
    <externalReference r:id="rId2"/>
    <externalReference r:id="rId3"/>
  </externalReferences>
  <calcPr calcId="144525"/>
</workbook>
</file>

<file path=xl/calcChain.xml><?xml version="1.0" encoding="utf-8"?>
<calcChain xmlns="http://schemas.openxmlformats.org/spreadsheetml/2006/main">
  <c r="X6" i="15" l="1"/>
  <c r="W6" i="15"/>
  <c r="V6" i="15"/>
  <c r="U6" i="15"/>
  <c r="T6" i="15"/>
  <c r="S6" i="15"/>
  <c r="R6" i="15"/>
  <c r="Q6" i="15"/>
  <c r="O6" i="15"/>
  <c r="N6" i="15"/>
  <c r="L6" i="15"/>
  <c r="K6" i="15"/>
  <c r="I6" i="15"/>
  <c r="H6" i="15"/>
  <c r="F6" i="15"/>
  <c r="E6" i="15"/>
  <c r="C6" i="15"/>
  <c r="B6" i="15"/>
</calcChain>
</file>

<file path=xl/sharedStrings.xml><?xml version="1.0" encoding="utf-8"?>
<sst xmlns="http://schemas.openxmlformats.org/spreadsheetml/2006/main" count="71" uniqueCount="48">
  <si>
    <t>wlcmuj</t>
  </si>
  <si>
    <t>Total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</si>
  <si>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</si>
  <si>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</si>
  <si>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</si>
  <si>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</si>
  <si>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</si>
  <si>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</si>
  <si>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</si>
  <si>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</si>
  <si>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</si>
  <si>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</si>
  <si>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</si>
  <si>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</si>
  <si>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</si>
  <si>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</si>
  <si>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</si>
  <si>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</si>
  <si>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</si>
  <si>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</si>
  <si>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</si>
  <si>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</si>
  <si>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</si>
  <si>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</si>
  <si>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</si>
  <si>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</si>
  <si>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</si>
  <si>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</si>
  <si>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</si>
  <si>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</si>
  <si>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</si>
  <si>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</si>
  <si>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</si>
  <si>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</si>
  <si>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>HDh.Hanimaadhoo</t>
  </si>
  <si>
    <t xml:space="preserve">Gn.Fuvahmulah </t>
  </si>
  <si>
    <t>ADh.Maamigili</t>
  </si>
  <si>
    <t>GA. Koodoo</t>
  </si>
  <si>
    <t>-</t>
  </si>
  <si>
    <t>ތާވަލު 11.24: މަސްމަހުގެ ގޮތުން ރާއްޖޭގެ ވައިގެބަނދަރުތަކުގައި އުފުލުނު މުދާ، 2015</t>
  </si>
  <si>
    <t>Table 11.24:  CARGO HANDLED AT DOMESTIC AIRPORTS BY MONTH, 2015</t>
  </si>
  <si>
    <t xml:space="preserve"> ( in kg )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</si>
  <si>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</si>
  <si>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</si>
  <si>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Raa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</si>
  <si>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</si>
  <si>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2_/ THA. Thimarafushi   started flight operations during the month of January 2014</t>
  </si>
  <si>
    <t>3_/ Raa Ifuru   started flight operations during the month of May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</si>
</sst>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sz val="9"/>
      <name val="A_Randhoo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9"/>
      <name val="Courier"/>
      <family val="3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vertAlign val="superscript"/>
      <sz val="9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4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5" fillId="0" borderId="0"/>
    <xf numFmtId="164" fontId="11" fillId="0" borderId="0"/>
    <xf numFmtId="167" fontId="11" fillId="0" borderId="0" applyFont="0" applyFill="0" applyBorder="0" applyAlignment="0" applyProtection="0"/>
    <xf numFmtId="0" fontId="6" fillId="0" borderId="0"/>
    <xf numFmtId="0" fontId="20" fillId="0" borderId="0"/>
  </cellStyleXfs>
  <cellXfs count="58">
    <xf numFmtId="0" fontId="0" fillId="0" borderId="0" xfId="0"/>
    <xf numFmtId="0" fontId="9" fillId="2" borderId="1" xfId="0" applyNumberFormat="1" applyFont="1" applyFill="1" applyBorder="1" applyAlignment="1">
      <alignment horizontal="right" vertical="center"/>
    </xf>
    <xf numFmtId="0" fontId="9" fillId="2" borderId="2" xfId="0" applyNumberFormat="1" applyFont="1" applyFill="1" applyBorder="1" applyAlignment="1">
      <alignment horizontal="right" vertical="center"/>
    </xf>
    <xf numFmtId="164" fontId="3" fillId="2" borderId="1" xfId="5" applyNumberFormat="1" applyFont="1" applyFill="1" applyBorder="1" applyAlignment="1" applyProtection="1">
      <alignment horizontal="left" vertical="center"/>
    </xf>
    <xf numFmtId="0" fontId="17" fillId="2" borderId="1" xfId="14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0" fontId="17" fillId="2" borderId="3" xfId="14" applyFont="1" applyFill="1" applyBorder="1" applyAlignment="1">
      <alignment horizontal="right"/>
    </xf>
    <xf numFmtId="0" fontId="16" fillId="2" borderId="2" xfId="14" applyFont="1" applyFill="1" applyBorder="1" applyAlignment="1">
      <alignment horizontal="right"/>
    </xf>
    <xf numFmtId="164" fontId="0" fillId="2" borderId="1" xfId="0" applyNumberFormat="1" applyFill="1" applyBorder="1"/>
    <xf numFmtId="164" fontId="2" fillId="2" borderId="13" xfId="5" applyNumberFormat="1" applyFont="1" applyFill="1" applyBorder="1" applyAlignment="1">
      <alignment horizontal="right" vertical="center"/>
    </xf>
    <xf numFmtId="164" fontId="2" fillId="2" borderId="2" xfId="5" applyNumberFormat="1" applyFont="1" applyFill="1" applyBorder="1" applyAlignment="1" applyProtection="1">
      <alignment horizontal="left" vertical="center"/>
    </xf>
    <xf numFmtId="38" fontId="2" fillId="2" borderId="2" xfId="6" applyNumberFormat="1" applyFont="1" applyFill="1" applyBorder="1" applyAlignment="1">
      <alignment horizontal="right" vertical="center"/>
    </xf>
    <xf numFmtId="38" fontId="3" fillId="2" borderId="1" xfId="6" applyNumberFormat="1" applyFont="1" applyFill="1" applyBorder="1" applyAlignment="1">
      <alignment horizontal="right" vertical="center"/>
    </xf>
    <xf numFmtId="38" fontId="3" fillId="2" borderId="3" xfId="6" applyNumberFormat="1" applyFont="1" applyFill="1" applyBorder="1" applyAlignment="1">
      <alignment horizontal="right" vertical="center"/>
    </xf>
    <xf numFmtId="164" fontId="8" fillId="2" borderId="2" xfId="5" applyNumberFormat="1" applyFont="1" applyFill="1" applyBorder="1" applyAlignment="1" applyProtection="1">
      <alignment horizontal="left" vertical="center"/>
    </xf>
    <xf numFmtId="37" fontId="3" fillId="2" borderId="2" xfId="5" applyNumberFormat="1" applyFont="1" applyFill="1" applyBorder="1" applyAlignment="1" applyProtection="1">
      <alignment vertical="center"/>
    </xf>
    <xf numFmtId="0" fontId="13" fillId="2" borderId="2" xfId="13" applyFont="1" applyFill="1" applyBorder="1" applyAlignment="1">
      <alignment vertical="center"/>
    </xf>
    <xf numFmtId="164" fontId="22" fillId="2" borderId="2" xfId="0" applyNumberFormat="1" applyFont="1" applyFill="1" applyBorder="1" applyAlignment="1">
      <alignment vertical="center"/>
    </xf>
    <xf numFmtId="164" fontId="8" fillId="2" borderId="1" xfId="5" applyNumberFormat="1" applyFont="1" applyFill="1" applyBorder="1" applyAlignment="1" applyProtection="1">
      <alignment horizontal="left" vertical="center"/>
    </xf>
    <xf numFmtId="37" fontId="3" fillId="2" borderId="1" xfId="5" applyNumberFormat="1" applyFont="1" applyFill="1" applyBorder="1" applyAlignment="1" applyProtection="1">
      <alignment vertical="center"/>
    </xf>
    <xf numFmtId="0" fontId="13" fillId="2" borderId="1" xfId="13" applyFont="1" applyFill="1" applyBorder="1" applyAlignment="1">
      <alignment vertical="center"/>
    </xf>
    <xf numFmtId="164" fontId="22" fillId="2" borderId="1" xfId="0" applyNumberFormat="1" applyFont="1" applyFill="1" applyBorder="1" applyAlignment="1">
      <alignment vertical="center"/>
    </xf>
    <xf numFmtId="164" fontId="3" fillId="2" borderId="1" xfId="5" applyNumberFormat="1" applyFont="1" applyFill="1" applyBorder="1"/>
    <xf numFmtId="164" fontId="18" fillId="2" borderId="1" xfId="5" applyNumberFormat="1" applyFont="1" applyFill="1" applyBorder="1"/>
    <xf numFmtId="0" fontId="10" fillId="2" borderId="1" xfId="0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/>
    <xf numFmtId="164" fontId="2" fillId="2" borderId="15" xfId="5" applyNumberFormat="1" applyFont="1" applyFill="1" applyBorder="1" applyAlignment="1">
      <alignment horizontal="center" vertical="center" wrapText="1"/>
    </xf>
    <xf numFmtId="164" fontId="2" fillId="2" borderId="14" xfId="5" applyNumberFormat="1" applyFont="1" applyFill="1" applyBorder="1" applyAlignment="1">
      <alignment horizontal="right" vertical="center"/>
    </xf>
    <xf numFmtId="38" fontId="2" fillId="2" borderId="7" xfId="6" applyNumberFormat="1" applyFont="1" applyFill="1" applyBorder="1" applyAlignment="1">
      <alignment horizontal="right" vertical="center"/>
    </xf>
    <xf numFmtId="38" fontId="3" fillId="2" borderId="6" xfId="6" applyNumberFormat="1" applyFont="1" applyFill="1" applyBorder="1" applyAlignment="1">
      <alignment horizontal="right" vertical="center"/>
    </xf>
    <xf numFmtId="38" fontId="3" fillId="2" borderId="9" xfId="6" applyNumberFormat="1" applyFont="1" applyFill="1" applyBorder="1" applyAlignment="1">
      <alignment horizontal="right" vertical="center"/>
    </xf>
    <xf numFmtId="164" fontId="2" fillId="2" borderId="10" xfId="5" applyNumberFormat="1" applyFont="1" applyFill="1" applyBorder="1" applyAlignment="1">
      <alignment horizontal="center" vertical="center" wrapText="1"/>
    </xf>
    <xf numFmtId="164" fontId="2" fillId="2" borderId="16" xfId="5" applyNumberFormat="1" applyFont="1" applyFill="1" applyBorder="1" applyAlignment="1">
      <alignment horizontal="right" vertical="center"/>
    </xf>
    <xf numFmtId="38" fontId="2" fillId="2" borderId="12" xfId="6" applyNumberFormat="1" applyFont="1" applyFill="1" applyBorder="1" applyAlignment="1">
      <alignment horizontal="right" vertical="center"/>
    </xf>
    <xf numFmtId="38" fontId="3" fillId="2" borderId="4" xfId="6" applyNumberFormat="1" applyFont="1" applyFill="1" applyBorder="1" applyAlignment="1">
      <alignment horizontal="right" vertical="center"/>
    </xf>
    <xf numFmtId="38" fontId="3" fillId="2" borderId="11" xfId="6" applyNumberFormat="1" applyFont="1" applyFill="1" applyBorder="1" applyAlignment="1">
      <alignment horizontal="right" vertical="center"/>
    </xf>
    <xf numFmtId="164" fontId="2" fillId="2" borderId="19" xfId="5" applyNumberFormat="1" applyFont="1" applyFill="1" applyBorder="1" applyAlignment="1">
      <alignment horizontal="right" vertical="center"/>
    </xf>
    <xf numFmtId="164" fontId="2" fillId="2" borderId="20" xfId="5" applyNumberFormat="1" applyFont="1" applyFill="1" applyBorder="1" applyAlignment="1">
      <alignment horizontal="right" vertical="center"/>
    </xf>
    <xf numFmtId="38" fontId="2" fillId="2" borderId="21" xfId="6" applyNumberFormat="1" applyFont="1" applyFill="1" applyBorder="1" applyAlignment="1">
      <alignment horizontal="right" vertical="center"/>
    </xf>
    <xf numFmtId="38" fontId="2" fillId="2" borderId="22" xfId="6" applyNumberFormat="1" applyFont="1" applyFill="1" applyBorder="1" applyAlignment="1">
      <alignment horizontal="right" vertical="center"/>
    </xf>
    <xf numFmtId="38" fontId="3" fillId="2" borderId="23" xfId="6" applyNumberFormat="1" applyFont="1" applyFill="1" applyBorder="1" applyAlignment="1">
      <alignment horizontal="right" vertical="center"/>
    </xf>
    <xf numFmtId="38" fontId="3" fillId="2" borderId="24" xfId="6" applyNumberFormat="1" applyFont="1" applyFill="1" applyBorder="1" applyAlignment="1">
      <alignment horizontal="right" vertical="center"/>
    </xf>
    <xf numFmtId="38" fontId="3" fillId="2" borderId="25" xfId="6" applyNumberFormat="1" applyFont="1" applyFill="1" applyBorder="1" applyAlignment="1">
      <alignment horizontal="right" vertical="center"/>
    </xf>
    <xf numFmtId="38" fontId="3" fillId="2" borderId="26" xfId="6" applyNumberFormat="1" applyFont="1" applyFill="1" applyBorder="1" applyAlignment="1">
      <alignment horizontal="right" vertical="center"/>
    </xf>
    <xf numFmtId="164" fontId="2" fillId="2" borderId="14" xfId="5" applyNumberFormat="1" applyFont="1" applyFill="1" applyBorder="1" applyAlignment="1">
      <alignment horizontal="right" vertical="center" wrapText="1"/>
    </xf>
    <xf numFmtId="164" fontId="2" fillId="2" borderId="16" xfId="5" applyNumberFormat="1" applyFont="1" applyFill="1" applyBorder="1" applyAlignment="1">
      <alignment horizontal="right" vertical="center" wrapText="1"/>
    </xf>
    <xf numFmtId="0" fontId="16" fillId="2" borderId="5" xfId="14" applyFont="1" applyFill="1" applyBorder="1" applyAlignment="1">
      <alignment horizontal="right" vertical="center"/>
    </xf>
    <xf numFmtId="0" fontId="16" fillId="2" borderId="3" xfId="14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center"/>
    </xf>
    <xf numFmtId="164" fontId="4" fillId="2" borderId="1" xfId="5" applyNumberFormat="1" applyFont="1" applyFill="1" applyBorder="1" applyAlignment="1">
      <alignment horizontal="center" vertical="center"/>
    </xf>
    <xf numFmtId="164" fontId="2" fillId="2" borderId="1" xfId="5" applyNumberFormat="1" applyFont="1" applyFill="1" applyBorder="1" applyAlignment="1">
      <alignment horizontal="center" vertical="center"/>
    </xf>
    <xf numFmtId="164" fontId="2" fillId="2" borderId="5" xfId="5" applyNumberFormat="1" applyFont="1" applyFill="1" applyBorder="1" applyAlignment="1">
      <alignment horizontal="left" vertical="center"/>
    </xf>
    <xf numFmtId="164" fontId="2" fillId="2" borderId="3" xfId="5" applyNumberFormat="1" applyFont="1" applyFill="1" applyBorder="1" applyAlignment="1">
      <alignment horizontal="left" vertical="center"/>
    </xf>
    <xf numFmtId="164" fontId="2" fillId="2" borderId="8" xfId="5" applyNumberFormat="1" applyFont="1" applyFill="1" applyBorder="1" applyAlignment="1">
      <alignment horizontal="center" vertical="center" wrapText="1"/>
    </xf>
    <xf numFmtId="164" fontId="2" fillId="2" borderId="17" xfId="5" applyNumberFormat="1" applyFont="1" applyFill="1" applyBorder="1" applyAlignment="1">
      <alignment horizontal="center" vertical="center" wrapText="1"/>
    </xf>
    <xf numFmtId="164" fontId="2" fillId="2" borderId="18" xfId="5" applyNumberFormat="1" applyFont="1" applyFill="1" applyBorder="1" applyAlignment="1">
      <alignment horizontal="center" vertical="center" wrapText="1"/>
    </xf>
    <xf numFmtId="164" fontId="2" fillId="2" borderId="10" xfId="5" applyNumberFormat="1" applyFont="1" applyFill="1" applyBorder="1" applyAlignment="1">
      <alignment horizontal="center" vertical="center" wrapText="1"/>
    </xf>
    <xf numFmtId="164" fontId="2" fillId="2" borderId="15" xfId="5" applyNumberFormat="1" applyFont="1" applyFill="1" applyBorder="1" applyAlignment="1">
      <alignment horizontal="center" vertical="center" wrapText="1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3"/>
  <sheetViews>
    <sheetView tabSelected="1" zoomScaleNormal="100" workbookViewId="0">
      <selection activeCell="A24" sqref="A24:XFD52"/>
    </sheetView>
  </sheetViews>
  <sheetFormatPr defaultColWidth="9.140625" defaultRowHeight="15" x14ac:dyDescent="0.25"/>
  <cols>
    <col min="1" max="1" width="9.140625" style="8"/>
    <col min="2" max="3" width="11.5703125" style="8" customWidth="1"/>
    <col min="4" max="4" width="1.42578125" style="8" customWidth="1"/>
    <col min="5" max="6" width="11.5703125" style="8" customWidth="1"/>
    <col min="7" max="7" width="1.28515625" style="8" customWidth="1"/>
    <col min="8" max="8" width="11.5703125" style="8" customWidth="1"/>
    <col min="9" max="9" width="9.42578125" style="8" customWidth="1"/>
    <col min="10" max="10" width="1.140625" style="8" customWidth="1"/>
    <col min="11" max="11" width="9.42578125" style="8" bestFit="1" customWidth="1"/>
    <col min="12" max="12" width="9.5703125" style="8" customWidth="1"/>
    <col min="13" max="13" width="1.140625" style="8" customWidth="1"/>
    <col min="14" max="15" width="9.28515625" style="8" bestFit="1" customWidth="1"/>
    <col min="16" max="16" width="1.140625" style="8" customWidth="1"/>
    <col min="17" max="18" width="9.28515625" style="8" bestFit="1" customWidth="1"/>
    <col min="19" max="24" width="9.28515625" style="8" customWidth="1"/>
    <col min="25" max="25" width="19.7109375" style="8" customWidth="1"/>
    <col min="26" max="16384" width="9.140625" style="8"/>
  </cols>
  <sheetData>
    <row r="1" spans="1:25" ht="21" x14ac:dyDescent="0.55000000000000004">
      <c r="A1" s="48" t="s">
        <v>39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 x14ac:dyDescent="0.25">
      <c r="A2" s="49" t="s">
        <v>40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 x14ac:dyDescent="0.25">
      <c r="A3" s="50" t="s">
        <v>41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spans="1:25" ht="14.25" customHeight="1" x14ac:dyDescent="0.25">
      <c r="A4" s="51" t="s">
        <v>6</v>
      </c>
      <c r="B4" s="53" t="s">
        <v>32</v>
      </c>
      <c r="C4" s="53"/>
      <c r="D4" s="26"/>
      <c r="E4" s="54" t="s">
        <v>33</v>
      </c>
      <c r="F4" s="55"/>
      <c r="G4" s="31"/>
      <c r="H4" s="53" t="s">
        <v>34</v>
      </c>
      <c r="I4" s="53"/>
      <c r="J4" s="26"/>
      <c r="K4" s="54" t="s">
        <v>35</v>
      </c>
      <c r="L4" s="55"/>
      <c r="M4" s="31"/>
      <c r="N4" s="53" t="s">
        <v>36</v>
      </c>
      <c r="O4" s="53"/>
      <c r="P4" s="26"/>
      <c r="Q4" s="54" t="s">
        <v>42</v>
      </c>
      <c r="R4" s="55"/>
      <c r="S4" s="56" t="s">
        <v>37</v>
      </c>
      <c r="T4" s="57"/>
      <c r="U4" s="54" t="s">
        <v>43</v>
      </c>
      <c r="V4" s="55"/>
      <c r="W4" s="56" t="s">
        <v>44</v>
      </c>
      <c r="X4" s="53"/>
      <c r="Y4" s="46" t="s">
        <v>7</v>
      </c>
    </row>
    <row r="5" spans="1:25" ht="13.5" customHeight="1" x14ac:dyDescent="0.25">
      <c r="A5" s="52"/>
      <c r="B5" s="9" t="s">
        <v>2</v>
      </c>
      <c r="C5" s="9" t="s">
        <v>3</v>
      </c>
      <c r="D5" s="27"/>
      <c r="E5" s="36" t="s">
        <v>2</v>
      </c>
      <c r="F5" s="37" t="s">
        <v>3</v>
      </c>
      <c r="G5" s="32"/>
      <c r="H5" s="9" t="s">
        <v>2</v>
      </c>
      <c r="I5" s="9" t="s">
        <v>3</v>
      </c>
      <c r="J5" s="44"/>
      <c r="K5" s="36" t="s">
        <v>2</v>
      </c>
      <c r="L5" s="37" t="s">
        <v>3</v>
      </c>
      <c r="M5" s="45"/>
      <c r="N5" s="9" t="s">
        <v>2</v>
      </c>
      <c r="O5" s="9" t="s">
        <v>3</v>
      </c>
      <c r="P5" s="44"/>
      <c r="Q5" s="36" t="s">
        <v>2</v>
      </c>
      <c r="R5" s="37" t="s">
        <v>3</v>
      </c>
      <c r="S5" s="32" t="s">
        <v>2</v>
      </c>
      <c r="T5" s="27" t="s">
        <v>3</v>
      </c>
      <c r="U5" s="36" t="s">
        <v>2</v>
      </c>
      <c r="V5" s="37" t="s">
        <v>3</v>
      </c>
      <c r="W5" s="32" t="s">
        <v>2</v>
      </c>
      <c r="X5" s="9" t="s">
        <v>3</v>
      </c>
      <c r="Y5" s="47"/>
    </row>
    <row r="6" spans="1:25" ht="15.75" customHeight="1" x14ac:dyDescent="0.4">
      <c r="A6" s="10" t="s">
        <v>1</v>
      </c>
      <c r="B6" s="11">
        <f>SUM(B7:B18)</f>
        <v>50573.8</v>
      </c>
      <c r="C6" s="11">
        <f>SUM(C7:C18)</f>
        <v>69099.3</v>
      </c>
      <c r="D6" s="28"/>
      <c r="E6" s="38">
        <f>SUM(E7:E18)</f>
        <v>116102.3</v>
      </c>
      <c r="F6" s="39">
        <f>SUM(F7:F18)</f>
        <v>51974.18</v>
      </c>
      <c r="G6" s="33"/>
      <c r="H6" s="11">
        <f>SUM(H7:H18)</f>
        <v>40457</v>
      </c>
      <c r="I6" s="11">
        <f>SUM(I7:I18)</f>
        <v>10651.65</v>
      </c>
      <c r="J6" s="28"/>
      <c r="K6" s="38">
        <f>SUM(K7:K18)</f>
        <v>24816</v>
      </c>
      <c r="L6" s="39">
        <f>SUM(L7:L18)</f>
        <v>8925.25</v>
      </c>
      <c r="M6" s="33"/>
      <c r="N6" s="11">
        <f t="shared" ref="N6:O6" si="0">SUM(N7:N18)</f>
        <v>0</v>
      </c>
      <c r="O6" s="11">
        <f t="shared" si="0"/>
        <v>0</v>
      </c>
      <c r="P6" s="28"/>
      <c r="Q6" s="38">
        <f t="shared" ref="Q6:U6" si="1">SUM(Q7:Q18)</f>
        <v>11008</v>
      </c>
      <c r="R6" s="39">
        <f t="shared" si="1"/>
        <v>1266</v>
      </c>
      <c r="S6" s="33">
        <f t="shared" si="1"/>
        <v>75088</v>
      </c>
      <c r="T6" s="28">
        <f t="shared" si="1"/>
        <v>11220</v>
      </c>
      <c r="U6" s="38">
        <f t="shared" si="1"/>
        <v>3599</v>
      </c>
      <c r="V6" s="39">
        <f>SUM(V7:V18)</f>
        <v>15591.5</v>
      </c>
      <c r="W6" s="33">
        <f>SUM(W7:W18)</f>
        <v>2843</v>
      </c>
      <c r="X6" s="11">
        <f>SUM(X7:X18)</f>
        <v>2725.48</v>
      </c>
      <c r="Y6" s="7" t="s">
        <v>0</v>
      </c>
    </row>
    <row r="7" spans="1:25" ht="15.75" customHeight="1" x14ac:dyDescent="0.4">
      <c r="A7" s="3" t="s">
        <v>8</v>
      </c>
      <c r="B7" s="12">
        <v>3778</v>
      </c>
      <c r="C7" s="12">
        <v>4415</v>
      </c>
      <c r="D7" s="29"/>
      <c r="E7" s="40">
        <v>9249</v>
      </c>
      <c r="F7" s="41">
        <v>2951</v>
      </c>
      <c r="G7" s="34"/>
      <c r="H7" s="12">
        <v>3777</v>
      </c>
      <c r="I7" s="12">
        <v>1036</v>
      </c>
      <c r="J7" s="29"/>
      <c r="K7" s="40">
        <v>1216</v>
      </c>
      <c r="L7" s="41">
        <v>762</v>
      </c>
      <c r="M7" s="34"/>
      <c r="N7" s="12">
        <v>0</v>
      </c>
      <c r="O7" s="12">
        <v>0</v>
      </c>
      <c r="P7" s="29"/>
      <c r="Q7" s="40">
        <v>407</v>
      </c>
      <c r="R7" s="41">
        <v>32</v>
      </c>
      <c r="S7" s="34">
        <v>3458</v>
      </c>
      <c r="T7" s="29">
        <v>378</v>
      </c>
      <c r="U7" s="40">
        <v>270</v>
      </c>
      <c r="V7" s="41">
        <v>995</v>
      </c>
      <c r="W7" s="34" t="s">
        <v>38</v>
      </c>
      <c r="X7" s="12" t="s">
        <v>38</v>
      </c>
      <c r="Y7" s="4" t="s">
        <v>9</v>
      </c>
    </row>
    <row r="8" spans="1:25" ht="15.75" customHeight="1" x14ac:dyDescent="0.4">
      <c r="A8" s="3" t="s">
        <v>10</v>
      </c>
      <c r="B8" s="12">
        <v>4055</v>
      </c>
      <c r="C8" s="12">
        <v>5982.5</v>
      </c>
      <c r="D8" s="29"/>
      <c r="E8" s="40">
        <v>6334</v>
      </c>
      <c r="F8" s="41">
        <v>3260</v>
      </c>
      <c r="G8" s="34"/>
      <c r="H8" s="12">
        <v>2749</v>
      </c>
      <c r="I8" s="12">
        <v>544</v>
      </c>
      <c r="J8" s="29"/>
      <c r="K8" s="40">
        <v>1729</v>
      </c>
      <c r="L8" s="41">
        <v>537</v>
      </c>
      <c r="M8" s="34"/>
      <c r="N8" s="12">
        <v>0</v>
      </c>
      <c r="O8" s="12">
        <v>0</v>
      </c>
      <c r="P8" s="29"/>
      <c r="Q8" s="40">
        <v>804</v>
      </c>
      <c r="R8" s="41">
        <v>64</v>
      </c>
      <c r="S8" s="34">
        <v>7524</v>
      </c>
      <c r="T8" s="29">
        <v>774</v>
      </c>
      <c r="U8" s="40">
        <v>225</v>
      </c>
      <c r="V8" s="41">
        <v>797</v>
      </c>
      <c r="W8" s="34" t="s">
        <v>38</v>
      </c>
      <c r="X8" s="12" t="s">
        <v>38</v>
      </c>
      <c r="Y8" s="4" t="s">
        <v>11</v>
      </c>
    </row>
    <row r="9" spans="1:25" ht="15.75" customHeight="1" x14ac:dyDescent="0.4">
      <c r="A9" s="3" t="s">
        <v>12</v>
      </c>
      <c r="B9" s="12">
        <v>3874</v>
      </c>
      <c r="C9" s="12">
        <v>5120</v>
      </c>
      <c r="D9" s="29"/>
      <c r="E9" s="40">
        <v>8551.15</v>
      </c>
      <c r="F9" s="41">
        <v>2426</v>
      </c>
      <c r="G9" s="34"/>
      <c r="H9" s="12">
        <v>1415</v>
      </c>
      <c r="I9" s="12">
        <v>1213</v>
      </c>
      <c r="J9" s="29"/>
      <c r="K9" s="40">
        <v>1544</v>
      </c>
      <c r="L9" s="41">
        <v>851</v>
      </c>
      <c r="M9" s="34"/>
      <c r="N9" s="12">
        <v>0</v>
      </c>
      <c r="O9" s="12">
        <v>0</v>
      </c>
      <c r="P9" s="29"/>
      <c r="Q9" s="40">
        <v>862</v>
      </c>
      <c r="R9" s="41">
        <v>194</v>
      </c>
      <c r="S9" s="34">
        <v>6886</v>
      </c>
      <c r="T9" s="29">
        <v>376</v>
      </c>
      <c r="U9" s="40">
        <v>94</v>
      </c>
      <c r="V9" s="41">
        <v>186</v>
      </c>
      <c r="W9" s="34" t="s">
        <v>38</v>
      </c>
      <c r="X9" s="12" t="s">
        <v>38</v>
      </c>
      <c r="Y9" s="4" t="s">
        <v>13</v>
      </c>
    </row>
    <row r="10" spans="1:25" ht="15.75" customHeight="1" x14ac:dyDescent="0.4">
      <c r="A10" s="3" t="s">
        <v>14</v>
      </c>
      <c r="B10" s="12">
        <v>2825</v>
      </c>
      <c r="C10" s="12">
        <v>3481.5</v>
      </c>
      <c r="D10" s="29"/>
      <c r="E10" s="40">
        <v>3906.35</v>
      </c>
      <c r="F10" s="41">
        <v>2701.68</v>
      </c>
      <c r="G10" s="34"/>
      <c r="H10" s="12">
        <v>2374</v>
      </c>
      <c r="I10" s="12">
        <v>1245</v>
      </c>
      <c r="J10" s="29"/>
      <c r="K10" s="40">
        <v>1959</v>
      </c>
      <c r="L10" s="41">
        <v>607.25</v>
      </c>
      <c r="M10" s="34"/>
      <c r="N10" s="12">
        <v>0</v>
      </c>
      <c r="O10" s="12">
        <v>0</v>
      </c>
      <c r="P10" s="29"/>
      <c r="Q10" s="40">
        <v>357</v>
      </c>
      <c r="R10" s="41">
        <v>62</v>
      </c>
      <c r="S10" s="34">
        <v>3976</v>
      </c>
      <c r="T10" s="29">
        <v>1349</v>
      </c>
      <c r="U10" s="40">
        <v>186</v>
      </c>
      <c r="V10" s="41">
        <v>1000.5</v>
      </c>
      <c r="W10" s="34" t="s">
        <v>38</v>
      </c>
      <c r="X10" s="12" t="s">
        <v>38</v>
      </c>
      <c r="Y10" s="4" t="s">
        <v>15</v>
      </c>
    </row>
    <row r="11" spans="1:25" ht="15.75" customHeight="1" x14ac:dyDescent="0.4">
      <c r="A11" s="3" t="s">
        <v>16</v>
      </c>
      <c r="B11" s="12">
        <v>3757.8</v>
      </c>
      <c r="C11" s="12">
        <v>7178</v>
      </c>
      <c r="D11" s="29"/>
      <c r="E11" s="40">
        <v>8982</v>
      </c>
      <c r="F11" s="41">
        <v>4225</v>
      </c>
      <c r="G11" s="34"/>
      <c r="H11" s="12">
        <v>1496</v>
      </c>
      <c r="I11" s="12">
        <v>654</v>
      </c>
      <c r="J11" s="29"/>
      <c r="K11" s="40">
        <v>2561</v>
      </c>
      <c r="L11" s="41">
        <v>1749</v>
      </c>
      <c r="M11" s="34"/>
      <c r="N11" s="12">
        <v>0</v>
      </c>
      <c r="O11" s="12">
        <v>0</v>
      </c>
      <c r="P11" s="29"/>
      <c r="Q11" s="40">
        <v>536</v>
      </c>
      <c r="R11" s="41">
        <v>164</v>
      </c>
      <c r="S11" s="34">
        <v>1993</v>
      </c>
      <c r="T11" s="29">
        <v>732</v>
      </c>
      <c r="U11" s="40">
        <v>362</v>
      </c>
      <c r="V11" s="41">
        <v>532</v>
      </c>
      <c r="W11" s="34">
        <v>0</v>
      </c>
      <c r="X11" s="12">
        <v>0</v>
      </c>
      <c r="Y11" s="4" t="s">
        <v>17</v>
      </c>
    </row>
    <row r="12" spans="1:25" ht="15.75" customHeight="1" x14ac:dyDescent="0.4">
      <c r="A12" s="3" t="s">
        <v>18</v>
      </c>
      <c r="B12" s="12">
        <v>5738</v>
      </c>
      <c r="C12" s="12">
        <v>5308</v>
      </c>
      <c r="D12" s="29"/>
      <c r="E12" s="40">
        <v>6672</v>
      </c>
      <c r="F12" s="41">
        <v>1173</v>
      </c>
      <c r="G12" s="34"/>
      <c r="H12" s="12">
        <v>1510</v>
      </c>
      <c r="I12" s="12">
        <v>345</v>
      </c>
      <c r="J12" s="29"/>
      <c r="K12" s="40">
        <v>1517</v>
      </c>
      <c r="L12" s="41">
        <v>580</v>
      </c>
      <c r="M12" s="34"/>
      <c r="N12" s="12">
        <v>0</v>
      </c>
      <c r="O12" s="12">
        <v>0</v>
      </c>
      <c r="P12" s="29"/>
      <c r="Q12" s="40">
        <v>500</v>
      </c>
      <c r="R12" s="41">
        <v>23</v>
      </c>
      <c r="S12" s="34">
        <v>4721</v>
      </c>
      <c r="T12" s="29">
        <v>1949</v>
      </c>
      <c r="U12" s="40">
        <v>169</v>
      </c>
      <c r="V12" s="41">
        <v>1647</v>
      </c>
      <c r="W12" s="34">
        <v>103</v>
      </c>
      <c r="X12" s="12">
        <v>11</v>
      </c>
      <c r="Y12" s="4" t="s">
        <v>19</v>
      </c>
    </row>
    <row r="13" spans="1:25" ht="15.75" customHeight="1" x14ac:dyDescent="0.4">
      <c r="A13" s="3" t="s">
        <v>20</v>
      </c>
      <c r="B13" s="12">
        <v>7584</v>
      </c>
      <c r="C13" s="12">
        <v>6884</v>
      </c>
      <c r="D13" s="29"/>
      <c r="E13" s="40">
        <v>16582.8</v>
      </c>
      <c r="F13" s="41">
        <v>3742</v>
      </c>
      <c r="G13" s="34"/>
      <c r="H13" s="12">
        <v>10711</v>
      </c>
      <c r="I13" s="12">
        <v>1832.65</v>
      </c>
      <c r="J13" s="29"/>
      <c r="K13" s="40">
        <v>3268</v>
      </c>
      <c r="L13" s="41">
        <v>216</v>
      </c>
      <c r="M13" s="34"/>
      <c r="N13" s="12">
        <v>0</v>
      </c>
      <c r="O13" s="12">
        <v>0</v>
      </c>
      <c r="P13" s="29"/>
      <c r="Q13" s="40">
        <v>3168</v>
      </c>
      <c r="R13" s="41">
        <v>126</v>
      </c>
      <c r="S13" s="34">
        <v>7093</v>
      </c>
      <c r="T13" s="29">
        <v>89</v>
      </c>
      <c r="U13" s="40">
        <v>1359</v>
      </c>
      <c r="V13" s="41">
        <v>2167</v>
      </c>
      <c r="W13" s="34">
        <v>2093</v>
      </c>
      <c r="X13" s="12">
        <v>8.4</v>
      </c>
      <c r="Y13" s="4" t="s">
        <v>21</v>
      </c>
    </row>
    <row r="14" spans="1:25" ht="15.75" customHeight="1" x14ac:dyDescent="0.4">
      <c r="A14" s="3" t="s">
        <v>22</v>
      </c>
      <c r="B14" s="12">
        <v>2734</v>
      </c>
      <c r="C14" s="12">
        <v>6074</v>
      </c>
      <c r="D14" s="29"/>
      <c r="E14" s="40">
        <v>11950</v>
      </c>
      <c r="F14" s="41">
        <v>10778</v>
      </c>
      <c r="G14" s="34"/>
      <c r="H14" s="12">
        <v>5192</v>
      </c>
      <c r="I14" s="12">
        <v>929</v>
      </c>
      <c r="J14" s="29"/>
      <c r="K14" s="40">
        <v>2872</v>
      </c>
      <c r="L14" s="41">
        <v>325</v>
      </c>
      <c r="M14" s="34"/>
      <c r="N14" s="12">
        <v>0</v>
      </c>
      <c r="O14" s="12">
        <v>0</v>
      </c>
      <c r="P14" s="29"/>
      <c r="Q14" s="40">
        <v>226</v>
      </c>
      <c r="R14" s="41">
        <v>100</v>
      </c>
      <c r="S14" s="34">
        <v>5924</v>
      </c>
      <c r="T14" s="29">
        <v>998</v>
      </c>
      <c r="U14" s="40">
        <v>187</v>
      </c>
      <c r="V14" s="41">
        <v>3089</v>
      </c>
      <c r="W14" s="34">
        <v>99</v>
      </c>
      <c r="X14" s="12">
        <v>35</v>
      </c>
      <c r="Y14" s="4" t="s">
        <v>23</v>
      </c>
    </row>
    <row r="15" spans="1:25" ht="15.75" customHeight="1" x14ac:dyDescent="0.4">
      <c r="A15" s="3" t="s">
        <v>24</v>
      </c>
      <c r="B15" s="12">
        <v>3046</v>
      </c>
      <c r="C15" s="12">
        <v>9043</v>
      </c>
      <c r="D15" s="29"/>
      <c r="E15" s="40">
        <v>12590</v>
      </c>
      <c r="F15" s="41">
        <v>6373</v>
      </c>
      <c r="G15" s="34"/>
      <c r="H15" s="12">
        <v>4450</v>
      </c>
      <c r="I15" s="12">
        <v>1265</v>
      </c>
      <c r="J15" s="29"/>
      <c r="K15" s="40">
        <v>2210</v>
      </c>
      <c r="L15" s="41">
        <v>447</v>
      </c>
      <c r="M15" s="34"/>
      <c r="N15" s="12">
        <v>0</v>
      </c>
      <c r="O15" s="12">
        <v>0</v>
      </c>
      <c r="P15" s="29"/>
      <c r="Q15" s="40">
        <v>1116</v>
      </c>
      <c r="R15" s="41">
        <v>163</v>
      </c>
      <c r="S15" s="34">
        <v>3837</v>
      </c>
      <c r="T15" s="29">
        <v>850</v>
      </c>
      <c r="U15" s="40">
        <v>320</v>
      </c>
      <c r="V15" s="41">
        <v>2031</v>
      </c>
      <c r="W15" s="34">
        <v>104</v>
      </c>
      <c r="X15" s="12">
        <v>0</v>
      </c>
      <c r="Y15" s="4" t="s">
        <v>25</v>
      </c>
    </row>
    <row r="16" spans="1:25" ht="15.75" customHeight="1" x14ac:dyDescent="0.4">
      <c r="A16" s="3" t="s">
        <v>26</v>
      </c>
      <c r="B16" s="12">
        <v>2947</v>
      </c>
      <c r="C16" s="12">
        <v>5165.3</v>
      </c>
      <c r="D16" s="29"/>
      <c r="E16" s="40">
        <v>9357</v>
      </c>
      <c r="F16" s="41">
        <v>8047.5</v>
      </c>
      <c r="G16" s="34"/>
      <c r="H16" s="12">
        <v>1035</v>
      </c>
      <c r="I16" s="12">
        <v>616</v>
      </c>
      <c r="J16" s="29"/>
      <c r="K16" s="40">
        <v>1594</v>
      </c>
      <c r="L16" s="41">
        <v>845</v>
      </c>
      <c r="M16" s="34"/>
      <c r="N16" s="12">
        <v>0</v>
      </c>
      <c r="O16" s="12">
        <v>0</v>
      </c>
      <c r="P16" s="29"/>
      <c r="Q16" s="40">
        <v>1417</v>
      </c>
      <c r="R16" s="41">
        <v>67</v>
      </c>
      <c r="S16" s="34">
        <v>7456</v>
      </c>
      <c r="T16" s="29">
        <v>856</v>
      </c>
      <c r="U16" s="40">
        <v>167</v>
      </c>
      <c r="V16" s="41">
        <v>1604</v>
      </c>
      <c r="W16" s="34">
        <v>166</v>
      </c>
      <c r="X16" s="12">
        <v>40</v>
      </c>
      <c r="Y16" s="4" t="s">
        <v>27</v>
      </c>
    </row>
    <row r="17" spans="1:25" ht="15.75" customHeight="1" x14ac:dyDescent="0.4">
      <c r="A17" s="3" t="s">
        <v>28</v>
      </c>
      <c r="B17" s="12">
        <v>3949</v>
      </c>
      <c r="C17" s="12">
        <v>5618</v>
      </c>
      <c r="D17" s="29"/>
      <c r="E17" s="40">
        <v>9188</v>
      </c>
      <c r="F17" s="41">
        <v>5183</v>
      </c>
      <c r="G17" s="34"/>
      <c r="H17" s="12">
        <v>1124</v>
      </c>
      <c r="I17" s="12">
        <v>485</v>
      </c>
      <c r="J17" s="29"/>
      <c r="K17" s="40">
        <v>1507</v>
      </c>
      <c r="L17" s="41">
        <v>1023</v>
      </c>
      <c r="M17" s="34"/>
      <c r="N17" s="12">
        <v>0</v>
      </c>
      <c r="O17" s="12">
        <v>0</v>
      </c>
      <c r="P17" s="29"/>
      <c r="Q17" s="40">
        <v>537</v>
      </c>
      <c r="R17" s="41">
        <v>209</v>
      </c>
      <c r="S17" s="34">
        <v>13691</v>
      </c>
      <c r="T17" s="29">
        <v>166</v>
      </c>
      <c r="U17" s="40">
        <v>91</v>
      </c>
      <c r="V17" s="41">
        <v>625</v>
      </c>
      <c r="W17" s="34">
        <v>74</v>
      </c>
      <c r="X17" s="12">
        <v>37.08</v>
      </c>
      <c r="Y17" s="4" t="s">
        <v>29</v>
      </c>
    </row>
    <row r="18" spans="1:25" ht="15.75" customHeight="1" x14ac:dyDescent="0.4">
      <c r="A18" s="5" t="s">
        <v>30</v>
      </c>
      <c r="B18" s="13">
        <v>6286</v>
      </c>
      <c r="C18" s="13">
        <v>4830</v>
      </c>
      <c r="D18" s="30"/>
      <c r="E18" s="42">
        <v>12740</v>
      </c>
      <c r="F18" s="43">
        <v>1114</v>
      </c>
      <c r="G18" s="35"/>
      <c r="H18" s="13">
        <v>4624</v>
      </c>
      <c r="I18" s="13">
        <v>487</v>
      </c>
      <c r="J18" s="30"/>
      <c r="K18" s="42">
        <v>2839</v>
      </c>
      <c r="L18" s="43">
        <v>983</v>
      </c>
      <c r="M18" s="35"/>
      <c r="N18" s="13">
        <v>0</v>
      </c>
      <c r="O18" s="13">
        <v>0</v>
      </c>
      <c r="P18" s="30"/>
      <c r="Q18" s="42">
        <v>1078</v>
      </c>
      <c r="R18" s="43">
        <v>62</v>
      </c>
      <c r="S18" s="35">
        <v>8529</v>
      </c>
      <c r="T18" s="30">
        <v>2703</v>
      </c>
      <c r="U18" s="42">
        <v>169</v>
      </c>
      <c r="V18" s="43">
        <v>918</v>
      </c>
      <c r="W18" s="35">
        <v>204</v>
      </c>
      <c r="X18" s="13">
        <v>2594</v>
      </c>
      <c r="Y18" s="6" t="s">
        <v>31</v>
      </c>
    </row>
    <row r="19" spans="1:25" ht="14.25" customHeight="1" x14ac:dyDescent="0.25">
      <c r="A19" s="14" t="s">
        <v>45</v>
      </c>
      <c r="B19" s="14"/>
      <c r="C19" s="15"/>
      <c r="D19" s="15"/>
      <c r="E19" s="15"/>
      <c r="F19" s="15"/>
      <c r="G19" s="15"/>
      <c r="H19" s="15"/>
      <c r="I19" s="15"/>
      <c r="J19" s="15"/>
      <c r="K19" s="16"/>
      <c r="L19" s="16"/>
      <c r="M19" s="16"/>
      <c r="N19" s="16"/>
      <c r="O19" s="2"/>
      <c r="P19" s="16"/>
      <c r="Q19" s="16"/>
      <c r="R19" s="2"/>
      <c r="S19" s="2"/>
      <c r="T19" s="2"/>
      <c r="U19" s="2"/>
      <c r="V19" s="2"/>
      <c r="W19" s="2"/>
      <c r="X19" s="2"/>
      <c r="Y19" s="17"/>
    </row>
    <row r="20" spans="1:25" ht="14.25" customHeight="1" x14ac:dyDescent="0.25">
      <c r="A20" s="18" t="s">
        <v>46</v>
      </c>
      <c r="B20" s="18"/>
      <c r="C20" s="19"/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1"/>
      <c r="P20" s="20"/>
      <c r="Q20" s="20"/>
      <c r="R20" s="1"/>
      <c r="S20" s="1"/>
      <c r="T20" s="1"/>
      <c r="U20" s="1"/>
      <c r="V20" s="1"/>
      <c r="W20" s="1"/>
      <c r="X20" s="1"/>
      <c r="Y20" s="21"/>
    </row>
    <row r="21" spans="1:25" ht="14.25" customHeight="1" x14ac:dyDescent="0.25">
      <c r="A21" s="18" t="s">
        <v>47</v>
      </c>
      <c r="B21" s="18"/>
      <c r="C21" s="19"/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1"/>
      <c r="P21" s="20"/>
      <c r="Q21" s="20"/>
      <c r="R21" s="1"/>
      <c r="S21" s="1"/>
      <c r="T21" s="1"/>
      <c r="U21" s="1"/>
      <c r="V21" s="1"/>
      <c r="W21" s="1"/>
      <c r="X21" s="1"/>
      <c r="Y21" s="21"/>
    </row>
    <row r="22" spans="1:25" ht="14.25" customHeight="1" x14ac:dyDescent="0.25">
      <c r="A22" s="18" t="s">
        <v>4</v>
      </c>
      <c r="B22" s="22"/>
      <c r="C22" s="22"/>
      <c r="D22" s="22"/>
      <c r="E22" s="22"/>
      <c r="F22" s="22"/>
      <c r="G22" s="22"/>
      <c r="H22" s="22"/>
      <c r="I22" s="22"/>
      <c r="J22" s="22"/>
      <c r="K22" s="23"/>
      <c r="L22" s="23"/>
      <c r="M22" s="23"/>
      <c r="P22" s="23"/>
      <c r="Y22" s="24" t="s">
        <v>5</v>
      </c>
    </row>
    <row r="23" spans="1:25" ht="7.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</row>
  </sheetData>
  <mergeCells count="14">
    <mergeCell ref="A1:Y1"/>
    <mergeCell ref="A2:Y2"/>
    <mergeCell ref="A3:Y3"/>
    <mergeCell ref="A4:A5"/>
    <mergeCell ref="B4:C4"/>
    <mergeCell ref="E4:F4"/>
    <mergeCell ref="H4:I4"/>
    <mergeCell ref="K4:L4"/>
    <mergeCell ref="N4:O4"/>
    <mergeCell ref="Q4:R4"/>
    <mergeCell ref="S4:T4"/>
    <mergeCell ref="U4:V4"/>
    <mergeCell ref="W4:X4"/>
    <mergeCell ref="Y4:Y5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11.24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2016-09-19T07:46:04Z</cp:lastPrinted>
  <dcterms:created xsi:type="dcterms:W3CDTF">2014-05-22T03:57:11Z</dcterms:created>
  <dcterms:modified xsi:type="dcterms:W3CDTF">2016-09-19T07:46:07Z</dcterms:modified>
</cp:coreProperties>
</file>