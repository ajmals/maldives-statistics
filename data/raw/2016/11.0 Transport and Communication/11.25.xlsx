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 11.25" sheetId="15" r:id="rId1"/>
  </sheets>
  <externalReferences>
    <externalReference r:id="rId2"/>
    <externalReference r:id="rId3"/>
  </externalReferences>
  <definedNames>
    <definedName name="_xlnm.Print_Area" localSheetId="0">' 11.25'!$A$1:$Y$22</definedName>
  </definedNames>
  <calcPr calcId="144525"/>
</workbook>
</file>

<file path=xl/calcChain.xml><?xml version="1.0" encoding="utf-8"?>
<calcChain xmlns="http://schemas.openxmlformats.org/spreadsheetml/2006/main">
  <c r="X7" i="15" l="1"/>
  <c r="W7" i="15"/>
  <c r="V7" i="15"/>
  <c r="U7" i="15"/>
  <c r="T7" i="15"/>
  <c r="S7" i="15"/>
  <c r="R7" i="15"/>
  <c r="Q7" i="15"/>
  <c r="O7" i="15"/>
  <c r="N7" i="15"/>
  <c r="L7" i="15"/>
  <c r="K7" i="15"/>
  <c r="I7" i="15"/>
  <c r="H7" i="15"/>
  <c r="F7" i="15"/>
  <c r="E7" i="15"/>
  <c r="C7" i="15"/>
  <c r="B7" i="15"/>
</calcChain>
</file>

<file path=xl/sharedStrings.xml><?xml version="1.0" encoding="utf-8"?>
<sst xmlns="http://schemas.openxmlformats.org/spreadsheetml/2006/main" count="69" uniqueCount="46">
  <si>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</si>
  <si>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</si>
  <si>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</si>
  <si>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</si>
  <si>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</si>
  <si>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</si>
  <si>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</si>
  <si>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</si>
  <si>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</si>
  <si>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</si>
  <si>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</si>
  <si>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</si>
  <si>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</si>
  <si>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</si>
  <si>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</si>
  <si>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</si>
  <si>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</si>
  <si>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</si>
  <si>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</si>
  <si>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</si>
  <si>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</si>
  <si>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</si>
  <si>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</si>
  <si>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</si>
  <si>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</si>
  <si>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</si>
  <si>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</si>
  <si>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</si>
  <si>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</si>
  <si>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</si>
  <si>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</si>
  <si>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</si>
  <si>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</si>
  <si>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</si>
  <si>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</si>
  <si>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</si>
  <si>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</si>
  <si>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</si>
  <si>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</si>
  <si>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>-</t>
  </si>
  <si>
    <t xml:space="preserve"> ( in kg )</t>
  </si>
  <si>
    <t>3_/ Raa Ifuru   started flight operations during the month of May 2015</t>
  </si>
  <si>
    <t>ތާވަލު 11.25: މަސްމަހުގެ ގޮތުން ރާއްޖޭގެ ވައިގެބަނދަރުތަކުގައި އުފުލުނު މެއިލް، 2015</t>
  </si>
  <si>
    <t>Table 11.25:  MAIL HANDLED AT DOMESTIC AIRPORTS BY MONTH, 2015</t>
  </si>
  <si>
    <t xml:space="preserve">THa. Thimarafushi </t>
  </si>
  <si>
    <r>
      <t xml:space="preserve">Raa Ifutu  </t>
    </r>
    <r>
      <rPr>
        <b/>
        <vertAlign val="superscript"/>
        <sz val="9"/>
        <rFont val="Calibri"/>
        <family val="2"/>
        <scheme val="minor"/>
      </rPr>
      <t xml:space="preserve">3_/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</si>
</sst>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5" fillId="0" borderId="0"/>
    <xf numFmtId="0" fontId="18" fillId="0" borderId="0"/>
  </cellStyleXfs>
  <cellXfs count="56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right" vertical="center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0" fontId="17" fillId="2" borderId="1" xfId="14" applyFont="1" applyFill="1" applyBorder="1" applyAlignment="1">
      <alignment horizontal="right"/>
    </xf>
    <xf numFmtId="0" fontId="17" fillId="2" borderId="4" xfId="14" applyFont="1" applyFill="1" applyBorder="1" applyAlignment="1">
      <alignment horizontal="right"/>
    </xf>
    <xf numFmtId="0" fontId="10" fillId="2" borderId="3" xfId="0" applyNumberFormat="1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4" xfId="5" applyNumberFormat="1" applyFont="1" applyFill="1" applyBorder="1" applyAlignment="1">
      <alignment horizontal="right" vertical="center"/>
    </xf>
    <xf numFmtId="38" fontId="2" fillId="2" borderId="3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37" fontId="3" fillId="2" borderId="3" xfId="5" applyNumberFormat="1" applyFont="1" applyFill="1" applyBorder="1" applyAlignment="1" applyProtection="1">
      <alignment vertical="center"/>
    </xf>
    <xf numFmtId="0" fontId="13" fillId="2" borderId="3" xfId="13" applyFont="1" applyFill="1" applyBorder="1" applyAlignment="1">
      <alignment vertical="center"/>
    </xf>
    <xf numFmtId="164" fontId="8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3" fillId="2" borderId="1" xfId="13" applyFont="1" applyFill="1" applyBorder="1" applyAlignment="1">
      <alignment vertical="center"/>
    </xf>
    <xf numFmtId="164" fontId="20" fillId="2" borderId="1" xfId="0" applyNumberFormat="1" applyFont="1" applyFill="1" applyBorder="1" applyAlignment="1">
      <alignment vertical="center"/>
    </xf>
    <xf numFmtId="164" fontId="2" fillId="2" borderId="14" xfId="5" applyNumberFormat="1" applyFont="1" applyFill="1" applyBorder="1" applyAlignment="1">
      <alignment horizontal="right" vertical="center" indent="1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0" fillId="2" borderId="3" xfId="0" applyNumberFormat="1" applyFill="1" applyBorder="1"/>
    <xf numFmtId="164" fontId="11" fillId="2" borderId="1" xfId="5" applyNumberFormat="1" applyFont="1" applyFill="1" applyBorder="1"/>
    <xf numFmtId="164" fontId="2" fillId="2" borderId="16" xfId="5" applyNumberFormat="1" applyFont="1" applyFill="1" applyBorder="1" applyAlignment="1">
      <alignment horizontal="center" vertical="center" wrapText="1"/>
    </xf>
    <xf numFmtId="38" fontId="2" fillId="2" borderId="8" xfId="6" applyNumberFormat="1" applyFont="1" applyFill="1" applyBorder="1" applyAlignment="1">
      <alignment horizontal="right" vertical="center"/>
    </xf>
    <xf numFmtId="38" fontId="3" fillId="2" borderId="7" xfId="6" applyNumberFormat="1" applyFont="1" applyFill="1" applyBorder="1" applyAlignment="1">
      <alignment horizontal="right" vertical="center"/>
    </xf>
    <xf numFmtId="38" fontId="3" fillId="2" borderId="10" xfId="6" applyNumberFormat="1" applyFont="1" applyFill="1" applyBorder="1" applyAlignment="1">
      <alignment horizontal="right" vertical="center"/>
    </xf>
    <xf numFmtId="164" fontId="2" fillId="2" borderId="11" xfId="5" applyNumberFormat="1" applyFont="1" applyFill="1" applyBorder="1" applyAlignment="1">
      <alignment horizontal="center" vertical="center" wrapText="1"/>
    </xf>
    <xf numFmtId="38" fontId="2" fillId="2" borderId="13" xfId="6" applyNumberFormat="1" applyFont="1" applyFill="1" applyBorder="1" applyAlignment="1">
      <alignment horizontal="right" vertical="center"/>
    </xf>
    <xf numFmtId="38" fontId="3" fillId="2" borderId="5" xfId="6" applyNumberFormat="1" applyFont="1" applyFill="1" applyBorder="1" applyAlignment="1">
      <alignment horizontal="right" vertical="center"/>
    </xf>
    <xf numFmtId="38" fontId="3" fillId="2" borderId="12" xfId="6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right" vertical="center"/>
    </xf>
    <xf numFmtId="38" fontId="2" fillId="2" borderId="22" xfId="6" applyNumberFormat="1" applyFont="1" applyFill="1" applyBorder="1" applyAlignment="1">
      <alignment horizontal="right" vertical="center"/>
    </xf>
    <xf numFmtId="38" fontId="2" fillId="2" borderId="23" xfId="6" applyNumberFormat="1" applyFont="1" applyFill="1" applyBorder="1" applyAlignment="1">
      <alignment horizontal="right" vertical="center"/>
    </xf>
    <xf numFmtId="38" fontId="3" fillId="2" borderId="24" xfId="6" applyNumberFormat="1" applyFont="1" applyFill="1" applyBorder="1" applyAlignment="1">
      <alignment horizontal="right" vertical="center"/>
    </xf>
    <xf numFmtId="38" fontId="3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38" fontId="3" fillId="2" borderId="27" xfId="6" applyNumberFormat="1" applyFont="1" applyFill="1" applyBorder="1" applyAlignment="1">
      <alignment horizontal="right" vertical="center"/>
    </xf>
    <xf numFmtId="164" fontId="2" fillId="2" borderId="17" xfId="5" applyNumberFormat="1" applyFont="1" applyFill="1" applyBorder="1" applyAlignment="1">
      <alignment horizontal="right" vertical="center" indent="1"/>
    </xf>
    <xf numFmtId="164" fontId="2" fillId="2" borderId="21" xfId="5" applyNumberFormat="1" applyFont="1" applyFill="1" applyBorder="1" applyAlignment="1">
      <alignment horizontal="right" vertical="center" indent="1"/>
    </xf>
    <xf numFmtId="164" fontId="2" fillId="2" borderId="15" xfId="5" applyNumberFormat="1" applyFont="1" applyFill="1" applyBorder="1" applyAlignment="1">
      <alignment horizontal="right" vertical="center" indent="1"/>
    </xf>
    <xf numFmtId="164" fontId="2" fillId="2" borderId="20" xfId="5" applyNumberFormat="1" applyFont="1" applyFill="1" applyBorder="1" applyAlignment="1">
      <alignment horizontal="right" vertical="center" indent="1"/>
    </xf>
    <xf numFmtId="0" fontId="16" fillId="2" borderId="6" xfId="14" applyFont="1" applyFill="1" applyBorder="1" applyAlignment="1">
      <alignment horizontal="right" vertical="center"/>
    </xf>
    <xf numFmtId="0" fontId="16" fillId="2" borderId="4" xfId="14" applyFont="1" applyFill="1" applyBorder="1" applyAlignment="1">
      <alignment horizontal="right" vertical="center"/>
    </xf>
    <xf numFmtId="164" fontId="6" fillId="2" borderId="2" xfId="5" applyNumberFormat="1" applyFont="1" applyFill="1" applyBorder="1" applyAlignment="1">
      <alignment horizontal="center" vertical="center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6" xfId="5" applyNumberFormat="1" applyFont="1" applyFill="1" applyBorder="1" applyAlignment="1">
      <alignment horizontal="left" vertical="center"/>
    </xf>
    <xf numFmtId="164" fontId="2" fillId="2" borderId="4" xfId="5" applyNumberFormat="1" applyFont="1" applyFill="1" applyBorder="1" applyAlignment="1">
      <alignment horizontal="left" vertical="center"/>
    </xf>
    <xf numFmtId="164" fontId="2" fillId="2" borderId="9" xfId="5" applyNumberFormat="1" applyFont="1" applyFill="1" applyBorder="1" applyAlignment="1">
      <alignment horizontal="center" vertical="center" wrapText="1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19" xfId="5" applyNumberFormat="1" applyFont="1" applyFill="1" applyBorder="1" applyAlignment="1">
      <alignment horizontal="center" vertical="center" wrapText="1"/>
    </xf>
    <xf numFmtId="164" fontId="2" fillId="2" borderId="11" xfId="5" applyNumberFormat="1" applyFont="1" applyFill="1" applyBorder="1" applyAlignment="1">
      <alignment horizontal="center" vertical="center" wrapText="1"/>
    </xf>
    <xf numFmtId="164" fontId="2" fillId="2" borderId="16" xfId="5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2"/>
  <sheetViews>
    <sheetView tabSelected="1" zoomScaleNormal="100" workbookViewId="0">
      <selection activeCell="I28" sqref="I28"/>
    </sheetView>
  </sheetViews>
  <sheetFormatPr defaultColWidth="9.140625" defaultRowHeight="15" x14ac:dyDescent="0.25"/>
  <cols>
    <col min="1" max="1" width="9.140625" style="9"/>
    <col min="2" max="3" width="11.5703125" style="9" customWidth="1"/>
    <col min="4" max="4" width="1.42578125" style="9" customWidth="1"/>
    <col min="5" max="6" width="11.5703125" style="9" customWidth="1"/>
    <col min="7" max="7" width="1.28515625" style="9" customWidth="1"/>
    <col min="8" max="8" width="11.5703125" style="9" customWidth="1"/>
    <col min="9" max="9" width="9.42578125" style="9" customWidth="1"/>
    <col min="10" max="10" width="1.140625" style="9" customWidth="1"/>
    <col min="11" max="11" width="9.42578125" style="9" bestFit="1" customWidth="1"/>
    <col min="12" max="12" width="9.5703125" style="9" customWidth="1"/>
    <col min="13" max="13" width="1.140625" style="9" customWidth="1"/>
    <col min="14" max="15" width="9.28515625" style="9" bestFit="1" customWidth="1"/>
    <col min="16" max="16" width="1.140625" style="9" customWidth="1"/>
    <col min="17" max="18" width="9.28515625" style="9" bestFit="1" customWidth="1"/>
    <col min="19" max="24" width="9.28515625" style="9" customWidth="1"/>
    <col min="25" max="25" width="19.7109375" style="9" customWidth="1"/>
    <col min="26" max="16384" width="9.140625" style="9"/>
  </cols>
  <sheetData>
    <row r="1" spans="1:25" ht="6" customHeight="1" x14ac:dyDescent="0.25"/>
    <row r="2" spans="1:25" ht="18" customHeight="1" x14ac:dyDescent="0.25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 ht="19.5" customHeight="1" x14ac:dyDescent="0.25">
      <c r="A3" s="46" t="s">
        <v>43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 x14ac:dyDescent="0.25">
      <c r="A4" s="47" t="s">
        <v>40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 ht="16.5" customHeight="1" x14ac:dyDescent="0.25">
      <c r="A5" s="48" t="s">
        <v>6</v>
      </c>
      <c r="B5" s="50" t="s">
        <v>32</v>
      </c>
      <c r="C5" s="52"/>
      <c r="D5" s="29"/>
      <c r="E5" s="50" t="s">
        <v>33</v>
      </c>
      <c r="F5" s="50"/>
      <c r="G5" s="25"/>
      <c r="H5" s="51" t="s">
        <v>34</v>
      </c>
      <c r="I5" s="52"/>
      <c r="J5" s="29"/>
      <c r="K5" s="50" t="s">
        <v>35</v>
      </c>
      <c r="L5" s="50"/>
      <c r="M5" s="25"/>
      <c r="N5" s="51" t="s">
        <v>36</v>
      </c>
      <c r="O5" s="52"/>
      <c r="P5" s="29"/>
      <c r="Q5" s="50" t="s">
        <v>37</v>
      </c>
      <c r="R5" s="54"/>
      <c r="S5" s="51" t="s">
        <v>38</v>
      </c>
      <c r="T5" s="52"/>
      <c r="U5" s="53" t="s">
        <v>44</v>
      </c>
      <c r="V5" s="54"/>
      <c r="W5" s="51" t="s">
        <v>45</v>
      </c>
      <c r="X5" s="50"/>
      <c r="Y5" s="44" t="s">
        <v>7</v>
      </c>
    </row>
    <row r="6" spans="1:25" ht="16.5" customHeight="1" x14ac:dyDescent="0.25">
      <c r="A6" s="49"/>
      <c r="B6" s="21" t="s">
        <v>2</v>
      </c>
      <c r="C6" s="41" t="s">
        <v>3</v>
      </c>
      <c r="D6" s="40"/>
      <c r="E6" s="21" t="s">
        <v>2</v>
      </c>
      <c r="F6" s="21" t="s">
        <v>3</v>
      </c>
      <c r="G6" s="42"/>
      <c r="H6" s="43" t="s">
        <v>2</v>
      </c>
      <c r="I6" s="41" t="s">
        <v>3</v>
      </c>
      <c r="J6" s="40"/>
      <c r="K6" s="21" t="s">
        <v>2</v>
      </c>
      <c r="L6" s="21" t="s">
        <v>3</v>
      </c>
      <c r="M6" s="42"/>
      <c r="N6" s="43" t="s">
        <v>2</v>
      </c>
      <c r="O6" s="41" t="s">
        <v>3</v>
      </c>
      <c r="P6" s="40"/>
      <c r="Q6" s="21" t="s">
        <v>2</v>
      </c>
      <c r="R6" s="42" t="s">
        <v>3</v>
      </c>
      <c r="S6" s="43" t="s">
        <v>2</v>
      </c>
      <c r="T6" s="41" t="s">
        <v>3</v>
      </c>
      <c r="U6" s="40" t="s">
        <v>2</v>
      </c>
      <c r="V6" s="42" t="s">
        <v>3</v>
      </c>
      <c r="W6" s="33" t="s">
        <v>2</v>
      </c>
      <c r="X6" s="10" t="s">
        <v>3</v>
      </c>
      <c r="Y6" s="45"/>
    </row>
    <row r="7" spans="1:25" ht="23.25" customHeight="1" x14ac:dyDescent="0.4">
      <c r="A7" s="4" t="s">
        <v>1</v>
      </c>
      <c r="B7" s="11">
        <f>SUM(B8:B19)</f>
        <v>3123.56</v>
      </c>
      <c r="C7" s="35">
        <f>SUM(C8:C19)</f>
        <v>367.7</v>
      </c>
      <c r="D7" s="30"/>
      <c r="E7" s="11">
        <f>SUM(E8:E19)</f>
        <v>3492.96</v>
      </c>
      <c r="F7" s="11">
        <f>SUM(F8:F19)</f>
        <v>2270.6</v>
      </c>
      <c r="G7" s="26"/>
      <c r="H7" s="34">
        <f>SUM(H8:H19)</f>
        <v>4023</v>
      </c>
      <c r="I7" s="35">
        <f>SUM(I8:I19)</f>
        <v>1157.8000000000002</v>
      </c>
      <c r="J7" s="30"/>
      <c r="K7" s="11">
        <f>SUM(K8:K19)</f>
        <v>3779.6</v>
      </c>
      <c r="L7" s="11">
        <f>SUM(L8:L19)</f>
        <v>505.5</v>
      </c>
      <c r="M7" s="26"/>
      <c r="N7" s="34">
        <f>SUM(N8:N19)</f>
        <v>0</v>
      </c>
      <c r="O7" s="35">
        <f>SUM(O8:O19)</f>
        <v>0</v>
      </c>
      <c r="P7" s="30"/>
      <c r="Q7" s="11">
        <f t="shared" ref="Q7:X7" si="0">SUM(Q8:Q19)</f>
        <v>0</v>
      </c>
      <c r="R7" s="26">
        <f t="shared" si="0"/>
        <v>4</v>
      </c>
      <c r="S7" s="34">
        <f t="shared" si="0"/>
        <v>0</v>
      </c>
      <c r="T7" s="35">
        <f t="shared" si="0"/>
        <v>0</v>
      </c>
      <c r="U7" s="30">
        <f t="shared" si="0"/>
        <v>0</v>
      </c>
      <c r="V7" s="26">
        <f t="shared" si="0"/>
        <v>0</v>
      </c>
      <c r="W7" s="34">
        <f>SUM(W8:W19)</f>
        <v>0</v>
      </c>
      <c r="X7" s="11">
        <f t="shared" si="0"/>
        <v>0</v>
      </c>
      <c r="Y7" s="8" t="s">
        <v>0</v>
      </c>
    </row>
    <row r="8" spans="1:25" ht="23.25" customHeight="1" x14ac:dyDescent="0.4">
      <c r="A8" s="3" t="s">
        <v>8</v>
      </c>
      <c r="B8" s="12">
        <v>149</v>
      </c>
      <c r="C8" s="37">
        <v>15</v>
      </c>
      <c r="D8" s="31"/>
      <c r="E8" s="12">
        <v>76</v>
      </c>
      <c r="F8" s="12">
        <v>30</v>
      </c>
      <c r="G8" s="27"/>
      <c r="H8" s="36">
        <v>387</v>
      </c>
      <c r="I8" s="37">
        <v>300</v>
      </c>
      <c r="J8" s="31"/>
      <c r="K8" s="12">
        <v>236</v>
      </c>
      <c r="L8" s="12">
        <v>28</v>
      </c>
      <c r="M8" s="27"/>
      <c r="N8" s="36">
        <v>0</v>
      </c>
      <c r="O8" s="37">
        <v>0</v>
      </c>
      <c r="P8" s="31"/>
      <c r="Q8" s="12">
        <v>0</v>
      </c>
      <c r="R8" s="27">
        <v>0</v>
      </c>
      <c r="S8" s="36">
        <v>0</v>
      </c>
      <c r="T8" s="37">
        <v>0</v>
      </c>
      <c r="U8" s="31">
        <v>0</v>
      </c>
      <c r="V8" s="27">
        <v>0</v>
      </c>
      <c r="W8" s="36" t="s">
        <v>39</v>
      </c>
      <c r="X8" s="12" t="s">
        <v>39</v>
      </c>
      <c r="Y8" s="5" t="s">
        <v>9</v>
      </c>
    </row>
    <row r="9" spans="1:25" ht="23.25" customHeight="1" x14ac:dyDescent="0.4">
      <c r="A9" s="3" t="s">
        <v>10</v>
      </c>
      <c r="B9" s="12">
        <v>304.39999999999998</v>
      </c>
      <c r="C9" s="37">
        <v>4</v>
      </c>
      <c r="D9" s="31"/>
      <c r="E9" s="12">
        <v>228</v>
      </c>
      <c r="F9" s="12">
        <v>28.2</v>
      </c>
      <c r="G9" s="27"/>
      <c r="H9" s="36">
        <v>518</v>
      </c>
      <c r="I9" s="37">
        <v>54</v>
      </c>
      <c r="J9" s="31"/>
      <c r="K9" s="12">
        <v>270</v>
      </c>
      <c r="L9" s="12">
        <v>41</v>
      </c>
      <c r="M9" s="27"/>
      <c r="N9" s="36">
        <v>0</v>
      </c>
      <c r="O9" s="37">
        <v>0</v>
      </c>
      <c r="P9" s="31"/>
      <c r="Q9" s="12">
        <v>0</v>
      </c>
      <c r="R9" s="27">
        <v>0</v>
      </c>
      <c r="S9" s="36">
        <v>0</v>
      </c>
      <c r="T9" s="37">
        <v>0</v>
      </c>
      <c r="U9" s="31">
        <v>0</v>
      </c>
      <c r="V9" s="27">
        <v>0</v>
      </c>
      <c r="W9" s="36" t="s">
        <v>39</v>
      </c>
      <c r="X9" s="12" t="s">
        <v>39</v>
      </c>
      <c r="Y9" s="5" t="s">
        <v>11</v>
      </c>
    </row>
    <row r="10" spans="1:25" ht="23.25" customHeight="1" x14ac:dyDescent="0.4">
      <c r="A10" s="3" t="s">
        <v>12</v>
      </c>
      <c r="B10" s="12">
        <v>227</v>
      </c>
      <c r="C10" s="37">
        <v>34</v>
      </c>
      <c r="D10" s="31"/>
      <c r="E10" s="12">
        <v>98</v>
      </c>
      <c r="F10" s="12">
        <v>639</v>
      </c>
      <c r="G10" s="27"/>
      <c r="H10" s="36">
        <v>232</v>
      </c>
      <c r="I10" s="37">
        <v>85</v>
      </c>
      <c r="J10" s="31"/>
      <c r="K10" s="12">
        <v>166.6</v>
      </c>
      <c r="L10" s="12">
        <v>36</v>
      </c>
      <c r="M10" s="27"/>
      <c r="N10" s="36">
        <v>0</v>
      </c>
      <c r="O10" s="37">
        <v>0</v>
      </c>
      <c r="P10" s="31"/>
      <c r="Q10" s="12">
        <v>0</v>
      </c>
      <c r="R10" s="27">
        <v>4</v>
      </c>
      <c r="S10" s="36">
        <v>0</v>
      </c>
      <c r="T10" s="37">
        <v>0</v>
      </c>
      <c r="U10" s="31">
        <v>0</v>
      </c>
      <c r="V10" s="27">
        <v>0</v>
      </c>
      <c r="W10" s="36" t="s">
        <v>39</v>
      </c>
      <c r="X10" s="12" t="s">
        <v>39</v>
      </c>
      <c r="Y10" s="5" t="s">
        <v>13</v>
      </c>
    </row>
    <row r="11" spans="1:25" ht="23.25" customHeight="1" x14ac:dyDescent="0.4">
      <c r="A11" s="3" t="s">
        <v>14</v>
      </c>
      <c r="B11" s="12">
        <v>207</v>
      </c>
      <c r="C11" s="37">
        <v>10</v>
      </c>
      <c r="D11" s="31"/>
      <c r="E11" s="12">
        <v>747.96</v>
      </c>
      <c r="F11" s="12">
        <v>51</v>
      </c>
      <c r="G11" s="27"/>
      <c r="H11" s="36">
        <v>196</v>
      </c>
      <c r="I11" s="37">
        <v>156</v>
      </c>
      <c r="J11" s="31"/>
      <c r="K11" s="12">
        <v>175</v>
      </c>
      <c r="L11" s="12">
        <v>95.5</v>
      </c>
      <c r="M11" s="27"/>
      <c r="N11" s="36">
        <v>0</v>
      </c>
      <c r="O11" s="37">
        <v>0</v>
      </c>
      <c r="P11" s="31"/>
      <c r="Q11" s="12">
        <v>0</v>
      </c>
      <c r="R11" s="27">
        <v>0</v>
      </c>
      <c r="S11" s="36">
        <v>0</v>
      </c>
      <c r="T11" s="37">
        <v>0</v>
      </c>
      <c r="U11" s="31">
        <v>0</v>
      </c>
      <c r="V11" s="27">
        <v>0</v>
      </c>
      <c r="W11" s="36" t="s">
        <v>39</v>
      </c>
      <c r="X11" s="12" t="s">
        <v>39</v>
      </c>
      <c r="Y11" s="5" t="s">
        <v>15</v>
      </c>
    </row>
    <row r="12" spans="1:25" ht="23.25" customHeight="1" x14ac:dyDescent="0.4">
      <c r="A12" s="3" t="s">
        <v>16</v>
      </c>
      <c r="B12" s="12">
        <v>239.6</v>
      </c>
      <c r="C12" s="37">
        <v>48.7</v>
      </c>
      <c r="D12" s="31"/>
      <c r="E12" s="12">
        <v>272</v>
      </c>
      <c r="F12" s="12">
        <v>18.899999999999999</v>
      </c>
      <c r="G12" s="27"/>
      <c r="H12" s="36">
        <v>141</v>
      </c>
      <c r="I12" s="37">
        <v>96</v>
      </c>
      <c r="J12" s="31"/>
      <c r="K12" s="12">
        <v>317</v>
      </c>
      <c r="L12" s="12">
        <v>78</v>
      </c>
      <c r="M12" s="27"/>
      <c r="N12" s="36">
        <v>0</v>
      </c>
      <c r="O12" s="37">
        <v>0</v>
      </c>
      <c r="P12" s="31"/>
      <c r="Q12" s="12">
        <v>0</v>
      </c>
      <c r="R12" s="27">
        <v>0</v>
      </c>
      <c r="S12" s="36">
        <v>0</v>
      </c>
      <c r="T12" s="37">
        <v>0</v>
      </c>
      <c r="U12" s="31">
        <v>0</v>
      </c>
      <c r="V12" s="27">
        <v>0</v>
      </c>
      <c r="W12" s="36">
        <v>0</v>
      </c>
      <c r="X12" s="12">
        <v>0</v>
      </c>
      <c r="Y12" s="5" t="s">
        <v>17</v>
      </c>
    </row>
    <row r="13" spans="1:25" ht="23.25" customHeight="1" x14ac:dyDescent="0.4">
      <c r="A13" s="3" t="s">
        <v>18</v>
      </c>
      <c r="B13" s="12">
        <v>238.7</v>
      </c>
      <c r="C13" s="37">
        <v>73</v>
      </c>
      <c r="D13" s="31"/>
      <c r="E13" s="12">
        <v>101</v>
      </c>
      <c r="F13" s="12">
        <v>107</v>
      </c>
      <c r="G13" s="27"/>
      <c r="H13" s="36">
        <v>225</v>
      </c>
      <c r="I13" s="37">
        <v>64</v>
      </c>
      <c r="J13" s="31"/>
      <c r="K13" s="12">
        <v>321</v>
      </c>
      <c r="L13" s="12">
        <v>17</v>
      </c>
      <c r="M13" s="27"/>
      <c r="N13" s="36">
        <v>0</v>
      </c>
      <c r="O13" s="37">
        <v>0</v>
      </c>
      <c r="P13" s="31"/>
      <c r="Q13" s="12">
        <v>0</v>
      </c>
      <c r="R13" s="27">
        <v>0</v>
      </c>
      <c r="S13" s="36">
        <v>0</v>
      </c>
      <c r="T13" s="37">
        <v>0</v>
      </c>
      <c r="U13" s="31">
        <v>0</v>
      </c>
      <c r="V13" s="27">
        <v>0</v>
      </c>
      <c r="W13" s="36">
        <v>0</v>
      </c>
      <c r="X13" s="12">
        <v>0</v>
      </c>
      <c r="Y13" s="5" t="s">
        <v>19</v>
      </c>
    </row>
    <row r="14" spans="1:25" ht="23.25" customHeight="1" x14ac:dyDescent="0.4">
      <c r="A14" s="3" t="s">
        <v>20</v>
      </c>
      <c r="B14" s="12">
        <v>212</v>
      </c>
      <c r="C14" s="37">
        <v>25.5</v>
      </c>
      <c r="D14" s="31"/>
      <c r="E14" s="12">
        <v>163</v>
      </c>
      <c r="F14" s="12">
        <v>786</v>
      </c>
      <c r="G14" s="27"/>
      <c r="H14" s="36">
        <v>436</v>
      </c>
      <c r="I14" s="37">
        <v>64.900000000000006</v>
      </c>
      <c r="J14" s="31"/>
      <c r="K14" s="12">
        <v>309</v>
      </c>
      <c r="L14" s="12">
        <v>24</v>
      </c>
      <c r="M14" s="27"/>
      <c r="N14" s="36">
        <v>0</v>
      </c>
      <c r="O14" s="37">
        <v>0</v>
      </c>
      <c r="P14" s="31"/>
      <c r="Q14" s="12">
        <v>0</v>
      </c>
      <c r="R14" s="27">
        <v>0</v>
      </c>
      <c r="S14" s="36">
        <v>0</v>
      </c>
      <c r="T14" s="37">
        <v>0</v>
      </c>
      <c r="U14" s="31">
        <v>0</v>
      </c>
      <c r="V14" s="27">
        <v>0</v>
      </c>
      <c r="W14" s="36">
        <v>0</v>
      </c>
      <c r="X14" s="12">
        <v>0</v>
      </c>
      <c r="Y14" s="5" t="s">
        <v>21</v>
      </c>
    </row>
    <row r="15" spans="1:25" ht="23.25" customHeight="1" x14ac:dyDescent="0.4">
      <c r="A15" s="3" t="s">
        <v>22</v>
      </c>
      <c r="B15" s="12">
        <v>195</v>
      </c>
      <c r="C15" s="37">
        <v>55</v>
      </c>
      <c r="D15" s="31"/>
      <c r="E15" s="12">
        <v>220</v>
      </c>
      <c r="F15" s="12">
        <v>153.4</v>
      </c>
      <c r="G15" s="27"/>
      <c r="H15" s="36">
        <v>503</v>
      </c>
      <c r="I15" s="37">
        <v>71.599999999999994</v>
      </c>
      <c r="J15" s="31"/>
      <c r="K15" s="12">
        <v>422</v>
      </c>
      <c r="L15" s="12">
        <v>58</v>
      </c>
      <c r="M15" s="27"/>
      <c r="N15" s="36">
        <v>0</v>
      </c>
      <c r="O15" s="37">
        <v>0</v>
      </c>
      <c r="P15" s="31"/>
      <c r="Q15" s="12">
        <v>0</v>
      </c>
      <c r="R15" s="27">
        <v>0</v>
      </c>
      <c r="S15" s="36">
        <v>0</v>
      </c>
      <c r="T15" s="37">
        <v>0</v>
      </c>
      <c r="U15" s="31">
        <v>0</v>
      </c>
      <c r="V15" s="27">
        <v>0</v>
      </c>
      <c r="W15" s="36">
        <v>0</v>
      </c>
      <c r="X15" s="12">
        <v>0</v>
      </c>
      <c r="Y15" s="5" t="s">
        <v>23</v>
      </c>
    </row>
    <row r="16" spans="1:25" ht="23.25" customHeight="1" x14ac:dyDescent="0.4">
      <c r="A16" s="3" t="s">
        <v>24</v>
      </c>
      <c r="B16" s="12">
        <v>258</v>
      </c>
      <c r="C16" s="37">
        <v>1</v>
      </c>
      <c r="D16" s="31"/>
      <c r="E16" s="12">
        <v>137</v>
      </c>
      <c r="F16" s="12">
        <v>185</v>
      </c>
      <c r="G16" s="27"/>
      <c r="H16" s="36">
        <v>405</v>
      </c>
      <c r="I16" s="37">
        <v>56.4</v>
      </c>
      <c r="J16" s="31"/>
      <c r="K16" s="12">
        <v>426</v>
      </c>
      <c r="L16" s="12">
        <v>21</v>
      </c>
      <c r="M16" s="27"/>
      <c r="N16" s="36">
        <v>0</v>
      </c>
      <c r="O16" s="37">
        <v>0</v>
      </c>
      <c r="P16" s="31"/>
      <c r="Q16" s="12">
        <v>0</v>
      </c>
      <c r="R16" s="27">
        <v>0</v>
      </c>
      <c r="S16" s="36">
        <v>0</v>
      </c>
      <c r="T16" s="37">
        <v>0</v>
      </c>
      <c r="U16" s="31">
        <v>0</v>
      </c>
      <c r="V16" s="27">
        <v>0</v>
      </c>
      <c r="W16" s="36">
        <v>0</v>
      </c>
      <c r="X16" s="12">
        <v>0</v>
      </c>
      <c r="Y16" s="5" t="s">
        <v>25</v>
      </c>
    </row>
    <row r="17" spans="1:25" ht="23.25" customHeight="1" x14ac:dyDescent="0.4">
      <c r="A17" s="3" t="s">
        <v>26</v>
      </c>
      <c r="B17" s="12">
        <v>349.2</v>
      </c>
      <c r="C17" s="37">
        <v>46.5</v>
      </c>
      <c r="D17" s="31"/>
      <c r="E17" s="12">
        <v>222</v>
      </c>
      <c r="F17" s="12">
        <v>140.6</v>
      </c>
      <c r="G17" s="27"/>
      <c r="H17" s="36">
        <v>222</v>
      </c>
      <c r="I17" s="37">
        <v>84</v>
      </c>
      <c r="J17" s="31"/>
      <c r="K17" s="12">
        <v>466</v>
      </c>
      <c r="L17" s="12">
        <v>45</v>
      </c>
      <c r="M17" s="27"/>
      <c r="N17" s="36">
        <v>0</v>
      </c>
      <c r="O17" s="37">
        <v>0</v>
      </c>
      <c r="P17" s="31"/>
      <c r="Q17" s="12">
        <v>0</v>
      </c>
      <c r="R17" s="27">
        <v>0</v>
      </c>
      <c r="S17" s="36">
        <v>0</v>
      </c>
      <c r="T17" s="37">
        <v>0</v>
      </c>
      <c r="U17" s="31">
        <v>0</v>
      </c>
      <c r="V17" s="27">
        <v>0</v>
      </c>
      <c r="W17" s="36">
        <v>0</v>
      </c>
      <c r="X17" s="12">
        <v>0</v>
      </c>
      <c r="Y17" s="5" t="s">
        <v>27</v>
      </c>
    </row>
    <row r="18" spans="1:25" ht="23.25" customHeight="1" x14ac:dyDescent="0.4">
      <c r="A18" s="3" t="s">
        <v>28</v>
      </c>
      <c r="B18" s="12">
        <v>350.66</v>
      </c>
      <c r="C18" s="37">
        <v>38</v>
      </c>
      <c r="D18" s="31"/>
      <c r="E18" s="12">
        <v>900</v>
      </c>
      <c r="F18" s="12">
        <v>23.5</v>
      </c>
      <c r="G18" s="27"/>
      <c r="H18" s="36">
        <v>142</v>
      </c>
      <c r="I18" s="37">
        <v>46</v>
      </c>
      <c r="J18" s="31"/>
      <c r="K18" s="12">
        <v>336</v>
      </c>
      <c r="L18" s="12">
        <v>34</v>
      </c>
      <c r="M18" s="27"/>
      <c r="N18" s="36">
        <v>0</v>
      </c>
      <c r="O18" s="37">
        <v>0</v>
      </c>
      <c r="P18" s="31"/>
      <c r="Q18" s="12">
        <v>0</v>
      </c>
      <c r="R18" s="27">
        <v>0</v>
      </c>
      <c r="S18" s="36">
        <v>0</v>
      </c>
      <c r="T18" s="37">
        <v>0</v>
      </c>
      <c r="U18" s="31">
        <v>0</v>
      </c>
      <c r="V18" s="27">
        <v>0</v>
      </c>
      <c r="W18" s="36">
        <v>0</v>
      </c>
      <c r="X18" s="12">
        <v>0</v>
      </c>
      <c r="Y18" s="5" t="s">
        <v>29</v>
      </c>
    </row>
    <row r="19" spans="1:25" ht="23.25" customHeight="1" x14ac:dyDescent="0.4">
      <c r="A19" s="22" t="s">
        <v>30</v>
      </c>
      <c r="B19" s="13">
        <v>393</v>
      </c>
      <c r="C19" s="39">
        <v>17</v>
      </c>
      <c r="D19" s="32"/>
      <c r="E19" s="13">
        <v>328</v>
      </c>
      <c r="F19" s="13">
        <v>108</v>
      </c>
      <c r="G19" s="28"/>
      <c r="H19" s="38">
        <v>616</v>
      </c>
      <c r="I19" s="39">
        <v>79.900000000000006</v>
      </c>
      <c r="J19" s="32"/>
      <c r="K19" s="13">
        <v>335</v>
      </c>
      <c r="L19" s="13">
        <v>28</v>
      </c>
      <c r="M19" s="28"/>
      <c r="N19" s="38">
        <v>0</v>
      </c>
      <c r="O19" s="39">
        <v>0</v>
      </c>
      <c r="P19" s="32"/>
      <c r="Q19" s="13">
        <v>0</v>
      </c>
      <c r="R19" s="28">
        <v>0</v>
      </c>
      <c r="S19" s="38">
        <v>0</v>
      </c>
      <c r="T19" s="39">
        <v>0</v>
      </c>
      <c r="U19" s="32">
        <v>0</v>
      </c>
      <c r="V19" s="28">
        <v>0</v>
      </c>
      <c r="W19" s="38">
        <v>0</v>
      </c>
      <c r="X19" s="13">
        <v>0</v>
      </c>
      <c r="Y19" s="6" t="s">
        <v>31</v>
      </c>
    </row>
    <row r="20" spans="1:25" ht="14.25" customHeight="1" x14ac:dyDescent="0.25">
      <c r="A20" s="17" t="s">
        <v>41</v>
      </c>
      <c r="B20" s="17"/>
      <c r="C20" s="18"/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"/>
      <c r="P20" s="19"/>
      <c r="Q20" s="19"/>
      <c r="R20" s="1"/>
      <c r="S20" s="1"/>
      <c r="T20" s="1"/>
      <c r="U20" s="1"/>
      <c r="V20" s="1"/>
      <c r="W20" s="1"/>
      <c r="X20" s="1"/>
      <c r="Y20" s="20"/>
    </row>
    <row r="21" spans="1:25" ht="18" customHeight="1" x14ac:dyDescent="0.25">
      <c r="A21" s="14" t="s">
        <v>4</v>
      </c>
      <c r="B21" s="14"/>
      <c r="C21" s="15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23"/>
      <c r="O21" s="2"/>
      <c r="P21" s="16"/>
      <c r="Q21" s="23"/>
      <c r="R21" s="2"/>
      <c r="S21" s="2"/>
      <c r="T21" s="2"/>
      <c r="U21" s="2"/>
      <c r="V21" s="2"/>
      <c r="W21" s="2"/>
      <c r="X21" s="2"/>
      <c r="Y21" s="7" t="s">
        <v>5</v>
      </c>
    </row>
    <row r="22" spans="1:25" x14ac:dyDescent="0.25">
      <c r="A22" s="24"/>
      <c r="I22" s="24"/>
      <c r="J22" s="24"/>
      <c r="K22" s="24"/>
      <c r="L22" s="24"/>
      <c r="M22" s="24"/>
      <c r="P22" s="24"/>
    </row>
  </sheetData>
  <mergeCells count="14">
    <mergeCell ref="W5:X5"/>
    <mergeCell ref="Y5:Y6"/>
    <mergeCell ref="A4:Y4"/>
    <mergeCell ref="A5:A6"/>
    <mergeCell ref="B5:C5"/>
    <mergeCell ref="E5:F5"/>
    <mergeCell ref="H5:I5"/>
    <mergeCell ref="K5:L5"/>
    <mergeCell ref="N5:O5"/>
    <mergeCell ref="Q5:R5"/>
    <mergeCell ref="S5:T5"/>
    <mergeCell ref="U5:V5"/>
    <mergeCell ref="A3:Y3"/>
    <mergeCell ref="A2:Y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11.25</vt:lpstr>
      <vt:lpstr>' 11.25'!Print_Area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2016-09-19T07:48:02Z</cp:lastPrinted>
  <dcterms:created xsi:type="dcterms:W3CDTF">2014-05-22T03:57:11Z</dcterms:created>
  <dcterms:modified xsi:type="dcterms:W3CDTF">2016-09-19T07:48:09Z</dcterms:modified>
</cp:coreProperties>
</file>