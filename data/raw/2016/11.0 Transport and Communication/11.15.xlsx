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15" sheetId="10" r:id="rId1"/>
  </sheets>
  <externalReferences>
    <externalReference r:id="rId2"/>
    <externalReference r:id="rId3"/>
  </externalReferences>
  <definedNames>
    <definedName name="_xlnm.Print_Area" localSheetId="0">'11.15'!$A$1:$AB$41</definedName>
  </definedNames>
  <calcPr calcId="144525"/>
</workbook>
</file>

<file path=xl/calcChain.xml><?xml version="1.0" encoding="utf-8"?>
<calcChain xmlns="http://schemas.openxmlformats.org/spreadsheetml/2006/main">
  <c r="AO30" i="10" l="1"/>
  <c r="AQ30" i="10"/>
  <c r="AP29" i="10"/>
  <c r="AQ26" i="10"/>
  <c r="AA8" i="10"/>
  <c r="Z8" i="10"/>
  <c r="AP30" i="10" s="1"/>
  <c r="X8" i="10"/>
  <c r="AQ29" i="10" s="1"/>
  <c r="W8" i="10"/>
  <c r="U8" i="10"/>
  <c r="T8" i="10"/>
  <c r="R8" i="10"/>
  <c r="Q8" i="10"/>
  <c r="O8" i="10"/>
  <c r="N8" i="10"/>
  <c r="L8" i="10"/>
  <c r="AQ25" i="10" s="1"/>
  <c r="K8" i="10"/>
  <c r="I8" i="10"/>
  <c r="H8" i="10"/>
  <c r="AP24" i="10" s="1"/>
  <c r="F8" i="10"/>
  <c r="AQ23" i="10" s="1"/>
  <c r="E8" i="10"/>
  <c r="AP23" i="10" s="1"/>
  <c r="C8" i="10"/>
  <c r="B8" i="10"/>
  <c r="AO28" i="10"/>
  <c r="AO27" i="10"/>
  <c r="AO26" i="10"/>
  <c r="AO25" i="10"/>
  <c r="AO24" i="10"/>
  <c r="AO23" i="10"/>
  <c r="AO22" i="10"/>
  <c r="AQ28" i="10"/>
  <c r="AP28" i="10"/>
  <c r="AQ27" i="10"/>
  <c r="AP27" i="10"/>
  <c r="AP26" i="10"/>
  <c r="AP25" i="10"/>
  <c r="AQ24" i="10"/>
  <c r="AP32" i="10" l="1"/>
  <c r="AQ32" i="10"/>
  <c r="AR32" i="10" l="1"/>
</calcChain>
</file>

<file path=xl/sharedStrings.xml><?xml version="1.0" encoding="utf-8"?>
<sst xmlns="http://schemas.openxmlformats.org/spreadsheetml/2006/main" count="97" uniqueCount="56">
  <si>
    <t>wlcmuj</t>
  </si>
  <si>
    <t>Total</t>
  </si>
  <si>
    <t>iawa</t>
  </si>
  <si>
    <t>iruf</t>
  </si>
  <si>
    <t>In</t>
  </si>
  <si>
    <t>Out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</si>
  <si>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</si>
  <si>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</si>
  <si>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</si>
  <si>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</si>
  <si>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</si>
  <si>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</si>
  <si>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</si>
  <si>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</si>
  <si>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</si>
  <si>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</si>
  <si>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</si>
  <si>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May</t>
  </si>
  <si>
    <t>Em</t>
  </si>
  <si>
    <t>June</t>
  </si>
  <si>
    <t>cnUj</t>
  </si>
  <si>
    <t>July</t>
  </si>
  <si>
    <t>iawluj</t>
  </si>
  <si>
    <t>August</t>
  </si>
  <si>
    <t>September</t>
  </si>
  <si>
    <t>rwbcmeTcpes</t>
  </si>
  <si>
    <t>October</t>
  </si>
  <si>
    <t>November</t>
  </si>
  <si>
    <t>rwbcmevon</t>
  </si>
  <si>
    <t>December</t>
  </si>
  <si>
    <t>rwbcmesiD</t>
  </si>
  <si>
    <t>2015 ,ctogiruh urutwfurutwd egcnurwjcniswf iawgukwturwdnwb egiawv egEjcaWr cnutogeguhwmcswm  :11.15 ulwvWt</t>
  </si>
  <si>
    <t>Table 11.15 :  PASSENGER MOVEMENTS AT DOMESTIC AIRPORTS BY MONTH, 2015</t>
  </si>
  <si>
    <t>Udcawk .l</t>
  </si>
  <si>
    <t>UdcaeDWk .dg</t>
  </si>
  <si>
    <t>UdWminwh .dh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</si>
  <si>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</si>
  <si>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</si>
  <si>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</si>
  <si>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</si>
  <si>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</si>
  <si>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</si>
  <si>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L.Kadhdhoo</t>
  </si>
  <si>
    <t>GDh.Kaadedhdhoo</t>
  </si>
  <si>
    <t>HDh.Hanimaadhoo</t>
  </si>
  <si>
    <t xml:space="preserve">Gn.Fuvahmulah </t>
  </si>
  <si>
    <t>ADh.Maamigili</t>
  </si>
  <si>
    <t>B.Dharavandhoo</t>
  </si>
  <si>
    <t>GA. Koodoo</t>
  </si>
  <si>
    <t>-</t>
  </si>
  <si>
    <t>clIrcPEa</t>
  </si>
  <si>
    <t>cTcswgOa</t>
  </si>
  <si>
    <t>rwbOTckoa</t>
  </si>
  <si>
    <t xml:space="preserve">THA. Thimarafushi  </t>
  </si>
  <si>
    <t xml:space="preserve">Th. Thimarafushi  </t>
  </si>
  <si>
    <t xml:space="preserve">R.Ifuru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</si>
</sst>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i/>
      <sz val="10"/>
      <name val="Arial"/>
      <family val="2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.5"/>
      <name val="A_Randhoo Aa"/>
    </font>
    <font>
      <b/>
      <sz val="10.5"/>
      <name val="A_Reethi"/>
    </font>
    <font>
      <b/>
      <sz val="10.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5" fillId="0" borderId="0"/>
  </cellStyleXfs>
  <cellXfs count="42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16" fillId="2" borderId="0" xfId="6" applyNumberFormat="1" applyFont="1" applyFill="1" applyBorder="1" applyAlignment="1">
      <alignment horizontal="right" vertical="center"/>
    </xf>
    <xf numFmtId="164" fontId="17" fillId="2" borderId="0" xfId="0" applyNumberFormat="1" applyFont="1" applyFill="1"/>
    <xf numFmtId="164" fontId="8" fillId="2" borderId="0" xfId="6" applyNumberFormat="1" applyFont="1" applyFill="1" applyAlignment="1" applyProtection="1">
      <alignment horizontal="left" vertical="center"/>
    </xf>
    <xf numFmtId="0" fontId="9" fillId="2" borderId="2" xfId="0" applyNumberFormat="1" applyFont="1" applyFill="1" applyBorder="1" applyAlignment="1">
      <alignment horizontal="right" vertical="center"/>
    </xf>
    <xf numFmtId="164" fontId="6" fillId="2" borderId="0" xfId="6" applyNumberFormat="1" applyFont="1" applyFill="1" applyBorder="1" applyAlignment="1" applyProtection="1">
      <alignment horizontal="left" vertical="center"/>
    </xf>
    <xf numFmtId="164" fontId="7" fillId="2" borderId="0" xfId="6" applyNumberFormat="1" applyFont="1" applyFill="1" applyBorder="1" applyAlignment="1" applyProtection="1">
      <alignment horizontal="left" vertical="center"/>
    </xf>
    <xf numFmtId="164" fontId="10" fillId="2" borderId="0" xfId="0" applyNumberFormat="1" applyFont="1" applyFill="1"/>
    <xf numFmtId="164" fontId="0" fillId="2" borderId="0" xfId="0" applyNumberFormat="1" applyFill="1" applyBorder="1"/>
    <xf numFmtId="164" fontId="20" fillId="2" borderId="4" xfId="6" applyNumberFormat="1" applyFont="1" applyFill="1" applyBorder="1" applyAlignment="1">
      <alignment horizontal="center" vertical="center"/>
    </xf>
    <xf numFmtId="164" fontId="21" fillId="2" borderId="4" xfId="6" applyNumberFormat="1" applyFont="1" applyFill="1" applyBorder="1" applyAlignment="1">
      <alignment horizontal="center" vertical="center"/>
    </xf>
    <xf numFmtId="164" fontId="22" fillId="2" borderId="0" xfId="6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/>
    <xf numFmtId="164" fontId="20" fillId="2" borderId="0" xfId="6" applyNumberFormat="1" applyFont="1" applyFill="1" applyBorder="1" applyAlignment="1">
      <alignment horizontal="right" vertical="center"/>
    </xf>
    <xf numFmtId="164" fontId="22" fillId="2" borderId="5" xfId="6" applyNumberFormat="1" applyFont="1" applyFill="1" applyBorder="1" applyAlignment="1">
      <alignment horizontal="right" vertical="center"/>
    </xf>
    <xf numFmtId="3" fontId="6" fillId="2" borderId="6" xfId="6" applyNumberFormat="1" applyFont="1" applyFill="1" applyBorder="1" applyAlignment="1">
      <alignment horizontal="right"/>
    </xf>
    <xf numFmtId="164" fontId="18" fillId="2" borderId="0" xfId="6" applyNumberFormat="1" applyFont="1" applyFill="1" applyBorder="1" applyAlignment="1">
      <alignment horizontal="right" vertical="center"/>
    </xf>
    <xf numFmtId="164" fontId="7" fillId="2" borderId="5" xfId="6" applyNumberFormat="1" applyFont="1" applyFill="1" applyBorder="1" applyAlignment="1" applyProtection="1">
      <alignment horizontal="left" vertical="center"/>
    </xf>
    <xf numFmtId="164" fontId="18" fillId="2" borderId="5" xfId="6" applyNumberFormat="1" applyFont="1" applyFill="1" applyBorder="1" applyAlignment="1">
      <alignment horizontal="right" vertical="center"/>
    </xf>
    <xf numFmtId="164" fontId="3" fillId="2" borderId="5" xfId="6" applyNumberFormat="1" applyFont="1" applyFill="1" applyBorder="1" applyAlignment="1">
      <alignment horizontal="right" vertical="center"/>
    </xf>
    <xf numFmtId="166" fontId="0" fillId="2" borderId="0" xfId="1" applyNumberFormat="1" applyFont="1" applyFill="1"/>
    <xf numFmtId="164" fontId="11" fillId="2" borderId="0" xfId="6" applyNumberFormat="1" applyFont="1" applyFill="1" applyAlignment="1" applyProtection="1">
      <alignment horizontal="left" vertical="center"/>
    </xf>
    <xf numFmtId="37" fontId="5" fillId="2" borderId="0" xfId="6" applyNumberFormat="1" applyFont="1" applyFill="1" applyAlignment="1" applyProtection="1">
      <alignment vertical="center"/>
    </xf>
    <xf numFmtId="164" fontId="18" fillId="2" borderId="0" xfId="6" applyNumberFormat="1" applyFont="1" applyFill="1" applyBorder="1" applyAlignment="1"/>
    <xf numFmtId="0" fontId="18" fillId="2" borderId="0" xfId="14" applyFont="1" applyFill="1" applyAlignment="1">
      <alignment vertical="center"/>
    </xf>
    <xf numFmtId="3" fontId="7" fillId="2" borderId="1" xfId="6" applyNumberFormat="1" applyFont="1" applyFill="1" applyBorder="1" applyAlignment="1">
      <alignment horizontal="right"/>
    </xf>
    <xf numFmtId="3" fontId="7" fillId="2" borderId="1" xfId="7" applyNumberFormat="1" applyFont="1" applyFill="1" applyBorder="1" applyAlignment="1">
      <alignment horizontal="right"/>
    </xf>
    <xf numFmtId="3" fontId="7" fillId="2" borderId="3" xfId="6" applyNumberFormat="1" applyFont="1" applyFill="1" applyBorder="1" applyAlignment="1">
      <alignment horizontal="right"/>
    </xf>
    <xf numFmtId="3" fontId="7" fillId="2" borderId="3" xfId="7" applyNumberFormat="1" applyFont="1" applyFill="1" applyBorder="1" applyAlignment="1">
      <alignment horizontal="right"/>
    </xf>
    <xf numFmtId="164" fontId="15" fillId="2" borderId="0" xfId="6" applyNumberFormat="1" applyFont="1" applyFill="1" applyBorder="1" applyAlignment="1">
      <alignment horizontal="center" vertical="center"/>
    </xf>
    <xf numFmtId="164" fontId="2" fillId="2" borderId="0" xfId="6" applyNumberFormat="1" applyFont="1" applyFill="1" applyBorder="1" applyAlignment="1">
      <alignment horizontal="center" vertical="center"/>
    </xf>
    <xf numFmtId="164" fontId="6" fillId="2" borderId="4" xfId="6" applyNumberFormat="1" applyFont="1" applyFill="1" applyBorder="1" applyAlignment="1">
      <alignment horizontal="left" vertical="center"/>
    </xf>
    <xf numFmtId="164" fontId="6" fillId="2" borderId="0" xfId="6" applyNumberFormat="1" applyFont="1" applyFill="1" applyBorder="1" applyAlignment="1">
      <alignment horizontal="left" vertical="center"/>
    </xf>
    <xf numFmtId="164" fontId="6" fillId="2" borderId="5" xfId="6" applyNumberFormat="1" applyFont="1" applyFill="1" applyBorder="1" applyAlignment="1">
      <alignment horizontal="left" vertical="center"/>
    </xf>
    <xf numFmtId="164" fontId="20" fillId="2" borderId="4" xfId="6" applyNumberFormat="1" applyFont="1" applyFill="1" applyBorder="1" applyAlignment="1">
      <alignment horizontal="center" vertical="center"/>
    </xf>
    <xf numFmtId="164" fontId="21" fillId="2" borderId="4" xfId="6" applyNumberFormat="1" applyFont="1" applyFill="1" applyBorder="1" applyAlignment="1">
      <alignment horizontal="center" vertical="center"/>
    </xf>
    <xf numFmtId="164" fontId="22" fillId="2" borderId="5" xfId="6" applyNumberFormat="1" applyFont="1" applyFill="1" applyBorder="1" applyAlignment="1">
      <alignment horizontal="center" vertical="center" wrapText="1"/>
    </xf>
    <xf numFmtId="164" fontId="16" fillId="2" borderId="4" xfId="6" applyNumberFormat="1" applyFont="1" applyFill="1" applyBorder="1" applyAlignment="1">
      <alignment horizontal="right" vertical="center"/>
    </xf>
    <xf numFmtId="164" fontId="16" fillId="2" borderId="0" xfId="6" applyNumberFormat="1" applyFont="1" applyFill="1" applyBorder="1" applyAlignment="1">
      <alignment horizontal="right" vertical="center"/>
    </xf>
    <xf numFmtId="164" fontId="16" fillId="2" borderId="5" xfId="6" applyNumberFormat="1" applyFont="1" applyFill="1" applyBorder="1" applyAlignment="1">
      <alignment horizontal="right" vertical="center"/>
    </xf>
  </cellXfs>
  <cellStyles count="15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  <cellStyle name="Normal_IX-6(Trans &amp; Comm)" xfId="14"/>
  </cellStyles>
  <dxfs count="0"/>
  <tableStyles count="0" defaultTableStyle="TableStyleMedium9" defaultPivotStyle="PivotStyleLight16"/>
  <colors>
    <mruColors>
      <color rgb="FFB5EEED"/>
      <color rgb="FF1C706E"/>
      <color rgb="FF33CCCC"/>
      <color rgb="FF31C5C1"/>
      <color rgb="FF2CB1AE"/>
      <color rgb="FF11FFFF"/>
      <color rgb="FF75DFDD"/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2015</a:t>
            </a:r>
          </a:p>
        </c:rich>
      </c:tx>
      <c:layout>
        <c:manualLayout>
          <c:xMode val="edge"/>
          <c:yMode val="edge"/>
          <c:x val="0.27072964948196382"/>
          <c:y val="3.22503791373380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5153972686510634E-2"/>
          <c:y val="0.15175900044906082"/>
          <c:w val="0.90313178786537385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  <c:pt idx="7">
                  <c:v>THA. Thimarafushi  </c:v>
                </c:pt>
                <c:pt idx="8">
                  <c:v>R.Ifuru  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35033</c:v>
                </c:pt>
                <c:pt idx="1">
                  <c:v>55267</c:v>
                </c:pt>
                <c:pt idx="2">
                  <c:v>52366</c:v>
                </c:pt>
                <c:pt idx="3">
                  <c:v>19313</c:v>
                </c:pt>
                <c:pt idx="4">
                  <c:v>101506</c:v>
                </c:pt>
                <c:pt idx="5">
                  <c:v>73634</c:v>
                </c:pt>
                <c:pt idx="6">
                  <c:v>33608</c:v>
                </c:pt>
                <c:pt idx="7">
                  <c:v>4729</c:v>
                </c:pt>
                <c:pt idx="8">
                  <c:v>9960</c:v>
                </c:pt>
              </c:numCache>
            </c:numRef>
          </c:val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HDh.Hanimaadhoo</c:v>
                </c:pt>
                <c:pt idx="3">
                  <c:v>Gn.Fuvahmulah </c:v>
                </c:pt>
                <c:pt idx="4">
                  <c:v>ADh.Maamigili</c:v>
                </c:pt>
                <c:pt idx="5">
                  <c:v>B.Dharavandhoo</c:v>
                </c:pt>
                <c:pt idx="6">
                  <c:v>GA. Koodoo</c:v>
                </c:pt>
                <c:pt idx="7">
                  <c:v>THA. Thimarafushi  </c:v>
                </c:pt>
                <c:pt idx="8">
                  <c:v>R.Ifuru  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34994</c:v>
                </c:pt>
                <c:pt idx="1">
                  <c:v>54554</c:v>
                </c:pt>
                <c:pt idx="2">
                  <c:v>52708</c:v>
                </c:pt>
                <c:pt idx="3">
                  <c:v>19061</c:v>
                </c:pt>
                <c:pt idx="4">
                  <c:v>96941</c:v>
                </c:pt>
                <c:pt idx="5">
                  <c:v>73112</c:v>
                </c:pt>
                <c:pt idx="6">
                  <c:v>32876</c:v>
                </c:pt>
                <c:pt idx="7">
                  <c:v>5043</c:v>
                </c:pt>
                <c:pt idx="8">
                  <c:v>9356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019264"/>
        <c:axId val="103020800"/>
      </c:barChart>
      <c:catAx>
        <c:axId val="103019264"/>
        <c:scaling>
          <c:orientation val="minMax"/>
        </c:scaling>
        <c:delete val="0"/>
        <c:axPos val="b"/>
        <c:numFmt formatCode="General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103020800"/>
        <c:crosses val="autoZero"/>
        <c:auto val="1"/>
        <c:lblAlgn val="ctr"/>
        <c:lblOffset val="100"/>
        <c:noMultiLvlLbl val="0"/>
      </c:catAx>
      <c:valAx>
        <c:axId val="10302080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03019264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8113474513005157"/>
          <c:y val="0.20519552384471787"/>
          <c:w val="0.12988567969514586"/>
          <c:h val="9.5300486094918216E-2"/>
        </c:manualLayout>
      </c:layout>
      <c:overlay val="1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109448</xdr:colOff>
      <xdr:row>23</xdr:row>
      <xdr:rowOff>37234</xdr:rowOff>
    </xdr:from>
    <xdr:to>
      <xdr:col>23</xdr:col>
      <xdr:colOff>152400</xdr:colOff>
      <xdr:row>39</xdr:row>
      <xdr:rowOff>180975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57151</xdr:colOff>
      <xdr:row>24</xdr:row>
      <xdr:rowOff>123824</xdr:rowOff>
    </xdr:from>
    <xdr:to>
      <xdr:col>17</xdr:col>
      <xdr:colOff>285751</xdr:colOff>
      <xdr:row>24</xdr:row>
      <xdr:rowOff>133349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6372226" y="5295899"/>
          <a:ext cx="4724400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4\Dissemination\Publications\Statistical%20%20Year%20Book\YEARBOOK%202015\RECEIVED\CAM%20_%20Statistical%20YearBook%202015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>
        <row r="46">
          <cell r="Z46" t="str">
            <v>Post paid</v>
          </cell>
          <cell r="AB46">
            <v>11.797121061614527</v>
          </cell>
        </row>
        <row r="47">
          <cell r="Z47" t="str">
            <v>Pre-paid</v>
          </cell>
          <cell r="AB47">
            <v>88.202878938385481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32"/>
  <sheetViews>
    <sheetView tabSelected="1" zoomScale="86" zoomScaleNormal="86" workbookViewId="0">
      <selection activeCell="E15" sqref="E15"/>
    </sheetView>
  </sheetViews>
  <sheetFormatPr defaultColWidth="9.140625" defaultRowHeight="15" x14ac:dyDescent="0.25"/>
  <cols>
    <col min="1" max="3" width="12.5703125" style="2" customWidth="1"/>
    <col min="4" max="4" width="2.42578125" style="2" customWidth="1"/>
    <col min="5" max="6" width="12.5703125" style="2" customWidth="1"/>
    <col min="7" max="7" width="2" style="2" customWidth="1"/>
    <col min="8" max="9" width="12.5703125" style="2" customWidth="1"/>
    <col min="10" max="10" width="2.28515625" style="2" customWidth="1"/>
    <col min="11" max="12" width="12.5703125" style="2" customWidth="1"/>
    <col min="13" max="13" width="2.28515625" style="2" customWidth="1"/>
    <col min="14" max="15" width="12.5703125" style="2" customWidth="1"/>
    <col min="16" max="16" width="2.28515625" style="2" customWidth="1"/>
    <col min="17" max="18" width="12.5703125" style="2" customWidth="1"/>
    <col min="19" max="19" width="1.28515625" style="2" customWidth="1"/>
    <col min="20" max="20" width="9.7109375" style="2" customWidth="1"/>
    <col min="21" max="21" width="11.140625" style="2" customWidth="1"/>
    <col min="22" max="22" width="1.28515625" style="2" customWidth="1"/>
    <col min="23" max="23" width="9.7109375" style="2" customWidth="1"/>
    <col min="24" max="24" width="11.140625" style="2" customWidth="1"/>
    <col min="25" max="25" width="1.28515625" style="2" customWidth="1"/>
    <col min="26" max="26" width="9.7109375" style="2" customWidth="1"/>
    <col min="27" max="27" width="11.140625" style="2" customWidth="1"/>
    <col min="28" max="28" width="13.7109375" style="2" customWidth="1"/>
    <col min="29" max="16384" width="9.140625" style="2"/>
  </cols>
  <sheetData>
    <row r="1" spans="1:29" ht="19.5" x14ac:dyDescent="0.25">
      <c r="A1" s="31" t="s">
        <v>31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</row>
    <row r="2" spans="1:29" ht="15.75" x14ac:dyDescent="0.25">
      <c r="A2" s="32" t="s">
        <v>32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9" s="10" customFormat="1" x14ac:dyDescent="0.25"/>
    <row r="4" spans="1:29" s="9" customFormat="1" ht="19.5" x14ac:dyDescent="0.15">
      <c r="A4" s="33" t="s">
        <v>8</v>
      </c>
      <c r="B4" s="36" t="s">
        <v>33</v>
      </c>
      <c r="C4" s="36"/>
      <c r="D4" s="11"/>
      <c r="E4" s="36" t="s">
        <v>34</v>
      </c>
      <c r="F4" s="36"/>
      <c r="G4" s="11"/>
      <c r="H4" s="36" t="s">
        <v>35</v>
      </c>
      <c r="I4" s="36"/>
      <c r="J4" s="11"/>
      <c r="K4" s="37" t="s">
        <v>36</v>
      </c>
      <c r="L4" s="37"/>
      <c r="M4" s="12"/>
      <c r="N4" s="37" t="s">
        <v>37</v>
      </c>
      <c r="O4" s="37"/>
      <c r="P4" s="12"/>
      <c r="Q4" s="37" t="s">
        <v>38</v>
      </c>
      <c r="R4" s="37"/>
      <c r="S4" s="12"/>
      <c r="T4" s="37" t="s">
        <v>39</v>
      </c>
      <c r="U4" s="37"/>
      <c r="V4" s="12"/>
      <c r="W4" s="37" t="s">
        <v>40</v>
      </c>
      <c r="X4" s="37"/>
      <c r="Y4" s="12"/>
      <c r="Z4" s="37" t="s">
        <v>41</v>
      </c>
      <c r="AA4" s="37"/>
      <c r="AB4" s="39" t="s">
        <v>9</v>
      </c>
    </row>
    <row r="5" spans="1:29" s="14" customFormat="1" x14ac:dyDescent="0.25">
      <c r="A5" s="34"/>
      <c r="B5" s="38" t="s">
        <v>42</v>
      </c>
      <c r="C5" s="38"/>
      <c r="D5" s="13"/>
      <c r="E5" s="38" t="s">
        <v>43</v>
      </c>
      <c r="F5" s="38"/>
      <c r="G5" s="13"/>
      <c r="H5" s="38" t="s">
        <v>44</v>
      </c>
      <c r="I5" s="38"/>
      <c r="J5" s="13"/>
      <c r="K5" s="38" t="s">
        <v>45</v>
      </c>
      <c r="L5" s="38"/>
      <c r="M5" s="13"/>
      <c r="N5" s="38" t="s">
        <v>46</v>
      </c>
      <c r="O5" s="38"/>
      <c r="P5" s="13"/>
      <c r="Q5" s="38" t="s">
        <v>47</v>
      </c>
      <c r="R5" s="38"/>
      <c r="S5" s="13"/>
      <c r="T5" s="38" t="s">
        <v>48</v>
      </c>
      <c r="U5" s="38"/>
      <c r="V5" s="13"/>
      <c r="W5" s="38" t="s">
        <v>54</v>
      </c>
      <c r="X5" s="38"/>
      <c r="Y5" s="13"/>
      <c r="Z5" s="38" t="s">
        <v>55</v>
      </c>
      <c r="AA5" s="38"/>
      <c r="AB5" s="40"/>
      <c r="AC5" s="4"/>
    </row>
    <row r="6" spans="1:29" s="14" customFormat="1" ht="15.75" x14ac:dyDescent="0.2">
      <c r="A6" s="34"/>
      <c r="B6" s="15" t="s">
        <v>2</v>
      </c>
      <c r="C6" s="15" t="s">
        <v>3</v>
      </c>
      <c r="D6" s="15"/>
      <c r="E6" s="15" t="s">
        <v>2</v>
      </c>
      <c r="F6" s="15" t="s">
        <v>3</v>
      </c>
      <c r="G6" s="15"/>
      <c r="H6" s="15" t="s">
        <v>2</v>
      </c>
      <c r="I6" s="15" t="s">
        <v>3</v>
      </c>
      <c r="J6" s="15"/>
      <c r="K6" s="15" t="s">
        <v>2</v>
      </c>
      <c r="L6" s="15" t="s">
        <v>3</v>
      </c>
      <c r="M6" s="15"/>
      <c r="N6" s="15" t="s">
        <v>2</v>
      </c>
      <c r="O6" s="15" t="s">
        <v>3</v>
      </c>
      <c r="P6" s="15"/>
      <c r="Q6" s="15" t="s">
        <v>2</v>
      </c>
      <c r="R6" s="15" t="s">
        <v>3</v>
      </c>
      <c r="S6" s="15"/>
      <c r="T6" s="15" t="s">
        <v>2</v>
      </c>
      <c r="U6" s="15" t="s">
        <v>3</v>
      </c>
      <c r="V6" s="15"/>
      <c r="W6" s="15" t="s">
        <v>2</v>
      </c>
      <c r="X6" s="15" t="s">
        <v>3</v>
      </c>
      <c r="Y6" s="15"/>
      <c r="Z6" s="15" t="s">
        <v>2</v>
      </c>
      <c r="AA6" s="15" t="s">
        <v>3</v>
      </c>
      <c r="AB6" s="40"/>
    </row>
    <row r="7" spans="1:29" s="14" customFormat="1" ht="14.25" x14ac:dyDescent="0.2">
      <c r="A7" s="35"/>
      <c r="B7" s="16" t="s">
        <v>4</v>
      </c>
      <c r="C7" s="16" t="s">
        <v>5</v>
      </c>
      <c r="D7" s="16"/>
      <c r="E7" s="16" t="s">
        <v>4</v>
      </c>
      <c r="F7" s="16" t="s">
        <v>5</v>
      </c>
      <c r="G7" s="16"/>
      <c r="H7" s="16" t="s">
        <v>4</v>
      </c>
      <c r="I7" s="16" t="s">
        <v>5</v>
      </c>
      <c r="J7" s="16"/>
      <c r="K7" s="16" t="s">
        <v>4</v>
      </c>
      <c r="L7" s="16" t="s">
        <v>5</v>
      </c>
      <c r="M7" s="16"/>
      <c r="N7" s="16" t="s">
        <v>4</v>
      </c>
      <c r="O7" s="16" t="s">
        <v>5</v>
      </c>
      <c r="P7" s="16"/>
      <c r="Q7" s="16" t="s">
        <v>4</v>
      </c>
      <c r="R7" s="16" t="s">
        <v>5</v>
      </c>
      <c r="S7" s="16"/>
      <c r="T7" s="16" t="s">
        <v>4</v>
      </c>
      <c r="U7" s="16" t="s">
        <v>5</v>
      </c>
      <c r="V7" s="16"/>
      <c r="W7" s="16" t="s">
        <v>4</v>
      </c>
      <c r="X7" s="16" t="s">
        <v>5</v>
      </c>
      <c r="Y7" s="16"/>
      <c r="Z7" s="16" t="s">
        <v>4</v>
      </c>
      <c r="AA7" s="16" t="s">
        <v>5</v>
      </c>
      <c r="AB7" s="41"/>
    </row>
    <row r="8" spans="1:29" s="9" customFormat="1" ht="15.75" x14ac:dyDescent="0.2">
      <c r="A8" s="7" t="s">
        <v>1</v>
      </c>
      <c r="B8" s="17">
        <f>SUM(B9:B20)</f>
        <v>35033</v>
      </c>
      <c r="C8" s="17">
        <f>SUM(C9:C20)</f>
        <v>34994</v>
      </c>
      <c r="D8" s="17"/>
      <c r="E8" s="17">
        <f>SUM(E9:E20)</f>
        <v>55267</v>
      </c>
      <c r="F8" s="17">
        <f>SUM(F9:F20)</f>
        <v>54554</v>
      </c>
      <c r="G8" s="17"/>
      <c r="H8" s="17">
        <f>SUM(H9:H20)</f>
        <v>52366</v>
      </c>
      <c r="I8" s="17">
        <f>SUM(I9:I20)</f>
        <v>52708</v>
      </c>
      <c r="J8" s="17"/>
      <c r="K8" s="17">
        <f>SUM(K9:K20)</f>
        <v>19313</v>
      </c>
      <c r="L8" s="17">
        <f>SUM(L9:L20)</f>
        <v>19061</v>
      </c>
      <c r="M8" s="17"/>
      <c r="N8" s="17">
        <f>SUM(N9:N20)</f>
        <v>101506</v>
      </c>
      <c r="O8" s="17">
        <f>SUM(O9:O20)</f>
        <v>96941</v>
      </c>
      <c r="P8" s="17"/>
      <c r="Q8" s="17">
        <f>SUM(Q9:Q20)</f>
        <v>73634</v>
      </c>
      <c r="R8" s="17">
        <f>SUM(R9:R20)</f>
        <v>73112</v>
      </c>
      <c r="S8" s="17"/>
      <c r="T8" s="17">
        <f>SUM(T9:T20)</f>
        <v>33608</v>
      </c>
      <c r="U8" s="17">
        <f>SUM(U9:U20)</f>
        <v>32876</v>
      </c>
      <c r="V8" s="17"/>
      <c r="W8" s="17">
        <f>SUM(W9:W20)</f>
        <v>4729</v>
      </c>
      <c r="X8" s="17">
        <f>SUM(X9:X20)</f>
        <v>5043</v>
      </c>
      <c r="Y8" s="17"/>
      <c r="Z8" s="17">
        <f>SUM(Z9:Z20)</f>
        <v>9960</v>
      </c>
      <c r="AA8" s="17">
        <f>SUM(AA9:AA20)</f>
        <v>9356</v>
      </c>
      <c r="AB8" s="3" t="s">
        <v>0</v>
      </c>
    </row>
    <row r="9" spans="1:29" s="9" customFormat="1" ht="15.75" x14ac:dyDescent="0.2">
      <c r="A9" s="8" t="s">
        <v>10</v>
      </c>
      <c r="B9" s="27">
        <v>2941</v>
      </c>
      <c r="C9" s="27">
        <v>3217</v>
      </c>
      <c r="D9" s="27"/>
      <c r="E9" s="28">
        <v>5133</v>
      </c>
      <c r="F9" s="28">
        <v>4749</v>
      </c>
      <c r="G9" s="28"/>
      <c r="H9" s="27">
        <v>5079</v>
      </c>
      <c r="I9" s="27">
        <v>5076</v>
      </c>
      <c r="J9" s="27"/>
      <c r="K9" s="27">
        <v>2007</v>
      </c>
      <c r="L9" s="27">
        <v>1551</v>
      </c>
      <c r="M9" s="27"/>
      <c r="N9" s="27">
        <v>7478</v>
      </c>
      <c r="O9" s="27">
        <v>7598</v>
      </c>
      <c r="P9" s="27"/>
      <c r="Q9" s="27">
        <v>4579</v>
      </c>
      <c r="R9" s="27">
        <v>5312</v>
      </c>
      <c r="S9" s="27"/>
      <c r="T9" s="27">
        <v>3607</v>
      </c>
      <c r="U9" s="27">
        <v>3419</v>
      </c>
      <c r="V9" s="27"/>
      <c r="W9" s="27">
        <v>351</v>
      </c>
      <c r="X9" s="27">
        <v>411</v>
      </c>
      <c r="Y9" s="27"/>
      <c r="Z9" s="27" t="s">
        <v>49</v>
      </c>
      <c r="AA9" s="27" t="s">
        <v>49</v>
      </c>
      <c r="AB9" s="18" t="s">
        <v>11</v>
      </c>
    </row>
    <row r="10" spans="1:29" s="9" customFormat="1" ht="15.75" x14ac:dyDescent="0.2">
      <c r="A10" s="8" t="s">
        <v>12</v>
      </c>
      <c r="B10" s="27">
        <v>2675</v>
      </c>
      <c r="C10" s="27">
        <v>2607</v>
      </c>
      <c r="D10" s="27"/>
      <c r="E10" s="28">
        <v>4319</v>
      </c>
      <c r="F10" s="28">
        <v>4369</v>
      </c>
      <c r="G10" s="28"/>
      <c r="H10" s="27">
        <v>4939</v>
      </c>
      <c r="I10" s="27">
        <v>6099</v>
      </c>
      <c r="J10" s="27"/>
      <c r="K10" s="27">
        <v>1409</v>
      </c>
      <c r="L10" s="27">
        <v>1403</v>
      </c>
      <c r="M10" s="27"/>
      <c r="N10" s="27">
        <v>10071</v>
      </c>
      <c r="O10" s="27">
        <v>9077</v>
      </c>
      <c r="P10" s="27"/>
      <c r="Q10" s="27">
        <v>5994</v>
      </c>
      <c r="R10" s="27">
        <v>5708</v>
      </c>
      <c r="S10" s="27"/>
      <c r="T10" s="27">
        <v>3113</v>
      </c>
      <c r="U10" s="27">
        <v>2985</v>
      </c>
      <c r="V10" s="27"/>
      <c r="W10" s="27">
        <v>270</v>
      </c>
      <c r="X10" s="27">
        <v>288</v>
      </c>
      <c r="Y10" s="27"/>
      <c r="Z10" s="27" t="s">
        <v>49</v>
      </c>
      <c r="AA10" s="27" t="s">
        <v>49</v>
      </c>
      <c r="AB10" s="18" t="s">
        <v>13</v>
      </c>
    </row>
    <row r="11" spans="1:29" s="9" customFormat="1" ht="15.75" x14ac:dyDescent="0.2">
      <c r="A11" s="8" t="s">
        <v>14</v>
      </c>
      <c r="B11" s="27">
        <v>3163</v>
      </c>
      <c r="C11" s="27">
        <v>2907</v>
      </c>
      <c r="D11" s="27"/>
      <c r="E11" s="28">
        <v>4772</v>
      </c>
      <c r="F11" s="28">
        <v>4819</v>
      </c>
      <c r="G11" s="28"/>
      <c r="H11" s="27">
        <v>5337</v>
      </c>
      <c r="I11" s="27">
        <v>5656</v>
      </c>
      <c r="J11" s="27"/>
      <c r="K11" s="27">
        <v>1761</v>
      </c>
      <c r="L11" s="27">
        <v>1803</v>
      </c>
      <c r="M11" s="27"/>
      <c r="N11" s="27">
        <v>8865</v>
      </c>
      <c r="O11" s="27">
        <v>8647</v>
      </c>
      <c r="P11" s="27"/>
      <c r="Q11" s="27">
        <v>6153</v>
      </c>
      <c r="R11" s="27">
        <v>6331</v>
      </c>
      <c r="S11" s="27"/>
      <c r="T11" s="27">
        <v>2907</v>
      </c>
      <c r="U11" s="27">
        <v>3305</v>
      </c>
      <c r="V11" s="27"/>
      <c r="W11" s="27">
        <v>238</v>
      </c>
      <c r="X11" s="27">
        <v>265</v>
      </c>
      <c r="Y11" s="27"/>
      <c r="Z11" s="27" t="s">
        <v>49</v>
      </c>
      <c r="AA11" s="27" t="s">
        <v>49</v>
      </c>
      <c r="AB11" s="18" t="s">
        <v>15</v>
      </c>
    </row>
    <row r="12" spans="1:29" s="9" customFormat="1" ht="15.75" x14ac:dyDescent="0.2">
      <c r="A12" s="8" t="s">
        <v>16</v>
      </c>
      <c r="B12" s="27">
        <v>2499</v>
      </c>
      <c r="C12" s="27">
        <v>2558</v>
      </c>
      <c r="D12" s="27"/>
      <c r="E12" s="28">
        <v>4117</v>
      </c>
      <c r="F12" s="28">
        <v>4008</v>
      </c>
      <c r="G12" s="28"/>
      <c r="H12" s="27">
        <v>5249</v>
      </c>
      <c r="I12" s="27">
        <v>4217</v>
      </c>
      <c r="J12" s="27"/>
      <c r="K12" s="27">
        <v>1630</v>
      </c>
      <c r="L12" s="27">
        <v>1578</v>
      </c>
      <c r="M12" s="27"/>
      <c r="N12" s="27">
        <v>7370</v>
      </c>
      <c r="O12" s="27">
        <v>6734</v>
      </c>
      <c r="P12" s="27"/>
      <c r="Q12" s="27">
        <v>5584</v>
      </c>
      <c r="R12" s="27">
        <v>5264</v>
      </c>
      <c r="S12" s="27"/>
      <c r="T12" s="27">
        <v>2170</v>
      </c>
      <c r="U12" s="27">
        <v>2024</v>
      </c>
      <c r="V12" s="27"/>
      <c r="W12" s="27">
        <v>249</v>
      </c>
      <c r="X12" s="27">
        <v>286</v>
      </c>
      <c r="Y12" s="27"/>
      <c r="Z12" s="27" t="s">
        <v>49</v>
      </c>
      <c r="AA12" s="27" t="s">
        <v>49</v>
      </c>
      <c r="AB12" s="18" t="s">
        <v>50</v>
      </c>
    </row>
    <row r="13" spans="1:29" s="9" customFormat="1" ht="15.75" x14ac:dyDescent="0.2">
      <c r="A13" s="8" t="s">
        <v>17</v>
      </c>
      <c r="B13" s="27">
        <v>2466</v>
      </c>
      <c r="C13" s="27">
        <v>2612</v>
      </c>
      <c r="D13" s="27"/>
      <c r="E13" s="28">
        <v>4213</v>
      </c>
      <c r="F13" s="28">
        <v>4399</v>
      </c>
      <c r="G13" s="28"/>
      <c r="H13" s="27">
        <v>6403</v>
      </c>
      <c r="I13" s="27">
        <v>5302</v>
      </c>
      <c r="J13" s="27"/>
      <c r="K13" s="27">
        <v>1551</v>
      </c>
      <c r="L13" s="27">
        <v>1523</v>
      </c>
      <c r="M13" s="27"/>
      <c r="N13" s="27">
        <v>8487</v>
      </c>
      <c r="O13" s="27">
        <v>8667</v>
      </c>
      <c r="P13" s="27"/>
      <c r="Q13" s="27">
        <v>5510</v>
      </c>
      <c r="R13" s="27">
        <v>6105</v>
      </c>
      <c r="S13" s="27"/>
      <c r="T13" s="27">
        <v>2325</v>
      </c>
      <c r="U13" s="27">
        <v>2329</v>
      </c>
      <c r="V13" s="27"/>
      <c r="W13" s="27">
        <v>432</v>
      </c>
      <c r="X13" s="27">
        <v>419</v>
      </c>
      <c r="Y13" s="27"/>
      <c r="Z13" s="27">
        <v>220</v>
      </c>
      <c r="AA13" s="27">
        <v>213</v>
      </c>
      <c r="AB13" s="18" t="s">
        <v>18</v>
      </c>
    </row>
    <row r="14" spans="1:29" s="9" customFormat="1" ht="15.75" x14ac:dyDescent="0.2">
      <c r="A14" s="8" t="s">
        <v>19</v>
      </c>
      <c r="B14" s="27">
        <v>2999</v>
      </c>
      <c r="C14" s="27">
        <v>2629</v>
      </c>
      <c r="D14" s="27"/>
      <c r="E14" s="28">
        <v>4058</v>
      </c>
      <c r="F14" s="28">
        <v>3702</v>
      </c>
      <c r="G14" s="28"/>
      <c r="H14" s="27">
        <v>3133</v>
      </c>
      <c r="I14" s="27">
        <v>2721</v>
      </c>
      <c r="J14" s="27"/>
      <c r="K14" s="27">
        <v>1526</v>
      </c>
      <c r="L14" s="27">
        <v>1279</v>
      </c>
      <c r="M14" s="27"/>
      <c r="N14" s="27">
        <v>8446</v>
      </c>
      <c r="O14" s="27">
        <v>7596</v>
      </c>
      <c r="P14" s="27"/>
      <c r="Q14" s="27">
        <v>5493</v>
      </c>
      <c r="R14" s="27">
        <v>5268</v>
      </c>
      <c r="S14" s="27"/>
      <c r="T14" s="27">
        <v>2593</v>
      </c>
      <c r="U14" s="27">
        <v>2173</v>
      </c>
      <c r="V14" s="27"/>
      <c r="W14" s="27">
        <v>451</v>
      </c>
      <c r="X14" s="27">
        <v>388</v>
      </c>
      <c r="Y14" s="27"/>
      <c r="Z14" s="27">
        <v>867</v>
      </c>
      <c r="AA14" s="27">
        <v>604</v>
      </c>
      <c r="AB14" s="18" t="s">
        <v>20</v>
      </c>
    </row>
    <row r="15" spans="1:29" s="9" customFormat="1" ht="15.75" x14ac:dyDescent="0.2">
      <c r="A15" s="8" t="s">
        <v>21</v>
      </c>
      <c r="B15" s="27">
        <v>2532</v>
      </c>
      <c r="C15" s="27">
        <v>2597</v>
      </c>
      <c r="D15" s="27"/>
      <c r="E15" s="28">
        <v>4227</v>
      </c>
      <c r="F15" s="28">
        <v>4032</v>
      </c>
      <c r="G15" s="28"/>
      <c r="H15" s="27">
        <v>3040</v>
      </c>
      <c r="I15" s="27">
        <v>3192</v>
      </c>
      <c r="J15" s="27"/>
      <c r="K15" s="27">
        <v>1248</v>
      </c>
      <c r="L15" s="27">
        <v>1460</v>
      </c>
      <c r="M15" s="27"/>
      <c r="N15" s="27">
        <v>9413</v>
      </c>
      <c r="O15" s="27">
        <v>8525</v>
      </c>
      <c r="P15" s="27"/>
      <c r="Q15" s="27">
        <v>6447</v>
      </c>
      <c r="R15" s="27">
        <v>6427</v>
      </c>
      <c r="S15" s="27"/>
      <c r="T15" s="27">
        <v>2364</v>
      </c>
      <c r="U15" s="27">
        <v>2339</v>
      </c>
      <c r="V15" s="27"/>
      <c r="W15" s="27">
        <v>310</v>
      </c>
      <c r="X15" s="27">
        <v>358</v>
      </c>
      <c r="Y15" s="27"/>
      <c r="Z15" s="27">
        <v>775</v>
      </c>
      <c r="AA15" s="27">
        <v>746</v>
      </c>
      <c r="AB15" s="18" t="s">
        <v>22</v>
      </c>
    </row>
    <row r="16" spans="1:29" s="9" customFormat="1" ht="15.75" x14ac:dyDescent="0.2">
      <c r="A16" s="8" t="s">
        <v>23</v>
      </c>
      <c r="B16" s="27">
        <v>2768</v>
      </c>
      <c r="C16" s="27">
        <v>3151</v>
      </c>
      <c r="D16" s="27"/>
      <c r="E16" s="28">
        <v>4782</v>
      </c>
      <c r="F16" s="28">
        <v>5016</v>
      </c>
      <c r="G16" s="28"/>
      <c r="H16" s="27">
        <v>3396</v>
      </c>
      <c r="I16" s="27">
        <v>3755</v>
      </c>
      <c r="J16" s="27"/>
      <c r="K16" s="27">
        <v>1384</v>
      </c>
      <c r="L16" s="27">
        <v>1467</v>
      </c>
      <c r="M16" s="27"/>
      <c r="N16" s="27">
        <v>9601</v>
      </c>
      <c r="O16" s="27">
        <v>9604</v>
      </c>
      <c r="P16" s="27"/>
      <c r="Q16" s="27">
        <v>6717</v>
      </c>
      <c r="R16" s="27">
        <v>7050</v>
      </c>
      <c r="S16" s="27"/>
      <c r="T16" s="27">
        <v>2698</v>
      </c>
      <c r="U16" s="27">
        <v>2756</v>
      </c>
      <c r="V16" s="27"/>
      <c r="W16" s="27">
        <v>371</v>
      </c>
      <c r="X16" s="27">
        <v>527</v>
      </c>
      <c r="Y16" s="27"/>
      <c r="Z16" s="27">
        <v>847</v>
      </c>
      <c r="AA16" s="27">
        <v>918</v>
      </c>
      <c r="AB16" s="18" t="s">
        <v>51</v>
      </c>
    </row>
    <row r="17" spans="1:44" s="9" customFormat="1" ht="21" customHeight="1" x14ac:dyDescent="0.2">
      <c r="A17" s="8" t="s">
        <v>24</v>
      </c>
      <c r="B17" s="27">
        <v>3348</v>
      </c>
      <c r="C17" s="27">
        <v>2957</v>
      </c>
      <c r="D17" s="27"/>
      <c r="E17" s="28">
        <v>4807</v>
      </c>
      <c r="F17" s="28">
        <v>4601</v>
      </c>
      <c r="G17" s="28"/>
      <c r="H17" s="27">
        <v>4771</v>
      </c>
      <c r="I17" s="27">
        <v>3661</v>
      </c>
      <c r="J17" s="27"/>
      <c r="K17" s="27">
        <v>1749</v>
      </c>
      <c r="L17" s="27">
        <v>1592</v>
      </c>
      <c r="M17" s="27"/>
      <c r="N17" s="27">
        <v>8345</v>
      </c>
      <c r="O17" s="27">
        <v>9007</v>
      </c>
      <c r="P17" s="27"/>
      <c r="Q17" s="27">
        <v>8015</v>
      </c>
      <c r="R17" s="27">
        <v>7108</v>
      </c>
      <c r="S17" s="27"/>
      <c r="T17" s="27">
        <v>3076</v>
      </c>
      <c r="U17" s="27">
        <v>2387</v>
      </c>
      <c r="V17" s="27"/>
      <c r="W17" s="27">
        <v>661</v>
      </c>
      <c r="X17" s="27">
        <v>585</v>
      </c>
      <c r="Y17" s="27"/>
      <c r="Z17" s="27">
        <v>1326</v>
      </c>
      <c r="AA17" s="27">
        <v>1156</v>
      </c>
      <c r="AB17" s="18" t="s">
        <v>25</v>
      </c>
    </row>
    <row r="18" spans="1:44" s="9" customFormat="1" ht="21" customHeight="1" x14ac:dyDescent="0.2">
      <c r="A18" s="8" t="s">
        <v>26</v>
      </c>
      <c r="B18" s="27">
        <v>2389</v>
      </c>
      <c r="C18" s="27">
        <v>2560</v>
      </c>
      <c r="D18" s="27"/>
      <c r="E18" s="28">
        <v>4965</v>
      </c>
      <c r="F18" s="28">
        <v>4940</v>
      </c>
      <c r="G18" s="28"/>
      <c r="H18" s="27">
        <v>1827</v>
      </c>
      <c r="I18" s="27">
        <v>3582</v>
      </c>
      <c r="J18" s="27"/>
      <c r="K18" s="27">
        <v>1166</v>
      </c>
      <c r="L18" s="27">
        <v>1206</v>
      </c>
      <c r="M18" s="27"/>
      <c r="N18" s="27">
        <v>8504</v>
      </c>
      <c r="O18" s="27">
        <v>7759</v>
      </c>
      <c r="P18" s="27"/>
      <c r="Q18" s="27">
        <v>6265</v>
      </c>
      <c r="R18" s="27">
        <v>6195</v>
      </c>
      <c r="S18" s="27"/>
      <c r="T18" s="27">
        <v>2706</v>
      </c>
      <c r="U18" s="27">
        <v>3277</v>
      </c>
      <c r="V18" s="27"/>
      <c r="W18" s="27">
        <v>325</v>
      </c>
      <c r="X18" s="27">
        <v>393</v>
      </c>
      <c r="Y18" s="27"/>
      <c r="Z18" s="27">
        <v>1687</v>
      </c>
      <c r="AA18" s="27">
        <v>1500</v>
      </c>
      <c r="AB18" s="18" t="s">
        <v>52</v>
      </c>
    </row>
    <row r="19" spans="1:44" s="9" customFormat="1" ht="21" customHeight="1" x14ac:dyDescent="0.2">
      <c r="A19" s="8" t="s">
        <v>27</v>
      </c>
      <c r="B19" s="27">
        <v>2942</v>
      </c>
      <c r="C19" s="27">
        <v>3245</v>
      </c>
      <c r="D19" s="27"/>
      <c r="E19" s="28">
        <v>4292</v>
      </c>
      <c r="F19" s="28">
        <v>4505</v>
      </c>
      <c r="G19" s="28"/>
      <c r="H19" s="27">
        <v>3981</v>
      </c>
      <c r="I19" s="27">
        <v>4217</v>
      </c>
      <c r="J19" s="27"/>
      <c r="K19" s="27">
        <v>1460</v>
      </c>
      <c r="L19" s="27">
        <v>1749</v>
      </c>
      <c r="M19" s="27"/>
      <c r="N19" s="27">
        <v>6389</v>
      </c>
      <c r="O19" s="27">
        <v>6369</v>
      </c>
      <c r="P19" s="27"/>
      <c r="Q19" s="27">
        <v>5596</v>
      </c>
      <c r="R19" s="27">
        <v>5760</v>
      </c>
      <c r="S19" s="27"/>
      <c r="T19" s="27">
        <v>2585</v>
      </c>
      <c r="U19" s="27">
        <v>2775</v>
      </c>
      <c r="V19" s="27"/>
      <c r="W19" s="27">
        <v>379</v>
      </c>
      <c r="X19" s="27">
        <v>500</v>
      </c>
      <c r="Y19" s="27"/>
      <c r="Z19" s="27">
        <v>1906</v>
      </c>
      <c r="AA19" s="27">
        <v>2046</v>
      </c>
      <c r="AB19" s="18" t="s">
        <v>28</v>
      </c>
    </row>
    <row r="20" spans="1:44" s="9" customFormat="1" ht="21" customHeight="1" x14ac:dyDescent="0.2">
      <c r="A20" s="19" t="s">
        <v>29</v>
      </c>
      <c r="B20" s="29">
        <v>4311</v>
      </c>
      <c r="C20" s="29">
        <v>3954</v>
      </c>
      <c r="D20" s="29"/>
      <c r="E20" s="30">
        <v>5582</v>
      </c>
      <c r="F20" s="30">
        <v>5414</v>
      </c>
      <c r="G20" s="30"/>
      <c r="H20" s="29">
        <v>5211</v>
      </c>
      <c r="I20" s="29">
        <v>5230</v>
      </c>
      <c r="J20" s="29"/>
      <c r="K20" s="29">
        <v>2422</v>
      </c>
      <c r="L20" s="29">
        <v>2450</v>
      </c>
      <c r="M20" s="29"/>
      <c r="N20" s="29">
        <v>8537</v>
      </c>
      <c r="O20" s="29">
        <v>7358</v>
      </c>
      <c r="P20" s="29"/>
      <c r="Q20" s="29">
        <v>7281</v>
      </c>
      <c r="R20" s="29">
        <v>6584</v>
      </c>
      <c r="S20" s="29"/>
      <c r="T20" s="29">
        <v>3464</v>
      </c>
      <c r="U20" s="29">
        <v>3107</v>
      </c>
      <c r="V20" s="29"/>
      <c r="W20" s="29">
        <v>692</v>
      </c>
      <c r="X20" s="29">
        <v>623</v>
      </c>
      <c r="Y20" s="29"/>
      <c r="Z20" s="29">
        <v>2332</v>
      </c>
      <c r="AA20" s="29">
        <v>2173</v>
      </c>
      <c r="AB20" s="20" t="s">
        <v>30</v>
      </c>
    </row>
    <row r="21" spans="1:44" ht="15" customHeight="1" x14ac:dyDescent="0.25">
      <c r="A21" s="5" t="s">
        <v>6</v>
      </c>
      <c r="AB21" s="6" t="s">
        <v>7</v>
      </c>
      <c r="AO21" s="9"/>
      <c r="AP21" s="21" t="s">
        <v>4</v>
      </c>
      <c r="AQ21" s="21" t="s">
        <v>5</v>
      </c>
    </row>
    <row r="22" spans="1:44" ht="15" customHeight="1" x14ac:dyDescent="0.25">
      <c r="AN22" s="22"/>
      <c r="AO22" s="22" t="str">
        <f>B5</f>
        <v>L.Kadhdhoo</v>
      </c>
      <c r="AP22" s="2">
        <v>35033</v>
      </c>
      <c r="AQ22" s="2">
        <v>34994</v>
      </c>
    </row>
    <row r="23" spans="1:44" s="9" customFormat="1" ht="18" customHeight="1" x14ac:dyDescent="0.4">
      <c r="B23" s="23"/>
      <c r="C23" s="24"/>
      <c r="D23" s="24"/>
      <c r="E23" s="24"/>
      <c r="F23" s="25"/>
      <c r="G23" s="25"/>
      <c r="U23" s="26"/>
      <c r="V23" s="26"/>
      <c r="X23" s="26"/>
      <c r="Y23" s="26"/>
      <c r="AA23" s="26"/>
      <c r="AB23" s="26"/>
      <c r="AE23" s="26"/>
      <c r="AM23" s="2"/>
      <c r="AN23" s="22"/>
      <c r="AO23" s="22" t="str">
        <f>E5</f>
        <v>GDh.Kaadedhdhoo</v>
      </c>
      <c r="AP23" s="9">
        <f>E8</f>
        <v>55267</v>
      </c>
      <c r="AQ23" s="9">
        <f>F8</f>
        <v>54554</v>
      </c>
    </row>
    <row r="24" spans="1:44" ht="18.75" x14ac:dyDescent="0.25">
      <c r="A24" s="8"/>
      <c r="T24" s="1"/>
      <c r="W24" s="1"/>
      <c r="Z24" s="1"/>
      <c r="AO24" s="2" t="str">
        <f>H5</f>
        <v>HDh.Hanimaadhoo</v>
      </c>
      <c r="AP24" s="2">
        <f>H8</f>
        <v>52366</v>
      </c>
      <c r="AQ24" s="2">
        <f>I8</f>
        <v>52708</v>
      </c>
    </row>
    <row r="25" spans="1:44" s="9" customFormat="1" ht="18" customHeight="1" x14ac:dyDescent="0.4">
      <c r="B25" s="23"/>
      <c r="C25" s="24"/>
      <c r="D25" s="24"/>
      <c r="E25" s="24"/>
      <c r="F25" s="25"/>
      <c r="G25" s="25"/>
      <c r="U25" s="26"/>
      <c r="V25" s="26"/>
      <c r="X25" s="26"/>
      <c r="Y25" s="26"/>
      <c r="AA25" s="26"/>
      <c r="AB25" s="26"/>
      <c r="AE25" s="26"/>
      <c r="AO25" s="9" t="str">
        <f>K5</f>
        <v xml:space="preserve">Gn.Fuvahmulah </v>
      </c>
      <c r="AP25" s="9">
        <f>K8</f>
        <v>19313</v>
      </c>
      <c r="AQ25" s="9">
        <f>L8</f>
        <v>19061</v>
      </c>
    </row>
    <row r="26" spans="1:44" ht="18.75" x14ac:dyDescent="0.25">
      <c r="A26" s="8"/>
      <c r="T26" s="1"/>
      <c r="W26" s="1"/>
      <c r="Z26" s="1"/>
      <c r="AO26" s="2" t="str">
        <f>N5</f>
        <v>ADh.Maamigili</v>
      </c>
      <c r="AP26" s="2">
        <f>N8</f>
        <v>101506</v>
      </c>
      <c r="AQ26" s="2">
        <f>O8</f>
        <v>96941</v>
      </c>
    </row>
    <row r="27" spans="1:44" x14ac:dyDescent="0.25">
      <c r="AO27" s="2" t="str">
        <f>Q5</f>
        <v>B.Dharavandhoo</v>
      </c>
      <c r="AP27" s="2">
        <f>Q8</f>
        <v>73634</v>
      </c>
      <c r="AQ27" s="2">
        <f>R8</f>
        <v>73112</v>
      </c>
    </row>
    <row r="28" spans="1:44" x14ac:dyDescent="0.25">
      <c r="AO28" s="2" t="str">
        <f>T5</f>
        <v>GA. Koodoo</v>
      </c>
      <c r="AP28" s="2">
        <f>T8</f>
        <v>33608</v>
      </c>
      <c r="AQ28" s="2">
        <f>U8</f>
        <v>32876</v>
      </c>
    </row>
    <row r="29" spans="1:44" ht="17.25" x14ac:dyDescent="0.4">
      <c r="D29" s="24"/>
      <c r="E29" s="24"/>
      <c r="F29" s="25"/>
      <c r="G29" s="25"/>
      <c r="H29" s="9"/>
      <c r="I29" s="9"/>
      <c r="AO29" s="2" t="s">
        <v>53</v>
      </c>
      <c r="AP29" s="2">
        <f>W8</f>
        <v>4729</v>
      </c>
      <c r="AQ29" s="2">
        <f>X8</f>
        <v>5043</v>
      </c>
    </row>
    <row r="30" spans="1:44" x14ac:dyDescent="0.25">
      <c r="AO30" s="2" t="str">
        <f>Z5</f>
        <v xml:space="preserve">R.Ifuru  </v>
      </c>
      <c r="AP30" s="2">
        <f>Z8</f>
        <v>9960</v>
      </c>
      <c r="AQ30" s="2">
        <f>AA8</f>
        <v>9356</v>
      </c>
    </row>
    <row r="32" spans="1:44" x14ac:dyDescent="0.25">
      <c r="AP32" s="2">
        <f>SUM(AP22:AP30)</f>
        <v>385416</v>
      </c>
      <c r="AQ32" s="2">
        <f>SUM(AQ22:AQ30)</f>
        <v>378645</v>
      </c>
      <c r="AR32" s="2">
        <f>SUM(AP32:AQ32)</f>
        <v>764061</v>
      </c>
    </row>
  </sheetData>
  <mergeCells count="2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</mergeCells>
  <pageMargins left="0.7" right="0.7" top="0.75" bottom="0.75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11.15</vt:lpstr>
      <vt:lpstr>'11.15'!Print_Area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2016-09-19T07:34:57Z</cp:lastPrinted>
  <dcterms:created xsi:type="dcterms:W3CDTF">2014-05-22T03:57:11Z</dcterms:created>
  <dcterms:modified xsi:type="dcterms:W3CDTF">2016-09-19T07:35:01Z</dcterms:modified>
</cp:coreProperties>
</file>