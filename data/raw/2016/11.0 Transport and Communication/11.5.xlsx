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5" sheetId="5" r:id="rId1"/>
  </sheets>
  <externalReferences>
    <externalReference r:id="rId2"/>
    <externalReference r:id="rId3"/>
  </externalReferences>
  <definedNames>
    <definedName name="_xlnm.Print_Area" localSheetId="0">'11.5'!$A$1:$U$31</definedName>
  </definedNames>
  <calcPr calcId="144525"/>
</workbook>
</file>

<file path=xl/calcChain.xml><?xml version="1.0" encoding="utf-8"?>
<calcChain xmlns="http://schemas.openxmlformats.org/spreadsheetml/2006/main">
  <c r="R9" i="5" l="1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U9" i="5"/>
  <c r="U7" i="5" s="1"/>
  <c r="T9" i="5"/>
  <c r="T7" i="5" s="1"/>
  <c r="S9" i="5"/>
  <c r="S7" i="5" s="1"/>
  <c r="Q9" i="5" l="1"/>
  <c r="R7" i="5"/>
  <c r="Q7" i="5" s="1"/>
  <c r="G29" i="5" l="1"/>
  <c r="B29" i="5"/>
  <c r="G28" i="5"/>
  <c r="B28" i="5"/>
  <c r="G27" i="5"/>
  <c r="B27" i="5"/>
  <c r="G26" i="5"/>
  <c r="B26" i="5"/>
  <c r="G25" i="5"/>
  <c r="B25" i="5"/>
  <c r="G24" i="5"/>
  <c r="B24" i="5"/>
  <c r="G23" i="5"/>
  <c r="B23" i="5"/>
  <c r="G22" i="5"/>
  <c r="B22" i="5"/>
  <c r="G21" i="5"/>
  <c r="G20" i="5"/>
  <c r="B20" i="5"/>
  <c r="G19" i="5"/>
  <c r="B19" i="5"/>
  <c r="G18" i="5"/>
  <c r="B18" i="5"/>
  <c r="G17" i="5"/>
  <c r="B17" i="5"/>
  <c r="G16" i="5"/>
  <c r="B16" i="5"/>
  <c r="G15" i="5"/>
  <c r="B15" i="5"/>
  <c r="G14" i="5"/>
  <c r="B14" i="5"/>
  <c r="G13" i="5"/>
  <c r="B13" i="5"/>
  <c r="G12" i="5"/>
  <c r="B12" i="5"/>
  <c r="G11" i="5"/>
  <c r="B11" i="5"/>
  <c r="G10" i="5"/>
  <c r="B10" i="5"/>
  <c r="K9" i="5"/>
  <c r="J9" i="5"/>
  <c r="I9" i="5"/>
  <c r="I7" i="5" s="1"/>
  <c r="H9" i="5"/>
  <c r="G9" i="5" s="1"/>
  <c r="F9" i="5"/>
  <c r="F7" i="5" s="1"/>
  <c r="E9" i="5"/>
  <c r="E7" i="5" s="1"/>
  <c r="D9" i="5"/>
  <c r="D7" i="5" s="1"/>
  <c r="C9" i="5"/>
  <c r="B9" i="5" s="1"/>
  <c r="G8" i="5"/>
  <c r="B8" i="5"/>
  <c r="K7" i="5"/>
  <c r="J7" i="5"/>
  <c r="G7" i="5" l="1"/>
  <c r="C7" i="5"/>
  <c r="H7" i="5"/>
  <c r="B7" i="5"/>
</calcChain>
</file>

<file path=xl/sharedStrings.xml><?xml version="1.0" encoding="utf-8"?>
<sst xmlns="http://schemas.openxmlformats.org/spreadsheetml/2006/main" count="51" uniqueCount="33">
  <si>
    <t>Locality</t>
  </si>
  <si>
    <t>Republic</t>
  </si>
  <si>
    <t>S</t>
  </si>
  <si>
    <t xml:space="preserve"> N</t>
  </si>
  <si>
    <t xml:space="preserve"> R</t>
  </si>
  <si>
    <t>B</t>
  </si>
  <si>
    <t>Lh</t>
  </si>
  <si>
    <t>K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</si>
  <si>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</si>
  <si>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</si>
  <si>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</si>
  <si>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</si>
  <si>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</si>
  <si>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</si>
  <si>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</si>
  <si>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</si>
  <si>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</si>
  <si>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Transport Authority</t>
  </si>
  <si>
    <t>މައުލޫމާތު ދެއްވީ : ޓްރާންސްޕޯޓް އޮތޯރިޓީ</t>
  </si>
  <si>
    <t>Total</t>
  </si>
  <si>
    <t>Dhoni size (lenghth in ft)</t>
  </si>
  <si>
    <t>below 46</t>
  </si>
  <si>
    <t>46-65</t>
  </si>
  <si>
    <t>66-84</t>
  </si>
  <si>
    <t>85+</t>
  </si>
  <si>
    <t>Male'</t>
  </si>
  <si>
    <t>Atolls</t>
  </si>
  <si>
    <t xml:space="preserve"> HA</t>
  </si>
  <si>
    <t xml:space="preserve"> HDh</t>
  </si>
  <si>
    <t xml:space="preserve"> Sh</t>
  </si>
  <si>
    <t xml:space="preserve"> AA</t>
  </si>
  <si>
    <t>Adh</t>
  </si>
  <si>
    <t>Table 11.5 :   REGISTERED DHONIS BY SIZE OF VESSEL BY LOCALITY, 2014- 2015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</si>
</sst>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i/>
      <sz val="10"/>
      <name val="Arial"/>
      <family val="2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9" fillId="0" borderId="0"/>
    <xf numFmtId="40" fontId="13" fillId="0" borderId="0" applyFont="0" applyFill="0" applyBorder="0" applyAlignment="0" applyProtection="0"/>
    <xf numFmtId="166" fontId="9" fillId="0" borderId="0"/>
    <xf numFmtId="166" fontId="9" fillId="0" borderId="0"/>
    <xf numFmtId="165" fontId="9" fillId="0" borderId="0" applyFont="0" applyFill="0" applyBorder="0" applyAlignment="0" applyProtection="0"/>
    <xf numFmtId="0" fontId="15" fillId="0" borderId="0"/>
    <xf numFmtId="164" fontId="9" fillId="0" borderId="0"/>
    <xf numFmtId="167" fontId="9" fillId="0" borderId="0" applyFont="0" applyFill="0" applyBorder="0" applyAlignment="0" applyProtection="0"/>
  </cellStyleXfs>
  <cellXfs count="46">
    <xf numFmtId="0" fontId="0" fillId="0" borderId="0" xfId="0"/>
    <xf numFmtId="164" fontId="6" fillId="2" borderId="0" xfId="2" applyNumberFormat="1" applyFont="1" applyFill="1" applyBorder="1" applyAlignment="1" applyProtection="1">
      <alignment horizontal="center"/>
    </xf>
    <xf numFmtId="0" fontId="1" fillId="2" borderId="0" xfId="2" applyFont="1" applyFill="1" applyBorder="1" applyAlignment="1"/>
    <xf numFmtId="164" fontId="6" fillId="2" borderId="2" xfId="2" applyNumberFormat="1" applyFont="1" applyFill="1" applyBorder="1" applyAlignment="1" applyProtection="1">
      <alignment horizontal="center"/>
    </xf>
    <xf numFmtId="0" fontId="1" fillId="2" borderId="0" xfId="2" applyFont="1" applyFill="1" applyAlignment="1"/>
    <xf numFmtId="0" fontId="12" fillId="2" borderId="0" xfId="2" applyFont="1" applyFill="1" applyAlignment="1">
      <alignment horizontal="center" vertical="center"/>
    </xf>
    <xf numFmtId="164" fontId="7" fillId="2" borderId="0" xfId="2" applyNumberFormat="1" applyFont="1" applyFill="1" applyBorder="1" applyAlignment="1" applyProtection="1"/>
    <xf numFmtId="0" fontId="1" fillId="2" borderId="0" xfId="2" applyFont="1" applyFill="1" applyAlignment="1">
      <alignment horizontal="right" vertical="center"/>
    </xf>
    <xf numFmtId="164" fontId="2" fillId="2" borderId="2" xfId="2" applyNumberFormat="1" applyFont="1" applyFill="1" applyBorder="1" applyAlignment="1">
      <alignment horizontal="right" vertical="center"/>
    </xf>
    <xf numFmtId="164" fontId="2" fillId="2" borderId="9" xfId="2" applyNumberFormat="1" applyFont="1" applyFill="1" applyBorder="1" applyAlignment="1">
      <alignment horizontal="right" vertical="center"/>
    </xf>
    <xf numFmtId="164" fontId="2" fillId="2" borderId="8" xfId="2" applyNumberFormat="1" applyFont="1" applyFill="1" applyBorder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3" fontId="2" fillId="2" borderId="7" xfId="2" applyNumberFormat="1" applyFont="1" applyFill="1" applyBorder="1" applyAlignment="1">
      <alignment horizontal="right" vertical="center"/>
    </xf>
    <xf numFmtId="3" fontId="2" fillId="2" borderId="6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 applyProtection="1">
      <alignment horizontal="right" vertical="center"/>
    </xf>
    <xf numFmtId="3" fontId="3" fillId="2" borderId="7" xfId="2" applyNumberFormat="1" applyFont="1" applyFill="1" applyBorder="1" applyAlignment="1">
      <alignment horizontal="right" vertical="center"/>
    </xf>
    <xf numFmtId="3" fontId="2" fillId="2" borderId="2" xfId="2" applyNumberFormat="1" applyFont="1" applyFill="1" applyBorder="1" applyAlignment="1">
      <alignment horizontal="right" vertical="center"/>
    </xf>
    <xf numFmtId="3" fontId="3" fillId="2" borderId="2" xfId="2" applyNumberFormat="1" applyFont="1" applyFill="1" applyBorder="1" applyAlignment="1">
      <alignment horizontal="right" vertical="center"/>
    </xf>
    <xf numFmtId="3" fontId="3" fillId="2" borderId="2" xfId="2" applyNumberFormat="1" applyFont="1" applyFill="1" applyBorder="1" applyAlignment="1" applyProtection="1">
      <alignment horizontal="right" vertical="center"/>
    </xf>
    <xf numFmtId="3" fontId="3" fillId="2" borderId="9" xfId="2" applyNumberFormat="1" applyFont="1" applyFill="1" applyBorder="1" applyAlignment="1">
      <alignment horizontal="right" vertical="center"/>
    </xf>
    <xf numFmtId="3" fontId="2" fillId="2" borderId="8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/>
    <xf numFmtId="164" fontId="10" fillId="2" borderId="0" xfId="2" applyNumberFormat="1" applyFont="1" applyFill="1" applyBorder="1" applyAlignment="1"/>
    <xf numFmtId="164" fontId="5" fillId="2" borderId="0" xfId="2" applyNumberFormat="1" applyFont="1" applyFill="1" applyBorder="1" applyAlignment="1"/>
    <xf numFmtId="0" fontId="14" fillId="2" borderId="0" xfId="2" applyFont="1" applyFill="1" applyAlignment="1"/>
    <xf numFmtId="164" fontId="11" fillId="2" borderId="4" xfId="2" applyNumberFormat="1" applyFont="1" applyFill="1" applyBorder="1" applyAlignment="1">
      <alignment horizontal="left"/>
    </xf>
    <xf numFmtId="0" fontId="8" fillId="2" borderId="3" xfId="0" applyNumberFormat="1" applyFont="1" applyFill="1" applyBorder="1" applyAlignment="1">
      <alignment horizontal="right"/>
    </xf>
    <xf numFmtId="0" fontId="3" fillId="2" borderId="0" xfId="2" applyFont="1" applyFill="1" applyAlignment="1"/>
    <xf numFmtId="164" fontId="2" fillId="2" borderId="16" xfId="2" applyNumberFormat="1" applyFont="1" applyFill="1" applyBorder="1" applyAlignment="1">
      <alignment horizontal="right" vertical="center"/>
    </xf>
    <xf numFmtId="164" fontId="2" fillId="2" borderId="17" xfId="2" applyNumberFormat="1" applyFont="1" applyFill="1" applyBorder="1" applyAlignment="1">
      <alignment horizontal="right" vertical="center"/>
    </xf>
    <xf numFmtId="164" fontId="2" fillId="2" borderId="0" xfId="2" applyNumberFormat="1" applyFont="1" applyFill="1" applyBorder="1" applyAlignment="1">
      <alignment horizontal="left" vertical="center" indent="2"/>
    </xf>
    <xf numFmtId="164" fontId="3" fillId="2" borderId="0" xfId="2" applyNumberFormat="1" applyFont="1" applyFill="1" applyAlignment="1" applyProtection="1">
      <alignment horizontal="left" vertical="center" indent="2"/>
    </xf>
    <xf numFmtId="164" fontId="3" fillId="2" borderId="2" xfId="2" applyNumberFormat="1" applyFont="1" applyFill="1" applyBorder="1" applyAlignment="1" applyProtection="1">
      <alignment horizontal="left" vertical="center" indent="2"/>
    </xf>
    <xf numFmtId="3" fontId="2" fillId="2" borderId="5" xfId="2" applyNumberFormat="1" applyFont="1" applyFill="1" applyBorder="1" applyAlignment="1">
      <alignment horizontal="right" vertical="center"/>
    </xf>
    <xf numFmtId="164" fontId="2" fillId="0" borderId="12" xfId="2" applyNumberFormat="1" applyFont="1" applyFill="1" applyBorder="1" applyAlignment="1" applyProtection="1">
      <alignment horizontal="center"/>
    </xf>
    <xf numFmtId="164" fontId="2" fillId="0" borderId="10" xfId="2" applyNumberFormat="1" applyFont="1" applyFill="1" applyBorder="1" applyAlignment="1" applyProtection="1">
      <alignment horizontal="center"/>
    </xf>
    <xf numFmtId="164" fontId="2" fillId="2" borderId="15" xfId="2" applyNumberFormat="1" applyFont="1" applyFill="1" applyBorder="1" applyAlignment="1">
      <alignment horizontal="center" vertical="center"/>
    </xf>
    <xf numFmtId="164" fontId="2" fillId="2" borderId="13" xfId="2" applyNumberFormat="1" applyFont="1" applyFill="1" applyBorder="1" applyAlignment="1">
      <alignment horizontal="center" vertical="center"/>
    </xf>
    <xf numFmtId="164" fontId="2" fillId="2" borderId="0" xfId="2" applyNumberFormat="1" applyFont="1" applyFill="1" applyBorder="1" applyAlignment="1" applyProtection="1">
      <alignment horizontal="center"/>
    </xf>
    <xf numFmtId="164" fontId="2" fillId="2" borderId="1" xfId="2" applyNumberFormat="1" applyFont="1" applyFill="1" applyBorder="1" applyAlignment="1" applyProtection="1">
      <alignment vertical="center"/>
    </xf>
    <xf numFmtId="164" fontId="2" fillId="2" borderId="0" xfId="2" applyNumberFormat="1" applyFont="1" applyFill="1" applyBorder="1" applyAlignment="1" applyProtection="1">
      <alignment vertical="center"/>
    </xf>
    <xf numFmtId="164" fontId="2" fillId="2" borderId="2" xfId="2" applyNumberFormat="1" applyFont="1" applyFill="1" applyBorder="1" applyAlignment="1" applyProtection="1">
      <alignment vertical="center"/>
    </xf>
    <xf numFmtId="164" fontId="2" fillId="2" borderId="10" xfId="2" applyNumberFormat="1" applyFont="1" applyFill="1" applyBorder="1" applyAlignment="1" applyProtection="1">
      <alignment horizontal="center"/>
    </xf>
    <xf numFmtId="164" fontId="2" fillId="2" borderId="14" xfId="2" applyNumberFormat="1" applyFont="1" applyFill="1" applyBorder="1" applyAlignment="1">
      <alignment horizontal="center" vertical="center"/>
    </xf>
    <xf numFmtId="164" fontId="2" fillId="2" borderId="11" xfId="2" applyNumberFormat="1" applyFont="1" applyFill="1" applyBorder="1" applyAlignment="1" applyProtection="1">
      <alignment horizontal="center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U32"/>
  <sheetViews>
    <sheetView tabSelected="1" zoomScaleNormal="100" workbookViewId="0">
      <selection activeCell="N40" sqref="N40"/>
    </sheetView>
  </sheetViews>
  <sheetFormatPr defaultColWidth="9.140625" defaultRowHeight="15" x14ac:dyDescent="0.25"/>
  <cols>
    <col min="1" max="1" width="15.28515625" style="4" customWidth="1"/>
    <col min="2" max="11" width="10" style="4" hidden="1" customWidth="1"/>
    <col min="12" max="22" width="10" style="4" customWidth="1"/>
    <col min="23" max="16384" width="9.140625" style="4"/>
  </cols>
  <sheetData>
    <row r="2" spans="1:21" s="2" customFormat="1" x14ac:dyDescent="0.25">
      <c r="A2" s="39" t="s">
        <v>32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x14ac:dyDescent="0.2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40" t="s">
        <v>0</v>
      </c>
      <c r="B4" s="43">
        <v>2012</v>
      </c>
      <c r="C4" s="43"/>
      <c r="D4" s="43"/>
      <c r="E4" s="43"/>
      <c r="F4" s="45"/>
      <c r="G4" s="43">
        <v>2013</v>
      </c>
      <c r="H4" s="43"/>
      <c r="I4" s="43"/>
      <c r="J4" s="43"/>
      <c r="K4" s="43"/>
      <c r="L4" s="35">
        <v>2014</v>
      </c>
      <c r="M4" s="36"/>
      <c r="N4" s="36"/>
      <c r="O4" s="36"/>
      <c r="P4" s="36"/>
      <c r="Q4" s="35">
        <v>2015</v>
      </c>
      <c r="R4" s="36"/>
      <c r="S4" s="36"/>
      <c r="T4" s="36"/>
      <c r="U4" s="36"/>
    </row>
    <row r="5" spans="1:21" s="5" customFormat="1" x14ac:dyDescent="0.25">
      <c r="A5" s="41"/>
      <c r="B5" s="38" t="s">
        <v>20</v>
      </c>
      <c r="C5" s="38"/>
      <c r="D5" s="38"/>
      <c r="E5" s="38"/>
      <c r="F5" s="44"/>
      <c r="G5" s="37" t="s">
        <v>20</v>
      </c>
      <c r="H5" s="38"/>
      <c r="I5" s="38"/>
      <c r="J5" s="38"/>
      <c r="K5" s="44"/>
      <c r="L5" s="37" t="s">
        <v>20</v>
      </c>
      <c r="M5" s="38"/>
      <c r="N5" s="38"/>
      <c r="O5" s="38"/>
      <c r="P5" s="38"/>
      <c r="Q5" s="37" t="s">
        <v>20</v>
      </c>
      <c r="R5" s="38"/>
      <c r="S5" s="38"/>
      <c r="T5" s="38"/>
      <c r="U5" s="38"/>
    </row>
    <row r="6" spans="1:21" s="7" customFormat="1" x14ac:dyDescent="0.25">
      <c r="A6" s="42"/>
      <c r="B6" s="8" t="s">
        <v>19</v>
      </c>
      <c r="C6" s="8" t="s">
        <v>21</v>
      </c>
      <c r="D6" s="8" t="s">
        <v>22</v>
      </c>
      <c r="E6" s="8" t="s">
        <v>23</v>
      </c>
      <c r="F6" s="9" t="s">
        <v>24</v>
      </c>
      <c r="G6" s="8" t="s">
        <v>19</v>
      </c>
      <c r="H6" s="8" t="s">
        <v>21</v>
      </c>
      <c r="I6" s="8" t="s">
        <v>22</v>
      </c>
      <c r="J6" s="8" t="s">
        <v>23</v>
      </c>
      <c r="K6" s="8" t="s">
        <v>24</v>
      </c>
      <c r="L6" s="10" t="s">
        <v>19</v>
      </c>
      <c r="M6" s="8" t="s">
        <v>21</v>
      </c>
      <c r="N6" s="29" t="s">
        <v>22</v>
      </c>
      <c r="O6" s="29" t="s">
        <v>23</v>
      </c>
      <c r="P6" s="29" t="s">
        <v>24</v>
      </c>
      <c r="Q6" s="30" t="s">
        <v>19</v>
      </c>
      <c r="R6" s="29" t="s">
        <v>21</v>
      </c>
      <c r="S6" s="29" t="s">
        <v>22</v>
      </c>
      <c r="T6" s="29" t="s">
        <v>23</v>
      </c>
      <c r="U6" s="29" t="s">
        <v>24</v>
      </c>
    </row>
    <row r="7" spans="1:21" x14ac:dyDescent="0.25">
      <c r="A7" s="31" t="s">
        <v>1</v>
      </c>
      <c r="B7" s="11">
        <f t="shared" ref="B7:K7" si="0">SUM(B8+B9)</f>
        <v>11236</v>
      </c>
      <c r="C7" s="11">
        <f t="shared" si="0"/>
        <v>11154</v>
      </c>
      <c r="D7" s="11">
        <f t="shared" si="0"/>
        <v>46</v>
      </c>
      <c r="E7" s="11">
        <f t="shared" si="0"/>
        <v>23</v>
      </c>
      <c r="F7" s="12">
        <f t="shared" si="0"/>
        <v>13</v>
      </c>
      <c r="G7" s="11">
        <f>SUM(G8+G9)</f>
        <v>11702</v>
      </c>
      <c r="H7" s="11">
        <f t="shared" si="0"/>
        <v>11610</v>
      </c>
      <c r="I7" s="11">
        <f t="shared" si="0"/>
        <v>54</v>
      </c>
      <c r="J7" s="11">
        <f t="shared" si="0"/>
        <v>23</v>
      </c>
      <c r="K7" s="11">
        <f t="shared" si="0"/>
        <v>15</v>
      </c>
      <c r="L7" s="13">
        <v>12074</v>
      </c>
      <c r="M7" s="11">
        <v>11985</v>
      </c>
      <c r="N7" s="11">
        <v>54</v>
      </c>
      <c r="O7" s="11">
        <v>21</v>
      </c>
      <c r="P7" s="11">
        <v>14</v>
      </c>
      <c r="Q7" s="34">
        <f>SUM(R7:U7)</f>
        <v>12672</v>
      </c>
      <c r="R7" s="11">
        <f t="shared" ref="R7:U7" si="1">SUM(R8:R9)</f>
        <v>12401</v>
      </c>
      <c r="S7" s="11">
        <f>SUM(S8:S9)</f>
        <v>156</v>
      </c>
      <c r="T7" s="11">
        <f t="shared" si="1"/>
        <v>76</v>
      </c>
      <c r="U7" s="11">
        <f t="shared" si="1"/>
        <v>39</v>
      </c>
    </row>
    <row r="8" spans="1:21" s="28" customFormat="1" x14ac:dyDescent="0.25">
      <c r="A8" s="31" t="s">
        <v>25</v>
      </c>
      <c r="B8" s="11">
        <f>SUM(C8:F8)</f>
        <v>3872</v>
      </c>
      <c r="C8" s="11">
        <v>3790</v>
      </c>
      <c r="D8" s="11">
        <v>46</v>
      </c>
      <c r="E8" s="11">
        <v>23</v>
      </c>
      <c r="F8" s="12">
        <v>13</v>
      </c>
      <c r="G8" s="11">
        <f>SUM(H8:K8)</f>
        <v>3990</v>
      </c>
      <c r="H8" s="11">
        <v>3898</v>
      </c>
      <c r="I8" s="11">
        <v>54</v>
      </c>
      <c r="J8" s="11">
        <v>23</v>
      </c>
      <c r="K8" s="11">
        <v>15</v>
      </c>
      <c r="L8" s="13">
        <v>4135</v>
      </c>
      <c r="M8" s="11">
        <v>4046</v>
      </c>
      <c r="N8" s="11">
        <v>54</v>
      </c>
      <c r="O8" s="11">
        <v>21</v>
      </c>
      <c r="P8" s="11">
        <v>14</v>
      </c>
      <c r="Q8" s="13">
        <v>4135</v>
      </c>
      <c r="R8" s="11">
        <v>4186</v>
      </c>
      <c r="S8" s="11">
        <v>156</v>
      </c>
      <c r="T8" s="11">
        <v>76</v>
      </c>
      <c r="U8" s="11">
        <v>39</v>
      </c>
    </row>
    <row r="9" spans="1:21" x14ac:dyDescent="0.25">
      <c r="A9" s="31" t="s">
        <v>26</v>
      </c>
      <c r="B9" s="11">
        <f>SUM(C9:F9)</f>
        <v>7364</v>
      </c>
      <c r="C9" s="11">
        <f>SUM(C10:C29)</f>
        <v>7364</v>
      </c>
      <c r="D9" s="11">
        <f>SUM(D10:D29)</f>
        <v>0</v>
      </c>
      <c r="E9" s="11">
        <f>SUM(E10:E29)</f>
        <v>0</v>
      </c>
      <c r="F9" s="12">
        <f>SUM(F10:F29)</f>
        <v>0</v>
      </c>
      <c r="G9" s="11">
        <f>SUM(H9:K9)</f>
        <v>7712</v>
      </c>
      <c r="H9" s="11">
        <f>SUM(H10:H29)</f>
        <v>7712</v>
      </c>
      <c r="I9" s="11">
        <f>SUM(I10:I29)</f>
        <v>0</v>
      </c>
      <c r="J9" s="11">
        <f>SUM(J10:J29)</f>
        <v>0</v>
      </c>
      <c r="K9" s="11">
        <f>SUM(K10:K29)</f>
        <v>0</v>
      </c>
      <c r="L9" s="13">
        <v>7939</v>
      </c>
      <c r="M9" s="11">
        <v>7939</v>
      </c>
      <c r="N9" s="11">
        <v>0</v>
      </c>
      <c r="O9" s="11">
        <v>0</v>
      </c>
      <c r="P9" s="11">
        <v>0</v>
      </c>
      <c r="Q9" s="13">
        <f>SUM(R9:U9)</f>
        <v>8215</v>
      </c>
      <c r="R9" s="11">
        <f>SUM(R10:R29)</f>
        <v>8215</v>
      </c>
      <c r="S9" s="11">
        <f>SUM(S10:S29)</f>
        <v>0</v>
      </c>
      <c r="T9" s="11">
        <f>SUM(T10:T29)</f>
        <v>0</v>
      </c>
      <c r="U9" s="11">
        <f>SUM(U10:U29)</f>
        <v>0</v>
      </c>
    </row>
    <row r="10" spans="1:21" x14ac:dyDescent="0.25">
      <c r="A10" s="32" t="s">
        <v>27</v>
      </c>
      <c r="B10" s="11">
        <f>SUM(C10:F10)</f>
        <v>495</v>
      </c>
      <c r="C10" s="14">
        <v>495</v>
      </c>
      <c r="D10" s="14">
        <v>0</v>
      </c>
      <c r="E10" s="15">
        <v>0</v>
      </c>
      <c r="F10" s="16">
        <v>0</v>
      </c>
      <c r="G10" s="11">
        <f t="shared" ref="G10:G29" si="2">SUM(H10:K10)</f>
        <v>520</v>
      </c>
      <c r="H10" s="14">
        <v>520</v>
      </c>
      <c r="I10" s="14">
        <v>0</v>
      </c>
      <c r="J10" s="14">
        <v>0</v>
      </c>
      <c r="K10" s="14">
        <v>0</v>
      </c>
      <c r="L10" s="13">
        <v>535</v>
      </c>
      <c r="M10" s="14">
        <v>535</v>
      </c>
      <c r="N10" s="14">
        <v>0</v>
      </c>
      <c r="O10" s="14">
        <v>0</v>
      </c>
      <c r="P10" s="14">
        <v>0</v>
      </c>
      <c r="Q10" s="13">
        <f t="shared" ref="Q10:Q29" si="3">SUM(R10:U10)</f>
        <v>621</v>
      </c>
      <c r="R10" s="14">
        <v>621</v>
      </c>
      <c r="S10" s="14">
        <v>0</v>
      </c>
      <c r="T10" s="14">
        <v>0</v>
      </c>
      <c r="U10" s="14">
        <v>0</v>
      </c>
    </row>
    <row r="11" spans="1:21" x14ac:dyDescent="0.25">
      <c r="A11" s="32" t="s">
        <v>28</v>
      </c>
      <c r="B11" s="11">
        <f t="shared" ref="B11:B29" si="4">SUM(C11:F11)</f>
        <v>537</v>
      </c>
      <c r="C11" s="14">
        <v>537</v>
      </c>
      <c r="D11" s="14">
        <v>0</v>
      </c>
      <c r="E11" s="15">
        <v>0</v>
      </c>
      <c r="F11" s="16">
        <v>0</v>
      </c>
      <c r="G11" s="11">
        <f t="shared" si="2"/>
        <v>549</v>
      </c>
      <c r="H11" s="14">
        <v>549</v>
      </c>
      <c r="I11" s="14">
        <v>0</v>
      </c>
      <c r="J11" s="14">
        <v>0</v>
      </c>
      <c r="K11" s="14">
        <v>0</v>
      </c>
      <c r="L11" s="13">
        <v>555</v>
      </c>
      <c r="M11" s="14">
        <v>555</v>
      </c>
      <c r="N11" s="14">
        <v>0</v>
      </c>
      <c r="O11" s="14">
        <v>0</v>
      </c>
      <c r="P11" s="14">
        <v>0</v>
      </c>
      <c r="Q11" s="13">
        <f t="shared" si="3"/>
        <v>575</v>
      </c>
      <c r="R11" s="14">
        <v>575</v>
      </c>
      <c r="S11" s="14">
        <v>0</v>
      </c>
      <c r="T11" s="14">
        <v>0</v>
      </c>
      <c r="U11" s="14">
        <v>0</v>
      </c>
    </row>
    <row r="12" spans="1:21" x14ac:dyDescent="0.25">
      <c r="A12" s="32" t="s">
        <v>29</v>
      </c>
      <c r="B12" s="11">
        <f t="shared" si="4"/>
        <v>507</v>
      </c>
      <c r="C12" s="14">
        <v>507</v>
      </c>
      <c r="D12" s="14">
        <v>0</v>
      </c>
      <c r="E12" s="15">
        <v>0</v>
      </c>
      <c r="F12" s="16">
        <v>0</v>
      </c>
      <c r="G12" s="11">
        <f t="shared" si="2"/>
        <v>520</v>
      </c>
      <c r="H12" s="14">
        <v>520</v>
      </c>
      <c r="I12" s="14">
        <v>0</v>
      </c>
      <c r="J12" s="14">
        <v>0</v>
      </c>
      <c r="K12" s="14">
        <v>0</v>
      </c>
      <c r="L12" s="13">
        <v>535</v>
      </c>
      <c r="M12" s="14">
        <v>535</v>
      </c>
      <c r="N12" s="14">
        <v>0</v>
      </c>
      <c r="O12" s="14">
        <v>0</v>
      </c>
      <c r="P12" s="14">
        <v>0</v>
      </c>
      <c r="Q12" s="13">
        <f t="shared" si="3"/>
        <v>537</v>
      </c>
      <c r="R12" s="14">
        <v>537</v>
      </c>
      <c r="S12" s="14">
        <v>0</v>
      </c>
      <c r="T12" s="14">
        <v>0</v>
      </c>
      <c r="U12" s="14">
        <v>0</v>
      </c>
    </row>
    <row r="13" spans="1:21" x14ac:dyDescent="0.25">
      <c r="A13" s="32" t="s">
        <v>3</v>
      </c>
      <c r="B13" s="11">
        <f t="shared" si="4"/>
        <v>427</v>
      </c>
      <c r="C13" s="14">
        <v>427</v>
      </c>
      <c r="D13" s="14">
        <v>0</v>
      </c>
      <c r="E13" s="15">
        <v>0</v>
      </c>
      <c r="F13" s="16">
        <v>0</v>
      </c>
      <c r="G13" s="11">
        <f t="shared" si="2"/>
        <v>444</v>
      </c>
      <c r="H13" s="14">
        <v>444</v>
      </c>
      <c r="I13" s="14">
        <v>0</v>
      </c>
      <c r="J13" s="14">
        <v>0</v>
      </c>
      <c r="K13" s="14">
        <v>0</v>
      </c>
      <c r="L13" s="13">
        <v>461</v>
      </c>
      <c r="M13" s="14">
        <v>461</v>
      </c>
      <c r="N13" s="14">
        <v>0</v>
      </c>
      <c r="O13" s="14">
        <v>0</v>
      </c>
      <c r="P13" s="14">
        <v>0</v>
      </c>
      <c r="Q13" s="13">
        <f t="shared" si="3"/>
        <v>470</v>
      </c>
      <c r="R13" s="14">
        <v>470</v>
      </c>
      <c r="S13" s="14">
        <v>0</v>
      </c>
      <c r="T13" s="14">
        <v>0</v>
      </c>
      <c r="U13" s="14">
        <v>0</v>
      </c>
    </row>
    <row r="14" spans="1:21" x14ac:dyDescent="0.25">
      <c r="A14" s="32" t="s">
        <v>4</v>
      </c>
      <c r="B14" s="11">
        <f t="shared" si="4"/>
        <v>646</v>
      </c>
      <c r="C14" s="14">
        <v>646</v>
      </c>
      <c r="D14" s="14">
        <v>0</v>
      </c>
      <c r="E14" s="15">
        <v>0</v>
      </c>
      <c r="F14" s="16">
        <v>0</v>
      </c>
      <c r="G14" s="11">
        <f t="shared" si="2"/>
        <v>666</v>
      </c>
      <c r="H14" s="14">
        <v>666</v>
      </c>
      <c r="I14" s="14">
        <v>0</v>
      </c>
      <c r="J14" s="14">
        <v>0</v>
      </c>
      <c r="K14" s="14">
        <v>0</v>
      </c>
      <c r="L14" s="13">
        <v>681</v>
      </c>
      <c r="M14" s="14">
        <v>681</v>
      </c>
      <c r="N14" s="14">
        <v>0</v>
      </c>
      <c r="O14" s="14">
        <v>0</v>
      </c>
      <c r="P14" s="14">
        <v>0</v>
      </c>
      <c r="Q14" s="13">
        <f t="shared" si="3"/>
        <v>685</v>
      </c>
      <c r="R14" s="14">
        <v>685</v>
      </c>
      <c r="S14" s="14">
        <v>0</v>
      </c>
      <c r="T14" s="14">
        <v>0</v>
      </c>
      <c r="U14" s="14">
        <v>0</v>
      </c>
    </row>
    <row r="15" spans="1:21" x14ac:dyDescent="0.25">
      <c r="A15" s="32" t="s">
        <v>5</v>
      </c>
      <c r="B15" s="11">
        <f t="shared" si="4"/>
        <v>452</v>
      </c>
      <c r="C15" s="14">
        <v>452</v>
      </c>
      <c r="D15" s="14">
        <v>0</v>
      </c>
      <c r="E15" s="15">
        <v>0</v>
      </c>
      <c r="F15" s="16">
        <v>0</v>
      </c>
      <c r="G15" s="11">
        <f t="shared" si="2"/>
        <v>473</v>
      </c>
      <c r="H15" s="14">
        <v>473</v>
      </c>
      <c r="I15" s="14">
        <v>0</v>
      </c>
      <c r="J15" s="14">
        <v>0</v>
      </c>
      <c r="K15" s="14">
        <v>0</v>
      </c>
      <c r="L15" s="13">
        <v>502</v>
      </c>
      <c r="M15" s="14">
        <v>502</v>
      </c>
      <c r="N15" s="14">
        <v>0</v>
      </c>
      <c r="O15" s="14">
        <v>0</v>
      </c>
      <c r="P15" s="14">
        <v>0</v>
      </c>
      <c r="Q15" s="13">
        <f t="shared" si="3"/>
        <v>513</v>
      </c>
      <c r="R15" s="14">
        <v>513</v>
      </c>
      <c r="S15" s="14">
        <v>0</v>
      </c>
      <c r="T15" s="14">
        <v>0</v>
      </c>
      <c r="U15" s="14">
        <v>0</v>
      </c>
    </row>
    <row r="16" spans="1:21" x14ac:dyDescent="0.25">
      <c r="A16" s="32" t="s">
        <v>6</v>
      </c>
      <c r="B16" s="11">
        <f t="shared" si="4"/>
        <v>255</v>
      </c>
      <c r="C16" s="14">
        <v>255</v>
      </c>
      <c r="D16" s="14">
        <v>0</v>
      </c>
      <c r="E16" s="15">
        <v>0</v>
      </c>
      <c r="F16" s="16">
        <v>0</v>
      </c>
      <c r="G16" s="11">
        <f t="shared" si="2"/>
        <v>259</v>
      </c>
      <c r="H16" s="14">
        <v>259</v>
      </c>
      <c r="I16" s="14">
        <v>0</v>
      </c>
      <c r="J16" s="14">
        <v>0</v>
      </c>
      <c r="K16" s="14">
        <v>0</v>
      </c>
      <c r="L16" s="13">
        <v>263</v>
      </c>
      <c r="M16" s="14">
        <v>263</v>
      </c>
      <c r="N16" s="14">
        <v>0</v>
      </c>
      <c r="O16" s="14">
        <v>0</v>
      </c>
      <c r="P16" s="14">
        <v>0</v>
      </c>
      <c r="Q16" s="13">
        <f t="shared" si="3"/>
        <v>265</v>
      </c>
      <c r="R16" s="14">
        <v>265</v>
      </c>
      <c r="S16" s="14">
        <v>0</v>
      </c>
      <c r="T16" s="14">
        <v>0</v>
      </c>
      <c r="U16" s="14">
        <v>0</v>
      </c>
    </row>
    <row r="17" spans="1:21" x14ac:dyDescent="0.25">
      <c r="A17" s="32" t="s">
        <v>7</v>
      </c>
      <c r="B17" s="11">
        <f t="shared" si="4"/>
        <v>348</v>
      </c>
      <c r="C17" s="14">
        <v>348</v>
      </c>
      <c r="D17" s="14">
        <v>0</v>
      </c>
      <c r="E17" s="15">
        <v>0</v>
      </c>
      <c r="F17" s="16">
        <v>0</v>
      </c>
      <c r="G17" s="11">
        <f t="shared" si="2"/>
        <v>361</v>
      </c>
      <c r="H17" s="14">
        <v>361</v>
      </c>
      <c r="I17" s="14">
        <v>0</v>
      </c>
      <c r="J17" s="14">
        <v>0</v>
      </c>
      <c r="K17" s="14">
        <v>0</v>
      </c>
      <c r="L17" s="13">
        <v>386</v>
      </c>
      <c r="M17" s="14">
        <v>386</v>
      </c>
      <c r="N17" s="14">
        <v>0</v>
      </c>
      <c r="O17" s="14">
        <v>0</v>
      </c>
      <c r="P17" s="14">
        <v>0</v>
      </c>
      <c r="Q17" s="13">
        <f t="shared" si="3"/>
        <v>389</v>
      </c>
      <c r="R17" s="14">
        <v>389</v>
      </c>
      <c r="S17" s="14">
        <v>0</v>
      </c>
      <c r="T17" s="14">
        <v>0</v>
      </c>
      <c r="U17" s="14">
        <v>0</v>
      </c>
    </row>
    <row r="18" spans="1:21" x14ac:dyDescent="0.25">
      <c r="A18" s="32" t="s">
        <v>30</v>
      </c>
      <c r="B18" s="11">
        <f t="shared" si="4"/>
        <v>270</v>
      </c>
      <c r="C18" s="14">
        <v>270</v>
      </c>
      <c r="D18" s="14">
        <v>0</v>
      </c>
      <c r="E18" s="15">
        <v>0</v>
      </c>
      <c r="F18" s="16">
        <v>0</v>
      </c>
      <c r="G18" s="11">
        <f t="shared" si="2"/>
        <v>279</v>
      </c>
      <c r="H18" s="14">
        <v>279</v>
      </c>
      <c r="I18" s="14">
        <v>0</v>
      </c>
      <c r="J18" s="15">
        <v>0</v>
      </c>
      <c r="K18" s="14">
        <v>0</v>
      </c>
      <c r="L18" s="13">
        <v>284</v>
      </c>
      <c r="M18" s="14">
        <v>284</v>
      </c>
      <c r="N18" s="14">
        <v>0</v>
      </c>
      <c r="O18" s="15">
        <v>0</v>
      </c>
      <c r="P18" s="14">
        <v>0</v>
      </c>
      <c r="Q18" s="13">
        <f t="shared" si="3"/>
        <v>286</v>
      </c>
      <c r="R18" s="14">
        <v>286</v>
      </c>
      <c r="S18" s="14">
        <v>0</v>
      </c>
      <c r="T18" s="15">
        <v>0</v>
      </c>
      <c r="U18" s="14">
        <v>0</v>
      </c>
    </row>
    <row r="19" spans="1:21" x14ac:dyDescent="0.25">
      <c r="A19" s="32" t="s">
        <v>31</v>
      </c>
      <c r="B19" s="11">
        <f t="shared" si="4"/>
        <v>592</v>
      </c>
      <c r="C19" s="14">
        <v>592</v>
      </c>
      <c r="D19" s="14">
        <v>0</v>
      </c>
      <c r="E19" s="15">
        <v>0</v>
      </c>
      <c r="F19" s="16">
        <v>0</v>
      </c>
      <c r="G19" s="11">
        <f t="shared" si="2"/>
        <v>601</v>
      </c>
      <c r="H19" s="14">
        <v>601</v>
      </c>
      <c r="I19" s="14">
        <v>0</v>
      </c>
      <c r="J19" s="15">
        <v>0</v>
      </c>
      <c r="K19" s="14">
        <v>0</v>
      </c>
      <c r="L19" s="13">
        <v>620</v>
      </c>
      <c r="M19" s="14">
        <v>620</v>
      </c>
      <c r="N19" s="14">
        <v>0</v>
      </c>
      <c r="O19" s="15">
        <v>0</v>
      </c>
      <c r="P19" s="14">
        <v>0</v>
      </c>
      <c r="Q19" s="13">
        <f t="shared" si="3"/>
        <v>623</v>
      </c>
      <c r="R19" s="14">
        <v>623</v>
      </c>
      <c r="S19" s="14">
        <v>0</v>
      </c>
      <c r="T19" s="15">
        <v>0</v>
      </c>
      <c r="U19" s="14">
        <v>0</v>
      </c>
    </row>
    <row r="20" spans="1:21" x14ac:dyDescent="0.25">
      <c r="A20" s="32" t="s">
        <v>8</v>
      </c>
      <c r="B20" s="11">
        <f t="shared" si="4"/>
        <v>108</v>
      </c>
      <c r="C20" s="14">
        <v>108</v>
      </c>
      <c r="D20" s="14">
        <v>0</v>
      </c>
      <c r="E20" s="15">
        <v>0</v>
      </c>
      <c r="F20" s="16">
        <v>0</v>
      </c>
      <c r="G20" s="11">
        <f t="shared" si="2"/>
        <v>114</v>
      </c>
      <c r="H20" s="14">
        <v>114</v>
      </c>
      <c r="I20" s="14">
        <v>0</v>
      </c>
      <c r="J20" s="15">
        <v>0</v>
      </c>
      <c r="K20" s="14">
        <v>0</v>
      </c>
      <c r="L20" s="13">
        <v>119</v>
      </c>
      <c r="M20" s="14">
        <v>119</v>
      </c>
      <c r="N20" s="14">
        <v>0</v>
      </c>
      <c r="O20" s="15">
        <v>0</v>
      </c>
      <c r="P20" s="14">
        <v>0</v>
      </c>
      <c r="Q20" s="13">
        <f t="shared" si="3"/>
        <v>136</v>
      </c>
      <c r="R20" s="14">
        <v>136</v>
      </c>
      <c r="S20" s="14">
        <v>0</v>
      </c>
      <c r="T20" s="15">
        <v>0</v>
      </c>
      <c r="U20" s="14">
        <v>0</v>
      </c>
    </row>
    <row r="21" spans="1:21" x14ac:dyDescent="0.25">
      <c r="A21" s="32" t="s">
        <v>9</v>
      </c>
      <c r="B21" s="11">
        <v>305</v>
      </c>
      <c r="C21" s="14">
        <v>305</v>
      </c>
      <c r="D21" s="14">
        <v>0</v>
      </c>
      <c r="E21" s="15">
        <v>0</v>
      </c>
      <c r="F21" s="16">
        <v>0</v>
      </c>
      <c r="G21" s="11">
        <f t="shared" si="2"/>
        <v>314</v>
      </c>
      <c r="H21" s="14">
        <v>314</v>
      </c>
      <c r="I21" s="14">
        <v>0</v>
      </c>
      <c r="J21" s="15">
        <v>0</v>
      </c>
      <c r="K21" s="14">
        <v>0</v>
      </c>
      <c r="L21" s="13">
        <v>330</v>
      </c>
      <c r="M21" s="14">
        <v>330</v>
      </c>
      <c r="N21" s="14">
        <v>0</v>
      </c>
      <c r="O21" s="15">
        <v>0</v>
      </c>
      <c r="P21" s="14">
        <v>0</v>
      </c>
      <c r="Q21" s="13">
        <f t="shared" si="3"/>
        <v>337</v>
      </c>
      <c r="R21" s="14">
        <v>337</v>
      </c>
      <c r="S21" s="14">
        <v>0</v>
      </c>
      <c r="T21" s="15">
        <v>0</v>
      </c>
      <c r="U21" s="14">
        <v>0</v>
      </c>
    </row>
    <row r="22" spans="1:21" x14ac:dyDescent="0.25">
      <c r="A22" s="32" t="s">
        <v>10</v>
      </c>
      <c r="B22" s="11">
        <f t="shared" si="4"/>
        <v>251</v>
      </c>
      <c r="C22" s="14">
        <v>251</v>
      </c>
      <c r="D22" s="14">
        <v>0</v>
      </c>
      <c r="E22" s="15">
        <v>0</v>
      </c>
      <c r="F22" s="16">
        <v>0</v>
      </c>
      <c r="G22" s="11">
        <f t="shared" si="2"/>
        <v>257</v>
      </c>
      <c r="H22" s="14">
        <v>257</v>
      </c>
      <c r="I22" s="14">
        <v>0</v>
      </c>
      <c r="J22" s="15">
        <v>0</v>
      </c>
      <c r="K22" s="14">
        <v>0</v>
      </c>
      <c r="L22" s="13">
        <v>268</v>
      </c>
      <c r="M22" s="14">
        <v>268</v>
      </c>
      <c r="N22" s="14">
        <v>0</v>
      </c>
      <c r="O22" s="15">
        <v>0</v>
      </c>
      <c r="P22" s="14">
        <v>0</v>
      </c>
      <c r="Q22" s="13">
        <f t="shared" si="3"/>
        <v>271</v>
      </c>
      <c r="R22" s="14">
        <v>271</v>
      </c>
      <c r="S22" s="14">
        <v>0</v>
      </c>
      <c r="T22" s="15">
        <v>0</v>
      </c>
      <c r="U22" s="14">
        <v>0</v>
      </c>
    </row>
    <row r="23" spans="1:21" x14ac:dyDescent="0.25">
      <c r="A23" s="32" t="s">
        <v>11</v>
      </c>
      <c r="B23" s="11">
        <f t="shared" si="4"/>
        <v>313</v>
      </c>
      <c r="C23" s="14">
        <v>313</v>
      </c>
      <c r="D23" s="14">
        <v>0</v>
      </c>
      <c r="E23" s="15">
        <v>0</v>
      </c>
      <c r="F23" s="16">
        <v>0</v>
      </c>
      <c r="G23" s="11">
        <f t="shared" si="2"/>
        <v>319</v>
      </c>
      <c r="H23" s="14">
        <v>319</v>
      </c>
      <c r="I23" s="14">
        <v>0</v>
      </c>
      <c r="J23" s="15">
        <v>0</v>
      </c>
      <c r="K23" s="14">
        <v>0</v>
      </c>
      <c r="L23" s="13">
        <v>341</v>
      </c>
      <c r="M23" s="14">
        <v>341</v>
      </c>
      <c r="N23" s="14">
        <v>0</v>
      </c>
      <c r="O23" s="15">
        <v>0</v>
      </c>
      <c r="P23" s="14">
        <v>0</v>
      </c>
      <c r="Q23" s="13">
        <f t="shared" si="3"/>
        <v>359</v>
      </c>
      <c r="R23" s="14">
        <v>359</v>
      </c>
      <c r="S23" s="14">
        <v>0</v>
      </c>
      <c r="T23" s="15">
        <v>0</v>
      </c>
      <c r="U23" s="14">
        <v>0</v>
      </c>
    </row>
    <row r="24" spans="1:21" x14ac:dyDescent="0.25">
      <c r="A24" s="32" t="s">
        <v>12</v>
      </c>
      <c r="B24" s="11">
        <f t="shared" si="4"/>
        <v>587</v>
      </c>
      <c r="C24" s="14">
        <v>587</v>
      </c>
      <c r="D24" s="14">
        <v>0</v>
      </c>
      <c r="E24" s="15">
        <v>0</v>
      </c>
      <c r="F24" s="16">
        <v>0</v>
      </c>
      <c r="G24" s="11">
        <f t="shared" si="2"/>
        <v>604</v>
      </c>
      <c r="H24" s="14">
        <v>604</v>
      </c>
      <c r="I24" s="14">
        <v>0</v>
      </c>
      <c r="J24" s="15">
        <v>0</v>
      </c>
      <c r="K24" s="14">
        <v>0</v>
      </c>
      <c r="L24" s="13">
        <v>640</v>
      </c>
      <c r="M24" s="14">
        <v>640</v>
      </c>
      <c r="N24" s="14">
        <v>0</v>
      </c>
      <c r="O24" s="15">
        <v>0</v>
      </c>
      <c r="P24" s="14">
        <v>0</v>
      </c>
      <c r="Q24" s="13">
        <f t="shared" si="3"/>
        <v>654</v>
      </c>
      <c r="R24" s="14">
        <v>654</v>
      </c>
      <c r="S24" s="14">
        <v>0</v>
      </c>
      <c r="T24" s="15">
        <v>0</v>
      </c>
      <c r="U24" s="14">
        <v>0</v>
      </c>
    </row>
    <row r="25" spans="1:21" x14ac:dyDescent="0.25">
      <c r="A25" s="32" t="s">
        <v>13</v>
      </c>
      <c r="B25" s="11">
        <f t="shared" si="4"/>
        <v>287</v>
      </c>
      <c r="C25" s="14">
        <v>287</v>
      </c>
      <c r="D25" s="14">
        <v>0</v>
      </c>
      <c r="E25" s="15">
        <v>0</v>
      </c>
      <c r="F25" s="16">
        <v>0</v>
      </c>
      <c r="G25" s="11">
        <f t="shared" si="2"/>
        <v>393</v>
      </c>
      <c r="H25" s="14">
        <v>393</v>
      </c>
      <c r="I25" s="14">
        <v>0</v>
      </c>
      <c r="J25" s="15">
        <v>0</v>
      </c>
      <c r="K25" s="14">
        <v>0</v>
      </c>
      <c r="L25" s="13">
        <v>316</v>
      </c>
      <c r="M25" s="14">
        <v>316</v>
      </c>
      <c r="N25" s="14">
        <v>0</v>
      </c>
      <c r="O25" s="15">
        <v>0</v>
      </c>
      <c r="P25" s="14">
        <v>0</v>
      </c>
      <c r="Q25" s="13">
        <f t="shared" si="3"/>
        <v>321</v>
      </c>
      <c r="R25" s="14">
        <v>321</v>
      </c>
      <c r="S25" s="14">
        <v>0</v>
      </c>
      <c r="T25" s="15">
        <v>0</v>
      </c>
      <c r="U25" s="14">
        <v>0</v>
      </c>
    </row>
    <row r="26" spans="1:21" x14ac:dyDescent="0.25">
      <c r="A26" s="32" t="s">
        <v>14</v>
      </c>
      <c r="B26" s="11">
        <f t="shared" si="4"/>
        <v>262</v>
      </c>
      <c r="C26" s="14">
        <v>262</v>
      </c>
      <c r="D26" s="14">
        <v>0</v>
      </c>
      <c r="E26" s="15">
        <v>0</v>
      </c>
      <c r="F26" s="16">
        <v>0</v>
      </c>
      <c r="G26" s="11">
        <f t="shared" si="2"/>
        <v>275</v>
      </c>
      <c r="H26" s="14">
        <v>275</v>
      </c>
      <c r="I26" s="14">
        <v>0</v>
      </c>
      <c r="J26" s="15">
        <v>0</v>
      </c>
      <c r="K26" s="14">
        <v>0</v>
      </c>
      <c r="L26" s="13">
        <v>291</v>
      </c>
      <c r="M26" s="14">
        <v>291</v>
      </c>
      <c r="N26" s="14">
        <v>0</v>
      </c>
      <c r="O26" s="15">
        <v>0</v>
      </c>
      <c r="P26" s="14">
        <v>0</v>
      </c>
      <c r="Q26" s="13">
        <f t="shared" si="3"/>
        <v>297</v>
      </c>
      <c r="R26" s="14">
        <v>297</v>
      </c>
      <c r="S26" s="14">
        <v>0</v>
      </c>
      <c r="T26" s="15">
        <v>0</v>
      </c>
      <c r="U26" s="14">
        <v>0</v>
      </c>
    </row>
    <row r="27" spans="1:21" x14ac:dyDescent="0.25">
      <c r="A27" s="32" t="s">
        <v>15</v>
      </c>
      <c r="B27" s="11">
        <f t="shared" si="4"/>
        <v>409</v>
      </c>
      <c r="C27" s="14">
        <v>409</v>
      </c>
      <c r="D27" s="14">
        <v>0</v>
      </c>
      <c r="E27" s="15">
        <v>0</v>
      </c>
      <c r="F27" s="16">
        <v>0</v>
      </c>
      <c r="G27" s="11">
        <f t="shared" si="2"/>
        <v>436</v>
      </c>
      <c r="H27" s="14">
        <v>436</v>
      </c>
      <c r="I27" s="14">
        <v>0</v>
      </c>
      <c r="J27" s="15">
        <v>0</v>
      </c>
      <c r="K27" s="14">
        <v>0</v>
      </c>
      <c r="L27" s="13">
        <v>458</v>
      </c>
      <c r="M27" s="14">
        <v>458</v>
      </c>
      <c r="N27" s="14">
        <v>0</v>
      </c>
      <c r="O27" s="15">
        <v>0</v>
      </c>
      <c r="P27" s="14">
        <v>0</v>
      </c>
      <c r="Q27" s="13">
        <f t="shared" si="3"/>
        <v>463</v>
      </c>
      <c r="R27" s="14">
        <v>463</v>
      </c>
      <c r="S27" s="14">
        <v>0</v>
      </c>
      <c r="T27" s="15">
        <v>0</v>
      </c>
      <c r="U27" s="14">
        <v>0</v>
      </c>
    </row>
    <row r="28" spans="1:21" x14ac:dyDescent="0.25">
      <c r="A28" s="32" t="s">
        <v>16</v>
      </c>
      <c r="B28" s="11">
        <f t="shared" si="4"/>
        <v>120</v>
      </c>
      <c r="C28" s="14">
        <v>120</v>
      </c>
      <c r="D28" s="14">
        <v>0</v>
      </c>
      <c r="E28" s="15">
        <v>0</v>
      </c>
      <c r="F28" s="16">
        <v>0</v>
      </c>
      <c r="G28" s="11">
        <f t="shared" si="2"/>
        <v>127</v>
      </c>
      <c r="H28" s="14">
        <v>127</v>
      </c>
      <c r="I28" s="14">
        <v>0</v>
      </c>
      <c r="J28" s="15">
        <v>0</v>
      </c>
      <c r="K28" s="14">
        <v>0</v>
      </c>
      <c r="L28" s="13">
        <v>131</v>
      </c>
      <c r="M28" s="14">
        <v>131</v>
      </c>
      <c r="N28" s="14">
        <v>0</v>
      </c>
      <c r="O28" s="15">
        <v>0</v>
      </c>
      <c r="P28" s="14">
        <v>0</v>
      </c>
      <c r="Q28" s="13">
        <f t="shared" si="3"/>
        <v>186</v>
      </c>
      <c r="R28" s="14">
        <v>186</v>
      </c>
      <c r="S28" s="14">
        <v>0</v>
      </c>
      <c r="T28" s="15">
        <v>0</v>
      </c>
      <c r="U28" s="14">
        <v>0</v>
      </c>
    </row>
    <row r="29" spans="1:21" x14ac:dyDescent="0.25">
      <c r="A29" s="33" t="s">
        <v>2</v>
      </c>
      <c r="B29" s="17">
        <f t="shared" si="4"/>
        <v>193</v>
      </c>
      <c r="C29" s="18">
        <v>193</v>
      </c>
      <c r="D29" s="18">
        <v>0</v>
      </c>
      <c r="E29" s="19">
        <v>0</v>
      </c>
      <c r="F29" s="20">
        <v>0</v>
      </c>
      <c r="G29" s="17">
        <f t="shared" si="2"/>
        <v>201</v>
      </c>
      <c r="H29" s="18">
        <v>201</v>
      </c>
      <c r="I29" s="18">
        <v>0</v>
      </c>
      <c r="J29" s="19">
        <v>0</v>
      </c>
      <c r="K29" s="18">
        <v>0</v>
      </c>
      <c r="L29" s="21">
        <v>223</v>
      </c>
      <c r="M29" s="18">
        <v>223</v>
      </c>
      <c r="N29" s="18">
        <v>0</v>
      </c>
      <c r="O29" s="19">
        <v>0</v>
      </c>
      <c r="P29" s="18">
        <v>0</v>
      </c>
      <c r="Q29" s="21">
        <f t="shared" si="3"/>
        <v>227</v>
      </c>
      <c r="R29" s="18">
        <v>227</v>
      </c>
      <c r="S29" s="18">
        <v>0</v>
      </c>
      <c r="T29" s="19">
        <v>0</v>
      </c>
      <c r="U29" s="18">
        <v>0</v>
      </c>
    </row>
    <row r="30" spans="1:21" s="25" customFormat="1" ht="18.75" x14ac:dyDescent="0.5">
      <c r="A30" s="26" t="s">
        <v>17</v>
      </c>
      <c r="B30" s="22"/>
      <c r="C30" s="22"/>
      <c r="D30" s="22"/>
      <c r="E30" s="23"/>
      <c r="F30" s="24"/>
      <c r="G30" s="22"/>
      <c r="H30" s="22"/>
      <c r="I30" s="22"/>
      <c r="J30" s="23"/>
      <c r="K30" s="27"/>
      <c r="L30" s="22"/>
      <c r="M30" s="22"/>
      <c r="N30" s="22"/>
      <c r="O30" s="23"/>
      <c r="P30" s="27"/>
      <c r="Q30" s="22"/>
      <c r="R30" s="22"/>
      <c r="S30" s="22"/>
      <c r="T30" s="23"/>
      <c r="U30" s="27" t="s">
        <v>18</v>
      </c>
    </row>
    <row r="32" spans="1:21" ht="37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</sheetData>
  <mergeCells count="10">
    <mergeCell ref="Q4:U4"/>
    <mergeCell ref="Q5:U5"/>
    <mergeCell ref="A2:U2"/>
    <mergeCell ref="L4:P4"/>
    <mergeCell ref="L5:P5"/>
    <mergeCell ref="A4:A6"/>
    <mergeCell ref="G4:K4"/>
    <mergeCell ref="B5:F5"/>
    <mergeCell ref="G5:K5"/>
    <mergeCell ref="B4:F4"/>
  </mergeCells>
  <pageMargins left="0.7" right="0.7" top="0.75" bottom="0.75" header="0.3" footer="0.3"/>
  <pageSetup paperSize="9" orientation="landscape" r:id="rId1"/>
  <ignoredErrors>
    <ignoredError sqref="B9" formula="1"/>
    <ignoredError sqref="G9" formula="1" formulaRange="1"/>
    <ignoredError sqref="G8 G10:G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11.5</vt:lpstr>
      <vt:lpstr>'11.5'!Print_Area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2016-09-19T07:24:37Z</cp:lastPrinted>
  <dcterms:created xsi:type="dcterms:W3CDTF">2014-05-22T03:57:11Z</dcterms:created>
  <dcterms:modified xsi:type="dcterms:W3CDTF">2016-09-19T07:24:38Z</dcterms:modified>
</cp:coreProperties>
</file>