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6" sheetId="11" r:id="rId1"/>
  </sheets>
  <externalReferences>
    <externalReference r:id="rId2"/>
    <externalReference r:id="rId3"/>
  </externalReferences>
  <definedNames>
    <definedName name="_xlnm.Print_Area" localSheetId="0">'11.16'!$A$1:$AL$25</definedName>
  </definedNames>
  <calcPr calcId="144525"/>
</workbook>
</file>

<file path=xl/calcChain.xml><?xml version="1.0" encoding="utf-8"?>
<calcChain xmlns="http://schemas.openxmlformats.org/spreadsheetml/2006/main">
  <c r="AE7" i="11" l="1"/>
  <c r="AQ25" i="11" s="1"/>
  <c r="AA7" i="11"/>
  <c r="L7" i="11"/>
  <c r="AQ21" i="11" s="1"/>
  <c r="V7" i="11"/>
  <c r="AQ26" i="11"/>
  <c r="AQ23" i="11"/>
  <c r="AK7" i="11"/>
  <c r="AJ7" i="11"/>
  <c r="AQ27" i="11" s="1"/>
  <c r="AI7" i="11"/>
  <c r="AH7" i="11"/>
  <c r="AG7" i="11"/>
  <c r="AF7" i="11"/>
  <c r="AD7" i="11"/>
  <c r="AC7" i="11"/>
  <c r="AB7" i="11"/>
  <c r="AQ24" i="11"/>
  <c r="Z7" i="11"/>
  <c r="Y7" i="11"/>
  <c r="X7" i="11"/>
  <c r="W7" i="11"/>
  <c r="U7" i="11"/>
  <c r="T7" i="11"/>
  <c r="S7" i="11"/>
  <c r="R7" i="11"/>
  <c r="Q7" i="11"/>
  <c r="AQ22" i="11" s="1"/>
  <c r="P7" i="11"/>
  <c r="O7" i="11"/>
  <c r="N7" i="11"/>
  <c r="M7" i="11"/>
  <c r="K7" i="11"/>
  <c r="J7" i="11"/>
  <c r="I7" i="11"/>
  <c r="H7" i="11"/>
  <c r="G7" i="11"/>
  <c r="AQ20" i="11" s="1"/>
  <c r="F7" i="11"/>
  <c r="E7" i="11"/>
  <c r="D7" i="11"/>
  <c r="C7" i="11"/>
</calcChain>
</file>

<file path=xl/sharedStrings.xml><?xml version="1.0" encoding="utf-8"?>
<sst xmlns="http://schemas.openxmlformats.org/spreadsheetml/2006/main" count="94" uniqueCount="62">
  <si>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</si>
  <si>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</si>
  <si>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</si>
  <si>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</si>
  <si>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</si>
  <si>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</si>
  <si>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</si>
  <si>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</si>
  <si>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</si>
  <si>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</si>
  <si>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</si>
  <si>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</si>
  <si>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</si>
  <si>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</si>
  <si>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</si>
  <si>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</si>
  <si>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</si>
  <si>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</si>
  <si>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</si>
  <si>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</si>
  <si>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</si>
  <si>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</si>
  <si>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</si>
  <si>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</si>
  <si>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</si>
  <si>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</si>
  <si>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</si>
  <si>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</si>
  <si>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</si>
  <si>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</si>
  <si>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</si>
  <si>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</si>
  <si>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UdWminwh .dh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</si>
  <si>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</si>
  <si>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</si>
  <si>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</si>
  <si>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</si>
  <si>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</si>
  <si>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</si>
  <si>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L.Kadhdhoo</t>
  </si>
  <si>
    <t>GDh.Kaadedhdhoo</t>
  </si>
  <si>
    <t>HDh.Hanimaadhoo</t>
  </si>
  <si>
    <t xml:space="preserve">Gn.Fuvahmulah </t>
  </si>
  <si>
    <t>ADh.Maamigili</t>
  </si>
  <si>
    <t>B.Dharavandhoo</t>
  </si>
  <si>
    <t>GA. Koodoo</t>
  </si>
  <si>
    <t>-</t>
  </si>
  <si>
    <r>
      <t xml:space="preserve">Gn.Fuvahmulah 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</si>
  <si>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9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</si>
  <si>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9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</si>
  <si>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9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</si>
  <si>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</si>
  <si>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Raa.Ifuru  </t>
    </r>
    <r>
      <rPr>
        <b/>
        <sz val="5"/>
        <rFont val="Calibri"/>
        <family val="2"/>
        <scheme val="minor"/>
      </rPr>
      <t xml:space="preserve">5_/ </t>
    </r>
  </si>
  <si>
    <t>_</t>
  </si>
  <si>
    <t>1_/ Started operation in October 2011</t>
  </si>
  <si>
    <t>2_/ Started operation in October 2012</t>
  </si>
  <si>
    <t>3_/ Started operation in January 2013</t>
  </si>
  <si>
    <t>4_/ Started operation in January 2014</t>
  </si>
  <si>
    <t>5_/ Started operation in May 2015</t>
  </si>
  <si>
    <t xml:space="preserve">THA. Thimarafushi </t>
  </si>
  <si>
    <t>Table 11.16 :  NUMBER OF AIRCRAFT MOVEMENTS AT DOMESTIC AIRPORTS BY MONTH, 2013-2015</t>
  </si>
  <si>
    <t>2015 - 2013 ,cawtcTiawlcf irukurutwd cnukwturwdnwb egiawv egEjcaWr cnutogeguhwmcswm  : 11.16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</si>
</sst>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9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9"/>
      <name val="Courier"/>
      <family val="3"/>
    </font>
    <font>
      <sz val="10"/>
      <name val="Garamond"/>
      <family val="1"/>
    </font>
    <font>
      <b/>
      <sz val="10"/>
      <name val="A_Reethi"/>
    </font>
    <font>
      <b/>
      <vertAlign val="superscript"/>
      <sz val="9"/>
      <name val="Calibri"/>
      <family val="2"/>
      <scheme val="minor"/>
    </font>
    <font>
      <b/>
      <sz val="5"/>
      <name val="Calibri"/>
      <family val="2"/>
      <scheme val="minor"/>
    </font>
    <font>
      <sz val="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hair">
        <color auto="1"/>
      </left>
      <right style="thin">
        <color theme="0"/>
      </right>
      <top/>
      <bottom style="thin">
        <color theme="0"/>
      </bottom>
      <diagonal/>
    </border>
    <border>
      <left style="hair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auto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theme="1" tint="0.34998626667073579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thin">
        <color theme="0"/>
      </left>
      <right style="hair">
        <color theme="1" tint="0.34998626667073579"/>
      </right>
      <top/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 tint="0.34998626667073579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 tint="0.34998626667073579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2" fillId="0" borderId="0"/>
    <xf numFmtId="40" fontId="14" fillId="0" borderId="0" applyFont="0" applyFill="0" applyBorder="0" applyAlignment="0" applyProtection="0"/>
    <xf numFmtId="166" fontId="12" fillId="0" borderId="0"/>
    <xf numFmtId="166" fontId="12" fillId="0" borderId="0"/>
    <xf numFmtId="165" fontId="12" fillId="0" borderId="0" applyFont="0" applyFill="0" applyBorder="0" applyAlignment="0" applyProtection="0"/>
    <xf numFmtId="0" fontId="15" fillId="0" borderId="0"/>
    <xf numFmtId="164" fontId="12" fillId="0" borderId="0"/>
    <xf numFmtId="167" fontId="12" fillId="0" borderId="0" applyFont="0" applyFill="0" applyBorder="0" applyAlignment="0" applyProtection="0"/>
    <xf numFmtId="0" fontId="21" fillId="0" borderId="0"/>
  </cellStyleXfs>
  <cellXfs count="102">
    <xf numFmtId="0" fontId="0" fillId="0" borderId="0" xfId="0"/>
    <xf numFmtId="164" fontId="0" fillId="2" borderId="0" xfId="0" applyNumberFormat="1" applyFill="1"/>
    <xf numFmtId="164" fontId="18" fillId="2" borderId="0" xfId="0" applyNumberFormat="1" applyFont="1" applyFill="1"/>
    <xf numFmtId="164" fontId="8" fillId="2" borderId="0" xfId="6" applyNumberFormat="1" applyFont="1" applyFill="1" applyBorder="1" applyAlignment="1">
      <alignment vertical="center"/>
    </xf>
    <xf numFmtId="164" fontId="10" fillId="2" borderId="0" xfId="6" applyNumberFormat="1" applyFont="1" applyFill="1" applyAlignment="1" applyProtection="1">
      <alignment horizontal="left" vertical="center"/>
    </xf>
    <xf numFmtId="0" fontId="11" fillId="2" borderId="2" xfId="0" applyNumberFormat="1" applyFont="1" applyFill="1" applyBorder="1" applyAlignment="1">
      <alignment horizontal="right" vertical="center"/>
    </xf>
    <xf numFmtId="164" fontId="9" fillId="2" borderId="0" xfId="6" applyNumberFormat="1" applyFont="1" applyFill="1" applyBorder="1" applyAlignment="1" applyProtection="1">
      <alignment horizontal="left" vertical="center"/>
    </xf>
    <xf numFmtId="164" fontId="12" fillId="2" borderId="0" xfId="0" applyNumberFormat="1" applyFont="1" applyFill="1"/>
    <xf numFmtId="164" fontId="0" fillId="2" borderId="0" xfId="0" applyNumberFormat="1" applyFill="1" applyBorder="1"/>
    <xf numFmtId="164" fontId="8" fillId="2" borderId="2" xfId="6" applyNumberFormat="1" applyFont="1" applyFill="1" applyBorder="1" applyAlignment="1" applyProtection="1">
      <alignment horizontal="left" vertical="center"/>
    </xf>
    <xf numFmtId="166" fontId="0" fillId="2" borderId="0" xfId="1" applyNumberFormat="1" applyFont="1" applyFill="1"/>
    <xf numFmtId="164" fontId="16" fillId="2" borderId="0" xfId="6" applyNumberFormat="1" applyFont="1" applyFill="1" applyBorder="1" applyAlignment="1">
      <alignment vertical="center"/>
    </xf>
    <xf numFmtId="164" fontId="7" fillId="2" borderId="0" xfId="6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2" fillId="2" borderId="9" xfId="6" applyNumberFormat="1" applyFont="1" applyFill="1" applyBorder="1" applyAlignment="1">
      <alignment horizontal="center" vertical="center"/>
    </xf>
    <xf numFmtId="37" fontId="13" fillId="2" borderId="0" xfId="6" applyNumberFormat="1" applyFont="1" applyFill="1" applyBorder="1" applyAlignment="1" applyProtection="1">
      <alignment vertical="center"/>
    </xf>
    <xf numFmtId="164" fontId="20" fillId="2" borderId="0" xfId="6" applyNumberFormat="1" applyFont="1" applyFill="1" applyBorder="1"/>
    <xf numFmtId="164" fontId="22" fillId="2" borderId="0" xfId="6" applyNumberFormat="1" applyFont="1" applyFill="1" applyBorder="1" applyAlignment="1">
      <alignment horizontal="center" vertical="center"/>
    </xf>
    <xf numFmtId="164" fontId="2" fillId="2" borderId="0" xfId="6" applyNumberFormat="1" applyFont="1" applyFill="1" applyBorder="1" applyAlignment="1">
      <alignment horizontal="center" vertical="center" wrapText="1"/>
    </xf>
    <xf numFmtId="0" fontId="2" fillId="2" borderId="0" xfId="6" applyNumberFormat="1" applyFont="1" applyFill="1" applyBorder="1" applyAlignment="1">
      <alignment horizontal="center" vertical="center"/>
    </xf>
    <xf numFmtId="3" fontId="2" fillId="2" borderId="0" xfId="6" applyNumberFormat="1" applyFont="1" applyFill="1" applyBorder="1" applyAlignment="1">
      <alignment horizontal="center" vertical="center"/>
    </xf>
    <xf numFmtId="0" fontId="25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164" fontId="3" fillId="2" borderId="1" xfId="6" applyNumberFormat="1" applyFont="1" applyFill="1" applyBorder="1" applyAlignment="1" applyProtection="1">
      <alignment horizontal="left" vertical="center"/>
    </xf>
    <xf numFmtId="0" fontId="19" fillId="2" borderId="1" xfId="14" applyFont="1" applyFill="1" applyBorder="1" applyAlignment="1">
      <alignment horizontal="right"/>
    </xf>
    <xf numFmtId="164" fontId="3" fillId="2" borderId="3" xfId="6" applyNumberFormat="1" applyFont="1" applyFill="1" applyBorder="1" applyAlignment="1" applyProtection="1">
      <alignment horizontal="left" vertical="center"/>
    </xf>
    <xf numFmtId="0" fontId="19" fillId="2" borderId="3" xfId="14" applyFont="1" applyFill="1" applyBorder="1" applyAlignment="1">
      <alignment horizontal="right"/>
    </xf>
    <xf numFmtId="164" fontId="8" fillId="2" borderId="6" xfId="6" applyNumberFormat="1" applyFont="1" applyFill="1" applyBorder="1" applyAlignment="1">
      <alignment horizontal="left" vertical="center"/>
    </xf>
    <xf numFmtId="164" fontId="22" fillId="2" borderId="20" xfId="6" applyNumberFormat="1" applyFont="1" applyFill="1" applyBorder="1" applyAlignment="1">
      <alignment horizontal="center" vertical="center"/>
    </xf>
    <xf numFmtId="164" fontId="8" fillId="2" borderId="1" xfId="6" applyNumberFormat="1" applyFont="1" applyFill="1" applyBorder="1" applyAlignment="1">
      <alignment horizontal="center" vertical="center"/>
    </xf>
    <xf numFmtId="164" fontId="2" fillId="2" borderId="16" xfId="6" applyNumberFormat="1" applyFont="1" applyFill="1" applyBorder="1" applyAlignment="1">
      <alignment horizontal="center" vertical="center" wrapText="1"/>
    </xf>
    <xf numFmtId="164" fontId="8" fillId="2" borderId="3" xfId="6" applyNumberFormat="1" applyFont="1" applyFill="1" applyBorder="1" applyAlignment="1">
      <alignment horizontal="left" vertical="center"/>
    </xf>
    <xf numFmtId="0" fontId="2" fillId="2" borderId="12" xfId="6" applyNumberFormat="1" applyFont="1" applyFill="1" applyBorder="1" applyAlignment="1">
      <alignment horizontal="center" vertical="center"/>
    </xf>
    <xf numFmtId="0" fontId="2" fillId="2" borderId="28" xfId="6" applyNumberFormat="1" applyFont="1" applyFill="1" applyBorder="1" applyAlignment="1">
      <alignment horizontal="center" vertical="center"/>
    </xf>
    <xf numFmtId="0" fontId="2" fillId="2" borderId="29" xfId="6" applyNumberFormat="1" applyFont="1" applyFill="1" applyBorder="1" applyAlignment="1">
      <alignment horizontal="center" vertical="center"/>
    </xf>
    <xf numFmtId="0" fontId="2" fillId="2" borderId="30" xfId="6" applyNumberFormat="1" applyFont="1" applyFill="1" applyBorder="1" applyAlignment="1">
      <alignment horizontal="center" vertical="center"/>
    </xf>
    <xf numFmtId="0" fontId="2" fillId="2" borderId="31" xfId="6" applyNumberFormat="1" applyFont="1" applyFill="1" applyBorder="1" applyAlignment="1">
      <alignment horizontal="center" vertical="center"/>
    </xf>
    <xf numFmtId="0" fontId="2" fillId="2" borderId="32" xfId="6" applyNumberFormat="1" applyFont="1" applyFill="1" applyBorder="1" applyAlignment="1">
      <alignment horizontal="center" vertical="center"/>
    </xf>
    <xf numFmtId="0" fontId="2" fillId="2" borderId="4" xfId="6" applyNumberFormat="1" applyFont="1" applyFill="1" applyBorder="1" applyAlignment="1">
      <alignment horizontal="center" vertical="center"/>
    </xf>
    <xf numFmtId="3" fontId="2" fillId="2" borderId="2" xfId="6" applyNumberFormat="1" applyFont="1" applyFill="1" applyBorder="1" applyAlignment="1">
      <alignment horizontal="center" vertical="center"/>
    </xf>
    <xf numFmtId="3" fontId="2" fillId="2" borderId="8" xfId="6" applyNumberFormat="1" applyFont="1" applyFill="1" applyBorder="1" applyAlignment="1">
      <alignment horizontal="center" vertical="center"/>
    </xf>
    <xf numFmtId="3" fontId="2" fillId="2" borderId="33" xfId="6" applyNumberFormat="1" applyFont="1" applyFill="1" applyBorder="1" applyAlignment="1">
      <alignment horizontal="center" vertical="center"/>
    </xf>
    <xf numFmtId="3" fontId="2" fillId="2" borderId="22" xfId="6" applyNumberFormat="1" applyFont="1" applyFill="1" applyBorder="1" applyAlignment="1">
      <alignment horizontal="center" vertical="center"/>
    </xf>
    <xf numFmtId="3" fontId="2" fillId="2" borderId="34" xfId="6" applyNumberFormat="1" applyFont="1" applyFill="1" applyBorder="1" applyAlignment="1">
      <alignment horizontal="center" vertical="center"/>
    </xf>
    <xf numFmtId="3" fontId="2" fillId="2" borderId="17" xfId="6" applyNumberFormat="1" applyFont="1" applyFill="1" applyBorder="1" applyAlignment="1">
      <alignment horizontal="center" vertical="center"/>
    </xf>
    <xf numFmtId="0" fontId="17" fillId="2" borderId="2" xfId="14" applyFont="1" applyFill="1" applyBorder="1" applyAlignment="1">
      <alignment horizontal="right"/>
    </xf>
    <xf numFmtId="3" fontId="3" fillId="2" borderId="1" xfId="7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0" fontId="3" fillId="2" borderId="35" xfId="0" applyNumberFormat="1" applyFont="1" applyFill="1" applyBorder="1" applyAlignment="1">
      <alignment horizontal="center" vertical="center"/>
    </xf>
    <xf numFmtId="3" fontId="3" fillId="2" borderId="5" xfId="7" applyNumberFormat="1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25" fillId="2" borderId="5" xfId="0" applyNumberFormat="1" applyFont="1" applyFill="1" applyBorder="1" applyAlignment="1">
      <alignment horizontal="center" vertical="center"/>
    </xf>
    <xf numFmtId="0" fontId="3" fillId="2" borderId="36" xfId="0" applyNumberFormat="1" applyFont="1" applyFill="1" applyBorder="1" applyAlignment="1">
      <alignment horizontal="center" vertical="center"/>
    </xf>
    <xf numFmtId="0" fontId="3" fillId="2" borderId="10" xfId="0" applyNumberFormat="1" applyFont="1" applyFill="1" applyBorder="1" applyAlignment="1">
      <alignment horizontal="center" vertical="center"/>
    </xf>
    <xf numFmtId="3" fontId="3" fillId="2" borderId="3" xfId="7" applyNumberFormat="1" applyFont="1" applyFill="1" applyBorder="1" applyAlignment="1">
      <alignment horizontal="center" vertical="center"/>
    </xf>
    <xf numFmtId="0" fontId="3" fillId="2" borderId="11" xfId="0" applyNumberFormat="1" applyFont="1" applyFill="1" applyBorder="1" applyAlignment="1">
      <alignment horizontal="center" vertical="center"/>
    </xf>
    <xf numFmtId="0" fontId="3" fillId="2" borderId="27" xfId="0" applyNumberFormat="1" applyFont="1" applyFill="1" applyBorder="1" applyAlignment="1">
      <alignment horizontal="center" vertical="center"/>
    </xf>
    <xf numFmtId="3" fontId="3" fillId="2" borderId="21" xfId="7" applyNumberFormat="1" applyFont="1" applyFill="1" applyBorder="1" applyAlignment="1">
      <alignment horizontal="center" vertical="center"/>
    </xf>
    <xf numFmtId="0" fontId="3" fillId="2" borderId="21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3" fillId="2" borderId="37" xfId="0" applyNumberFormat="1" applyFont="1" applyFill="1" applyBorder="1" applyAlignment="1">
      <alignment horizontal="center" vertical="center"/>
    </xf>
    <xf numFmtId="0" fontId="3" fillId="2" borderId="18" xfId="0" applyNumberFormat="1" applyFont="1" applyFill="1" applyBorder="1" applyAlignment="1">
      <alignment horizontal="center" vertical="center"/>
    </xf>
    <xf numFmtId="164" fontId="17" fillId="2" borderId="23" xfId="6" applyNumberFormat="1" applyFont="1" applyFill="1" applyBorder="1" applyAlignment="1">
      <alignment vertical="center"/>
    </xf>
    <xf numFmtId="164" fontId="8" fillId="2" borderId="18" xfId="6" applyNumberFormat="1" applyFont="1" applyFill="1" applyBorder="1" applyAlignment="1">
      <alignment vertical="center" wrapText="1"/>
    </xf>
    <xf numFmtId="164" fontId="22" fillId="2" borderId="23" xfId="6" applyNumberFormat="1" applyFont="1" applyFill="1" applyBorder="1" applyAlignment="1">
      <alignment vertical="center"/>
    </xf>
    <xf numFmtId="164" fontId="2" fillId="2" borderId="18" xfId="6" applyNumberFormat="1" applyFont="1" applyFill="1" applyBorder="1" applyAlignment="1">
      <alignment vertical="center" wrapText="1"/>
    </xf>
    <xf numFmtId="0" fontId="2" fillId="2" borderId="13" xfId="6" applyNumberFormat="1" applyFont="1" applyFill="1" applyBorder="1" applyAlignment="1">
      <alignment horizontal="center" vertical="center"/>
    </xf>
    <xf numFmtId="3" fontId="3" fillId="2" borderId="7" xfId="7" applyNumberFormat="1" applyFont="1" applyFill="1" applyBorder="1" applyAlignment="1">
      <alignment horizontal="center" vertical="center"/>
    </xf>
    <xf numFmtId="3" fontId="3" fillId="2" borderId="11" xfId="7" applyNumberFormat="1" applyFont="1" applyFill="1" applyBorder="1" applyAlignment="1">
      <alignment horizontal="center" vertical="center"/>
    </xf>
    <xf numFmtId="0" fontId="2" fillId="2" borderId="38" xfId="6" applyNumberFormat="1" applyFont="1" applyFill="1" applyBorder="1" applyAlignment="1">
      <alignment horizontal="center" vertical="center"/>
    </xf>
    <xf numFmtId="3" fontId="2" fillId="2" borderId="14" xfId="6" applyNumberFormat="1" applyFont="1" applyFill="1" applyBorder="1" applyAlignment="1">
      <alignment horizontal="center" vertical="center"/>
    </xf>
    <xf numFmtId="3" fontId="3" fillId="2" borderId="15" xfId="7" applyNumberFormat="1" applyFont="1" applyFill="1" applyBorder="1" applyAlignment="1">
      <alignment horizontal="center" vertical="center"/>
    </xf>
    <xf numFmtId="3" fontId="3" fillId="2" borderId="16" xfId="7" applyNumberFormat="1" applyFont="1" applyFill="1" applyBorder="1" applyAlignment="1">
      <alignment horizontal="center" vertical="center"/>
    </xf>
    <xf numFmtId="0" fontId="2" fillId="2" borderId="39" xfId="6" applyNumberFormat="1" applyFont="1" applyFill="1" applyBorder="1" applyAlignment="1">
      <alignment horizontal="center" vertical="center"/>
    </xf>
    <xf numFmtId="0" fontId="3" fillId="2" borderId="15" xfId="0" applyNumberFormat="1" applyFont="1" applyFill="1" applyBorder="1" applyAlignment="1">
      <alignment horizontal="center" vertical="center"/>
    </xf>
    <xf numFmtId="0" fontId="3" fillId="2" borderId="16" xfId="0" applyNumberFormat="1" applyFont="1" applyFill="1" applyBorder="1" applyAlignment="1">
      <alignment horizontal="center" vertical="center"/>
    </xf>
    <xf numFmtId="0" fontId="25" fillId="2" borderId="10" xfId="0" applyNumberFormat="1" applyFont="1" applyFill="1" applyBorder="1" applyAlignment="1">
      <alignment horizontal="center" vertical="center"/>
    </xf>
    <xf numFmtId="164" fontId="16" fillId="2" borderId="0" xfId="6" applyNumberFormat="1" applyFont="1" applyFill="1" applyBorder="1" applyAlignment="1">
      <alignment horizontal="center" vertical="center"/>
    </xf>
    <xf numFmtId="164" fontId="22" fillId="2" borderId="24" xfId="6" applyNumberFormat="1" applyFont="1" applyFill="1" applyBorder="1" applyAlignment="1">
      <alignment horizontal="center" vertical="center"/>
    </xf>
    <xf numFmtId="164" fontId="22" fillId="2" borderId="25" xfId="6" applyNumberFormat="1" applyFont="1" applyFill="1" applyBorder="1" applyAlignment="1">
      <alignment horizontal="center" vertical="center"/>
    </xf>
    <xf numFmtId="0" fontId="17" fillId="2" borderId="6" xfId="14" applyFont="1" applyFill="1" applyBorder="1" applyAlignment="1">
      <alignment horizontal="right" vertical="center"/>
    </xf>
    <xf numFmtId="0" fontId="17" fillId="2" borderId="1" xfId="14" applyFont="1" applyFill="1" applyBorder="1" applyAlignment="1">
      <alignment horizontal="right" vertical="center"/>
    </xf>
    <xf numFmtId="0" fontId="17" fillId="2" borderId="3" xfId="14" applyFont="1" applyFill="1" applyBorder="1" applyAlignment="1">
      <alignment horizontal="right" vertical="center"/>
    </xf>
    <xf numFmtId="164" fontId="2" fillId="2" borderId="26" xfId="6" applyNumberFormat="1" applyFont="1" applyFill="1" applyBorder="1" applyAlignment="1">
      <alignment horizontal="center" vertical="center" wrapText="1"/>
    </xf>
    <xf numFmtId="164" fontId="2" fillId="2" borderId="18" xfId="6" applyNumberFormat="1" applyFont="1" applyFill="1" applyBorder="1" applyAlignment="1">
      <alignment horizontal="center" vertical="center" wrapText="1"/>
    </xf>
    <xf numFmtId="164" fontId="2" fillId="2" borderId="27" xfId="6" applyNumberFormat="1" applyFont="1" applyFill="1" applyBorder="1" applyAlignment="1">
      <alignment horizontal="center" vertical="center" wrapText="1"/>
    </xf>
    <xf numFmtId="164" fontId="4" fillId="2" borderId="0" xfId="6" applyNumberFormat="1" applyFont="1" applyFill="1" applyBorder="1" applyAlignment="1">
      <alignment horizontal="center" vertical="center"/>
    </xf>
    <xf numFmtId="164" fontId="8" fillId="2" borderId="6" xfId="6" applyNumberFormat="1" applyFont="1" applyFill="1" applyBorder="1" applyAlignment="1">
      <alignment horizontal="left" vertical="center"/>
    </xf>
    <xf numFmtId="164" fontId="8" fillId="2" borderId="1" xfId="6" applyNumberFormat="1" applyFont="1" applyFill="1" applyBorder="1" applyAlignment="1">
      <alignment horizontal="left" vertical="center"/>
    </xf>
    <xf numFmtId="164" fontId="8" fillId="2" borderId="3" xfId="6" applyNumberFormat="1" applyFont="1" applyFill="1" applyBorder="1" applyAlignment="1">
      <alignment horizontal="left" vertical="center"/>
    </xf>
    <xf numFmtId="164" fontId="22" fillId="2" borderId="23" xfId="6" applyNumberFormat="1" applyFont="1" applyFill="1" applyBorder="1" applyAlignment="1">
      <alignment horizontal="center" vertical="center"/>
    </xf>
    <xf numFmtId="164" fontId="22" fillId="2" borderId="0" xfId="6" applyNumberFormat="1" applyFont="1" applyFill="1" applyBorder="1" applyAlignment="1">
      <alignment horizontal="center" vertical="center"/>
    </xf>
    <xf numFmtId="164" fontId="2" fillId="2" borderId="0" xfId="6" applyNumberFormat="1" applyFont="1" applyFill="1" applyBorder="1" applyAlignment="1">
      <alignment horizontal="center" vertical="center" wrapText="1"/>
    </xf>
    <xf numFmtId="164" fontId="17" fillId="2" borderId="19" xfId="6" applyNumberFormat="1" applyFont="1" applyFill="1" applyBorder="1" applyAlignment="1">
      <alignment horizontal="center" vertical="center"/>
    </xf>
    <xf numFmtId="164" fontId="17" fillId="2" borderId="23" xfId="6" applyNumberFormat="1" applyFont="1" applyFill="1" applyBorder="1" applyAlignment="1">
      <alignment horizontal="center" vertical="center"/>
    </xf>
    <xf numFmtId="164" fontId="17" fillId="2" borderId="25" xfId="6" applyNumberFormat="1" applyFont="1" applyFill="1" applyBorder="1" applyAlignment="1">
      <alignment horizontal="center" vertical="center"/>
    </xf>
    <xf numFmtId="164" fontId="8" fillId="2" borderId="11" xfId="6" applyNumberFormat="1" applyFont="1" applyFill="1" applyBorder="1" applyAlignment="1">
      <alignment horizontal="center" vertical="center" wrapText="1"/>
    </xf>
    <xf numFmtId="164" fontId="8" fillId="2" borderId="18" xfId="6" applyNumberFormat="1" applyFont="1" applyFill="1" applyBorder="1" applyAlignment="1">
      <alignment horizontal="center" vertical="center" wrapText="1"/>
    </xf>
    <xf numFmtId="164" fontId="8" fillId="2" borderId="27" xfId="6" applyNumberFormat="1" applyFont="1" applyFill="1" applyBorder="1" applyAlignment="1">
      <alignment horizontal="center" vertical="center" wrapText="1"/>
    </xf>
    <xf numFmtId="164" fontId="17" fillId="2" borderId="24" xfId="6" applyNumberFormat="1" applyFont="1" applyFill="1" applyBorder="1" applyAlignment="1">
      <alignment horizontal="center" vertical="center"/>
    </xf>
    <xf numFmtId="164" fontId="8" fillId="2" borderId="26" xfId="6" applyNumberFormat="1" applyFont="1" applyFill="1" applyBorder="1" applyAlignment="1">
      <alignment horizontal="center" vertical="center" wrapText="1"/>
    </xf>
  </cellXfs>
  <cellStyles count="15">
    <cellStyle name="Comma" xfId="1" builtinId="3"/>
    <cellStyle name="Comma 2" xfId="7"/>
    <cellStyle name="Comma 4" xfId="10"/>
    <cellStyle name="Comma 4 2" xfId="13"/>
    <cellStyle name="Hyperlink 2" xfId="2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  <cellStyle name="Normal_X-5 (Electricity)" xfId="14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4\Dissemination\Publications\Statistical%20%20Year%20Book\YEARBOOK%202015\RECEIVED\CAM%20_%20Statistical%20YearBook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>
        <row r="46">
          <cell r="Z46" t="str">
            <v>Post paid</v>
          </cell>
          <cell r="AB46">
            <v>11.797121061614527</v>
          </cell>
        </row>
        <row r="47">
          <cell r="Z47" t="str">
            <v>Pre-paid</v>
          </cell>
          <cell r="AB47">
            <v>88.202878938385481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S56"/>
  <sheetViews>
    <sheetView tabSelected="1" zoomScaleNormal="100" workbookViewId="0">
      <selection activeCell="AA14" sqref="AA14"/>
    </sheetView>
  </sheetViews>
  <sheetFormatPr defaultColWidth="9.140625" defaultRowHeight="15" x14ac:dyDescent="0.25"/>
  <cols>
    <col min="1" max="1" width="10.85546875" style="1" customWidth="1"/>
    <col min="2" max="2" width="2.5703125" style="1" customWidth="1"/>
    <col min="3" max="4" width="8.28515625" style="1" hidden="1" customWidth="1"/>
    <col min="5" max="7" width="8.140625" style="1" customWidth="1"/>
    <col min="8" max="9" width="8.28515625" style="1" hidden="1" customWidth="1"/>
    <col min="10" max="12" width="8.28515625" style="1" customWidth="1"/>
    <col min="13" max="14" width="8.28515625" style="1" hidden="1" customWidth="1"/>
    <col min="15" max="15" width="10.140625" style="1" customWidth="1"/>
    <col min="16" max="17" width="7.7109375" style="1" customWidth="1"/>
    <col min="18" max="19" width="10.140625" style="1" hidden="1" customWidth="1"/>
    <col min="20" max="20" width="10.140625" style="1" customWidth="1"/>
    <col min="21" max="22" width="7.85546875" style="1" customWidth="1"/>
    <col min="23" max="24" width="7.7109375" style="1" hidden="1" customWidth="1"/>
    <col min="25" max="27" width="7.7109375" style="1" customWidth="1"/>
    <col min="28" max="28" width="10.140625" style="1" hidden="1" customWidth="1"/>
    <col min="29" max="29" width="10.140625" style="1" customWidth="1"/>
    <col min="30" max="31" width="7.7109375" style="1" customWidth="1"/>
    <col min="32" max="32" width="12" style="1" customWidth="1"/>
    <col min="33" max="36" width="8.28515625" style="1" customWidth="1"/>
    <col min="37" max="37" width="12.5703125" style="1" customWidth="1"/>
    <col min="38" max="38" width="12.28515625" style="1" customWidth="1"/>
    <col min="39" max="39" width="19" style="1" customWidth="1"/>
    <col min="40" max="40" width="45.28515625" style="1" customWidth="1"/>
    <col min="41" max="16384" width="9.140625" style="1"/>
  </cols>
  <sheetData>
    <row r="1" spans="1:45" ht="19.5" x14ac:dyDescent="0.25">
      <c r="A1" s="78" t="s">
        <v>61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11"/>
      <c r="AN1" s="11"/>
    </row>
    <row r="2" spans="1:45" ht="15" customHeight="1" x14ac:dyDescent="0.25">
      <c r="A2" s="87" t="s">
        <v>60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3"/>
      <c r="AN2" s="3"/>
    </row>
    <row r="3" spans="1:45" s="8" customFormat="1" ht="7.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5" ht="23.25" customHeight="1" x14ac:dyDescent="0.25">
      <c r="A4" s="88" t="s">
        <v>4</v>
      </c>
      <c r="B4" s="27"/>
      <c r="D4" s="63"/>
      <c r="E4" s="94" t="s">
        <v>30</v>
      </c>
      <c r="F4" s="95"/>
      <c r="G4" s="96"/>
      <c r="I4" s="63"/>
      <c r="J4" s="100" t="s">
        <v>31</v>
      </c>
      <c r="K4" s="95"/>
      <c r="L4" s="96"/>
      <c r="N4" s="63"/>
      <c r="O4" s="100" t="s">
        <v>32</v>
      </c>
      <c r="P4" s="95"/>
      <c r="Q4" s="96"/>
      <c r="S4" s="65"/>
      <c r="T4" s="79" t="s">
        <v>33</v>
      </c>
      <c r="U4" s="91"/>
      <c r="V4" s="80"/>
      <c r="X4" s="65"/>
      <c r="Y4" s="79" t="s">
        <v>34</v>
      </c>
      <c r="Z4" s="91"/>
      <c r="AA4" s="80"/>
      <c r="AC4" s="79" t="s">
        <v>35</v>
      </c>
      <c r="AD4" s="91"/>
      <c r="AE4" s="80"/>
      <c r="AF4" s="79" t="s">
        <v>36</v>
      </c>
      <c r="AG4" s="91"/>
      <c r="AH4" s="80"/>
      <c r="AI4" s="79" t="s">
        <v>37</v>
      </c>
      <c r="AJ4" s="80"/>
      <c r="AK4" s="28" t="s">
        <v>38</v>
      </c>
      <c r="AL4" s="81" t="s">
        <v>5</v>
      </c>
    </row>
    <row r="5" spans="1:45" s="13" customFormat="1" ht="23.25" customHeight="1" x14ac:dyDescent="0.25">
      <c r="A5" s="89"/>
      <c r="B5" s="29"/>
      <c r="D5" s="64"/>
      <c r="E5" s="97" t="s">
        <v>39</v>
      </c>
      <c r="F5" s="98"/>
      <c r="G5" s="99"/>
      <c r="I5" s="64"/>
      <c r="J5" s="101" t="s">
        <v>40</v>
      </c>
      <c r="K5" s="98"/>
      <c r="L5" s="99"/>
      <c r="N5" s="64"/>
      <c r="O5" s="101" t="s">
        <v>41</v>
      </c>
      <c r="P5" s="98"/>
      <c r="Q5" s="99"/>
      <c r="S5" s="66"/>
      <c r="T5" s="84" t="s">
        <v>47</v>
      </c>
      <c r="U5" s="85"/>
      <c r="V5" s="86"/>
      <c r="X5" s="66"/>
      <c r="Y5" s="84" t="s">
        <v>48</v>
      </c>
      <c r="Z5" s="85"/>
      <c r="AA5" s="86"/>
      <c r="AC5" s="84" t="s">
        <v>49</v>
      </c>
      <c r="AD5" s="85"/>
      <c r="AE5" s="86"/>
      <c r="AF5" s="84" t="s">
        <v>50</v>
      </c>
      <c r="AG5" s="85"/>
      <c r="AH5" s="86"/>
      <c r="AI5" s="84" t="s">
        <v>51</v>
      </c>
      <c r="AJ5" s="86"/>
      <c r="AK5" s="30" t="s">
        <v>52</v>
      </c>
      <c r="AL5" s="82"/>
    </row>
    <row r="6" spans="1:45" ht="23.25" customHeight="1" x14ac:dyDescent="0.25">
      <c r="A6" s="90"/>
      <c r="B6" s="31"/>
      <c r="C6" s="32">
        <v>2011</v>
      </c>
      <c r="D6" s="32">
        <v>2012</v>
      </c>
      <c r="E6" s="33">
        <v>2013</v>
      </c>
      <c r="F6" s="34">
        <v>2014</v>
      </c>
      <c r="G6" s="35">
        <v>2015</v>
      </c>
      <c r="H6" s="36">
        <v>2011</v>
      </c>
      <c r="I6" s="67">
        <v>2012</v>
      </c>
      <c r="J6" s="70">
        <v>2013</v>
      </c>
      <c r="K6" s="34">
        <v>2014</v>
      </c>
      <c r="L6" s="35">
        <v>2015</v>
      </c>
      <c r="M6" s="36">
        <v>2011</v>
      </c>
      <c r="N6" s="67">
        <v>2012</v>
      </c>
      <c r="O6" s="74">
        <v>2013</v>
      </c>
      <c r="P6" s="34">
        <v>2014</v>
      </c>
      <c r="Q6" s="35">
        <v>2015</v>
      </c>
      <c r="R6" s="36">
        <v>2011</v>
      </c>
      <c r="S6" s="67">
        <v>2012</v>
      </c>
      <c r="T6" s="74">
        <v>2013</v>
      </c>
      <c r="U6" s="34">
        <v>2014</v>
      </c>
      <c r="V6" s="35">
        <v>2015</v>
      </c>
      <c r="W6" s="36">
        <v>2011</v>
      </c>
      <c r="X6" s="67">
        <v>2012</v>
      </c>
      <c r="Y6" s="70">
        <v>2013</v>
      </c>
      <c r="Z6" s="34">
        <v>2014</v>
      </c>
      <c r="AA6" s="35">
        <v>2015</v>
      </c>
      <c r="AB6" s="38">
        <v>2012</v>
      </c>
      <c r="AC6" s="70">
        <v>2013</v>
      </c>
      <c r="AD6" s="34">
        <v>2014</v>
      </c>
      <c r="AE6" s="35">
        <v>2015</v>
      </c>
      <c r="AF6" s="36">
        <v>2013</v>
      </c>
      <c r="AG6" s="32">
        <v>2014</v>
      </c>
      <c r="AH6" s="37">
        <v>2015</v>
      </c>
      <c r="AI6" s="36">
        <v>2014</v>
      </c>
      <c r="AJ6" s="35">
        <v>2015</v>
      </c>
      <c r="AK6" s="38">
        <v>2015</v>
      </c>
      <c r="AL6" s="83"/>
      <c r="AM6" s="2"/>
    </row>
    <row r="7" spans="1:45" ht="23.25" customHeight="1" x14ac:dyDescent="0.4">
      <c r="A7" s="9" t="s">
        <v>1</v>
      </c>
      <c r="B7" s="9"/>
      <c r="C7" s="39">
        <f t="shared" ref="C7:AG7" si="0">SUM(C8:C19)</f>
        <v>1542</v>
      </c>
      <c r="D7" s="39">
        <f t="shared" si="0"/>
        <v>1816</v>
      </c>
      <c r="E7" s="39">
        <f t="shared" si="0"/>
        <v>2310</v>
      </c>
      <c r="F7" s="40">
        <f t="shared" si="0"/>
        <v>2220</v>
      </c>
      <c r="G7" s="41">
        <f t="shared" si="0"/>
        <v>2088</v>
      </c>
      <c r="H7" s="42">
        <f t="shared" si="0"/>
        <v>3226</v>
      </c>
      <c r="I7" s="40">
        <f t="shared" si="0"/>
        <v>3982</v>
      </c>
      <c r="J7" s="71">
        <f t="shared" si="0"/>
        <v>4121</v>
      </c>
      <c r="K7" s="40">
        <f t="shared" si="0"/>
        <v>4410</v>
      </c>
      <c r="L7" s="41">
        <f>SUM(L8:L19)</f>
        <v>4290</v>
      </c>
      <c r="M7" s="42">
        <f t="shared" si="0"/>
        <v>1637</v>
      </c>
      <c r="N7" s="40">
        <f t="shared" si="0"/>
        <v>1397</v>
      </c>
      <c r="O7" s="71">
        <f t="shared" si="0"/>
        <v>1949</v>
      </c>
      <c r="P7" s="40">
        <f t="shared" si="0"/>
        <v>1977</v>
      </c>
      <c r="Q7" s="41">
        <f t="shared" si="0"/>
        <v>1854</v>
      </c>
      <c r="R7" s="42">
        <f t="shared" si="0"/>
        <v>262</v>
      </c>
      <c r="S7" s="40">
        <f t="shared" si="0"/>
        <v>710</v>
      </c>
      <c r="T7" s="71">
        <f>SUM(T8:T19)</f>
        <v>2432</v>
      </c>
      <c r="U7" s="40">
        <f t="shared" ref="U7" si="1">SUM(U8:U19)</f>
        <v>2773</v>
      </c>
      <c r="V7" s="41">
        <f>SUM(V8:V19)</f>
        <v>2151</v>
      </c>
      <c r="W7" s="42">
        <f t="shared" si="0"/>
        <v>769</v>
      </c>
      <c r="X7" s="40">
        <f t="shared" si="0"/>
        <v>3315</v>
      </c>
      <c r="Y7" s="71">
        <f>SUM(Y8:Y19)</f>
        <v>4519</v>
      </c>
      <c r="Z7" s="40">
        <f t="shared" ref="Z7" si="2">SUM(Z8:Z19)</f>
        <v>4924</v>
      </c>
      <c r="AA7" s="41">
        <f>SUM(AA8:AA19)</f>
        <v>4265</v>
      </c>
      <c r="AB7" s="44">
        <f t="shared" si="0"/>
        <v>173</v>
      </c>
      <c r="AC7" s="71">
        <f t="shared" si="0"/>
        <v>3515</v>
      </c>
      <c r="AD7" s="40">
        <f t="shared" si="0"/>
        <v>4248</v>
      </c>
      <c r="AE7" s="41">
        <f>SUM(AE8:AE19)</f>
        <v>3934</v>
      </c>
      <c r="AF7" s="42">
        <f t="shared" si="0"/>
        <v>2906</v>
      </c>
      <c r="AG7" s="39">
        <f t="shared" si="0"/>
        <v>2076</v>
      </c>
      <c r="AH7" s="43">
        <f>SUM(AH8:AH19)</f>
        <v>1988</v>
      </c>
      <c r="AI7" s="42">
        <f t="shared" ref="AI7" si="3">SUM(AI8:AI19)</f>
        <v>826</v>
      </c>
      <c r="AJ7" s="41">
        <f>SUM(AJ8:AJ19)</f>
        <v>331</v>
      </c>
      <c r="AK7" s="44">
        <f>SUM(AK8:AK19)</f>
        <v>552</v>
      </c>
      <c r="AL7" s="45" t="s">
        <v>0</v>
      </c>
      <c r="AQ7" s="8"/>
    </row>
    <row r="8" spans="1:45" ht="23.25" customHeight="1" x14ac:dyDescent="0.4">
      <c r="A8" s="23" t="s">
        <v>6</v>
      </c>
      <c r="B8" s="23"/>
      <c r="C8" s="46">
        <v>87</v>
      </c>
      <c r="D8" s="46">
        <v>140</v>
      </c>
      <c r="E8" s="46">
        <v>189</v>
      </c>
      <c r="F8" s="47">
        <v>215</v>
      </c>
      <c r="G8" s="48">
        <v>166</v>
      </c>
      <c r="H8" s="49">
        <v>290</v>
      </c>
      <c r="I8" s="68">
        <v>428</v>
      </c>
      <c r="J8" s="72">
        <v>290</v>
      </c>
      <c r="K8" s="47">
        <v>356</v>
      </c>
      <c r="L8" s="48">
        <v>376</v>
      </c>
      <c r="M8" s="50">
        <v>137</v>
      </c>
      <c r="N8" s="47">
        <v>111</v>
      </c>
      <c r="O8" s="75">
        <v>175</v>
      </c>
      <c r="P8" s="47">
        <v>164</v>
      </c>
      <c r="Q8" s="48">
        <v>181</v>
      </c>
      <c r="R8" s="52" t="s">
        <v>53</v>
      </c>
      <c r="S8" s="47">
        <v>48</v>
      </c>
      <c r="T8" s="75">
        <v>115</v>
      </c>
      <c r="U8" s="47">
        <v>227</v>
      </c>
      <c r="V8" s="48">
        <v>230</v>
      </c>
      <c r="W8" s="52" t="s">
        <v>53</v>
      </c>
      <c r="X8" s="47">
        <v>351</v>
      </c>
      <c r="Y8" s="75">
        <v>339</v>
      </c>
      <c r="Z8" s="47">
        <v>400</v>
      </c>
      <c r="AA8" s="48">
        <v>359</v>
      </c>
      <c r="AB8" s="77" t="s">
        <v>53</v>
      </c>
      <c r="AC8" s="75">
        <v>191</v>
      </c>
      <c r="AD8" s="47">
        <v>361</v>
      </c>
      <c r="AE8" s="48">
        <v>331</v>
      </c>
      <c r="AF8" s="50">
        <v>288</v>
      </c>
      <c r="AG8" s="51">
        <v>174</v>
      </c>
      <c r="AH8" s="53">
        <v>181</v>
      </c>
      <c r="AI8" s="50">
        <v>57</v>
      </c>
      <c r="AJ8" s="48">
        <v>30</v>
      </c>
      <c r="AK8" s="54" t="s">
        <v>46</v>
      </c>
      <c r="AL8" s="24" t="s">
        <v>7</v>
      </c>
      <c r="AS8" s="14"/>
    </row>
    <row r="9" spans="1:45" ht="23.25" customHeight="1" x14ac:dyDescent="0.4">
      <c r="A9" s="23" t="s">
        <v>8</v>
      </c>
      <c r="B9" s="23"/>
      <c r="C9" s="46">
        <v>69</v>
      </c>
      <c r="D9" s="46">
        <v>128</v>
      </c>
      <c r="E9" s="46">
        <v>161</v>
      </c>
      <c r="F9" s="47">
        <v>192</v>
      </c>
      <c r="G9" s="48">
        <v>161</v>
      </c>
      <c r="H9" s="49">
        <v>268</v>
      </c>
      <c r="I9" s="68">
        <v>332</v>
      </c>
      <c r="J9" s="72">
        <v>314</v>
      </c>
      <c r="K9" s="47">
        <v>360</v>
      </c>
      <c r="L9" s="48">
        <v>336</v>
      </c>
      <c r="M9" s="50">
        <v>185</v>
      </c>
      <c r="N9" s="47">
        <v>109</v>
      </c>
      <c r="O9" s="75">
        <v>158</v>
      </c>
      <c r="P9" s="47">
        <v>176</v>
      </c>
      <c r="Q9" s="48">
        <v>181</v>
      </c>
      <c r="R9" s="52" t="s">
        <v>53</v>
      </c>
      <c r="S9" s="47">
        <v>40</v>
      </c>
      <c r="T9" s="75">
        <v>83</v>
      </c>
      <c r="U9" s="47">
        <v>212</v>
      </c>
      <c r="V9" s="48">
        <v>199</v>
      </c>
      <c r="W9" s="52" t="s">
        <v>53</v>
      </c>
      <c r="X9" s="47">
        <v>351</v>
      </c>
      <c r="Y9" s="75">
        <v>427</v>
      </c>
      <c r="Z9" s="47">
        <v>380</v>
      </c>
      <c r="AA9" s="48">
        <v>407</v>
      </c>
      <c r="AB9" s="77" t="s">
        <v>53</v>
      </c>
      <c r="AC9" s="75">
        <v>213</v>
      </c>
      <c r="AD9" s="47">
        <v>356</v>
      </c>
      <c r="AE9" s="48">
        <v>304</v>
      </c>
      <c r="AF9" s="50">
        <v>304</v>
      </c>
      <c r="AG9" s="51">
        <v>159</v>
      </c>
      <c r="AH9" s="53">
        <v>169</v>
      </c>
      <c r="AI9" s="50">
        <v>83</v>
      </c>
      <c r="AJ9" s="48">
        <v>23</v>
      </c>
      <c r="AK9" s="54" t="s">
        <v>46</v>
      </c>
      <c r="AL9" s="24" t="s">
        <v>9</v>
      </c>
      <c r="AQ9" s="6"/>
    </row>
    <row r="10" spans="1:45" ht="23.25" customHeight="1" x14ac:dyDescent="0.4">
      <c r="A10" s="23" t="s">
        <v>10</v>
      </c>
      <c r="B10" s="23"/>
      <c r="C10" s="46">
        <v>80</v>
      </c>
      <c r="D10" s="46">
        <v>161</v>
      </c>
      <c r="E10" s="46">
        <v>184</v>
      </c>
      <c r="F10" s="47">
        <v>214</v>
      </c>
      <c r="G10" s="48">
        <v>173</v>
      </c>
      <c r="H10" s="49">
        <v>202</v>
      </c>
      <c r="I10" s="68">
        <v>320</v>
      </c>
      <c r="J10" s="72">
        <v>358</v>
      </c>
      <c r="K10" s="47">
        <v>388</v>
      </c>
      <c r="L10" s="48">
        <v>396</v>
      </c>
      <c r="M10" s="50">
        <v>131</v>
      </c>
      <c r="N10" s="47">
        <v>98</v>
      </c>
      <c r="O10" s="75">
        <v>141</v>
      </c>
      <c r="P10" s="47">
        <v>190</v>
      </c>
      <c r="Q10" s="48">
        <v>163</v>
      </c>
      <c r="R10" s="52" t="s">
        <v>53</v>
      </c>
      <c r="S10" s="47">
        <v>56</v>
      </c>
      <c r="T10" s="75">
        <v>197</v>
      </c>
      <c r="U10" s="47">
        <v>246</v>
      </c>
      <c r="V10" s="48">
        <v>235</v>
      </c>
      <c r="W10" s="52" t="s">
        <v>53</v>
      </c>
      <c r="X10" s="47">
        <v>233</v>
      </c>
      <c r="Y10" s="75">
        <v>348</v>
      </c>
      <c r="Z10" s="47">
        <v>391</v>
      </c>
      <c r="AA10" s="48">
        <v>377</v>
      </c>
      <c r="AB10" s="77" t="s">
        <v>53</v>
      </c>
      <c r="AC10" s="75">
        <v>231</v>
      </c>
      <c r="AD10" s="47">
        <v>393</v>
      </c>
      <c r="AE10" s="48">
        <v>356</v>
      </c>
      <c r="AF10" s="50">
        <v>364</v>
      </c>
      <c r="AG10" s="51">
        <v>176</v>
      </c>
      <c r="AH10" s="53">
        <v>170</v>
      </c>
      <c r="AI10" s="50">
        <v>108</v>
      </c>
      <c r="AJ10" s="48">
        <v>25</v>
      </c>
      <c r="AK10" s="54" t="s">
        <v>46</v>
      </c>
      <c r="AL10" s="24" t="s">
        <v>11</v>
      </c>
    </row>
    <row r="11" spans="1:45" ht="23.25" customHeight="1" x14ac:dyDescent="0.4">
      <c r="A11" s="23" t="s">
        <v>12</v>
      </c>
      <c r="B11" s="23"/>
      <c r="C11" s="46">
        <v>147</v>
      </c>
      <c r="D11" s="46">
        <v>149</v>
      </c>
      <c r="E11" s="46">
        <v>190</v>
      </c>
      <c r="F11" s="47">
        <v>192</v>
      </c>
      <c r="G11" s="48">
        <v>173</v>
      </c>
      <c r="H11" s="49">
        <v>192</v>
      </c>
      <c r="I11" s="68">
        <v>358</v>
      </c>
      <c r="J11" s="72">
        <v>268</v>
      </c>
      <c r="K11" s="47">
        <v>354</v>
      </c>
      <c r="L11" s="48">
        <v>390</v>
      </c>
      <c r="M11" s="50">
        <v>167</v>
      </c>
      <c r="N11" s="47">
        <v>131</v>
      </c>
      <c r="O11" s="75">
        <v>174</v>
      </c>
      <c r="P11" s="47">
        <v>166</v>
      </c>
      <c r="Q11" s="48">
        <v>168</v>
      </c>
      <c r="R11" s="52" t="s">
        <v>53</v>
      </c>
      <c r="S11" s="47">
        <v>42</v>
      </c>
      <c r="T11" s="75">
        <v>241</v>
      </c>
      <c r="U11" s="47">
        <v>230</v>
      </c>
      <c r="V11" s="48">
        <v>229</v>
      </c>
      <c r="W11" s="52" t="s">
        <v>53</v>
      </c>
      <c r="X11" s="47">
        <v>226</v>
      </c>
      <c r="Y11" s="75">
        <v>284</v>
      </c>
      <c r="Z11" s="47">
        <v>390</v>
      </c>
      <c r="AA11" s="48">
        <v>367</v>
      </c>
      <c r="AB11" s="77" t="s">
        <v>53</v>
      </c>
      <c r="AC11" s="75">
        <v>239</v>
      </c>
      <c r="AD11" s="47">
        <v>358</v>
      </c>
      <c r="AE11" s="48">
        <v>341</v>
      </c>
      <c r="AF11" s="50">
        <v>289</v>
      </c>
      <c r="AG11" s="51">
        <v>175</v>
      </c>
      <c r="AH11" s="53">
        <v>175</v>
      </c>
      <c r="AI11" s="50">
        <v>112</v>
      </c>
      <c r="AJ11" s="48">
        <v>26</v>
      </c>
      <c r="AK11" s="54" t="s">
        <v>46</v>
      </c>
      <c r="AL11" s="24" t="s">
        <v>13</v>
      </c>
    </row>
    <row r="12" spans="1:45" ht="23.25" customHeight="1" x14ac:dyDescent="0.4">
      <c r="A12" s="23" t="s">
        <v>14</v>
      </c>
      <c r="B12" s="23"/>
      <c r="C12" s="46">
        <v>128</v>
      </c>
      <c r="D12" s="46">
        <v>139</v>
      </c>
      <c r="E12" s="46">
        <v>178</v>
      </c>
      <c r="F12" s="47">
        <v>186</v>
      </c>
      <c r="G12" s="48">
        <v>182</v>
      </c>
      <c r="H12" s="49">
        <v>274</v>
      </c>
      <c r="I12" s="68">
        <v>284</v>
      </c>
      <c r="J12" s="72">
        <v>274</v>
      </c>
      <c r="K12" s="47">
        <v>368</v>
      </c>
      <c r="L12" s="48">
        <v>356</v>
      </c>
      <c r="M12" s="50">
        <v>102</v>
      </c>
      <c r="N12" s="47">
        <v>99</v>
      </c>
      <c r="O12" s="75">
        <v>130</v>
      </c>
      <c r="P12" s="47">
        <v>154</v>
      </c>
      <c r="Q12" s="48">
        <v>144</v>
      </c>
      <c r="R12" s="52" t="s">
        <v>53</v>
      </c>
      <c r="S12" s="47">
        <v>68</v>
      </c>
      <c r="T12" s="75">
        <v>233</v>
      </c>
      <c r="U12" s="47">
        <v>236</v>
      </c>
      <c r="V12" s="48">
        <v>222</v>
      </c>
      <c r="W12" s="52" t="s">
        <v>53</v>
      </c>
      <c r="X12" s="47">
        <v>180</v>
      </c>
      <c r="Y12" s="75">
        <v>382</v>
      </c>
      <c r="Z12" s="47">
        <v>411</v>
      </c>
      <c r="AA12" s="48">
        <v>397</v>
      </c>
      <c r="AB12" s="77" t="s">
        <v>53</v>
      </c>
      <c r="AC12" s="75">
        <v>288</v>
      </c>
      <c r="AD12" s="47">
        <v>370</v>
      </c>
      <c r="AE12" s="48">
        <v>341</v>
      </c>
      <c r="AF12" s="50">
        <v>259</v>
      </c>
      <c r="AG12" s="51">
        <v>181</v>
      </c>
      <c r="AH12" s="53">
        <v>166</v>
      </c>
      <c r="AI12" s="50">
        <v>91</v>
      </c>
      <c r="AJ12" s="48">
        <v>28</v>
      </c>
      <c r="AK12" s="54">
        <v>9</v>
      </c>
      <c r="AL12" s="24" t="s">
        <v>15</v>
      </c>
    </row>
    <row r="13" spans="1:45" ht="23.25" customHeight="1" x14ac:dyDescent="0.4">
      <c r="A13" s="23" t="s">
        <v>16</v>
      </c>
      <c r="B13" s="23"/>
      <c r="C13" s="46">
        <v>137</v>
      </c>
      <c r="D13" s="46">
        <v>136</v>
      </c>
      <c r="E13" s="46">
        <v>192</v>
      </c>
      <c r="F13" s="47">
        <v>180</v>
      </c>
      <c r="G13" s="48">
        <v>174</v>
      </c>
      <c r="H13" s="49">
        <v>278</v>
      </c>
      <c r="I13" s="68">
        <v>318</v>
      </c>
      <c r="J13" s="72">
        <v>328</v>
      </c>
      <c r="K13" s="47">
        <v>346</v>
      </c>
      <c r="L13" s="48">
        <v>340</v>
      </c>
      <c r="M13" s="50">
        <v>127</v>
      </c>
      <c r="N13" s="47">
        <v>102</v>
      </c>
      <c r="O13" s="75">
        <v>173</v>
      </c>
      <c r="P13" s="47">
        <v>169</v>
      </c>
      <c r="Q13" s="48">
        <v>127</v>
      </c>
      <c r="R13" s="52" t="s">
        <v>53</v>
      </c>
      <c r="S13" s="47">
        <v>58</v>
      </c>
      <c r="T13" s="75">
        <v>225</v>
      </c>
      <c r="U13" s="47">
        <v>231</v>
      </c>
      <c r="V13" s="48">
        <v>138</v>
      </c>
      <c r="W13" s="52" t="s">
        <v>53</v>
      </c>
      <c r="X13" s="47">
        <v>150</v>
      </c>
      <c r="Y13" s="75">
        <v>354</v>
      </c>
      <c r="Z13" s="47">
        <v>407</v>
      </c>
      <c r="AA13" s="48">
        <v>345</v>
      </c>
      <c r="AB13" s="77" t="s">
        <v>53</v>
      </c>
      <c r="AC13" s="75">
        <v>292</v>
      </c>
      <c r="AD13" s="47">
        <v>331</v>
      </c>
      <c r="AE13" s="48">
        <v>302</v>
      </c>
      <c r="AF13" s="50">
        <v>341</v>
      </c>
      <c r="AG13" s="51">
        <v>168</v>
      </c>
      <c r="AH13" s="53">
        <v>146</v>
      </c>
      <c r="AI13" s="50">
        <v>68</v>
      </c>
      <c r="AJ13" s="48">
        <v>28</v>
      </c>
      <c r="AK13" s="54">
        <v>43</v>
      </c>
      <c r="AL13" s="24" t="s">
        <v>17</v>
      </c>
    </row>
    <row r="14" spans="1:45" ht="23.25" customHeight="1" x14ac:dyDescent="0.4">
      <c r="A14" s="23" t="s">
        <v>18</v>
      </c>
      <c r="B14" s="23"/>
      <c r="C14" s="46">
        <v>178</v>
      </c>
      <c r="D14" s="46">
        <v>154</v>
      </c>
      <c r="E14" s="46">
        <v>189</v>
      </c>
      <c r="F14" s="47">
        <v>178</v>
      </c>
      <c r="G14" s="48">
        <v>168</v>
      </c>
      <c r="H14" s="49">
        <v>322</v>
      </c>
      <c r="I14" s="68">
        <v>372</v>
      </c>
      <c r="J14" s="72">
        <v>308</v>
      </c>
      <c r="K14" s="47">
        <v>362</v>
      </c>
      <c r="L14" s="48">
        <v>356</v>
      </c>
      <c r="M14" s="50">
        <v>161</v>
      </c>
      <c r="N14" s="47">
        <v>146</v>
      </c>
      <c r="O14" s="75">
        <v>124</v>
      </c>
      <c r="P14" s="47">
        <v>161</v>
      </c>
      <c r="Q14" s="48">
        <v>134</v>
      </c>
      <c r="R14" s="52" t="s">
        <v>53</v>
      </c>
      <c r="S14" s="47">
        <v>60</v>
      </c>
      <c r="T14" s="75">
        <v>228</v>
      </c>
      <c r="U14" s="47">
        <v>247</v>
      </c>
      <c r="V14" s="48">
        <v>132</v>
      </c>
      <c r="W14" s="52" t="s">
        <v>53</v>
      </c>
      <c r="X14" s="47">
        <v>226</v>
      </c>
      <c r="Y14" s="75">
        <v>337</v>
      </c>
      <c r="Z14" s="47">
        <v>452</v>
      </c>
      <c r="AA14" s="48">
        <v>353</v>
      </c>
      <c r="AB14" s="77" t="s">
        <v>53</v>
      </c>
      <c r="AC14" s="75">
        <v>302</v>
      </c>
      <c r="AD14" s="47">
        <v>346</v>
      </c>
      <c r="AE14" s="48">
        <v>330</v>
      </c>
      <c r="AF14" s="50">
        <v>254</v>
      </c>
      <c r="AG14" s="51">
        <v>173</v>
      </c>
      <c r="AH14" s="53">
        <v>152</v>
      </c>
      <c r="AI14" s="50">
        <v>58</v>
      </c>
      <c r="AJ14" s="48">
        <v>26</v>
      </c>
      <c r="AK14" s="54">
        <v>39</v>
      </c>
      <c r="AL14" s="24" t="s">
        <v>19</v>
      </c>
    </row>
    <row r="15" spans="1:45" ht="23.25" customHeight="1" x14ac:dyDescent="0.4">
      <c r="A15" s="23" t="s">
        <v>20</v>
      </c>
      <c r="B15" s="23"/>
      <c r="C15" s="46">
        <v>139</v>
      </c>
      <c r="D15" s="46">
        <v>153</v>
      </c>
      <c r="E15" s="46">
        <v>200</v>
      </c>
      <c r="F15" s="47">
        <v>189</v>
      </c>
      <c r="G15" s="48">
        <v>173</v>
      </c>
      <c r="H15" s="49">
        <v>254</v>
      </c>
      <c r="I15" s="68">
        <v>362</v>
      </c>
      <c r="J15" s="72">
        <v>464</v>
      </c>
      <c r="K15" s="47">
        <v>392</v>
      </c>
      <c r="L15" s="48">
        <v>346</v>
      </c>
      <c r="M15" s="50">
        <v>121</v>
      </c>
      <c r="N15" s="47">
        <v>145</v>
      </c>
      <c r="O15" s="75">
        <v>138</v>
      </c>
      <c r="P15" s="47">
        <v>159</v>
      </c>
      <c r="Q15" s="48">
        <v>145</v>
      </c>
      <c r="R15" s="52" t="s">
        <v>53</v>
      </c>
      <c r="S15" s="47">
        <v>66</v>
      </c>
      <c r="T15" s="75">
        <v>226</v>
      </c>
      <c r="U15" s="47">
        <v>226</v>
      </c>
      <c r="V15" s="48">
        <v>99</v>
      </c>
      <c r="W15" s="52" t="s">
        <v>53</v>
      </c>
      <c r="X15" s="47">
        <v>250</v>
      </c>
      <c r="Y15" s="75">
        <v>402</v>
      </c>
      <c r="Z15" s="47">
        <v>464</v>
      </c>
      <c r="AA15" s="48">
        <v>365</v>
      </c>
      <c r="AB15" s="77" t="s">
        <v>53</v>
      </c>
      <c r="AC15" s="75">
        <v>333</v>
      </c>
      <c r="AD15" s="47">
        <v>370</v>
      </c>
      <c r="AE15" s="48">
        <v>341</v>
      </c>
      <c r="AF15" s="50">
        <v>159</v>
      </c>
      <c r="AG15" s="51">
        <v>172</v>
      </c>
      <c r="AH15" s="53">
        <v>163</v>
      </c>
      <c r="AI15" s="50">
        <v>60</v>
      </c>
      <c r="AJ15" s="48">
        <v>26</v>
      </c>
      <c r="AK15" s="54">
        <v>54</v>
      </c>
      <c r="AL15" s="24" t="s">
        <v>21</v>
      </c>
    </row>
    <row r="16" spans="1:45" ht="23.25" customHeight="1" x14ac:dyDescent="0.4">
      <c r="A16" s="23" t="s">
        <v>22</v>
      </c>
      <c r="B16" s="23"/>
      <c r="C16" s="46">
        <v>148</v>
      </c>
      <c r="D16" s="46">
        <v>155</v>
      </c>
      <c r="E16" s="46">
        <v>200</v>
      </c>
      <c r="F16" s="47">
        <v>185</v>
      </c>
      <c r="G16" s="48">
        <v>177</v>
      </c>
      <c r="H16" s="49">
        <v>272</v>
      </c>
      <c r="I16" s="68">
        <v>286</v>
      </c>
      <c r="J16" s="72">
        <v>376</v>
      </c>
      <c r="K16" s="47">
        <v>346</v>
      </c>
      <c r="L16" s="48">
        <v>320</v>
      </c>
      <c r="M16" s="50">
        <v>139</v>
      </c>
      <c r="N16" s="47">
        <v>100</v>
      </c>
      <c r="O16" s="75">
        <v>202</v>
      </c>
      <c r="P16" s="47">
        <v>139</v>
      </c>
      <c r="Q16" s="48">
        <v>152</v>
      </c>
      <c r="R16" s="52" t="s">
        <v>53</v>
      </c>
      <c r="S16" s="47">
        <v>54</v>
      </c>
      <c r="T16" s="75">
        <v>199</v>
      </c>
      <c r="U16" s="47">
        <v>223</v>
      </c>
      <c r="V16" s="48">
        <v>185</v>
      </c>
      <c r="W16" s="52" t="s">
        <v>53</v>
      </c>
      <c r="X16" s="47">
        <v>308</v>
      </c>
      <c r="Y16" s="75">
        <v>387</v>
      </c>
      <c r="Z16" s="47">
        <v>409</v>
      </c>
      <c r="AA16" s="48">
        <v>341</v>
      </c>
      <c r="AB16" s="77" t="s">
        <v>53</v>
      </c>
      <c r="AC16" s="75">
        <v>335</v>
      </c>
      <c r="AD16" s="47">
        <v>357</v>
      </c>
      <c r="AE16" s="48">
        <v>314</v>
      </c>
      <c r="AF16" s="50">
        <v>159</v>
      </c>
      <c r="AG16" s="51">
        <v>166</v>
      </c>
      <c r="AH16" s="53">
        <v>151</v>
      </c>
      <c r="AI16" s="50">
        <v>46</v>
      </c>
      <c r="AJ16" s="48">
        <v>32</v>
      </c>
      <c r="AK16" s="54">
        <v>69</v>
      </c>
      <c r="AL16" s="24" t="s">
        <v>23</v>
      </c>
    </row>
    <row r="17" spans="1:45" ht="23.25" customHeight="1" x14ac:dyDescent="0.4">
      <c r="A17" s="23" t="s">
        <v>24</v>
      </c>
      <c r="B17" s="23"/>
      <c r="C17" s="46">
        <v>144</v>
      </c>
      <c r="D17" s="46">
        <v>157</v>
      </c>
      <c r="E17" s="46">
        <v>204</v>
      </c>
      <c r="F17" s="47">
        <v>180</v>
      </c>
      <c r="G17" s="48">
        <v>163</v>
      </c>
      <c r="H17" s="49">
        <v>190</v>
      </c>
      <c r="I17" s="68">
        <v>272</v>
      </c>
      <c r="J17" s="72">
        <v>380</v>
      </c>
      <c r="K17" s="47">
        <v>366</v>
      </c>
      <c r="L17" s="48">
        <v>334</v>
      </c>
      <c r="M17" s="50">
        <v>104</v>
      </c>
      <c r="N17" s="47">
        <v>122</v>
      </c>
      <c r="O17" s="75">
        <v>165</v>
      </c>
      <c r="P17" s="47">
        <v>177</v>
      </c>
      <c r="Q17" s="48">
        <v>143</v>
      </c>
      <c r="R17" s="50">
        <v>4</v>
      </c>
      <c r="S17" s="47">
        <v>52</v>
      </c>
      <c r="T17" s="75">
        <v>210</v>
      </c>
      <c r="U17" s="47">
        <v>251</v>
      </c>
      <c r="V17" s="48">
        <v>104</v>
      </c>
      <c r="W17" s="50">
        <v>186</v>
      </c>
      <c r="X17" s="47">
        <v>365</v>
      </c>
      <c r="Y17" s="75">
        <v>439</v>
      </c>
      <c r="Z17" s="47">
        <v>451</v>
      </c>
      <c r="AA17" s="48">
        <v>336</v>
      </c>
      <c r="AB17" s="54">
        <v>30</v>
      </c>
      <c r="AC17" s="75">
        <v>357</v>
      </c>
      <c r="AD17" s="47">
        <v>368</v>
      </c>
      <c r="AE17" s="48">
        <v>328</v>
      </c>
      <c r="AF17" s="50">
        <v>160</v>
      </c>
      <c r="AG17" s="51">
        <v>185</v>
      </c>
      <c r="AH17" s="53">
        <v>173</v>
      </c>
      <c r="AI17" s="50">
        <v>54</v>
      </c>
      <c r="AJ17" s="48">
        <v>27</v>
      </c>
      <c r="AK17" s="54">
        <v>87</v>
      </c>
      <c r="AL17" s="24" t="s">
        <v>25</v>
      </c>
      <c r="AS17" s="10"/>
    </row>
    <row r="18" spans="1:45" ht="23.25" customHeight="1" x14ac:dyDescent="0.4">
      <c r="A18" s="23" t="s">
        <v>26</v>
      </c>
      <c r="B18" s="23"/>
      <c r="C18" s="46">
        <v>151</v>
      </c>
      <c r="D18" s="46">
        <v>170</v>
      </c>
      <c r="E18" s="46">
        <v>203</v>
      </c>
      <c r="F18" s="47">
        <v>147</v>
      </c>
      <c r="G18" s="48">
        <v>179</v>
      </c>
      <c r="H18" s="49">
        <v>354</v>
      </c>
      <c r="I18" s="68">
        <v>282</v>
      </c>
      <c r="J18" s="72">
        <v>390</v>
      </c>
      <c r="K18" s="47">
        <v>374</v>
      </c>
      <c r="L18" s="48">
        <v>334</v>
      </c>
      <c r="M18" s="50">
        <v>142</v>
      </c>
      <c r="N18" s="47">
        <v>129</v>
      </c>
      <c r="O18" s="75">
        <v>199</v>
      </c>
      <c r="P18" s="47">
        <v>160</v>
      </c>
      <c r="Q18" s="48">
        <v>156</v>
      </c>
      <c r="R18" s="50">
        <v>144</v>
      </c>
      <c r="S18" s="47">
        <v>84</v>
      </c>
      <c r="T18" s="75">
        <v>253</v>
      </c>
      <c r="U18" s="47">
        <v>224</v>
      </c>
      <c r="V18" s="48">
        <v>162</v>
      </c>
      <c r="W18" s="50">
        <v>275</v>
      </c>
      <c r="X18" s="47">
        <v>325</v>
      </c>
      <c r="Y18" s="75">
        <v>415</v>
      </c>
      <c r="Z18" s="47">
        <v>375</v>
      </c>
      <c r="AA18" s="48">
        <v>304</v>
      </c>
      <c r="AB18" s="54">
        <v>49</v>
      </c>
      <c r="AC18" s="75">
        <v>365</v>
      </c>
      <c r="AD18" s="47">
        <v>309</v>
      </c>
      <c r="AE18" s="48">
        <v>319</v>
      </c>
      <c r="AF18" s="50">
        <v>159</v>
      </c>
      <c r="AG18" s="51">
        <v>169</v>
      </c>
      <c r="AH18" s="53">
        <v>164</v>
      </c>
      <c r="AI18" s="50">
        <v>50</v>
      </c>
      <c r="AJ18" s="48">
        <v>30</v>
      </c>
      <c r="AK18" s="54">
        <v>127</v>
      </c>
      <c r="AL18" s="24" t="s">
        <v>27</v>
      </c>
      <c r="AS18" s="10"/>
    </row>
    <row r="19" spans="1:45" ht="23.25" customHeight="1" x14ac:dyDescent="0.4">
      <c r="A19" s="25" t="s">
        <v>28</v>
      </c>
      <c r="B19" s="25"/>
      <c r="C19" s="55">
        <v>134</v>
      </c>
      <c r="D19" s="55">
        <v>174</v>
      </c>
      <c r="E19" s="55">
        <v>220</v>
      </c>
      <c r="F19" s="56">
        <v>162</v>
      </c>
      <c r="G19" s="57">
        <v>199</v>
      </c>
      <c r="H19" s="58">
        <v>330</v>
      </c>
      <c r="I19" s="69">
        <v>368</v>
      </c>
      <c r="J19" s="73">
        <v>371</v>
      </c>
      <c r="K19" s="56">
        <v>398</v>
      </c>
      <c r="L19" s="57">
        <v>406</v>
      </c>
      <c r="M19" s="59">
        <v>121</v>
      </c>
      <c r="N19" s="56">
        <v>105</v>
      </c>
      <c r="O19" s="76">
        <v>170</v>
      </c>
      <c r="P19" s="56">
        <v>162</v>
      </c>
      <c r="Q19" s="57">
        <v>160</v>
      </c>
      <c r="R19" s="59">
        <v>114</v>
      </c>
      <c r="S19" s="56">
        <v>82</v>
      </c>
      <c r="T19" s="76">
        <v>222</v>
      </c>
      <c r="U19" s="56">
        <v>220</v>
      </c>
      <c r="V19" s="57">
        <v>216</v>
      </c>
      <c r="W19" s="59">
        <v>308</v>
      </c>
      <c r="X19" s="56">
        <v>350</v>
      </c>
      <c r="Y19" s="76">
        <v>405</v>
      </c>
      <c r="Z19" s="56">
        <v>394</v>
      </c>
      <c r="AA19" s="57">
        <v>314</v>
      </c>
      <c r="AB19" s="62">
        <v>94</v>
      </c>
      <c r="AC19" s="76">
        <v>369</v>
      </c>
      <c r="AD19" s="56">
        <v>329</v>
      </c>
      <c r="AE19" s="57">
        <v>327</v>
      </c>
      <c r="AF19" s="59">
        <v>170</v>
      </c>
      <c r="AG19" s="60">
        <v>178</v>
      </c>
      <c r="AH19" s="61">
        <v>178</v>
      </c>
      <c r="AI19" s="59">
        <v>39</v>
      </c>
      <c r="AJ19" s="57">
        <v>30</v>
      </c>
      <c r="AK19" s="62">
        <v>124</v>
      </c>
      <c r="AL19" s="26" t="s">
        <v>29</v>
      </c>
      <c r="AS19" s="10"/>
    </row>
    <row r="20" spans="1:45" ht="18.75" x14ac:dyDescent="0.25">
      <c r="A20" s="4" t="s">
        <v>2</v>
      </c>
      <c r="B20" s="4"/>
      <c r="C20" s="15"/>
      <c r="D20" s="15"/>
      <c r="E20" s="15"/>
      <c r="F20" s="15"/>
      <c r="G20" s="15"/>
      <c r="AL20" s="5" t="s">
        <v>3</v>
      </c>
      <c r="AP20" s="10" t="s">
        <v>39</v>
      </c>
      <c r="AQ20" s="1">
        <f>G7</f>
        <v>2088</v>
      </c>
      <c r="AR20" s="10"/>
    </row>
    <row r="21" spans="1:45" x14ac:dyDescent="0.25">
      <c r="A21" s="4" t="s">
        <v>54</v>
      </c>
      <c r="B21" s="4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P21" s="10" t="s">
        <v>40</v>
      </c>
      <c r="AQ21" s="1">
        <f>L7</f>
        <v>4290</v>
      </c>
      <c r="AR21" s="10"/>
    </row>
    <row r="22" spans="1:45" x14ac:dyDescent="0.25">
      <c r="A22" s="4" t="s">
        <v>55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P22" s="1" t="s">
        <v>41</v>
      </c>
      <c r="AQ22" s="1">
        <f>Q7</f>
        <v>1854</v>
      </c>
      <c r="AR22" s="10"/>
    </row>
    <row r="23" spans="1:45" x14ac:dyDescent="0.25">
      <c r="A23" s="4" t="s">
        <v>56</v>
      </c>
      <c r="AP23" s="7" t="s">
        <v>42</v>
      </c>
      <c r="AQ23" s="1">
        <f>V7</f>
        <v>2151</v>
      </c>
    </row>
    <row r="24" spans="1:45" x14ac:dyDescent="0.25">
      <c r="A24" s="4" t="s">
        <v>57</v>
      </c>
      <c r="AP24" s="1" t="s">
        <v>43</v>
      </c>
      <c r="AQ24" s="1">
        <f>AA7</f>
        <v>4265</v>
      </c>
    </row>
    <row r="25" spans="1:45" x14ac:dyDescent="0.25">
      <c r="A25" s="4" t="s">
        <v>58</v>
      </c>
      <c r="AP25" s="1" t="s">
        <v>44</v>
      </c>
      <c r="AQ25" s="1">
        <f>AE7</f>
        <v>3934</v>
      </c>
    </row>
    <row r="26" spans="1:45" x14ac:dyDescent="0.25">
      <c r="AP26" s="1" t="s">
        <v>45</v>
      </c>
      <c r="AQ26" s="1">
        <f>AH7</f>
        <v>1988</v>
      </c>
    </row>
    <row r="27" spans="1:45" ht="15" customHeight="1" x14ac:dyDescent="0.25">
      <c r="A27" s="4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P27" s="1" t="s">
        <v>59</v>
      </c>
      <c r="AQ27" s="1">
        <f>AJ7</f>
        <v>331</v>
      </c>
    </row>
    <row r="38" spans="3:19" x14ac:dyDescent="0.25"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3:19" ht="18.75" x14ac:dyDescent="0.25">
      <c r="C39" s="92"/>
      <c r="D39" s="92"/>
      <c r="E39" s="92"/>
      <c r="F39" s="17"/>
      <c r="G39" s="17"/>
      <c r="H39" s="92"/>
      <c r="I39" s="92"/>
      <c r="J39" s="92"/>
      <c r="K39" s="17"/>
      <c r="L39" s="17"/>
      <c r="M39" s="92"/>
      <c r="N39" s="92"/>
      <c r="O39" s="92"/>
      <c r="P39" s="17"/>
      <c r="Q39" s="17"/>
      <c r="R39" s="92"/>
      <c r="S39" s="92"/>
    </row>
    <row r="40" spans="3:19" x14ac:dyDescent="0.25">
      <c r="C40" s="93"/>
      <c r="D40" s="93"/>
      <c r="E40" s="93"/>
      <c r="F40" s="18"/>
      <c r="G40" s="18"/>
      <c r="H40" s="93"/>
      <c r="I40" s="93"/>
      <c r="J40" s="93"/>
      <c r="K40" s="18"/>
      <c r="L40" s="18"/>
      <c r="M40" s="93"/>
      <c r="N40" s="93"/>
      <c r="O40" s="93"/>
      <c r="P40" s="18"/>
      <c r="Q40" s="18"/>
      <c r="R40" s="93"/>
      <c r="S40" s="93"/>
    </row>
    <row r="41" spans="3:19" ht="18.75" x14ac:dyDescent="0.25"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92"/>
      <c r="N41" s="92"/>
      <c r="O41" s="92"/>
      <c r="P41" s="17"/>
      <c r="Q41" s="17"/>
      <c r="R41" s="92"/>
      <c r="S41" s="92"/>
    </row>
    <row r="42" spans="3:19" x14ac:dyDescent="0.25"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93"/>
      <c r="N42" s="93"/>
      <c r="O42" s="93"/>
      <c r="P42" s="18"/>
      <c r="Q42" s="18"/>
      <c r="R42" s="93"/>
      <c r="S42" s="93"/>
    </row>
    <row r="43" spans="3:19" ht="18.75" x14ac:dyDescent="0.25">
      <c r="C43" s="21"/>
      <c r="D43" s="22"/>
      <c r="E43" s="22"/>
      <c r="F43" s="22"/>
      <c r="G43" s="22"/>
      <c r="H43" s="21"/>
      <c r="I43" s="22"/>
      <c r="J43" s="22"/>
      <c r="K43" s="22"/>
      <c r="L43" s="22"/>
      <c r="M43" s="93"/>
      <c r="N43" s="93"/>
      <c r="O43" s="93"/>
      <c r="P43" s="17"/>
      <c r="Q43" s="17"/>
      <c r="R43" s="92"/>
      <c r="S43" s="92"/>
    </row>
    <row r="44" spans="3:19" x14ac:dyDescent="0.25">
      <c r="C44" s="21"/>
      <c r="D44" s="22"/>
      <c r="E44" s="22"/>
      <c r="F44" s="22"/>
      <c r="G44" s="22"/>
      <c r="H44" s="21"/>
      <c r="I44" s="22"/>
      <c r="J44" s="22"/>
      <c r="K44" s="22"/>
      <c r="L44" s="22"/>
      <c r="M44" s="93"/>
      <c r="N44" s="93"/>
      <c r="O44" s="93"/>
      <c r="P44" s="18"/>
      <c r="Q44" s="18"/>
      <c r="R44" s="93"/>
      <c r="S44" s="93"/>
    </row>
    <row r="45" spans="3:19" ht="18.75" x14ac:dyDescent="0.25">
      <c r="C45" s="21"/>
      <c r="D45" s="22"/>
      <c r="E45" s="22"/>
      <c r="F45" s="22"/>
      <c r="G45" s="22"/>
      <c r="H45" s="21"/>
      <c r="I45" s="22"/>
      <c r="J45" s="22"/>
      <c r="K45" s="22"/>
      <c r="L45" s="22"/>
      <c r="M45" s="93"/>
      <c r="N45" s="93"/>
      <c r="O45" s="93"/>
      <c r="P45" s="17"/>
      <c r="Q45" s="17"/>
      <c r="R45" s="92"/>
      <c r="S45" s="92"/>
    </row>
    <row r="46" spans="3:19" x14ac:dyDescent="0.25">
      <c r="C46" s="21"/>
      <c r="D46" s="22"/>
      <c r="E46" s="22"/>
      <c r="F46" s="22"/>
      <c r="G46" s="22"/>
      <c r="H46" s="21"/>
      <c r="I46" s="22"/>
      <c r="J46" s="22"/>
      <c r="K46" s="22"/>
      <c r="L46" s="22"/>
      <c r="M46" s="93"/>
      <c r="N46" s="93"/>
      <c r="O46" s="93"/>
      <c r="P46" s="18"/>
      <c r="Q46" s="18"/>
      <c r="R46" s="93"/>
      <c r="S46" s="93"/>
    </row>
    <row r="47" spans="3:19" ht="18.75" x14ac:dyDescent="0.25">
      <c r="C47" s="21"/>
      <c r="D47" s="22"/>
      <c r="E47" s="22"/>
      <c r="F47" s="22"/>
      <c r="G47" s="22"/>
      <c r="H47" s="21"/>
      <c r="I47" s="22"/>
      <c r="J47" s="22"/>
      <c r="K47" s="22"/>
      <c r="L47" s="22"/>
      <c r="M47" s="93"/>
      <c r="N47" s="93"/>
      <c r="O47" s="93"/>
      <c r="P47" s="17"/>
      <c r="Q47" s="17"/>
      <c r="R47" s="92"/>
      <c r="S47" s="92"/>
    </row>
    <row r="48" spans="3:19" x14ac:dyDescent="0.25">
      <c r="C48" s="21"/>
      <c r="D48" s="22"/>
      <c r="E48" s="22"/>
      <c r="F48" s="22"/>
      <c r="G48" s="22"/>
      <c r="H48" s="21"/>
      <c r="I48" s="22"/>
      <c r="J48" s="22"/>
      <c r="K48" s="22"/>
      <c r="L48" s="22"/>
      <c r="M48" s="93"/>
      <c r="N48" s="93"/>
      <c r="O48" s="93"/>
      <c r="P48" s="18"/>
      <c r="Q48" s="18"/>
      <c r="R48" s="93"/>
      <c r="S48" s="93"/>
    </row>
    <row r="49" spans="3:19" ht="18.75" x14ac:dyDescent="0.25">
      <c r="C49" s="21"/>
      <c r="D49" s="22"/>
      <c r="E49" s="22"/>
      <c r="F49" s="22"/>
      <c r="G49" s="22"/>
      <c r="H49" s="21"/>
      <c r="I49" s="22"/>
      <c r="J49" s="22"/>
      <c r="K49" s="22"/>
      <c r="L49" s="22"/>
      <c r="M49" s="93"/>
      <c r="N49" s="93"/>
      <c r="O49" s="93"/>
      <c r="P49" s="17"/>
      <c r="Q49" s="17"/>
      <c r="R49" s="92"/>
      <c r="S49" s="92"/>
    </row>
    <row r="50" spans="3:19" x14ac:dyDescent="0.25">
      <c r="C50" s="21"/>
      <c r="D50" s="22"/>
      <c r="E50" s="22"/>
      <c r="F50" s="22"/>
      <c r="G50" s="22"/>
      <c r="H50" s="21"/>
      <c r="I50" s="22"/>
      <c r="J50" s="22"/>
      <c r="K50" s="22"/>
      <c r="L50" s="22"/>
      <c r="M50" s="93"/>
      <c r="N50" s="93"/>
      <c r="O50" s="93"/>
      <c r="P50" s="18"/>
      <c r="Q50" s="18"/>
      <c r="R50" s="93"/>
      <c r="S50" s="93"/>
    </row>
    <row r="51" spans="3:19" ht="18.75" x14ac:dyDescent="0.25">
      <c r="C51" s="21"/>
      <c r="D51" s="22"/>
      <c r="E51" s="22"/>
      <c r="F51" s="22"/>
      <c r="G51" s="22"/>
      <c r="H51" s="21"/>
      <c r="I51" s="22"/>
      <c r="J51" s="22"/>
      <c r="K51" s="22"/>
      <c r="L51" s="22"/>
      <c r="M51" s="92"/>
      <c r="N51" s="92"/>
      <c r="O51" s="92"/>
      <c r="P51" s="17"/>
      <c r="Q51" s="17"/>
      <c r="R51" s="92"/>
      <c r="S51" s="92"/>
    </row>
    <row r="52" spans="3:19" x14ac:dyDescent="0.25"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93"/>
      <c r="N52" s="93"/>
      <c r="O52" s="93"/>
      <c r="P52" s="18"/>
      <c r="Q52" s="18"/>
      <c r="R52" s="93"/>
      <c r="S52" s="93"/>
    </row>
    <row r="53" spans="3:19" ht="18.75" x14ac:dyDescent="0.25"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92"/>
      <c r="N53" s="92"/>
      <c r="O53" s="92"/>
      <c r="P53" s="17"/>
      <c r="Q53" s="17"/>
      <c r="R53" s="92"/>
      <c r="S53" s="92"/>
    </row>
    <row r="54" spans="3:19" x14ac:dyDescent="0.25"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93"/>
      <c r="N54" s="93"/>
      <c r="O54" s="93"/>
      <c r="P54" s="18"/>
      <c r="Q54" s="18"/>
      <c r="R54" s="93"/>
      <c r="S54" s="93"/>
    </row>
    <row r="55" spans="3:19" ht="18.75" x14ac:dyDescent="0.25">
      <c r="C55" s="8"/>
      <c r="D55" s="8"/>
      <c r="E55" s="8"/>
      <c r="F55" s="8"/>
      <c r="G55" s="8"/>
      <c r="H55" s="8"/>
      <c r="I55" s="8"/>
      <c r="J55" s="8"/>
      <c r="K55" s="8"/>
      <c r="L55" s="8"/>
      <c r="M55" s="92"/>
      <c r="N55" s="92"/>
      <c r="O55" s="92"/>
      <c r="P55" s="17"/>
      <c r="Q55" s="17"/>
      <c r="R55" s="92"/>
      <c r="S55" s="92"/>
    </row>
    <row r="56" spans="3:19" x14ac:dyDescent="0.25">
      <c r="C56" s="8"/>
      <c r="D56" s="8"/>
      <c r="E56" s="8"/>
      <c r="F56" s="8"/>
      <c r="G56" s="8"/>
      <c r="H56" s="8"/>
      <c r="I56" s="8"/>
      <c r="J56" s="8"/>
      <c r="K56" s="8"/>
      <c r="L56" s="8"/>
      <c r="M56" s="93"/>
      <c r="N56" s="93"/>
      <c r="O56" s="93"/>
      <c r="P56" s="18"/>
      <c r="Q56" s="18"/>
      <c r="R56" s="93"/>
      <c r="S56" s="93"/>
    </row>
  </sheetData>
  <mergeCells count="60">
    <mergeCell ref="M56:O56"/>
    <mergeCell ref="R56:S56"/>
    <mergeCell ref="E4:G4"/>
    <mergeCell ref="E5:G5"/>
    <mergeCell ref="J4:L4"/>
    <mergeCell ref="J5:L5"/>
    <mergeCell ref="O4:Q4"/>
    <mergeCell ref="O5:Q5"/>
    <mergeCell ref="M53:O53"/>
    <mergeCell ref="R53:S53"/>
    <mergeCell ref="M54:O54"/>
    <mergeCell ref="R54:S54"/>
    <mergeCell ref="M55:O55"/>
    <mergeCell ref="R55:S55"/>
    <mergeCell ref="M50:O50"/>
    <mergeCell ref="R50:S50"/>
    <mergeCell ref="M51:O51"/>
    <mergeCell ref="R51:S51"/>
    <mergeCell ref="M52:O52"/>
    <mergeCell ref="R52:S52"/>
    <mergeCell ref="M47:O47"/>
    <mergeCell ref="R47:S47"/>
    <mergeCell ref="M48:O48"/>
    <mergeCell ref="R48:S48"/>
    <mergeCell ref="M49:O49"/>
    <mergeCell ref="R49:S49"/>
    <mergeCell ref="M44:O44"/>
    <mergeCell ref="R44:S44"/>
    <mergeCell ref="M45:O45"/>
    <mergeCell ref="R45:S45"/>
    <mergeCell ref="M46:O46"/>
    <mergeCell ref="R46:S46"/>
    <mergeCell ref="M41:O41"/>
    <mergeCell ref="R41:S41"/>
    <mergeCell ref="M42:O42"/>
    <mergeCell ref="R42:S42"/>
    <mergeCell ref="M43:O43"/>
    <mergeCell ref="R43:S43"/>
    <mergeCell ref="C39:E39"/>
    <mergeCell ref="H39:J39"/>
    <mergeCell ref="M39:O39"/>
    <mergeCell ref="R39:S39"/>
    <mergeCell ref="C40:E40"/>
    <mergeCell ref="H40:J40"/>
    <mergeCell ref="M40:O40"/>
    <mergeCell ref="R40:S40"/>
    <mergeCell ref="AI4:AJ4"/>
    <mergeCell ref="AL4:AL6"/>
    <mergeCell ref="AF5:AH5"/>
    <mergeCell ref="AI5:AJ5"/>
    <mergeCell ref="A1:AL1"/>
    <mergeCell ref="A2:AL2"/>
    <mergeCell ref="A4:A6"/>
    <mergeCell ref="AF4:AH4"/>
    <mergeCell ref="T4:V4"/>
    <mergeCell ref="T5:V5"/>
    <mergeCell ref="Y4:AA4"/>
    <mergeCell ref="Y5:AA5"/>
    <mergeCell ref="AC4:AE4"/>
    <mergeCell ref="AC5:AE5"/>
  </mergeCells>
  <pageMargins left="0.7" right="0.7" top="0.75" bottom="0.75" header="0.3" footer="0.3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11.16</vt:lpstr>
      <vt:lpstr>'11.16'!Print_Area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2016-09-19T07:35:37Z</cp:lastPrinted>
  <dcterms:created xsi:type="dcterms:W3CDTF">2014-05-22T03:57:11Z</dcterms:created>
  <dcterms:modified xsi:type="dcterms:W3CDTF">2016-09-19T07:35:39Z</dcterms:modified>
</cp:coreProperties>
</file>