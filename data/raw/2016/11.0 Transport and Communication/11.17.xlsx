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7" sheetId="12" r:id="rId1"/>
  </sheets>
  <externalReferences>
    <externalReference r:id="rId2"/>
    <externalReference r:id="rId3"/>
  </externalReferences>
  <definedNames>
    <definedName name="_xlnm.Print_Area" localSheetId="0">'11.17'!$A$1:$J$56</definedName>
  </definedNames>
  <calcPr calcId="144525"/>
</workbook>
</file>

<file path=xl/calcChain.xml><?xml version="1.0" encoding="utf-8"?>
<calcChain xmlns="http://schemas.openxmlformats.org/spreadsheetml/2006/main">
  <c r="G6" i="12" l="1"/>
  <c r="C7" i="12"/>
  <c r="C6" i="12"/>
  <c r="G17" i="12"/>
  <c r="C17" i="12"/>
  <c r="G16" i="12"/>
  <c r="C16" i="12"/>
  <c r="G15" i="12"/>
  <c r="C15" i="12"/>
  <c r="B15" i="12" s="1"/>
  <c r="G14" i="12"/>
  <c r="C14" i="12"/>
  <c r="G13" i="12"/>
  <c r="C13" i="12"/>
  <c r="B13" i="12" s="1"/>
  <c r="G12" i="12"/>
  <c r="C12" i="12"/>
  <c r="B12" i="12" s="1"/>
  <c r="G11" i="12"/>
  <c r="C11" i="12"/>
  <c r="B11" i="12" s="1"/>
  <c r="G10" i="12"/>
  <c r="C10" i="12"/>
  <c r="B10" i="12" s="1"/>
  <c r="G9" i="12"/>
  <c r="C9" i="12"/>
  <c r="G8" i="12"/>
  <c r="C8" i="12"/>
  <c r="G7" i="12"/>
  <c r="B7" i="12" s="1"/>
  <c r="I5" i="12"/>
  <c r="H5" i="12"/>
  <c r="G5" i="12" s="1"/>
  <c r="F5" i="12"/>
  <c r="E5" i="12"/>
  <c r="D5" i="12"/>
  <c r="C5" i="12" s="1"/>
  <c r="B9" i="12" l="1"/>
  <c r="B17" i="12"/>
  <c r="B5" i="12"/>
  <c r="B8" i="12"/>
  <c r="B6" i="12"/>
  <c r="B16" i="12"/>
  <c r="B14" i="12"/>
</calcChain>
</file>

<file path=xl/sharedStrings.xml><?xml version="1.0" encoding="utf-8"?>
<sst xmlns="http://schemas.openxmlformats.org/spreadsheetml/2006/main" count="73" uniqueCount="47">
  <si>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</si>
  <si>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</si>
  <si>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</si>
  <si>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</si>
  <si>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</si>
  <si>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</si>
  <si>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</si>
  <si>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</si>
  <si>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</si>
  <si>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</si>
  <si>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</si>
  <si>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</si>
  <si>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</si>
  <si>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</si>
  <si>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</si>
  <si>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</si>
  <si>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</si>
  <si>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</si>
  <si>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</si>
  <si>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</si>
  <si>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</si>
  <si>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</si>
  <si>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</si>
  <si>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</si>
  <si>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</si>
  <si>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</si>
  <si>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</si>
  <si>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</si>
  <si>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</si>
  <si>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</si>
  <si>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</si>
  <si>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</si>
  <si>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ތާވަލު 11.17: މަސްމަހުގެ ގޮތުން ބައިނަލް އަޤްވާމީ ވައިގެބަނދަރުން ދަތުރުކުރި ފްލައިޓްތައް، 2015</t>
  </si>
  <si>
    <t>Table  11.17 :  AIRCRAFT MOVEMENT AT IBRAHIM NASIR INTERNATIONAL AIRPORT BY MONTH, 2015</t>
  </si>
  <si>
    <t>Grand total</t>
  </si>
  <si>
    <t>Scheduled</t>
  </si>
  <si>
    <t>Chartered</t>
  </si>
  <si>
    <t>Non-Scheduled</t>
  </si>
  <si>
    <t>International</t>
  </si>
  <si>
    <t>Jan</t>
  </si>
  <si>
    <t>Feb</t>
  </si>
  <si>
    <t>Aug</t>
  </si>
  <si>
    <t>Sep</t>
  </si>
  <si>
    <t>Oct</t>
  </si>
  <si>
    <t>Nov</t>
  </si>
  <si>
    <t>Dec</t>
  </si>
  <si>
    <t>Domestic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</si>
</sst>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8" fillId="0" borderId="0"/>
  </cellStyleXfs>
  <cellXfs count="54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/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Alignment="1" applyProtection="1">
      <alignment horizontal="left" vertical="center"/>
    </xf>
    <xf numFmtId="0" fontId="11" fillId="2" borderId="0" xfId="13" applyFont="1" applyFill="1" applyAlignment="1">
      <alignment vertical="center"/>
    </xf>
    <xf numFmtId="0" fontId="9" fillId="2" borderId="2" xfId="0" applyNumberFormat="1" applyFont="1" applyFill="1" applyBorder="1" applyAlignment="1">
      <alignment horizontal="right" vertical="center"/>
    </xf>
    <xf numFmtId="164" fontId="0" fillId="2" borderId="0" xfId="0" applyNumberFormat="1" applyFill="1" applyBorder="1"/>
    <xf numFmtId="0" fontId="15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7" fillId="2" borderId="0" xfId="14" applyFont="1" applyFill="1" applyBorder="1" applyAlignment="1">
      <alignment horizontal="right"/>
    </xf>
    <xf numFmtId="164" fontId="3" fillId="2" borderId="5" xfId="5" applyNumberFormat="1" applyFont="1" applyFill="1" applyBorder="1" applyAlignment="1" applyProtection="1">
      <alignment horizontal="left" vertical="center"/>
    </xf>
    <xf numFmtId="0" fontId="17" fillId="2" borderId="5" xfId="14" applyFont="1" applyFill="1" applyBorder="1" applyAlignment="1">
      <alignment horizontal="right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164" fontId="0" fillId="2" borderId="0" xfId="0" applyNumberFormat="1" applyFill="1" applyAlignment="1">
      <alignment horizontal="center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/>
    </xf>
    <xf numFmtId="164" fontId="2" fillId="2" borderId="15" xfId="5" applyNumberFormat="1" applyFont="1" applyFill="1" applyBorder="1" applyAlignment="1" applyProtection="1">
      <alignment horizontal="right" vertical="center" wrapText="1"/>
    </xf>
    <xf numFmtId="164" fontId="2" fillId="2" borderId="11" xfId="5" applyNumberFormat="1" applyFont="1" applyFill="1" applyBorder="1" applyAlignment="1" applyProtection="1">
      <alignment horizontal="right" vertical="center"/>
    </xf>
    <xf numFmtId="164" fontId="2" fillId="2" borderId="3" xfId="5" applyNumberFormat="1" applyFont="1" applyFill="1" applyBorder="1" applyAlignment="1" applyProtection="1">
      <alignment horizontal="right" vertical="center" wrapText="1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5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11" fillId="2" borderId="0" xfId="5" applyNumberFormat="1" applyFont="1" applyFill="1" applyBorder="1" applyAlignment="1"/>
    <xf numFmtId="164" fontId="0" fillId="2" borderId="0" xfId="0" applyNumberFormat="1" applyFill="1" applyAlignment="1">
      <alignment horizontal="right" vertical="center"/>
    </xf>
    <xf numFmtId="3" fontId="2" fillId="2" borderId="10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3" fontId="2" fillId="2" borderId="8" xfId="5" applyNumberFormat="1" applyFont="1" applyFill="1" applyBorder="1" applyAlignment="1" applyProtection="1">
      <alignment horizontal="right" vertical="center"/>
    </xf>
    <xf numFmtId="3" fontId="2" fillId="2" borderId="11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3" fontId="3" fillId="2" borderId="1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2" fillId="2" borderId="9" xfId="5" applyNumberFormat="1" applyFont="1" applyFill="1" applyBorder="1" applyAlignment="1" applyProtection="1">
      <alignment horizontal="right" vertical="center"/>
    </xf>
    <xf numFmtId="3" fontId="2" fillId="2" borderId="2" xfId="5" applyNumberFormat="1" applyFont="1" applyFill="1" applyBorder="1" applyAlignment="1" applyProtection="1">
      <alignment horizontal="right" vertical="center"/>
    </xf>
    <xf numFmtId="3" fontId="2" fillId="2" borderId="16" xfId="5" applyNumberFormat="1" applyFont="1" applyFill="1" applyBorder="1" applyAlignment="1" applyProtection="1">
      <alignment horizontal="right" vertical="center"/>
    </xf>
    <xf numFmtId="3" fontId="2" fillId="2" borderId="12" xfId="5" applyNumberFormat="1" applyFont="1" applyFill="1" applyBorder="1" applyAlignment="1" applyProtection="1">
      <alignment horizontal="right" vertical="center"/>
    </xf>
    <xf numFmtId="3" fontId="3" fillId="2" borderId="17" xfId="5" applyNumberFormat="1" applyFont="1" applyFill="1" applyBorder="1" applyAlignment="1" applyProtection="1">
      <alignment horizontal="right" vertical="center"/>
      <protection locked="0"/>
    </xf>
    <xf numFmtId="3" fontId="3" fillId="2" borderId="15" xfId="5" applyNumberFormat="1" applyFont="1" applyFill="1" applyBorder="1" applyAlignment="1" applyProtection="1">
      <alignment horizontal="right" vertical="center"/>
      <protection locked="0"/>
    </xf>
    <xf numFmtId="164" fontId="7" fillId="2" borderId="4" xfId="5" applyNumberFormat="1" applyFont="1" applyFill="1" applyBorder="1" applyAlignment="1" applyProtection="1">
      <alignment horizontal="left" vertical="center"/>
    </xf>
    <xf numFmtId="164" fontId="7" fillId="2" borderId="5" xfId="5" applyNumberFormat="1" applyFont="1" applyFill="1" applyBorder="1" applyAlignment="1" applyProtection="1">
      <alignment horizontal="left" vertical="center"/>
    </xf>
    <xf numFmtId="0" fontId="15" fillId="2" borderId="4" xfId="14" applyFont="1" applyFill="1" applyBorder="1" applyAlignment="1">
      <alignment horizontal="right" vertical="center"/>
    </xf>
    <xf numFmtId="0" fontId="15" fillId="2" borderId="5" xfId="14" applyFont="1" applyFill="1" applyBorder="1" applyAlignment="1">
      <alignment horizontal="right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12" fillId="2" borderId="0" xfId="0" applyNumberFormat="1" applyFont="1" applyFill="1" applyBorder="1" applyAlignment="1">
      <alignment horizontal="center" vertical="center"/>
    </xf>
    <xf numFmtId="164" fontId="4" fillId="2" borderId="5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right" vertical="center" wrapText="1"/>
    </xf>
    <xf numFmtId="164" fontId="2" fillId="2" borderId="5" xfId="5" applyNumberFormat="1" applyFont="1" applyFill="1" applyBorder="1" applyAlignment="1" applyProtection="1">
      <alignment horizontal="right" vertical="center" wrapText="1"/>
    </xf>
    <xf numFmtId="164" fontId="2" fillId="2" borderId="7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14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11.12: International aircraft movements at Ibrahim Nasir International airport, 2015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2856627729988193E-2"/>
          <c:y val="0.14639771880366803"/>
          <c:w val="0.90658775314908624"/>
          <c:h val="0.734480088137131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'11.17'!$AA$27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'11.17'!$Z$28:$Z$39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'11.17'!$AA$28:$AA$39</c:f>
              <c:numCache>
                <c:formatCode>#,##0</c:formatCode>
                <c:ptCount val="12"/>
                <c:pt idx="0">
                  <c:v>1974</c:v>
                </c:pt>
                <c:pt idx="1">
                  <c:v>1892</c:v>
                </c:pt>
                <c:pt idx="2">
                  <c:v>1958</c:v>
                </c:pt>
                <c:pt idx="3">
                  <c:v>1760</c:v>
                </c:pt>
                <c:pt idx="4">
                  <c:v>1734</c:v>
                </c:pt>
                <c:pt idx="5">
                  <c:v>1632</c:v>
                </c:pt>
                <c:pt idx="6">
                  <c:v>1720</c:v>
                </c:pt>
                <c:pt idx="7">
                  <c:v>1700</c:v>
                </c:pt>
                <c:pt idx="8">
                  <c:v>1596</c:v>
                </c:pt>
                <c:pt idx="9">
                  <c:v>1776</c:v>
                </c:pt>
                <c:pt idx="10">
                  <c:v>1784</c:v>
                </c:pt>
                <c:pt idx="11">
                  <c:v>1850</c:v>
                </c:pt>
              </c:numCache>
            </c:numRef>
          </c:val>
        </c:ser>
        <c:ser>
          <c:idx val="1"/>
          <c:order val="1"/>
          <c:tx>
            <c:strRef>
              <c:f>'11.17'!$AB$27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rgbClr val="11FFFF"/>
            </a:solidFill>
          </c:spPr>
          <c:invertIfNegative val="0"/>
          <c:cat>
            <c:strRef>
              <c:f>'11.17'!$Z$28:$Z$39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'11.17'!$AB$28:$AB$39</c:f>
              <c:numCache>
                <c:formatCode>#,##0</c:formatCode>
                <c:ptCount val="12"/>
                <c:pt idx="0">
                  <c:v>14</c:v>
                </c:pt>
                <c:pt idx="1">
                  <c:v>24</c:v>
                </c:pt>
                <c:pt idx="2">
                  <c:v>16</c:v>
                </c:pt>
                <c:pt idx="3">
                  <c:v>12</c:v>
                </c:pt>
                <c:pt idx="4">
                  <c:v>14</c:v>
                </c:pt>
                <c:pt idx="5">
                  <c:v>14</c:v>
                </c:pt>
                <c:pt idx="6">
                  <c:v>28</c:v>
                </c:pt>
                <c:pt idx="7">
                  <c:v>26</c:v>
                </c:pt>
                <c:pt idx="8">
                  <c:v>26</c:v>
                </c:pt>
                <c:pt idx="9">
                  <c:v>18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'11.17'!$AC$27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'11.17'!$Z$28:$Z$39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'11.17'!$AC$28:$AC$39</c:f>
              <c:numCache>
                <c:formatCode>#,##0</c:formatCode>
                <c:ptCount val="12"/>
                <c:pt idx="0">
                  <c:v>308</c:v>
                </c:pt>
                <c:pt idx="1">
                  <c:v>190</c:v>
                </c:pt>
                <c:pt idx="2">
                  <c:v>230</c:v>
                </c:pt>
                <c:pt idx="3">
                  <c:v>224</c:v>
                </c:pt>
                <c:pt idx="4">
                  <c:v>164</c:v>
                </c:pt>
                <c:pt idx="5">
                  <c:v>144</c:v>
                </c:pt>
                <c:pt idx="6">
                  <c:v>86</c:v>
                </c:pt>
                <c:pt idx="7">
                  <c:v>88</c:v>
                </c:pt>
                <c:pt idx="8">
                  <c:v>62</c:v>
                </c:pt>
                <c:pt idx="9">
                  <c:v>116</c:v>
                </c:pt>
                <c:pt idx="10">
                  <c:v>108</c:v>
                </c:pt>
                <c:pt idx="11">
                  <c:v>196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"/>
        <c:axId val="141905280"/>
        <c:axId val="141907072"/>
      </c:barChart>
      <c:catAx>
        <c:axId val="141905280"/>
        <c:scaling>
          <c:orientation val="minMax"/>
        </c:scaling>
        <c:delete val="0"/>
        <c:axPos val="b"/>
        <c:majorTickMark val="none"/>
        <c:minorTickMark val="none"/>
        <c:tickLblPos val="nextTo"/>
        <c:crossAx val="141907072"/>
        <c:crosses val="autoZero"/>
        <c:auto val="1"/>
        <c:lblAlgn val="ctr"/>
        <c:lblOffset val="100"/>
        <c:noMultiLvlLbl val="0"/>
      </c:catAx>
      <c:valAx>
        <c:axId val="141907072"/>
        <c:scaling>
          <c:orientation val="minMax"/>
          <c:max val="2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/>
                </a:pPr>
                <a:r>
                  <a:rPr lang="en-US" sz="1050"/>
                  <a:t>In numbers</a:t>
                </a:r>
              </a:p>
            </c:rich>
          </c:tx>
          <c:layout>
            <c:manualLayout>
              <c:xMode val="edge"/>
              <c:yMode val="edge"/>
              <c:x val="3.3208860781437982E-3"/>
              <c:y val="8.313048831858981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4190528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30299836694785676"/>
          <c:y val="0.16226337448559672"/>
          <c:w val="0.37638974124271452"/>
          <c:h val="7.441528142315544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2015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8150481189851271E-2"/>
          <c:y val="0.17790155524102708"/>
          <c:w val="0.87129396325459318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'11.17'!$AA$43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'11.17'!$Z$44:$Z$55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'11.17'!$AA$44:$AA$55</c:f>
              <c:numCache>
                <c:formatCode>#,##0</c:formatCode>
                <c:ptCount val="12"/>
                <c:pt idx="0">
                  <c:v>2166</c:v>
                </c:pt>
                <c:pt idx="1">
                  <c:v>2094</c:v>
                </c:pt>
                <c:pt idx="2">
                  <c:v>2044</c:v>
                </c:pt>
                <c:pt idx="3">
                  <c:v>1918</c:v>
                </c:pt>
                <c:pt idx="4">
                  <c:v>1834</c:v>
                </c:pt>
                <c:pt idx="5">
                  <c:v>1770</c:v>
                </c:pt>
                <c:pt idx="6">
                  <c:v>1854</c:v>
                </c:pt>
                <c:pt idx="7">
                  <c:v>1952</c:v>
                </c:pt>
                <c:pt idx="8">
                  <c:v>2034</c:v>
                </c:pt>
                <c:pt idx="9">
                  <c:v>1876</c:v>
                </c:pt>
                <c:pt idx="10">
                  <c:v>1936</c:v>
                </c:pt>
                <c:pt idx="11">
                  <c:v>2198</c:v>
                </c:pt>
              </c:numCache>
            </c:numRef>
          </c:val>
        </c:ser>
        <c:ser>
          <c:idx val="1"/>
          <c:order val="1"/>
          <c:tx>
            <c:strRef>
              <c:f>'11.17'!$AB$43</c:f>
              <c:strCache>
                <c:ptCount val="1"/>
                <c:pt idx="0">
                  <c:v>Chartered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'11.17'!$Z$44:$Z$55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'11.17'!$AB$44:$AB$55</c:f>
              <c:numCache>
                <c:formatCode>#,##0</c:formatCode>
                <c:ptCount val="12"/>
                <c:pt idx="0">
                  <c:v>4222</c:v>
                </c:pt>
                <c:pt idx="1">
                  <c:v>4497</c:v>
                </c:pt>
                <c:pt idx="2">
                  <c:v>4543</c:v>
                </c:pt>
                <c:pt idx="3">
                  <c:v>4251</c:v>
                </c:pt>
                <c:pt idx="4">
                  <c:v>3940</c:v>
                </c:pt>
                <c:pt idx="5">
                  <c:v>3307</c:v>
                </c:pt>
                <c:pt idx="6">
                  <c:v>3802</c:v>
                </c:pt>
                <c:pt idx="7">
                  <c:v>4247</c:v>
                </c:pt>
                <c:pt idx="8">
                  <c:v>3858</c:v>
                </c:pt>
                <c:pt idx="9">
                  <c:v>4367</c:v>
                </c:pt>
                <c:pt idx="10">
                  <c:v>3755</c:v>
                </c:pt>
                <c:pt idx="11">
                  <c:v>3883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141928704"/>
        <c:axId val="141938688"/>
      </c:barChart>
      <c:catAx>
        <c:axId val="141928704"/>
        <c:scaling>
          <c:orientation val="minMax"/>
        </c:scaling>
        <c:delete val="0"/>
        <c:axPos val="b"/>
        <c:majorTickMark val="none"/>
        <c:minorTickMark val="none"/>
        <c:tickLblPos val="nextTo"/>
        <c:crossAx val="141938688"/>
        <c:crosses val="autoZero"/>
        <c:auto val="1"/>
        <c:lblAlgn val="ctr"/>
        <c:lblOffset val="100"/>
        <c:noMultiLvlLbl val="0"/>
      </c:catAx>
      <c:valAx>
        <c:axId val="1419386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14192870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3293287150202655"/>
          <c:h val="7.1003710133414055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19</xdr:row>
      <xdr:rowOff>9526</xdr:rowOff>
    </xdr:from>
    <xdr:to>
      <xdr:col>9</xdr:col>
      <xdr:colOff>733424</xdr:colOff>
      <xdr:row>36</xdr:row>
      <xdr:rowOff>47626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409574</xdr:colOff>
      <xdr:row>36</xdr:row>
      <xdr:rowOff>161924</xdr:rowOff>
    </xdr:from>
    <xdr:to>
      <xdr:col>9</xdr:col>
      <xdr:colOff>761999</xdr:colOff>
      <xdr:row>55</xdr:row>
      <xdr:rowOff>57150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514350</xdr:colOff>
      <xdr:row>38</xdr:row>
      <xdr:rowOff>142875</xdr:rowOff>
    </xdr:from>
    <xdr:ext cx="835742" cy="264560"/>
    <xdr:sp macro="" textlink="">
      <xdr:nvSpPr>
        <xdr:cNvPr id="4" name="TextBox 3"/>
        <xdr:cNvSpPr txBox="1"/>
      </xdr:nvSpPr>
      <xdr:spPr>
        <a:xfrm>
          <a:off x="514350" y="15659100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514350</xdr:colOff>
      <xdr:row>20</xdr:row>
      <xdr:rowOff>76199</xdr:rowOff>
    </xdr:from>
    <xdr:to>
      <xdr:col>8</xdr:col>
      <xdr:colOff>828675</xdr:colOff>
      <xdr:row>20</xdr:row>
      <xdr:rowOff>76199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295400" y="12563474"/>
          <a:ext cx="543877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2</xdr:col>
      <xdr:colOff>0</xdr:colOff>
      <xdr:row>39</xdr:row>
      <xdr:rowOff>66674</xdr:rowOff>
    </xdr:from>
    <xdr:to>
      <xdr:col>8</xdr:col>
      <xdr:colOff>742950</xdr:colOff>
      <xdr:row>39</xdr:row>
      <xdr:rowOff>76199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485900" y="15849599"/>
          <a:ext cx="516255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67"/>
  <sheetViews>
    <sheetView tabSelected="1" zoomScaleNormal="100" workbookViewId="0">
      <selection activeCell="M26" sqref="M26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16384" width="9.140625" style="2"/>
  </cols>
  <sheetData>
    <row r="1" spans="1:11" ht="21" x14ac:dyDescent="0.25">
      <c r="A1" s="46" t="s">
        <v>32</v>
      </c>
      <c r="B1" s="47"/>
      <c r="C1" s="47"/>
      <c r="D1" s="47"/>
      <c r="E1" s="47"/>
      <c r="F1" s="47"/>
      <c r="G1" s="47"/>
      <c r="H1" s="47"/>
      <c r="I1" s="47"/>
      <c r="J1" s="47"/>
    </row>
    <row r="2" spans="1:11" ht="15" x14ac:dyDescent="0.25">
      <c r="A2" s="48" t="s">
        <v>33</v>
      </c>
      <c r="B2" s="48"/>
      <c r="C2" s="48"/>
      <c r="D2" s="48"/>
      <c r="E2" s="48"/>
      <c r="F2" s="48"/>
      <c r="G2" s="48"/>
      <c r="H2" s="48"/>
      <c r="I2" s="48"/>
      <c r="J2" s="48"/>
    </row>
    <row r="3" spans="1:11" ht="15" x14ac:dyDescent="0.25">
      <c r="A3" s="42" t="s">
        <v>5</v>
      </c>
      <c r="B3" s="49" t="s">
        <v>34</v>
      </c>
      <c r="C3" s="51" t="s">
        <v>2</v>
      </c>
      <c r="D3" s="52"/>
      <c r="E3" s="52"/>
      <c r="F3" s="53"/>
      <c r="G3" s="52" t="s">
        <v>6</v>
      </c>
      <c r="H3" s="52"/>
      <c r="I3" s="52"/>
      <c r="J3" s="44" t="s">
        <v>7</v>
      </c>
    </row>
    <row r="4" spans="1:11" s="17" customFormat="1" ht="15" x14ac:dyDescent="0.25">
      <c r="A4" s="43"/>
      <c r="B4" s="50"/>
      <c r="C4" s="18" t="s">
        <v>1</v>
      </c>
      <c r="D4" s="19" t="s">
        <v>35</v>
      </c>
      <c r="E4" s="19" t="s">
        <v>36</v>
      </c>
      <c r="F4" s="20" t="s">
        <v>37</v>
      </c>
      <c r="G4" s="21" t="s">
        <v>1</v>
      </c>
      <c r="H4" s="19" t="s">
        <v>35</v>
      </c>
      <c r="I4" s="22" t="s">
        <v>37</v>
      </c>
      <c r="J4" s="45"/>
      <c r="K4" s="4"/>
    </row>
    <row r="5" spans="1:11" ht="17.25" x14ac:dyDescent="0.4">
      <c r="A5" s="3" t="s">
        <v>1</v>
      </c>
      <c r="B5" s="23">
        <f>SUM(C5+G5)</f>
        <v>95836</v>
      </c>
      <c r="C5" s="36">
        <f>SUM(D5+E5+F5)</f>
        <v>23488</v>
      </c>
      <c r="D5" s="37">
        <f>SUM(D6:D17)</f>
        <v>21376</v>
      </c>
      <c r="E5" s="37">
        <f>SUM(E6:E17)</f>
        <v>196</v>
      </c>
      <c r="F5" s="38">
        <f>SUM(F6:F17)</f>
        <v>1916</v>
      </c>
      <c r="G5" s="39">
        <f>SUM(H5+I5)</f>
        <v>72348</v>
      </c>
      <c r="H5" s="37">
        <f>SUM(H6:H17)</f>
        <v>23676</v>
      </c>
      <c r="I5" s="37">
        <f>SUM(I6:I17)</f>
        <v>48672</v>
      </c>
      <c r="J5" s="10" t="s">
        <v>0</v>
      </c>
    </row>
    <row r="6" spans="1:11" ht="17.25" x14ac:dyDescent="0.4">
      <c r="A6" s="11" t="s">
        <v>8</v>
      </c>
      <c r="B6" s="23">
        <f t="shared" ref="B6:B17" si="0">SUM(C6+G6)</f>
        <v>8684</v>
      </c>
      <c r="C6" s="29">
        <f>SUM(D6+E6+F6)</f>
        <v>2296</v>
      </c>
      <c r="D6" s="34">
        <v>1974</v>
      </c>
      <c r="E6" s="34">
        <v>14</v>
      </c>
      <c r="F6" s="40">
        <v>308</v>
      </c>
      <c r="G6" s="30">
        <f>SUM(H6+I6)</f>
        <v>6388</v>
      </c>
      <c r="H6" s="34">
        <v>2166</v>
      </c>
      <c r="I6" s="34">
        <v>4222</v>
      </c>
      <c r="J6" s="12" t="s">
        <v>9</v>
      </c>
    </row>
    <row r="7" spans="1:11" ht="17.25" x14ac:dyDescent="0.4">
      <c r="A7" s="11" t="s">
        <v>10</v>
      </c>
      <c r="B7" s="23">
        <f t="shared" si="0"/>
        <v>8697</v>
      </c>
      <c r="C7" s="29">
        <f>SUM(D7+E7+F7)</f>
        <v>2106</v>
      </c>
      <c r="D7" s="34">
        <v>1892</v>
      </c>
      <c r="E7" s="34">
        <v>24</v>
      </c>
      <c r="F7" s="40">
        <v>190</v>
      </c>
      <c r="G7" s="30">
        <f t="shared" ref="G7:G17" si="1">SUM(H7+I7)</f>
        <v>6591</v>
      </c>
      <c r="H7" s="34">
        <v>2094</v>
      </c>
      <c r="I7" s="34">
        <v>4497</v>
      </c>
      <c r="J7" s="12" t="s">
        <v>11</v>
      </c>
    </row>
    <row r="8" spans="1:11" ht="17.25" x14ac:dyDescent="0.4">
      <c r="A8" s="11" t="s">
        <v>12</v>
      </c>
      <c r="B8" s="23">
        <f t="shared" si="0"/>
        <v>8791</v>
      </c>
      <c r="C8" s="29">
        <f t="shared" ref="C8:C17" si="2">SUM(D8+E8+F8)</f>
        <v>2204</v>
      </c>
      <c r="D8" s="34">
        <v>1958</v>
      </c>
      <c r="E8" s="34">
        <v>16</v>
      </c>
      <c r="F8" s="40">
        <v>230</v>
      </c>
      <c r="G8" s="30">
        <f t="shared" si="1"/>
        <v>6587</v>
      </c>
      <c r="H8" s="34">
        <v>2044</v>
      </c>
      <c r="I8" s="34">
        <v>4543</v>
      </c>
      <c r="J8" s="12" t="s">
        <v>13</v>
      </c>
    </row>
    <row r="9" spans="1:11" ht="17.25" x14ac:dyDescent="0.4">
      <c r="A9" s="11" t="s">
        <v>14</v>
      </c>
      <c r="B9" s="23">
        <f t="shared" si="0"/>
        <v>8165</v>
      </c>
      <c r="C9" s="29">
        <f t="shared" si="2"/>
        <v>1996</v>
      </c>
      <c r="D9" s="34">
        <v>1760</v>
      </c>
      <c r="E9" s="34">
        <v>12</v>
      </c>
      <c r="F9" s="40">
        <v>224</v>
      </c>
      <c r="G9" s="30">
        <f t="shared" si="1"/>
        <v>6169</v>
      </c>
      <c r="H9" s="34">
        <v>1918</v>
      </c>
      <c r="I9" s="34">
        <v>4251</v>
      </c>
      <c r="J9" s="12" t="s">
        <v>15</v>
      </c>
    </row>
    <row r="10" spans="1:11" ht="17.25" x14ac:dyDescent="0.4">
      <c r="A10" s="11" t="s">
        <v>16</v>
      </c>
      <c r="B10" s="23">
        <f t="shared" si="0"/>
        <v>7686</v>
      </c>
      <c r="C10" s="29">
        <f t="shared" si="2"/>
        <v>1912</v>
      </c>
      <c r="D10" s="34">
        <v>1734</v>
      </c>
      <c r="E10" s="34">
        <v>14</v>
      </c>
      <c r="F10" s="40">
        <v>164</v>
      </c>
      <c r="G10" s="30">
        <f t="shared" si="1"/>
        <v>5774</v>
      </c>
      <c r="H10" s="34">
        <v>1834</v>
      </c>
      <c r="I10" s="34">
        <v>3940</v>
      </c>
      <c r="J10" s="12" t="s">
        <v>17</v>
      </c>
    </row>
    <row r="11" spans="1:11" ht="17.25" x14ac:dyDescent="0.4">
      <c r="A11" s="11" t="s">
        <v>18</v>
      </c>
      <c r="B11" s="23">
        <f t="shared" si="0"/>
        <v>6867</v>
      </c>
      <c r="C11" s="29">
        <f t="shared" si="2"/>
        <v>1790</v>
      </c>
      <c r="D11" s="34">
        <v>1632</v>
      </c>
      <c r="E11" s="34">
        <v>14</v>
      </c>
      <c r="F11" s="40">
        <v>144</v>
      </c>
      <c r="G11" s="30">
        <f t="shared" si="1"/>
        <v>5077</v>
      </c>
      <c r="H11" s="34">
        <v>1770</v>
      </c>
      <c r="I11" s="34">
        <v>3307</v>
      </c>
      <c r="J11" s="12" t="s">
        <v>19</v>
      </c>
    </row>
    <row r="12" spans="1:11" ht="17.25" x14ac:dyDescent="0.4">
      <c r="A12" s="11" t="s">
        <v>20</v>
      </c>
      <c r="B12" s="23">
        <f t="shared" si="0"/>
        <v>7490</v>
      </c>
      <c r="C12" s="29">
        <f t="shared" si="2"/>
        <v>1834</v>
      </c>
      <c r="D12" s="34">
        <v>1720</v>
      </c>
      <c r="E12" s="34">
        <v>28</v>
      </c>
      <c r="F12" s="40">
        <v>86</v>
      </c>
      <c r="G12" s="30">
        <f t="shared" si="1"/>
        <v>5656</v>
      </c>
      <c r="H12" s="34">
        <v>1854</v>
      </c>
      <c r="I12" s="34">
        <v>3802</v>
      </c>
      <c r="J12" s="12" t="s">
        <v>21</v>
      </c>
    </row>
    <row r="13" spans="1:11" ht="17.25" x14ac:dyDescent="0.4">
      <c r="A13" s="11" t="s">
        <v>22</v>
      </c>
      <c r="B13" s="23">
        <f t="shared" si="0"/>
        <v>8013</v>
      </c>
      <c r="C13" s="29">
        <f t="shared" si="2"/>
        <v>1814</v>
      </c>
      <c r="D13" s="34">
        <v>1700</v>
      </c>
      <c r="E13" s="34">
        <v>26</v>
      </c>
      <c r="F13" s="40">
        <v>88</v>
      </c>
      <c r="G13" s="30">
        <f t="shared" si="1"/>
        <v>6199</v>
      </c>
      <c r="H13" s="34">
        <v>1952</v>
      </c>
      <c r="I13" s="34">
        <v>4247</v>
      </c>
      <c r="J13" s="12" t="s">
        <v>23</v>
      </c>
    </row>
    <row r="14" spans="1:11" ht="17.25" x14ac:dyDescent="0.4">
      <c r="A14" s="11" t="s">
        <v>24</v>
      </c>
      <c r="B14" s="23">
        <f t="shared" si="0"/>
        <v>7576</v>
      </c>
      <c r="C14" s="29">
        <f t="shared" si="2"/>
        <v>1684</v>
      </c>
      <c r="D14" s="34">
        <v>1596</v>
      </c>
      <c r="E14" s="34">
        <v>26</v>
      </c>
      <c r="F14" s="40">
        <v>62</v>
      </c>
      <c r="G14" s="30">
        <f t="shared" si="1"/>
        <v>5892</v>
      </c>
      <c r="H14" s="34">
        <v>2034</v>
      </c>
      <c r="I14" s="34">
        <v>3858</v>
      </c>
      <c r="J14" s="12" t="s">
        <v>25</v>
      </c>
    </row>
    <row r="15" spans="1:11" ht="17.25" x14ac:dyDescent="0.4">
      <c r="A15" s="11" t="s">
        <v>26</v>
      </c>
      <c r="B15" s="23">
        <f t="shared" si="0"/>
        <v>8153</v>
      </c>
      <c r="C15" s="29">
        <f t="shared" si="2"/>
        <v>1910</v>
      </c>
      <c r="D15" s="34">
        <v>1776</v>
      </c>
      <c r="E15" s="34">
        <v>18</v>
      </c>
      <c r="F15" s="40">
        <v>116</v>
      </c>
      <c r="G15" s="30">
        <f t="shared" si="1"/>
        <v>6243</v>
      </c>
      <c r="H15" s="34">
        <v>1876</v>
      </c>
      <c r="I15" s="34">
        <v>4367</v>
      </c>
      <c r="J15" s="12" t="s">
        <v>27</v>
      </c>
    </row>
    <row r="16" spans="1:11" ht="17.25" x14ac:dyDescent="0.4">
      <c r="A16" s="11" t="s">
        <v>28</v>
      </c>
      <c r="B16" s="23">
        <f t="shared" si="0"/>
        <v>7587</v>
      </c>
      <c r="C16" s="29">
        <f t="shared" si="2"/>
        <v>1896</v>
      </c>
      <c r="D16" s="34">
        <v>1784</v>
      </c>
      <c r="E16" s="34">
        <v>4</v>
      </c>
      <c r="F16" s="40">
        <v>108</v>
      </c>
      <c r="G16" s="30">
        <f t="shared" si="1"/>
        <v>5691</v>
      </c>
      <c r="H16" s="34">
        <v>1936</v>
      </c>
      <c r="I16" s="34">
        <v>3755</v>
      </c>
      <c r="J16" s="12" t="s">
        <v>29</v>
      </c>
    </row>
    <row r="17" spans="1:29" ht="17.25" x14ac:dyDescent="0.4">
      <c r="A17" s="13" t="s">
        <v>30</v>
      </c>
      <c r="B17" s="24">
        <f t="shared" si="0"/>
        <v>8127</v>
      </c>
      <c r="C17" s="31">
        <f t="shared" si="2"/>
        <v>2046</v>
      </c>
      <c r="D17" s="35">
        <v>1850</v>
      </c>
      <c r="E17" s="35">
        <v>0</v>
      </c>
      <c r="F17" s="41">
        <v>196</v>
      </c>
      <c r="G17" s="32">
        <f t="shared" si="1"/>
        <v>6081</v>
      </c>
      <c r="H17" s="35">
        <v>2198</v>
      </c>
      <c r="I17" s="35">
        <v>3883</v>
      </c>
      <c r="J17" s="14" t="s">
        <v>31</v>
      </c>
    </row>
    <row r="18" spans="1:29" ht="18.75" x14ac:dyDescent="0.4">
      <c r="A18" s="6" t="s">
        <v>3</v>
      </c>
      <c r="B18" s="5"/>
      <c r="C18" s="25"/>
      <c r="D18" s="25"/>
      <c r="E18" s="25"/>
      <c r="F18" s="25"/>
      <c r="G18" s="25"/>
      <c r="H18" s="26"/>
      <c r="I18" s="8"/>
      <c r="J18" s="8" t="s">
        <v>4</v>
      </c>
      <c r="L18" s="27"/>
      <c r="M18" s="7"/>
    </row>
    <row r="19" spans="1:29" ht="18.75" x14ac:dyDescent="0.25">
      <c r="A19" s="6"/>
      <c r="B19" s="5"/>
      <c r="C19" s="25"/>
      <c r="D19" s="25"/>
      <c r="E19" s="25"/>
      <c r="F19" s="25"/>
      <c r="G19" s="25"/>
      <c r="H19" s="26"/>
      <c r="J19" s="1"/>
    </row>
    <row r="20" spans="1:29" ht="18.75" x14ac:dyDescent="0.25">
      <c r="A20" s="6"/>
      <c r="B20" s="5"/>
      <c r="C20" s="25"/>
      <c r="D20" s="25"/>
      <c r="E20" s="25"/>
      <c r="F20" s="25"/>
      <c r="G20" s="25"/>
      <c r="H20" s="26"/>
      <c r="J20" s="1"/>
    </row>
    <row r="21" spans="1:29" ht="15" x14ac:dyDescent="0.25">
      <c r="A21" s="9"/>
      <c r="B21" s="9"/>
      <c r="C21" s="9"/>
      <c r="D21" s="9"/>
      <c r="E21" s="9"/>
      <c r="F21" s="9"/>
      <c r="G21" s="9"/>
      <c r="H21" s="9"/>
      <c r="I21" s="9"/>
    </row>
    <row r="22" spans="1:29" s="28" customFormat="1" ht="15" x14ac:dyDescent="0.25">
      <c r="A22" s="11"/>
      <c r="B22" s="23"/>
      <c r="C22" s="23"/>
      <c r="D22" s="15"/>
      <c r="E22" s="15"/>
      <c r="F22" s="15"/>
      <c r="G22" s="23"/>
      <c r="H22" s="15"/>
      <c r="I22" s="15"/>
      <c r="J22" s="33"/>
      <c r="K22" s="33"/>
    </row>
    <row r="23" spans="1:29" ht="18.75" x14ac:dyDescent="0.25">
      <c r="A23" s="5"/>
      <c r="B23" s="5"/>
      <c r="C23" s="25"/>
      <c r="D23" s="25"/>
      <c r="E23" s="25"/>
      <c r="F23" s="25"/>
      <c r="G23" s="25"/>
      <c r="H23" s="26"/>
      <c r="I23" s="1"/>
      <c r="J23" s="9"/>
      <c r="K23" s="9"/>
    </row>
    <row r="24" spans="1:29" ht="15" x14ac:dyDescent="0.25">
      <c r="A24" s="9"/>
      <c r="B24" s="9"/>
      <c r="C24" s="9"/>
      <c r="D24" s="9"/>
      <c r="E24" s="9"/>
      <c r="F24" s="9"/>
      <c r="G24" s="9"/>
      <c r="H24" s="9"/>
      <c r="I24" s="9"/>
    </row>
    <row r="25" spans="1:29" ht="15" x14ac:dyDescent="0.25"/>
    <row r="26" spans="1:29" ht="15" x14ac:dyDescent="0.25">
      <c r="Z26" s="2" t="s">
        <v>38</v>
      </c>
    </row>
    <row r="27" spans="1:29" ht="12.75" customHeight="1" x14ac:dyDescent="0.25">
      <c r="AA27" s="2" t="s">
        <v>35</v>
      </c>
      <c r="AB27" s="2" t="s">
        <v>36</v>
      </c>
      <c r="AC27" s="2" t="s">
        <v>37</v>
      </c>
    </row>
    <row r="28" spans="1:29" ht="12.75" customHeight="1" x14ac:dyDescent="0.25">
      <c r="Z28" s="11" t="s">
        <v>39</v>
      </c>
      <c r="AA28" s="34">
        <v>1974</v>
      </c>
      <c r="AB28" s="34">
        <v>14</v>
      </c>
      <c r="AC28" s="34">
        <v>308</v>
      </c>
    </row>
    <row r="29" spans="1:29" ht="12.75" customHeight="1" x14ac:dyDescent="0.25">
      <c r="Z29" s="11" t="s">
        <v>40</v>
      </c>
      <c r="AA29" s="34">
        <v>1892</v>
      </c>
      <c r="AB29" s="34">
        <v>24</v>
      </c>
      <c r="AC29" s="34">
        <v>190</v>
      </c>
    </row>
    <row r="30" spans="1:29" ht="12.75" customHeight="1" x14ac:dyDescent="0.25">
      <c r="Z30" s="11" t="s">
        <v>12</v>
      </c>
      <c r="AA30" s="34">
        <v>1958</v>
      </c>
      <c r="AB30" s="34">
        <v>16</v>
      </c>
      <c r="AC30" s="34">
        <v>230</v>
      </c>
    </row>
    <row r="31" spans="1:29" ht="12.75" customHeight="1" x14ac:dyDescent="0.25">
      <c r="Z31" s="11" t="s">
        <v>14</v>
      </c>
      <c r="AA31" s="34">
        <v>1760</v>
      </c>
      <c r="AB31" s="34">
        <v>12</v>
      </c>
      <c r="AC31" s="34">
        <v>224</v>
      </c>
    </row>
    <row r="32" spans="1:29" ht="12.75" customHeight="1" x14ac:dyDescent="0.25">
      <c r="Z32" s="11" t="s">
        <v>16</v>
      </c>
      <c r="AA32" s="34">
        <v>1734</v>
      </c>
      <c r="AB32" s="34">
        <v>14</v>
      </c>
      <c r="AC32" s="34">
        <v>164</v>
      </c>
    </row>
    <row r="33" spans="26:29" ht="12.75" customHeight="1" x14ac:dyDescent="0.25">
      <c r="Z33" s="11" t="s">
        <v>18</v>
      </c>
      <c r="AA33" s="34">
        <v>1632</v>
      </c>
      <c r="AB33" s="34">
        <v>14</v>
      </c>
      <c r="AC33" s="34">
        <v>144</v>
      </c>
    </row>
    <row r="34" spans="26:29" ht="12.75" customHeight="1" x14ac:dyDescent="0.25">
      <c r="Z34" s="11" t="s">
        <v>20</v>
      </c>
      <c r="AA34" s="34">
        <v>1720</v>
      </c>
      <c r="AB34" s="34">
        <v>28</v>
      </c>
      <c r="AC34" s="34">
        <v>86</v>
      </c>
    </row>
    <row r="35" spans="26:29" ht="12.75" customHeight="1" x14ac:dyDescent="0.25">
      <c r="Z35" s="11" t="s">
        <v>41</v>
      </c>
      <c r="AA35" s="34">
        <v>1700</v>
      </c>
      <c r="AB35" s="34">
        <v>26</v>
      </c>
      <c r="AC35" s="34">
        <v>88</v>
      </c>
    </row>
    <row r="36" spans="26:29" ht="12.75" customHeight="1" x14ac:dyDescent="0.25">
      <c r="Z36" s="11" t="s">
        <v>42</v>
      </c>
      <c r="AA36" s="34">
        <v>1596</v>
      </c>
      <c r="AB36" s="34">
        <v>26</v>
      </c>
      <c r="AC36" s="34">
        <v>62</v>
      </c>
    </row>
    <row r="37" spans="26:29" ht="12.75" customHeight="1" x14ac:dyDescent="0.25">
      <c r="Z37" s="11" t="s">
        <v>43</v>
      </c>
      <c r="AA37" s="34">
        <v>1776</v>
      </c>
      <c r="AB37" s="34">
        <v>18</v>
      </c>
      <c r="AC37" s="34">
        <v>116</v>
      </c>
    </row>
    <row r="38" spans="26:29" ht="12.75" customHeight="1" x14ac:dyDescent="0.25">
      <c r="Z38" s="11" t="s">
        <v>44</v>
      </c>
      <c r="AA38" s="34">
        <v>1784</v>
      </c>
      <c r="AB38" s="34">
        <v>4</v>
      </c>
      <c r="AC38" s="34">
        <v>108</v>
      </c>
    </row>
    <row r="39" spans="26:29" ht="12.75" customHeight="1" x14ac:dyDescent="0.25">
      <c r="Z39" s="13" t="s">
        <v>45</v>
      </c>
      <c r="AA39" s="35">
        <v>1850</v>
      </c>
      <c r="AB39" s="35">
        <v>0</v>
      </c>
      <c r="AC39" s="35">
        <v>196</v>
      </c>
    </row>
    <row r="42" spans="26:29" ht="12.75" customHeight="1" x14ac:dyDescent="0.25">
      <c r="Z42" s="2" t="s">
        <v>46</v>
      </c>
    </row>
    <row r="43" spans="26:29" ht="15" x14ac:dyDescent="0.25">
      <c r="AA43" s="2" t="s">
        <v>35</v>
      </c>
      <c r="AB43" s="2" t="s">
        <v>36</v>
      </c>
    </row>
    <row r="44" spans="26:29" ht="15" x14ac:dyDescent="0.25">
      <c r="Z44" s="11" t="s">
        <v>39</v>
      </c>
      <c r="AA44" s="15">
        <v>2166</v>
      </c>
      <c r="AB44" s="15">
        <v>4222</v>
      </c>
    </row>
    <row r="45" spans="26:29" ht="15" x14ac:dyDescent="0.25">
      <c r="Z45" s="11" t="s">
        <v>40</v>
      </c>
      <c r="AA45" s="15">
        <v>2094</v>
      </c>
      <c r="AB45" s="15">
        <v>4497</v>
      </c>
    </row>
    <row r="46" spans="26:29" ht="15" x14ac:dyDescent="0.25">
      <c r="Z46" s="11" t="s">
        <v>12</v>
      </c>
      <c r="AA46" s="15">
        <v>2044</v>
      </c>
      <c r="AB46" s="15">
        <v>4543</v>
      </c>
    </row>
    <row r="47" spans="26:29" ht="15" x14ac:dyDescent="0.25">
      <c r="Z47" s="11" t="s">
        <v>14</v>
      </c>
      <c r="AA47" s="15">
        <v>1918</v>
      </c>
      <c r="AB47" s="15">
        <v>4251</v>
      </c>
    </row>
    <row r="48" spans="26:29" ht="15" x14ac:dyDescent="0.25">
      <c r="Z48" s="11" t="s">
        <v>16</v>
      </c>
      <c r="AA48" s="15">
        <v>1834</v>
      </c>
      <c r="AB48" s="15">
        <v>3940</v>
      </c>
    </row>
    <row r="49" spans="26:28" ht="15" x14ac:dyDescent="0.25">
      <c r="Z49" s="11" t="s">
        <v>18</v>
      </c>
      <c r="AA49" s="15">
        <v>1770</v>
      </c>
      <c r="AB49" s="15">
        <v>3307</v>
      </c>
    </row>
    <row r="50" spans="26:28" ht="15" x14ac:dyDescent="0.25">
      <c r="Z50" s="11" t="s">
        <v>20</v>
      </c>
      <c r="AA50" s="15">
        <v>1854</v>
      </c>
      <c r="AB50" s="15">
        <v>3802</v>
      </c>
    </row>
    <row r="51" spans="26:28" ht="15" x14ac:dyDescent="0.25">
      <c r="Z51" s="11" t="s">
        <v>41</v>
      </c>
      <c r="AA51" s="15">
        <v>1952</v>
      </c>
      <c r="AB51" s="15">
        <v>4247</v>
      </c>
    </row>
    <row r="52" spans="26:28" ht="15" x14ac:dyDescent="0.25">
      <c r="Z52" s="11" t="s">
        <v>42</v>
      </c>
      <c r="AA52" s="15">
        <v>2034</v>
      </c>
      <c r="AB52" s="15">
        <v>3858</v>
      </c>
    </row>
    <row r="53" spans="26:28" ht="15" x14ac:dyDescent="0.25">
      <c r="Z53" s="11" t="s">
        <v>43</v>
      </c>
      <c r="AA53" s="15">
        <v>1876</v>
      </c>
      <c r="AB53" s="15">
        <v>4367</v>
      </c>
    </row>
    <row r="54" spans="26:28" ht="15" x14ac:dyDescent="0.25">
      <c r="Z54" s="11" t="s">
        <v>44</v>
      </c>
      <c r="AA54" s="15">
        <v>1936</v>
      </c>
      <c r="AB54" s="15">
        <v>3755</v>
      </c>
    </row>
    <row r="55" spans="26:28" ht="15" x14ac:dyDescent="0.25">
      <c r="Z55" s="13" t="s">
        <v>45</v>
      </c>
      <c r="AA55" s="16">
        <v>2198</v>
      </c>
      <c r="AB55" s="16">
        <v>3883</v>
      </c>
    </row>
    <row r="57" spans="26:28" ht="15" x14ac:dyDescent="0.25">
      <c r="AA57" s="15"/>
      <c r="AB57" s="15"/>
    </row>
    <row r="58" spans="26:28" ht="15" x14ac:dyDescent="0.25">
      <c r="AA58" s="15"/>
      <c r="AB58" s="15"/>
    </row>
    <row r="59" spans="26:28" ht="15" x14ac:dyDescent="0.25">
      <c r="AA59" s="15"/>
      <c r="AB59" s="15"/>
    </row>
    <row r="60" spans="26:28" ht="15" x14ac:dyDescent="0.25">
      <c r="AA60" s="15"/>
      <c r="AB60" s="15"/>
    </row>
    <row r="61" spans="26:28" ht="15" x14ac:dyDescent="0.25">
      <c r="AA61" s="15"/>
      <c r="AB61" s="15"/>
    </row>
    <row r="62" spans="26:28" ht="15" x14ac:dyDescent="0.25">
      <c r="AA62" s="15"/>
      <c r="AB62" s="15"/>
    </row>
    <row r="63" spans="26:28" ht="15" x14ac:dyDescent="0.25"/>
    <row r="64" spans="26:28" ht="15" x14ac:dyDescent="0.25"/>
    <row r="65" ht="15" x14ac:dyDescent="0.25"/>
    <row r="66" s="17" customFormat="1" ht="15" x14ac:dyDescent="0.25"/>
    <row r="67" ht="15" x14ac:dyDescent="0.2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11.17</vt:lpstr>
      <vt:lpstr>'11.17'!Print_Area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2016-09-19T07:39:02Z</cp:lastPrinted>
  <dcterms:created xsi:type="dcterms:W3CDTF">2014-05-22T03:57:11Z</dcterms:created>
  <dcterms:modified xsi:type="dcterms:W3CDTF">2016-09-19T07:39:04Z</dcterms:modified>
</cp:coreProperties>
</file>